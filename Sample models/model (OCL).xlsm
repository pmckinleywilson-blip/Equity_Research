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omments1.xml" ContentType="application/vnd.openxmlformats-officedocument.spreadsheetml.comment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customProperty19.bin" ContentType="application/vnd.openxmlformats-officedocument.spreadsheetml.customProperty"/>
  <Override PartName="/xl/customProperty20.bin" ContentType="application/vnd.openxmlformats-officedocument.spreadsheetml.customProperty"/>
  <Override PartName="/xl/customProperty21.bin" ContentType="application/vnd.openxmlformats-officedocument.spreadsheetml.customProperty"/>
  <Override PartName="/xl/customProperty22.bin" ContentType="application/vnd.openxmlformats-officedocument.spreadsheetml.customProperty"/>
  <Override PartName="/xl/customProperty23.bin" ContentType="application/vnd.openxmlformats-officedocument.spreadsheetml.customProperty"/>
  <Override PartName="/xl/customProperty24.bin" ContentType="application/vnd.openxmlformats-officedocument.spreadsheetml.customProperty"/>
  <Override PartName="/xl/customProperty25.bin" ContentType="application/vnd.openxmlformats-officedocument.spreadsheetml.customProperty"/>
  <Override PartName="/xl/customProperty26.bin" ContentType="application/vnd.openxmlformats-officedocument.spreadsheetml.customProperty"/>
  <Override PartName="/xl/customProperty27.bin" ContentType="application/vnd.openxmlformats-officedocument.spreadsheetml.customProperty"/>
  <Override PartName="/xl/customProperty28.bin" ContentType="application/vnd.openxmlformats-officedocument.spreadsheetml.customProperty"/>
  <Override PartName="/xl/customProperty29.bin" ContentType="application/vnd.openxmlformats-officedocument.spreadsheetml.customProperty"/>
  <Override PartName="/xl/customProperty30.bin" ContentType="application/vnd.openxmlformats-officedocument.spreadsheetml.customProperty"/>
  <Override PartName="/xl/customProperty31.bin" ContentType="application/vnd.openxmlformats-officedocument.spreadsheetml.customProperty"/>
  <Override PartName="/xl/customProperty32.bin" ContentType="application/vnd.openxmlformats-officedocument.spreadsheetml.customProperty"/>
  <Override PartName="/xl/customProperty33.bin" ContentType="application/vnd.openxmlformats-officedocument.spreadsheetml.customProperty"/>
  <Override PartName="/xl/customProperty34.bin" ContentType="application/vnd.openxmlformats-officedocument.spreadsheetml.customProperty"/>
  <Override PartName="/xl/customProperty35.bin" ContentType="application/vnd.openxmlformats-officedocument.spreadsheetml.customProperty"/>
  <Override PartName="/xl/customProperty36.bin" ContentType="application/vnd.openxmlformats-officedocument.spreadsheetml.customProperty"/>
  <Override PartName="/xl/customProperty37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172E4E1F-E5EF-0DF4-AAB5-FFAA808CBF94}"/>
  <workbookPr codeName="ThisWorkbook"/>
  <mc:AlternateContent xmlns:mc="http://schemas.openxmlformats.org/markup-compatibility/2006">
    <mc:Choice Requires="x15">
      <x15ac:absPath xmlns:x15ac="http://schemas.microsoft.com/office/spreadsheetml/2010/11/ac" url="M:\CJG\OCL\Model\"/>
    </mc:Choice>
  </mc:AlternateContent>
  <xr:revisionPtr revIDLastSave="0" documentId="13_ncr:1_{081367C1-9380-4A32-8139-237E8603BDA6}" xr6:coauthVersionLast="47" xr6:coauthVersionMax="47" xr10:uidLastSave="{00000000-0000-0000-0000-000000000000}"/>
  <bookViews>
    <workbookView xWindow="2055" yWindow="5100" windowWidth="43200" windowHeight="16965" tabRatio="740" firstSheet="4" activeTab="8" xr2:uid="{00000000-000D-0000-FFFF-FFFF00000000}"/>
  </bookViews>
  <sheets>
    <sheet name="__FDSCACHE__" sheetId="23140" state="veryHidden" r:id="rId1"/>
    <sheet name="OCL.AX_Live_Sheet" sheetId="23148" state="hidden" r:id="rId2"/>
    <sheet name="OCL.AX_Validation_Sheet" sheetId="23149" state="hidden" r:id="rId3"/>
    <sheet name="OCL.AX_Annotation_Sheet" sheetId="23150" state="hidden" r:id="rId4"/>
    <sheet name="MODEL" sheetId="23083" r:id="rId5"/>
    <sheet name="REVENUE + GM" sheetId="23086" r:id="rId6"/>
    <sheet name="VALUATION" sheetId="23120" r:id="rId7"/>
    <sheet name="Earnings changes" sheetId="23123" state="hidden" r:id="rId8"/>
    <sheet name="OCL.AX" sheetId="23130" r:id="rId9"/>
  </sheets>
  <functionGroups builtInGroupCount="19"/>
  <definedNames>
    <definedName name="__FDS_HYPERLINK_TOGGLE_STATE__" hidden="1">"ON"</definedName>
    <definedName name="__FDS_UNIQUE_RANGE_ID_GENERATOR_COUNTER" hidden="1">23</definedName>
    <definedName name="_1__FDSAUDITLINK__" hidden="1">{"fdsup://directions/FAT Viewer?action=UPDATE&amp;creator=factset&amp;DYN_ARGS=TRUE&amp;DOC_NAME=FAT:FQL_AUDITING_CLIENT_TEMPLATE.FAT&amp;display_string=Audit&amp;VAR:KEY=YHABSBIVET&amp;VAR:QUERY=Rk1BX0VWQUxfU0FMRVMoKzQsMCwsLCdQT1JUQUdHJywnTUVBTlInKQ==&amp;WINDOW=FIRST_POPUP&amp;HEIGHT=45","0&amp;WIDTH=450&amp;START_MAXIMIZED=FALSE&amp;VAR:CALENDAR=FIVEDAY&amp;VAR:SYMBOL=R.2000&amp;VAR:INDEX=0"}</definedName>
    <definedName name="_10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11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12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13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14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15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16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17__FDSAUDITLINK__" hidden="1">{"fdsup://directions/FAT Viewer?action=UPDATE&amp;creator=factset&amp;DYN_ARGS=TRUE&amp;DOC_NAME=FAT:FQL_AUDITING_CLIENT_TEMPLATE.FAT&amp;display_string=Audit&amp;VAR:KEY=KZILENSPUX&amp;VAR:QUERY=Rk1BX0VWQUxfU0FMRVMoKzEsMCwsLCdQT1JUQUdHJywnTUVBTlInKQ==&amp;WINDOW=FIRST_POPUP&amp;HEIGHT=45","0&amp;WIDTH=450&amp;START_MAXIMIZED=FALSE&amp;VAR:CALENDAR=FIVEDAY&amp;VAR:SYMBOL=DJIAK&amp;VAR:INDEX=0"}</definedName>
    <definedName name="_18__FDSAUDITLINK__" hidden="1">{"fdsup://directions/FAT Viewer?action=UPDATE&amp;creator=factset&amp;DYN_ARGS=TRUE&amp;DOC_NAME=FAT:FQL_AUDITING_CLIENT_TEMPLATE.FAT&amp;display_string=Audit&amp;VAR:KEY=KZILENSPUX&amp;VAR:QUERY=Rk1BX0VWQUxfU0FMRVMoKzEsMCwsLCdQT1JUQUdHJywnTUVBTlInKQ==&amp;WINDOW=FIRST_POPUP&amp;HEIGHT=45","0&amp;WIDTH=450&amp;START_MAXIMIZED=FALSE&amp;VAR:CALENDAR=FIVEDAY&amp;VAR:SYMBOL=DJIAK&amp;VAR:INDEX=0"}</definedName>
    <definedName name="_19__FDSAUDITLINK__" hidden="1">{"fdsup://directions/FAT Viewer?action=UPDATE&amp;creator=factset&amp;DYN_ARGS=TRUE&amp;DOC_NAME=FAT:FQL_AUDITING_CLIENT_TEMPLATE.FAT&amp;display_string=Audit&amp;VAR:KEY=KZILENSPUX&amp;VAR:QUERY=Rk1BX0VWQUxfU0FMRVMoKzEsMCwsLCdQT1JUQUdHJywnTUVBTlInKQ==&amp;WINDOW=FIRST_POPUP&amp;HEIGHT=45","0&amp;WIDTH=450&amp;START_MAXIMIZED=FALSE&amp;VAR:CALENDAR=FIVEDAY&amp;VAR:SYMBOL=DJIAK&amp;VAR:INDEX=0"}</definedName>
    <definedName name="_2__FDSAUDITLINK__" hidden="1">{"fdsup://directions/FAT Viewer?action=UPDATE&amp;creator=factset&amp;DYN_ARGS=TRUE&amp;DOC_NAME=FAT:FQL_AUDITING_CLIENT_TEMPLATE.FAT&amp;display_string=Audit&amp;VAR:KEY=YHABSBIVET&amp;VAR:QUERY=Rk1BX0VWQUxfU0FMRVMoKzQsMCwsLCdQT1JUQUdHJywnTUVBTlInKQ==&amp;WINDOW=FIRST_POPUP&amp;HEIGHT=45","0&amp;WIDTH=450&amp;START_MAXIMIZED=FALSE&amp;VAR:CALENDAR=FIVEDAY&amp;VAR:SYMBOL=R.2000&amp;VAR:INDEX=0"}</definedName>
    <definedName name="_20__FDSAUDITLINK__" hidden="1">{"fdsup://directions/FAT Viewer?action=UPDATE&amp;creator=factset&amp;DYN_ARGS=TRUE&amp;DOC_NAME=FAT:FQL_AUDITING_CLIENT_TEMPLATE.FAT&amp;display_string=Audit&amp;VAR:KEY=KZILENSPUX&amp;VAR:QUERY=Rk1BX0VWQUxfU0FMRVMoKzEsMCwsLCdQT1JUQUdHJywnTUVBTlInKQ==&amp;WINDOW=FIRST_POPUP&amp;HEIGHT=45","0&amp;WIDTH=450&amp;START_MAXIMIZED=FALSE&amp;VAR:CALENDAR=FIVEDAY&amp;VAR:SYMBOL=DJIAK&amp;VAR:INDEX=0"}</definedName>
    <definedName name="_2012">MODEL!$F:$F</definedName>
    <definedName name="_2012H1">MODEL!$D:$D</definedName>
    <definedName name="_2012H2">MODEL!$E:$E</definedName>
    <definedName name="_2013">MODEL!$I:$I</definedName>
    <definedName name="_2013H1">MODEL!$G:$G</definedName>
    <definedName name="_2013h2">MODEL!$H:$H</definedName>
    <definedName name="_2014">MODEL!$L:$L</definedName>
    <definedName name="_2014H1">MODEL!$J:$J</definedName>
    <definedName name="_2014H2">MODEL!$K:$K</definedName>
    <definedName name="_2015">MODEL!$O:$O</definedName>
    <definedName name="_2015H1">MODEL!$M:$M</definedName>
    <definedName name="_2015H2">MODEL!$N:$N</definedName>
    <definedName name="_2016">MODEL!$R:$R</definedName>
    <definedName name="_2016H1">MODEL!$P:$P</definedName>
    <definedName name="_2016H2">MODEL!$Q:$Q</definedName>
    <definedName name="_2017">MODEL!$U:$U</definedName>
    <definedName name="_2017H1">MODEL!$S:$S</definedName>
    <definedName name="_2017H2">MODEL!$T:$T</definedName>
    <definedName name="_2018">MODEL!$X:$X</definedName>
    <definedName name="_2018H1">MODEL!$V:$V</definedName>
    <definedName name="_2018H2">MODEL!$W:$W</definedName>
    <definedName name="_2019">MODEL!$AA:$AA</definedName>
    <definedName name="_2019H1">MODEL!$Y:$Y</definedName>
    <definedName name="_2019H2">MODEL!$Z:$Z</definedName>
    <definedName name="_2020">MODEL!$AD:$AD</definedName>
    <definedName name="_2020H1">MODEL!$AB:$AB</definedName>
    <definedName name="_2020H2">MODEL!$AC:$AC</definedName>
    <definedName name="_2021">MODEL!$AG:$AG</definedName>
    <definedName name="_2021H1">MODEL!$AE:$AE</definedName>
    <definedName name="_2021H2">MODEL!$AF:$AF</definedName>
    <definedName name="_2022">MODEL!$AJ:$AJ</definedName>
    <definedName name="_2022H1">MODEL!$AH:$AH</definedName>
    <definedName name="_2022H2">MODEL!$AI:$AI</definedName>
    <definedName name="_2023">MODEL!$AM:$AM</definedName>
    <definedName name="_2024">MODEL!$AP:$AP</definedName>
    <definedName name="_2025">MODEL!$AS:$AS</definedName>
    <definedName name="_2026">MODEL!$AT:$AT</definedName>
    <definedName name="_2027">MODEL!$AU:$AU</definedName>
    <definedName name="_21__FDSAUDITLINK__" hidden="1">{"fdsup://directions/FAT Viewer?action=UPDATE&amp;creator=factset&amp;DYN_ARGS=TRUE&amp;DOC_NAME=FAT:FQL_AUDITING_CLIENT_TEMPLATE.FAT&amp;display_string=Audit&amp;VAR:KEY=KZILENSPUX&amp;VAR:QUERY=Rk1BX0VWQUxfU0FMRVMoKzEsMCwsLCdQT1JUQUdHJywnTUVBTlInKQ==&amp;WINDOW=FIRST_POPUP&amp;HEIGHT=45","0&amp;WIDTH=450&amp;START_MAXIMIZED=FALSE&amp;VAR:CALENDAR=FIVEDAY&amp;VAR:SYMBOL=DJIAK&amp;VAR:INDEX=0"}</definedName>
    <definedName name="_22__FDSAUDITLINK__" hidden="1">{"fdsup://directions/FAT Viewer?action=UPDATE&amp;creator=factset&amp;DYN_ARGS=TRUE&amp;DOC_NAME=FAT:FQL_AUDITING_CLIENT_TEMPLATE.FAT&amp;display_string=Audit&amp;VAR:KEY=KZILENSPUX&amp;VAR:QUERY=Rk1BX0VWQUxfU0FMRVMoKzEsMCwsLCdQT1JUQUdHJywnTUVBTlInKQ==&amp;WINDOW=FIRST_POPUP&amp;HEIGHT=45","0&amp;WIDTH=450&amp;START_MAXIMIZED=FALSE&amp;VAR:CALENDAR=FIVEDAY&amp;VAR:SYMBOL=DJIAK&amp;VAR:INDEX=0"}</definedName>
    <definedName name="_23__FDSAUDITLINK__" hidden="1">{"fdsup://IBCentral/FAT Viewer?action=UPDATE&amp;creator=factset&amp;DOC_NAME=fat:reuters_annual_source_window.fat&amp;display_string=Audit&amp;DYN_ARGS=TRUE&amp;VAR:ID1=06777410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24__FDSAUDITLINK__" hidden="1">{"fdsup://IBCentral/FAT Viewer?action=UPDATE&amp;creator=factset&amp;DOC_NAME=fat:reuters_semi_source_window.fat&amp;display_string=Audit&amp;DYN_ARGS=TRUE&amp;VAR:ID1=663955&amp;VAR:RCODE=SCSI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25__FDSAUDITLINK__" hidden="1">{"fdsup://IBCentral/FAT Viewer?action=UPDATE&amp;creator=factset&amp;DOC_NAME=fat:reuters_semi_source_window.fat&amp;display_string=Audit&amp;DYN_ARGS=TRUE&amp;VAR:ID1=663955&amp;VAR:RCODE=STLD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26__FDSAUDITLINK__" hidden="1">{"fdsup://IBCentral/FAT Viewer?action=UPDATE&amp;creator=factset&amp;DOC_NAME=fat:reuters_qtrly_source_window.fat&amp;display_string=Audit&amp;DYN_ARGS=TRUE&amp;VAR:ID1=16943T10&amp;VAR:RCODE=SCSI&amp;VAR:SDATE=20080999&amp;VAR:FREQ=Quarterly&amp;VAR:RELITEM=RP&amp;VAR:CURRENCY=USD&amp;VAR:CURRSOURCE","=EXSHARE&amp;VAR:NATFREQ=QUARTERLY&amp;VAR:RFIELD=FINALIZED&amp;VAR:DB_TYPE=&amp;VAR:UNITS=M&amp;window=popup&amp;width=450&amp;height=300&amp;START_MAXIMIZED=FALSE"}</definedName>
    <definedName name="_27__FDSAUDITLINK__" hidden="1">{"fdsup://IBCentral/FAT Viewer?action=UPDATE&amp;creator=factset&amp;DOC_NAME=fat:reuters_semi_source_window.fat&amp;display_string=Audit&amp;DYN_ARGS=TRUE&amp;VAR:ID1=B02RK0&amp;VAR:RCODE=SCSI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28__FDSAUDITLINK__" hidden="1">{"fdsup://IBCentral/FAT Viewer?action=UPDATE&amp;creator=factset&amp;DOC_NAME=fat:reuters_semi_source_window.fat&amp;display_string=Audit&amp;DYN_ARGS=TRUE&amp;VAR:ID1=B02RK0&amp;VAR:RCODE=STLD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29__FDSAUDITLINK__" hidden="1">{"fdsup://IBCentral/FAT Viewer?action=UPDATE&amp;creator=factset&amp;DOC_NAME=fat:reuters_qtrly_source_window.fat&amp;display_string=Audit&amp;DYN_ARGS=TRUE&amp;VAR:ID1=649668&amp;VAR:RCODE=SCSI&amp;VAR:SDATE=20080999&amp;VAR:FREQ=Quarterly&amp;VAR:RELITEM=RP&amp;VAR:CURRENCY=USD&amp;VAR:CURRSOURCE=E","XSHARE&amp;VAR:NATFREQ=QUARTERLY&amp;VAR:RFIELD=FINALIZED&amp;VAR:DB_TYPE=&amp;VAR:UNITS=M&amp;window=popup&amp;width=450&amp;height=300&amp;START_MAXIMIZED=FALSE"}</definedName>
    <definedName name="_3__FDSAUDITLINK__" hidden="1">{"fdsup://directions/FAT Viewer?action=UPDATE&amp;creator=factset&amp;DYN_ARGS=TRUE&amp;DOC_NAME=FAT:FQL_AUDITING_CLIENT_TEMPLATE.FAT&amp;display_string=Audit&amp;VAR:KEY=YHABSBIVET&amp;VAR:QUERY=Rk1BX0VWQUxfU0FMRVMoKzQsMCwsLCdQT1JUQUdHJywnTUVBTlInKQ==&amp;WINDOW=FIRST_POPUP&amp;HEIGHT=45","0&amp;WIDTH=450&amp;START_MAXIMIZED=FALSE&amp;VAR:CALENDAR=FIVEDAY&amp;VAR:SYMBOL=R.2000&amp;VAR:INDEX=0"}</definedName>
    <definedName name="_30__FDSAUDITLINK__" hidden="1">{"fdsup://IBCentral/FAT Viewer?action=UPDATE&amp;creator=factset&amp;DOC_NAME=fat:reuters_semi_source_window.fat&amp;display_string=Audit&amp;DYN_ARGS=TRUE&amp;VAR:ID1=649668&amp;VAR:RCODE=STLD&amp;VAR:SDATE=20040399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1__FDSAUDITLINK__" hidden="1">{"fdsup://IBCentral/FAT Viewer?action=UPDATE&amp;creator=factset&amp;DOC_NAME=fat:reuters_semi_source_window.fat&amp;display_string=Audit&amp;DYN_ARGS=TRUE&amp;VAR:ID1=649474&amp;VAR:RCODE=SCSI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2__FDSAUDITLINK__" hidden="1">{"fdsup://IBCentral/FAT Viewer?action=UPDATE&amp;creator=factset&amp;DOC_NAME=fat:reuters_semi_source_window.fat&amp;display_string=Audit&amp;DYN_ARGS=TRUE&amp;VAR:ID1=649474&amp;VAR:RCODE=STLD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3__FDSAUDITLINK__" hidden="1">{"fdsup://IBCentral/FAT Viewer?action=UPDATE&amp;creator=factset&amp;DOC_NAME=fat:reuters_semi_source_window.fat&amp;display_string=Audit&amp;DYN_ARGS=TRUE&amp;VAR:ID1=617369&amp;VAR:RCODE=SCSI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4__FDSAUDITLINK__" hidden="1">{"fdsup://IBCentral/FAT Viewer?action=UPDATE&amp;creator=factset&amp;DOC_NAME=fat:reuters_semi_source_window.fat&amp;display_string=Audit&amp;DYN_ARGS=TRUE&amp;VAR:ID1=617369&amp;VAR:RCODE=STLD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5__FDSAUDITLINK__" hidden="1">{"fdsup://IBCentral/FAT Viewer?action=UPDATE&amp;creator=factset&amp;DOC_NAME=fat:reuters_semi_source_window.fat&amp;display_string=Audit&amp;DYN_ARGS=TRUE&amp;VAR:ID1=B0JDQD&amp;VAR:RCODE=SCSI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6__FDSAUDITLINK__" hidden="1">{"fdsup://IBCentral/FAT Viewer?action=UPDATE&amp;creator=factset&amp;DOC_NAME=fat:reuters_semi_source_window.fat&amp;display_string=Audit&amp;DYN_ARGS=TRUE&amp;VAR:ID1=B0JDQD&amp;VAR:RCODE=STLD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7__FDSAUDITLINK__" hidden="1">{"fdsup://IBCentral/FAT Viewer?action=UPDATE&amp;creator=factset&amp;DOC_NAME=fat:reuters_annual_source_window.fat&amp;display_string=Audit&amp;DYN_ARGS=TRUE&amp;VAR:ID1=93114210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38__FDSAUDITLINK__" hidden="1">{"fdsup://IBCentral/FAT Viewer?action=UPDATE&amp;creator=factset&amp;DOC_NAME=fat:reuters_annual_source_window.fat&amp;display_string=Audit&amp;DYN_ARGS=TRUE&amp;VAR:ID1=93114210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39__FDSAUDITLINK__" hidden="1">{"fdsup://IBCentral/FAT Viewer?action=UPDATE&amp;creator=factset&amp;DOC_NAME=fat:reuters_annual_source_window.fat&amp;display_string=Audit&amp;DYN_ARGS=TRUE&amp;VAR:ID1=93114210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4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40__FDSAUDITLINK__" hidden="1">{"fdsup://IBCentral/FAT Viewer?action=UPDATE&amp;creator=factset&amp;DOC_NAME=fat:reuters_annual_source_window.fat&amp;display_string=Audit&amp;DYN_ARGS=TRUE&amp;VAR:ID1=87612E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1__FDSAUDITLINK__" hidden="1">{"fdsup://IBCentral/FAT Viewer?action=UPDATE&amp;creator=factset&amp;DOC_NAME=fat:reuters_annual_source_window.fat&amp;display_string=Audit&amp;DYN_ARGS=TRUE&amp;VAR:ID1=87612E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2__FDSAUDITLINK__" hidden="1">{"fdsup://IBCentral/FAT Viewer?action=UPDATE&amp;creator=factset&amp;DOC_NAME=fat:reuters_annual_source_window.fat&amp;display_string=Audit&amp;DYN_ARGS=TRUE&amp;VAR:ID1=87612E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43__FDSAUDITLINK__" hidden="1">{"fdsup://IBCentral/FAT Viewer?action=UPDATE&amp;creator=factset&amp;DOC_NAME=fat:reuters_annual_source_window.fat&amp;display_string=Audit&amp;DYN_ARGS=TRUE&amp;VAR:ID1=85503010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4__FDSAUDITLINK__" hidden="1">{"fdsup://IBCentral/FAT Viewer?action=UPDATE&amp;creator=factset&amp;DOC_NAME=fat:reuters_annual_source_window.fat&amp;display_string=Audit&amp;DYN_ARGS=TRUE&amp;VAR:ID1=85503010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5__FDSAUDITLINK__" hidden="1">{"fdsup://IBCentral/FAT Viewer?action=UPDATE&amp;creator=factset&amp;DOC_NAME=fat:reuters_annual_source_window.fat&amp;display_string=Audit&amp;DYN_ARGS=TRUE&amp;VAR:ID1=85503010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46__FDSAUDITLINK__" hidden="1">{"fdsup://IBCentral/FAT Viewer?action=UPDATE&amp;creator=factset&amp;DOC_NAME=fat:reuters_annual_source_window.fat&amp;display_string=Audit&amp;DYN_ARGS=TRUE&amp;VAR:ID1=81235010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7__FDSAUDITLINK__" hidden="1">{"fdsup://IBCentral/FAT Viewer?action=UPDATE&amp;creator=factset&amp;DOC_NAME=fat:reuters_annual_source_window.fat&amp;display_string=Audit&amp;DYN_ARGS=TRUE&amp;VAR:ID1=81235010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8__FDSAUDITLINK__" hidden="1">{"fdsup://IBCentral/FAT Viewer?action=UPDATE&amp;creator=factset&amp;DOC_NAME=fat:reuters_annual_source_window.fat&amp;display_string=Audit&amp;DYN_ARGS=TRUE&amp;VAR:ID1=81235010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49__FDSAUDITLINK__" hidden="1">{"fdsup://IBCentral/FAT Viewer?action=UPDATE&amp;creator=factset&amp;DOC_NAME=fat:reuters_annual_source_window.fat&amp;display_string=Audit&amp;DYN_ARGS=TRUE&amp;VAR:ID1=43707610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5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50__FDSAUDITLINK__" hidden="1">{"fdsup://IBCentral/FAT Viewer?action=UPDATE&amp;creator=factset&amp;DOC_NAME=fat:reuters_annual_source_window.fat&amp;display_string=Audit&amp;DYN_ARGS=TRUE&amp;VAR:ID1=43707610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51__FDSAUDITLINK__" hidden="1">{"fdsup://IBCentral/FAT Viewer?action=UPDATE&amp;creator=factset&amp;DOC_NAME=fat:reuters_annual_source_window.fat&amp;display_string=Audit&amp;DYN_ARGS=TRUE&amp;VAR:ID1=43707610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52__FDSAUDITLINK__" hidden="1">{"fdsup://IBCentral/FAT Viewer?action=UPDATE&amp;creator=factset&amp;DOC_NAME=fat:reuters_annual_source_window.fat&amp;display_string=Audit&amp;DYN_ARGS=TRUE&amp;VAR:ID1=55616P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53__FDSAUDITLINK__" hidden="1">{"fdsup://IBCentral/FAT Viewer?action=UPDATE&amp;creator=factset&amp;DOC_NAME=fat:reuters_annual_source_window.fat&amp;display_string=Audit&amp;DYN_ARGS=TRUE&amp;VAR:ID1=55616P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54__FDSAUDITLINK__" hidden="1">{"fdsup://IBCentral/FAT Viewer?action=UPDATE&amp;creator=factset&amp;DOC_NAME=fat:reuters_annual_source_window.fat&amp;display_string=Audit&amp;DYN_ARGS=TRUE&amp;VAR:ID1=55616P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55__FDSAUDITLINK__" hidden="1">{"fdsup://IBCentral/FAT Viewer?action=UPDATE&amp;creator=factset&amp;DOC_NAME=fat:reuters_annual_source_window.fat&amp;display_string=Audit&amp;DYN_ARGS=TRUE&amp;VAR:ID1=27864210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56__FDSAUDITLINK__" hidden="1">{"fdsup://IBCentral/FAT Viewer?action=UPDATE&amp;creator=factset&amp;DOC_NAME=fat:reuters_annual_source_window.fat&amp;display_string=Audit&amp;DYN_ARGS=TRUE&amp;VAR:ID1=27864210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57__FDSAUDITLINK__" hidden="1">{"fdsup://directions/FAT Viewer?action=UPDATE&amp;creator=factset&amp;DYN_ARGS=TRUE&amp;DOC_NAME=FAT:FQL_AUDITING_CLIENT_TEMPLATE.FAT&amp;display_string=Audit&amp;VAR:KEY=YHEBOTULUB&amp;VAR:QUERY=Rk1BX0ZDUFMoKzQsMCwsLFVTRCwnUE9SVEFHRycsJ01FQU5SJyk=&amp;WINDOW=FIRST_POPUP&amp;HEIGHT=450&amp;WI","DTH=450&amp;START_MAXIMIZED=FALSE&amp;VAR:CALENDAR=FIVEDAY&amp;VAR:SYMBOL=SP50&amp;VAR:INDEX=0"}</definedName>
    <definedName name="_58__FDSAUDITLINK__" hidden="1">{"fdsup://directions/FAT Viewer?action=UPDATE&amp;creator=factset&amp;DYN_ARGS=TRUE&amp;DOC_NAME=FAT:FQL_AUDITING_CLIENT_TEMPLATE.FAT&amp;display_string=Audit&amp;VAR:KEY=IFKDAFQZUV&amp;VAR:QUERY=Rk1BX0VQUygrNCwwLCwsVVNELCdQT1JUQUdHJywnTUVBTlInKQ==&amp;WINDOW=FIRST_POPUP&amp;HEIGHT=450&amp;WI","DTH=450&amp;START_MAXIMIZED=FALSE&amp;VAR:CALENDAR=FIVEDAY&amp;VAR:SYMBOL=R.2000&amp;VAR:INDEX=0"}</definedName>
    <definedName name="_59__FDSAUDITLINK__" hidden="1">{"fdsup://directions/FAT Viewer?action=UPDATE&amp;creator=factset&amp;DYN_ARGS=TRUE&amp;DOC_NAME=FAT:FQL_AUDITING_CLIENT_TEMPLATE.FAT&amp;display_string=Audit&amp;VAR:KEY=INADAPETUD&amp;VAR:QUERY=Rk1BX0VWQUxfRUJJVERBKCs0LDAsLCwnUE9SVEFHRycsJ01FQU5SJyk=&amp;WINDOW=FIRST_POPUP&amp;HEIGHT=45","0&amp;WIDTH=450&amp;START_MAXIMIZED=FALSE&amp;VAR:CALENDAR=FIVEDAY&amp;VAR:SYMBOL=SP50&amp;VAR:INDEX=0"}</definedName>
    <definedName name="_6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60__FDSAUDITLINK__" hidden="1">{"fdsup://directions/FAT Viewer?action=UPDATE&amp;creator=factset&amp;DYN_ARGS=TRUE&amp;DOC_NAME=FAT:FQL_AUDITING_CLIENT_TEMPLATE.FAT&amp;display_string=Audit&amp;VAR:KEY=IFGTCHCBIJ&amp;VAR:QUERY=Rk1BX0VWQUxfRUJJVERBKCszLDAsLCwnUE9SVEFHRycsJ01FQU5SJyk=&amp;WINDOW=FIRST_POPUP&amp;HEIGHT=45","0&amp;WIDTH=450&amp;START_MAXIMIZED=FALSE&amp;VAR:CALENDAR=FIVEDAY&amp;VAR:SYMBOL=COMP&amp;VAR:INDEX=0"}</definedName>
    <definedName name="_61__FDSAUDITLINK__" hidden="1">{"fdsup://directions/FAT Viewer?action=UPDATE&amp;creator=factset&amp;DYN_ARGS=TRUE&amp;DOC_NAME=FAT:FQL_AUDITING_CLIENT_TEMPLATE.FAT&amp;display_string=Audit&amp;VAR:KEY=YHABSBIVET&amp;VAR:QUERY=Rk1BX0VWQUxfU0FMRVMoKzQsMCwsLCdQT1JUQUdHJywnTUVBTlInKQ==&amp;WINDOW=FIRST_POPUP&amp;HEIGHT=45","0&amp;WIDTH=450&amp;START_MAXIMIZED=FALSE&amp;VAR:CALENDAR=FIVEDAY&amp;VAR:SYMBOL=R.2000&amp;VAR:INDEX=0"}</definedName>
    <definedName name="_62__FDSAUDITLINK__" hidden="1">{"fdsup://IBCentral/FAT Viewer?action=UPDATE&amp;creator=factset&amp;DOC_NAME=fat:reuters_annual_source_window.fat&amp;display_string=Audit&amp;DYN_ARGS=TRUE&amp;VAR:ID1=08651610&amp;VAR:RCODE=SALES&amp;VAR:SDATE=20080299&amp;VAR:FREQ=Y&amp;VAR:RELITEM=RP&amp;VAR:CURRENCY=&amp;VAR:CURRSOURCE=EXSHARE&amp;","VAR:NATFREQ=ANNUAL&amp;VAR:RFIELD=FINALIZED&amp;VAR:DB_TYPE=&amp;VAR:UNITS=M&amp;window=popup&amp;width=450&amp;height=300&amp;START_MAXIMIZED=FALSE"}</definedName>
    <definedName name="_63__FDSAUDITLINK__" hidden="1">{"fdsup://directions/FAT Viewer?action=UPDATE&amp;creator=factset&amp;DYN_ARGS=TRUE&amp;DOC_NAME=FAT:FQL_AUDITING_CLIENT_TEMPLATE.FAT&amp;display_string=Audit&amp;VAR:KEY=YXIPWPMLKR&amp;VAR:QUERY=Rk1BX0NBU0goTFRNLDAsLCxVU0QsJ1BPUlRBR0cnKQ==&amp;WINDOW=FIRST_POPUP&amp;HEIGHT=450&amp;WIDTH=450&amp;","START_MAXIMIZED=FALSE&amp;VAR:CALENDAR=FIVEDAY&amp;VAR:SYMBOL=R.2000&amp;VAR:INDEX=0"}</definedName>
    <definedName name="_64__FDSAUDITLINK__" hidden="1">{"fdsup://directions/FAT Viewer?action=UPDATE&amp;creator=factset&amp;DYN_ARGS=TRUE&amp;DOC_NAME=FAT:FQL_AUDITING_CLIENT_TEMPLATE.FAT&amp;display_string=Audit&amp;VAR:KEY=AXQFKXWZOX&amp;VAR:QUERY=Rk1BX0VWQUxfU0FMRVMoKzQsMCwsLCdQT1JUQUdHJywnTUVBTlInKQ==&amp;WINDOW=FIRST_POPUP&amp;HEIGHT=45","0&amp;WIDTH=450&amp;START_MAXIMIZED=FALSE&amp;VAR:CALENDAR=FIVEDAY&amp;VAR:SYMBOL=SP50&amp;VAR:INDEX=0"}</definedName>
    <definedName name="_65__FDSAUDITLINK__" hidden="1">{"fdsup://IBCentral/FAT Viewer?action=UPDATE&amp;creator=factset&amp;DOC_NAME=fat:reuters_annual_source_window.fat&amp;display_string=Audit&amp;DYN_ARGS=TRUE&amp;VAR:ID1=07589610&amp;VAR:RCODE=SALES&amp;VAR:SDATE=20080299&amp;VAR:FREQ=Y&amp;VAR:RELITEM=RP&amp;VAR:CURRENCY=&amp;VAR:CURRSOURCE=EXSHARE&amp;","VAR:NATFREQ=ANNUAL&amp;VAR:RFIELD=FINALIZED&amp;VAR:DB_TYPE=&amp;VAR:UNITS=M&amp;window=popup&amp;width=450&amp;height=300&amp;START_MAXIMIZED=FALSE"}</definedName>
    <definedName name="_66__FDSAUDITLINK__" hidden="1">{"fdsup://IBCentral/FAT Viewer?action=UPDATE&amp;creator=factset&amp;DOC_NAME=fat:reuters_annual_source_window.fat&amp;display_string=Audit&amp;DYN_ARGS=TRUE&amp;VAR:ID1=06777410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67__FDSAUDITLINK__" hidden="1">{"fdsup://directions/FAT Viewer?action=UPDATE&amp;creator=factset&amp;DYN_ARGS=TRUE&amp;DOC_NAME=FAT:FQL_AUDITING_CLIENT_TEMPLATE.FAT&amp;display_string=Audit&amp;VAR:KEY=SVCXCXSRCR&amp;VAR:QUERY=Rk1BX0VQUygrMywwLCwsVVNELCdQT1JUQUdHJywnTUVBTlInKQ==&amp;WINDOW=FIRST_POPUP&amp;HEIGHT=450&amp;WI","DTH=450&amp;START_MAXIMIZED=FALSE&amp;VAR:CALENDAR=FIVEDAY&amp;VAR:SYMBOL=SP50&amp;VAR:INDEX=0"}</definedName>
    <definedName name="_68__FDSAUDITLINK__" hidden="1">{"fdsup://IBCentral/FAT Viewer?action=UPDATE&amp;creator=factset&amp;DOC_NAME=fat:reuters_annual_source_window.fat&amp;display_string=Audit&amp;DYN_ARGS=TRUE&amp;VAR:ID1=06777410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69__FDSAUDITLINK__" hidden="1">{"fdsup://IBCentral/FAT Viewer?action=UPDATE&amp;creator=factset&amp;DOC_NAME=fat:reuters_annual_source_window.fat&amp;display_string=Audit&amp;DYN_ARGS=TRUE&amp;VAR:ID1=02313510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7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70__FDSAUDITLINK__" hidden="1">{"fdsup://IBCentral/FAT Viewer?action=UPDATE&amp;creator=factset&amp;DOC_NAME=fat:reuters_annual_source_window.fat&amp;display_string=Audit&amp;DYN_ARGS=TRUE&amp;VAR:ID1=93114210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1__FDSAUDITLINK__" hidden="1">{"fdsup://IBCentral/FAT Viewer?action=UPDATE&amp;creator=factset&amp;DOC_NAME=fat:reuters_annual_source_window.fat&amp;display_string=Audit&amp;DYN_ARGS=TRUE&amp;VAR:ID1=93114210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2__FDSAUDITLINK__" hidden="1">{"fdsup://directions/FAT Viewer?action=UPDATE&amp;creator=factset&amp;DYN_ARGS=TRUE&amp;DOC_NAME=FAT:FQL_AUDITING_CLIENT_TEMPLATE.FAT&amp;display_string=Audit&amp;VAR:KEY=CZUZKNURMZ&amp;VAR:QUERY=Rk1BX0VWQUxfU0FMRVMoKzQsMCwsLCdQT1JUQUdHJywnTUVBTlInKQ==&amp;WINDOW=FIRST_POPUP&amp;HEIGHT=45","0&amp;WIDTH=450&amp;START_MAXIMIZED=FALSE&amp;VAR:CALENDAR=FIVEDAY&amp;VAR:SYMBOL=DJIAK&amp;VAR:INDEX=0"}</definedName>
    <definedName name="_73__FDSAUDITLINK__" hidden="1">{"fdsup://IBCentral/FAT Viewer?action=UPDATE&amp;creator=factset&amp;DOC_NAME=fat:reuters_annual_source_window.fat&amp;display_string=Audit&amp;DYN_ARGS=TRUE&amp;VAR:ID1=87612E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4__FDSAUDITLINK__" hidden="1">{"fdsup://IBCentral/FAT Viewer?action=UPDATE&amp;creator=factset&amp;DOC_NAME=fat:reuters_annual_source_window.fat&amp;display_string=Audit&amp;DYN_ARGS=TRUE&amp;VAR:ID1=85503010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5__FDSAUDITLINK__" hidden="1">{"fdsup://IBCentral/FAT Viewer?action=UPDATE&amp;creator=factset&amp;DOC_NAME=fat:reuters_annual_source_window.fat&amp;display_string=Audit&amp;DYN_ARGS=TRUE&amp;VAR:ID1=85503010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6__FDSAUDITLINK__" hidden="1">{"fdsup://IBCentral/FAT Viewer?action=UPDATE&amp;creator=factset&amp;DOC_NAME=fat:reuters_annual_source_window.fat&amp;display_string=Audit&amp;DYN_ARGS=TRUE&amp;VAR:ID1=81235010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7__FDSAUDITLINK__" hidden="1">{"fdsup://IBCentral/FAT Viewer?action=UPDATE&amp;creator=factset&amp;DOC_NAME=fat:reuters_annual_source_window.fat&amp;display_string=Audit&amp;DYN_ARGS=TRUE&amp;VAR:ID1=81235010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8__FDSAUDITLINK__" hidden="1">{"fdsup://IBCentral/FAT Viewer?action=UPDATE&amp;creator=factset&amp;DOC_NAME=fat:reuters_annual_source_window.fat&amp;display_string=Audit&amp;DYN_ARGS=TRUE&amp;VAR:ID1=43707610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9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8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80__FDSAUDITLINK__" hidden="1">{"fdsup://directions/FAT Viewer?action=UPDATE&amp;creator=factset&amp;DYN_ARGS=TRUE&amp;DOC_NAME=FAT:FQL_AUDITING_CLIENT_TEMPLATE.FAT&amp;display_string=Audit&amp;VAR:KEY=UHMTOTKJQV&amp;VAR:QUERY=Rk1BX0VWQUxfU0FMRVMoKzQsMCwsLCdQT1JUQUdHJywnTUVBTlInKQ==&amp;WINDOW=FIRST_POPUP&amp;HEIGHT=45","0&amp;WIDTH=450&amp;START_MAXIMIZED=FALSE&amp;VAR:CALENDAR=FIVEDAY&amp;VAR:SYMBOL=COMP&amp;VAR:INDEX=0"}</definedName>
    <definedName name="_81__FDSAUDITLINK__" hidden="1">{"fdsup://IBCentral/FAT Viewer?action=UPDATE&amp;creator=factset&amp;DOC_NAME=fat:reuters_annual_source_window.fat&amp;display_string=Audit&amp;DYN_ARGS=TRUE&amp;VAR:ID1=55616P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82__FDSAUDITLINK__" hidden="1">{"fdsup://IBCentral/FAT Viewer?action=UPDATE&amp;creator=factset&amp;DOC_NAME=fat:reuters_annual_source_window.fat&amp;display_string=Audit&amp;DYN_ARGS=TRUE&amp;VAR:ID1=27864210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3__FDSAUDITLINK__" hidden="1">{"fdsup://IBCentral/FAT Viewer?action=UPDATE&amp;creator=factset&amp;DOC_NAME=fat:reuters_annual_source_window.fat&amp;display_string=Audit&amp;DYN_ARGS=TRUE&amp;VAR:ID1=27864210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4__FDSAUDITLINK__" hidden="1">{"fdsup://IBCentral/FAT Viewer?action=UPDATE&amp;creator=factset&amp;DOC_NAME=fat:reuters_annual_source_window.fat&amp;display_string=Audit&amp;DYN_ARGS=TRUE&amp;VAR:ID1=22160K10&amp;VAR:RCODE=CFFREE&amp;VAR:SDATE=20070899&amp;VAR:FREQ=Y&amp;VAR:RELITEM=RP&amp;VAR:CURRENCY=&amp;VAR:CURRSOURCE=EXSHARE","&amp;VAR:NATFREQ=ANNUAL&amp;VAR:RFIELD=FINALIZED&amp;VAR:DB_TYPE=&amp;VAR:UNITS=M&amp;window=popup&amp;width=450&amp;height=300&amp;START_MAXIMIZED=FALSE"}</definedName>
    <definedName name="_85__FDSAUDITLINK__" hidden="1">{"fdsup://directions/FAT Viewer?action=UPDATE&amp;creator=factset&amp;DYN_ARGS=TRUE&amp;DOC_NAME=FAT:FQL_AUDITING_CLIENT_TEMPLATE.FAT&amp;display_string=Audit&amp;VAR:KEY=CRELINGBUV&amp;VAR:QUERY=Rk1BX0ZDUFMoKzMsMCwsLFVTRCwnUE9SVEFHRycsJ01FQU5SJyk=&amp;WINDOW=FIRST_POPUP&amp;HEIGHT=450&amp;WI","DTH=450&amp;START_MAXIMIZED=FALSE&amp;VAR:CALENDAR=FIVEDAY&amp;VAR:SYMBOL=R.2000&amp;VAR:INDEX=0"}</definedName>
    <definedName name="_86__FDSAUDITLINK__" hidden="1">{"fdsup://IBCentral/FAT Viewer?action=UPDATE&amp;creator=factset&amp;DOC_NAME=fat:reuters_annual_source_window.fat&amp;display_string=Audit&amp;DYN_ARGS=TRUE&amp;VAR:ID1=08651610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7__FDSAUDITLINK__" hidden="1">{"fdsup://IBCentral/FAT Viewer?action=UPDATE&amp;creator=factset&amp;DOC_NAME=fat:reuters_annual_source_window.fat&amp;display_string=Audit&amp;DYN_ARGS=TRUE&amp;VAR:ID1=08651610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8__FDSAUDITLINK__" hidden="1">{"fdsup://IBCentral/FAT Viewer?action=UPDATE&amp;creator=factset&amp;DOC_NAME=fat:reuters_annual_source_window.fat&amp;display_string=Audit&amp;DYN_ARGS=TRUE&amp;VAR:ID1=07589610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9__FDSAUDITLINK__" hidden="1">{"fdsup://IBCentral/FAT Viewer?action=UPDATE&amp;creator=factset&amp;DOC_NAME=fat:reuters_annual_source_window.fat&amp;display_string=Audit&amp;DYN_ARGS=TRUE&amp;VAR:ID1=07589610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9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90__FDSAUDITLINK__" hidden="1">{"fdsup://IBCentral/FAT Viewer?action=UPDATE&amp;creator=factset&amp;DOC_NAME=fat:reuters_annual_source_window.fat&amp;display_string=Audit&amp;DYN_ARGS=TRUE&amp;VAR:ID1=06777410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91__FDSAUDITLINK__" hidden="1">{"fdsup://IBCentral/FAT Viewer?action=UPDATE&amp;creator=factset&amp;DOC_NAME=fat:reuters_annual_source_window.fat&amp;display_string=Audit&amp;DYN_ARGS=TRUE&amp;VAR:ID1=06777410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bdm.E9770E17AAE541B2B542BA871758451B.edm" hidden="1">#REF!</definedName>
    <definedName name="_g3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_g4" hidden="1">{"Line Efficiency",#N/A,FALSE,"Benchmarking"}</definedName>
    <definedName name="_g5" hidden="1">{"print 1",#N/A,FALSE,"PrimeCo PCS";"print 2",#N/A,FALSE,"PrimeCo PCS";"valuation",#N/A,FALSE,"PrimeCo PCS"}</definedName>
    <definedName name="_g6" hidden="1">{#N/A,#N/A,FALSE,"Spain MKT";#N/A,#N/A,FALSE,"Assumptions";#N/A,#N/A,FALSE,"Adve";#N/A,#N/A,FALSE,"E-Commerce";#N/A,#N/A,FALSE,"Opex";#N/A,#N/A,FALSE,"P&amp;L";#N/A,#N/A,FALSE,"FCF &amp; DCF"}</definedName>
    <definedName name="_g7" hidden="1">{"Tarifica91",#N/A,FALSE,"Tariffs";"Tarifica92",#N/A,FALSE,"Tariffs";"Tarifica93",#N/A,FALSE,"Tariffs";"Tarifica94",#N/A,FALSE,"Tariffs";"Tarifica95",#N/A,FALSE,"Tariffs";"Tarifica96",#N/A,FALSE,"Tariffs"}</definedName>
    <definedName name="_g8" hidden="1">{"Tariff Comparison",#N/A,FALSE,"Benchmarking";"Tariff Comparison 2",#N/A,FALSE,"Benchmarking";"Tariff Comparison 3",#N/A,FALSE,"Benchmarking"}</definedName>
    <definedName name="_Key1" hidden="1">#REF!</definedName>
    <definedName name="_Order1" hidden="1">255</definedName>
    <definedName name="_Sort" hidden="1">#REF!</definedName>
    <definedName name="_Table2_Out" localSheetId="6" hidden="1">#REF!</definedName>
    <definedName name="_Table2_Out" hidden="1">#REF!</definedName>
    <definedName name="A_ALL_KEYWORDS_TYPE_ScalarContributed_EQTY_200019506" localSheetId="3">OCL.AX_Annotation_Sheet!$314:$335,OCL.AX_Annotation_Sheet!$354:$357,OCL.AX_Annotation_Sheet!$360:$368,OCL.AX_Annotation_Sheet!$413:$420,OCL.AX_Annotation_Sheet!$442:$442,OCL.AX_Annotation_Sheet!$444:$446,OCL.AX_Annotation_Sheet!$449:$450</definedName>
    <definedName name="A_ALL_KEYWORDS_TYPE_ScalarContributed_ISSR_208017981" localSheetId="3">OCL.AX_Annotation_Sheet!$9:$12,OCL.AX_Annotation_Sheet!$71:$71,OCL.AX_Annotation_Sheet!$211:$212</definedName>
    <definedName name="A_ALL_KEYWORDS_TYPE_ScalarReference_EQTY_200019506" localSheetId="3">OCL.AX_Annotation_Sheet!$307:$312</definedName>
    <definedName name="A_ALL_KEYWORDS_TYPE_ScalarReference_ISSR_208017981" localSheetId="3">OCL.AX_Annotation_Sheet!$6:$7</definedName>
    <definedName name="A_ALL_KEYWORDS_TYPE_Vector_EQTY_200019506" localSheetId="3">OCL.AX_Annotation_Sheet!$337:$352,OCL.AX_Annotation_Sheet!$358:$359,OCL.AX_Annotation_Sheet!$369:$373,OCL.AX_Annotation_Sheet!$375:$391,OCL.AX_Annotation_Sheet!$393:$412,OCL.AX_Annotation_Sheet!$421:$428,OCL.AX_Annotation_Sheet!$430:$431,OCL.AX_Annotation_Sheet!$433:$433,OCL.AX_Annotation_Sheet!$435:$436,OCL.AX_Annotation_Sheet!$438:$438,OCL.AX_Annotation_Sheet!$440:$440,OCL.AX_Annotation_Sheet!$448:$448,OCL.AX_Annotation_Sheet!$451:$453</definedName>
    <definedName name="A_ALL_KEYWORDS_TYPE_Vector_ISSR_208017981" localSheetId="3">OCL.AX_Annotation_Sheet!$2:$3,OCL.AX_Annotation_Sheet!$14:$33,OCL.AX_Annotation_Sheet!$35:$58,OCL.AX_Annotation_Sheet!$60:$70,OCL.AX_Annotation_Sheet!$73:$104,OCL.AX_Annotation_Sheet!$106:$138,OCL.AX_Annotation_Sheet!$140:$157,OCL.AX_Annotation_Sheet!$159:$176,OCL.AX_Annotation_Sheet!$178:$191,OCL.AX_Annotation_Sheet!$193:$203,OCL.AX_Annotation_Sheet!$205:$205,OCL.AX_Annotation_Sheet!$207:$210,OCL.AX_Annotation_Sheet!$213:$214,OCL.AX_Annotation_Sheet!$216:$273,OCL.AX_Annotation_Sheet!$275:$276,OCL.AX_Annotation_Sheet!$278:$288,OCL.AX_Annotation_Sheet!$290:$299,OCL.AX_Annotation_Sheet!$301:$304</definedName>
    <definedName name="A_ALL_OCL.AX">OCL.AX_Annotation_Sheet!$A$1:$AO$453</definedName>
    <definedName name="A_ALL_PERIODS_OCL.AX" localSheetId="3">OCL.AX_Annotation_Sheet!$F$1:$AO$1</definedName>
    <definedName name="A_ALL_SECTION_KEYWORDS_EQTY_200019506_1314" localSheetId="3">OCL.AX_Annotation_Sheet!$C$433</definedName>
    <definedName name="A_ALL_SECTION_KEYWORDS_EQTY_200019506_1316A" localSheetId="3">OCL.AX_Annotation_Sheet!$C$354:$C$373</definedName>
    <definedName name="A_ALL_SECTION_KEYWORDS_EQTY_200019506_1316B" localSheetId="3">OCL.AX_Annotation_Sheet!$C$393:$C$428</definedName>
    <definedName name="A_ALL_SECTION_KEYWORDS_EQTY_200019506_1316C" localSheetId="3">OCL.AX_Annotation_Sheet!$C$435:$C$436</definedName>
    <definedName name="A_ALL_SECTION_KEYWORDS_EQTY_200019506_1316D" localSheetId="3">OCL.AX_Annotation_Sheet!$C$440</definedName>
    <definedName name="A_ALL_SECTION_KEYWORDS_EQTY_200019506_1316E" localSheetId="3">OCL.AX_Annotation_Sheet!$C$448:$C$453</definedName>
    <definedName name="A_ALL_SECTION_KEYWORDS_EQTY_200019506_131E" localSheetId="3">OCL.AX_Annotation_Sheet!$C$438</definedName>
    <definedName name="A_ALL_SECTION_KEYWORDS_EQTY_200019506_131J" localSheetId="3">OCL.AX_Annotation_Sheet!$C$442</definedName>
    <definedName name="A_ALL_SECTION_KEYWORDS_EQTY_200019506_131O" localSheetId="3">OCL.AX_Annotation_Sheet!$C$444:$C$446</definedName>
    <definedName name="A_ALL_SECTION_KEYWORDS_EQTY_200019506_13A" localSheetId="3">OCL.AX_Annotation_Sheet!$C$314:$C$335</definedName>
    <definedName name="A_ALL_SECTION_KEYWORDS_EQTY_200019506_13K" localSheetId="3">OCL.AX_Annotation_Sheet!$C$337:$C$352</definedName>
    <definedName name="A_ALL_SECTION_KEYWORDS_EQTY_200019506_13U" localSheetId="3">OCL.AX_Annotation_Sheet!$C$375:$C$391</definedName>
    <definedName name="A_ALL_SECTION_KEYWORDS_EQTY_200019506_13V" localSheetId="3">OCL.AX_Annotation_Sheet!$C$430:$C$431</definedName>
    <definedName name="A_ALL_SECTION_KEYWORDS_EQTY_200019506_Reference_Data" localSheetId="3">OCL.AX_Annotation_Sheet!$C$307:$C$312</definedName>
    <definedName name="A_ALL_SECTION_KEYWORDS_ISSR_208017981_1314" localSheetId="3">OCL.AX_Annotation_Sheet!$C$73:$C$104</definedName>
    <definedName name="A_ALL_SECTION_KEYWORDS_ISSR_208017981_13168" localSheetId="3">OCL.AX_Annotation_Sheet!$C$216:$C$273</definedName>
    <definedName name="A_ALL_SECTION_KEYWORDS_ISSR_208017981_1316B" localSheetId="3">OCL.AX_Annotation_Sheet!$C$35:$C$58</definedName>
    <definedName name="A_ALL_SECTION_KEYWORDS_ISSR_208017981_1316C" localSheetId="3">OCL.AX_Annotation_Sheet!$C$106:$C$138</definedName>
    <definedName name="A_ALL_SECTION_KEYWORDS_ISSR_208017981_1316D" localSheetId="3">OCL.AX_Annotation_Sheet!$C$178:$C$191</definedName>
    <definedName name="A_ALL_SECTION_KEYWORDS_ISSR_208017981_1316E" localSheetId="3">OCL.AX_Annotation_Sheet!$C$207:$C$214</definedName>
    <definedName name="A_ALL_SECTION_KEYWORDS_ISSR_208017981_1316T" localSheetId="3">OCL.AX_Annotation_Sheet!$C$275:$C$276</definedName>
    <definedName name="A_ALL_SECTION_KEYWORDS_ISSR_208017981_1316U" localSheetId="3">OCL.AX_Annotation_Sheet!$C$278:$C$288</definedName>
    <definedName name="A_ALL_SECTION_KEYWORDS_ISSR_208017981_1319" localSheetId="3">OCL.AX_Annotation_Sheet!$C$140:$C$157</definedName>
    <definedName name="A_ALL_SECTION_KEYWORDS_ISSR_208017981_131E" localSheetId="3">OCL.AX_Annotation_Sheet!$C$159:$C$176</definedName>
    <definedName name="A_ALL_SECTION_KEYWORDS_ISSR_208017981_131J" localSheetId="3">OCL.AX_Annotation_Sheet!$C$193:$C$203</definedName>
    <definedName name="A_ALL_SECTION_KEYWORDS_ISSR_208017981_131O" localSheetId="3">OCL.AX_Annotation_Sheet!$C$205</definedName>
    <definedName name="A_ALL_SECTION_KEYWORDS_ISSR_208017981_136E" localSheetId="3">OCL.AX_Annotation_Sheet!$C$290:$C$299</definedName>
    <definedName name="A_ALL_SECTION_KEYWORDS_ISSR_208017981_136J" localSheetId="3">OCL.AX_Annotation_Sheet!$C$301:$C$304</definedName>
    <definedName name="A_ALL_SECTION_KEYWORDS_ISSR_208017981_13A" localSheetId="3">OCL.AX_Annotation_Sheet!$C$9:$C$12</definedName>
    <definedName name="A_ALL_SECTION_KEYWORDS_ISSR_208017981_13U" localSheetId="3">OCL.AX_Annotation_Sheet!$C$14:$C$33</definedName>
    <definedName name="A_ALL_SECTION_KEYWORDS_ISSR_208017981_13V" localSheetId="3">OCL.AX_Annotation_Sheet!$C$60:$C$71</definedName>
    <definedName name="A_ALL_SECTION_KEYWORDS_ISSR_208017981_Reference_Data" localSheetId="3">OCL.AX_Annotation_Sheet!$C$6:$C$7</definedName>
    <definedName name="A_ALL_SECTIONS_EQTY_200019506" localSheetId="3">OCL.AX_Annotation_Sheet!$306:$306,OCL.AX_Annotation_Sheet!$313:$313,OCL.AX_Annotation_Sheet!$336:$336,OCL.AX_Annotation_Sheet!$353:$353,OCL.AX_Annotation_Sheet!$374:$374,OCL.AX_Annotation_Sheet!$392:$392,OCL.AX_Annotation_Sheet!$429:$429,OCL.AX_Annotation_Sheet!$432:$432,OCL.AX_Annotation_Sheet!$434:$434,OCL.AX_Annotation_Sheet!$437:$437,OCL.AX_Annotation_Sheet!$439:$439,OCL.AX_Annotation_Sheet!$441:$441,OCL.AX_Annotation_Sheet!$443:$443,OCL.AX_Annotation_Sheet!$447:$447</definedName>
    <definedName name="A_ALL_SECTIONS_ISSR_208017981" localSheetId="3">OCL.AX_Annotation_Sheet!$5:$5,OCL.AX_Annotation_Sheet!$8:$8,OCL.AX_Annotation_Sheet!$13:$13,OCL.AX_Annotation_Sheet!$34:$34,OCL.AX_Annotation_Sheet!$59:$59,OCL.AX_Annotation_Sheet!$72:$72,OCL.AX_Annotation_Sheet!$105:$105,OCL.AX_Annotation_Sheet!$139:$139,OCL.AX_Annotation_Sheet!$158:$158,OCL.AX_Annotation_Sheet!$177:$177,OCL.AX_Annotation_Sheet!$192:$192,OCL.AX_Annotation_Sheet!$204:$204,OCL.AX_Annotation_Sheet!$206:$206,OCL.AX_Annotation_Sheet!$215:$215,OCL.AX_Annotation_Sheet!$274:$274,OCL.AX_Annotation_Sheet!$277:$277,OCL.AX_Annotation_Sheet!$289:$289,OCL.AX_Annotation_Sheet!$300:$300</definedName>
    <definedName name="A_CURRENCY_EQTY_200019506_PRI" localSheetId="3">OCL.AX_Annotation_Sheet!$E$311</definedName>
    <definedName name="A_CURRENCY_EQTY_200019506_PUB" localSheetId="3">OCL.AX_Annotation_Sheet!$E$310</definedName>
    <definedName name="A_CURRENCY_EQTY_200019506_REP" localSheetId="3">OCL.AX_Annotation_Sheet!$E$312</definedName>
    <definedName name="A_CURRENCY_ISSR_208017981_REP" localSheetId="3">OCL.AX_Annotation_Sheet!$E$7</definedName>
    <definedName name="A_ENTITY_DATA_EQTY_200019506" localSheetId="3">OCL.AX_Annotation_Sheet!$E$306:$AO$453</definedName>
    <definedName name="A_ENTITY_DATA_ISSR_208017981" localSheetId="3">OCL.AX_Annotation_Sheet!$E$5:$AO$304</definedName>
    <definedName name="A_KEYWORD_EQTY_200019506_ANZ_LIST" localSheetId="3">OCL.AX_Annotation_Sheet!$314:$314</definedName>
    <definedName name="A_KEYWORD_EQTY_200019506_ASSET_SALES_GAIN_LOSS" localSheetId="3">OCL.AX_Annotation_Sheet!$404:$404</definedName>
    <definedName name="A_KEYWORD_EQTY_200019506_BASE_CASE_VAL_DCF" localSheetId="3">OCL.AX_Annotation_Sheet!$366:$366</definedName>
    <definedName name="A_KEYWORD_EQTY_200019506_BENEFITS_TAX_LOSSES" localSheetId="3">OCL.AX_Annotation_Sheet!$448:$448</definedName>
    <definedName name="A_KEYWORD_EQTY_200019506_BETA_ANALYST" localSheetId="3">OCL.AX_Annotation_Sheet!$444:$444</definedName>
    <definedName name="A_KEYWORD_EQTY_200019506_BVPS" localSheetId="3">OCL.AX_Annotation_Sheet!$433:$433</definedName>
    <definedName name="A_KEYWORD_EQTY_200019506_BVPS_PUB" localSheetId="3">OCL.AX_Annotation_Sheet!$337:$337</definedName>
    <definedName name="A_KEYWORD_EQTY_200019506_CATALYST1_DATE" localSheetId="3">OCL.AX_Annotation_Sheet!$324:$324</definedName>
    <definedName name="A_KEYWORD_EQTY_200019506_CATALYST1_EVENT" localSheetId="3">OCL.AX_Annotation_Sheet!$325:$325</definedName>
    <definedName name="A_KEYWORD_EQTY_200019506_CATALYST2_DATE" localSheetId="3">OCL.AX_Annotation_Sheet!$326:$326</definedName>
    <definedName name="A_KEYWORD_EQTY_200019506_CATALYST2_EVENT" localSheetId="3">OCL.AX_Annotation_Sheet!$327:$327</definedName>
    <definedName name="A_KEYWORD_EQTY_200019506_CATALYST3_DATE" localSheetId="3">OCL.AX_Annotation_Sheet!$328:$328</definedName>
    <definedName name="A_KEYWORD_EQTY_200019506_CATALYST3_EVENT" localSheetId="3">OCL.AX_Annotation_Sheet!$329:$329</definedName>
    <definedName name="A_KEYWORD_EQTY_200019506_CATALYST4_DATE" localSheetId="3">OCL.AX_Annotation_Sheet!$330:$330</definedName>
    <definedName name="A_KEYWORD_EQTY_200019506_CATALYST4_EVENT" localSheetId="3">OCL.AX_Annotation_Sheet!$331:$331</definedName>
    <definedName name="A_KEYWORD_EQTY_200019506_CATALYST5_DATE" localSheetId="3">OCL.AX_Annotation_Sheet!$332:$332</definedName>
    <definedName name="A_KEYWORD_EQTY_200019506_CATALYST5_EVENT" localSheetId="3">OCL.AX_Annotation_Sheet!$333:$333</definedName>
    <definedName name="A_KEYWORD_EQTY_200019506_CEEE_NDEBT" localSheetId="3">OCL.AX_Annotation_Sheet!$345:$345</definedName>
    <definedName name="A_KEYWORD_EQTY_200019506_CF_NI_PRE_PREF" localSheetId="3">OCL.AX_Annotation_Sheet!$438:$438</definedName>
    <definedName name="A_KEYWORD_EQTY_200019506_CF_OPS_SHARE_NZ" localSheetId="3">OCL.AX_Annotation_Sheet!$440:$440</definedName>
    <definedName name="A_KEYWORD_EQTY_200019506_COMMON_DIV_PAID" localSheetId="3">OCL.AX_Annotation_Sheet!$386:$386</definedName>
    <definedName name="A_KEYWORD_EQTY_200019506_CONVERTIBLE_NOTES" localSheetId="3">OCL.AX_Annotation_Sheet!$421:$421</definedName>
    <definedName name="A_KEYWORD_EQTY_200019506_COST_OF_EQUITY_DCF" localSheetId="3">OCL.AX_Annotation_Sheet!$355:$355</definedName>
    <definedName name="A_KEYWORD_EQTY_200019506_CUM_PRESENT_VAL_CASH_FLOWS_DCF" localSheetId="3">OCL.AX_Annotation_Sheet!$360:$360</definedName>
    <definedName name="A_KEYWORD_EQTY_200019506_CURRENCY_ISO" localSheetId="3">OCL.AX_Annotation_Sheet!$312:$312</definedName>
    <definedName name="A_KEYWORD_EQTY_200019506_DCF_CASH_FLOW" localSheetId="3">OCL.AX_Annotation_Sheet!$442:$442</definedName>
    <definedName name="A_KEYWORD_EQTY_200019506_DEBT_EQUITY" localSheetId="3">OCL.AX_Annotation_Sheet!$373:$373</definedName>
    <definedName name="A_KEYWORD_EQTY_200019506_DEBT_RISK_MARGIN_DCF" localSheetId="3">OCL.AX_Annotation_Sheet!$356:$356</definedName>
    <definedName name="A_KEYWORD_EQTY_200019506_DILUTE_SHARES" localSheetId="3">OCL.AX_Annotation_Sheet!$389:$389</definedName>
    <definedName name="A_KEYWORD_EQTY_200019506_DISCOUNT_FACTOR_DCF" localSheetId="3">OCL.AX_Annotation_Sheet!$358:$358</definedName>
    <definedName name="A_KEYWORD_EQTY_200019506_DPS" localSheetId="3">OCL.AX_Annotation_Sheet!$387:$387</definedName>
    <definedName name="A_KEYWORD_EQTY_200019506_DPS_PUB" localSheetId="3">OCL.AX_Annotation_Sheet!$338:$338</definedName>
    <definedName name="A_KEYWORD_EQTY_200019506_DPS_SPECIAL_PUB" localSheetId="3">OCL.AX_Annotation_Sheet!$339:$339</definedName>
    <definedName name="A_KEYWORD_EQTY_200019506_EBIT_PUB" localSheetId="3">OCL.AX_Annotation_Sheet!$347:$347</definedName>
    <definedName name="A_KEYWORD_EQTY_200019506_EBITDA_PUB" localSheetId="3">OCL.AX_Annotation_Sheet!$340:$340</definedName>
    <definedName name="A_KEYWORD_EQTY_200019506_EBITDAF" localSheetId="3">OCL.AX_Annotation_Sheet!$407:$407</definedName>
    <definedName name="A_KEYWORD_EQTY_200019506_EFPO" localSheetId="3">OCL.AX_Annotation_Sheet!$427:$427</definedName>
    <definedName name="A_KEYWORD_EQTY_200019506_EFPOWA" localSheetId="3">OCL.AX_Annotation_Sheet!$428:$428</definedName>
    <definedName name="A_KEYWORD_EQTY_200019506_EPS" localSheetId="3">OCL.AX_Annotation_Sheet!$382:$382</definedName>
    <definedName name="A_KEYWORD_EQTY_200019506_EPS_CONS_PUB" localSheetId="3">OCL.AX_Annotation_Sheet!$351:$351</definedName>
    <definedName name="A_KEYWORD_EQTY_200019506_EPS_FUL_DIL" localSheetId="3">OCL.AX_Annotation_Sheet!$383:$383</definedName>
    <definedName name="A_KEYWORD_EQTY_200019506_EPS_POST_BASIC" localSheetId="3">OCL.AX_Annotation_Sheet!$384:$384</definedName>
    <definedName name="A_KEYWORD_EQTY_200019506_EPS_PRE_GWILL" localSheetId="3">OCL.AX_Annotation_Sheet!$409:$409</definedName>
    <definedName name="A_KEYWORD_EQTY_200019506_EPS_PUB" localSheetId="3">OCL.AX_Annotation_Sheet!$341:$341</definedName>
    <definedName name="A_KEYWORD_EQTY_200019506_EPS_REPORTED" localSheetId="3">OCL.AX_Annotation_Sheet!$410:$410</definedName>
    <definedName name="A_KEYWORD_EQTY_200019506_EQ_PUB" localSheetId="3">OCL.AX_Annotation_Sheet!$350:$350</definedName>
    <definedName name="A_KEYWORD_EQTY_200019506_EQUITY_VALUE_DCF" localSheetId="3">OCL.AX_Annotation_Sheet!$364:$364</definedName>
    <definedName name="A_KEYWORD_EQTY_200019506_EV_ADJ_PUB" localSheetId="3">OCL.AX_Annotation_Sheet!$342:$342</definedName>
    <definedName name="A_KEYWORD_EQTY_200019506_FIN_INSTRUMENT_HEDGE_POST_TAX" localSheetId="3">OCL.AX_Annotation_Sheet!$397:$397</definedName>
    <definedName name="A_KEYWORD_EQTY_200019506_FINAL_DIV_AMOUNT" localSheetId="3">OCL.AX_Annotation_Sheet!$417:$417</definedName>
    <definedName name="A_KEYWORD_EQTY_200019506_FINAL_DIV_EXDATE" localSheetId="3">OCL.AX_Annotation_Sheet!$418:$418</definedName>
    <definedName name="A_KEYWORD_EQTY_200019506_FINAL_DIV_FRANK" localSheetId="3">OCL.AX_Annotation_Sheet!$419:$419</definedName>
    <definedName name="A_KEYWORD_EQTY_200019506_FINAL_DIV_TAXRATE" localSheetId="3">OCL.AX_Annotation_Sheet!$420:$420</definedName>
    <definedName name="A_KEYWORD_EQTY_200019506_FOREIGN_EXCHANGE_GAIN_LOSS" localSheetId="3">OCL.AX_Annotation_Sheet!$403:$403</definedName>
    <definedName name="A_KEYWORD_EQTY_200019506_FOREIGN_HOLDNG" localSheetId="3">OCL.AX_Annotation_Sheet!$323:$323</definedName>
    <definedName name="A_KEYWORD_EQTY_200019506_FRANK_TAX_RATE" localSheetId="3">OCL.AX_Annotation_Sheet!$411:$411</definedName>
    <definedName name="A_KEYWORD_EQTY_200019506_FRANKING" localSheetId="3">OCL.AX_Annotation_Sheet!$391:$391</definedName>
    <definedName name="A_KEYWORD_EQTY_200019506_FRANKING_ANZPUB" localSheetId="3">OCL.AX_Annotation_Sheet!$371:$371</definedName>
    <definedName name="A_KEYWORD_EQTY_200019506_FRANKING_SPECIAL_ANZPUB" localSheetId="3">OCL.AX_Annotation_Sheet!$372:$372</definedName>
    <definedName name="A_KEYWORD_EQTY_200019506_FREE_FLOAT" localSheetId="3">OCL.AX_Annotation_Sheet!$322:$322</definedName>
    <definedName name="A_KEYWORD_EQTY_200019506_FULLY_DIL_EPS" localSheetId="3">OCL.AX_Annotation_Sheet!$385:$385</definedName>
    <definedName name="A_KEYWORD_EQTY_200019506_GWILL_ASSET_IMP_CHG_POST_TAX" localSheetId="3">OCL.AX_Annotation_Sheet!$395:$395</definedName>
    <definedName name="A_KEYWORD_EQTY_200019506_IMP_CREDITS_PER_SHARE_DCF" localSheetId="3">OCL.AX_Annotation_Sheet!$365:$365</definedName>
    <definedName name="A_KEYWORD_EQTY_200019506_INC_MINORITY" localSheetId="3">OCL.AX_Annotation_Sheet!$376:$376</definedName>
    <definedName name="A_KEYWORD_EQTY_200019506_INCTAX_PL_ON_AB" localSheetId="3">OCL.AX_Annotation_Sheet!$394:$394</definedName>
    <definedName name="A_KEYWORD_EQTY_200019506_INCTAX_PL_POST_AB" localSheetId="3">OCL.AX_Annotation_Sheet!$400:$400</definedName>
    <definedName name="A_KEYWORD_EQTY_200019506_INT_DIV_AMOUNT" localSheetId="3">OCL.AX_Annotation_Sheet!$413:$413</definedName>
    <definedName name="A_KEYWORD_EQTY_200019506_INT_DIV_EXDATE" localSheetId="3">OCL.AX_Annotation_Sheet!$414:$414</definedName>
    <definedName name="A_KEYWORD_EQTY_200019506_INT_DIV_FRANK" localSheetId="3">OCL.AX_Annotation_Sheet!$415:$415</definedName>
    <definedName name="A_KEYWORD_EQTY_200019506_INT_DIV_TAXRATE" localSheetId="3">OCL.AX_Annotation_Sheet!$416:$416</definedName>
    <definedName name="A_KEYWORD_EQTY_200019506_Interim_Type" localSheetId="3">OCL.AX_Annotation_Sheet!$309:$309</definedName>
    <definedName name="A_KEYWORD_EQTY_200019506_INTRINSIC_PER_SHARE_VALUE_DCF" localSheetId="3">OCL.AX_Annotation_Sheet!$368:$368</definedName>
    <definedName name="A_KEYWORD_EQTY_200019506_LEGAL_RATING" localSheetId="3">OCL.AX_Annotation_Sheet!$316:$316</definedName>
    <definedName name="A_KEYWORD_EQTY_200019506_MARGIN_TAX_RATE" localSheetId="3">OCL.AX_Annotation_Sheet!$430:$430</definedName>
    <definedName name="A_KEYWORD_EQTY_200019506_MARKET_VALUE_OF_INVESTMENTS_DCF" localSheetId="3">OCL.AX_Annotation_Sheet!$362:$362</definedName>
    <definedName name="A_KEYWORD_EQTY_200019506_MKT_EQ_RISK_PREM" localSheetId="3">OCL.AX_Annotation_Sheet!$445:$445</definedName>
    <definedName name="A_KEYWORD_EQTY_200019506_NET_DEBT_EX_LEASES_PUB" localSheetId="3">OCL.AX_Annotation_Sheet!$344:$344</definedName>
    <definedName name="A_KEYWORD_EQTY_200019506_NET_DEBT_NET_CASH_DCF" localSheetId="3">OCL.AX_Annotation_Sheet!$363:$363</definedName>
    <definedName name="A_KEYWORD_EQTY_200019506_NET_DEBT_PUB" localSheetId="3">OCL.AX_Annotation_Sheet!$343:$343</definedName>
    <definedName name="A_KEYWORD_EQTY_200019506_NET_EARNING" localSheetId="3">OCL.AX_Annotation_Sheet!$379:$379</definedName>
    <definedName name="A_KEYWORD_EQTY_200019506_NET_INC" localSheetId="3">OCL.AX_Annotation_Sheet!$381:$381</definedName>
    <definedName name="A_KEYWORD_EQTY_200019506_NET_PROFIT" localSheetId="3">OCL.AX_Annotation_Sheet!$402:$402</definedName>
    <definedName name="A_KEYWORD_EQTY_200019506_NET_TANGIBLE_ASSETS_ADJUSTED_NZ" localSheetId="3">OCL.AX_Annotation_Sheet!$436:$436</definedName>
    <definedName name="A_KEYWORD_EQTY_200019506_NI_CONS" localSheetId="3">OCL.AX_Annotation_Sheet!$431:$431</definedName>
    <definedName name="A_KEYWORD_EQTY_200019506_NI_PRE_PREF" localSheetId="3">OCL.AX_Annotation_Sheet!$377:$377</definedName>
    <definedName name="A_KEYWORD_EQTY_200019506_NI_PUB" localSheetId="3">OCL.AX_Annotation_Sheet!$346:$346</definedName>
    <definedName name="A_KEYWORD_EQTY_200019506_NI_REPT_PUB" localSheetId="3">OCL.AX_Annotation_Sheet!$370:$370</definedName>
    <definedName name="A_KEYWORD_EQTY_200019506_NON_OP_ADD" localSheetId="3">OCL.AX_Annotation_Sheet!$390:$390</definedName>
    <definedName name="A_KEYWORD_EQTY_200019506_NOPAT" localSheetId="3">OCL.AX_Annotation_Sheet!$452:$452</definedName>
    <definedName name="A_KEYWORD_EQTY_200019506_NOT_IN_USE" localSheetId="3">OCL.AX_Annotation_Sheet!$315:$315</definedName>
    <definedName name="A_KEYWORD_EQTY_200019506_NTA_PER_SHARE" localSheetId="3">OCL.AX_Annotation_Sheet!$352:$352</definedName>
    <definedName name="A_KEYWORD_EQTY_200019506_NUM_SH" localSheetId="3">OCL.AX_Annotation_Sheet!$321:$321</definedName>
    <definedName name="A_KEYWORD_EQTY_200019506_NZ_FRANKING" localSheetId="3">OCL.AX_Annotation_Sheet!$412:$412</definedName>
    <definedName name="A_KEYWORD_EQTY_200019506_OPPL_ATAX_POST_AB" localSheetId="3">OCL.AX_Annotation_Sheet!$401:$401</definedName>
    <definedName name="A_KEYWORD_EQTY_200019506_OPPL_ATAX_PRE_AB" localSheetId="3">OCL.AX_Annotation_Sheet!$393:$393</definedName>
    <definedName name="A_KEYWORD_EQTY_200019506_OPTIONS" localSheetId="3">OCL.AX_Annotation_Sheet!$424:$424</definedName>
    <definedName name="A_KEYWORD_EQTY_200019506_OTH_ASSET_IMPAIR_CHG_POST_TAX" localSheetId="3">OCL.AX_Annotation_Sheet!$396:$396</definedName>
    <definedName name="A_KEYWORD_EQTY_200019506_OTHER_ABNORMAL_ITEMS" localSheetId="3">OCL.AX_Annotation_Sheet!$406:$406</definedName>
    <definedName name="A_KEYWORD_EQTY_200019506_OTHER_CAPITAL" localSheetId="3">OCL.AX_Annotation_Sheet!$425:$425</definedName>
    <definedName name="A_KEYWORD_EQTY_200019506_OTHER_IFRS_ADJUST_POST_TAX" localSheetId="3">OCL.AX_Annotation_Sheet!$398:$398</definedName>
    <definedName name="A_KEYWORD_EQTY_200019506_PARTLY_PAID_SHARES" localSheetId="3">OCL.AX_Annotation_Sheet!$423:$423</definedName>
    <definedName name="A_KEYWORD_EQTY_200019506_PERPETUITY_GROWTH_RATE_DCF" localSheetId="3">OCL.AX_Annotation_Sheet!$357:$357</definedName>
    <definedName name="A_KEYWORD_EQTY_200019506_PREF_DIV" localSheetId="3">OCL.AX_Annotation_Sheet!$378:$378</definedName>
    <definedName name="A_KEYWORD_EQTY_200019506_PREFERENCE_SHARES" localSheetId="3">OCL.AX_Annotation_Sheet!$422:$422</definedName>
    <definedName name="A_KEYWORD_EQTY_200019506_PRESENT_VALUE_OF_CASH_FLOW_DCF" localSheetId="3">OCL.AX_Annotation_Sheet!$359:$359</definedName>
    <definedName name="A_KEYWORD_EQTY_200019506_PRI_TARG_METH" localSheetId="3">OCL.AX_Annotation_Sheet!$335:$335</definedName>
    <definedName name="A_KEYWORD_EQTY_200019506_PRI_TARG_MULT" localSheetId="3">OCL.AX_Annotation_Sheet!$334:$334</definedName>
    <definedName name="A_KEYWORD_EQTY_200019506_PRICE_CURRENCY_ISO" localSheetId="3">OCL.AX_Annotation_Sheet!$311:$311</definedName>
    <definedName name="A_KEYWORD_EQTY_200019506_PROF_ADJUST_EPS" localSheetId="3">OCL.AX_Annotation_Sheet!$408:$408</definedName>
    <definedName name="A_KEYWORD_EQTY_200019506_PROV_INC_TAX" localSheetId="3">OCL.AX_Annotation_Sheet!$375:$375</definedName>
    <definedName name="A_KEYWORD_EQTY_200019506_PTP_PUB" localSheetId="3">OCL.AX_Annotation_Sheet!$348:$348</definedName>
    <definedName name="A_KEYWORD_EQTY_200019506_PUB_CURRENCY_ISO" localSheetId="3">OCL.AX_Annotation_Sheet!$310:$310</definedName>
    <definedName name="A_KEYWORD_EQTY_200019506_RESTRUC_COSTS" localSheetId="3">OCL.AX_Annotation_Sheet!$405:$405</definedName>
    <definedName name="A_KEYWORD_EQTY_200019506_REVS_PUB" localSheetId="3">OCL.AX_Annotation_Sheet!$349:$349</definedName>
    <definedName name="A_KEYWORD_EQTY_200019506_RISK_ADJ_OPTION_VALUE_DCF" localSheetId="3">OCL.AX_Annotation_Sheet!$367:$367</definedName>
    <definedName name="A_KEYWORD_EQTY_200019506_RISK_FR_RATE" localSheetId="3">OCL.AX_Annotation_Sheet!$446:$446</definedName>
    <definedName name="A_KEYWORD_EQTY_200019506_RISK_TO_EARNINGS" localSheetId="3">OCL.AX_Annotation_Sheet!$354:$354</definedName>
    <definedName name="A_KEYWORD_EQTY_200019506_ROCE_ANZ" localSheetId="3">OCL.AX_Annotation_Sheet!$453:$453</definedName>
    <definedName name="A_KEYWORD_EQTY_200019506_Security_Name" localSheetId="3">OCL.AX_Annotation_Sheet!$308:$308</definedName>
    <definedName name="A_KEYWORD_EQTY_200019506_SH" localSheetId="3">OCL.AX_Annotation_Sheet!$388:$388</definedName>
    <definedName name="A_KEYWORD_EQTY_200019506_SHOLDERS_EQUITY_MBRS" localSheetId="3">OCL.AX_Annotation_Sheet!$435:$435</definedName>
    <definedName name="A_KEYWORD_EQTY_200019506_STD_FREE_OP_CASH_FLOW_DCF" localSheetId="3">OCL.AX_Annotation_Sheet!$451:$451</definedName>
    <definedName name="A_KEYWORD_EQTY_200019506_TARGET_PRICE" localSheetId="3">OCL.AX_Annotation_Sheet!$317:$317</definedName>
    <definedName name="A_KEYWORD_EQTY_200019506_TARGET_PRICE_FUNDAMENTAL" localSheetId="3">OCL.AX_Annotation_Sheet!$319:$319</definedName>
    <definedName name="A_KEYWORD_EQTY_200019506_TARGET_PRICE_MA" localSheetId="3">OCL.AX_Annotation_Sheet!$320:$320</definedName>
    <definedName name="A_KEYWORD_EQTY_200019506_TAX_EXC" localSheetId="3">OCL.AX_Annotation_Sheet!$380:$380</definedName>
    <definedName name="A_KEYWORD_EQTY_200019506_TAX_RATE_DCF" localSheetId="3">OCL.AX_Annotation_Sheet!$449:$449</definedName>
    <definedName name="A_KEYWORD_EQTY_200019506_TERMINAL_YEAR_DCF" localSheetId="3">OCL.AX_Annotation_Sheet!$361:$361</definedName>
    <definedName name="A_KEYWORD_EQTY_200019506_Ticker" localSheetId="3">OCL.AX_Annotation_Sheet!$307:$307</definedName>
    <definedName name="A_KEYWORD_EQTY_200019506_TOTAL_CAPITAL" localSheetId="3">OCL.AX_Annotation_Sheet!$426:$426</definedName>
    <definedName name="A_KEYWORD_EQTY_200019506_TOTAL_IFRS_ADJUST_POST_TAX" localSheetId="3">OCL.AX_Annotation_Sheet!$399:$399</definedName>
    <definedName name="A_KEYWORD_EQTY_200019506_TP_PERIOD" localSheetId="3">OCL.AX_Annotation_Sheet!$318:$318</definedName>
    <definedName name="A_KEYWORD_EQTY_200019506_WACC_DCF" localSheetId="3">OCL.AX_Annotation_Sheet!$450:$450</definedName>
    <definedName name="A_KEYWORD_EQTY_200019506_YEAR_END_CAPITAL_EVA" localSheetId="3">OCL.AX_Annotation_Sheet!$369:$369</definedName>
    <definedName name="A_KEYWORD_ISSR_208017981_ACC_AMORT" localSheetId="3">OCL.AX_Annotation_Sheet!$82:$82</definedName>
    <definedName name="A_KEYWORD_ISSR_208017981_ACC_DDA" localSheetId="3">OCL.AX_Annotation_Sheet!$79:$79</definedName>
    <definedName name="A_KEYWORD_ISSR_208017981_ACC_END_DATE" localSheetId="3">OCL.AX_Annotation_Sheet!$3:$3</definedName>
    <definedName name="A_KEYWORD_ISSR_208017981_ACC_PAY_GQ" localSheetId="3">OCL.AX_Annotation_Sheet!$88:$88</definedName>
    <definedName name="A_KEYWORD_ISSR_208017981_ACCESS_CONNECTION" localSheetId="3">OCL.AX_Annotation_Sheet!$39:$39</definedName>
    <definedName name="A_KEYWORD_ISSR_208017981_ACQ" localSheetId="3">OCL.AX_Annotation_Sheet!$165:$165</definedName>
    <definedName name="A_KEYWORD_ISSR_208017981_ADJ_UNF_PENS_GOOD" localSheetId="3">OCL.AX_Annotation_Sheet!$153:$153</definedName>
    <definedName name="A_KEYWORD_ISSR_208017981_AMORT_OF_INTANGIBLES" localSheetId="3">OCL.AX_Annotation_Sheet!$44:$44</definedName>
    <definedName name="A_KEYWORD_ISSR_208017981_AMORT_OF_INTANGIBLES_ADJ" localSheetId="3">OCL.AX_Annotation_Sheet!$45:$45</definedName>
    <definedName name="A_KEYWORD_ISSR_208017981_ASSOC_JV_ADDBK" localSheetId="3">OCL.AX_Annotation_Sheet!$193:$193</definedName>
    <definedName name="A_KEYWORD_ISSR_208017981_ASSOCIATE" localSheetId="3">OCL.AX_Annotation_Sheet!$30:$30</definedName>
    <definedName name="A_KEYWORD_ISSR_208017981_ASSOCIATE_OP" localSheetId="3">OCL.AX_Annotation_Sheet!$64:$64</definedName>
    <definedName name="A_KEYWORD_ISSR_208017981_AVG_CAPITAL_EMPLOYED_ADJ" localSheetId="3">OCL.AX_Annotation_Sheet!$214:$214</definedName>
    <definedName name="A_KEYWORD_ISSR_208017981_BAL_MINO_INT" localSheetId="3">OCL.AX_Annotation_Sheet!$156:$156</definedName>
    <definedName name="A_KEYWORD_ISSR_208017981_BAL_OF_FRANK_CREDITS" localSheetId="3">OCL.AX_Annotation_Sheet!$207:$207</definedName>
    <definedName name="A_KEYWORD_ISSR_208017981_BANK_ODRAFT" localSheetId="3">OCL.AX_Annotation_Sheet!$125:$125</definedName>
    <definedName name="A_KEYWORD_ISSR_208017981_BORROWINGS" localSheetId="3">OCL.AX_Annotation_Sheet!$126:$126</definedName>
    <definedName name="A_KEYWORD_ISSR_208017981_CAP_LEASES" localSheetId="3">OCL.AX_Annotation_Sheet!$145:$145</definedName>
    <definedName name="A_KEYWORD_ISSR_208017981_CAPEX" localSheetId="3">OCL.AX_Annotation_Sheet!$164:$164</definedName>
    <definedName name="A_KEYWORD_ISSR_208017981_CAPEX_EXPANSION" localSheetId="3">OCL.AX_Annotation_Sheet!$201:$201</definedName>
    <definedName name="A_KEYWORD_ISSR_208017981_CAPEX_MAINTENANCE" localSheetId="3">OCL.AX_Annotation_Sheet!$200:$200</definedName>
    <definedName name="A_KEYWORD_ISSR_208017981_CASH_EQ" localSheetId="3">OCL.AX_Annotation_Sheet!$73:$73</definedName>
    <definedName name="A_KEYWORD_ISSR_208017981_CASH_INT_EXP" localSheetId="3">OCL.AX_Annotation_Sheet!$197:$197</definedName>
    <definedName name="A_KEYWORD_ISSR_208017981_CASH_TAX_EXP" localSheetId="3">OCL.AX_Annotation_Sheet!$198:$198</definedName>
    <definedName name="A_KEYWORD_ISSR_208017981_CF_FIN" localSheetId="3">OCL.AX_Annotation_Sheet!$174:$174</definedName>
    <definedName name="A_KEYWORD_ISSR_208017981_CF_FX" localSheetId="3">OCL.AX_Annotation_Sheet!$175:$175</definedName>
    <definedName name="A_KEYWORD_ISSR_208017981_CF_INC_MINORITY" localSheetId="3">OCL.AX_Annotation_Sheet!$159:$159</definedName>
    <definedName name="A_KEYWORD_ISSR_208017981_CF_INV" localSheetId="3">OCL.AX_Annotation_Sheet!$168:$168</definedName>
    <definedName name="A_KEYWORD_ISSR_208017981_CF_INV_MISC" localSheetId="3">OCL.AX_Annotation_Sheet!$189:$189</definedName>
    <definedName name="A_KEYWORD_ISSR_208017981_CF_OPS" localSheetId="3">OCL.AX_Annotation_Sheet!$163:$163</definedName>
    <definedName name="A_KEYWORD_ISSR_208017981_CF_OPS_MISC" localSheetId="3">OCL.AX_Annotation_Sheet!$181:$181</definedName>
    <definedName name="A_KEYWORD_ISSR_208017981_CHG_LT_DEBT" localSheetId="3">OCL.AX_Annotation_Sheet!$171:$171</definedName>
    <definedName name="A_KEYWORD_ISSR_208017981_CO_BOR_MARGIN" localSheetId="3">OCL.AX_Annotation_Sheet!$149:$149</definedName>
    <definedName name="A_KEYWORD_ISSR_208017981_COGS_PCT_ROW" localSheetId="3">OCL.AX_Annotation_Sheet!$266:$266</definedName>
    <definedName name="A_KEYWORD_ISSR_208017981_COGS_PCT_US" localSheetId="3">OCL.AX_Annotation_Sheet!$265:$265</definedName>
    <definedName name="A_KEYWORD_ISSR_208017981_COST_GD_SD" localSheetId="3">OCL.AX_Annotation_Sheet!$16:$16</definedName>
    <definedName name="A_KEYWORD_ISSR_208017981_COST_OF_DEBT_DCF" localSheetId="3">OCL.AX_Annotation_Sheet!$211:$211</definedName>
    <definedName name="A_KEYWORD_ISSR_208017981_CUR_ASS" localSheetId="3">OCL.AX_Annotation_Sheet!$77:$77</definedName>
    <definedName name="A_KEYWORD_ISSR_208017981_CUR_ASS_MISC" localSheetId="3">OCL.AX_Annotation_Sheet!$109:$109</definedName>
    <definedName name="A_KEYWORD_ISSR_208017981_CUR_LIABS_MISC" localSheetId="3">OCL.AX_Annotation_Sheet!$129:$129</definedName>
    <definedName name="A_KEYWORD_ISSR_208017981_CURRENCY_ISO" localSheetId="3">OCL.AX_Annotation_Sheet!$7:$7</definedName>
    <definedName name="A_KEYWORD_ISSR_208017981_CUSTOMER_RECEIPTS" localSheetId="3">OCL.AX_Annotation_Sheet!$178:$178</definedName>
    <definedName name="A_KEYWORD_ISSR_208017981_DEBT_TO_EQUITY_MKT_VALUES_DCF" localSheetId="3">OCL.AX_Annotation_Sheet!$212:$212</definedName>
    <definedName name="A_KEYWORD_ISSR_208017981_DEBTORS" localSheetId="3">OCL.AX_Annotation_Sheet!$74:$74</definedName>
    <definedName name="A_KEYWORD_ISSR_208017981_DEF_INC_TAX" localSheetId="3">OCL.AX_Annotation_Sheet!$146:$146</definedName>
    <definedName name="A_KEYWORD_ISSR_208017981_DEFINED_BENEFIT_OBLIGATION" localSheetId="3">OCL.AX_Annotation_Sheet!$133:$133</definedName>
    <definedName name="A_KEYWORD_ISSR_208017981_DEFINED_BENEFIT_SURPLUS" localSheetId="3">OCL.AX_Annotation_Sheet!$120:$120</definedName>
    <definedName name="A_KEYWORD_ISSR_208017981_DEPR_AMORT" localSheetId="3">OCL.AX_Annotation_Sheet!$160:$160</definedName>
    <definedName name="A_KEYWORD_ISSR_208017981_DEPR_ROU_ASSETS" localSheetId="3">OCL.AX_Annotation_Sheet!$69:$69</definedName>
    <definedName name="A_KEYWORD_ISSR_208017981_DEPREC" localSheetId="3">OCL.AX_Annotation_Sheet!$24:$24</definedName>
    <definedName name="A_KEYWORD_ISSR_208017981_DIV_PAID" localSheetId="3">OCL.AX_Annotation_Sheet!$169:$169</definedName>
    <definedName name="A_KEYWORD_ISSR_208017981_DIVDS_ASSOC_JV" localSheetId="3">OCL.AX_Annotation_Sheet!$199:$199</definedName>
    <definedName name="A_KEYWORD_ISSR_208017981_DIVDS_PD_MINORITIES" localSheetId="3">OCL.AX_Annotation_Sheet!$203:$203</definedName>
    <definedName name="A_KEYWORD_ISSR_208017981_DIVEST" localSheetId="3">OCL.AX_Annotation_Sheet!$166:$166</definedName>
    <definedName name="A_KEYWORD_ISSR_208017981_DIVIDENDS_RECEIVED" localSheetId="3">OCL.AX_Annotation_Sheet!$35:$35</definedName>
    <definedName name="A_KEYWORD_ISSR_208017981_EBIT" localSheetId="3">OCL.AX_Annotation_Sheet!$26:$26</definedName>
    <definedName name="A_KEYWORD_ISSR_208017981_EBIT_CONSOLIDATED" localSheetId="3">OCL.AX_Annotation_Sheet!$48:$48</definedName>
    <definedName name="A_KEYWORD_ISSR_208017981_EBIT_CONSOLIDATED_PRE_ASSOC" localSheetId="3">OCL.AX_Annotation_Sheet!$47:$47</definedName>
    <definedName name="A_KEYWORD_ISSR_208017981_EBITDA_CALC" localSheetId="3">OCL.AX_Annotation_Sheet!$23:$23</definedName>
    <definedName name="A_KEYWORD_ISSR_208017981_EBITDA_CONSOLIDATED" localSheetId="3">OCL.AX_Annotation_Sheet!$43:$43</definedName>
    <definedName name="A_KEYWORD_ISSR_208017981_EMPLOYEES" localSheetId="3">OCL.AX_Annotation_Sheet!$205:$205</definedName>
    <definedName name="A_KEYWORD_ISSR_208017981_EQ" localSheetId="3">OCL.AX_Annotation_Sheet!$101:$101</definedName>
    <definedName name="A_KEYWORD_ISSR_208017981_EXP_OIL_DERIV_NGLS_PLASTICS" localSheetId="3">OCL.AX_Annotation_Sheet!$276:$276</definedName>
    <definedName name="A_KEYWORD_ISSR_208017981_EXP_OIL_PETRO_FUEL" localSheetId="3">OCL.AX_Annotation_Sheet!$275:$275</definedName>
    <definedName name="A_KEYWORD_ISSR_208017981_FIN_INSTR_HEDGE_CURR_LIABILITY" localSheetId="3">OCL.AX_Annotation_Sheet!$128:$128</definedName>
    <definedName name="A_KEYWORD_ISSR_208017981_FIN_INSTR_HEDGE_CURRENT" localSheetId="3">OCL.AX_Annotation_Sheet!$108:$108</definedName>
    <definedName name="A_KEYWORD_ISSR_208017981_FIN_INSTR_HEDGE_NON_CURR_LIAB" localSheetId="3">OCL.AX_Annotation_Sheet!$134:$134</definedName>
    <definedName name="A_KEYWORD_ISSR_208017981_FIN_INSTR_HEDGE_NON_CURRENT" localSheetId="3">OCL.AX_Annotation_Sheet!$121:$121</definedName>
    <definedName name="A_KEYWORD_ISSR_208017981_FIN_INSTRUMENT_HEDGE_PRE_TAX" localSheetId="3">OCL.AX_Annotation_Sheet!$54:$54</definedName>
    <definedName name="A_KEYWORD_ISSR_208017981_FIX_ASS_INV" localSheetId="3">OCL.AX_Annotation_Sheet!$84:$84</definedName>
    <definedName name="A_KEYWORD_ISSR_208017981_FLOATING_PCT_LOCAL_DEBT" localSheetId="3">OCL.AX_Annotation_Sheet!$142:$142</definedName>
    <definedName name="A_KEYWORD_ISSR_208017981_FLOATING_PCT_LOCAL_DEBT_HEDGED" localSheetId="3">OCL.AX_Annotation_Sheet!$143:$143</definedName>
    <definedName name="A_KEYWORD_ISSR_208017981_FX_AUD_ASSUMPTION" localSheetId="3">OCL.AX_Annotation_Sheet!$12:$12</definedName>
    <definedName name="A_KEYWORD_ISSR_208017981_FX_AUD_NI_SENSITIVITY" localSheetId="3">OCL.AX_Annotation_Sheet!$68:$68</definedName>
    <definedName name="A_KEYWORD_ISSR_208017981_FX_EUR_ASSUMPTION" localSheetId="3">OCL.AX_Annotation_Sheet!$11:$11</definedName>
    <definedName name="A_KEYWORD_ISSR_208017981_FX_EUR_NI_SENSITIVITY" localSheetId="3">OCL.AX_Annotation_Sheet!$67:$67</definedName>
    <definedName name="A_KEYWORD_ISSR_208017981_FX_USD_ASSUMPTION" localSheetId="3">OCL.AX_Annotation_Sheet!$10:$10</definedName>
    <definedName name="A_KEYWORD_ISSR_208017981_FX_USD_NI_SENSITIVITY" localSheetId="3">OCL.AX_Annotation_Sheet!$66:$66</definedName>
    <definedName name="A_KEYWORD_ISSR_208017981_GCI_INFL" localSheetId="3">OCL.AX_Annotation_Sheet!$155:$155</definedName>
    <definedName name="A_KEYWORD_ISSR_208017981_GOODWILL_AMORT" localSheetId="3">OCL.AX_Annotation_Sheet!$25:$25</definedName>
    <definedName name="A_KEYWORD_ISSR_208017981_GOODWILL_NET_AMNT" localSheetId="3">OCL.AX_Annotation_Sheet!$117:$117</definedName>
    <definedName name="A_KEYWORD_ISSR_208017981_GR_FIX_ASS" localSheetId="3">OCL.AX_Annotation_Sheet!$78:$78</definedName>
    <definedName name="A_KEYWORD_ISSR_208017981_GR_INTANG" localSheetId="3">OCL.AX_Annotation_Sheet!$81:$81</definedName>
    <definedName name="A_KEYWORD_ISSR_208017981_GWILL_ASSET_IMPAIR_CHG_PRE_TAX" localSheetId="3">OCL.AX_Annotation_Sheet!$52:$52</definedName>
    <definedName name="A_KEYWORD_ISSR_208017981_INT_EXP_IND" localSheetId="3">OCL.AX_Annotation_Sheet!$28:$28</definedName>
    <definedName name="A_KEYWORD_ISSR_208017981_INT_INC_IND" localSheetId="3">OCL.AX_Annotation_Sheet!$27:$27</definedName>
    <definedName name="A_KEYWORD_ISSR_208017981_INT_OTHERS_RECEIVED" localSheetId="3">OCL.AX_Annotation_Sheet!$180:$180</definedName>
    <definedName name="A_KEYWORD_ISSR_208017981_INV_SECUR" localSheetId="3">OCL.AX_Annotation_Sheet!$85:$85</definedName>
    <definedName name="A_KEYWORD_ISSR_208017981_INVESTMENTS" localSheetId="3">OCL.AX_Annotation_Sheet!$107:$107</definedName>
    <definedName name="A_KEYWORD_ISSR_208017981_Issuer_Name" localSheetId="3">OCL.AX_Annotation_Sheet!$6:$6</definedName>
    <definedName name="A_KEYWORD_ISSR_208017981_LABOUR" localSheetId="3">OCL.AX_Annotation_Sheet!$41:$41</definedName>
    <definedName name="A_KEYWORD_ISSR_208017981_LAND_BUILDINGS" localSheetId="3">OCL.AX_Annotation_Sheet!$114:$114</definedName>
    <definedName name="A_KEYWORD_ISSR_208017981_LEASE_ADOPT" localSheetId="3">OCL.AX_Annotation_Sheet!$71:$71</definedName>
    <definedName name="A_KEYWORD_ISSR_208017981_LEASE_DEEM_DEPR" localSheetId="3">OCL.AX_Annotation_Sheet!$62:$62</definedName>
    <definedName name="A_KEYWORD_ISSR_208017981_LEASE_DEEM_INT" localSheetId="3">OCL.AX_Annotation_Sheet!$61:$61</definedName>
    <definedName name="A_KEYWORD_ISSR_208017981_LEASE_INT_CHG" localSheetId="3">OCL.AX_Annotation_Sheet!$70:$70</definedName>
    <definedName name="A_KEYWORD_ISSR_208017981_LEASE_PAY" localSheetId="3">OCL.AX_Annotation_Sheet!$60:$60</definedName>
    <definedName name="A_KEYWORD_ISSR_208017981_LEASE_PRINCIPAL_CASH" localSheetId="3">OCL.AX_Annotation_Sheet!$172:$172</definedName>
    <definedName name="A_KEYWORD_ISSR_208017981_LOAN_REPAID_OTHER_ENTS" localSheetId="3">OCL.AX_Annotation_Sheet!$188:$188</definedName>
    <definedName name="A_KEYWORD_ISSR_208017981_LOANS_OTHER_ENTITIES" localSheetId="3">OCL.AX_Annotation_Sheet!$187:$187</definedName>
    <definedName name="A_KEYWORD_ISSR_208017981_LT_DEBT" localSheetId="3">OCL.AX_Annotation_Sheet!$93:$93</definedName>
    <definedName name="A_KEYWORD_ISSR_208017981_LT_LEASE_LIAB" localSheetId="3">OCL.AX_Annotation_Sheet!$94:$94</definedName>
    <definedName name="A_KEYWORD_ISSR_208017981_MA_PROB" localSheetId="3">OCL.AX_Annotation_Sheet!$9:$9</definedName>
    <definedName name="A_KEYWORD_ISSR_208017981_MARKETING_ADVERTISNIG" localSheetId="3">OCL.AX_Annotation_Sheet!$38:$38</definedName>
    <definedName name="A_KEYWORD_ISSR_208017981_MINORITIES" localSheetId="3">OCL.AX_Annotation_Sheet!$100:$100</definedName>
    <definedName name="A_KEYWORD_ISSR_208017981_MV_ASSOCIATES" localSheetId="3">OCL.AX_Annotation_Sheet!$147:$147</definedName>
    <definedName name="A_KEYWORD_ISSR_208017981_MV_CONVERTIBLE_NOTES" localSheetId="3">OCL.AX_Annotation_Sheet!$209:$209</definedName>
    <definedName name="A_KEYWORD_ISSR_208017981_MV_NET_OTHER_STAKEHOLDERS" localSheetId="3">OCL.AX_Annotation_Sheet!$208:$208</definedName>
    <definedName name="A_KEYWORD_ISSR_208017981_NCASSET_INVENTORIES" localSheetId="3">OCL.AX_Annotation_Sheet!$113:$113</definedName>
    <definedName name="A_KEYWORD_ISSR_208017981_NCASSET_INVESTMENT" localSheetId="3">OCL.AX_Annotation_Sheet!$112:$112</definedName>
    <definedName name="A_KEYWORD_ISSR_208017981_NCASSET_MISC" localSheetId="3">OCL.AX_Annotation_Sheet!$122:$122</definedName>
    <definedName name="A_KEYWORD_ISSR_208017981_NCASSET_RECEIVABLES" localSheetId="3">OCL.AX_Annotation_Sheet!$111:$111</definedName>
    <definedName name="A_KEYWORD_ISSR_208017981_NCASSET_TRADE_DEBTORS" localSheetId="3">OCL.AX_Annotation_Sheet!$110:$110</definedName>
    <definedName name="A_KEYWORD_ISSR_208017981_NCLIAB_MISC" localSheetId="3">OCL.AX_Annotation_Sheet!$135:$135</definedName>
    <definedName name="A_KEYWORD_ISSR_208017981_NCLIAB_OTHER_CREDITORS" localSheetId="3">OCL.AX_Annotation_Sheet!$131:$131</definedName>
    <definedName name="A_KEYWORD_ISSR_208017981_NCLIAB_PROVISIONS" localSheetId="3">OCL.AX_Annotation_Sheet!$132:$132</definedName>
    <definedName name="A_KEYWORD_ISSR_208017981_NCLIAB_TRADE_CREDITORS" localSheetId="3">OCL.AX_Annotation_Sheet!$130:$130</definedName>
    <definedName name="A_KEYWORD_ISSR_208017981_NET_ASSETS" localSheetId="3">OCL.AX_Annotation_Sheet!$137:$137</definedName>
    <definedName name="A_KEYWORD_ISSR_208017981_NET_DEBT" localSheetId="3">OCL.AX_Annotation_Sheet!$144:$144</definedName>
    <definedName name="A_KEYWORD_ISSR_208017981_NET_DEBT_ADJ" localSheetId="3">OCL.AX_Annotation_Sheet!$148:$148</definedName>
    <definedName name="A_KEYWORD_ISSR_208017981_NET_FIX_ASS" localSheetId="3">OCL.AX_Annotation_Sheet!$80:$80</definedName>
    <definedName name="A_KEYWORD_ISSR_208017981_NET_INT_CH" localSheetId="3">OCL.AX_Annotation_Sheet!$63:$63</definedName>
    <definedName name="A_KEYWORD_ISSR_208017981_NET_INT_EXP" localSheetId="3">OCL.AX_Annotation_Sheet!$29:$29</definedName>
    <definedName name="A_KEYWORD_ISSR_208017981_NET_INTANG" localSheetId="3">OCL.AX_Annotation_Sheet!$83:$83</definedName>
    <definedName name="A_KEYWORD_ISSR_208017981_NET_TANGIBLE_ASSETS" localSheetId="3">OCL.AX_Annotation_Sheet!$138:$138</definedName>
    <definedName name="A_KEYWORD_ISSR_208017981_NONPPE_CAPEX" localSheetId="3">OCL.AX_Annotation_Sheet!$202:$202</definedName>
    <definedName name="A_KEYWORD_ISSR_208017981_OP_COST" localSheetId="3">OCL.AX_Annotation_Sheet!$18:$18</definedName>
    <definedName name="A_KEYWORD_ISSR_208017981_OPPL_BTAX_EX_ASSOC" localSheetId="3">OCL.AX_Annotation_Sheet!$49:$49</definedName>
    <definedName name="A_KEYWORD_ISSR_208017981_OPPL_BTAX_POST_AB" localSheetId="3">OCL.AX_Annotation_Sheet!$58:$58</definedName>
    <definedName name="A_KEYWORD_ISSR_208017981_ORD_SH_FUND" localSheetId="3">OCL.AX_Annotation_Sheet!$99:$99</definedName>
    <definedName name="A_KEYWORD_ISSR_208017981_ORD_SHARE_CAPITAL" localSheetId="3">OCL.AX_Annotation_Sheet!$136:$136</definedName>
    <definedName name="A_KEYWORD_ISSR_208017981_OTH_COST_INC" localSheetId="3">OCL.AX_Annotation_Sheet!$32:$32</definedName>
    <definedName name="A_KEYWORD_ISSR_208017981_OTH_CUR_ASS" localSheetId="3">OCL.AX_Annotation_Sheet!$76:$76</definedName>
    <definedName name="A_KEYWORD_ISSR_208017981_OTH_CUR_LIABS" localSheetId="3">OCL.AX_Annotation_Sheet!$91:$91</definedName>
    <definedName name="A_KEYWORD_ISSR_208017981_OTH_DACF_ADJ" localSheetId="3">OCL.AX_Annotation_Sheet!$196:$196</definedName>
    <definedName name="A_KEYWORD_ISSR_208017981_OTH_FIN_CF" localSheetId="3">OCL.AX_Annotation_Sheet!$173:$173</definedName>
    <definedName name="A_KEYWORD_ISSR_208017981_OTH_GCI_ADJ" localSheetId="3">OCL.AX_Annotation_Sheet!$154:$154</definedName>
    <definedName name="A_KEYWORD_ISSR_208017981_OTH_INV_CF" localSheetId="3">OCL.AX_Annotation_Sheet!$167:$167</definedName>
    <definedName name="A_KEYWORD_ISSR_208017981_OTH_LT_ASS" localSheetId="3">OCL.AX_Annotation_Sheet!$86:$86</definedName>
    <definedName name="A_KEYWORD_ISSR_208017981_OTH_LT_CRED_GQ" localSheetId="3">OCL.AX_Annotation_Sheet!$95:$95</definedName>
    <definedName name="A_KEYWORD_ISSR_208017981_OTH_NONCASH_ADJ" localSheetId="3">OCL.AX_Annotation_Sheet!$195:$195</definedName>
    <definedName name="A_KEYWORD_ISSR_208017981_OTH_OP_CF" localSheetId="3">OCL.AX_Annotation_Sheet!$162:$162</definedName>
    <definedName name="A_KEYWORD_ISSR_208017981_OTH_OP_INC_EXP" localSheetId="3">OCL.AX_Annotation_Sheet!$20:$20</definedName>
    <definedName name="A_KEYWORD_ISSR_208017981_OTHER_ASSET_IMPAIR_CHG_PRE_TAX" localSheetId="3">OCL.AX_Annotation_Sheet!$53:$53</definedName>
    <definedName name="A_KEYWORD_ISSR_208017981_OTHER_CREDITORS" localSheetId="3">OCL.AX_Annotation_Sheet!$124:$124</definedName>
    <definedName name="A_KEYWORD_ISSR_208017981_OTHER_IFRS_ADJUST_PRE_TAX" localSheetId="3">OCL.AX_Annotation_Sheet!$55:$55</definedName>
    <definedName name="A_KEYWORD_ISSR_208017981_OTHER_INTANGIBLES_DEPREC" localSheetId="3">OCL.AX_Annotation_Sheet!$118:$118</definedName>
    <definedName name="A_KEYWORD_ISSR_208017981_OTHER_INTANGIBLES_NON_DEPREC" localSheetId="3">OCL.AX_Annotation_Sheet!$119:$119</definedName>
    <definedName name="A_KEYWORD_ISSR_208017981_OTHER_RECEIVABLES" localSheetId="3">OCL.AX_Annotation_Sheet!$106:$106</definedName>
    <definedName name="A_KEYWORD_ISSR_208017981_OTHER_REVENUE" localSheetId="3">OCL.AX_Annotation_Sheet!$65:$65</definedName>
    <definedName name="A_KEYWORD_ISSR_208017981_PERIOD_MILESTONE" localSheetId="3">OCL.AX_Annotation_Sheet!$2:$2</definedName>
    <definedName name="A_KEYWORD_ISSR_208017981_PERSONNEL" localSheetId="3">OCL.AX_Annotation_Sheet!$15:$15</definedName>
    <definedName name="A_KEYWORD_ISSR_208017981_PL_BTAX_ON_AB" localSheetId="3">OCL.AX_Annotation_Sheet!$50:$50</definedName>
    <definedName name="A_KEYWORD_ISSR_208017981_PL_SALE_ASSETS" localSheetId="3">OCL.AX_Annotation_Sheet!$194:$194</definedName>
    <definedName name="A_KEYWORD_ISSR_208017981_PLANT_EQUIP" localSheetId="3">OCL.AX_Annotation_Sheet!$115:$115</definedName>
    <definedName name="A_KEYWORD_ISSR_208017981_PREF_SH" localSheetId="3">OCL.AX_Annotation_Sheet!$98:$98</definedName>
    <definedName name="A_KEYWORD_ISSR_208017981_PROCEEDS_BORROWINGS" localSheetId="3">OCL.AX_Annotation_Sheet!$190:$190</definedName>
    <definedName name="A_KEYWORD_ISSR_208017981_PROCEEDS_NCASSET" localSheetId="3">OCL.AX_Annotation_Sheet!$36:$36</definedName>
    <definedName name="A_KEYWORD_ISSR_208017981_PROCEEDS_PURCH_OPER_BUS" localSheetId="3">OCL.AX_Annotation_Sheet!$182:$182</definedName>
    <definedName name="A_KEYWORD_ISSR_208017981_PROCEEDS_SALE_EQUITY_INV" localSheetId="3">OCL.AX_Annotation_Sheet!$185:$185</definedName>
    <definedName name="A_KEYWORD_ISSR_208017981_PROCEEDS_SALE_OPER_BUS" localSheetId="3">OCL.AX_Annotation_Sheet!$186:$186</definedName>
    <definedName name="A_KEYWORD_ISSR_208017981_PROFIT_DEFBEN_PLAN_POST_TAX" localSheetId="3">OCL.AX_Annotation_Sheet!$57:$57</definedName>
    <definedName name="A_KEYWORD_ISSR_208017981_PROFIT_DEFBEN_PLAN_PRE_TAX" localSheetId="3">OCL.AX_Annotation_Sheet!$51:$51</definedName>
    <definedName name="A_KEYWORD_ISSR_208017981_PROFIT_ON_DISP" localSheetId="3">OCL.AX_Annotation_Sheet!$31:$31</definedName>
    <definedName name="A_KEYWORD_ISSR_208017981_PROVISIONS" localSheetId="3">OCL.AX_Annotation_Sheet!$127:$127</definedName>
    <definedName name="A_KEYWORD_ISSR_208017981_PT_PROF" localSheetId="3">OCL.AX_Annotation_Sheet!$33:$33</definedName>
    <definedName name="A_KEYWORD_ISSR_208017981_PURCH_EQUITY_INVESTS" localSheetId="3">OCL.AX_Annotation_Sheet!$183:$183</definedName>
    <definedName name="A_KEYWORD_ISSR_208017981_R_AND_D_CAP" localSheetId="3">OCL.AX_Annotation_Sheet!$116:$116</definedName>
    <definedName name="A_KEYWORD_ISSR_208017981_RD_EXP" localSheetId="3">OCL.AX_Annotation_Sheet!$19:$19</definedName>
    <definedName name="A_KEYWORD_ISSR_208017981_REPAY_BORROWINGS" localSheetId="3">OCL.AX_Annotation_Sheet!$191:$191</definedName>
    <definedName name="A_KEYWORD_ISSR_208017981_RESERVES" localSheetId="3">OCL.AX_Annotation_Sheet!$103:$103</definedName>
    <definedName name="A_KEYWORD_ISSR_208017981_RETAIN_PROFIT_LOSS" localSheetId="3">OCL.AX_Annotation_Sheet!$104:$104</definedName>
    <definedName name="A_KEYWORD_ISSR_208017981_ROU_ASSET" localSheetId="3">OCL.AX_Annotation_Sheet!$157:$157</definedName>
    <definedName name="A_KEYWORD_ISSR_208017981_SALE_PROP_PLANT_EQUIP" localSheetId="3">OCL.AX_Annotation_Sheet!$184:$184</definedName>
    <definedName name="A_KEYWORD_ISSR_208017981_SALES" localSheetId="3">OCL.AX_Annotation_Sheet!$14:$14</definedName>
    <definedName name="A_KEYWORD_ISSR_208017981_SALES_ARGENTINA" localSheetId="3">OCL.AX_Annotation_Sheet!$219:$219</definedName>
    <definedName name="A_KEYWORD_ISSR_208017981_SALES_AUSTRA" localSheetId="3">OCL.AX_Annotation_Sheet!$262:$262</definedName>
    <definedName name="A_KEYWORD_ISSR_208017981_SALES_AUSTRIA" localSheetId="3">OCL.AX_Annotation_Sheet!$226:$226</definedName>
    <definedName name="A_KEYWORD_ISSR_208017981_SALES_BEL" localSheetId="3">OCL.AX_Annotation_Sheet!$227:$227</definedName>
    <definedName name="A_KEYWORD_ISSR_208017981_SALES_BRAZIL" localSheetId="3">OCL.AX_Annotation_Sheet!$220:$220</definedName>
    <definedName name="A_KEYWORD_ISSR_208017981_SALES_CANADA" localSheetId="3">OCL.AX_Annotation_Sheet!$216:$216</definedName>
    <definedName name="A_KEYWORD_ISSR_208017981_SALES_CEE" localSheetId="3">OCL.AX_Annotation_Sheet!$294:$294</definedName>
    <definedName name="A_KEYWORD_ISSR_208017981_SALES_CHILE" localSheetId="3">OCL.AX_Annotation_Sheet!$221:$221</definedName>
    <definedName name="A_KEYWORD_ISSR_208017981_SALES_CHINA" localSheetId="3">OCL.AX_Annotation_Sheet!$257:$257</definedName>
    <definedName name="A_KEYWORD_ISSR_208017981_SALES_COLOMBIA" localSheetId="3">OCL.AX_Annotation_Sheet!$222:$222</definedName>
    <definedName name="A_KEYWORD_ISSR_208017981_SALES_CONS" localSheetId="3">OCL.AX_Annotation_Sheet!$269:$269</definedName>
    <definedName name="A_KEYWORD_ISSR_208017981_SALES_EU_EX_UK" localSheetId="3">OCL.AX_Annotation_Sheet!$293:$293</definedName>
    <definedName name="A_KEYWORD_ISSR_208017981_SALES_FINAN" localSheetId="3">OCL.AX_Annotation_Sheet!$272:$272</definedName>
    <definedName name="A_KEYWORD_ISSR_208017981_SALES_FRA" localSheetId="3">OCL.AX_Annotation_Sheet!$228:$228</definedName>
    <definedName name="A_KEYWORD_ISSR_208017981_SALES_FX" localSheetId="3">OCL.AX_Annotation_Sheet!$301:$301</definedName>
    <definedName name="A_KEYWORD_ISSR_208017981_SALES_FX_AUD" localSheetId="3">OCL.AX_Annotation_Sheet!$286:$286</definedName>
    <definedName name="A_KEYWORD_ISSR_208017981_SALES_FX_BRL" localSheetId="3">OCL.AX_Annotation_Sheet!$282:$282</definedName>
    <definedName name="A_KEYWORD_ISSR_208017981_SALES_FX_CNY" localSheetId="3">OCL.AX_Annotation_Sheet!$284:$284</definedName>
    <definedName name="A_KEYWORD_ISSR_208017981_SALES_FX_EUR" localSheetId="3">OCL.AX_Annotation_Sheet!$279:$279</definedName>
    <definedName name="A_KEYWORD_ISSR_208017981_SALES_FX_GPB" localSheetId="3">OCL.AX_Annotation_Sheet!$278:$278</definedName>
    <definedName name="A_KEYWORD_ISSR_208017981_SALES_FX_INR" localSheetId="3">OCL.AX_Annotation_Sheet!$285:$285</definedName>
    <definedName name="A_KEYWORD_ISSR_208017981_SALES_FX_NZD" localSheetId="3">OCL.AX_Annotation_Sheet!$287:$287</definedName>
    <definedName name="A_KEYWORD_ISSR_208017981_SALES_FX_OTH" localSheetId="3">OCL.AX_Annotation_Sheet!$288:$288</definedName>
    <definedName name="A_KEYWORD_ISSR_208017981_SALES_FX_RUB" localSheetId="3">OCL.AX_Annotation_Sheet!$280:$280</definedName>
    <definedName name="A_KEYWORD_ISSR_208017981_SALES_FX_USD" localSheetId="3">OCL.AX_Annotation_Sheet!$281:$281</definedName>
    <definedName name="A_KEYWORD_ISSR_208017981_SALES_FX_YEN" localSheetId="3">OCL.AX_Annotation_Sheet!$283:$283</definedName>
    <definedName name="A_KEYWORD_ISSR_208017981_SALES_GER" localSheetId="3">OCL.AX_Annotation_Sheet!$229:$229</definedName>
    <definedName name="A_KEYWORD_ISSR_208017981_SALES_GOV" localSheetId="3">OCL.AX_Annotation_Sheet!$271:$271</definedName>
    <definedName name="A_KEYWORD_ISSR_208017981_SALES_GRE" localSheetId="3">OCL.AX_Annotation_Sheet!$230:$230</definedName>
    <definedName name="A_KEYWORD_ISSR_208017981_SALES_HONG_KONG" localSheetId="3">OCL.AX_Annotation_Sheet!$251:$251</definedName>
    <definedName name="A_KEYWORD_ISSR_208017981_SALES_IND" localSheetId="3">OCL.AX_Annotation_Sheet!$270:$270</definedName>
    <definedName name="A_KEYWORD_ISSR_208017981_SALES_INDIA" localSheetId="3">OCL.AX_Annotation_Sheet!$258:$258</definedName>
    <definedName name="A_KEYWORD_ISSR_208017981_SALES_INDONESIA" localSheetId="3">OCL.AX_Annotation_Sheet!$259:$259</definedName>
    <definedName name="A_KEYWORD_ISSR_208017981_SALES_INORGANIC" localSheetId="3">OCL.AX_Annotation_Sheet!$302:$302</definedName>
    <definedName name="A_KEYWORD_ISSR_208017981_SALES_IRE" localSheetId="3">OCL.AX_Annotation_Sheet!$231:$231</definedName>
    <definedName name="A_KEYWORD_ISSR_208017981_SALES_ITA" localSheetId="3">OCL.AX_Annotation_Sheet!$232:$232</definedName>
    <definedName name="A_KEYWORD_ISSR_208017981_SALES_JAPAN" localSheetId="3">OCL.AX_Annotation_Sheet!$252:$252</definedName>
    <definedName name="A_KEYWORD_ISSR_208017981_SALES_ME" localSheetId="3">OCL.AX_Annotation_Sheet!$295:$295</definedName>
    <definedName name="A_KEYWORD_ISSR_208017981_SALES_MEXICO" localSheetId="3">OCL.AX_Annotation_Sheet!$223:$223</definedName>
    <definedName name="A_KEYWORD_ISSR_208017981_SALES_NETH" localSheetId="3">OCL.AX_Annotation_Sheet!$233:$233</definedName>
    <definedName name="A_KEYWORD_ISSR_208017981_SALES_NIGERIA" localSheetId="3">OCL.AX_Annotation_Sheet!$248:$248</definedName>
    <definedName name="A_KEYWORD_ISSR_208017981_SALES_NOR" localSheetId="3">OCL.AX_Annotation_Sheet!$234:$234</definedName>
    <definedName name="A_KEYWORD_ISSR_208017981_SALES_NZ" localSheetId="3">OCL.AX_Annotation_Sheet!$263:$263</definedName>
    <definedName name="A_KEYWORD_ISSR_208017981_SALES_OIL_GAS" localSheetId="3">OCL.AX_Annotation_Sheet!$273:$273</definedName>
    <definedName name="A_KEYWORD_ISSR_208017981_SALES_OTH_AEJ" localSheetId="3">OCL.AX_Annotation_Sheet!$299:$299</definedName>
    <definedName name="A_KEYWORD_ISSR_208017981_SALES_OTH_AFRICA" localSheetId="3">OCL.AX_Annotation_Sheet!$250:$250</definedName>
    <definedName name="A_KEYWORD_ISSR_208017981_SALES_OTH_AM" localSheetId="3">OCL.AX_Annotation_Sheet!$291:$291</definedName>
    <definedName name="A_KEYWORD_ISSR_208017981_SALES_OTH_CEE" localSheetId="3">OCL.AX_Annotation_Sheet!$244:$244</definedName>
    <definedName name="A_KEYWORD_ISSR_208017981_SALES_OTH_DEV_ASIA" localSheetId="3">OCL.AX_Annotation_Sheet!$256:$256</definedName>
    <definedName name="A_KEYWORD_ISSR_208017981_SALES_OTH_EMEA" localSheetId="3">OCL.AX_Annotation_Sheet!$297:$297</definedName>
    <definedName name="A_KEYWORD_ISSR_208017981_SALES_OTH_EMERG_ASIA" localSheetId="3">OCL.AX_Annotation_Sheet!$261:$261</definedName>
    <definedName name="A_KEYWORD_ISSR_208017981_SALES_OTH_LATAM" localSheetId="3">OCL.AX_Annotation_Sheet!$225:$225</definedName>
    <definedName name="A_KEYWORD_ISSR_208017981_SALES_OTH_ME" localSheetId="3">OCL.AX_Annotation_Sheet!$247:$247</definedName>
    <definedName name="A_KEYWORD_ISSR_208017981_SALES_OTH_NO_AMER" localSheetId="3">OCL.AX_Annotation_Sheet!$218:$218</definedName>
    <definedName name="A_KEYWORD_ISSR_208017981_SALES_OTH_WEST_EURO" localSheetId="3">OCL.AX_Annotation_Sheet!$240:$240</definedName>
    <definedName name="A_KEYWORD_ISSR_208017981_SALES_OTHER" localSheetId="3">OCL.AX_Annotation_Sheet!$264:$264</definedName>
    <definedName name="A_KEYWORD_ISSR_208017981_SALES_POLAND" localSheetId="3">OCL.AX_Annotation_Sheet!$241:$241</definedName>
    <definedName name="A_KEYWORD_ISSR_208017981_SALES_POR" localSheetId="3">OCL.AX_Annotation_Sheet!$235:$235</definedName>
    <definedName name="A_KEYWORD_ISSR_208017981_SALES_PRICE" localSheetId="3">OCL.AX_Annotation_Sheet!$303:$303</definedName>
    <definedName name="A_KEYWORD_ISSR_208017981_SALES_RUSSIA" localSheetId="3">OCL.AX_Annotation_Sheet!$242:$242</definedName>
    <definedName name="A_KEYWORD_ISSR_208017981_SALES_SAUDI_ARABIA" localSheetId="3">OCL.AX_Annotation_Sheet!$245:$245</definedName>
    <definedName name="A_KEYWORD_ISSR_208017981_SALES_SINGAPORE" localSheetId="3">OCL.AX_Annotation_Sheet!$253:$253</definedName>
    <definedName name="A_KEYWORD_ISSR_208017981_SALES_SK" localSheetId="3">OCL.AX_Annotation_Sheet!$254:$254</definedName>
    <definedName name="A_KEYWORD_ISSR_208017981_SALES_SO_AFRICA" localSheetId="3">OCL.AX_Annotation_Sheet!$249:$249</definedName>
    <definedName name="A_KEYWORD_ISSR_208017981_SALES_SPA" localSheetId="3">OCL.AX_Annotation_Sheet!$236:$236</definedName>
    <definedName name="A_KEYWORD_ISSR_208017981_SALES_SWE" localSheetId="3">OCL.AX_Annotation_Sheet!$237:$237</definedName>
    <definedName name="A_KEYWORD_ISSR_208017981_SALES_SWIT" localSheetId="3">OCL.AX_Annotation_Sheet!$238:$238</definedName>
    <definedName name="A_KEYWORD_ISSR_208017981_SALES_TAIWAN" localSheetId="3">OCL.AX_Annotation_Sheet!$255:$255</definedName>
    <definedName name="A_KEYWORD_ISSR_208017981_SALES_THAILAND" localSheetId="3">OCL.AX_Annotation_Sheet!$260:$260</definedName>
    <definedName name="A_KEYWORD_ISSR_208017981_SALES_TOT_AFRICA" localSheetId="3">OCL.AX_Annotation_Sheet!$296:$296</definedName>
    <definedName name="A_KEYWORD_ISSR_208017981_SALES_TOT_AM" localSheetId="3">OCL.AX_Annotation_Sheet!$290:$290</definedName>
    <definedName name="A_KEYWORD_ISSR_208017981_SALES_TOT_ASIA" localSheetId="3">OCL.AX_Annotation_Sheet!$298:$298</definedName>
    <definedName name="A_KEYWORD_ISSR_208017981_SALES_TOT_EMEA" localSheetId="3">OCL.AX_Annotation_Sheet!$292:$292</definedName>
    <definedName name="A_KEYWORD_ISSR_208017981_SALES_TURKEY" localSheetId="3">OCL.AX_Annotation_Sheet!$243:$243</definedName>
    <definedName name="A_KEYWORD_ISSR_208017981_SALES_UAE" localSheetId="3">OCL.AX_Annotation_Sheet!$246:$246</definedName>
    <definedName name="A_KEYWORD_ISSR_208017981_SALES_UK" localSheetId="3">OCL.AX_Annotation_Sheet!$239:$239</definedName>
    <definedName name="A_KEYWORD_ISSR_208017981_SALES_US" localSheetId="3">OCL.AX_Annotation_Sheet!$217:$217</definedName>
    <definedName name="A_KEYWORD_ISSR_208017981_SALES_VENEZUELA" localSheetId="3">OCL.AX_Annotation_Sheet!$224:$224</definedName>
    <definedName name="A_KEYWORD_ISSR_208017981_SALES_VOLUME" localSheetId="3">OCL.AX_Annotation_Sheet!$304:$304</definedName>
    <definedName name="A_KEYWORD_ISSR_208017981_SEL_GL_AD" localSheetId="3">OCL.AX_Annotation_Sheet!$17:$17</definedName>
    <definedName name="A_KEYWORD_ISSR_208017981_SEL_GL_AD_OTHER" localSheetId="3">OCL.AX_Annotation_Sheet!$40:$40</definedName>
    <definedName name="A_KEYWORD_ISSR_208017981_SGA_PCT_ROW" localSheetId="3">OCL.AX_Annotation_Sheet!$268:$268</definedName>
    <definedName name="A_KEYWORD_ISSR_208017981_SGA_PCT_US" localSheetId="3">OCL.AX_Annotation_Sheet!$267:$267</definedName>
    <definedName name="A_KEYWORD_ISSR_208017981_SH_REPUR" localSheetId="3">OCL.AX_Annotation_Sheet!$170:$170</definedName>
    <definedName name="A_KEYWORD_ISSR_208017981_SHARE_BASED_PAYMENTS" localSheetId="3">OCL.AX_Annotation_Sheet!$42:$42</definedName>
    <definedName name="A_KEYWORD_ISSR_208017981_SHORT_T_DEBT" localSheetId="3">OCL.AX_Annotation_Sheet!$89:$89</definedName>
    <definedName name="A_KEYWORD_ISSR_208017981_SHORT_TERM_LIABS" localSheetId="3">OCL.AX_Annotation_Sheet!$92:$92</definedName>
    <definedName name="A_KEYWORD_ISSR_208017981_ST_LEASE_LIAB" localSheetId="3">OCL.AX_Annotation_Sheet!$90:$90</definedName>
    <definedName name="A_KEYWORD_ISSR_208017981_STOCKS" localSheetId="3">OCL.AX_Annotation_Sheet!$75:$75</definedName>
    <definedName name="A_KEYWORD_ISSR_208017981_SUPPLIER_EMPLOYEE_PAYS" localSheetId="3">OCL.AX_Annotation_Sheet!$179:$179</definedName>
    <definedName name="A_KEYWORD_ISSR_208017981_TOT_ASSET" localSheetId="3">OCL.AX_Annotation_Sheet!$87:$87</definedName>
    <definedName name="A_KEYWORD_ISSR_208017981_TOT_CF" localSheetId="3">OCL.AX_Annotation_Sheet!$176:$176</definedName>
    <definedName name="A_KEYWORD_ISSR_208017981_TOT_LIAB" localSheetId="3">OCL.AX_Annotation_Sheet!$97:$97</definedName>
    <definedName name="A_KEYWORD_ISSR_208017981_TOT_LIAB_EQ" localSheetId="3">OCL.AX_Annotation_Sheet!$102:$102</definedName>
    <definedName name="A_KEYWORD_ISSR_208017981_TOT_LT_LIAB" localSheetId="3">OCL.AX_Annotation_Sheet!$96:$96</definedName>
    <definedName name="A_KEYWORD_ISSR_208017981_TOT_OPS_EXP" localSheetId="3">OCL.AX_Annotation_Sheet!$22:$22</definedName>
    <definedName name="A_KEYWORD_ISSR_208017981_TOT_OPS_EXP_DDA" localSheetId="3">OCL.AX_Annotation_Sheet!$21:$21</definedName>
    <definedName name="A_KEYWORD_ISSR_208017981_TOT_PCT_USD_DEBT_HEDGED" localSheetId="3">OCL.AX_Annotation_Sheet!$141:$141</definedName>
    <definedName name="A_KEYWORD_ISSR_208017981_TOT_USD_DEBT" localSheetId="3">OCL.AX_Annotation_Sheet!$140:$140</definedName>
    <definedName name="A_KEYWORD_ISSR_208017981_TOTAL_CAPITAL_EMPLOYED_ADJ" localSheetId="3">OCL.AX_Annotation_Sheet!$213:$213</definedName>
    <definedName name="A_KEYWORD_ISSR_208017981_TOTAL_DEPREC_AMORT" localSheetId="3">OCL.AX_Annotation_Sheet!$46:$46</definedName>
    <definedName name="A_KEYWORD_ISSR_208017981_TOTAL_IFRS_ADJUST_PRE_TAX" localSheetId="3">OCL.AX_Annotation_Sheet!$56:$56</definedName>
    <definedName name="A_KEYWORD_ISSR_208017981_TOTAL_NONCURR_ASSETS" localSheetId="3">OCL.AX_Annotation_Sheet!$123:$123</definedName>
    <definedName name="A_KEYWORD_ISSR_208017981_TOTAL_OPR_REVENUE" localSheetId="3">OCL.AX_Annotation_Sheet!$37:$37</definedName>
    <definedName name="A_KEYWORD_ISSR_208017981_TV_LICENCES_MASTERHEADS" localSheetId="3">OCL.AX_Annotation_Sheet!$210:$210</definedName>
    <definedName name="A_KEYWORD_ISSR_208017981_UNF_PENS" localSheetId="3">OCL.AX_Annotation_Sheet!$150:$150</definedName>
    <definedName name="A_KEYWORD_ISSR_208017981_UNF_PENS_LIAB_OTH" localSheetId="3">OCL.AX_Annotation_Sheet!$152:$152</definedName>
    <definedName name="A_KEYWORD_ISSR_208017981_UNF_PENS_OFF" localSheetId="3">OCL.AX_Annotation_Sheet!$151:$151</definedName>
    <definedName name="A_KEYWORD_ISSR_208017981_WORK_CAP" localSheetId="3">OCL.AX_Annotation_Sheet!$161:$161</definedName>
    <definedName name="A_LIVEDATA_EQTY_200019506" localSheetId="3">OCL.AX_Annotation_Sheet!$B$305</definedName>
    <definedName name="A_LIVEDATA_ISSR_208017981" localSheetId="3">OCL.AX_Annotation_Sheet!$B$4</definedName>
    <definedName name="A_PERIOD_2014" localSheetId="3">OCL.AX_Annotation_Sheet!$F:$F</definedName>
    <definedName name="A_PERIOD_2015" localSheetId="3">OCL.AX_Annotation_Sheet!$I:$I</definedName>
    <definedName name="A_PERIOD_2015_H1" localSheetId="3">OCL.AX_Annotation_Sheet!$G:$G</definedName>
    <definedName name="A_PERIOD_2015_H2" localSheetId="3">OCL.AX_Annotation_Sheet!$H:$H</definedName>
    <definedName name="A_PERIOD_2016" localSheetId="3">OCL.AX_Annotation_Sheet!$L:$L</definedName>
    <definedName name="A_PERIOD_2016_H1" localSheetId="3">OCL.AX_Annotation_Sheet!$J:$J</definedName>
    <definedName name="A_PERIOD_2016_H2" localSheetId="3">OCL.AX_Annotation_Sheet!$K:$K</definedName>
    <definedName name="A_PERIOD_2017" localSheetId="3">OCL.AX_Annotation_Sheet!$O:$O</definedName>
    <definedName name="A_PERIOD_2017_H1" localSheetId="3">OCL.AX_Annotation_Sheet!$M:$M</definedName>
    <definedName name="A_PERIOD_2017_H2" localSheetId="3">OCL.AX_Annotation_Sheet!$N:$N</definedName>
    <definedName name="A_PERIOD_2018" localSheetId="3">OCL.AX_Annotation_Sheet!$R:$R</definedName>
    <definedName name="A_PERIOD_2018_H1" localSheetId="3">OCL.AX_Annotation_Sheet!$P:$P</definedName>
    <definedName name="A_PERIOD_2018_H2" localSheetId="3">OCL.AX_Annotation_Sheet!$Q:$Q</definedName>
    <definedName name="A_PERIOD_2019" localSheetId="3">OCL.AX_Annotation_Sheet!$U:$U</definedName>
    <definedName name="A_PERIOD_2019_H1" localSheetId="3">OCL.AX_Annotation_Sheet!$S:$S</definedName>
    <definedName name="A_PERIOD_2019_H2" localSheetId="3">OCL.AX_Annotation_Sheet!$T:$T</definedName>
    <definedName name="A_PERIOD_2020" localSheetId="3">OCL.AX_Annotation_Sheet!$X:$X</definedName>
    <definedName name="A_PERIOD_2020_H1" localSheetId="3">OCL.AX_Annotation_Sheet!$V:$V</definedName>
    <definedName name="A_PERIOD_2020_H2" localSheetId="3">OCL.AX_Annotation_Sheet!$W:$W</definedName>
    <definedName name="A_PERIOD_2021" localSheetId="3">OCL.AX_Annotation_Sheet!$AA:$AA</definedName>
    <definedName name="A_PERIOD_2021_H1" localSheetId="3">OCL.AX_Annotation_Sheet!$Y:$Y</definedName>
    <definedName name="A_PERIOD_2021_H2" localSheetId="3">OCL.AX_Annotation_Sheet!$Z:$Z</definedName>
    <definedName name="A_PERIOD_2022" localSheetId="3">OCL.AX_Annotation_Sheet!$AD:$AD</definedName>
    <definedName name="A_PERIOD_2022_H1" localSheetId="3">OCL.AX_Annotation_Sheet!$AB:$AB</definedName>
    <definedName name="A_PERIOD_2022_H2" localSheetId="3">OCL.AX_Annotation_Sheet!$AC:$AC</definedName>
    <definedName name="A_PERIOD_2023" localSheetId="3">OCL.AX_Annotation_Sheet!$AG:$AG</definedName>
    <definedName name="A_PERIOD_2023_H1" localSheetId="3">OCL.AX_Annotation_Sheet!$AE:$AE</definedName>
    <definedName name="A_PERIOD_2023_H2" localSheetId="3">OCL.AX_Annotation_Sheet!$AF:$AF</definedName>
    <definedName name="A_PERIOD_2024" localSheetId="3">OCL.AX_Annotation_Sheet!$AJ:$AJ</definedName>
    <definedName name="A_PERIOD_2024_H1" localSheetId="3">OCL.AX_Annotation_Sheet!$AH:$AH</definedName>
    <definedName name="A_PERIOD_2024_H2" localSheetId="3">OCL.AX_Annotation_Sheet!$AI:$AI</definedName>
    <definedName name="A_PERIOD_2025" localSheetId="3">OCL.AX_Annotation_Sheet!$AM:$AM</definedName>
    <definedName name="A_PERIOD_2025_H1" localSheetId="3">OCL.AX_Annotation_Sheet!$AK:$AK</definedName>
    <definedName name="A_PERIOD_2025_H2" localSheetId="3">OCL.AX_Annotation_Sheet!$AL:$AL</definedName>
    <definedName name="A_PERIOD_2026" localSheetId="3">OCL.AX_Annotation_Sheet!$AN:$AN</definedName>
    <definedName name="A_PERIOD_2027" localSheetId="3">OCL.AX_Annotation_Sheet!$AO:$AO</definedName>
    <definedName name="A_SECTION_EQTY_200019506_1314" localSheetId="3">OCL.AX_Annotation_Sheet!$432:$432</definedName>
    <definedName name="A_SECTION_EQTY_200019506_1316A" localSheetId="3">OCL.AX_Annotation_Sheet!$353:$353</definedName>
    <definedName name="A_SECTION_EQTY_200019506_1316B" localSheetId="3">OCL.AX_Annotation_Sheet!$392:$392</definedName>
    <definedName name="A_SECTION_EQTY_200019506_1316C" localSheetId="3">OCL.AX_Annotation_Sheet!$434:$434</definedName>
    <definedName name="A_SECTION_EQTY_200019506_1316D" localSheetId="3">OCL.AX_Annotation_Sheet!$439:$439</definedName>
    <definedName name="A_SECTION_EQTY_200019506_1316E" localSheetId="3">OCL.AX_Annotation_Sheet!$447:$447</definedName>
    <definedName name="A_SECTION_EQTY_200019506_131E" localSheetId="3">OCL.AX_Annotation_Sheet!$437:$437</definedName>
    <definedName name="A_SECTION_EQTY_200019506_131J" localSheetId="3">OCL.AX_Annotation_Sheet!$441:$441</definedName>
    <definedName name="A_SECTION_EQTY_200019506_131O" localSheetId="3">OCL.AX_Annotation_Sheet!$443:$443</definedName>
    <definedName name="A_SECTION_EQTY_200019506_13A" localSheetId="3">OCL.AX_Annotation_Sheet!$313:$313</definedName>
    <definedName name="A_SECTION_EQTY_200019506_13K" localSheetId="3">OCL.AX_Annotation_Sheet!$336:$336</definedName>
    <definedName name="A_SECTION_EQTY_200019506_13U" localSheetId="3">OCL.AX_Annotation_Sheet!$374:$374</definedName>
    <definedName name="A_SECTION_EQTY_200019506_13V" localSheetId="3">OCL.AX_Annotation_Sheet!$429:$429</definedName>
    <definedName name="A_SECTION_EQTY_200019506_Reference_Data" localSheetId="3">OCL.AX_Annotation_Sheet!$306:$306</definedName>
    <definedName name="A_SECTION_ISSR_208017981_1314" localSheetId="3">OCL.AX_Annotation_Sheet!$72:$72</definedName>
    <definedName name="A_SECTION_ISSR_208017981_13168" localSheetId="3">OCL.AX_Annotation_Sheet!$215:$215</definedName>
    <definedName name="A_SECTION_ISSR_208017981_1316B" localSheetId="3">OCL.AX_Annotation_Sheet!$34:$34</definedName>
    <definedName name="A_SECTION_ISSR_208017981_1316C" localSheetId="3">OCL.AX_Annotation_Sheet!$105:$105</definedName>
    <definedName name="A_SECTION_ISSR_208017981_1316D" localSheetId="3">OCL.AX_Annotation_Sheet!$177:$177</definedName>
    <definedName name="A_SECTION_ISSR_208017981_1316E" localSheetId="3">OCL.AX_Annotation_Sheet!$206:$206</definedName>
    <definedName name="A_SECTION_ISSR_208017981_1316T" localSheetId="3">OCL.AX_Annotation_Sheet!$274:$274</definedName>
    <definedName name="A_SECTION_ISSR_208017981_1316U" localSheetId="3">OCL.AX_Annotation_Sheet!$277:$277</definedName>
    <definedName name="A_SECTION_ISSR_208017981_1319" localSheetId="3">OCL.AX_Annotation_Sheet!$139:$139</definedName>
    <definedName name="A_SECTION_ISSR_208017981_131E" localSheetId="3">OCL.AX_Annotation_Sheet!$158:$158</definedName>
    <definedName name="A_SECTION_ISSR_208017981_131J" localSheetId="3">OCL.AX_Annotation_Sheet!$192:$192</definedName>
    <definedName name="A_SECTION_ISSR_208017981_131O" localSheetId="3">OCL.AX_Annotation_Sheet!$204:$204</definedName>
    <definedName name="A_SECTION_ISSR_208017981_136E" localSheetId="3">OCL.AX_Annotation_Sheet!$289:$289</definedName>
    <definedName name="A_SECTION_ISSR_208017981_136J" localSheetId="3">OCL.AX_Annotation_Sheet!$300:$300</definedName>
    <definedName name="A_SECTION_ISSR_208017981_13A" localSheetId="3">OCL.AX_Annotation_Sheet!$8:$8</definedName>
    <definedName name="A_SECTION_ISSR_208017981_13U" localSheetId="3">OCL.AX_Annotation_Sheet!$13:$13</definedName>
    <definedName name="A_SECTION_ISSR_208017981_13V" localSheetId="3">OCL.AX_Annotation_Sheet!$59:$59</definedName>
    <definedName name="A_SECTION_ISSR_208017981_Reference_Data" localSheetId="3">OCL.AX_Annotation_Sheet!$5:$5</definedName>
    <definedName name="A_TEMPLATEHASH" localSheetId="3">OCL.AX_Annotation_Sheet!$C$1</definedName>
    <definedName name="AAA_DOCTOPS" hidden="1">"AAA_SET"</definedName>
    <definedName name="AAA_duser" hidden="1">"OFF"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ssas" hidden="1">{"PR1","pr1",TRUE,"Sch PR-1"}</definedName>
    <definedName name="abc" hidden="1">{"Methodology and Sourcing",#N/A,FALSE,"Methodology and Sourcing";"britishtelecom",#N/A,FALSE,"BT out";"CTC",#N/A,FALSE,"CTC out";"DT",#N/A,FALSE,"DT out";"FT",#N/A,FALSE,"FT out";"HKT",#N/A,FALSE,"HKT out";"KPN",#N/A,FALSE,"KPN out";"MATAV",#N/A,FALSE,"MATAV out";"PT Telkom",#N/A,FALSE,"PT Telkom out";"Tel Arg",#N/A,FALSE,"Tel Arg out";"Telef Arg",#N/A,FALSE,"TASA out";"Tel Asia",#N/A,FALSE,"Tel. Asia Out";"T de E",#N/A,FALSE,"T de E out";"Tel Malay",#N/A,FALSE,"Tel Malay out";"TELMEX",#N/A,FALSE,"Telmex out";"TNZ",#N/A,FALSE,"TNZ out";"Telkom SA",#N/A,FALSE,"Telkom SA out";"SPT",#N/A,FALSE,"SPT out";"USA",#N/A,FALSE,"USA out"}</definedName>
    <definedName name="Abnormal_items_after_tax">MODEL!$56:$56</definedName>
    <definedName name="Accumulated_amortisation_goodwill">MODEL!$146:$146</definedName>
    <definedName name="Accumulated_amortisation_other">MODEL!$149:$149</definedName>
    <definedName name="Accumulated_depreciation_ppe">MODEL!$142:$142</definedName>
    <definedName name="Acquisitions">MODEL!$110:$110</definedName>
    <definedName name="Acquisitions_equity">MODEL!$109:$109</definedName>
    <definedName name="Acquisitions_op_bus">MODEL!$108:$108</definedName>
    <definedName name="adasdasdasdasd" hidden="1">{"PR1","pr1",TRUE,"Sch PR-1"}</definedName>
    <definedName name="Amortisation">MODEL!$42:$42</definedName>
    <definedName name="anscount" hidden="1">1</definedName>
    <definedName name="AS2DocOpenMode" hidden="1">"AS2DocumentEdit"</definedName>
    <definedName name="asasasasas" hidden="1">{"PR1","pr1",TRUE,"Sch PR-1"}</definedName>
    <definedName name="assasdafsda" hidden="1">{"PR1","pr1",TRUE,"Sch PR-1"}</definedName>
    <definedName name="Asset_sales">MODEL!$114:$114</definedName>
    <definedName name="Asset_sales_equity">MODEL!$113:$113</definedName>
    <definedName name="Asset_sales_op_bus">MODEL!$112:$112</definedName>
    <definedName name="Asset_sales_ppe">MODEL!$111:$111</definedName>
    <definedName name="Average_net_debt">MODEL!$203:$203</definedName>
    <definedName name="b" localSheetId="6" hidden="1">{"IS",#N/A,FALSE,"IS";"RPTIS",#N/A,FALSE,"RPTIS";"STATS",#N/A,FALSE,"STATS";"CELL",#N/A,FALSE,"CELL";"BS",#N/A,FALSE,"BS"}</definedName>
    <definedName name="b" hidden="1">{"IS",#N/A,FALSE,"IS";"RPTIS",#N/A,FALSE,"RPTIS";"STATS",#N/A,FALSE,"STATS";"CELL",#N/A,FALSE,"CELL";"BS",#N/A,FALSE,"BS"}</definedName>
    <definedName name="ba" hidden="1">{"IS",#N/A,FALSE,"IS";"RPTIS",#N/A,FALSE,"RPTIS";"STATS",#N/A,FALSE,"STATS";"CELL",#N/A,FALSE,"CELL";"BS",#N/A,FALSE,"BS"}</definedName>
    <definedName name="belnew" localSheetId="6" hidden="1">{"IS",#N/A,FALSE,"IS";"RPTIS",#N/A,FALSE,"RPTIS";"STATS",#N/A,FALSE,"STATS";"CELL",#N/A,FALSE,"CELL";"BS",#N/A,FALSE,"BS"}</definedName>
    <definedName name="belnew" hidden="1">{"IS",#N/A,FALSE,"IS";"RPTIS",#N/A,FALSE,"RPTIS";"STATS",#N/A,FALSE,"STATS";"CELL",#N/A,FALSE,"CELL";"BS",#N/A,FALSE,"BS"}</definedName>
    <definedName name="BLPH1" hidden="1">#REF!</definedName>
    <definedName name="BLPH10" hidden="1">#REF!</definedName>
    <definedName name="BLPH2" hidden="1">#REF!</definedName>
    <definedName name="BLPH3" hidden="1">#REF!</definedName>
    <definedName name="BLPH4" hidden="1">#REF!</definedName>
    <definedName name="BLPH5" hidden="1">#REF!</definedName>
    <definedName name="BLPH6" hidden="1">#REF!</definedName>
    <definedName name="BLPH7" hidden="1">#REF!</definedName>
    <definedName name="BLPH8" hidden="1">#REF!</definedName>
    <definedName name="BLPH9" hidden="1">#REF!</definedName>
    <definedName name="Borrowings_incurred">MODEL!$122:$122</definedName>
    <definedName name="bowbow" hidden="1">{"AT","COMPANIES",TRUE}</definedName>
    <definedName name="cagnew" hidden="1">{"IS",#N/A,FALSE,"IS";"RPTIS",#N/A,FALSE,"RPTIS";"STATS",#N/A,FALSE,"STATS";"CELL",#N/A,FALSE,"CELL";"BS",#N/A,FALSE,"BS"}</definedName>
    <definedName name="Cash">MODEL!$130:$130</definedName>
    <definedName name="CBIT">MODEL!$99:$99</definedName>
    <definedName name="cde" hidden="1">{"subs",#N/A,FALSE,"database ";"proportional",#N/A,FALSE,"database "}</definedName>
    <definedName name="cdff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cdff2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Change_in_working_capital">MODEL!$97:$97</definedName>
    <definedName name="Closing_issued_shares">MODEL!$257:$257</definedName>
    <definedName name="Converting_preference_dividends">MODEL!$54:$54</definedName>
    <definedName name="Current_borrowings">MODEL!$163:$163</definedName>
    <definedName name="Current_investments">MODEL!$134:$134</definedName>
    <definedName name="Current_provisions">MODEL!$166:$166</definedName>
    <definedName name="delete_this" hidden="1">#REF!</definedName>
    <definedName name="delete_this_2" hidden="1">#REF!</definedName>
    <definedName name="delete_this_3" hidden="1">#REF!</definedName>
    <definedName name="delete_this_4" hidden="1">#REF!</definedName>
    <definedName name="delete_this_5" hidden="1">#REF!</definedName>
    <definedName name="delete_this_6" hidden="1">#REF!</definedName>
    <definedName name="delete_this_8" hidden="1">#REF!</definedName>
    <definedName name="delete_this_9" hidden="1">#REF!</definedName>
    <definedName name="Depreciation">MODEL!$41:$41</definedName>
    <definedName name="Dividend_payout">MODEL!$69:$69</definedName>
    <definedName name="Dividends_paid">MODEL!$105:$105</definedName>
    <definedName name="Dividends_received_from_associates">MODEL!$118:$118</definedName>
    <definedName name="Dividends_received_from_other_investments">MODEL!$119:$119</definedName>
    <definedName name="DPS">MODEL!$300:$300</definedName>
    <definedName name="DS" localSheetId="6" hidden="1">{"Full_Year",#N/A,FALSE,"PE1_S";#N/A,#N/A,FALSE,"DIVIS_S"}</definedName>
    <definedName name="DS" hidden="1">{"Full_Year",#N/A,FALSE,"PE1_S";#N/A,#N/A,FALSE,"DIVIS_S"}</definedName>
    <definedName name="dsafa" hidden="1">{"comp1",#N/A,FALSE,"COMPS";"footnotes",#N/A,FALSE,"COMPS"}</definedName>
    <definedName name="E_ALL_KEYWORDS_TYPE_ScalarContributed_EQTY_200019464">#REF!,#REF!,#REF!,#REF!,#REF!,#REF!,#REF!</definedName>
    <definedName name="E_ALL_OCL.AX">#REF!</definedName>
    <definedName name="E_ALL_SECTION_KEYWORDS_EQTY_200019464_13A">#REF!</definedName>
    <definedName name="EBITDA_classified">MODEL!#REF!</definedName>
    <definedName name="efg" hidden="1">{"Employee Efficiency",#N/A,FALSE,"Benchmarking"}</definedName>
    <definedName name="EFPO">MODEL!$259:$259</definedName>
    <definedName name="EPS">MODEL!$276:$276</definedName>
    <definedName name="EPS_Basic_Post_ab">MODEL!$282:$282</definedName>
    <definedName name="EPS_Diluted_Post_ab">MODEL!$277:$277</definedName>
    <definedName name="EPS_post_abs">MODEL!$275:$275</definedName>
    <definedName name="EPS_pre_ga">MODEL!$275:$275</definedName>
    <definedName name="EPS_pre_goodwill_amortisation">MODEL!$280:$280</definedName>
    <definedName name="Equity_profits">MODEL!$52:$52</definedName>
    <definedName name="esnrc39c1_values" hidden="1">{"AT","COMPANIES",TRUE}</definedName>
    <definedName name="Expansionary_capex">MODEL!$107:$107</definedName>
    <definedName name="f" hidden="1">{"PR1","pr1",TRUE,"Sch PR-1"}</definedName>
    <definedName name="fasdfs" hidden="1">{#N/A,#N/A,FALSE,"Aging Summary";#N/A,#N/A,FALSE,"Ratio Analysis";#N/A,#N/A,FALSE,"Test 120 Day Accts";#N/A,#N/A,FALSE,"Tickmarks"}</definedName>
    <definedName name="FCFPS">MODEL!$297:$297</definedName>
    <definedName name="fdas" hidden="1">{"IS",#N/A,FALSE,"IS";"RPTIS",#N/A,FALSE,"RPTIS";"STATS",#N/A,FALSE,"STATS";"CELL",#N/A,FALSE,"CELL";"BS",#N/A,FALSE,"BS"}</definedName>
    <definedName name="FDC_0_0" hidden="1">"#"</definedName>
    <definedName name="FDC_1_0" hidden="1">"#"</definedName>
    <definedName name="FDC_10_0" hidden="1">"#"</definedName>
    <definedName name="FDC_10_1" hidden="1">"#"</definedName>
    <definedName name="FDC_10_2" hidden="1">"#"</definedName>
    <definedName name="FDC_10_3" hidden="1">"#"</definedName>
    <definedName name="FDC_11_0" hidden="1">"#"</definedName>
    <definedName name="FDC_11_1" hidden="1">"#"</definedName>
    <definedName name="FDC_11_2" hidden="1">"#"</definedName>
    <definedName name="FDC_11_3" hidden="1">"#"</definedName>
    <definedName name="FDC_12_0" hidden="1">"#"</definedName>
    <definedName name="FDC_12_1" hidden="1">"#"</definedName>
    <definedName name="FDC_12_2" hidden="1">"#"</definedName>
    <definedName name="FDC_12_3" hidden="1">"#"</definedName>
    <definedName name="FDC_13_0" hidden="1">"#"</definedName>
    <definedName name="FDC_13_1" hidden="1">"#"</definedName>
    <definedName name="FDC_13_2" hidden="1">"#"</definedName>
    <definedName name="FDC_13_3" hidden="1">"#"</definedName>
    <definedName name="FDC_14_0" hidden="1">"#"</definedName>
    <definedName name="FDC_14_1" hidden="1">"#"</definedName>
    <definedName name="FDC_14_2" hidden="1">"#"</definedName>
    <definedName name="FDC_14_3" hidden="1">"#"</definedName>
    <definedName name="FDC_15_0" hidden="1">"#"</definedName>
    <definedName name="FDC_16_0" hidden="1">"#"</definedName>
    <definedName name="FDC_17_0" hidden="1">"#"</definedName>
    <definedName name="FDC_18_0" hidden="1">"#"</definedName>
    <definedName name="FDC_19_0" hidden="1">"#"</definedName>
    <definedName name="FDC_19_1" hidden="1">"#"</definedName>
    <definedName name="FDC_19_2" hidden="1">"#"</definedName>
    <definedName name="FDC_19_3" hidden="1">"#"</definedName>
    <definedName name="FDC_2_0" hidden="1">"#"</definedName>
    <definedName name="FDC_20_0" hidden="1">"#"</definedName>
    <definedName name="FDC_21_0" hidden="1">"#"</definedName>
    <definedName name="FDC_21_1" hidden="1">"#"</definedName>
    <definedName name="FDC_21_2" hidden="1">"#"</definedName>
    <definedName name="FDC_21_3" hidden="1">"#"</definedName>
    <definedName name="FDC_22_0" hidden="1">"#"</definedName>
    <definedName name="FDC_23_0" hidden="1">"#"</definedName>
    <definedName name="FDC_24_0" hidden="1">"#"</definedName>
    <definedName name="FDC_25_0" hidden="1">"#"</definedName>
    <definedName name="FDC_25_1" hidden="1">"#"</definedName>
    <definedName name="FDC_25_2" hidden="1">"#"</definedName>
    <definedName name="FDC_25_3" hidden="1">"#"</definedName>
    <definedName name="FDC_26_0" hidden="1">"#"</definedName>
    <definedName name="FDC_26_1" hidden="1">"#"</definedName>
    <definedName name="FDC_26_2" hidden="1">"#"</definedName>
    <definedName name="FDC_26_3" hidden="1">"#"</definedName>
    <definedName name="FDC_27_0" hidden="1">"#"</definedName>
    <definedName name="FDC_28_0" hidden="1">"#"</definedName>
    <definedName name="FDC_28_1" hidden="1">"#"</definedName>
    <definedName name="FDC_28_2" hidden="1">"#"</definedName>
    <definedName name="FDC_28_3" hidden="1">"#"</definedName>
    <definedName name="FDC_29_0" hidden="1">"#"</definedName>
    <definedName name="FDC_29_1" hidden="1">"#"</definedName>
    <definedName name="FDC_29_2" hidden="1">"#"</definedName>
    <definedName name="FDC_29_3" hidden="1">"#"</definedName>
    <definedName name="FDC_3_0" hidden="1">"#"</definedName>
    <definedName name="FDC_30_0" hidden="1">"#"</definedName>
    <definedName name="FDC_31_0" hidden="1">"#"</definedName>
    <definedName name="FDC_32_0" hidden="1">"#"</definedName>
    <definedName name="FDC_33_0" hidden="1">"#"</definedName>
    <definedName name="FDC_34_0" hidden="1">"#"</definedName>
    <definedName name="FDC_35_0" hidden="1">"#"</definedName>
    <definedName name="FDC_36_0" hidden="1">"#"</definedName>
    <definedName name="FDC_37_0" hidden="1">"#"</definedName>
    <definedName name="FDC_38_0" hidden="1">"#"</definedName>
    <definedName name="FDC_39_0" hidden="1">"#"</definedName>
    <definedName name="FDC_4_0" hidden="1">"#"</definedName>
    <definedName name="FDC_40_0" hidden="1">"#"</definedName>
    <definedName name="FDC_41_0" hidden="1">"#"</definedName>
    <definedName name="FDC_41_1" hidden="1">"#"</definedName>
    <definedName name="FDC_41_2" hidden="1">"#"</definedName>
    <definedName name="FDC_41_3" hidden="1">"#"</definedName>
    <definedName name="FDC_42_0" hidden="1">"#"</definedName>
    <definedName name="FDC_42_1" hidden="1">"#"</definedName>
    <definedName name="FDC_42_2" hidden="1">"#"</definedName>
    <definedName name="FDC_42_3" hidden="1">"#"</definedName>
    <definedName name="FDC_43_0" hidden="1">"#"</definedName>
    <definedName name="FDC_43_1" hidden="1">"#"</definedName>
    <definedName name="FDC_43_2" hidden="1">"#"</definedName>
    <definedName name="FDC_43_3" hidden="1">"#"</definedName>
    <definedName name="FDC_44_0" hidden="1">"#"</definedName>
    <definedName name="FDC_45_0" hidden="1">"#"</definedName>
    <definedName name="FDC_45_1" hidden="1">"#"</definedName>
    <definedName name="FDC_45_2" hidden="1">"#"</definedName>
    <definedName name="FDC_45_3" hidden="1">"#"</definedName>
    <definedName name="FDC_46_0" hidden="1">"#"</definedName>
    <definedName name="FDC_46_1" hidden="1">"#"</definedName>
    <definedName name="FDC_46_2" hidden="1">"#"</definedName>
    <definedName name="FDC_46_3" hidden="1">"#"</definedName>
    <definedName name="FDC_47_0" hidden="1">"#"</definedName>
    <definedName name="FDC_47_1" hidden="1">"#"</definedName>
    <definedName name="FDC_47_2" hidden="1">"#"</definedName>
    <definedName name="FDC_47_3" hidden="1">"#"</definedName>
    <definedName name="FDC_48_0" hidden="1">"#"</definedName>
    <definedName name="FDC_48_1" hidden="1">"#"</definedName>
    <definedName name="FDC_48_2" hidden="1">"#"</definedName>
    <definedName name="FDC_48_3" hidden="1">"#"</definedName>
    <definedName name="FDC_49_0" hidden="1">"#"</definedName>
    <definedName name="FDC_49_1" hidden="1">"#"</definedName>
    <definedName name="FDC_49_2" hidden="1">"#"</definedName>
    <definedName name="FDC_49_3" hidden="1">"#"</definedName>
    <definedName name="FDC_5_0" hidden="1">"#"</definedName>
    <definedName name="FDC_5_1" hidden="1">"#"</definedName>
    <definedName name="FDC_5_2" hidden="1">"#"</definedName>
    <definedName name="FDC_5_3" hidden="1">"#"</definedName>
    <definedName name="FDC_50_0" hidden="1">"#"</definedName>
    <definedName name="FDC_50_1" hidden="1">"#"</definedName>
    <definedName name="FDC_50_2" hidden="1">"#"</definedName>
    <definedName name="FDC_50_3" hidden="1">"#"</definedName>
    <definedName name="FDC_51_0" hidden="1">"#"</definedName>
    <definedName name="FDC_51_1" hidden="1">"#"</definedName>
    <definedName name="FDC_51_2" hidden="1">"#"</definedName>
    <definedName name="FDC_51_3" hidden="1">"#"</definedName>
    <definedName name="FDC_52_0" hidden="1">"#"</definedName>
    <definedName name="FDC_52_1" hidden="1">"#"</definedName>
    <definedName name="FDC_52_2" hidden="1">"#"</definedName>
    <definedName name="FDC_52_3" hidden="1">"#"</definedName>
    <definedName name="FDC_53_0" hidden="1">"#"</definedName>
    <definedName name="FDC_53_1" hidden="1">"#"</definedName>
    <definedName name="FDC_53_2" hidden="1">"#"</definedName>
    <definedName name="FDC_53_3" hidden="1">"#"</definedName>
    <definedName name="FDC_54_0" hidden="1">"#"</definedName>
    <definedName name="FDC_54_1" hidden="1">"#"</definedName>
    <definedName name="FDC_54_2" hidden="1">"#"</definedName>
    <definedName name="FDC_54_3" hidden="1">"#"</definedName>
    <definedName name="FDC_55_0" hidden="1">"#"</definedName>
    <definedName name="FDC_55_1" hidden="1">"#"</definedName>
    <definedName name="FDC_55_2" hidden="1">"#"</definedName>
    <definedName name="FDC_55_3" hidden="1">"#"</definedName>
    <definedName name="FDC_56_0" hidden="1">"#"</definedName>
    <definedName name="FDC_57_0" hidden="1">"#"</definedName>
    <definedName name="FDC_58_0" hidden="1">"#"</definedName>
    <definedName name="FDC_58_1" hidden="1">"#"</definedName>
    <definedName name="FDC_58_10" hidden="1">"#"</definedName>
    <definedName name="FDC_58_100" hidden="1">"#"</definedName>
    <definedName name="FDC_58_101" hidden="1">"#"</definedName>
    <definedName name="FDC_58_102" hidden="1">"#"</definedName>
    <definedName name="FDC_58_103" hidden="1">"#"</definedName>
    <definedName name="FDC_58_104" hidden="1">"#"</definedName>
    <definedName name="FDC_58_105" hidden="1">"#"</definedName>
    <definedName name="FDC_58_106" hidden="1">"#"</definedName>
    <definedName name="FDC_58_107" hidden="1">"#"</definedName>
    <definedName name="FDC_58_108" hidden="1">"#"</definedName>
    <definedName name="FDC_58_109" hidden="1">"#"</definedName>
    <definedName name="FDC_58_11" hidden="1">"#"</definedName>
    <definedName name="FDC_58_110" hidden="1">"#"</definedName>
    <definedName name="FDC_58_111" hidden="1">"#"</definedName>
    <definedName name="FDC_58_112" hidden="1">"#"</definedName>
    <definedName name="FDC_58_113" hidden="1">"#"</definedName>
    <definedName name="FDC_58_114" hidden="1">"#"</definedName>
    <definedName name="FDC_58_115" hidden="1">"#"</definedName>
    <definedName name="FDC_58_116" hidden="1">"#"</definedName>
    <definedName name="FDC_58_117" hidden="1">"#"</definedName>
    <definedName name="FDC_58_118" hidden="1">"#"</definedName>
    <definedName name="FDC_58_119" hidden="1">"#"</definedName>
    <definedName name="FDC_58_12" hidden="1">"#"</definedName>
    <definedName name="FDC_58_120" hidden="1">"#"</definedName>
    <definedName name="FDC_58_121" hidden="1">"#"</definedName>
    <definedName name="FDC_58_122" hidden="1">"#"</definedName>
    <definedName name="FDC_58_123" hidden="1">"#"</definedName>
    <definedName name="FDC_58_124" hidden="1">"#"</definedName>
    <definedName name="FDC_58_125" hidden="1">"#"</definedName>
    <definedName name="FDC_58_126" hidden="1">"#"</definedName>
    <definedName name="FDC_58_127" hidden="1">"#"</definedName>
    <definedName name="FDC_58_128" hidden="1">"#"</definedName>
    <definedName name="FDC_58_129" hidden="1">"#"</definedName>
    <definedName name="FDC_58_13" hidden="1">"#"</definedName>
    <definedName name="FDC_58_130" hidden="1">"#"</definedName>
    <definedName name="FDC_58_131" hidden="1">"#"</definedName>
    <definedName name="FDC_58_132" hidden="1">"#"</definedName>
    <definedName name="FDC_58_133" hidden="1">"#"</definedName>
    <definedName name="FDC_58_134" hidden="1">"#"</definedName>
    <definedName name="FDC_58_135" hidden="1">"#"</definedName>
    <definedName name="FDC_58_136" hidden="1">"#"</definedName>
    <definedName name="FDC_58_137" hidden="1">"#"</definedName>
    <definedName name="FDC_58_138" hidden="1">"#"</definedName>
    <definedName name="FDC_58_139" hidden="1">"#"</definedName>
    <definedName name="FDC_58_14" hidden="1">"#"</definedName>
    <definedName name="FDC_58_140" hidden="1">"#"</definedName>
    <definedName name="FDC_58_141" hidden="1">"#"</definedName>
    <definedName name="FDC_58_142" hidden="1">"#"</definedName>
    <definedName name="FDC_58_143" hidden="1">"#"</definedName>
    <definedName name="FDC_58_144" hidden="1">"#"</definedName>
    <definedName name="FDC_58_145" hidden="1">"#"</definedName>
    <definedName name="FDC_58_146" hidden="1">"#"</definedName>
    <definedName name="FDC_58_147" hidden="1">"#"</definedName>
    <definedName name="FDC_58_148" hidden="1">"#"</definedName>
    <definedName name="FDC_58_149" hidden="1">"#"</definedName>
    <definedName name="FDC_58_15" hidden="1">"#"</definedName>
    <definedName name="FDC_58_150" hidden="1">"#"</definedName>
    <definedName name="FDC_58_151" hidden="1">"#"</definedName>
    <definedName name="FDC_58_152" hidden="1">"#"</definedName>
    <definedName name="FDC_58_153" hidden="1">"#"</definedName>
    <definedName name="FDC_58_154" hidden="1">"#"</definedName>
    <definedName name="FDC_58_155" hidden="1">"#"</definedName>
    <definedName name="FDC_58_156" hidden="1">"#"</definedName>
    <definedName name="FDC_58_157" hidden="1">"#"</definedName>
    <definedName name="FDC_58_158" hidden="1">"#"</definedName>
    <definedName name="FDC_58_159" hidden="1">"#"</definedName>
    <definedName name="FDC_58_16" hidden="1">"#"</definedName>
    <definedName name="FDC_58_160" hidden="1">"#"</definedName>
    <definedName name="FDC_58_161" hidden="1">"#"</definedName>
    <definedName name="FDC_58_162" hidden="1">"#"</definedName>
    <definedName name="FDC_58_163" hidden="1">"#"</definedName>
    <definedName name="FDC_58_164" hidden="1">"#"</definedName>
    <definedName name="FDC_58_165" hidden="1">"#"</definedName>
    <definedName name="FDC_58_166" hidden="1">"#"</definedName>
    <definedName name="FDC_58_167" hidden="1">"#"</definedName>
    <definedName name="FDC_58_168" hidden="1">"#"</definedName>
    <definedName name="FDC_58_169" hidden="1">"#"</definedName>
    <definedName name="FDC_58_17" hidden="1">"#"</definedName>
    <definedName name="FDC_58_170" hidden="1">"#"</definedName>
    <definedName name="FDC_58_171" hidden="1">"#"</definedName>
    <definedName name="FDC_58_172" hidden="1">"#"</definedName>
    <definedName name="FDC_58_173" hidden="1">"#"</definedName>
    <definedName name="FDC_58_174" hidden="1">"#"</definedName>
    <definedName name="FDC_58_175" hidden="1">"#"</definedName>
    <definedName name="FDC_58_176" hidden="1">"#"</definedName>
    <definedName name="FDC_58_177" hidden="1">"#"</definedName>
    <definedName name="FDC_58_178" hidden="1">"#"</definedName>
    <definedName name="FDC_58_179" hidden="1">"#"</definedName>
    <definedName name="FDC_58_18" hidden="1">"#"</definedName>
    <definedName name="FDC_58_180" hidden="1">"#"</definedName>
    <definedName name="FDC_58_181" hidden="1">"#"</definedName>
    <definedName name="FDC_58_182" hidden="1">"#"</definedName>
    <definedName name="FDC_58_183" hidden="1">"#"</definedName>
    <definedName name="FDC_58_184" hidden="1">"#"</definedName>
    <definedName name="FDC_58_185" hidden="1">"#"</definedName>
    <definedName name="FDC_58_186" hidden="1">"#"</definedName>
    <definedName name="FDC_58_187" hidden="1">"#"</definedName>
    <definedName name="FDC_58_188" hidden="1">"#"</definedName>
    <definedName name="FDC_58_189" hidden="1">"#"</definedName>
    <definedName name="FDC_58_19" hidden="1">"#"</definedName>
    <definedName name="FDC_58_190" hidden="1">"#"</definedName>
    <definedName name="FDC_58_191" hidden="1">"#"</definedName>
    <definedName name="FDC_58_192" hidden="1">"#"</definedName>
    <definedName name="FDC_58_193" hidden="1">"#"</definedName>
    <definedName name="FDC_58_194" hidden="1">"#"</definedName>
    <definedName name="FDC_58_195" hidden="1">"#"</definedName>
    <definedName name="FDC_58_196" hidden="1">"#"</definedName>
    <definedName name="FDC_58_197" hidden="1">"#"</definedName>
    <definedName name="FDC_58_198" hidden="1">"#"</definedName>
    <definedName name="FDC_58_199" hidden="1">"#"</definedName>
    <definedName name="FDC_58_2" hidden="1">"#"</definedName>
    <definedName name="FDC_58_20" hidden="1">"#"</definedName>
    <definedName name="FDC_58_200" hidden="1">"#"</definedName>
    <definedName name="FDC_58_201" hidden="1">"#"</definedName>
    <definedName name="FDC_58_202" hidden="1">"#"</definedName>
    <definedName name="FDC_58_203" hidden="1">"#"</definedName>
    <definedName name="FDC_58_204" hidden="1">"#"</definedName>
    <definedName name="FDC_58_205" hidden="1">"#"</definedName>
    <definedName name="FDC_58_206" hidden="1">"#"</definedName>
    <definedName name="FDC_58_207" hidden="1">"#"</definedName>
    <definedName name="FDC_58_208" hidden="1">"#"</definedName>
    <definedName name="FDC_58_209" hidden="1">"#"</definedName>
    <definedName name="FDC_58_21" hidden="1">"#"</definedName>
    <definedName name="FDC_58_210" hidden="1">"#"</definedName>
    <definedName name="FDC_58_211" hidden="1">"#"</definedName>
    <definedName name="FDC_58_212" hidden="1">"#"</definedName>
    <definedName name="FDC_58_213" hidden="1">"#"</definedName>
    <definedName name="FDC_58_214" hidden="1">"#"</definedName>
    <definedName name="FDC_58_215" hidden="1">"#"</definedName>
    <definedName name="FDC_58_216" hidden="1">"#"</definedName>
    <definedName name="FDC_58_217" hidden="1">"#"</definedName>
    <definedName name="FDC_58_218" hidden="1">"#"</definedName>
    <definedName name="FDC_58_219" hidden="1">"#"</definedName>
    <definedName name="FDC_58_22" hidden="1">"#"</definedName>
    <definedName name="FDC_58_220" hidden="1">"#"</definedName>
    <definedName name="FDC_58_221" hidden="1">"#"</definedName>
    <definedName name="FDC_58_222" hidden="1">"#"</definedName>
    <definedName name="FDC_58_223" hidden="1">"#"</definedName>
    <definedName name="FDC_58_224" hidden="1">"#"</definedName>
    <definedName name="FDC_58_225" hidden="1">"#"</definedName>
    <definedName name="FDC_58_226" hidden="1">"#"</definedName>
    <definedName name="FDC_58_227" hidden="1">"#"</definedName>
    <definedName name="FDC_58_228" hidden="1">"#"</definedName>
    <definedName name="FDC_58_229" hidden="1">"#"</definedName>
    <definedName name="FDC_58_23" hidden="1">"#"</definedName>
    <definedName name="FDC_58_230" hidden="1">"#"</definedName>
    <definedName name="FDC_58_231" hidden="1">"#"</definedName>
    <definedName name="FDC_58_232" hidden="1">"#"</definedName>
    <definedName name="FDC_58_233" hidden="1">"#"</definedName>
    <definedName name="FDC_58_234" hidden="1">"#"</definedName>
    <definedName name="FDC_58_235" hidden="1">"#"</definedName>
    <definedName name="FDC_58_236" hidden="1">"#"</definedName>
    <definedName name="FDC_58_237" hidden="1">"#"</definedName>
    <definedName name="FDC_58_238" hidden="1">"#"</definedName>
    <definedName name="FDC_58_239" hidden="1">"#"</definedName>
    <definedName name="FDC_58_24" hidden="1">"#"</definedName>
    <definedName name="FDC_58_240" hidden="1">"#"</definedName>
    <definedName name="FDC_58_241" hidden="1">"#"</definedName>
    <definedName name="FDC_58_242" hidden="1">"#"</definedName>
    <definedName name="FDC_58_243" hidden="1">"#"</definedName>
    <definedName name="FDC_58_244" hidden="1">"#"</definedName>
    <definedName name="FDC_58_245" hidden="1">"#"</definedName>
    <definedName name="FDC_58_246" hidden="1">"#"</definedName>
    <definedName name="FDC_58_247" hidden="1">"#"</definedName>
    <definedName name="FDC_58_248" hidden="1">"#"</definedName>
    <definedName name="FDC_58_249" hidden="1">"#"</definedName>
    <definedName name="FDC_58_25" hidden="1">"#"</definedName>
    <definedName name="FDC_58_250" hidden="1">"#"</definedName>
    <definedName name="FDC_58_251" hidden="1">"#"</definedName>
    <definedName name="FDC_58_252" hidden="1">"#"</definedName>
    <definedName name="FDC_58_253" hidden="1">"#"</definedName>
    <definedName name="FDC_58_254" hidden="1">"#"</definedName>
    <definedName name="FDC_58_255" hidden="1">"#"</definedName>
    <definedName name="FDC_58_256" hidden="1">"#"</definedName>
    <definedName name="FDC_58_257" hidden="1">"#"</definedName>
    <definedName name="FDC_58_258" hidden="1">"#"</definedName>
    <definedName name="FDC_58_259" hidden="1">"#"</definedName>
    <definedName name="FDC_58_26" hidden="1">"#"</definedName>
    <definedName name="FDC_58_260" hidden="1">"#"</definedName>
    <definedName name="FDC_58_261" hidden="1">"#"</definedName>
    <definedName name="FDC_58_27" hidden="1">"#"</definedName>
    <definedName name="FDC_58_28" hidden="1">"#"</definedName>
    <definedName name="FDC_58_29" hidden="1">"#"</definedName>
    <definedName name="FDC_58_3" hidden="1">"#"</definedName>
    <definedName name="FDC_58_30" hidden="1">"#"</definedName>
    <definedName name="FDC_58_31" hidden="1">"#"</definedName>
    <definedName name="FDC_58_32" hidden="1">"#"</definedName>
    <definedName name="FDC_58_33" hidden="1">"#"</definedName>
    <definedName name="FDC_58_34" hidden="1">"#"</definedName>
    <definedName name="FDC_58_35" hidden="1">"#"</definedName>
    <definedName name="FDC_58_36" hidden="1">"#"</definedName>
    <definedName name="FDC_58_37" hidden="1">"#"</definedName>
    <definedName name="FDC_58_38" hidden="1">"#"</definedName>
    <definedName name="FDC_58_39" hidden="1">"#"</definedName>
    <definedName name="FDC_58_4" hidden="1">"#"</definedName>
    <definedName name="FDC_58_40" hidden="1">"#"</definedName>
    <definedName name="FDC_58_41" hidden="1">"#"</definedName>
    <definedName name="FDC_58_42" hidden="1">"#"</definedName>
    <definedName name="FDC_58_43" hidden="1">"#"</definedName>
    <definedName name="FDC_58_44" hidden="1">"#"</definedName>
    <definedName name="FDC_58_45" hidden="1">"#"</definedName>
    <definedName name="FDC_58_46" hidden="1">"#"</definedName>
    <definedName name="FDC_58_47" hidden="1">"#"</definedName>
    <definedName name="FDC_58_48" hidden="1">"#"</definedName>
    <definedName name="FDC_58_49" hidden="1">"#"</definedName>
    <definedName name="FDC_58_5" hidden="1">"#"</definedName>
    <definedName name="FDC_58_50" hidden="1">"#"</definedName>
    <definedName name="FDC_58_51" hidden="1">"#"</definedName>
    <definedName name="FDC_58_52" hidden="1">"#"</definedName>
    <definedName name="FDC_58_53" hidden="1">"#"</definedName>
    <definedName name="FDC_58_54" hidden="1">"#"</definedName>
    <definedName name="FDC_58_55" hidden="1">"#"</definedName>
    <definedName name="FDC_58_56" hidden="1">"#"</definedName>
    <definedName name="FDC_58_57" hidden="1">"#"</definedName>
    <definedName name="FDC_58_58" hidden="1">"#"</definedName>
    <definedName name="FDC_58_59" hidden="1">"#"</definedName>
    <definedName name="FDC_58_6" hidden="1">"#"</definedName>
    <definedName name="FDC_58_60" hidden="1">"#"</definedName>
    <definedName name="FDC_58_61" hidden="1">"#"</definedName>
    <definedName name="FDC_58_62" hidden="1">"#"</definedName>
    <definedName name="FDC_58_63" hidden="1">"#"</definedName>
    <definedName name="FDC_58_64" hidden="1">"#"</definedName>
    <definedName name="FDC_58_65" hidden="1">"#"</definedName>
    <definedName name="FDC_58_66" hidden="1">"#"</definedName>
    <definedName name="FDC_58_67" hidden="1">"#"</definedName>
    <definedName name="FDC_58_68" hidden="1">"#"</definedName>
    <definedName name="FDC_58_69" hidden="1">"#"</definedName>
    <definedName name="FDC_58_7" hidden="1">"#"</definedName>
    <definedName name="FDC_58_70" hidden="1">"#"</definedName>
    <definedName name="FDC_58_71" hidden="1">"#"</definedName>
    <definedName name="FDC_58_72" hidden="1">"#"</definedName>
    <definedName name="FDC_58_73" hidden="1">"#"</definedName>
    <definedName name="FDC_58_74" hidden="1">"#"</definedName>
    <definedName name="FDC_58_75" hidden="1">"#"</definedName>
    <definedName name="FDC_58_76" hidden="1">"#"</definedName>
    <definedName name="FDC_58_77" hidden="1">"#"</definedName>
    <definedName name="FDC_58_78" hidden="1">"#"</definedName>
    <definedName name="FDC_58_79" hidden="1">"#"</definedName>
    <definedName name="FDC_58_8" hidden="1">"#"</definedName>
    <definedName name="FDC_58_80" hidden="1">"#"</definedName>
    <definedName name="FDC_58_81" hidden="1">"#"</definedName>
    <definedName name="FDC_58_82" hidden="1">"#"</definedName>
    <definedName name="FDC_58_83" hidden="1">"#"</definedName>
    <definedName name="FDC_58_84" hidden="1">"#"</definedName>
    <definedName name="FDC_58_85" hidden="1">"#"</definedName>
    <definedName name="FDC_58_86" hidden="1">"#"</definedName>
    <definedName name="FDC_58_87" hidden="1">"#"</definedName>
    <definedName name="FDC_58_88" hidden="1">"#"</definedName>
    <definedName name="FDC_58_89" hidden="1">"#"</definedName>
    <definedName name="FDC_58_9" hidden="1">"#"</definedName>
    <definedName name="FDC_58_90" hidden="1">"#"</definedName>
    <definedName name="FDC_58_91" hidden="1">"#"</definedName>
    <definedName name="FDC_58_92" hidden="1">"#"</definedName>
    <definedName name="FDC_58_93" hidden="1">"#"</definedName>
    <definedName name="FDC_58_94" hidden="1">"#"</definedName>
    <definedName name="FDC_58_95" hidden="1">"#"</definedName>
    <definedName name="FDC_58_96" hidden="1">"#"</definedName>
    <definedName name="FDC_58_97" hidden="1">"#"</definedName>
    <definedName name="FDC_58_98" hidden="1">"#"</definedName>
    <definedName name="FDC_58_99" hidden="1">"#"</definedName>
    <definedName name="FDC_59_0" hidden="1">"#"</definedName>
    <definedName name="FDC_59_1" hidden="1">"#"</definedName>
    <definedName name="FDC_59_10" hidden="1">"#"</definedName>
    <definedName name="FDC_59_100" hidden="1">"#"</definedName>
    <definedName name="FDC_59_101" hidden="1">"#"</definedName>
    <definedName name="FDC_59_102" hidden="1">"#"</definedName>
    <definedName name="FDC_59_103" hidden="1">"#"</definedName>
    <definedName name="FDC_59_104" hidden="1">"#"</definedName>
    <definedName name="FDC_59_105" hidden="1">"#"</definedName>
    <definedName name="FDC_59_106" hidden="1">"#"</definedName>
    <definedName name="FDC_59_107" hidden="1">"#"</definedName>
    <definedName name="FDC_59_108" hidden="1">"#"</definedName>
    <definedName name="FDC_59_109" hidden="1">"#"</definedName>
    <definedName name="FDC_59_11" hidden="1">"#"</definedName>
    <definedName name="FDC_59_110" hidden="1">"#"</definedName>
    <definedName name="FDC_59_111" hidden="1">"#"</definedName>
    <definedName name="FDC_59_112" hidden="1">"#"</definedName>
    <definedName name="FDC_59_113" hidden="1">"#"</definedName>
    <definedName name="FDC_59_114" hidden="1">"#"</definedName>
    <definedName name="FDC_59_115" hidden="1">"#"</definedName>
    <definedName name="FDC_59_116" hidden="1">"#"</definedName>
    <definedName name="FDC_59_117" hidden="1">"#"</definedName>
    <definedName name="FDC_59_118" hidden="1">"#"</definedName>
    <definedName name="FDC_59_119" hidden="1">"#"</definedName>
    <definedName name="FDC_59_12" hidden="1">"#"</definedName>
    <definedName name="FDC_59_120" hidden="1">"#"</definedName>
    <definedName name="FDC_59_121" hidden="1">"#"</definedName>
    <definedName name="FDC_59_122" hidden="1">"#"</definedName>
    <definedName name="FDC_59_123" hidden="1">"#"</definedName>
    <definedName name="FDC_59_124" hidden="1">"#"</definedName>
    <definedName name="FDC_59_125" hidden="1">"#"</definedName>
    <definedName name="FDC_59_126" hidden="1">"#"</definedName>
    <definedName name="FDC_59_127" hidden="1">"#"</definedName>
    <definedName name="FDC_59_128" hidden="1">"#"</definedName>
    <definedName name="FDC_59_129" hidden="1">"#"</definedName>
    <definedName name="FDC_59_13" hidden="1">"#"</definedName>
    <definedName name="FDC_59_130" hidden="1">"#"</definedName>
    <definedName name="FDC_59_131" hidden="1">"#"</definedName>
    <definedName name="FDC_59_132" hidden="1">"#"</definedName>
    <definedName name="FDC_59_133" hidden="1">"#"</definedName>
    <definedName name="FDC_59_134" hidden="1">"#"</definedName>
    <definedName name="FDC_59_135" hidden="1">"#"</definedName>
    <definedName name="FDC_59_136" hidden="1">"#"</definedName>
    <definedName name="FDC_59_137" hidden="1">"#"</definedName>
    <definedName name="FDC_59_138" hidden="1">"#"</definedName>
    <definedName name="FDC_59_139" hidden="1">"#"</definedName>
    <definedName name="FDC_59_14" hidden="1">"#"</definedName>
    <definedName name="FDC_59_140" hidden="1">"#"</definedName>
    <definedName name="FDC_59_141" hidden="1">"#"</definedName>
    <definedName name="FDC_59_142" hidden="1">"#"</definedName>
    <definedName name="FDC_59_143" hidden="1">"#"</definedName>
    <definedName name="FDC_59_144" hidden="1">"#"</definedName>
    <definedName name="FDC_59_145" hidden="1">"#"</definedName>
    <definedName name="FDC_59_146" hidden="1">"#"</definedName>
    <definedName name="FDC_59_147" hidden="1">"#"</definedName>
    <definedName name="FDC_59_148" hidden="1">"#"</definedName>
    <definedName name="FDC_59_149" hidden="1">"#"</definedName>
    <definedName name="FDC_59_15" hidden="1">"#"</definedName>
    <definedName name="FDC_59_150" hidden="1">"#"</definedName>
    <definedName name="FDC_59_151" hidden="1">"#"</definedName>
    <definedName name="FDC_59_152" hidden="1">"#"</definedName>
    <definedName name="FDC_59_153" hidden="1">"#"</definedName>
    <definedName name="FDC_59_154" hidden="1">"#"</definedName>
    <definedName name="FDC_59_155" hidden="1">"#"</definedName>
    <definedName name="FDC_59_156" hidden="1">"#"</definedName>
    <definedName name="FDC_59_157" hidden="1">"#"</definedName>
    <definedName name="FDC_59_158" hidden="1">"#"</definedName>
    <definedName name="FDC_59_159" hidden="1">"#"</definedName>
    <definedName name="FDC_59_16" hidden="1">"#"</definedName>
    <definedName name="FDC_59_160" hidden="1">"#"</definedName>
    <definedName name="FDC_59_161" hidden="1">"#"</definedName>
    <definedName name="FDC_59_162" hidden="1">"#"</definedName>
    <definedName name="FDC_59_163" hidden="1">"#"</definedName>
    <definedName name="FDC_59_164" hidden="1">"#"</definedName>
    <definedName name="FDC_59_165" hidden="1">"#"</definedName>
    <definedName name="FDC_59_166" hidden="1">"#"</definedName>
    <definedName name="FDC_59_167" hidden="1">"#"</definedName>
    <definedName name="FDC_59_168" hidden="1">"#"</definedName>
    <definedName name="FDC_59_169" hidden="1">"#"</definedName>
    <definedName name="FDC_59_17" hidden="1">"#"</definedName>
    <definedName name="FDC_59_170" hidden="1">"#"</definedName>
    <definedName name="FDC_59_171" hidden="1">"#"</definedName>
    <definedName name="FDC_59_172" hidden="1">"#"</definedName>
    <definedName name="FDC_59_173" hidden="1">"#"</definedName>
    <definedName name="FDC_59_174" hidden="1">"#"</definedName>
    <definedName name="FDC_59_175" hidden="1">"#"</definedName>
    <definedName name="FDC_59_176" hidden="1">"#"</definedName>
    <definedName name="FDC_59_177" hidden="1">"#"</definedName>
    <definedName name="FDC_59_178" hidden="1">"#"</definedName>
    <definedName name="FDC_59_179" hidden="1">"#"</definedName>
    <definedName name="FDC_59_18" hidden="1">"#"</definedName>
    <definedName name="FDC_59_180" hidden="1">"#"</definedName>
    <definedName name="FDC_59_181" hidden="1">"#"</definedName>
    <definedName name="FDC_59_182" hidden="1">"#"</definedName>
    <definedName name="FDC_59_183" hidden="1">"#"</definedName>
    <definedName name="FDC_59_184" hidden="1">"#"</definedName>
    <definedName name="FDC_59_185" hidden="1">"#"</definedName>
    <definedName name="FDC_59_186" hidden="1">"#"</definedName>
    <definedName name="FDC_59_187" hidden="1">"#"</definedName>
    <definedName name="FDC_59_188" hidden="1">"#"</definedName>
    <definedName name="FDC_59_189" hidden="1">"#"</definedName>
    <definedName name="FDC_59_19" hidden="1">"#"</definedName>
    <definedName name="FDC_59_190" hidden="1">"#"</definedName>
    <definedName name="FDC_59_191" hidden="1">"#"</definedName>
    <definedName name="FDC_59_192" hidden="1">"#"</definedName>
    <definedName name="FDC_59_193" hidden="1">"#"</definedName>
    <definedName name="FDC_59_194" hidden="1">"#"</definedName>
    <definedName name="FDC_59_195" hidden="1">"#"</definedName>
    <definedName name="FDC_59_196" hidden="1">"#"</definedName>
    <definedName name="FDC_59_197" hidden="1">"#"</definedName>
    <definedName name="FDC_59_198" hidden="1">"#"</definedName>
    <definedName name="FDC_59_199" hidden="1">"#"</definedName>
    <definedName name="FDC_59_2" hidden="1">"#"</definedName>
    <definedName name="FDC_59_20" hidden="1">"#"</definedName>
    <definedName name="FDC_59_200" hidden="1">"#"</definedName>
    <definedName name="FDC_59_201" hidden="1">"#"</definedName>
    <definedName name="FDC_59_202" hidden="1">"#"</definedName>
    <definedName name="FDC_59_203" hidden="1">"#"</definedName>
    <definedName name="FDC_59_204" hidden="1">"#"</definedName>
    <definedName name="FDC_59_205" hidden="1">"#"</definedName>
    <definedName name="FDC_59_206" hidden="1">"#"</definedName>
    <definedName name="FDC_59_207" hidden="1">"#"</definedName>
    <definedName name="FDC_59_208" hidden="1">"#"</definedName>
    <definedName name="FDC_59_209" hidden="1">"#"</definedName>
    <definedName name="FDC_59_21" hidden="1">"#"</definedName>
    <definedName name="FDC_59_210" hidden="1">"#"</definedName>
    <definedName name="FDC_59_211" hidden="1">"#"</definedName>
    <definedName name="FDC_59_212" hidden="1">"#"</definedName>
    <definedName name="FDC_59_213" hidden="1">"#"</definedName>
    <definedName name="FDC_59_214" hidden="1">"#"</definedName>
    <definedName name="FDC_59_215" hidden="1">"#"</definedName>
    <definedName name="FDC_59_216" hidden="1">"#"</definedName>
    <definedName name="FDC_59_217" hidden="1">"#"</definedName>
    <definedName name="FDC_59_218" hidden="1">"#"</definedName>
    <definedName name="FDC_59_219" hidden="1">"#"</definedName>
    <definedName name="FDC_59_22" hidden="1">"#"</definedName>
    <definedName name="FDC_59_220" hidden="1">"#"</definedName>
    <definedName name="FDC_59_221" hidden="1">"#"</definedName>
    <definedName name="FDC_59_222" hidden="1">"#"</definedName>
    <definedName name="FDC_59_223" hidden="1">"#"</definedName>
    <definedName name="FDC_59_224" hidden="1">"#"</definedName>
    <definedName name="FDC_59_225" hidden="1">"#"</definedName>
    <definedName name="FDC_59_226" hidden="1">"#"</definedName>
    <definedName name="FDC_59_227" hidden="1">"#"</definedName>
    <definedName name="FDC_59_228" hidden="1">"#"</definedName>
    <definedName name="FDC_59_229" hidden="1">"#"</definedName>
    <definedName name="FDC_59_23" hidden="1">"#"</definedName>
    <definedName name="FDC_59_230" hidden="1">"#"</definedName>
    <definedName name="FDC_59_231" hidden="1">"#"</definedName>
    <definedName name="FDC_59_232" hidden="1">"#"</definedName>
    <definedName name="FDC_59_233" hidden="1">"#"</definedName>
    <definedName name="FDC_59_234" hidden="1">"#"</definedName>
    <definedName name="FDC_59_235" hidden="1">"#"</definedName>
    <definedName name="FDC_59_236" hidden="1">"#"</definedName>
    <definedName name="FDC_59_237" hidden="1">"#"</definedName>
    <definedName name="FDC_59_238" hidden="1">"#"</definedName>
    <definedName name="FDC_59_239" hidden="1">"#"</definedName>
    <definedName name="FDC_59_24" hidden="1">"#"</definedName>
    <definedName name="FDC_59_240" hidden="1">"#"</definedName>
    <definedName name="FDC_59_241" hidden="1">"#"</definedName>
    <definedName name="FDC_59_242" hidden="1">"#"</definedName>
    <definedName name="FDC_59_243" hidden="1">"#"</definedName>
    <definedName name="FDC_59_244" hidden="1">"#"</definedName>
    <definedName name="FDC_59_245" hidden="1">"#"</definedName>
    <definedName name="FDC_59_246" hidden="1">"#"</definedName>
    <definedName name="FDC_59_247" hidden="1">"#"</definedName>
    <definedName name="FDC_59_248" hidden="1">"#"</definedName>
    <definedName name="FDC_59_249" hidden="1">"#"</definedName>
    <definedName name="FDC_59_25" hidden="1">"#"</definedName>
    <definedName name="FDC_59_250" hidden="1">"#"</definedName>
    <definedName name="FDC_59_251" hidden="1">"#"</definedName>
    <definedName name="FDC_59_252" hidden="1">"#"</definedName>
    <definedName name="FDC_59_253" hidden="1">"#"</definedName>
    <definedName name="FDC_59_254" hidden="1">"#"</definedName>
    <definedName name="FDC_59_255" hidden="1">"#"</definedName>
    <definedName name="FDC_59_256" hidden="1">"#"</definedName>
    <definedName name="FDC_59_257" hidden="1">"#"</definedName>
    <definedName name="FDC_59_258" hidden="1">"#"</definedName>
    <definedName name="FDC_59_259" hidden="1">"#"</definedName>
    <definedName name="FDC_59_26" hidden="1">"#"</definedName>
    <definedName name="FDC_59_260" hidden="1">"#"</definedName>
    <definedName name="FDC_59_261" hidden="1">"#"</definedName>
    <definedName name="FDC_59_27" hidden="1">"#"</definedName>
    <definedName name="FDC_59_28" hidden="1">"#"</definedName>
    <definedName name="FDC_59_29" hidden="1">"#"</definedName>
    <definedName name="FDC_59_3" hidden="1">"#"</definedName>
    <definedName name="FDC_59_30" hidden="1">"#"</definedName>
    <definedName name="FDC_59_31" hidden="1">"#"</definedName>
    <definedName name="FDC_59_32" hidden="1">"#"</definedName>
    <definedName name="FDC_59_33" hidden="1">"#"</definedName>
    <definedName name="FDC_59_34" hidden="1">"#"</definedName>
    <definedName name="FDC_59_35" hidden="1">"#"</definedName>
    <definedName name="FDC_59_36" hidden="1">"#"</definedName>
    <definedName name="FDC_59_37" hidden="1">"#"</definedName>
    <definedName name="FDC_59_38" hidden="1">"#"</definedName>
    <definedName name="FDC_59_39" hidden="1">"#"</definedName>
    <definedName name="FDC_59_4" hidden="1">"#"</definedName>
    <definedName name="FDC_59_40" hidden="1">"#"</definedName>
    <definedName name="FDC_59_41" hidden="1">"#"</definedName>
    <definedName name="FDC_59_42" hidden="1">"#"</definedName>
    <definedName name="FDC_59_43" hidden="1">"#"</definedName>
    <definedName name="FDC_59_44" hidden="1">"#"</definedName>
    <definedName name="FDC_59_45" hidden="1">"#"</definedName>
    <definedName name="FDC_59_46" hidden="1">"#"</definedName>
    <definedName name="FDC_59_47" hidden="1">"#"</definedName>
    <definedName name="FDC_59_48" hidden="1">"#"</definedName>
    <definedName name="FDC_59_49" hidden="1">"#"</definedName>
    <definedName name="FDC_59_5" hidden="1">"#"</definedName>
    <definedName name="FDC_59_50" hidden="1">"#"</definedName>
    <definedName name="FDC_59_51" hidden="1">"#"</definedName>
    <definedName name="FDC_59_52" hidden="1">"#"</definedName>
    <definedName name="FDC_59_53" hidden="1">"#"</definedName>
    <definedName name="FDC_59_54" hidden="1">"#"</definedName>
    <definedName name="FDC_59_55" hidden="1">"#"</definedName>
    <definedName name="FDC_59_56" hidden="1">"#"</definedName>
    <definedName name="FDC_59_57" hidden="1">"#"</definedName>
    <definedName name="FDC_59_58" hidden="1">"#"</definedName>
    <definedName name="FDC_59_59" hidden="1">"#"</definedName>
    <definedName name="FDC_59_6" hidden="1">"#"</definedName>
    <definedName name="FDC_59_60" hidden="1">"#"</definedName>
    <definedName name="FDC_59_61" hidden="1">"#"</definedName>
    <definedName name="FDC_59_62" hidden="1">"#"</definedName>
    <definedName name="FDC_59_63" hidden="1">"#"</definedName>
    <definedName name="FDC_59_64" hidden="1">"#"</definedName>
    <definedName name="FDC_59_65" hidden="1">"#"</definedName>
    <definedName name="FDC_59_66" hidden="1">"#"</definedName>
    <definedName name="FDC_59_67" hidden="1">"#"</definedName>
    <definedName name="FDC_59_68" hidden="1">"#"</definedName>
    <definedName name="FDC_59_69" hidden="1">"#"</definedName>
    <definedName name="FDC_59_7" hidden="1">"#"</definedName>
    <definedName name="FDC_59_70" hidden="1">"#"</definedName>
    <definedName name="FDC_59_71" hidden="1">"#"</definedName>
    <definedName name="FDC_59_72" hidden="1">"#"</definedName>
    <definedName name="FDC_59_73" hidden="1">"#"</definedName>
    <definedName name="FDC_59_74" hidden="1">"#"</definedName>
    <definedName name="FDC_59_75" hidden="1">"#"</definedName>
    <definedName name="FDC_59_76" hidden="1">"#"</definedName>
    <definedName name="FDC_59_77" hidden="1">"#"</definedName>
    <definedName name="FDC_59_78" hidden="1">"#"</definedName>
    <definedName name="FDC_59_79" hidden="1">"#"</definedName>
    <definedName name="FDC_59_8" hidden="1">"#"</definedName>
    <definedName name="FDC_59_80" hidden="1">"#"</definedName>
    <definedName name="FDC_59_81" hidden="1">"#"</definedName>
    <definedName name="FDC_59_82" hidden="1">"#"</definedName>
    <definedName name="FDC_59_83" hidden="1">"#"</definedName>
    <definedName name="FDC_59_84" hidden="1">"#"</definedName>
    <definedName name="FDC_59_85" hidden="1">"#"</definedName>
    <definedName name="FDC_59_86" hidden="1">"#"</definedName>
    <definedName name="FDC_59_87" hidden="1">"#"</definedName>
    <definedName name="FDC_59_88" hidden="1">"#"</definedName>
    <definedName name="FDC_59_89" hidden="1">"#"</definedName>
    <definedName name="FDC_59_9" hidden="1">"#"</definedName>
    <definedName name="FDC_59_90" hidden="1">"#"</definedName>
    <definedName name="FDC_59_91" hidden="1">"#"</definedName>
    <definedName name="FDC_59_92" hidden="1">"#"</definedName>
    <definedName name="FDC_59_93" hidden="1">"#"</definedName>
    <definedName name="FDC_59_94" hidden="1">"#"</definedName>
    <definedName name="FDC_59_95" hidden="1">"#"</definedName>
    <definedName name="FDC_59_96" hidden="1">"#"</definedName>
    <definedName name="FDC_59_97" hidden="1">"#"</definedName>
    <definedName name="FDC_59_98" hidden="1">"#"</definedName>
    <definedName name="FDC_59_99" hidden="1">"#"</definedName>
    <definedName name="FDC_6_0" hidden="1">"#"</definedName>
    <definedName name="FDC_6_1" hidden="1">"#"</definedName>
    <definedName name="FDC_6_2" hidden="1">"#"</definedName>
    <definedName name="FDC_6_3" hidden="1">"#"</definedName>
    <definedName name="FDC_60_0" hidden="1">"#"</definedName>
    <definedName name="FDC_60_1" hidden="1">"#"</definedName>
    <definedName name="FDC_60_10" hidden="1">"#"</definedName>
    <definedName name="FDC_60_100" hidden="1">"#"</definedName>
    <definedName name="FDC_60_101" hidden="1">"#"</definedName>
    <definedName name="FDC_60_102" hidden="1">"#"</definedName>
    <definedName name="FDC_60_103" hidden="1">"#"</definedName>
    <definedName name="FDC_60_104" hidden="1">"#"</definedName>
    <definedName name="FDC_60_105" hidden="1">"#"</definedName>
    <definedName name="FDC_60_106" hidden="1">"#"</definedName>
    <definedName name="FDC_60_107" hidden="1">"#"</definedName>
    <definedName name="FDC_60_108" hidden="1">"#"</definedName>
    <definedName name="FDC_60_109" hidden="1">"#"</definedName>
    <definedName name="FDC_60_11" hidden="1">"#"</definedName>
    <definedName name="FDC_60_110" hidden="1">"#"</definedName>
    <definedName name="FDC_60_111" hidden="1">"#"</definedName>
    <definedName name="FDC_60_112" hidden="1">"#"</definedName>
    <definedName name="FDC_60_113" hidden="1">"#"</definedName>
    <definedName name="FDC_60_114" hidden="1">"#"</definedName>
    <definedName name="FDC_60_115" hidden="1">"#"</definedName>
    <definedName name="FDC_60_116" hidden="1">"#"</definedName>
    <definedName name="FDC_60_117" hidden="1">"#"</definedName>
    <definedName name="FDC_60_118" hidden="1">"#"</definedName>
    <definedName name="FDC_60_119" hidden="1">"#"</definedName>
    <definedName name="FDC_60_12" hidden="1">"#"</definedName>
    <definedName name="FDC_60_120" hidden="1">"#"</definedName>
    <definedName name="FDC_60_121" hidden="1">"#"</definedName>
    <definedName name="FDC_60_122" hidden="1">"#"</definedName>
    <definedName name="FDC_60_123" hidden="1">"#"</definedName>
    <definedName name="FDC_60_124" hidden="1">"#"</definedName>
    <definedName name="FDC_60_125" hidden="1">"#"</definedName>
    <definedName name="FDC_60_126" hidden="1">"#"</definedName>
    <definedName name="FDC_60_127" hidden="1">"#"</definedName>
    <definedName name="FDC_60_128" hidden="1">"#"</definedName>
    <definedName name="FDC_60_129" hidden="1">"#"</definedName>
    <definedName name="FDC_60_13" hidden="1">"#"</definedName>
    <definedName name="FDC_60_130" hidden="1">"#"</definedName>
    <definedName name="FDC_60_131" hidden="1">"#"</definedName>
    <definedName name="FDC_60_132" hidden="1">"#"</definedName>
    <definedName name="FDC_60_133" hidden="1">"#"</definedName>
    <definedName name="FDC_60_134" hidden="1">"#"</definedName>
    <definedName name="FDC_60_135" hidden="1">"#"</definedName>
    <definedName name="FDC_60_136" hidden="1">"#"</definedName>
    <definedName name="FDC_60_137" hidden="1">"#"</definedName>
    <definedName name="FDC_60_138" hidden="1">"#"</definedName>
    <definedName name="FDC_60_139" hidden="1">"#"</definedName>
    <definedName name="FDC_60_14" hidden="1">"#"</definedName>
    <definedName name="FDC_60_140" hidden="1">"#"</definedName>
    <definedName name="FDC_60_141" hidden="1">"#"</definedName>
    <definedName name="FDC_60_142" hidden="1">"#"</definedName>
    <definedName name="FDC_60_143" hidden="1">"#"</definedName>
    <definedName name="FDC_60_144" hidden="1">"#"</definedName>
    <definedName name="FDC_60_145" hidden="1">"#"</definedName>
    <definedName name="FDC_60_146" hidden="1">"#"</definedName>
    <definedName name="FDC_60_147" hidden="1">"#"</definedName>
    <definedName name="FDC_60_148" hidden="1">"#"</definedName>
    <definedName name="FDC_60_149" hidden="1">"#"</definedName>
    <definedName name="FDC_60_15" hidden="1">"#"</definedName>
    <definedName name="FDC_60_150" hidden="1">"#"</definedName>
    <definedName name="FDC_60_151" hidden="1">"#"</definedName>
    <definedName name="FDC_60_152" hidden="1">"#"</definedName>
    <definedName name="FDC_60_153" hidden="1">"#"</definedName>
    <definedName name="FDC_60_154" hidden="1">"#"</definedName>
    <definedName name="FDC_60_155" hidden="1">"#"</definedName>
    <definedName name="FDC_60_156" hidden="1">"#"</definedName>
    <definedName name="FDC_60_157" hidden="1">"#"</definedName>
    <definedName name="FDC_60_158" hidden="1">"#"</definedName>
    <definedName name="FDC_60_159" hidden="1">"#"</definedName>
    <definedName name="FDC_60_16" hidden="1">"#"</definedName>
    <definedName name="FDC_60_160" hidden="1">"#"</definedName>
    <definedName name="FDC_60_161" hidden="1">"#"</definedName>
    <definedName name="FDC_60_162" hidden="1">"#"</definedName>
    <definedName name="FDC_60_163" hidden="1">"#"</definedName>
    <definedName name="FDC_60_164" hidden="1">"#"</definedName>
    <definedName name="FDC_60_165" hidden="1">"#"</definedName>
    <definedName name="FDC_60_166" hidden="1">"#"</definedName>
    <definedName name="FDC_60_167" hidden="1">"#"</definedName>
    <definedName name="FDC_60_168" hidden="1">"#"</definedName>
    <definedName name="FDC_60_169" hidden="1">"#"</definedName>
    <definedName name="FDC_60_17" hidden="1">"#"</definedName>
    <definedName name="FDC_60_170" hidden="1">"#"</definedName>
    <definedName name="FDC_60_171" hidden="1">"#"</definedName>
    <definedName name="FDC_60_172" hidden="1">"#"</definedName>
    <definedName name="FDC_60_173" hidden="1">"#"</definedName>
    <definedName name="FDC_60_174" hidden="1">"#"</definedName>
    <definedName name="FDC_60_175" hidden="1">"#"</definedName>
    <definedName name="FDC_60_176" hidden="1">"#"</definedName>
    <definedName name="FDC_60_177" hidden="1">"#"</definedName>
    <definedName name="FDC_60_178" hidden="1">"#"</definedName>
    <definedName name="FDC_60_179" hidden="1">"#"</definedName>
    <definedName name="FDC_60_18" hidden="1">"#"</definedName>
    <definedName name="FDC_60_180" hidden="1">"#"</definedName>
    <definedName name="FDC_60_181" hidden="1">"#"</definedName>
    <definedName name="FDC_60_182" hidden="1">"#"</definedName>
    <definedName name="FDC_60_183" hidden="1">"#"</definedName>
    <definedName name="FDC_60_184" hidden="1">"#"</definedName>
    <definedName name="FDC_60_185" hidden="1">"#"</definedName>
    <definedName name="FDC_60_186" hidden="1">"#"</definedName>
    <definedName name="FDC_60_187" hidden="1">"#"</definedName>
    <definedName name="FDC_60_188" hidden="1">"#"</definedName>
    <definedName name="FDC_60_189" hidden="1">"#"</definedName>
    <definedName name="FDC_60_19" hidden="1">"#"</definedName>
    <definedName name="FDC_60_190" hidden="1">"#"</definedName>
    <definedName name="FDC_60_191" hidden="1">"#"</definedName>
    <definedName name="FDC_60_192" hidden="1">"#"</definedName>
    <definedName name="FDC_60_193" hidden="1">"#"</definedName>
    <definedName name="FDC_60_194" hidden="1">"#"</definedName>
    <definedName name="FDC_60_195" hidden="1">"#"</definedName>
    <definedName name="FDC_60_196" hidden="1">"#"</definedName>
    <definedName name="FDC_60_197" hidden="1">"#"</definedName>
    <definedName name="FDC_60_198" hidden="1">"#"</definedName>
    <definedName name="FDC_60_199" hidden="1">"#"</definedName>
    <definedName name="FDC_60_2" hidden="1">"#"</definedName>
    <definedName name="FDC_60_20" hidden="1">"#"</definedName>
    <definedName name="FDC_60_200" hidden="1">"#"</definedName>
    <definedName name="FDC_60_201" hidden="1">"#"</definedName>
    <definedName name="FDC_60_202" hidden="1">"#"</definedName>
    <definedName name="FDC_60_203" hidden="1">"#"</definedName>
    <definedName name="FDC_60_204" hidden="1">"#"</definedName>
    <definedName name="FDC_60_205" hidden="1">"#"</definedName>
    <definedName name="FDC_60_206" hidden="1">"#"</definedName>
    <definedName name="FDC_60_207" hidden="1">"#"</definedName>
    <definedName name="FDC_60_208" hidden="1">"#"</definedName>
    <definedName name="FDC_60_209" hidden="1">"#"</definedName>
    <definedName name="FDC_60_21" hidden="1">"#"</definedName>
    <definedName name="FDC_60_210" hidden="1">"#"</definedName>
    <definedName name="FDC_60_211" hidden="1">"#"</definedName>
    <definedName name="FDC_60_212" hidden="1">"#"</definedName>
    <definedName name="FDC_60_213" hidden="1">"#"</definedName>
    <definedName name="FDC_60_214" hidden="1">"#"</definedName>
    <definedName name="FDC_60_215" hidden="1">"#"</definedName>
    <definedName name="FDC_60_216" hidden="1">"#"</definedName>
    <definedName name="FDC_60_217" hidden="1">"#"</definedName>
    <definedName name="FDC_60_218" hidden="1">"#"</definedName>
    <definedName name="FDC_60_219" hidden="1">"#"</definedName>
    <definedName name="FDC_60_22" hidden="1">"#"</definedName>
    <definedName name="FDC_60_220" hidden="1">"#"</definedName>
    <definedName name="FDC_60_221" hidden="1">"#"</definedName>
    <definedName name="FDC_60_222" hidden="1">"#"</definedName>
    <definedName name="FDC_60_223" hidden="1">"#"</definedName>
    <definedName name="FDC_60_224" hidden="1">"#"</definedName>
    <definedName name="FDC_60_225" hidden="1">"#"</definedName>
    <definedName name="FDC_60_226" hidden="1">"#"</definedName>
    <definedName name="FDC_60_227" hidden="1">"#"</definedName>
    <definedName name="FDC_60_228" hidden="1">"#"</definedName>
    <definedName name="FDC_60_229" hidden="1">"#"</definedName>
    <definedName name="FDC_60_23" hidden="1">"#"</definedName>
    <definedName name="FDC_60_230" hidden="1">"#"</definedName>
    <definedName name="FDC_60_231" hidden="1">"#"</definedName>
    <definedName name="FDC_60_232" hidden="1">"#"</definedName>
    <definedName name="FDC_60_233" hidden="1">"#"</definedName>
    <definedName name="FDC_60_234" hidden="1">"#"</definedName>
    <definedName name="FDC_60_235" hidden="1">"#"</definedName>
    <definedName name="FDC_60_236" hidden="1">"#"</definedName>
    <definedName name="FDC_60_237" hidden="1">"#"</definedName>
    <definedName name="FDC_60_238" hidden="1">"#"</definedName>
    <definedName name="FDC_60_239" hidden="1">"#"</definedName>
    <definedName name="FDC_60_24" hidden="1">"#"</definedName>
    <definedName name="FDC_60_240" hidden="1">"#"</definedName>
    <definedName name="FDC_60_241" hidden="1">"#"</definedName>
    <definedName name="FDC_60_242" hidden="1">"#"</definedName>
    <definedName name="FDC_60_243" hidden="1">"#"</definedName>
    <definedName name="FDC_60_244" hidden="1">"#"</definedName>
    <definedName name="FDC_60_245" hidden="1">"#"</definedName>
    <definedName name="FDC_60_246" hidden="1">"#"</definedName>
    <definedName name="FDC_60_247" hidden="1">"#"</definedName>
    <definedName name="FDC_60_248" hidden="1">"#"</definedName>
    <definedName name="FDC_60_249" hidden="1">"#"</definedName>
    <definedName name="FDC_60_25" hidden="1">"#"</definedName>
    <definedName name="FDC_60_250" hidden="1">"#"</definedName>
    <definedName name="FDC_60_251" hidden="1">"#"</definedName>
    <definedName name="FDC_60_252" hidden="1">"#"</definedName>
    <definedName name="FDC_60_253" hidden="1">"#"</definedName>
    <definedName name="FDC_60_254" hidden="1">"#"</definedName>
    <definedName name="FDC_60_255" hidden="1">"#"</definedName>
    <definedName name="FDC_60_256" hidden="1">"#"</definedName>
    <definedName name="FDC_60_257" hidden="1">"#"</definedName>
    <definedName name="FDC_60_258" hidden="1">"#"</definedName>
    <definedName name="FDC_60_259" hidden="1">"#"</definedName>
    <definedName name="FDC_60_26" hidden="1">"#"</definedName>
    <definedName name="FDC_60_260" hidden="1">"#"</definedName>
    <definedName name="FDC_60_261" hidden="1">"#"</definedName>
    <definedName name="FDC_60_27" hidden="1">"#"</definedName>
    <definedName name="FDC_60_28" hidden="1">"#"</definedName>
    <definedName name="FDC_60_29" hidden="1">"#"</definedName>
    <definedName name="FDC_60_3" hidden="1">"#"</definedName>
    <definedName name="FDC_60_30" hidden="1">"#"</definedName>
    <definedName name="FDC_60_31" hidden="1">"#"</definedName>
    <definedName name="FDC_60_32" hidden="1">"#"</definedName>
    <definedName name="FDC_60_33" hidden="1">"#"</definedName>
    <definedName name="FDC_60_34" hidden="1">"#"</definedName>
    <definedName name="FDC_60_35" hidden="1">"#"</definedName>
    <definedName name="FDC_60_36" hidden="1">"#"</definedName>
    <definedName name="FDC_60_37" hidden="1">"#"</definedName>
    <definedName name="FDC_60_38" hidden="1">"#"</definedName>
    <definedName name="FDC_60_39" hidden="1">"#"</definedName>
    <definedName name="FDC_60_4" hidden="1">"#"</definedName>
    <definedName name="FDC_60_40" hidden="1">"#"</definedName>
    <definedName name="FDC_60_41" hidden="1">"#"</definedName>
    <definedName name="FDC_60_42" hidden="1">"#"</definedName>
    <definedName name="FDC_60_43" hidden="1">"#"</definedName>
    <definedName name="FDC_60_44" hidden="1">"#"</definedName>
    <definedName name="FDC_60_45" hidden="1">"#"</definedName>
    <definedName name="FDC_60_46" hidden="1">"#"</definedName>
    <definedName name="FDC_60_47" hidden="1">"#"</definedName>
    <definedName name="FDC_60_48" hidden="1">"#"</definedName>
    <definedName name="FDC_60_49" hidden="1">"#"</definedName>
    <definedName name="FDC_60_5" hidden="1">"#"</definedName>
    <definedName name="FDC_60_50" hidden="1">"#"</definedName>
    <definedName name="FDC_60_51" hidden="1">"#"</definedName>
    <definedName name="FDC_60_52" hidden="1">"#"</definedName>
    <definedName name="FDC_60_53" hidden="1">"#"</definedName>
    <definedName name="FDC_60_54" hidden="1">"#"</definedName>
    <definedName name="FDC_60_55" hidden="1">"#"</definedName>
    <definedName name="FDC_60_56" hidden="1">"#"</definedName>
    <definedName name="FDC_60_57" hidden="1">"#"</definedName>
    <definedName name="FDC_60_58" hidden="1">"#"</definedName>
    <definedName name="FDC_60_59" hidden="1">"#"</definedName>
    <definedName name="FDC_60_6" hidden="1">"#"</definedName>
    <definedName name="FDC_60_60" hidden="1">"#"</definedName>
    <definedName name="FDC_60_61" hidden="1">"#"</definedName>
    <definedName name="FDC_60_62" hidden="1">"#"</definedName>
    <definedName name="FDC_60_63" hidden="1">"#"</definedName>
    <definedName name="FDC_60_64" hidden="1">"#"</definedName>
    <definedName name="FDC_60_65" hidden="1">"#"</definedName>
    <definedName name="FDC_60_66" hidden="1">"#"</definedName>
    <definedName name="FDC_60_67" hidden="1">"#"</definedName>
    <definedName name="FDC_60_68" hidden="1">"#"</definedName>
    <definedName name="FDC_60_69" hidden="1">"#"</definedName>
    <definedName name="FDC_60_7" hidden="1">"#"</definedName>
    <definedName name="FDC_60_70" hidden="1">"#"</definedName>
    <definedName name="FDC_60_71" hidden="1">"#"</definedName>
    <definedName name="FDC_60_72" hidden="1">"#"</definedName>
    <definedName name="FDC_60_73" hidden="1">"#"</definedName>
    <definedName name="FDC_60_74" hidden="1">"#"</definedName>
    <definedName name="FDC_60_75" hidden="1">"#"</definedName>
    <definedName name="FDC_60_76" hidden="1">"#"</definedName>
    <definedName name="FDC_60_77" hidden="1">"#"</definedName>
    <definedName name="FDC_60_78" hidden="1">"#"</definedName>
    <definedName name="FDC_60_79" hidden="1">"#"</definedName>
    <definedName name="FDC_60_8" hidden="1">"#"</definedName>
    <definedName name="FDC_60_80" hidden="1">"#"</definedName>
    <definedName name="FDC_60_81" hidden="1">"#"</definedName>
    <definedName name="FDC_60_82" hidden="1">"#"</definedName>
    <definedName name="FDC_60_83" hidden="1">"#"</definedName>
    <definedName name="FDC_60_84" hidden="1">"#"</definedName>
    <definedName name="FDC_60_85" hidden="1">"#"</definedName>
    <definedName name="FDC_60_86" hidden="1">"#"</definedName>
    <definedName name="FDC_60_87" hidden="1">"#"</definedName>
    <definedName name="FDC_60_88" hidden="1">"#"</definedName>
    <definedName name="FDC_60_89" hidden="1">"#"</definedName>
    <definedName name="FDC_60_9" hidden="1">"#"</definedName>
    <definedName name="FDC_60_90" hidden="1">"#"</definedName>
    <definedName name="FDC_60_91" hidden="1">"#"</definedName>
    <definedName name="FDC_60_92" hidden="1">"#"</definedName>
    <definedName name="FDC_60_93" hidden="1">"#"</definedName>
    <definedName name="FDC_60_94" hidden="1">"#"</definedName>
    <definedName name="FDC_60_95" hidden="1">"#"</definedName>
    <definedName name="FDC_60_96" hidden="1">"#"</definedName>
    <definedName name="FDC_60_97" hidden="1">"#"</definedName>
    <definedName name="FDC_60_98" hidden="1">"#"</definedName>
    <definedName name="FDC_60_99" hidden="1">"#"</definedName>
    <definedName name="FDC_61_0" hidden="1">"#"</definedName>
    <definedName name="FDC_62_0" hidden="1">"#"</definedName>
    <definedName name="FDC_62_1" hidden="1">"#"</definedName>
    <definedName name="FDC_62_10" hidden="1">"#"</definedName>
    <definedName name="FDC_62_100" hidden="1">"#"</definedName>
    <definedName name="FDC_62_101" hidden="1">"#"</definedName>
    <definedName name="FDC_62_102" hidden="1">"#"</definedName>
    <definedName name="FDC_62_103" hidden="1">"#"</definedName>
    <definedName name="FDC_62_104" hidden="1">"#"</definedName>
    <definedName name="FDC_62_105" hidden="1">"#"</definedName>
    <definedName name="FDC_62_106" hidden="1">"#"</definedName>
    <definedName name="FDC_62_107" hidden="1">"#"</definedName>
    <definedName name="FDC_62_108" hidden="1">"#"</definedName>
    <definedName name="FDC_62_109" hidden="1">"#"</definedName>
    <definedName name="FDC_62_11" hidden="1">"#"</definedName>
    <definedName name="FDC_62_110" hidden="1">"#"</definedName>
    <definedName name="FDC_62_111" hidden="1">"#"</definedName>
    <definedName name="FDC_62_112" hidden="1">"#"</definedName>
    <definedName name="FDC_62_113" hidden="1">"#"</definedName>
    <definedName name="FDC_62_114" hidden="1">"#"</definedName>
    <definedName name="FDC_62_115" hidden="1">"#"</definedName>
    <definedName name="FDC_62_116" hidden="1">"#"</definedName>
    <definedName name="FDC_62_117" hidden="1">"#"</definedName>
    <definedName name="FDC_62_118" hidden="1">"#"</definedName>
    <definedName name="FDC_62_119" hidden="1">"#"</definedName>
    <definedName name="FDC_62_12" hidden="1">"#"</definedName>
    <definedName name="FDC_62_120" hidden="1">"#"</definedName>
    <definedName name="FDC_62_121" hidden="1">"#"</definedName>
    <definedName name="FDC_62_122" hidden="1">"#"</definedName>
    <definedName name="FDC_62_123" hidden="1">"#"</definedName>
    <definedName name="FDC_62_124" hidden="1">"#"</definedName>
    <definedName name="FDC_62_125" hidden="1">"#"</definedName>
    <definedName name="FDC_62_126" hidden="1">"#"</definedName>
    <definedName name="FDC_62_127" hidden="1">"#"</definedName>
    <definedName name="FDC_62_128" hidden="1">"#"</definedName>
    <definedName name="FDC_62_129" hidden="1">"#"</definedName>
    <definedName name="FDC_62_13" hidden="1">"#"</definedName>
    <definedName name="FDC_62_130" hidden="1">"#"</definedName>
    <definedName name="FDC_62_131" hidden="1">"#"</definedName>
    <definedName name="FDC_62_132" hidden="1">"#"</definedName>
    <definedName name="FDC_62_133" hidden="1">"#"</definedName>
    <definedName name="FDC_62_134" hidden="1">"#"</definedName>
    <definedName name="FDC_62_135" hidden="1">"#"</definedName>
    <definedName name="FDC_62_136" hidden="1">"#"</definedName>
    <definedName name="FDC_62_137" hidden="1">"#"</definedName>
    <definedName name="FDC_62_138" hidden="1">"#"</definedName>
    <definedName name="FDC_62_139" hidden="1">"#"</definedName>
    <definedName name="FDC_62_14" hidden="1">"#"</definedName>
    <definedName name="FDC_62_140" hidden="1">"#"</definedName>
    <definedName name="FDC_62_141" hidden="1">"#"</definedName>
    <definedName name="FDC_62_142" hidden="1">"#"</definedName>
    <definedName name="FDC_62_143" hidden="1">"#"</definedName>
    <definedName name="FDC_62_144" hidden="1">"#"</definedName>
    <definedName name="FDC_62_145" hidden="1">"#"</definedName>
    <definedName name="FDC_62_146" hidden="1">"#"</definedName>
    <definedName name="FDC_62_147" hidden="1">"#"</definedName>
    <definedName name="FDC_62_148" hidden="1">"#"</definedName>
    <definedName name="FDC_62_149" hidden="1">"#"</definedName>
    <definedName name="FDC_62_15" hidden="1">"#"</definedName>
    <definedName name="FDC_62_150" hidden="1">"#"</definedName>
    <definedName name="FDC_62_151" hidden="1">"#"</definedName>
    <definedName name="FDC_62_152" hidden="1">"#"</definedName>
    <definedName name="FDC_62_153" hidden="1">"#"</definedName>
    <definedName name="FDC_62_154" hidden="1">"#"</definedName>
    <definedName name="FDC_62_155" hidden="1">"#"</definedName>
    <definedName name="FDC_62_156" hidden="1">"#"</definedName>
    <definedName name="FDC_62_157" hidden="1">"#"</definedName>
    <definedName name="FDC_62_158" hidden="1">"#"</definedName>
    <definedName name="FDC_62_159" hidden="1">"#"</definedName>
    <definedName name="FDC_62_16" hidden="1">"#"</definedName>
    <definedName name="FDC_62_160" hidden="1">"#"</definedName>
    <definedName name="FDC_62_161" hidden="1">"#"</definedName>
    <definedName name="FDC_62_162" hidden="1">"#"</definedName>
    <definedName name="FDC_62_163" hidden="1">"#"</definedName>
    <definedName name="FDC_62_164" hidden="1">"#"</definedName>
    <definedName name="FDC_62_165" hidden="1">"#"</definedName>
    <definedName name="FDC_62_166" hidden="1">"#"</definedName>
    <definedName name="FDC_62_167" hidden="1">"#"</definedName>
    <definedName name="FDC_62_168" hidden="1">"#"</definedName>
    <definedName name="FDC_62_169" hidden="1">"#"</definedName>
    <definedName name="FDC_62_17" hidden="1">"#"</definedName>
    <definedName name="FDC_62_170" hidden="1">"#"</definedName>
    <definedName name="FDC_62_171" hidden="1">"#"</definedName>
    <definedName name="FDC_62_172" hidden="1">"#"</definedName>
    <definedName name="FDC_62_173" hidden="1">"#"</definedName>
    <definedName name="FDC_62_174" hidden="1">"#"</definedName>
    <definedName name="FDC_62_175" hidden="1">"#"</definedName>
    <definedName name="FDC_62_176" hidden="1">"#"</definedName>
    <definedName name="FDC_62_177" hidden="1">"#"</definedName>
    <definedName name="FDC_62_178" hidden="1">"#"</definedName>
    <definedName name="FDC_62_179" hidden="1">"#"</definedName>
    <definedName name="FDC_62_18" hidden="1">"#"</definedName>
    <definedName name="FDC_62_180" hidden="1">"#"</definedName>
    <definedName name="FDC_62_181" hidden="1">"#"</definedName>
    <definedName name="FDC_62_182" hidden="1">"#"</definedName>
    <definedName name="FDC_62_183" hidden="1">"#"</definedName>
    <definedName name="FDC_62_184" hidden="1">"#"</definedName>
    <definedName name="FDC_62_185" hidden="1">"#"</definedName>
    <definedName name="FDC_62_186" hidden="1">"#"</definedName>
    <definedName name="FDC_62_187" hidden="1">"#"</definedName>
    <definedName name="FDC_62_188" hidden="1">"#"</definedName>
    <definedName name="FDC_62_189" hidden="1">"#"</definedName>
    <definedName name="FDC_62_19" hidden="1">"#"</definedName>
    <definedName name="FDC_62_190" hidden="1">"#"</definedName>
    <definedName name="FDC_62_191" hidden="1">"#"</definedName>
    <definedName name="FDC_62_192" hidden="1">"#"</definedName>
    <definedName name="FDC_62_193" hidden="1">"#"</definedName>
    <definedName name="FDC_62_194" hidden="1">"#"</definedName>
    <definedName name="FDC_62_195" hidden="1">"#"</definedName>
    <definedName name="FDC_62_196" hidden="1">"#"</definedName>
    <definedName name="FDC_62_197" hidden="1">"#"</definedName>
    <definedName name="FDC_62_198" hidden="1">"#"</definedName>
    <definedName name="FDC_62_199" hidden="1">"#"</definedName>
    <definedName name="FDC_62_2" hidden="1">"#"</definedName>
    <definedName name="FDC_62_20" hidden="1">"#"</definedName>
    <definedName name="FDC_62_200" hidden="1">"#"</definedName>
    <definedName name="FDC_62_201" hidden="1">"#"</definedName>
    <definedName name="FDC_62_202" hidden="1">"#"</definedName>
    <definedName name="FDC_62_203" hidden="1">"#"</definedName>
    <definedName name="FDC_62_204" hidden="1">"#"</definedName>
    <definedName name="FDC_62_205" hidden="1">"#"</definedName>
    <definedName name="FDC_62_206" hidden="1">"#"</definedName>
    <definedName name="FDC_62_207" hidden="1">"#"</definedName>
    <definedName name="FDC_62_208" hidden="1">"#"</definedName>
    <definedName name="FDC_62_209" hidden="1">"#"</definedName>
    <definedName name="FDC_62_21" hidden="1">"#"</definedName>
    <definedName name="FDC_62_210" hidden="1">"#"</definedName>
    <definedName name="FDC_62_211" hidden="1">"#"</definedName>
    <definedName name="FDC_62_212" hidden="1">"#"</definedName>
    <definedName name="FDC_62_213" hidden="1">"#"</definedName>
    <definedName name="FDC_62_214" hidden="1">"#"</definedName>
    <definedName name="FDC_62_215" hidden="1">"#"</definedName>
    <definedName name="FDC_62_216" hidden="1">"#"</definedName>
    <definedName name="FDC_62_217" hidden="1">"#"</definedName>
    <definedName name="FDC_62_218" hidden="1">"#"</definedName>
    <definedName name="FDC_62_219" hidden="1">"#"</definedName>
    <definedName name="FDC_62_22" hidden="1">"#"</definedName>
    <definedName name="FDC_62_220" hidden="1">"#"</definedName>
    <definedName name="FDC_62_221" hidden="1">"#"</definedName>
    <definedName name="FDC_62_222" hidden="1">"#"</definedName>
    <definedName name="FDC_62_223" hidden="1">"#"</definedName>
    <definedName name="FDC_62_224" hidden="1">"#"</definedName>
    <definedName name="FDC_62_225" hidden="1">"#"</definedName>
    <definedName name="FDC_62_226" hidden="1">"#"</definedName>
    <definedName name="FDC_62_227" hidden="1">"#"</definedName>
    <definedName name="FDC_62_228" hidden="1">"#"</definedName>
    <definedName name="FDC_62_229" hidden="1">"#"</definedName>
    <definedName name="FDC_62_23" hidden="1">"#"</definedName>
    <definedName name="FDC_62_230" hidden="1">"#"</definedName>
    <definedName name="FDC_62_231" hidden="1">"#"</definedName>
    <definedName name="FDC_62_232" hidden="1">"#"</definedName>
    <definedName name="FDC_62_233" hidden="1">"#"</definedName>
    <definedName name="FDC_62_234" hidden="1">"#"</definedName>
    <definedName name="FDC_62_235" hidden="1">"#"</definedName>
    <definedName name="FDC_62_236" hidden="1">"#"</definedName>
    <definedName name="FDC_62_237" hidden="1">"#"</definedName>
    <definedName name="FDC_62_238" hidden="1">"#"</definedName>
    <definedName name="FDC_62_239" hidden="1">"#"</definedName>
    <definedName name="FDC_62_24" hidden="1">"#"</definedName>
    <definedName name="FDC_62_240" hidden="1">"#"</definedName>
    <definedName name="FDC_62_241" hidden="1">"#"</definedName>
    <definedName name="FDC_62_242" hidden="1">"#"</definedName>
    <definedName name="FDC_62_243" hidden="1">"#"</definedName>
    <definedName name="FDC_62_244" hidden="1">"#"</definedName>
    <definedName name="FDC_62_245" hidden="1">"#"</definedName>
    <definedName name="FDC_62_246" hidden="1">"#"</definedName>
    <definedName name="FDC_62_247" hidden="1">"#"</definedName>
    <definedName name="FDC_62_248" hidden="1">"#"</definedName>
    <definedName name="FDC_62_249" hidden="1">"#"</definedName>
    <definedName name="FDC_62_25" hidden="1">"#"</definedName>
    <definedName name="FDC_62_250" hidden="1">"#"</definedName>
    <definedName name="FDC_62_251" hidden="1">"#"</definedName>
    <definedName name="FDC_62_252" hidden="1">"#"</definedName>
    <definedName name="FDC_62_253" hidden="1">"#"</definedName>
    <definedName name="FDC_62_254" hidden="1">"#"</definedName>
    <definedName name="FDC_62_255" hidden="1">"#"</definedName>
    <definedName name="FDC_62_256" hidden="1">"#"</definedName>
    <definedName name="FDC_62_257" hidden="1">"#"</definedName>
    <definedName name="FDC_62_258" hidden="1">"#"</definedName>
    <definedName name="FDC_62_259" hidden="1">"#"</definedName>
    <definedName name="FDC_62_26" hidden="1">"#"</definedName>
    <definedName name="FDC_62_260" hidden="1">"#"</definedName>
    <definedName name="FDC_62_261" hidden="1">"#"</definedName>
    <definedName name="FDC_62_27" hidden="1">"#"</definedName>
    <definedName name="FDC_62_28" hidden="1">"#"</definedName>
    <definedName name="FDC_62_29" hidden="1">"#"</definedName>
    <definedName name="FDC_62_3" hidden="1">"#"</definedName>
    <definedName name="FDC_62_30" hidden="1">"#"</definedName>
    <definedName name="FDC_62_31" hidden="1">"#"</definedName>
    <definedName name="FDC_62_32" hidden="1">"#"</definedName>
    <definedName name="FDC_62_33" hidden="1">"#"</definedName>
    <definedName name="FDC_62_34" hidden="1">"#"</definedName>
    <definedName name="FDC_62_35" hidden="1">"#"</definedName>
    <definedName name="FDC_62_36" hidden="1">"#"</definedName>
    <definedName name="FDC_62_37" hidden="1">"#"</definedName>
    <definedName name="FDC_62_38" hidden="1">"#"</definedName>
    <definedName name="FDC_62_39" hidden="1">"#"</definedName>
    <definedName name="FDC_62_4" hidden="1">"#"</definedName>
    <definedName name="FDC_62_40" hidden="1">"#"</definedName>
    <definedName name="FDC_62_41" hidden="1">"#"</definedName>
    <definedName name="FDC_62_42" hidden="1">"#"</definedName>
    <definedName name="FDC_62_43" hidden="1">"#"</definedName>
    <definedName name="FDC_62_44" hidden="1">"#"</definedName>
    <definedName name="FDC_62_45" hidden="1">"#"</definedName>
    <definedName name="FDC_62_46" hidden="1">"#"</definedName>
    <definedName name="FDC_62_47" hidden="1">"#"</definedName>
    <definedName name="FDC_62_48" hidden="1">"#"</definedName>
    <definedName name="FDC_62_49" hidden="1">"#"</definedName>
    <definedName name="FDC_62_5" hidden="1">"#"</definedName>
    <definedName name="FDC_62_50" hidden="1">"#"</definedName>
    <definedName name="FDC_62_51" hidden="1">"#"</definedName>
    <definedName name="FDC_62_52" hidden="1">"#"</definedName>
    <definedName name="FDC_62_53" hidden="1">"#"</definedName>
    <definedName name="FDC_62_54" hidden="1">"#"</definedName>
    <definedName name="FDC_62_55" hidden="1">"#"</definedName>
    <definedName name="FDC_62_56" hidden="1">"#"</definedName>
    <definedName name="FDC_62_57" hidden="1">"#"</definedName>
    <definedName name="FDC_62_58" hidden="1">"#"</definedName>
    <definedName name="FDC_62_59" hidden="1">"#"</definedName>
    <definedName name="FDC_62_6" hidden="1">"#"</definedName>
    <definedName name="FDC_62_60" hidden="1">"#"</definedName>
    <definedName name="FDC_62_61" hidden="1">"#"</definedName>
    <definedName name="FDC_62_62" hidden="1">"#"</definedName>
    <definedName name="FDC_62_63" hidden="1">"#"</definedName>
    <definedName name="FDC_62_64" hidden="1">"#"</definedName>
    <definedName name="FDC_62_65" hidden="1">"#"</definedName>
    <definedName name="FDC_62_66" hidden="1">"#"</definedName>
    <definedName name="FDC_62_67" hidden="1">"#"</definedName>
    <definedName name="FDC_62_68" hidden="1">"#"</definedName>
    <definedName name="FDC_62_69" hidden="1">"#"</definedName>
    <definedName name="FDC_62_7" hidden="1">"#"</definedName>
    <definedName name="FDC_62_70" hidden="1">"#"</definedName>
    <definedName name="FDC_62_71" hidden="1">"#"</definedName>
    <definedName name="FDC_62_72" hidden="1">"#"</definedName>
    <definedName name="FDC_62_73" hidden="1">"#"</definedName>
    <definedName name="FDC_62_74" hidden="1">"#"</definedName>
    <definedName name="FDC_62_75" hidden="1">"#"</definedName>
    <definedName name="FDC_62_76" hidden="1">"#"</definedName>
    <definedName name="FDC_62_77" hidden="1">"#"</definedName>
    <definedName name="FDC_62_78" hidden="1">"#"</definedName>
    <definedName name="FDC_62_79" hidden="1">"#"</definedName>
    <definedName name="FDC_62_8" hidden="1">"#"</definedName>
    <definedName name="FDC_62_80" hidden="1">"#"</definedName>
    <definedName name="FDC_62_81" hidden="1">"#"</definedName>
    <definedName name="FDC_62_82" hidden="1">"#"</definedName>
    <definedName name="FDC_62_83" hidden="1">"#"</definedName>
    <definedName name="FDC_62_84" hidden="1">"#"</definedName>
    <definedName name="FDC_62_85" hidden="1">"#"</definedName>
    <definedName name="FDC_62_86" hidden="1">"#"</definedName>
    <definedName name="FDC_62_87" hidden="1">"#"</definedName>
    <definedName name="FDC_62_88" hidden="1">"#"</definedName>
    <definedName name="FDC_62_89" hidden="1">"#"</definedName>
    <definedName name="FDC_62_9" hidden="1">"#"</definedName>
    <definedName name="FDC_62_90" hidden="1">"#"</definedName>
    <definedName name="FDC_62_91" hidden="1">"#"</definedName>
    <definedName name="FDC_62_92" hidden="1">"#"</definedName>
    <definedName name="FDC_62_93" hidden="1">"#"</definedName>
    <definedName name="FDC_62_94" hidden="1">"#"</definedName>
    <definedName name="FDC_62_95" hidden="1">"#"</definedName>
    <definedName name="FDC_62_96" hidden="1">"#"</definedName>
    <definedName name="FDC_62_97" hidden="1">"#"</definedName>
    <definedName name="FDC_62_98" hidden="1">"#"</definedName>
    <definedName name="FDC_62_99" hidden="1">"#"</definedName>
    <definedName name="FDC_63_0" hidden="1">"#"</definedName>
    <definedName name="FDC_63_1" hidden="1">"#"</definedName>
    <definedName name="FDC_63_10" hidden="1">"#"</definedName>
    <definedName name="FDC_63_100" hidden="1">"#"</definedName>
    <definedName name="FDC_63_101" hidden="1">"#"</definedName>
    <definedName name="FDC_63_102" hidden="1">"#"</definedName>
    <definedName name="FDC_63_103" hidden="1">"#"</definedName>
    <definedName name="FDC_63_104" hidden="1">"#"</definedName>
    <definedName name="FDC_63_105" hidden="1">"#"</definedName>
    <definedName name="FDC_63_106" hidden="1">"#"</definedName>
    <definedName name="FDC_63_107" hidden="1">"#"</definedName>
    <definedName name="FDC_63_108" hidden="1">"#"</definedName>
    <definedName name="FDC_63_109" hidden="1">"#"</definedName>
    <definedName name="FDC_63_11" hidden="1">"#"</definedName>
    <definedName name="FDC_63_110" hidden="1">"#"</definedName>
    <definedName name="FDC_63_111" hidden="1">"#"</definedName>
    <definedName name="FDC_63_112" hidden="1">"#"</definedName>
    <definedName name="FDC_63_113" hidden="1">"#"</definedName>
    <definedName name="FDC_63_114" hidden="1">"#"</definedName>
    <definedName name="FDC_63_115" hidden="1">"#"</definedName>
    <definedName name="FDC_63_116" hidden="1">"#"</definedName>
    <definedName name="FDC_63_117" hidden="1">"#"</definedName>
    <definedName name="FDC_63_118" hidden="1">"#"</definedName>
    <definedName name="FDC_63_119" hidden="1">"#"</definedName>
    <definedName name="FDC_63_12" hidden="1">"#"</definedName>
    <definedName name="FDC_63_120" hidden="1">"#"</definedName>
    <definedName name="FDC_63_121" hidden="1">"#"</definedName>
    <definedName name="FDC_63_122" hidden="1">"#"</definedName>
    <definedName name="FDC_63_123" hidden="1">"#"</definedName>
    <definedName name="FDC_63_124" hidden="1">"#"</definedName>
    <definedName name="FDC_63_125" hidden="1">"#"</definedName>
    <definedName name="FDC_63_126" hidden="1">"#"</definedName>
    <definedName name="FDC_63_127" hidden="1">"#"</definedName>
    <definedName name="FDC_63_128" hidden="1">"#"</definedName>
    <definedName name="FDC_63_129" hidden="1">"#"</definedName>
    <definedName name="FDC_63_13" hidden="1">"#"</definedName>
    <definedName name="FDC_63_130" hidden="1">"#"</definedName>
    <definedName name="FDC_63_131" hidden="1">"#"</definedName>
    <definedName name="FDC_63_132" hidden="1">"#"</definedName>
    <definedName name="FDC_63_133" hidden="1">"#"</definedName>
    <definedName name="FDC_63_134" hidden="1">"#"</definedName>
    <definedName name="FDC_63_135" hidden="1">"#"</definedName>
    <definedName name="FDC_63_136" hidden="1">"#"</definedName>
    <definedName name="FDC_63_137" hidden="1">"#"</definedName>
    <definedName name="FDC_63_138" hidden="1">"#"</definedName>
    <definedName name="FDC_63_139" hidden="1">"#"</definedName>
    <definedName name="FDC_63_14" hidden="1">"#"</definedName>
    <definedName name="FDC_63_140" hidden="1">"#"</definedName>
    <definedName name="FDC_63_141" hidden="1">"#"</definedName>
    <definedName name="FDC_63_142" hidden="1">"#"</definedName>
    <definedName name="FDC_63_143" hidden="1">"#"</definedName>
    <definedName name="FDC_63_144" hidden="1">"#"</definedName>
    <definedName name="FDC_63_145" hidden="1">"#"</definedName>
    <definedName name="FDC_63_146" hidden="1">"#"</definedName>
    <definedName name="FDC_63_147" hidden="1">"#"</definedName>
    <definedName name="FDC_63_148" hidden="1">"#"</definedName>
    <definedName name="FDC_63_149" hidden="1">"#"</definedName>
    <definedName name="FDC_63_15" hidden="1">"#"</definedName>
    <definedName name="FDC_63_150" hidden="1">"#"</definedName>
    <definedName name="FDC_63_151" hidden="1">"#"</definedName>
    <definedName name="FDC_63_152" hidden="1">"#"</definedName>
    <definedName name="FDC_63_153" hidden="1">"#"</definedName>
    <definedName name="FDC_63_154" hidden="1">"#"</definedName>
    <definedName name="FDC_63_155" hidden="1">"#"</definedName>
    <definedName name="FDC_63_156" hidden="1">"#"</definedName>
    <definedName name="FDC_63_157" hidden="1">"#"</definedName>
    <definedName name="FDC_63_158" hidden="1">"#"</definedName>
    <definedName name="FDC_63_159" hidden="1">"#"</definedName>
    <definedName name="FDC_63_16" hidden="1">"#"</definedName>
    <definedName name="FDC_63_160" hidden="1">"#"</definedName>
    <definedName name="FDC_63_161" hidden="1">"#"</definedName>
    <definedName name="FDC_63_162" hidden="1">"#"</definedName>
    <definedName name="FDC_63_163" hidden="1">"#"</definedName>
    <definedName name="FDC_63_164" hidden="1">"#"</definedName>
    <definedName name="FDC_63_165" hidden="1">"#"</definedName>
    <definedName name="FDC_63_166" hidden="1">"#"</definedName>
    <definedName name="FDC_63_167" hidden="1">"#"</definedName>
    <definedName name="FDC_63_168" hidden="1">"#"</definedName>
    <definedName name="FDC_63_169" hidden="1">"#"</definedName>
    <definedName name="FDC_63_17" hidden="1">"#"</definedName>
    <definedName name="FDC_63_170" hidden="1">"#"</definedName>
    <definedName name="FDC_63_171" hidden="1">"#"</definedName>
    <definedName name="FDC_63_172" hidden="1">"#"</definedName>
    <definedName name="FDC_63_173" hidden="1">"#"</definedName>
    <definedName name="FDC_63_174" hidden="1">"#"</definedName>
    <definedName name="FDC_63_175" hidden="1">"#"</definedName>
    <definedName name="FDC_63_176" hidden="1">"#"</definedName>
    <definedName name="FDC_63_177" hidden="1">"#"</definedName>
    <definedName name="FDC_63_178" hidden="1">"#"</definedName>
    <definedName name="FDC_63_179" hidden="1">"#"</definedName>
    <definedName name="FDC_63_18" hidden="1">"#"</definedName>
    <definedName name="FDC_63_180" hidden="1">"#"</definedName>
    <definedName name="FDC_63_181" hidden="1">"#"</definedName>
    <definedName name="FDC_63_182" hidden="1">"#"</definedName>
    <definedName name="FDC_63_183" hidden="1">"#"</definedName>
    <definedName name="FDC_63_184" hidden="1">"#"</definedName>
    <definedName name="FDC_63_185" hidden="1">"#"</definedName>
    <definedName name="FDC_63_186" hidden="1">"#"</definedName>
    <definedName name="FDC_63_187" hidden="1">"#"</definedName>
    <definedName name="FDC_63_188" hidden="1">"#"</definedName>
    <definedName name="FDC_63_189" hidden="1">"#"</definedName>
    <definedName name="FDC_63_19" hidden="1">"#"</definedName>
    <definedName name="FDC_63_190" hidden="1">"#"</definedName>
    <definedName name="FDC_63_191" hidden="1">"#"</definedName>
    <definedName name="FDC_63_192" hidden="1">"#"</definedName>
    <definedName name="FDC_63_193" hidden="1">"#"</definedName>
    <definedName name="FDC_63_194" hidden="1">"#"</definedName>
    <definedName name="FDC_63_195" hidden="1">"#"</definedName>
    <definedName name="FDC_63_196" hidden="1">"#"</definedName>
    <definedName name="FDC_63_197" hidden="1">"#"</definedName>
    <definedName name="FDC_63_198" hidden="1">"#"</definedName>
    <definedName name="FDC_63_199" hidden="1">"#"</definedName>
    <definedName name="FDC_63_2" hidden="1">"#"</definedName>
    <definedName name="FDC_63_20" hidden="1">"#"</definedName>
    <definedName name="FDC_63_200" hidden="1">"#"</definedName>
    <definedName name="FDC_63_201" hidden="1">"#"</definedName>
    <definedName name="FDC_63_202" hidden="1">"#"</definedName>
    <definedName name="FDC_63_203" hidden="1">"#"</definedName>
    <definedName name="FDC_63_204" hidden="1">"#"</definedName>
    <definedName name="FDC_63_205" hidden="1">"#"</definedName>
    <definedName name="FDC_63_206" hidden="1">"#"</definedName>
    <definedName name="FDC_63_207" hidden="1">"#"</definedName>
    <definedName name="FDC_63_208" hidden="1">"#"</definedName>
    <definedName name="FDC_63_209" hidden="1">"#"</definedName>
    <definedName name="FDC_63_21" hidden="1">"#"</definedName>
    <definedName name="FDC_63_210" hidden="1">"#"</definedName>
    <definedName name="FDC_63_211" hidden="1">"#"</definedName>
    <definedName name="FDC_63_212" hidden="1">"#"</definedName>
    <definedName name="FDC_63_213" hidden="1">"#"</definedName>
    <definedName name="FDC_63_214" hidden="1">"#"</definedName>
    <definedName name="FDC_63_215" hidden="1">"#"</definedName>
    <definedName name="FDC_63_216" hidden="1">"#"</definedName>
    <definedName name="FDC_63_217" hidden="1">"#"</definedName>
    <definedName name="FDC_63_218" hidden="1">"#"</definedName>
    <definedName name="FDC_63_219" hidden="1">"#"</definedName>
    <definedName name="FDC_63_22" hidden="1">"#"</definedName>
    <definedName name="FDC_63_220" hidden="1">"#"</definedName>
    <definedName name="FDC_63_221" hidden="1">"#"</definedName>
    <definedName name="FDC_63_222" hidden="1">"#"</definedName>
    <definedName name="FDC_63_223" hidden="1">"#"</definedName>
    <definedName name="FDC_63_224" hidden="1">"#"</definedName>
    <definedName name="FDC_63_225" hidden="1">"#"</definedName>
    <definedName name="FDC_63_226" hidden="1">"#"</definedName>
    <definedName name="FDC_63_227" hidden="1">"#"</definedName>
    <definedName name="FDC_63_228" hidden="1">"#"</definedName>
    <definedName name="FDC_63_229" hidden="1">"#"</definedName>
    <definedName name="FDC_63_23" hidden="1">"#"</definedName>
    <definedName name="FDC_63_230" hidden="1">"#"</definedName>
    <definedName name="FDC_63_231" hidden="1">"#"</definedName>
    <definedName name="FDC_63_232" hidden="1">"#"</definedName>
    <definedName name="FDC_63_233" hidden="1">"#"</definedName>
    <definedName name="FDC_63_234" hidden="1">"#"</definedName>
    <definedName name="FDC_63_235" hidden="1">"#"</definedName>
    <definedName name="FDC_63_236" hidden="1">"#"</definedName>
    <definedName name="FDC_63_237" hidden="1">"#"</definedName>
    <definedName name="FDC_63_238" hidden="1">"#"</definedName>
    <definedName name="FDC_63_239" hidden="1">"#"</definedName>
    <definedName name="FDC_63_24" hidden="1">"#"</definedName>
    <definedName name="FDC_63_240" hidden="1">"#"</definedName>
    <definedName name="FDC_63_241" hidden="1">"#"</definedName>
    <definedName name="FDC_63_242" hidden="1">"#"</definedName>
    <definedName name="FDC_63_243" hidden="1">"#"</definedName>
    <definedName name="FDC_63_244" hidden="1">"#"</definedName>
    <definedName name="FDC_63_245" hidden="1">"#"</definedName>
    <definedName name="FDC_63_246" hidden="1">"#"</definedName>
    <definedName name="FDC_63_247" hidden="1">"#"</definedName>
    <definedName name="FDC_63_248" hidden="1">"#"</definedName>
    <definedName name="FDC_63_249" hidden="1">"#"</definedName>
    <definedName name="FDC_63_25" hidden="1">"#"</definedName>
    <definedName name="FDC_63_250" hidden="1">"#"</definedName>
    <definedName name="FDC_63_251" hidden="1">"#"</definedName>
    <definedName name="FDC_63_252" hidden="1">"#"</definedName>
    <definedName name="FDC_63_253" hidden="1">"#"</definedName>
    <definedName name="FDC_63_254" hidden="1">"#"</definedName>
    <definedName name="FDC_63_255" hidden="1">"#"</definedName>
    <definedName name="FDC_63_256" hidden="1">"#"</definedName>
    <definedName name="FDC_63_257" hidden="1">"#"</definedName>
    <definedName name="FDC_63_258" hidden="1">"#"</definedName>
    <definedName name="FDC_63_259" hidden="1">"#"</definedName>
    <definedName name="FDC_63_26" hidden="1">"#"</definedName>
    <definedName name="FDC_63_260" hidden="1">"#"</definedName>
    <definedName name="FDC_63_261" hidden="1">"#"</definedName>
    <definedName name="FDC_63_27" hidden="1">"#"</definedName>
    <definedName name="FDC_63_28" hidden="1">"#"</definedName>
    <definedName name="FDC_63_29" hidden="1">"#"</definedName>
    <definedName name="FDC_63_3" hidden="1">"#"</definedName>
    <definedName name="FDC_63_30" hidden="1">"#"</definedName>
    <definedName name="FDC_63_31" hidden="1">"#"</definedName>
    <definedName name="FDC_63_32" hidden="1">"#"</definedName>
    <definedName name="FDC_63_33" hidden="1">"#"</definedName>
    <definedName name="FDC_63_34" hidden="1">"#"</definedName>
    <definedName name="FDC_63_35" hidden="1">"#"</definedName>
    <definedName name="FDC_63_36" hidden="1">"#"</definedName>
    <definedName name="FDC_63_37" hidden="1">"#"</definedName>
    <definedName name="FDC_63_38" hidden="1">"#"</definedName>
    <definedName name="FDC_63_39" hidden="1">"#"</definedName>
    <definedName name="FDC_63_4" hidden="1">"#"</definedName>
    <definedName name="FDC_63_40" hidden="1">"#"</definedName>
    <definedName name="FDC_63_41" hidden="1">"#"</definedName>
    <definedName name="FDC_63_42" hidden="1">"#"</definedName>
    <definedName name="FDC_63_43" hidden="1">"#"</definedName>
    <definedName name="FDC_63_44" hidden="1">"#"</definedName>
    <definedName name="FDC_63_45" hidden="1">"#"</definedName>
    <definedName name="FDC_63_46" hidden="1">"#"</definedName>
    <definedName name="FDC_63_47" hidden="1">"#"</definedName>
    <definedName name="FDC_63_48" hidden="1">"#"</definedName>
    <definedName name="FDC_63_49" hidden="1">"#"</definedName>
    <definedName name="FDC_63_5" hidden="1">"#"</definedName>
    <definedName name="FDC_63_50" hidden="1">"#"</definedName>
    <definedName name="FDC_63_51" hidden="1">"#"</definedName>
    <definedName name="FDC_63_52" hidden="1">"#"</definedName>
    <definedName name="FDC_63_53" hidden="1">"#"</definedName>
    <definedName name="FDC_63_54" hidden="1">"#"</definedName>
    <definedName name="FDC_63_55" hidden="1">"#"</definedName>
    <definedName name="FDC_63_56" hidden="1">"#"</definedName>
    <definedName name="FDC_63_57" hidden="1">"#"</definedName>
    <definedName name="FDC_63_58" hidden="1">"#"</definedName>
    <definedName name="FDC_63_59" hidden="1">"#"</definedName>
    <definedName name="FDC_63_6" hidden="1">"#"</definedName>
    <definedName name="FDC_63_60" hidden="1">"#"</definedName>
    <definedName name="FDC_63_61" hidden="1">"#"</definedName>
    <definedName name="FDC_63_62" hidden="1">"#"</definedName>
    <definedName name="FDC_63_63" hidden="1">"#"</definedName>
    <definedName name="FDC_63_64" hidden="1">"#"</definedName>
    <definedName name="FDC_63_65" hidden="1">"#"</definedName>
    <definedName name="FDC_63_66" hidden="1">"#"</definedName>
    <definedName name="FDC_63_67" hidden="1">"#"</definedName>
    <definedName name="FDC_63_68" hidden="1">"#"</definedName>
    <definedName name="FDC_63_69" hidden="1">"#"</definedName>
    <definedName name="FDC_63_7" hidden="1">"#"</definedName>
    <definedName name="FDC_63_70" hidden="1">"#"</definedName>
    <definedName name="FDC_63_71" hidden="1">"#"</definedName>
    <definedName name="FDC_63_72" hidden="1">"#"</definedName>
    <definedName name="FDC_63_73" hidden="1">"#"</definedName>
    <definedName name="FDC_63_74" hidden="1">"#"</definedName>
    <definedName name="FDC_63_75" hidden="1">"#"</definedName>
    <definedName name="FDC_63_76" hidden="1">"#"</definedName>
    <definedName name="FDC_63_77" hidden="1">"#"</definedName>
    <definedName name="FDC_63_78" hidden="1">"#"</definedName>
    <definedName name="FDC_63_79" hidden="1">"#"</definedName>
    <definedName name="FDC_63_8" hidden="1">"#"</definedName>
    <definedName name="FDC_63_80" hidden="1">"#"</definedName>
    <definedName name="FDC_63_81" hidden="1">"#"</definedName>
    <definedName name="FDC_63_82" hidden="1">"#"</definedName>
    <definedName name="FDC_63_83" hidden="1">"#"</definedName>
    <definedName name="FDC_63_84" hidden="1">"#"</definedName>
    <definedName name="FDC_63_85" hidden="1">"#"</definedName>
    <definedName name="FDC_63_86" hidden="1">"#"</definedName>
    <definedName name="FDC_63_87" hidden="1">"#"</definedName>
    <definedName name="FDC_63_88" hidden="1">"#"</definedName>
    <definedName name="FDC_63_89" hidden="1">"#"</definedName>
    <definedName name="FDC_63_9" hidden="1">"#"</definedName>
    <definedName name="FDC_63_90" hidden="1">"#"</definedName>
    <definedName name="FDC_63_91" hidden="1">"#"</definedName>
    <definedName name="FDC_63_92" hidden="1">"#"</definedName>
    <definedName name="FDC_63_93" hidden="1">"#"</definedName>
    <definedName name="FDC_63_94" hidden="1">"#"</definedName>
    <definedName name="FDC_63_95" hidden="1">"#"</definedName>
    <definedName name="FDC_63_96" hidden="1">"#"</definedName>
    <definedName name="FDC_63_97" hidden="1">"#"</definedName>
    <definedName name="FDC_63_98" hidden="1">"#"</definedName>
    <definedName name="FDC_63_99" hidden="1">"#"</definedName>
    <definedName name="FDC_64_0" hidden="1">"#"</definedName>
    <definedName name="FDC_64_1" hidden="1">"#"</definedName>
    <definedName name="FDC_64_10" hidden="1">"#"</definedName>
    <definedName name="FDC_64_100" hidden="1">"#"</definedName>
    <definedName name="FDC_64_101" hidden="1">"#"</definedName>
    <definedName name="FDC_64_102" hidden="1">"#"</definedName>
    <definedName name="FDC_64_103" hidden="1">"#"</definedName>
    <definedName name="FDC_64_104" hidden="1">"#"</definedName>
    <definedName name="FDC_64_105" hidden="1">"#"</definedName>
    <definedName name="FDC_64_106" hidden="1">"#"</definedName>
    <definedName name="FDC_64_107" hidden="1">"#"</definedName>
    <definedName name="FDC_64_108" hidden="1">"#"</definedName>
    <definedName name="FDC_64_109" hidden="1">"#"</definedName>
    <definedName name="FDC_64_11" hidden="1">"#"</definedName>
    <definedName name="FDC_64_110" hidden="1">"#"</definedName>
    <definedName name="FDC_64_111" hidden="1">"#"</definedName>
    <definedName name="FDC_64_112" hidden="1">"#"</definedName>
    <definedName name="FDC_64_113" hidden="1">"#"</definedName>
    <definedName name="FDC_64_114" hidden="1">"#"</definedName>
    <definedName name="FDC_64_115" hidden="1">"#"</definedName>
    <definedName name="FDC_64_116" hidden="1">"#"</definedName>
    <definedName name="FDC_64_117" hidden="1">"#"</definedName>
    <definedName name="FDC_64_118" hidden="1">"#"</definedName>
    <definedName name="FDC_64_119" hidden="1">"#"</definedName>
    <definedName name="FDC_64_12" hidden="1">"#"</definedName>
    <definedName name="FDC_64_120" hidden="1">"#"</definedName>
    <definedName name="FDC_64_121" hidden="1">"#"</definedName>
    <definedName name="FDC_64_122" hidden="1">"#"</definedName>
    <definedName name="FDC_64_123" hidden="1">"#"</definedName>
    <definedName name="FDC_64_124" hidden="1">"#"</definedName>
    <definedName name="FDC_64_125" hidden="1">"#"</definedName>
    <definedName name="FDC_64_126" hidden="1">"#"</definedName>
    <definedName name="FDC_64_127" hidden="1">"#"</definedName>
    <definedName name="FDC_64_128" hidden="1">"#"</definedName>
    <definedName name="FDC_64_129" hidden="1">"#"</definedName>
    <definedName name="FDC_64_13" hidden="1">"#"</definedName>
    <definedName name="FDC_64_130" hidden="1">"#"</definedName>
    <definedName name="FDC_64_131" hidden="1">"#"</definedName>
    <definedName name="FDC_64_132" hidden="1">"#"</definedName>
    <definedName name="FDC_64_133" hidden="1">"#"</definedName>
    <definedName name="FDC_64_134" hidden="1">"#"</definedName>
    <definedName name="FDC_64_135" hidden="1">"#"</definedName>
    <definedName name="FDC_64_136" hidden="1">"#"</definedName>
    <definedName name="FDC_64_137" hidden="1">"#"</definedName>
    <definedName name="FDC_64_138" hidden="1">"#"</definedName>
    <definedName name="FDC_64_139" hidden="1">"#"</definedName>
    <definedName name="FDC_64_14" hidden="1">"#"</definedName>
    <definedName name="FDC_64_140" hidden="1">"#"</definedName>
    <definedName name="FDC_64_141" hidden="1">"#"</definedName>
    <definedName name="FDC_64_142" hidden="1">"#"</definedName>
    <definedName name="FDC_64_143" hidden="1">"#"</definedName>
    <definedName name="FDC_64_144" hidden="1">"#"</definedName>
    <definedName name="FDC_64_145" hidden="1">"#"</definedName>
    <definedName name="FDC_64_146" hidden="1">"#"</definedName>
    <definedName name="FDC_64_147" hidden="1">"#"</definedName>
    <definedName name="FDC_64_148" hidden="1">"#"</definedName>
    <definedName name="FDC_64_149" hidden="1">"#"</definedName>
    <definedName name="FDC_64_15" hidden="1">"#"</definedName>
    <definedName name="FDC_64_150" hidden="1">"#"</definedName>
    <definedName name="FDC_64_151" hidden="1">"#"</definedName>
    <definedName name="FDC_64_152" hidden="1">"#"</definedName>
    <definedName name="FDC_64_153" hidden="1">"#"</definedName>
    <definedName name="FDC_64_154" hidden="1">"#"</definedName>
    <definedName name="FDC_64_155" hidden="1">"#"</definedName>
    <definedName name="FDC_64_156" hidden="1">"#"</definedName>
    <definedName name="FDC_64_157" hidden="1">"#"</definedName>
    <definedName name="FDC_64_158" hidden="1">"#"</definedName>
    <definedName name="FDC_64_159" hidden="1">"#"</definedName>
    <definedName name="FDC_64_16" hidden="1">"#"</definedName>
    <definedName name="FDC_64_160" hidden="1">"#"</definedName>
    <definedName name="FDC_64_161" hidden="1">"#"</definedName>
    <definedName name="FDC_64_162" hidden="1">"#"</definedName>
    <definedName name="FDC_64_163" hidden="1">"#"</definedName>
    <definedName name="FDC_64_164" hidden="1">"#"</definedName>
    <definedName name="FDC_64_165" hidden="1">"#"</definedName>
    <definedName name="FDC_64_166" hidden="1">"#"</definedName>
    <definedName name="FDC_64_167" hidden="1">"#"</definedName>
    <definedName name="FDC_64_168" hidden="1">"#"</definedName>
    <definedName name="FDC_64_169" hidden="1">"#"</definedName>
    <definedName name="FDC_64_17" hidden="1">"#"</definedName>
    <definedName name="FDC_64_170" hidden="1">"#"</definedName>
    <definedName name="FDC_64_171" hidden="1">"#"</definedName>
    <definedName name="FDC_64_172" hidden="1">"#"</definedName>
    <definedName name="FDC_64_173" hidden="1">"#"</definedName>
    <definedName name="FDC_64_174" hidden="1">"#"</definedName>
    <definedName name="FDC_64_175" hidden="1">"#"</definedName>
    <definedName name="FDC_64_176" hidden="1">"#"</definedName>
    <definedName name="FDC_64_177" hidden="1">"#"</definedName>
    <definedName name="FDC_64_178" hidden="1">"#"</definedName>
    <definedName name="FDC_64_179" hidden="1">"#"</definedName>
    <definedName name="FDC_64_18" hidden="1">"#"</definedName>
    <definedName name="FDC_64_180" hidden="1">"#"</definedName>
    <definedName name="FDC_64_181" hidden="1">"#"</definedName>
    <definedName name="FDC_64_182" hidden="1">"#"</definedName>
    <definedName name="FDC_64_183" hidden="1">"#"</definedName>
    <definedName name="FDC_64_184" hidden="1">"#"</definedName>
    <definedName name="FDC_64_185" hidden="1">"#"</definedName>
    <definedName name="FDC_64_186" hidden="1">"#"</definedName>
    <definedName name="FDC_64_187" hidden="1">"#"</definedName>
    <definedName name="FDC_64_188" hidden="1">"#"</definedName>
    <definedName name="FDC_64_189" hidden="1">"#"</definedName>
    <definedName name="FDC_64_19" hidden="1">"#"</definedName>
    <definedName name="FDC_64_190" hidden="1">"#"</definedName>
    <definedName name="FDC_64_191" hidden="1">"#"</definedName>
    <definedName name="FDC_64_192" hidden="1">"#"</definedName>
    <definedName name="FDC_64_193" hidden="1">"#"</definedName>
    <definedName name="FDC_64_194" hidden="1">"#"</definedName>
    <definedName name="FDC_64_195" hidden="1">"#"</definedName>
    <definedName name="FDC_64_196" hidden="1">"#"</definedName>
    <definedName name="FDC_64_197" hidden="1">"#"</definedName>
    <definedName name="FDC_64_198" hidden="1">"#"</definedName>
    <definedName name="FDC_64_199" hidden="1">"#"</definedName>
    <definedName name="FDC_64_2" hidden="1">"#"</definedName>
    <definedName name="FDC_64_20" hidden="1">"#"</definedName>
    <definedName name="FDC_64_200" hidden="1">"#"</definedName>
    <definedName name="FDC_64_201" hidden="1">"#"</definedName>
    <definedName name="FDC_64_202" hidden="1">"#"</definedName>
    <definedName name="FDC_64_203" hidden="1">"#"</definedName>
    <definedName name="FDC_64_204" hidden="1">"#"</definedName>
    <definedName name="FDC_64_205" hidden="1">"#"</definedName>
    <definedName name="FDC_64_206" hidden="1">"#"</definedName>
    <definedName name="FDC_64_207" hidden="1">"#"</definedName>
    <definedName name="FDC_64_208" hidden="1">"#"</definedName>
    <definedName name="FDC_64_209" hidden="1">"#"</definedName>
    <definedName name="FDC_64_21" hidden="1">"#"</definedName>
    <definedName name="FDC_64_210" hidden="1">"#"</definedName>
    <definedName name="FDC_64_211" hidden="1">"#"</definedName>
    <definedName name="FDC_64_212" hidden="1">"#"</definedName>
    <definedName name="FDC_64_213" hidden="1">"#"</definedName>
    <definedName name="FDC_64_214" hidden="1">"#"</definedName>
    <definedName name="FDC_64_215" hidden="1">"#"</definedName>
    <definedName name="FDC_64_216" hidden="1">"#"</definedName>
    <definedName name="FDC_64_217" hidden="1">"#"</definedName>
    <definedName name="FDC_64_218" hidden="1">"#"</definedName>
    <definedName name="FDC_64_219" hidden="1">"#"</definedName>
    <definedName name="FDC_64_22" hidden="1">"#"</definedName>
    <definedName name="FDC_64_220" hidden="1">"#"</definedName>
    <definedName name="FDC_64_221" hidden="1">"#"</definedName>
    <definedName name="FDC_64_222" hidden="1">"#"</definedName>
    <definedName name="FDC_64_223" hidden="1">"#"</definedName>
    <definedName name="FDC_64_224" hidden="1">"#"</definedName>
    <definedName name="FDC_64_225" hidden="1">"#"</definedName>
    <definedName name="FDC_64_226" hidden="1">"#"</definedName>
    <definedName name="FDC_64_227" hidden="1">"#"</definedName>
    <definedName name="FDC_64_228" hidden="1">"#"</definedName>
    <definedName name="FDC_64_229" hidden="1">"#"</definedName>
    <definedName name="FDC_64_23" hidden="1">"#"</definedName>
    <definedName name="FDC_64_230" hidden="1">"#"</definedName>
    <definedName name="FDC_64_231" hidden="1">"#"</definedName>
    <definedName name="FDC_64_232" hidden="1">"#"</definedName>
    <definedName name="FDC_64_233" hidden="1">"#"</definedName>
    <definedName name="FDC_64_234" hidden="1">"#"</definedName>
    <definedName name="FDC_64_235" hidden="1">"#"</definedName>
    <definedName name="FDC_64_236" hidden="1">"#"</definedName>
    <definedName name="FDC_64_237" hidden="1">"#"</definedName>
    <definedName name="FDC_64_238" hidden="1">"#"</definedName>
    <definedName name="FDC_64_239" hidden="1">"#"</definedName>
    <definedName name="FDC_64_24" hidden="1">"#"</definedName>
    <definedName name="FDC_64_240" hidden="1">"#"</definedName>
    <definedName name="FDC_64_241" hidden="1">"#"</definedName>
    <definedName name="FDC_64_242" hidden="1">"#"</definedName>
    <definedName name="FDC_64_243" hidden="1">"#"</definedName>
    <definedName name="FDC_64_244" hidden="1">"#"</definedName>
    <definedName name="FDC_64_245" hidden="1">"#"</definedName>
    <definedName name="FDC_64_246" hidden="1">"#"</definedName>
    <definedName name="FDC_64_247" hidden="1">"#"</definedName>
    <definedName name="FDC_64_248" hidden="1">"#"</definedName>
    <definedName name="FDC_64_249" hidden="1">"#"</definedName>
    <definedName name="FDC_64_25" hidden="1">"#"</definedName>
    <definedName name="FDC_64_250" hidden="1">"#"</definedName>
    <definedName name="FDC_64_251" hidden="1">"#"</definedName>
    <definedName name="FDC_64_252" hidden="1">"#"</definedName>
    <definedName name="FDC_64_253" hidden="1">"#"</definedName>
    <definedName name="FDC_64_254" hidden="1">"#"</definedName>
    <definedName name="FDC_64_255" hidden="1">"#"</definedName>
    <definedName name="FDC_64_256" hidden="1">"#"</definedName>
    <definedName name="FDC_64_257" hidden="1">"#"</definedName>
    <definedName name="FDC_64_258" hidden="1">"#"</definedName>
    <definedName name="FDC_64_259" hidden="1">"#"</definedName>
    <definedName name="FDC_64_26" hidden="1">"#"</definedName>
    <definedName name="FDC_64_260" hidden="1">"#"</definedName>
    <definedName name="FDC_64_261" hidden="1">"#"</definedName>
    <definedName name="FDC_64_27" hidden="1">"#"</definedName>
    <definedName name="FDC_64_28" hidden="1">"#"</definedName>
    <definedName name="FDC_64_29" hidden="1">"#"</definedName>
    <definedName name="FDC_64_3" hidden="1">"#"</definedName>
    <definedName name="FDC_64_30" hidden="1">"#"</definedName>
    <definedName name="FDC_64_31" hidden="1">"#"</definedName>
    <definedName name="FDC_64_32" hidden="1">"#"</definedName>
    <definedName name="FDC_64_33" hidden="1">"#"</definedName>
    <definedName name="FDC_64_34" hidden="1">"#"</definedName>
    <definedName name="FDC_64_35" hidden="1">"#"</definedName>
    <definedName name="FDC_64_36" hidden="1">"#"</definedName>
    <definedName name="FDC_64_37" hidden="1">"#"</definedName>
    <definedName name="FDC_64_38" hidden="1">"#"</definedName>
    <definedName name="FDC_64_39" hidden="1">"#"</definedName>
    <definedName name="FDC_64_4" hidden="1">"#"</definedName>
    <definedName name="FDC_64_40" hidden="1">"#"</definedName>
    <definedName name="FDC_64_41" hidden="1">"#"</definedName>
    <definedName name="FDC_64_42" hidden="1">"#"</definedName>
    <definedName name="FDC_64_43" hidden="1">"#"</definedName>
    <definedName name="FDC_64_44" hidden="1">"#"</definedName>
    <definedName name="FDC_64_45" hidden="1">"#"</definedName>
    <definedName name="FDC_64_46" hidden="1">"#"</definedName>
    <definedName name="FDC_64_47" hidden="1">"#"</definedName>
    <definedName name="FDC_64_48" hidden="1">"#"</definedName>
    <definedName name="FDC_64_49" hidden="1">"#"</definedName>
    <definedName name="FDC_64_5" hidden="1">"#"</definedName>
    <definedName name="FDC_64_50" hidden="1">"#"</definedName>
    <definedName name="FDC_64_51" hidden="1">"#"</definedName>
    <definedName name="FDC_64_52" hidden="1">"#"</definedName>
    <definedName name="FDC_64_53" hidden="1">"#"</definedName>
    <definedName name="FDC_64_54" hidden="1">"#"</definedName>
    <definedName name="FDC_64_55" hidden="1">"#"</definedName>
    <definedName name="FDC_64_56" hidden="1">"#"</definedName>
    <definedName name="FDC_64_57" hidden="1">"#"</definedName>
    <definedName name="FDC_64_58" hidden="1">"#"</definedName>
    <definedName name="FDC_64_59" hidden="1">"#"</definedName>
    <definedName name="FDC_64_6" hidden="1">"#"</definedName>
    <definedName name="FDC_64_60" hidden="1">"#"</definedName>
    <definedName name="FDC_64_61" hidden="1">"#"</definedName>
    <definedName name="FDC_64_62" hidden="1">"#"</definedName>
    <definedName name="FDC_64_63" hidden="1">"#"</definedName>
    <definedName name="FDC_64_64" hidden="1">"#"</definedName>
    <definedName name="FDC_64_65" hidden="1">"#"</definedName>
    <definedName name="FDC_64_66" hidden="1">"#"</definedName>
    <definedName name="FDC_64_67" hidden="1">"#"</definedName>
    <definedName name="FDC_64_68" hidden="1">"#"</definedName>
    <definedName name="FDC_64_69" hidden="1">"#"</definedName>
    <definedName name="FDC_64_7" hidden="1">"#"</definedName>
    <definedName name="FDC_64_70" hidden="1">"#"</definedName>
    <definedName name="FDC_64_71" hidden="1">"#"</definedName>
    <definedName name="FDC_64_72" hidden="1">"#"</definedName>
    <definedName name="FDC_64_73" hidden="1">"#"</definedName>
    <definedName name="FDC_64_74" hidden="1">"#"</definedName>
    <definedName name="FDC_64_75" hidden="1">"#"</definedName>
    <definedName name="FDC_64_76" hidden="1">"#"</definedName>
    <definedName name="FDC_64_77" hidden="1">"#"</definedName>
    <definedName name="FDC_64_78" hidden="1">"#"</definedName>
    <definedName name="FDC_64_79" hidden="1">"#"</definedName>
    <definedName name="FDC_64_8" hidden="1">"#"</definedName>
    <definedName name="FDC_64_80" hidden="1">"#"</definedName>
    <definedName name="FDC_64_81" hidden="1">"#"</definedName>
    <definedName name="FDC_64_82" hidden="1">"#"</definedName>
    <definedName name="FDC_64_83" hidden="1">"#"</definedName>
    <definedName name="FDC_64_84" hidden="1">"#"</definedName>
    <definedName name="FDC_64_85" hidden="1">"#"</definedName>
    <definedName name="FDC_64_86" hidden="1">"#"</definedName>
    <definedName name="FDC_64_87" hidden="1">"#"</definedName>
    <definedName name="FDC_64_88" hidden="1">"#"</definedName>
    <definedName name="FDC_64_89" hidden="1">"#"</definedName>
    <definedName name="FDC_64_9" hidden="1">"#"</definedName>
    <definedName name="FDC_64_90" hidden="1">"#"</definedName>
    <definedName name="FDC_64_91" hidden="1">"#"</definedName>
    <definedName name="FDC_64_92" hidden="1">"#"</definedName>
    <definedName name="FDC_64_93" hidden="1">"#"</definedName>
    <definedName name="FDC_64_94" hidden="1">"#"</definedName>
    <definedName name="FDC_64_95" hidden="1">"#"</definedName>
    <definedName name="FDC_64_96" hidden="1">"#"</definedName>
    <definedName name="FDC_64_97" hidden="1">"#"</definedName>
    <definedName name="FDC_64_98" hidden="1">"#"</definedName>
    <definedName name="FDC_64_99" hidden="1">"#"</definedName>
    <definedName name="FDC_65_0" hidden="1">"#"</definedName>
    <definedName name="FDC_7_0" hidden="1">"#"</definedName>
    <definedName name="FDC_7_1" hidden="1">"#"</definedName>
    <definedName name="FDC_7_2" hidden="1">"#"</definedName>
    <definedName name="FDC_7_3" hidden="1">"#"</definedName>
    <definedName name="FDC_8_0" hidden="1">"#"</definedName>
    <definedName name="FDC_8_1" hidden="1">"#"</definedName>
    <definedName name="FDC_8_2" hidden="1">"#"</definedName>
    <definedName name="FDC_8_3" hidden="1">"#"</definedName>
    <definedName name="FDC_9_0" hidden="1">"#"</definedName>
    <definedName name="FDC_9_1" hidden="1">"#"</definedName>
    <definedName name="FDC_9_2" hidden="1">"#"</definedName>
    <definedName name="FDC_9_3" hidden="1">"#"</definedName>
    <definedName name="FDD_0_0" hidden="1">"A30681"</definedName>
    <definedName name="FDD_0_1" hidden="1">"A31047"</definedName>
    <definedName name="FDD_0_10" hidden="1">"A34334"</definedName>
    <definedName name="FDD_0_11" hidden="1">"A34699"</definedName>
    <definedName name="FDD_0_12" hidden="1">"A35064"</definedName>
    <definedName name="FDD_0_13" hidden="1">"A35430"</definedName>
    <definedName name="FDD_0_14" hidden="1">"A35795"</definedName>
    <definedName name="FDD_0_2" hidden="1">"A31412"</definedName>
    <definedName name="FDD_0_3" hidden="1">"A31777"</definedName>
    <definedName name="FDD_0_4" hidden="1">"A32142"</definedName>
    <definedName name="FDD_0_5" hidden="1">"A32508"</definedName>
    <definedName name="FDD_0_6" hidden="1">"A32873"</definedName>
    <definedName name="FDD_0_7" hidden="1">"A33238"</definedName>
    <definedName name="FDD_0_8" hidden="1">"A33603"</definedName>
    <definedName name="FDD_0_9" hidden="1">"A33969"</definedName>
    <definedName name="FDD_1_0" hidden="1">"U25569"</definedName>
    <definedName name="FDD_10_0" hidden="1">"A25569"</definedName>
    <definedName name="FDD_10_1" hidden="1">"A35795"</definedName>
    <definedName name="FDD_10_2" hidden="1">"A36160"</definedName>
    <definedName name="FDD_10_3" hidden="1">"E36525"</definedName>
    <definedName name="FDD_100_0" hidden="1">"A25569"</definedName>
    <definedName name="FDD_101_0" hidden="1">"A25569"</definedName>
    <definedName name="FDD_102_0" hidden="1">"A25569"</definedName>
    <definedName name="FDD_103_0" hidden="1">"A25569"</definedName>
    <definedName name="FDD_104_0" hidden="1">"A25569"</definedName>
    <definedName name="FDD_105_0" hidden="1">"A25569"</definedName>
    <definedName name="FDD_106_0" hidden="1">"A25569"</definedName>
    <definedName name="FDD_107_0" hidden="1">"A25569"</definedName>
    <definedName name="FDD_108_0" hidden="1">"A25569"</definedName>
    <definedName name="FDD_109_0" hidden="1">"A25569"</definedName>
    <definedName name="FDD_11_0" hidden="1">"A25569"</definedName>
    <definedName name="FDD_11_1" hidden="1">"E35795"</definedName>
    <definedName name="FDD_11_2" hidden="1">"E36160"</definedName>
    <definedName name="FDD_11_3" hidden="1">"E36525"</definedName>
    <definedName name="FDD_110_0" hidden="1">"A25569"</definedName>
    <definedName name="FDD_111_0" hidden="1">"A25569"</definedName>
    <definedName name="FDD_112_0" hidden="1">"A25569"</definedName>
    <definedName name="FDD_113_0" hidden="1">"A25569"</definedName>
    <definedName name="FDD_114_0" hidden="1">"A25569"</definedName>
    <definedName name="FDD_115_0" hidden="1">"A25569"</definedName>
    <definedName name="FDD_116_0" hidden="1">"A25569"</definedName>
    <definedName name="FDD_117_0" hidden="1">"A30681"</definedName>
    <definedName name="FDD_117_1" hidden="1">"A31047"</definedName>
    <definedName name="FDD_117_10" hidden="1">"A34334"</definedName>
    <definedName name="FDD_117_11" hidden="1">"A34699"</definedName>
    <definedName name="FDD_117_12" hidden="1">"A35064"</definedName>
    <definedName name="FDD_117_13" hidden="1">"A35430"</definedName>
    <definedName name="FDD_117_14" hidden="1">"A35795"</definedName>
    <definedName name="FDD_117_2" hidden="1">"A31412"</definedName>
    <definedName name="FDD_117_3" hidden="1">"A31777"</definedName>
    <definedName name="FDD_117_4" hidden="1">"A32142"</definedName>
    <definedName name="FDD_117_5" hidden="1">"A32508"</definedName>
    <definedName name="FDD_117_6" hidden="1">"A32873"</definedName>
    <definedName name="FDD_117_7" hidden="1">"A33238"</definedName>
    <definedName name="FDD_117_8" hidden="1">"A33603"</definedName>
    <definedName name="FDD_117_9" hidden="1">"A33969"</definedName>
    <definedName name="FDD_118_0" hidden="1">"A30681"</definedName>
    <definedName name="FDD_118_1" hidden="1">"A31047"</definedName>
    <definedName name="FDD_118_10" hidden="1">"A34334"</definedName>
    <definedName name="FDD_118_11" hidden="1">"A34699"</definedName>
    <definedName name="FDD_118_12" hidden="1">"A35064"</definedName>
    <definedName name="FDD_118_13" hidden="1">"A35430"</definedName>
    <definedName name="FDD_118_14" hidden="1">"A35795"</definedName>
    <definedName name="FDD_118_2" hidden="1">"A31412"</definedName>
    <definedName name="FDD_118_3" hidden="1">"A31777"</definedName>
    <definedName name="FDD_118_4" hidden="1">"A32142"</definedName>
    <definedName name="FDD_118_5" hidden="1">"A32508"</definedName>
    <definedName name="FDD_118_6" hidden="1">"A32873"</definedName>
    <definedName name="FDD_118_7" hidden="1">"A33238"</definedName>
    <definedName name="FDD_118_8" hidden="1">"A33603"</definedName>
    <definedName name="FDD_118_9" hidden="1">"A33969"</definedName>
    <definedName name="FDD_119_0" hidden="1">"A30681"</definedName>
    <definedName name="FDD_119_1" hidden="1">"A31047"</definedName>
    <definedName name="FDD_119_10" hidden="1">"A34334"</definedName>
    <definedName name="FDD_119_11" hidden="1">"A34699"</definedName>
    <definedName name="FDD_119_12" hidden="1">"A35064"</definedName>
    <definedName name="FDD_119_13" hidden="1">"A35430"</definedName>
    <definedName name="FDD_119_14" hidden="1">"A35795"</definedName>
    <definedName name="FDD_119_2" hidden="1">"A31412"</definedName>
    <definedName name="FDD_119_3" hidden="1">"A31777"</definedName>
    <definedName name="FDD_119_4" hidden="1">"A32142"</definedName>
    <definedName name="FDD_119_5" hidden="1">"A32508"</definedName>
    <definedName name="FDD_119_6" hidden="1">"A32873"</definedName>
    <definedName name="FDD_119_7" hidden="1">"A33238"</definedName>
    <definedName name="FDD_119_8" hidden="1">"A33603"</definedName>
    <definedName name="FDD_119_9" hidden="1">"A33969"</definedName>
    <definedName name="FDD_12_0" hidden="1">"A25569"</definedName>
    <definedName name="FDD_12_1" hidden="1">"E35795"</definedName>
    <definedName name="FDD_12_2" hidden="1">"E36160"</definedName>
    <definedName name="FDD_12_3" hidden="1">"E36525"</definedName>
    <definedName name="FDD_120_0" hidden="1">"A30681"</definedName>
    <definedName name="FDD_120_1" hidden="1">"A31047"</definedName>
    <definedName name="FDD_120_10" hidden="1">"A34334"</definedName>
    <definedName name="FDD_120_11" hidden="1">"A34699"</definedName>
    <definedName name="FDD_120_12" hidden="1">"A35064"</definedName>
    <definedName name="FDD_120_13" hidden="1">"A35430"</definedName>
    <definedName name="FDD_120_14" hidden="1">"A35795"</definedName>
    <definedName name="FDD_120_2" hidden="1">"A31412"</definedName>
    <definedName name="FDD_120_3" hidden="1">"A31777"</definedName>
    <definedName name="FDD_120_4" hidden="1">"A32142"</definedName>
    <definedName name="FDD_120_5" hidden="1">"A32508"</definedName>
    <definedName name="FDD_120_6" hidden="1">"A32873"</definedName>
    <definedName name="FDD_120_7" hidden="1">"A33238"</definedName>
    <definedName name="FDD_120_8" hidden="1">"A33603"</definedName>
    <definedName name="FDD_120_9" hidden="1">"A33969"</definedName>
    <definedName name="FDD_121_0" hidden="1">"A30681"</definedName>
    <definedName name="FDD_121_1" hidden="1">"A31047"</definedName>
    <definedName name="FDD_121_10" hidden="1">"A34334"</definedName>
    <definedName name="FDD_121_11" hidden="1">"A34699"</definedName>
    <definedName name="FDD_121_12" hidden="1">"A35064"</definedName>
    <definedName name="FDD_121_13" hidden="1">"A35430"</definedName>
    <definedName name="FDD_121_14" hidden="1">"A35795"</definedName>
    <definedName name="FDD_121_2" hidden="1">"A31412"</definedName>
    <definedName name="FDD_121_3" hidden="1">"A31777"</definedName>
    <definedName name="FDD_121_4" hidden="1">"A32142"</definedName>
    <definedName name="FDD_121_5" hidden="1">"A32508"</definedName>
    <definedName name="FDD_121_6" hidden="1">"A32873"</definedName>
    <definedName name="FDD_121_7" hidden="1">"A33238"</definedName>
    <definedName name="FDD_121_8" hidden="1">"A33603"</definedName>
    <definedName name="FDD_121_9" hidden="1">"A33969"</definedName>
    <definedName name="FDD_122_0" hidden="1">"A30681"</definedName>
    <definedName name="FDD_122_1" hidden="1">"A31047"</definedName>
    <definedName name="FDD_122_10" hidden="1">"A34334"</definedName>
    <definedName name="FDD_122_11" hidden="1">"A34699"</definedName>
    <definedName name="FDD_122_12" hidden="1">"A35064"</definedName>
    <definedName name="FDD_122_13" hidden="1">"A35430"</definedName>
    <definedName name="FDD_122_14" hidden="1">"A35795"</definedName>
    <definedName name="FDD_122_2" hidden="1">"A31412"</definedName>
    <definedName name="FDD_122_3" hidden="1">"A31777"</definedName>
    <definedName name="FDD_122_4" hidden="1">"A32142"</definedName>
    <definedName name="FDD_122_5" hidden="1">"A32508"</definedName>
    <definedName name="FDD_122_6" hidden="1">"A32873"</definedName>
    <definedName name="FDD_122_7" hidden="1">"A33238"</definedName>
    <definedName name="FDD_122_8" hidden="1">"A33603"</definedName>
    <definedName name="FDD_122_9" hidden="1">"A33969"</definedName>
    <definedName name="FDD_123_0" hidden="1">"A30681"</definedName>
    <definedName name="FDD_123_1" hidden="1">"A31047"</definedName>
    <definedName name="FDD_123_10" hidden="1">"A34334"</definedName>
    <definedName name="FDD_123_11" hidden="1">"A34699"</definedName>
    <definedName name="FDD_123_12" hidden="1">"A35064"</definedName>
    <definedName name="FDD_123_13" hidden="1">"A35430"</definedName>
    <definedName name="FDD_123_14" hidden="1">"A35795"</definedName>
    <definedName name="FDD_123_2" hidden="1">"A31412"</definedName>
    <definedName name="FDD_123_3" hidden="1">"A31777"</definedName>
    <definedName name="FDD_123_4" hidden="1">"A32142"</definedName>
    <definedName name="FDD_123_5" hidden="1">"A32508"</definedName>
    <definedName name="FDD_123_6" hidden="1">"A32873"</definedName>
    <definedName name="FDD_123_7" hidden="1">"A33238"</definedName>
    <definedName name="FDD_123_8" hidden="1">"A33603"</definedName>
    <definedName name="FDD_123_9" hidden="1">"A33969"</definedName>
    <definedName name="FDD_124_0" hidden="1">"A30681"</definedName>
    <definedName name="FDD_124_1" hidden="1">"A31047"</definedName>
    <definedName name="FDD_124_10" hidden="1">"A34334"</definedName>
    <definedName name="FDD_124_11" hidden="1">"A34699"</definedName>
    <definedName name="FDD_124_12" hidden="1">"A35064"</definedName>
    <definedName name="FDD_124_13" hidden="1">"A35430"</definedName>
    <definedName name="FDD_124_14" hidden="1">"A35795"</definedName>
    <definedName name="FDD_124_2" hidden="1">"A31412"</definedName>
    <definedName name="FDD_124_3" hidden="1">"A31777"</definedName>
    <definedName name="FDD_124_4" hidden="1">"A32142"</definedName>
    <definedName name="FDD_124_5" hidden="1">"A32508"</definedName>
    <definedName name="FDD_124_6" hidden="1">"A32873"</definedName>
    <definedName name="FDD_124_7" hidden="1">"A33238"</definedName>
    <definedName name="FDD_124_8" hidden="1">"A33603"</definedName>
    <definedName name="FDD_124_9" hidden="1">"A33969"</definedName>
    <definedName name="FDD_125_0" hidden="1">"A30681"</definedName>
    <definedName name="FDD_125_1" hidden="1">"A31047"</definedName>
    <definedName name="FDD_125_10" hidden="1">"A34334"</definedName>
    <definedName name="FDD_125_11" hidden="1">"A34699"</definedName>
    <definedName name="FDD_125_12" hidden="1">"A35064"</definedName>
    <definedName name="FDD_125_13" hidden="1">"A35430"</definedName>
    <definedName name="FDD_125_14" hidden="1">"A35795"</definedName>
    <definedName name="FDD_125_2" hidden="1">"A31412"</definedName>
    <definedName name="FDD_125_3" hidden="1">"A31777"</definedName>
    <definedName name="FDD_125_4" hidden="1">"A32142"</definedName>
    <definedName name="FDD_125_5" hidden="1">"A32508"</definedName>
    <definedName name="FDD_125_6" hidden="1">"A32873"</definedName>
    <definedName name="FDD_125_7" hidden="1">"A33238"</definedName>
    <definedName name="FDD_125_8" hidden="1">"A33603"</definedName>
    <definedName name="FDD_125_9" hidden="1">"A33969"</definedName>
    <definedName name="FDD_126_0" hidden="1">"A30681"</definedName>
    <definedName name="FDD_126_1" hidden="1">"A31047"</definedName>
    <definedName name="FDD_126_10" hidden="1">"A34334"</definedName>
    <definedName name="FDD_126_11" hidden="1">"A34699"</definedName>
    <definedName name="FDD_126_12" hidden="1">"A35064"</definedName>
    <definedName name="FDD_126_13" hidden="1">"A35430"</definedName>
    <definedName name="FDD_126_14" hidden="1">"A35795"</definedName>
    <definedName name="FDD_126_2" hidden="1">"A31412"</definedName>
    <definedName name="FDD_126_3" hidden="1">"A31777"</definedName>
    <definedName name="FDD_126_4" hidden="1">"A32142"</definedName>
    <definedName name="FDD_126_5" hidden="1">"A32508"</definedName>
    <definedName name="FDD_126_6" hidden="1">"A32873"</definedName>
    <definedName name="FDD_126_7" hidden="1">"A33238"</definedName>
    <definedName name="FDD_126_8" hidden="1">"A33603"</definedName>
    <definedName name="FDD_126_9" hidden="1">"A33969"</definedName>
    <definedName name="FDD_127_0" hidden="1">"A30681"</definedName>
    <definedName name="FDD_127_1" hidden="1">"A31047"</definedName>
    <definedName name="FDD_127_10" hidden="1">"A34334"</definedName>
    <definedName name="FDD_127_11" hidden="1">"A34699"</definedName>
    <definedName name="FDD_127_12" hidden="1">"A35064"</definedName>
    <definedName name="FDD_127_13" hidden="1">"A35430"</definedName>
    <definedName name="FDD_127_14" hidden="1">"A35795"</definedName>
    <definedName name="FDD_127_2" hidden="1">"A31412"</definedName>
    <definedName name="FDD_127_3" hidden="1">"A31777"</definedName>
    <definedName name="FDD_127_4" hidden="1">"A32142"</definedName>
    <definedName name="FDD_127_5" hidden="1">"A32508"</definedName>
    <definedName name="FDD_127_6" hidden="1">"A32873"</definedName>
    <definedName name="FDD_127_7" hidden="1">"A33238"</definedName>
    <definedName name="FDD_127_8" hidden="1">"A33603"</definedName>
    <definedName name="FDD_127_9" hidden="1">"A33969"</definedName>
    <definedName name="FDD_128_0" hidden="1">"A30681"</definedName>
    <definedName name="FDD_128_1" hidden="1">"A31047"</definedName>
    <definedName name="FDD_128_10" hidden="1">"A34334"</definedName>
    <definedName name="FDD_128_11" hidden="1">"A34699"</definedName>
    <definedName name="FDD_128_12" hidden="1">"A35064"</definedName>
    <definedName name="FDD_128_13" hidden="1">"A35430"</definedName>
    <definedName name="FDD_128_14" hidden="1">"A35795"</definedName>
    <definedName name="FDD_128_2" hidden="1">"A31412"</definedName>
    <definedName name="FDD_128_3" hidden="1">"A31777"</definedName>
    <definedName name="FDD_128_4" hidden="1">"A32142"</definedName>
    <definedName name="FDD_128_5" hidden="1">"A32508"</definedName>
    <definedName name="FDD_128_6" hidden="1">"A32873"</definedName>
    <definedName name="FDD_128_7" hidden="1">"A33238"</definedName>
    <definedName name="FDD_128_8" hidden="1">"A33603"</definedName>
    <definedName name="FDD_128_9" hidden="1">"A33969"</definedName>
    <definedName name="FDD_129_0" hidden="1">"A30681"</definedName>
    <definedName name="FDD_129_1" hidden="1">"A31047"</definedName>
    <definedName name="FDD_129_10" hidden="1">"A34334"</definedName>
    <definedName name="FDD_129_11" hidden="1">"A34699"</definedName>
    <definedName name="FDD_129_12" hidden="1">"A35064"</definedName>
    <definedName name="FDD_129_13" hidden="1">"A35430"</definedName>
    <definedName name="FDD_129_14" hidden="1">"A35795"</definedName>
    <definedName name="FDD_129_2" hidden="1">"A31412"</definedName>
    <definedName name="FDD_129_3" hidden="1">"A31777"</definedName>
    <definedName name="FDD_129_4" hidden="1">"A32142"</definedName>
    <definedName name="FDD_129_5" hidden="1">"A32508"</definedName>
    <definedName name="FDD_129_6" hidden="1">"A32873"</definedName>
    <definedName name="FDD_129_7" hidden="1">"A33238"</definedName>
    <definedName name="FDD_129_8" hidden="1">"A33603"</definedName>
    <definedName name="FDD_129_9" hidden="1">"A33969"</definedName>
    <definedName name="FDD_13_0" hidden="1">"A25569"</definedName>
    <definedName name="FDD_130_0" hidden="1">"A30681"</definedName>
    <definedName name="FDD_130_1" hidden="1">"A31047"</definedName>
    <definedName name="FDD_130_10" hidden="1">"A34334"</definedName>
    <definedName name="FDD_130_11" hidden="1">"A34699"</definedName>
    <definedName name="FDD_130_12" hidden="1">"A35064"</definedName>
    <definedName name="FDD_130_13" hidden="1">"A35430"</definedName>
    <definedName name="FDD_130_14" hidden="1">"A35795"</definedName>
    <definedName name="FDD_130_2" hidden="1">"A31412"</definedName>
    <definedName name="FDD_130_3" hidden="1">"A31777"</definedName>
    <definedName name="FDD_130_4" hidden="1">"A32142"</definedName>
    <definedName name="FDD_130_5" hidden="1">"A32508"</definedName>
    <definedName name="FDD_130_6" hidden="1">"A32873"</definedName>
    <definedName name="FDD_130_7" hidden="1">"A33238"</definedName>
    <definedName name="FDD_130_8" hidden="1">"A33603"</definedName>
    <definedName name="FDD_130_9" hidden="1">"A33969"</definedName>
    <definedName name="FDD_131_0" hidden="1">"A30681"</definedName>
    <definedName name="FDD_131_1" hidden="1">"A31047"</definedName>
    <definedName name="FDD_131_10" hidden="1">"A34334"</definedName>
    <definedName name="FDD_131_11" hidden="1">"A34699"</definedName>
    <definedName name="FDD_131_12" hidden="1">"A35064"</definedName>
    <definedName name="FDD_131_13" hidden="1">"A35430"</definedName>
    <definedName name="FDD_131_14" hidden="1">"A35795"</definedName>
    <definedName name="FDD_131_2" hidden="1">"A31412"</definedName>
    <definedName name="FDD_131_3" hidden="1">"A31777"</definedName>
    <definedName name="FDD_131_4" hidden="1">"A32142"</definedName>
    <definedName name="FDD_131_5" hidden="1">"A32508"</definedName>
    <definedName name="FDD_131_6" hidden="1">"A32873"</definedName>
    <definedName name="FDD_131_7" hidden="1">"A33238"</definedName>
    <definedName name="FDD_131_8" hidden="1">"A33603"</definedName>
    <definedName name="FDD_131_9" hidden="1">"A33969"</definedName>
    <definedName name="FDD_132_0" hidden="1">"U30681"</definedName>
    <definedName name="FDD_132_1" hidden="1">"U31047"</definedName>
    <definedName name="FDD_132_10" hidden="1">"U34334"</definedName>
    <definedName name="FDD_132_11" hidden="1">"U34699"</definedName>
    <definedName name="FDD_132_12" hidden="1">"U35064"</definedName>
    <definedName name="FDD_132_13" hidden="1">"U35430"</definedName>
    <definedName name="FDD_132_14" hidden="1">"U35795"</definedName>
    <definedName name="FDD_132_2" hidden="1">"U31412"</definedName>
    <definedName name="FDD_132_3" hidden="1">"U31777"</definedName>
    <definedName name="FDD_132_4" hidden="1">"U32142"</definedName>
    <definedName name="FDD_132_5" hidden="1">"U32508"</definedName>
    <definedName name="FDD_132_6" hidden="1">"U32873"</definedName>
    <definedName name="FDD_132_7" hidden="1">"U33238"</definedName>
    <definedName name="FDD_132_8" hidden="1">"U33603"</definedName>
    <definedName name="FDD_132_9" hidden="1">"U33969"</definedName>
    <definedName name="FDD_133_0" hidden="1">"A30681"</definedName>
    <definedName name="FDD_133_1" hidden="1">"A31047"</definedName>
    <definedName name="FDD_133_10" hidden="1">"A34334"</definedName>
    <definedName name="FDD_133_11" hidden="1">"A34699"</definedName>
    <definedName name="FDD_133_12" hidden="1">"A35064"</definedName>
    <definedName name="FDD_133_13" hidden="1">"A35430"</definedName>
    <definedName name="FDD_133_14" hidden="1">"A35795"</definedName>
    <definedName name="FDD_133_2" hidden="1">"A31412"</definedName>
    <definedName name="FDD_133_3" hidden="1">"A31777"</definedName>
    <definedName name="FDD_133_4" hidden="1">"A32142"</definedName>
    <definedName name="FDD_133_5" hidden="1">"A32508"</definedName>
    <definedName name="FDD_133_6" hidden="1">"A32873"</definedName>
    <definedName name="FDD_133_7" hidden="1">"A33238"</definedName>
    <definedName name="FDD_133_8" hidden="1">"A33603"</definedName>
    <definedName name="FDD_133_9" hidden="1">"A33969"</definedName>
    <definedName name="FDD_134_0" hidden="1">"A30681"</definedName>
    <definedName name="FDD_134_1" hidden="1">"A31047"</definedName>
    <definedName name="FDD_134_10" hidden="1">"A34334"</definedName>
    <definedName name="FDD_134_11" hidden="1">"A34699"</definedName>
    <definedName name="FDD_134_12" hidden="1">"A35064"</definedName>
    <definedName name="FDD_134_13" hidden="1">"A35430"</definedName>
    <definedName name="FDD_134_14" hidden="1">"A35795"</definedName>
    <definedName name="FDD_134_2" hidden="1">"A31412"</definedName>
    <definedName name="FDD_134_3" hidden="1">"A31777"</definedName>
    <definedName name="FDD_134_4" hidden="1">"A32142"</definedName>
    <definedName name="FDD_134_5" hidden="1">"A32508"</definedName>
    <definedName name="FDD_134_6" hidden="1">"A32873"</definedName>
    <definedName name="FDD_134_7" hidden="1">"A33238"</definedName>
    <definedName name="FDD_134_8" hidden="1">"A33603"</definedName>
    <definedName name="FDD_134_9" hidden="1">"A33969"</definedName>
    <definedName name="FDD_135_0" hidden="1">"A30681"</definedName>
    <definedName name="FDD_135_1" hidden="1">"A31047"</definedName>
    <definedName name="FDD_135_10" hidden="1">"A34334"</definedName>
    <definedName name="FDD_135_11" hidden="1">"A34699"</definedName>
    <definedName name="FDD_135_12" hidden="1">"A35064"</definedName>
    <definedName name="FDD_135_13" hidden="1">"A35430"</definedName>
    <definedName name="FDD_135_14" hidden="1">"A35795"</definedName>
    <definedName name="FDD_135_2" hidden="1">"A31412"</definedName>
    <definedName name="FDD_135_3" hidden="1">"A31777"</definedName>
    <definedName name="FDD_135_4" hidden="1">"A32142"</definedName>
    <definedName name="FDD_135_5" hidden="1">"A32508"</definedName>
    <definedName name="FDD_135_6" hidden="1">"A32873"</definedName>
    <definedName name="FDD_135_7" hidden="1">"A33238"</definedName>
    <definedName name="FDD_135_8" hidden="1">"A33603"</definedName>
    <definedName name="FDD_135_9" hidden="1">"A33969"</definedName>
    <definedName name="FDD_136_0" hidden="1">"A30681"</definedName>
    <definedName name="FDD_136_1" hidden="1">"A31047"</definedName>
    <definedName name="FDD_136_10" hidden="1">"A34334"</definedName>
    <definedName name="FDD_136_11" hidden="1">"A34699"</definedName>
    <definedName name="FDD_136_12" hidden="1">"A35064"</definedName>
    <definedName name="FDD_136_13" hidden="1">"A35430"</definedName>
    <definedName name="FDD_136_14" hidden="1">"A35795"</definedName>
    <definedName name="FDD_136_2" hidden="1">"A31412"</definedName>
    <definedName name="FDD_136_3" hidden="1">"A31777"</definedName>
    <definedName name="FDD_136_4" hidden="1">"A32142"</definedName>
    <definedName name="FDD_136_5" hidden="1">"A32508"</definedName>
    <definedName name="FDD_136_6" hidden="1">"A32873"</definedName>
    <definedName name="FDD_136_7" hidden="1">"A33238"</definedName>
    <definedName name="FDD_136_8" hidden="1">"A33603"</definedName>
    <definedName name="FDD_136_9" hidden="1">"A33969"</definedName>
    <definedName name="FDD_137_0" hidden="1">"A30681"</definedName>
    <definedName name="FDD_137_1" hidden="1">"A31047"</definedName>
    <definedName name="FDD_137_10" hidden="1">"A34334"</definedName>
    <definedName name="FDD_137_11" hidden="1">"A34699"</definedName>
    <definedName name="FDD_137_12" hidden="1">"A35064"</definedName>
    <definedName name="FDD_137_13" hidden="1">"A35430"</definedName>
    <definedName name="FDD_137_14" hidden="1">"A35795"</definedName>
    <definedName name="FDD_137_2" hidden="1">"A31412"</definedName>
    <definedName name="FDD_137_3" hidden="1">"A31777"</definedName>
    <definedName name="FDD_137_4" hidden="1">"A32142"</definedName>
    <definedName name="FDD_137_5" hidden="1">"A32508"</definedName>
    <definedName name="FDD_137_6" hidden="1">"A32873"</definedName>
    <definedName name="FDD_137_7" hidden="1">"A33238"</definedName>
    <definedName name="FDD_137_8" hidden="1">"A33603"</definedName>
    <definedName name="FDD_137_9" hidden="1">"A33969"</definedName>
    <definedName name="FDD_138_0" hidden="1">"A30681"</definedName>
    <definedName name="FDD_138_1" hidden="1">"A31047"</definedName>
    <definedName name="FDD_138_10" hidden="1">"A34334"</definedName>
    <definedName name="FDD_138_11" hidden="1">"A34699"</definedName>
    <definedName name="FDD_138_12" hidden="1">"A35064"</definedName>
    <definedName name="FDD_138_13" hidden="1">"A35430"</definedName>
    <definedName name="FDD_138_14" hidden="1">"A35795"</definedName>
    <definedName name="FDD_138_2" hidden="1">"A31412"</definedName>
    <definedName name="FDD_138_3" hidden="1">"A31777"</definedName>
    <definedName name="FDD_138_4" hidden="1">"A32142"</definedName>
    <definedName name="FDD_138_5" hidden="1">"A32508"</definedName>
    <definedName name="FDD_138_6" hidden="1">"A32873"</definedName>
    <definedName name="FDD_138_7" hidden="1">"A33238"</definedName>
    <definedName name="FDD_138_8" hidden="1">"A33603"</definedName>
    <definedName name="FDD_138_9" hidden="1">"A33969"</definedName>
    <definedName name="FDD_139_0" hidden="1">"A30681"</definedName>
    <definedName name="FDD_139_1" hidden="1">"A31047"</definedName>
    <definedName name="FDD_139_10" hidden="1">"U34334"</definedName>
    <definedName name="FDD_139_11" hidden="1">"U34699"</definedName>
    <definedName name="FDD_139_12" hidden="1">"U35064"</definedName>
    <definedName name="FDD_139_13" hidden="1">"U35430"</definedName>
    <definedName name="FDD_139_14" hidden="1">"U35795"</definedName>
    <definedName name="FDD_139_2" hidden="1">"A31412"</definedName>
    <definedName name="FDD_139_3" hidden="1">"U31777"</definedName>
    <definedName name="FDD_139_4" hidden="1">"U32142"</definedName>
    <definedName name="FDD_139_5" hidden="1">"U32508"</definedName>
    <definedName name="FDD_139_6" hidden="1">"U32873"</definedName>
    <definedName name="FDD_139_7" hidden="1">"U33238"</definedName>
    <definedName name="FDD_139_8" hidden="1">"U33603"</definedName>
    <definedName name="FDD_139_9" hidden="1">"U33969"</definedName>
    <definedName name="FDD_14_0" hidden="1">"A25569"</definedName>
    <definedName name="FDD_140_0" hidden="1">"A25569"</definedName>
    <definedName name="FDD_141_0" hidden="1">"A30681"</definedName>
    <definedName name="FDD_141_1" hidden="1">"A31047"</definedName>
    <definedName name="FDD_141_10" hidden="1">"A34334"</definedName>
    <definedName name="FDD_141_11" hidden="1">"A34699"</definedName>
    <definedName name="FDD_141_12" hidden="1">"A35064"</definedName>
    <definedName name="FDD_141_13" hidden="1">"A35430"</definedName>
    <definedName name="FDD_141_14" hidden="1">"A35795"</definedName>
    <definedName name="FDD_141_2" hidden="1">"A31412"</definedName>
    <definedName name="FDD_141_3" hidden="1">"A31777"</definedName>
    <definedName name="FDD_141_4" hidden="1">"A32142"</definedName>
    <definedName name="FDD_141_5" hidden="1">"A32508"</definedName>
    <definedName name="FDD_141_6" hidden="1">"A32873"</definedName>
    <definedName name="FDD_141_7" hidden="1">"A33238"</definedName>
    <definedName name="FDD_141_8" hidden="1">"A33603"</definedName>
    <definedName name="FDD_141_9" hidden="1">"A33969"</definedName>
    <definedName name="FDD_142_0" hidden="1">"A30681"</definedName>
    <definedName name="FDD_142_1" hidden="1">"A31047"</definedName>
    <definedName name="FDD_142_10" hidden="1">"A34334"</definedName>
    <definedName name="FDD_142_11" hidden="1">"A34699"</definedName>
    <definedName name="FDD_142_12" hidden="1">"A35064"</definedName>
    <definedName name="FDD_142_13" hidden="1">"A35430"</definedName>
    <definedName name="FDD_142_14" hidden="1">"A35795"</definedName>
    <definedName name="FDD_142_2" hidden="1">"A31412"</definedName>
    <definedName name="FDD_142_3" hidden="1">"A31777"</definedName>
    <definedName name="FDD_142_4" hidden="1">"A32142"</definedName>
    <definedName name="FDD_142_5" hidden="1">"A32508"</definedName>
    <definedName name="FDD_142_6" hidden="1">"A32873"</definedName>
    <definedName name="FDD_142_7" hidden="1">"A33238"</definedName>
    <definedName name="FDD_142_8" hidden="1">"A33603"</definedName>
    <definedName name="FDD_142_9" hidden="1">"A33969"</definedName>
    <definedName name="FDD_143_0" hidden="1">"A30681"</definedName>
    <definedName name="FDD_143_1" hidden="1">"A31047"</definedName>
    <definedName name="FDD_143_10" hidden="1">"A34334"</definedName>
    <definedName name="FDD_143_11" hidden="1">"A34699"</definedName>
    <definedName name="FDD_143_12" hidden="1">"A35064"</definedName>
    <definedName name="FDD_143_13" hidden="1">"A35430"</definedName>
    <definedName name="FDD_143_14" hidden="1">"A35795"</definedName>
    <definedName name="FDD_143_2" hidden="1">"A31412"</definedName>
    <definedName name="FDD_143_3" hidden="1">"A31777"</definedName>
    <definedName name="FDD_143_4" hidden="1">"A32142"</definedName>
    <definedName name="FDD_143_5" hidden="1">"A32508"</definedName>
    <definedName name="FDD_143_6" hidden="1">"A32873"</definedName>
    <definedName name="FDD_143_7" hidden="1">"A33238"</definedName>
    <definedName name="FDD_143_8" hidden="1">"A33603"</definedName>
    <definedName name="FDD_143_9" hidden="1">"A33969"</definedName>
    <definedName name="FDD_144_0" hidden="1">"A30681"</definedName>
    <definedName name="FDD_144_1" hidden="1">"A31047"</definedName>
    <definedName name="FDD_144_10" hidden="1">"A34334"</definedName>
    <definedName name="FDD_144_11" hidden="1">"A34699"</definedName>
    <definedName name="FDD_144_12" hidden="1">"A35064"</definedName>
    <definedName name="FDD_144_13" hidden="1">"A35430"</definedName>
    <definedName name="FDD_144_14" hidden="1">"A35795"</definedName>
    <definedName name="FDD_144_2" hidden="1">"A31412"</definedName>
    <definedName name="FDD_144_3" hidden="1">"A31777"</definedName>
    <definedName name="FDD_144_4" hidden="1">"A32142"</definedName>
    <definedName name="FDD_144_5" hidden="1">"A32508"</definedName>
    <definedName name="FDD_144_6" hidden="1">"A32873"</definedName>
    <definedName name="FDD_144_7" hidden="1">"A33238"</definedName>
    <definedName name="FDD_144_8" hidden="1">"A33603"</definedName>
    <definedName name="FDD_144_9" hidden="1">"A33969"</definedName>
    <definedName name="FDD_145_0" hidden="1">"A30681"</definedName>
    <definedName name="FDD_145_1" hidden="1">"A31047"</definedName>
    <definedName name="FDD_145_10" hidden="1">"A34334"</definedName>
    <definedName name="FDD_145_11" hidden="1">"A34699"</definedName>
    <definedName name="FDD_145_12" hidden="1">"A35064"</definedName>
    <definedName name="FDD_145_13" hidden="1">"A35430"</definedName>
    <definedName name="FDD_145_14" hidden="1">"A35795"</definedName>
    <definedName name="FDD_145_2" hidden="1">"A31412"</definedName>
    <definedName name="FDD_145_3" hidden="1">"A31777"</definedName>
    <definedName name="FDD_145_4" hidden="1">"A32142"</definedName>
    <definedName name="FDD_145_5" hidden="1">"A32508"</definedName>
    <definedName name="FDD_145_6" hidden="1">"A32873"</definedName>
    <definedName name="FDD_145_7" hidden="1">"A33238"</definedName>
    <definedName name="FDD_145_8" hidden="1">"A33603"</definedName>
    <definedName name="FDD_145_9" hidden="1">"A33969"</definedName>
    <definedName name="FDD_146_0" hidden="1">"A30681"</definedName>
    <definedName name="FDD_146_1" hidden="1">"A31047"</definedName>
    <definedName name="FDD_146_10" hidden="1">"A34334"</definedName>
    <definedName name="FDD_146_11" hidden="1">"A34699"</definedName>
    <definedName name="FDD_146_12" hidden="1">"A35064"</definedName>
    <definedName name="FDD_146_13" hidden="1">"A35430"</definedName>
    <definedName name="FDD_146_14" hidden="1">"A35795"</definedName>
    <definedName name="FDD_146_2" hidden="1">"A31412"</definedName>
    <definedName name="FDD_146_3" hidden="1">"A31777"</definedName>
    <definedName name="FDD_146_4" hidden="1">"A32142"</definedName>
    <definedName name="FDD_146_5" hidden="1">"A32508"</definedName>
    <definedName name="FDD_146_6" hidden="1">"A32873"</definedName>
    <definedName name="FDD_146_7" hidden="1">"A33238"</definedName>
    <definedName name="FDD_146_8" hidden="1">"A33603"</definedName>
    <definedName name="FDD_146_9" hidden="1">"A33969"</definedName>
    <definedName name="FDD_147_0" hidden="1">"U30681"</definedName>
    <definedName name="FDD_147_1" hidden="1">"U31047"</definedName>
    <definedName name="FDD_147_10" hidden="1">"U34334"</definedName>
    <definedName name="FDD_147_11" hidden="1">"U34699"</definedName>
    <definedName name="FDD_147_12" hidden="1">"U35064"</definedName>
    <definedName name="FDD_147_13" hidden="1">"U35430"</definedName>
    <definedName name="FDD_147_14" hidden="1">"U35795"</definedName>
    <definedName name="FDD_147_2" hidden="1">"U31412"</definedName>
    <definedName name="FDD_147_3" hidden="1">"U31777"</definedName>
    <definedName name="FDD_147_4" hidden="1">"U32142"</definedName>
    <definedName name="FDD_147_5" hidden="1">"U32508"</definedName>
    <definedName name="FDD_147_6" hidden="1">"U32873"</definedName>
    <definedName name="FDD_147_7" hidden="1">"U33238"</definedName>
    <definedName name="FDD_147_8" hidden="1">"U33603"</definedName>
    <definedName name="FDD_147_9" hidden="1">"U33969"</definedName>
    <definedName name="FDD_148_0" hidden="1">"A30681"</definedName>
    <definedName name="FDD_148_1" hidden="1">"A31047"</definedName>
    <definedName name="FDD_148_10" hidden="1">"A34334"</definedName>
    <definedName name="FDD_148_11" hidden="1">"A34699"</definedName>
    <definedName name="FDD_148_12" hidden="1">"A35064"</definedName>
    <definedName name="FDD_148_13" hidden="1">"A35430"</definedName>
    <definedName name="FDD_148_14" hidden="1">"A35795"</definedName>
    <definedName name="FDD_148_2" hidden="1">"A31412"</definedName>
    <definedName name="FDD_148_3" hidden="1">"A31777"</definedName>
    <definedName name="FDD_148_4" hidden="1">"A32142"</definedName>
    <definedName name="FDD_148_5" hidden="1">"A32508"</definedName>
    <definedName name="FDD_148_6" hidden="1">"A32873"</definedName>
    <definedName name="FDD_148_7" hidden="1">"A33238"</definedName>
    <definedName name="FDD_148_8" hidden="1">"A33603"</definedName>
    <definedName name="FDD_148_9" hidden="1">"A33969"</definedName>
    <definedName name="FDD_149_0" hidden="1">"U30681"</definedName>
    <definedName name="FDD_149_1" hidden="1">"U31047"</definedName>
    <definedName name="FDD_149_10" hidden="1">"U34334"</definedName>
    <definedName name="FDD_149_11" hidden="1">"U34699"</definedName>
    <definedName name="FDD_149_12" hidden="1">"U35064"</definedName>
    <definedName name="FDD_149_13" hidden="1">"U35430"</definedName>
    <definedName name="FDD_149_14" hidden="1">"A35795"</definedName>
    <definedName name="FDD_149_2" hidden="1">"U31412"</definedName>
    <definedName name="FDD_149_3" hidden="1">"U31777"</definedName>
    <definedName name="FDD_149_4" hidden="1">"U32142"</definedName>
    <definedName name="FDD_149_5" hidden="1">"U32508"</definedName>
    <definedName name="FDD_149_6" hidden="1">"U32873"</definedName>
    <definedName name="FDD_149_7" hidden="1">"U33238"</definedName>
    <definedName name="FDD_149_8" hidden="1">"U33603"</definedName>
    <definedName name="FDD_149_9" hidden="1">"U33969"</definedName>
    <definedName name="FDD_15_0" hidden="1">"A25569"</definedName>
    <definedName name="FDD_151_0" hidden="1">"A30681"</definedName>
    <definedName name="FDD_151_1" hidden="1">"A31047"</definedName>
    <definedName name="FDD_151_10" hidden="1">"A34334"</definedName>
    <definedName name="FDD_151_11" hidden="1">"A34699"</definedName>
    <definedName name="FDD_151_12" hidden="1">"A35064"</definedName>
    <definedName name="FDD_151_13" hidden="1">"A35430"</definedName>
    <definedName name="FDD_151_14" hidden="1">"A35795"</definedName>
    <definedName name="FDD_151_2" hidden="1">"A31412"</definedName>
    <definedName name="FDD_151_3" hidden="1">"A31777"</definedName>
    <definedName name="FDD_151_4" hidden="1">"A32142"</definedName>
    <definedName name="FDD_151_5" hidden="1">"A32508"</definedName>
    <definedName name="FDD_151_6" hidden="1">"A32873"</definedName>
    <definedName name="FDD_151_7" hidden="1">"A33238"</definedName>
    <definedName name="FDD_151_8" hidden="1">"A33603"</definedName>
    <definedName name="FDD_151_9" hidden="1">"A33969"</definedName>
    <definedName name="FDD_152_0" hidden="1">"A30681"</definedName>
    <definedName name="FDD_152_1" hidden="1">"A31047"</definedName>
    <definedName name="FDD_152_10" hidden="1">"A34334"</definedName>
    <definedName name="FDD_152_11" hidden="1">"A34699"</definedName>
    <definedName name="FDD_152_12" hidden="1">"A35064"</definedName>
    <definedName name="FDD_152_13" hidden="1">"A35430"</definedName>
    <definedName name="FDD_152_14" hidden="1">"A35795"</definedName>
    <definedName name="FDD_152_15" hidden="1">"E36160"</definedName>
    <definedName name="FDD_152_2" hidden="1">"A31412"</definedName>
    <definedName name="FDD_152_3" hidden="1">"A31777"</definedName>
    <definedName name="FDD_152_4" hidden="1">"A32142"</definedName>
    <definedName name="FDD_152_5" hidden="1">"A32508"</definedName>
    <definedName name="FDD_152_6" hidden="1">"A32873"</definedName>
    <definedName name="FDD_152_7" hidden="1">"A33238"</definedName>
    <definedName name="FDD_152_8" hidden="1">"A33603"</definedName>
    <definedName name="FDD_152_9" hidden="1">"A33969"</definedName>
    <definedName name="FDD_153_0" hidden="1">"A30681"</definedName>
    <definedName name="FDD_153_1" hidden="1">"A31047"</definedName>
    <definedName name="FDD_153_10" hidden="1">"A34334"</definedName>
    <definedName name="FDD_153_11" hidden="1">"A34699"</definedName>
    <definedName name="FDD_153_12" hidden="1">"A35064"</definedName>
    <definedName name="FDD_153_13" hidden="1">"A35430"</definedName>
    <definedName name="FDD_153_14" hidden="1">"A35795"</definedName>
    <definedName name="FDD_153_2" hidden="1">"A31412"</definedName>
    <definedName name="FDD_153_3" hidden="1">"A31777"</definedName>
    <definedName name="FDD_153_4" hidden="1">"A32142"</definedName>
    <definedName name="FDD_153_5" hidden="1">"A32508"</definedName>
    <definedName name="FDD_153_6" hidden="1">"A32873"</definedName>
    <definedName name="FDD_153_7" hidden="1">"A33238"</definedName>
    <definedName name="FDD_153_8" hidden="1">"A33603"</definedName>
    <definedName name="FDD_153_9" hidden="1">"A33969"</definedName>
    <definedName name="FDD_154_0" hidden="1">"A30681"</definedName>
    <definedName name="FDD_154_1" hidden="1">"A31047"</definedName>
    <definedName name="FDD_154_10" hidden="1">"A34334"</definedName>
    <definedName name="FDD_154_11" hidden="1">"A34699"</definedName>
    <definedName name="FDD_154_12" hidden="1">"A35064"</definedName>
    <definedName name="FDD_154_13" hidden="1">"A35430"</definedName>
    <definedName name="FDD_154_14" hidden="1">"A35795"</definedName>
    <definedName name="FDD_154_2" hidden="1">"A31412"</definedName>
    <definedName name="FDD_154_3" hidden="1">"A31777"</definedName>
    <definedName name="FDD_154_4" hidden="1">"A32142"</definedName>
    <definedName name="FDD_154_5" hidden="1">"A32508"</definedName>
    <definedName name="FDD_154_6" hidden="1">"A32873"</definedName>
    <definedName name="FDD_154_7" hidden="1">"A33238"</definedName>
    <definedName name="FDD_154_8" hidden="1">"A33603"</definedName>
    <definedName name="FDD_154_9" hidden="1">"A33969"</definedName>
    <definedName name="FDD_155_0" hidden="1">"A25569"</definedName>
    <definedName name="FDD_156_0" hidden="1">"A30681"</definedName>
    <definedName name="FDD_156_1" hidden="1">"A31047"</definedName>
    <definedName name="FDD_156_10" hidden="1">"A34334"</definedName>
    <definedName name="FDD_156_11" hidden="1">"A34699"</definedName>
    <definedName name="FDD_156_12" hidden="1">"A35064"</definedName>
    <definedName name="FDD_156_13" hidden="1">"A35430"</definedName>
    <definedName name="FDD_156_14" hidden="1">"A35795"</definedName>
    <definedName name="FDD_156_15" hidden="1">"E36160"</definedName>
    <definedName name="FDD_156_2" hidden="1">"A31412"</definedName>
    <definedName name="FDD_156_3" hidden="1">"A31777"</definedName>
    <definedName name="FDD_156_4" hidden="1">"A32142"</definedName>
    <definedName name="FDD_156_5" hidden="1">"A32508"</definedName>
    <definedName name="FDD_156_6" hidden="1">"A32873"</definedName>
    <definedName name="FDD_156_7" hidden="1">"A33238"</definedName>
    <definedName name="FDD_156_8" hidden="1">"A33603"</definedName>
    <definedName name="FDD_156_9" hidden="1">"A33969"</definedName>
    <definedName name="FDD_157_0" hidden="1">"A30681"</definedName>
    <definedName name="FDD_157_1" hidden="1">"A31047"</definedName>
    <definedName name="FDD_157_10" hidden="1">"A34334"</definedName>
    <definedName name="FDD_157_11" hidden="1">"A34699"</definedName>
    <definedName name="FDD_157_12" hidden="1">"A35064"</definedName>
    <definedName name="FDD_157_13" hidden="1">"A35430"</definedName>
    <definedName name="FDD_157_14" hidden="1">"A35795"</definedName>
    <definedName name="FDD_157_2" hidden="1">"A31412"</definedName>
    <definedName name="FDD_157_3" hidden="1">"A31777"</definedName>
    <definedName name="FDD_157_4" hidden="1">"A32142"</definedName>
    <definedName name="FDD_157_5" hidden="1">"A32508"</definedName>
    <definedName name="FDD_157_6" hidden="1">"A32873"</definedName>
    <definedName name="FDD_157_7" hidden="1">"A33238"</definedName>
    <definedName name="FDD_157_8" hidden="1">"A33603"</definedName>
    <definedName name="FDD_157_9" hidden="1">"A33969"</definedName>
    <definedName name="FDD_158_0" hidden="1">"A30681"</definedName>
    <definedName name="FDD_158_1" hidden="1">"A31047"</definedName>
    <definedName name="FDD_158_10" hidden="1">"A34334"</definedName>
    <definedName name="FDD_158_11" hidden="1">"A34699"</definedName>
    <definedName name="FDD_158_12" hidden="1">"A35064"</definedName>
    <definedName name="FDD_158_13" hidden="1">"A35430"</definedName>
    <definedName name="FDD_158_14" hidden="1">"A35795"</definedName>
    <definedName name="FDD_158_15" hidden="1">"E36160"</definedName>
    <definedName name="FDD_158_2" hidden="1">"A31412"</definedName>
    <definedName name="FDD_158_3" hidden="1">"A31777"</definedName>
    <definedName name="FDD_158_4" hidden="1">"A32142"</definedName>
    <definedName name="FDD_158_5" hidden="1">"A32508"</definedName>
    <definedName name="FDD_158_6" hidden="1">"A32873"</definedName>
    <definedName name="FDD_158_7" hidden="1">"A33238"</definedName>
    <definedName name="FDD_158_8" hidden="1">"A33603"</definedName>
    <definedName name="FDD_158_9" hidden="1">"A33969"</definedName>
    <definedName name="FDD_159_0" hidden="1">"A30681"</definedName>
    <definedName name="FDD_159_1" hidden="1">"A31047"</definedName>
    <definedName name="FDD_159_10" hidden="1">"A34334"</definedName>
    <definedName name="FDD_159_11" hidden="1">"A34699"</definedName>
    <definedName name="FDD_159_12" hidden="1">"A35064"</definedName>
    <definedName name="FDD_159_13" hidden="1">"A35430"</definedName>
    <definedName name="FDD_159_14" hidden="1">"A35795"</definedName>
    <definedName name="FDD_159_2" hidden="1">"A31412"</definedName>
    <definedName name="FDD_159_3" hidden="1">"A31777"</definedName>
    <definedName name="FDD_159_4" hidden="1">"A32142"</definedName>
    <definedName name="FDD_159_5" hidden="1">"A32508"</definedName>
    <definedName name="FDD_159_6" hidden="1">"A32873"</definedName>
    <definedName name="FDD_159_7" hidden="1">"A33238"</definedName>
    <definedName name="FDD_159_8" hidden="1">"A33603"</definedName>
    <definedName name="FDD_159_9" hidden="1">"A33969"</definedName>
    <definedName name="FDD_16_0" hidden="1">"A25569"</definedName>
    <definedName name="FDD_160_0" hidden="1">"A30681"</definedName>
    <definedName name="FDD_160_1" hidden="1">"A31047"</definedName>
    <definedName name="FDD_160_10" hidden="1">"A34334"</definedName>
    <definedName name="FDD_160_11" hidden="1">"A34699"</definedName>
    <definedName name="FDD_160_12" hidden="1">"A35064"</definedName>
    <definedName name="FDD_160_13" hidden="1">"A35430"</definedName>
    <definedName name="FDD_160_14" hidden="1">"A35795"</definedName>
    <definedName name="FDD_160_15" hidden="1">"E36160"</definedName>
    <definedName name="FDD_160_2" hidden="1">"A31412"</definedName>
    <definedName name="FDD_160_3" hidden="1">"A31777"</definedName>
    <definedName name="FDD_160_4" hidden="1">"A32142"</definedName>
    <definedName name="FDD_160_5" hidden="1">"A32508"</definedName>
    <definedName name="FDD_160_6" hidden="1">"A32873"</definedName>
    <definedName name="FDD_160_7" hidden="1">"A33238"</definedName>
    <definedName name="FDD_160_8" hidden="1">"A33603"</definedName>
    <definedName name="FDD_160_9" hidden="1">"A33969"</definedName>
    <definedName name="FDD_161_0" hidden="1">"A30681"</definedName>
    <definedName name="FDD_161_1" hidden="1">"A31047"</definedName>
    <definedName name="FDD_161_10" hidden="1">"A34334"</definedName>
    <definedName name="FDD_161_11" hidden="1">"A34699"</definedName>
    <definedName name="FDD_161_12" hidden="1">"A35064"</definedName>
    <definedName name="FDD_161_13" hidden="1">"A35430"</definedName>
    <definedName name="FDD_161_14" hidden="1">"A35795"</definedName>
    <definedName name="FDD_161_2" hidden="1">"A31412"</definedName>
    <definedName name="FDD_161_3" hidden="1">"A31777"</definedName>
    <definedName name="FDD_161_4" hidden="1">"A32142"</definedName>
    <definedName name="FDD_161_5" hidden="1">"A32508"</definedName>
    <definedName name="FDD_161_6" hidden="1">"A32873"</definedName>
    <definedName name="FDD_161_7" hidden="1">"A33238"</definedName>
    <definedName name="FDD_161_8" hidden="1">"A33603"</definedName>
    <definedName name="FDD_161_9" hidden="1">"A33969"</definedName>
    <definedName name="FDD_162_0" hidden="1">"A30681"</definedName>
    <definedName name="FDD_162_1" hidden="1">"A31047"</definedName>
    <definedName name="FDD_162_10" hidden="1">"A34334"</definedName>
    <definedName name="FDD_162_11" hidden="1">"A34699"</definedName>
    <definedName name="FDD_162_12" hidden="1">"A35064"</definedName>
    <definedName name="FDD_162_13" hidden="1">"A35430"</definedName>
    <definedName name="FDD_162_14" hidden="1">"A35795"</definedName>
    <definedName name="FDD_162_2" hidden="1">"A31412"</definedName>
    <definedName name="FDD_162_3" hidden="1">"A31777"</definedName>
    <definedName name="FDD_162_4" hidden="1">"A32142"</definedName>
    <definedName name="FDD_162_5" hidden="1">"A32508"</definedName>
    <definedName name="FDD_162_6" hidden="1">"A32873"</definedName>
    <definedName name="FDD_162_7" hidden="1">"A33238"</definedName>
    <definedName name="FDD_162_8" hidden="1">"A33603"</definedName>
    <definedName name="FDD_162_9" hidden="1">"A33969"</definedName>
    <definedName name="FDD_163_0" hidden="1">"A30681"</definedName>
    <definedName name="FDD_163_1" hidden="1">"A31047"</definedName>
    <definedName name="FDD_163_10" hidden="1">"A34334"</definedName>
    <definedName name="FDD_163_11" hidden="1">"A34699"</definedName>
    <definedName name="FDD_163_12" hidden="1">"A35064"</definedName>
    <definedName name="FDD_163_13" hidden="1">"A35430"</definedName>
    <definedName name="FDD_163_14" hidden="1">"A35795"</definedName>
    <definedName name="FDD_163_2" hidden="1">"A31412"</definedName>
    <definedName name="FDD_163_3" hidden="1">"A31777"</definedName>
    <definedName name="FDD_163_4" hidden="1">"A32142"</definedName>
    <definedName name="FDD_163_5" hidden="1">"A32508"</definedName>
    <definedName name="FDD_163_6" hidden="1">"A32873"</definedName>
    <definedName name="FDD_163_7" hidden="1">"A33238"</definedName>
    <definedName name="FDD_163_8" hidden="1">"A33603"</definedName>
    <definedName name="FDD_163_9" hidden="1">"A33969"</definedName>
    <definedName name="FDD_164_0" hidden="1">"A25569"</definedName>
    <definedName name="FDD_165_0" hidden="1">"A30681"</definedName>
    <definedName name="FDD_165_1" hidden="1">"A31047"</definedName>
    <definedName name="FDD_165_10" hidden="1">"A34334"</definedName>
    <definedName name="FDD_165_11" hidden="1">"A34699"</definedName>
    <definedName name="FDD_165_12" hidden="1">"A35064"</definedName>
    <definedName name="FDD_165_13" hidden="1">"A35430"</definedName>
    <definedName name="FDD_165_14" hidden="1">"A35795"</definedName>
    <definedName name="FDD_165_2" hidden="1">"A31412"</definedName>
    <definedName name="FDD_165_3" hidden="1">"A31777"</definedName>
    <definedName name="FDD_165_4" hidden="1">"A32142"</definedName>
    <definedName name="FDD_165_5" hidden="1">"A32508"</definedName>
    <definedName name="FDD_165_6" hidden="1">"A32873"</definedName>
    <definedName name="FDD_165_7" hidden="1">"A33238"</definedName>
    <definedName name="FDD_165_8" hidden="1">"A33603"</definedName>
    <definedName name="FDD_165_9" hidden="1">"A33969"</definedName>
    <definedName name="FDD_166_0" hidden="1">"A30681"</definedName>
    <definedName name="FDD_166_1" hidden="1">"A31047"</definedName>
    <definedName name="FDD_166_10" hidden="1">"A34334"</definedName>
    <definedName name="FDD_166_11" hidden="1">"A34699"</definedName>
    <definedName name="FDD_166_12" hidden="1">"A35064"</definedName>
    <definedName name="FDD_166_13" hidden="1">"A35430"</definedName>
    <definedName name="FDD_166_14" hidden="1">"A35795"</definedName>
    <definedName name="FDD_166_2" hidden="1">"A31412"</definedName>
    <definedName name="FDD_166_3" hidden="1">"A31777"</definedName>
    <definedName name="FDD_166_4" hidden="1">"A32142"</definedName>
    <definedName name="FDD_166_5" hidden="1">"A32508"</definedName>
    <definedName name="FDD_166_6" hidden="1">"A32873"</definedName>
    <definedName name="FDD_166_7" hidden="1">"A33238"</definedName>
    <definedName name="FDD_166_8" hidden="1">"A33603"</definedName>
    <definedName name="FDD_166_9" hidden="1">"A33969"</definedName>
    <definedName name="FDD_167_0" hidden="1">"A30681"</definedName>
    <definedName name="FDD_167_1" hidden="1">"A31047"</definedName>
    <definedName name="FDD_167_10" hidden="1">"A34334"</definedName>
    <definedName name="FDD_167_11" hidden="1">"A34699"</definedName>
    <definedName name="FDD_167_12" hidden="1">"A35064"</definedName>
    <definedName name="FDD_167_13" hidden="1">"A35430"</definedName>
    <definedName name="FDD_167_14" hidden="1">"A35795"</definedName>
    <definedName name="FDD_167_2" hidden="1">"A31412"</definedName>
    <definedName name="FDD_167_3" hidden="1">"A31777"</definedName>
    <definedName name="FDD_167_4" hidden="1">"A32142"</definedName>
    <definedName name="FDD_167_5" hidden="1">"A32508"</definedName>
    <definedName name="FDD_167_6" hidden="1">"A32873"</definedName>
    <definedName name="FDD_167_7" hidden="1">"A33238"</definedName>
    <definedName name="FDD_167_8" hidden="1">"A33603"</definedName>
    <definedName name="FDD_167_9" hidden="1">"A33969"</definedName>
    <definedName name="FDD_168_0" hidden="1">"E36160"</definedName>
    <definedName name="FDD_168_1" hidden="1">"E36525"</definedName>
    <definedName name="FDD_168_2" hidden="1">"E36891"</definedName>
    <definedName name="FDD_169_0" hidden="1">"A30681"</definedName>
    <definedName name="FDD_169_1" hidden="1">"A31047"</definedName>
    <definedName name="FDD_169_10" hidden="1">"A34334"</definedName>
    <definedName name="FDD_169_11" hidden="1">"A34699"</definedName>
    <definedName name="FDD_169_12" hidden="1">"A35064"</definedName>
    <definedName name="FDD_169_13" hidden="1">"A35430"</definedName>
    <definedName name="FDD_169_14" hidden="1">"A35795"</definedName>
    <definedName name="FDD_169_2" hidden="1">"A31412"</definedName>
    <definedName name="FDD_169_3" hidden="1">"A31777"</definedName>
    <definedName name="FDD_169_4" hidden="1">"A32142"</definedName>
    <definedName name="FDD_169_5" hidden="1">"A32508"</definedName>
    <definedName name="FDD_169_6" hidden="1">"A32873"</definedName>
    <definedName name="FDD_169_7" hidden="1">"A33238"</definedName>
    <definedName name="FDD_169_8" hidden="1">"A33603"</definedName>
    <definedName name="FDD_169_9" hidden="1">"A33969"</definedName>
    <definedName name="FDD_17_0" hidden="1">"A25569"</definedName>
    <definedName name="FDD_170_0" hidden="1">"A30681"</definedName>
    <definedName name="FDD_170_1" hidden="1">"A31047"</definedName>
    <definedName name="FDD_170_10" hidden="1">"A34334"</definedName>
    <definedName name="FDD_170_11" hidden="1">"A34699"</definedName>
    <definedName name="FDD_170_12" hidden="1">"A35064"</definedName>
    <definedName name="FDD_170_13" hidden="1">"A35430"</definedName>
    <definedName name="FDD_170_14" hidden="1">"A35795"</definedName>
    <definedName name="FDD_170_2" hidden="1">"A31412"</definedName>
    <definedName name="FDD_170_3" hidden="1">"A31777"</definedName>
    <definedName name="FDD_170_4" hidden="1">"A32142"</definedName>
    <definedName name="FDD_170_5" hidden="1">"A32508"</definedName>
    <definedName name="FDD_170_6" hidden="1">"A32873"</definedName>
    <definedName name="FDD_170_7" hidden="1">"A33238"</definedName>
    <definedName name="FDD_170_8" hidden="1">"A33603"</definedName>
    <definedName name="FDD_170_9" hidden="1">"A33969"</definedName>
    <definedName name="FDD_171_0" hidden="1">"A30681"</definedName>
    <definedName name="FDD_171_1" hidden="1">"A31047"</definedName>
    <definedName name="FDD_171_10" hidden="1">"A34334"</definedName>
    <definedName name="FDD_171_11" hidden="1">"A34699"</definedName>
    <definedName name="FDD_171_12" hidden="1">"A35064"</definedName>
    <definedName name="FDD_171_13" hidden="1">"A35430"</definedName>
    <definedName name="FDD_171_14" hidden="1">"A35795"</definedName>
    <definedName name="FDD_171_2" hidden="1">"A31412"</definedName>
    <definedName name="FDD_171_3" hidden="1">"A31777"</definedName>
    <definedName name="FDD_171_4" hidden="1">"A32142"</definedName>
    <definedName name="FDD_171_5" hidden="1">"A32508"</definedName>
    <definedName name="FDD_171_6" hidden="1">"A32873"</definedName>
    <definedName name="FDD_171_7" hidden="1">"A33238"</definedName>
    <definedName name="FDD_171_8" hidden="1">"A33603"</definedName>
    <definedName name="FDD_171_9" hidden="1">"A33969"</definedName>
    <definedName name="FDD_172_0" hidden="1">"A30681"</definedName>
    <definedName name="FDD_172_1" hidden="1">"A31047"</definedName>
    <definedName name="FDD_172_10" hidden="1">"A34334"</definedName>
    <definedName name="FDD_172_11" hidden="1">"A34699"</definedName>
    <definedName name="FDD_172_12" hidden="1">"A35064"</definedName>
    <definedName name="FDD_172_13" hidden="1">"A35430"</definedName>
    <definedName name="FDD_172_14" hidden="1">"A35795"</definedName>
    <definedName name="FDD_172_2" hidden="1">"A31412"</definedName>
    <definedName name="FDD_172_3" hidden="1">"A31777"</definedName>
    <definedName name="FDD_172_4" hidden="1">"A32142"</definedName>
    <definedName name="FDD_172_5" hidden="1">"A32508"</definedName>
    <definedName name="FDD_172_6" hidden="1">"A32873"</definedName>
    <definedName name="FDD_172_7" hidden="1">"A33238"</definedName>
    <definedName name="FDD_172_8" hidden="1">"A33603"</definedName>
    <definedName name="FDD_172_9" hidden="1">"A33969"</definedName>
    <definedName name="FDD_173_0" hidden="1">"A30681"</definedName>
    <definedName name="FDD_173_1" hidden="1">"A31047"</definedName>
    <definedName name="FDD_173_10" hidden="1">"A34334"</definedName>
    <definedName name="FDD_173_11" hidden="1">"A34699"</definedName>
    <definedName name="FDD_173_12" hidden="1">"A35064"</definedName>
    <definedName name="FDD_173_13" hidden="1">"A35430"</definedName>
    <definedName name="FDD_173_14" hidden="1">"A35795"</definedName>
    <definedName name="FDD_173_2" hidden="1">"A31412"</definedName>
    <definedName name="FDD_173_3" hidden="1">"A31777"</definedName>
    <definedName name="FDD_173_4" hidden="1">"A32142"</definedName>
    <definedName name="FDD_173_5" hidden="1">"A32508"</definedName>
    <definedName name="FDD_173_6" hidden="1">"A32873"</definedName>
    <definedName name="FDD_173_7" hidden="1">"A33238"</definedName>
    <definedName name="FDD_173_8" hidden="1">"A33603"</definedName>
    <definedName name="FDD_173_9" hidden="1">"A33969"</definedName>
    <definedName name="FDD_174_0" hidden="1">"A30681"</definedName>
    <definedName name="FDD_174_1" hidden="1">"A31047"</definedName>
    <definedName name="FDD_174_10" hidden="1">"A34334"</definedName>
    <definedName name="FDD_174_11" hidden="1">"A34699"</definedName>
    <definedName name="FDD_174_12" hidden="1">"A35064"</definedName>
    <definedName name="FDD_174_13" hidden="1">"A35430"</definedName>
    <definedName name="FDD_174_14" hidden="1">"A35795"</definedName>
    <definedName name="FDD_174_2" hidden="1">"A31412"</definedName>
    <definedName name="FDD_174_3" hidden="1">"A31777"</definedName>
    <definedName name="FDD_174_4" hidden="1">"A32142"</definedName>
    <definedName name="FDD_174_5" hidden="1">"A32508"</definedName>
    <definedName name="FDD_174_6" hidden="1">"A32873"</definedName>
    <definedName name="FDD_174_7" hidden="1">"A33238"</definedName>
    <definedName name="FDD_174_8" hidden="1">"A33603"</definedName>
    <definedName name="FDD_174_9" hidden="1">"A33969"</definedName>
    <definedName name="FDD_175_0" hidden="1">"E36160"</definedName>
    <definedName name="FDD_175_1" hidden="1">"E36525"</definedName>
    <definedName name="FDD_175_2" hidden="1">"E36891"</definedName>
    <definedName name="FDD_176_0" hidden="1">"E36160"</definedName>
    <definedName name="FDD_176_1" hidden="1">"E36525"</definedName>
    <definedName name="FDD_176_2" hidden="1">"E36891"</definedName>
    <definedName name="FDD_177_0" hidden="1">"E36160"</definedName>
    <definedName name="FDD_177_1" hidden="1">"E36525"</definedName>
    <definedName name="FDD_177_2" hidden="1">"E36891"</definedName>
    <definedName name="FDD_178_0" hidden="1">"E36160"</definedName>
    <definedName name="FDD_178_1" hidden="1">"E36525"</definedName>
    <definedName name="FDD_178_2" hidden="1">"E36891"</definedName>
    <definedName name="FDD_179_0" hidden="1">"E36160"</definedName>
    <definedName name="FDD_179_1" hidden="1">"E36525"</definedName>
    <definedName name="FDD_179_2" hidden="1">"E36891"</definedName>
    <definedName name="FDD_18_0" hidden="1">"A25569"</definedName>
    <definedName name="FDD_180_0" hidden="1">"E36160"</definedName>
    <definedName name="FDD_180_1" hidden="1">"E36525"</definedName>
    <definedName name="FDD_180_2" hidden="1">"E36891"</definedName>
    <definedName name="FDD_181_0" hidden="1">"E36160"</definedName>
    <definedName name="FDD_181_1" hidden="1">"E36525"</definedName>
    <definedName name="FDD_181_2" hidden="1">"E36891"</definedName>
    <definedName name="FDD_182_0" hidden="1">"E36160"</definedName>
    <definedName name="FDD_182_1" hidden="1">"E36525"</definedName>
    <definedName name="FDD_182_2" hidden="1">"E36891"</definedName>
    <definedName name="FDD_183_0" hidden="1">"E36160"</definedName>
    <definedName name="FDD_183_1" hidden="1">"E36525"</definedName>
    <definedName name="FDD_183_2" hidden="1">"E36891"</definedName>
    <definedName name="FDD_184_0" hidden="1">"E36160"</definedName>
    <definedName name="FDD_184_1" hidden="1">"E36525"</definedName>
    <definedName name="FDD_184_2" hidden="1">"E36891"</definedName>
    <definedName name="FDD_185_0" hidden="1">"E36160"</definedName>
    <definedName name="FDD_185_1" hidden="1">"E36525"</definedName>
    <definedName name="FDD_185_2" hidden="1">"E36891"</definedName>
    <definedName name="FDD_186_0" hidden="1">"E36160"</definedName>
    <definedName name="FDD_186_1" hidden="1">"E36525"</definedName>
    <definedName name="FDD_186_2" hidden="1">"E36891"</definedName>
    <definedName name="FDD_187_0" hidden="1">"E36160"</definedName>
    <definedName name="FDD_187_1" hidden="1">"E36525"</definedName>
    <definedName name="FDD_187_2" hidden="1">"E36891"</definedName>
    <definedName name="FDD_188_0" hidden="1">"A30681"</definedName>
    <definedName name="FDD_188_1" hidden="1">"A31047"</definedName>
    <definedName name="FDD_188_10" hidden="1">"A34334"</definedName>
    <definedName name="FDD_188_11" hidden="1">"A34699"</definedName>
    <definedName name="FDD_188_12" hidden="1">"A35064"</definedName>
    <definedName name="FDD_188_13" hidden="1">"A35430"</definedName>
    <definedName name="FDD_188_14" hidden="1">"A35795"</definedName>
    <definedName name="FDD_188_2" hidden="1">"A31412"</definedName>
    <definedName name="FDD_188_3" hidden="1">"A31777"</definedName>
    <definedName name="FDD_188_4" hidden="1">"A32142"</definedName>
    <definedName name="FDD_188_5" hidden="1">"A32508"</definedName>
    <definedName name="FDD_188_6" hidden="1">"A32873"</definedName>
    <definedName name="FDD_188_7" hidden="1">"A33238"</definedName>
    <definedName name="FDD_188_8" hidden="1">"A33603"</definedName>
    <definedName name="FDD_188_9" hidden="1">"A33969"</definedName>
    <definedName name="FDD_189_0" hidden="1">"A30681"</definedName>
    <definedName name="FDD_189_1" hidden="1">"A31047"</definedName>
    <definedName name="FDD_189_10" hidden="1">"A34334"</definedName>
    <definedName name="FDD_189_11" hidden="1">"A34699"</definedName>
    <definedName name="FDD_189_12" hidden="1">"A35064"</definedName>
    <definedName name="FDD_189_13" hidden="1">"A35430"</definedName>
    <definedName name="FDD_189_14" hidden="1">"A35795"</definedName>
    <definedName name="FDD_189_2" hidden="1">"A31412"</definedName>
    <definedName name="FDD_189_3" hidden="1">"A31777"</definedName>
    <definedName name="FDD_189_4" hidden="1">"A32142"</definedName>
    <definedName name="FDD_189_5" hidden="1">"A32508"</definedName>
    <definedName name="FDD_189_6" hidden="1">"A32873"</definedName>
    <definedName name="FDD_189_7" hidden="1">"A33238"</definedName>
    <definedName name="FDD_189_8" hidden="1">"A33603"</definedName>
    <definedName name="FDD_189_9" hidden="1">"A33969"</definedName>
    <definedName name="FDD_19_0" hidden="1">"A25569"</definedName>
    <definedName name="FDD_19_1" hidden="1">"A35795"</definedName>
    <definedName name="FDD_19_2" hidden="1">"E36160"</definedName>
    <definedName name="FDD_19_3" hidden="1">"E36525"</definedName>
    <definedName name="FDD_190_0" hidden="1">"A30681"</definedName>
    <definedName name="FDD_190_1" hidden="1">"A31047"</definedName>
    <definedName name="FDD_190_10" hidden="1">"A34334"</definedName>
    <definedName name="FDD_190_11" hidden="1">"A34699"</definedName>
    <definedName name="FDD_190_12" hidden="1">"A35064"</definedName>
    <definedName name="FDD_190_13" hidden="1">"A35430"</definedName>
    <definedName name="FDD_190_14" hidden="1">"A35795"</definedName>
    <definedName name="FDD_190_2" hidden="1">"A31412"</definedName>
    <definedName name="FDD_190_3" hidden="1">"A31777"</definedName>
    <definedName name="FDD_190_4" hidden="1">"A32142"</definedName>
    <definedName name="FDD_190_5" hidden="1">"A32508"</definedName>
    <definedName name="FDD_190_6" hidden="1">"A32873"</definedName>
    <definedName name="FDD_190_7" hidden="1">"A33238"</definedName>
    <definedName name="FDD_190_8" hidden="1">"A33603"</definedName>
    <definedName name="FDD_190_9" hidden="1">"A33969"</definedName>
    <definedName name="FDD_191_0" hidden="1">"A30681"</definedName>
    <definedName name="FDD_191_1" hidden="1">"A31047"</definedName>
    <definedName name="FDD_191_10" hidden="1">"A34334"</definedName>
    <definedName name="FDD_191_11" hidden="1">"A34699"</definedName>
    <definedName name="FDD_191_12" hidden="1">"A35064"</definedName>
    <definedName name="FDD_191_13" hidden="1">"A35430"</definedName>
    <definedName name="FDD_191_14" hidden="1">"A35795"</definedName>
    <definedName name="FDD_191_2" hidden="1">"A31412"</definedName>
    <definedName name="FDD_191_3" hidden="1">"A31777"</definedName>
    <definedName name="FDD_191_4" hidden="1">"A32142"</definedName>
    <definedName name="FDD_191_5" hidden="1">"A32508"</definedName>
    <definedName name="FDD_191_6" hidden="1">"A32873"</definedName>
    <definedName name="FDD_191_7" hidden="1">"A33238"</definedName>
    <definedName name="FDD_191_8" hidden="1">"A33603"</definedName>
    <definedName name="FDD_191_9" hidden="1">"A33969"</definedName>
    <definedName name="FDD_192_0" hidden="1">"E36160"</definedName>
    <definedName name="FDD_192_1" hidden="1">"E36525"</definedName>
    <definedName name="FDD_192_2" hidden="1">"E36891"</definedName>
    <definedName name="FDD_193_0" hidden="1">"A30681"</definedName>
    <definedName name="FDD_193_1" hidden="1">"A31047"</definedName>
    <definedName name="FDD_193_10" hidden="1">"A34334"</definedName>
    <definedName name="FDD_193_11" hidden="1">"A34699"</definedName>
    <definedName name="FDD_193_12" hidden="1">"A35064"</definedName>
    <definedName name="FDD_193_13" hidden="1">"A35430"</definedName>
    <definedName name="FDD_193_14" hidden="1">"A35795"</definedName>
    <definedName name="FDD_193_2" hidden="1">"A31412"</definedName>
    <definedName name="FDD_193_3" hidden="1">"A31777"</definedName>
    <definedName name="FDD_193_4" hidden="1">"A32142"</definedName>
    <definedName name="FDD_193_5" hidden="1">"A32508"</definedName>
    <definedName name="FDD_193_6" hidden="1">"A32873"</definedName>
    <definedName name="FDD_193_7" hidden="1">"A33238"</definedName>
    <definedName name="FDD_193_8" hidden="1">"A33603"</definedName>
    <definedName name="FDD_193_9" hidden="1">"A33969"</definedName>
    <definedName name="FDD_194_0" hidden="1">"A30681"</definedName>
    <definedName name="FDD_194_1" hidden="1">"A31047"</definedName>
    <definedName name="FDD_194_10" hidden="1">"A34334"</definedName>
    <definedName name="FDD_194_11" hidden="1">"A34699"</definedName>
    <definedName name="FDD_194_12" hidden="1">"A35064"</definedName>
    <definedName name="FDD_194_13" hidden="1">"A35430"</definedName>
    <definedName name="FDD_194_14" hidden="1">"A35795"</definedName>
    <definedName name="FDD_194_2" hidden="1">"A31412"</definedName>
    <definedName name="FDD_194_3" hidden="1">"A31777"</definedName>
    <definedName name="FDD_194_4" hidden="1">"A32142"</definedName>
    <definedName name="FDD_194_5" hidden="1">"A32508"</definedName>
    <definedName name="FDD_194_6" hidden="1">"A32873"</definedName>
    <definedName name="FDD_194_7" hidden="1">"A33238"</definedName>
    <definedName name="FDD_194_8" hidden="1">"A33603"</definedName>
    <definedName name="FDD_194_9" hidden="1">"A33969"</definedName>
    <definedName name="FDD_195_0" hidden="1">"A30681"</definedName>
    <definedName name="FDD_195_1" hidden="1">"A31047"</definedName>
    <definedName name="FDD_195_10" hidden="1">"A34334"</definedName>
    <definedName name="FDD_195_11" hidden="1">"A34699"</definedName>
    <definedName name="FDD_195_12" hidden="1">"A35064"</definedName>
    <definedName name="FDD_195_13" hidden="1">"A35430"</definedName>
    <definedName name="FDD_195_14" hidden="1">"A35795"</definedName>
    <definedName name="FDD_195_2" hidden="1">"A31412"</definedName>
    <definedName name="FDD_195_3" hidden="1">"A31777"</definedName>
    <definedName name="FDD_195_4" hidden="1">"A32142"</definedName>
    <definedName name="FDD_195_5" hidden="1">"A32508"</definedName>
    <definedName name="FDD_195_6" hidden="1">"A32873"</definedName>
    <definedName name="FDD_195_7" hidden="1">"A33238"</definedName>
    <definedName name="FDD_195_8" hidden="1">"A33603"</definedName>
    <definedName name="FDD_195_9" hidden="1">"A33969"</definedName>
    <definedName name="FDD_196_0" hidden="1">"E36160"</definedName>
    <definedName name="FDD_196_1" hidden="1">"E36525"</definedName>
    <definedName name="FDD_196_2" hidden="1">"E36891"</definedName>
    <definedName name="FDD_197_0" hidden="1">"A30681"</definedName>
    <definedName name="FDD_197_1" hidden="1">"A31047"</definedName>
    <definedName name="FDD_197_10" hidden="1">"A34334"</definedName>
    <definedName name="FDD_197_11" hidden="1">"A34699"</definedName>
    <definedName name="FDD_197_12" hidden="1">"A35064"</definedName>
    <definedName name="FDD_197_13" hidden="1">"A35430"</definedName>
    <definedName name="FDD_197_14" hidden="1">"A35795"</definedName>
    <definedName name="FDD_197_2" hidden="1">"A31412"</definedName>
    <definedName name="FDD_197_3" hidden="1">"A31777"</definedName>
    <definedName name="FDD_197_4" hidden="1">"A32142"</definedName>
    <definedName name="FDD_197_5" hidden="1">"A32508"</definedName>
    <definedName name="FDD_197_6" hidden="1">"A32873"</definedName>
    <definedName name="FDD_197_7" hidden="1">"A33238"</definedName>
    <definedName name="FDD_197_8" hidden="1">"A33603"</definedName>
    <definedName name="FDD_197_9" hidden="1">"A33969"</definedName>
    <definedName name="FDD_198_0" hidden="1">"A30681"</definedName>
    <definedName name="FDD_198_1" hidden="1">"A31047"</definedName>
    <definedName name="FDD_198_10" hidden="1">"U34334"</definedName>
    <definedName name="FDD_198_11" hidden="1">"U34699"</definedName>
    <definedName name="FDD_198_12" hidden="1">"U35064"</definedName>
    <definedName name="FDD_198_13" hidden="1">"U35430"</definedName>
    <definedName name="FDD_198_14" hidden="1">"U35795"</definedName>
    <definedName name="FDD_198_2" hidden="1">"A31412"</definedName>
    <definedName name="FDD_198_3" hidden="1">"U31777"</definedName>
    <definedName name="FDD_198_4" hidden="1">"U32142"</definedName>
    <definedName name="FDD_198_5" hidden="1">"U32508"</definedName>
    <definedName name="FDD_198_6" hidden="1">"U32873"</definedName>
    <definedName name="FDD_198_7" hidden="1">"U33238"</definedName>
    <definedName name="FDD_198_8" hidden="1">"U33603"</definedName>
    <definedName name="FDD_198_9" hidden="1">"U33969"</definedName>
    <definedName name="FDD_199_0" hidden="1">"E36160"</definedName>
    <definedName name="FDD_199_1" hidden="1">"E36525"</definedName>
    <definedName name="FDD_199_2" hidden="1">"E36891"</definedName>
    <definedName name="FDD_2_0" hidden="1">"A25569"</definedName>
    <definedName name="FDD_20_0" hidden="1">"A25569"</definedName>
    <definedName name="FDD_200_0" hidden="1">"E36160"</definedName>
    <definedName name="FDD_200_1" hidden="1">"E36525"</definedName>
    <definedName name="FDD_200_2" hidden="1">"E36891"</definedName>
    <definedName name="FDD_201_0" hidden="1">"A30681"</definedName>
    <definedName name="FDD_201_1" hidden="1">"A31047"</definedName>
    <definedName name="FDD_201_10" hidden="1">"A34334"</definedName>
    <definedName name="FDD_201_11" hidden="1">"A34699"</definedName>
    <definedName name="FDD_201_12" hidden="1">"A35064"</definedName>
    <definedName name="FDD_201_13" hidden="1">"A35430"</definedName>
    <definedName name="FDD_201_14" hidden="1">"A35795"</definedName>
    <definedName name="FDD_201_2" hidden="1">"A31412"</definedName>
    <definedName name="FDD_201_3" hidden="1">"A31777"</definedName>
    <definedName name="FDD_201_4" hidden="1">"A32142"</definedName>
    <definedName name="FDD_201_5" hidden="1">"A32508"</definedName>
    <definedName name="FDD_201_6" hidden="1">"A32873"</definedName>
    <definedName name="FDD_201_7" hidden="1">"A33238"</definedName>
    <definedName name="FDD_201_8" hidden="1">"A33603"</definedName>
    <definedName name="FDD_201_9" hidden="1">"A33969"</definedName>
    <definedName name="FDD_202_0" hidden="1">"A30681"</definedName>
    <definedName name="FDD_202_1" hidden="1">"A31047"</definedName>
    <definedName name="FDD_202_10" hidden="1">"A34334"</definedName>
    <definedName name="FDD_202_11" hidden="1">"A34699"</definedName>
    <definedName name="FDD_202_12" hidden="1">"A35064"</definedName>
    <definedName name="FDD_202_13" hidden="1">"A35430"</definedName>
    <definedName name="FDD_202_14" hidden="1">"A35795"</definedName>
    <definedName name="FDD_202_2" hidden="1">"A31412"</definedName>
    <definedName name="FDD_202_3" hidden="1">"A31777"</definedName>
    <definedName name="FDD_202_4" hidden="1">"A32142"</definedName>
    <definedName name="FDD_202_5" hidden="1">"A32508"</definedName>
    <definedName name="FDD_202_6" hidden="1">"A32873"</definedName>
    <definedName name="FDD_202_7" hidden="1">"A33238"</definedName>
    <definedName name="FDD_202_8" hidden="1">"A33603"</definedName>
    <definedName name="FDD_202_9" hidden="1">"A33969"</definedName>
    <definedName name="FDD_203_0" hidden="1">"E36160"</definedName>
    <definedName name="FDD_203_1" hidden="1">"E36525"</definedName>
    <definedName name="FDD_203_2" hidden="1">"E36891"</definedName>
    <definedName name="FDD_204_0" hidden="1">"A25569"</definedName>
    <definedName name="FDD_205_0" hidden="1">"A25569"</definedName>
    <definedName name="FDD_206_0" hidden="1">"A25569"</definedName>
    <definedName name="FDD_207_0" hidden="1">"A25569"</definedName>
    <definedName name="FDD_208_0" hidden="1">"E36160"</definedName>
    <definedName name="FDD_208_1" hidden="1">"E36525"</definedName>
    <definedName name="FDD_208_2" hidden="1">"E36891"</definedName>
    <definedName name="FDD_209_0" hidden="1">"A25569"</definedName>
    <definedName name="FDD_21_0" hidden="1">"A25569"</definedName>
    <definedName name="FDD_210_0" hidden="1">"A25569"</definedName>
    <definedName name="FDD_211_0" hidden="1">"A25569"</definedName>
    <definedName name="FDD_212_0" hidden="1">"A25569"</definedName>
    <definedName name="FDD_213_0" hidden="1">"E36160"</definedName>
    <definedName name="FDD_213_1" hidden="1">"E36525"</definedName>
    <definedName name="FDD_213_2" hidden="1">"E36891"</definedName>
    <definedName name="FDD_214_0" hidden="1">"A25569"</definedName>
    <definedName name="FDD_215_0" hidden="1">"A25569"</definedName>
    <definedName name="FDD_216_0" hidden="1">"A25569"</definedName>
    <definedName name="FDD_217_0" hidden="1">"A25569"</definedName>
    <definedName name="FDD_218_0" hidden="1">"E36160"</definedName>
    <definedName name="FDD_218_1" hidden="1">"E36525"</definedName>
    <definedName name="FDD_218_2" hidden="1">"E36891"</definedName>
    <definedName name="FDD_219_0" hidden="1">"U25569"</definedName>
    <definedName name="FDD_22_0" hidden="1">"A25569"</definedName>
    <definedName name="FDD_220_0" hidden="1">"U25569"</definedName>
    <definedName name="FDD_221_0" hidden="1">"U25569"</definedName>
    <definedName name="FDD_222_0" hidden="1">"U25569"</definedName>
    <definedName name="FDD_223_0" hidden="1">"E36160"</definedName>
    <definedName name="FDD_223_1" hidden="1">"E36525"</definedName>
    <definedName name="FDD_223_2" hidden="1">"E36891"</definedName>
    <definedName name="FDD_224_0" hidden="1">"A25569"</definedName>
    <definedName name="FDD_225_0" hidden="1">"A25569"</definedName>
    <definedName name="FDD_226_0" hidden="1">"A25569"</definedName>
    <definedName name="FDD_227_0" hidden="1">"A25569"</definedName>
    <definedName name="FDD_228_0" hidden="1">"E36160"</definedName>
    <definedName name="FDD_228_1" hidden="1">"E36525"</definedName>
    <definedName name="FDD_228_2" hidden="1">"E36891"</definedName>
    <definedName name="FDD_229_0" hidden="1">"A25569"</definedName>
    <definedName name="FDD_23_0" hidden="1">"A25569"</definedName>
    <definedName name="FDD_230_0" hidden="1">"A25569"</definedName>
    <definedName name="FDD_231_0" hidden="1">"A25569"</definedName>
    <definedName name="FDD_232_0" hidden="1">"A25569"</definedName>
    <definedName name="FDD_233_0" hidden="1">"A25569"</definedName>
    <definedName name="FDD_234_0" hidden="1">"A25569"</definedName>
    <definedName name="FDD_235_0" hidden="1">"A25569"</definedName>
    <definedName name="FDD_236_0" hidden="1">"A25569"</definedName>
    <definedName name="FDD_237_0" hidden="1">"A25569"</definedName>
    <definedName name="FDD_238_0" hidden="1">"A30681"</definedName>
    <definedName name="FDD_238_1" hidden="1">"A31047"</definedName>
    <definedName name="FDD_238_10" hidden="1">"A34334"</definedName>
    <definedName name="FDD_238_11" hidden="1">"A34699"</definedName>
    <definedName name="FDD_238_12" hidden="1">"A35064"</definedName>
    <definedName name="FDD_238_13" hidden="1">"A35430"</definedName>
    <definedName name="FDD_238_14" hidden="1">"A35795"</definedName>
    <definedName name="FDD_238_2" hidden="1">"A31412"</definedName>
    <definedName name="FDD_238_3" hidden="1">"A31777"</definedName>
    <definedName name="FDD_238_4" hidden="1">"A32142"</definedName>
    <definedName name="FDD_238_5" hidden="1">"A32508"</definedName>
    <definedName name="FDD_238_6" hidden="1">"A32873"</definedName>
    <definedName name="FDD_238_7" hidden="1">"A33238"</definedName>
    <definedName name="FDD_238_8" hidden="1">"A33603"</definedName>
    <definedName name="FDD_238_9" hidden="1">"A33969"</definedName>
    <definedName name="FDD_24_0" hidden="1">"A25569"</definedName>
    <definedName name="FDD_243_0" hidden="1">"E36160"</definedName>
    <definedName name="FDD_243_1" hidden="1">"E36525"</definedName>
    <definedName name="FDD_243_2" hidden="1">"E36891"</definedName>
    <definedName name="FDD_244_0" hidden="1">"A25569"</definedName>
    <definedName name="FDD_245_0" hidden="1">"A25569"</definedName>
    <definedName name="FDD_246_0" hidden="1">"A25569"</definedName>
    <definedName name="FDD_247_0" hidden="1">"A25569"</definedName>
    <definedName name="FDD_248_0" hidden="1">"E36160"</definedName>
    <definedName name="FDD_248_1" hidden="1">"E36525"</definedName>
    <definedName name="FDD_248_2" hidden="1">"E36891"</definedName>
    <definedName name="FDD_249_0" hidden="1">"A25569"</definedName>
    <definedName name="FDD_25_0" hidden="1">"A25569"</definedName>
    <definedName name="FDD_25_1" hidden="1">"U35795"</definedName>
    <definedName name="FDD_25_2" hidden="1">"U36160"</definedName>
    <definedName name="FDD_25_3" hidden="1">"U36525"</definedName>
    <definedName name="FDD_250_0" hidden="1">"A25569"</definedName>
    <definedName name="FDD_251_0" hidden="1">"A25569"</definedName>
    <definedName name="FDD_252_0" hidden="1">"A25569"</definedName>
    <definedName name="FDD_253_0" hidden="1">"E36160"</definedName>
    <definedName name="FDD_253_1" hidden="1">"E36525"</definedName>
    <definedName name="FDD_253_2" hidden="1">"E36891"</definedName>
    <definedName name="FDD_254_0" hidden="1">"E36160"</definedName>
    <definedName name="FDD_254_1" hidden="1">"E36525"</definedName>
    <definedName name="FDD_254_2" hidden="1">"E36891"</definedName>
    <definedName name="FDD_255_0" hidden="1">"E36160"</definedName>
    <definedName name="FDD_255_1" hidden="1">"E36525"</definedName>
    <definedName name="FDD_255_2" hidden="1">"E36891"</definedName>
    <definedName name="FDD_256_0" hidden="1">"U36160"</definedName>
    <definedName name="FDD_256_1" hidden="1">"U36525"</definedName>
    <definedName name="FDD_256_2" hidden="1">"U36891"</definedName>
    <definedName name="FDD_257_0" hidden="1">"E36160"</definedName>
    <definedName name="FDD_257_1" hidden="1">"E36525"</definedName>
    <definedName name="FDD_257_2" hidden="1">"E36891"</definedName>
    <definedName name="FDD_258_0" hidden="1">"E36160"</definedName>
    <definedName name="FDD_258_1" hidden="1">"E36525"</definedName>
    <definedName name="FDD_258_2" hidden="1">"E36891"</definedName>
    <definedName name="FDD_259_0" hidden="1">"E36160"</definedName>
    <definedName name="FDD_259_1" hidden="1">"E36525"</definedName>
    <definedName name="FDD_259_2" hidden="1">"E36891"</definedName>
    <definedName name="FDD_26_0" hidden="1">"A25569"</definedName>
    <definedName name="FDD_260_0" hidden="1">"E36160"</definedName>
    <definedName name="FDD_260_1" hidden="1">"E36525"</definedName>
    <definedName name="FDD_260_2" hidden="1">"E36891"</definedName>
    <definedName name="FDD_261_0" hidden="1">"E36160"</definedName>
    <definedName name="FDD_261_1" hidden="1">"E36525"</definedName>
    <definedName name="FDD_261_2" hidden="1">"E36891"</definedName>
    <definedName name="FDD_264_0" hidden="1">"E36160"</definedName>
    <definedName name="FDD_264_1" hidden="1">"E36525"</definedName>
    <definedName name="FDD_264_2" hidden="1">"E36891"</definedName>
    <definedName name="FDD_265_0" hidden="1">"A25569"</definedName>
    <definedName name="FDD_266_0" hidden="1">"A25569"</definedName>
    <definedName name="FDD_267_0" hidden="1">"A25569"</definedName>
    <definedName name="FDD_268_0" hidden="1">"A25569"</definedName>
    <definedName name="FDD_269_0" hidden="1">"E36160"</definedName>
    <definedName name="FDD_269_1" hidden="1">"E36525"</definedName>
    <definedName name="FDD_269_2" hidden="1">"E36891"</definedName>
    <definedName name="FDD_27_0" hidden="1">"A25569"</definedName>
    <definedName name="FDD_270_0" hidden="1">"A25569"</definedName>
    <definedName name="FDD_271_0" hidden="1">"A25569"</definedName>
    <definedName name="FDD_272_0" hidden="1">"A25569"</definedName>
    <definedName name="FDD_273_0" hidden="1">"A25569"</definedName>
    <definedName name="FDD_274_0" hidden="1">"E36160"</definedName>
    <definedName name="FDD_274_1" hidden="1">"E36525"</definedName>
    <definedName name="FDD_274_2" hidden="1">"E36891"</definedName>
    <definedName name="FDD_275_0" hidden="1">"A25569"</definedName>
    <definedName name="FDD_276_0" hidden="1">"A25569"</definedName>
    <definedName name="FDD_277_0" hidden="1">"A25569"</definedName>
    <definedName name="FDD_278_0" hidden="1">"A25569"</definedName>
    <definedName name="FDD_279_0" hidden="1">"E36160"</definedName>
    <definedName name="FDD_279_1" hidden="1">"E36525"</definedName>
    <definedName name="FDD_279_2" hidden="1">"E36891"</definedName>
    <definedName name="FDD_28_0" hidden="1">"A25569"</definedName>
    <definedName name="FDD_280_0" hidden="1">"E36160"</definedName>
    <definedName name="FDD_280_1" hidden="1">"E36525"</definedName>
    <definedName name="FDD_280_2" hidden="1">"E36891"</definedName>
    <definedName name="FDD_281_0" hidden="1">"E36160"</definedName>
    <definedName name="FDD_281_1" hidden="1">"E36525"</definedName>
    <definedName name="FDD_281_2" hidden="1">"E36891"</definedName>
    <definedName name="FDD_282_0" hidden="1">"E36160"</definedName>
    <definedName name="FDD_282_1" hidden="1">"E36525"</definedName>
    <definedName name="FDD_282_2" hidden="1">"E36891"</definedName>
    <definedName name="FDD_283_0" hidden="1">"E36160"</definedName>
    <definedName name="FDD_283_1" hidden="1">"E36525"</definedName>
    <definedName name="FDD_283_2" hidden="1">"E36891"</definedName>
    <definedName name="FDD_284_0" hidden="1">"A30681"</definedName>
    <definedName name="FDD_284_1" hidden="1">"A31047"</definedName>
    <definedName name="FDD_284_10" hidden="1">"A34334"</definedName>
    <definedName name="FDD_284_11" hidden="1">"A34699"</definedName>
    <definedName name="FDD_284_12" hidden="1">"A35064"</definedName>
    <definedName name="FDD_284_13" hidden="1">"A35430"</definedName>
    <definedName name="FDD_284_14" hidden="1">"A35795"</definedName>
    <definedName name="FDD_284_2" hidden="1">"A31412"</definedName>
    <definedName name="FDD_284_3" hidden="1">"A31777"</definedName>
    <definedName name="FDD_284_4" hidden="1">"A32142"</definedName>
    <definedName name="FDD_284_5" hidden="1">"A32508"</definedName>
    <definedName name="FDD_284_6" hidden="1">"A32873"</definedName>
    <definedName name="FDD_284_7" hidden="1">"A33238"</definedName>
    <definedName name="FDD_284_8" hidden="1">"A33603"</definedName>
    <definedName name="FDD_284_9" hidden="1">"A33969"</definedName>
    <definedName name="FDD_285_0" hidden="1">"A35795"</definedName>
    <definedName name="FDD_285_1" hidden="1">"E36160"</definedName>
    <definedName name="FDD_285_10" hidden="1">"E39447"</definedName>
    <definedName name="FDD_285_11" hidden="1">"E39813"</definedName>
    <definedName name="FDD_285_12" hidden="1">"E40178"</definedName>
    <definedName name="FDD_285_13" hidden="1">"E40543"</definedName>
    <definedName name="FDD_285_14" hidden="1">"E40908"</definedName>
    <definedName name="FDD_285_15" hidden="1">"E41274"</definedName>
    <definedName name="FDD_285_16" hidden="1">"E41639"</definedName>
    <definedName name="FDD_285_17" hidden="1">"E42004"</definedName>
    <definedName name="FDD_285_18" hidden="1">"E42369"</definedName>
    <definedName name="FDD_285_19" hidden="1">"E42735"</definedName>
    <definedName name="FDD_285_2" hidden="1">"E36525"</definedName>
    <definedName name="FDD_285_20" hidden="1">"E43100"</definedName>
    <definedName name="FDD_285_21" hidden="1">"E43465"</definedName>
    <definedName name="FDD_285_22" hidden="1">"E43830"</definedName>
    <definedName name="FDD_285_23" hidden="1">"E44196"</definedName>
    <definedName name="FDD_285_24" hidden="1">"E44561"</definedName>
    <definedName name="FDD_285_25" hidden="1">"E44926"</definedName>
    <definedName name="FDD_285_3" hidden="1">"E36891"</definedName>
    <definedName name="FDD_285_4" hidden="1">"E37256"</definedName>
    <definedName name="FDD_285_5" hidden="1">"E37621"</definedName>
    <definedName name="FDD_285_6" hidden="1">"E37986"</definedName>
    <definedName name="FDD_285_7" hidden="1">"E38352"</definedName>
    <definedName name="FDD_285_8" hidden="1">"E38717"</definedName>
    <definedName name="FDD_285_9" hidden="1">"E39082"</definedName>
    <definedName name="FDD_286_0" hidden="1">"E36160"</definedName>
    <definedName name="FDD_286_1" hidden="1">"E36525"</definedName>
    <definedName name="FDD_286_10" hidden="1">"E39813"</definedName>
    <definedName name="FDD_286_11" hidden="1">"E40178"</definedName>
    <definedName name="FDD_286_12" hidden="1">"E40543"</definedName>
    <definedName name="FDD_286_13" hidden="1">"E40908"</definedName>
    <definedName name="FDD_286_14" hidden="1">"E41274"</definedName>
    <definedName name="FDD_286_15" hidden="1">"E41639"</definedName>
    <definedName name="FDD_286_16" hidden="1">"E42004"</definedName>
    <definedName name="FDD_286_17" hidden="1">"E42369"</definedName>
    <definedName name="FDD_286_18" hidden="1">"E42735"</definedName>
    <definedName name="FDD_286_19" hidden="1">"E43100"</definedName>
    <definedName name="FDD_286_2" hidden="1">"E36891"</definedName>
    <definedName name="FDD_286_20" hidden="1">"E43465"</definedName>
    <definedName name="FDD_286_21" hidden="1">"E43830"</definedName>
    <definedName name="FDD_286_22" hidden="1">"E44196"</definedName>
    <definedName name="FDD_286_23" hidden="1">"E44561"</definedName>
    <definedName name="FDD_286_24" hidden="1">"E44926"</definedName>
    <definedName name="FDD_286_3" hidden="1">"E37256"</definedName>
    <definedName name="FDD_286_4" hidden="1">"E37621"</definedName>
    <definedName name="FDD_286_5" hidden="1">"E37986"</definedName>
    <definedName name="FDD_286_6" hidden="1">"E38352"</definedName>
    <definedName name="FDD_286_7" hidden="1">"E38717"</definedName>
    <definedName name="FDD_286_8" hidden="1">"E39082"</definedName>
    <definedName name="FDD_286_9" hidden="1">"E39447"</definedName>
    <definedName name="FDD_287_0" hidden="1">"A25569"</definedName>
    <definedName name="FDD_288_0" hidden="1">"A25569"</definedName>
    <definedName name="FDD_289_0" hidden="1">"A36890"</definedName>
    <definedName name="FDD_29_0" hidden="1">"A25569"</definedName>
    <definedName name="FDD_290_0" hidden="1">"A36890"</definedName>
    <definedName name="FDD_291_0" hidden="1">"A25569"</definedName>
    <definedName name="FDD_295_0" hidden="1">"U25569"</definedName>
    <definedName name="FDD_296_0" hidden="1">"A25569"</definedName>
    <definedName name="FDD_297_0" hidden="1">"A25569"</definedName>
    <definedName name="FDD_298_0" hidden="1">"A25569"</definedName>
    <definedName name="FDD_299_0" hidden="1">"A25569"</definedName>
    <definedName name="FDD_3_0" hidden="1">"A25569"</definedName>
    <definedName name="FDD_30_0" hidden="1">"A25569"</definedName>
    <definedName name="FDD_300_0" hidden="1">"U25569"</definedName>
    <definedName name="FDD_301_0" hidden="1">"U35795"</definedName>
    <definedName name="FDD_301_1" hidden="1">"U36160"</definedName>
    <definedName name="FDD_301_2" hidden="1">"U36525"</definedName>
    <definedName name="FDD_302_0" hidden="1">"U35795"</definedName>
    <definedName name="FDD_302_1" hidden="1">"U36160"</definedName>
    <definedName name="FDD_302_2" hidden="1">"U36525"</definedName>
    <definedName name="FDD_303_0" hidden="1">"U35795"</definedName>
    <definedName name="FDD_303_1" hidden="1">"U36160"</definedName>
    <definedName name="FDD_303_2" hidden="1">"U36525"</definedName>
    <definedName name="FDD_304_0" hidden="1">"U35795"</definedName>
    <definedName name="FDD_304_1" hidden="1">"U36160"</definedName>
    <definedName name="FDD_304_2" hidden="1">"U36525"</definedName>
    <definedName name="FDD_305_0" hidden="1">"A30681"</definedName>
    <definedName name="FDD_305_1" hidden="1">"A31047"</definedName>
    <definedName name="FDD_305_10" hidden="1">"U34334"</definedName>
    <definedName name="FDD_305_11" hidden="1">"U34699"</definedName>
    <definedName name="FDD_305_12" hidden="1">"U35064"</definedName>
    <definedName name="FDD_305_13" hidden="1">"U35430"</definedName>
    <definedName name="FDD_305_14" hidden="1">"U35795"</definedName>
    <definedName name="FDD_305_2" hidden="1">"A31412"</definedName>
    <definedName name="FDD_305_3" hidden="1">"U31777"</definedName>
    <definedName name="FDD_305_4" hidden="1">"U32142"</definedName>
    <definedName name="FDD_305_5" hidden="1">"U32508"</definedName>
    <definedName name="FDD_305_6" hidden="1">"U32873"</definedName>
    <definedName name="FDD_305_7" hidden="1">"U33238"</definedName>
    <definedName name="FDD_305_8" hidden="1">"U33603"</definedName>
    <definedName name="FDD_305_9" hidden="1">"U33969"</definedName>
    <definedName name="FDD_306_0" hidden="1">"U35795"</definedName>
    <definedName name="FDD_306_1" hidden="1">"E36160"</definedName>
    <definedName name="FDD_306_2" hidden="1">"U36525"</definedName>
    <definedName name="FDD_307_0" hidden="1">"A35795"</definedName>
    <definedName name="FDD_307_1" hidden="1">"U36160"</definedName>
    <definedName name="FDD_307_2" hidden="1">"U36525"</definedName>
    <definedName name="FDD_31_0" hidden="1">"A25569"</definedName>
    <definedName name="FDD_32_0" hidden="1">"A25569"</definedName>
    <definedName name="FDD_33_0" hidden="1">"A25569"</definedName>
    <definedName name="FDD_34_0" hidden="1">"A25569"</definedName>
    <definedName name="FDD_35_0" hidden="1">"A25569"</definedName>
    <definedName name="FDD_36_0" hidden="1">"A25569"</definedName>
    <definedName name="FDD_37_0" hidden="1">"A25569"</definedName>
    <definedName name="FDD_38_0" hidden="1">"A25569"</definedName>
    <definedName name="FDD_39_0" hidden="1">"A25569"</definedName>
    <definedName name="FDD_4_0" hidden="1">"A25569"</definedName>
    <definedName name="FDD_40_0" hidden="1">"A25569"</definedName>
    <definedName name="FDD_41_0" hidden="1">"U25569"</definedName>
    <definedName name="FDD_41_1" hidden="1">"A35795"</definedName>
    <definedName name="FDD_41_2" hidden="1">"E36160"</definedName>
    <definedName name="FDD_41_3" hidden="1">"E36525"</definedName>
    <definedName name="FDD_42_0" hidden="1">"U25569"</definedName>
    <definedName name="FDD_42_1" hidden="1">"U35795"</definedName>
    <definedName name="FDD_42_2" hidden="1">"U36160"</definedName>
    <definedName name="FDD_42_3" hidden="1">"U36525"</definedName>
    <definedName name="FDD_43_0" hidden="1">"A25569"</definedName>
    <definedName name="FDD_44_0" hidden="1">"A30681"</definedName>
    <definedName name="FDD_44_1" hidden="1">"A31047"</definedName>
    <definedName name="FDD_44_10" hidden="1">"A34334"</definedName>
    <definedName name="FDD_44_11" hidden="1">"A34699"</definedName>
    <definedName name="FDD_44_12" hidden="1">"A35064"</definedName>
    <definedName name="FDD_44_13" hidden="1">"A35430"</definedName>
    <definedName name="FDD_44_14" hidden="1">"A35795"</definedName>
    <definedName name="FDD_44_2" hidden="1">"A31412"</definedName>
    <definedName name="FDD_44_3" hidden="1">"A31777"</definedName>
    <definedName name="FDD_44_4" hidden="1">"A32142"</definedName>
    <definedName name="FDD_44_5" hidden="1">"A32508"</definedName>
    <definedName name="FDD_44_6" hidden="1">"A32873"</definedName>
    <definedName name="FDD_44_7" hidden="1">"A33238"</definedName>
    <definedName name="FDD_44_8" hidden="1">"A33603"</definedName>
    <definedName name="FDD_44_9" hidden="1">"A33969"</definedName>
    <definedName name="FDD_45_0" hidden="1">"A30681"</definedName>
    <definedName name="FDD_45_1" hidden="1">"A31047"</definedName>
    <definedName name="FDD_45_10" hidden="1">"A34334"</definedName>
    <definedName name="FDD_45_11" hidden="1">"A34699"</definedName>
    <definedName name="FDD_45_12" hidden="1">"A35064"</definedName>
    <definedName name="FDD_45_13" hidden="1">"A35430"</definedName>
    <definedName name="FDD_45_14" hidden="1">"A35795"</definedName>
    <definedName name="FDD_45_2" hidden="1">"A31412"</definedName>
    <definedName name="FDD_45_3" hidden="1">"A31777"</definedName>
    <definedName name="FDD_45_4" hidden="1">"A32142"</definedName>
    <definedName name="FDD_45_5" hidden="1">"A32508"</definedName>
    <definedName name="FDD_45_6" hidden="1">"A32873"</definedName>
    <definedName name="FDD_45_7" hidden="1">"A33238"</definedName>
    <definedName name="FDD_45_8" hidden="1">"A33603"</definedName>
    <definedName name="FDD_45_9" hidden="1">"A33969"</definedName>
    <definedName name="FDD_46_0" hidden="1">"A30681"</definedName>
    <definedName name="FDD_46_1" hidden="1">"A31047"</definedName>
    <definedName name="FDD_46_10" hidden="1">"A34334"</definedName>
    <definedName name="FDD_46_11" hidden="1">"A34699"</definedName>
    <definedName name="FDD_46_12" hidden="1">"A35064"</definedName>
    <definedName name="FDD_46_13" hidden="1">"A35430"</definedName>
    <definedName name="FDD_46_14" hidden="1">"A35795"</definedName>
    <definedName name="FDD_46_2" hidden="1">"A31412"</definedName>
    <definedName name="FDD_46_3" hidden="1">"A31777"</definedName>
    <definedName name="FDD_46_4" hidden="1">"A32142"</definedName>
    <definedName name="FDD_46_5" hidden="1">"A32508"</definedName>
    <definedName name="FDD_46_6" hidden="1">"A32873"</definedName>
    <definedName name="FDD_46_7" hidden="1">"A33238"</definedName>
    <definedName name="FDD_46_8" hidden="1">"A33603"</definedName>
    <definedName name="FDD_46_9" hidden="1">"A33969"</definedName>
    <definedName name="FDD_47_0" hidden="1">"A30681"</definedName>
    <definedName name="FDD_47_1" hidden="1">"A31047"</definedName>
    <definedName name="FDD_47_10" hidden="1">"A34334"</definedName>
    <definedName name="FDD_47_11" hidden="1">"A34699"</definedName>
    <definedName name="FDD_47_12" hidden="1">"A35064"</definedName>
    <definedName name="FDD_47_13" hidden="1">"A35430"</definedName>
    <definedName name="FDD_47_14" hidden="1">"A35795"</definedName>
    <definedName name="FDD_47_2" hidden="1">"A31412"</definedName>
    <definedName name="FDD_47_3" hidden="1">"A31777"</definedName>
    <definedName name="FDD_47_4" hidden="1">"A32142"</definedName>
    <definedName name="FDD_47_5" hidden="1">"A32508"</definedName>
    <definedName name="FDD_47_6" hidden="1">"A32873"</definedName>
    <definedName name="FDD_47_7" hidden="1">"A33238"</definedName>
    <definedName name="FDD_47_8" hidden="1">"A33603"</definedName>
    <definedName name="FDD_47_9" hidden="1">"A33969"</definedName>
    <definedName name="FDD_48_0" hidden="1">"A30681"</definedName>
    <definedName name="FDD_48_1" hidden="1">"A31047"</definedName>
    <definedName name="FDD_48_10" hidden="1">"A34334"</definedName>
    <definedName name="FDD_48_11" hidden="1">"A34699"</definedName>
    <definedName name="FDD_48_12" hidden="1">"A35064"</definedName>
    <definedName name="FDD_48_13" hidden="1">"A35430"</definedName>
    <definedName name="FDD_48_14" hidden="1">"A35795"</definedName>
    <definedName name="FDD_48_2" hidden="1">"A31412"</definedName>
    <definedName name="FDD_48_3" hidden="1">"A31777"</definedName>
    <definedName name="FDD_48_4" hidden="1">"A32142"</definedName>
    <definedName name="FDD_48_5" hidden="1">"A32508"</definedName>
    <definedName name="FDD_48_6" hidden="1">"A32873"</definedName>
    <definedName name="FDD_48_7" hidden="1">"A33238"</definedName>
    <definedName name="FDD_48_8" hidden="1">"A33603"</definedName>
    <definedName name="FDD_48_9" hidden="1">"A33969"</definedName>
    <definedName name="FDD_49_0" hidden="1">"A30681"</definedName>
    <definedName name="FDD_49_1" hidden="1">"A31047"</definedName>
    <definedName name="FDD_49_10" hidden="1">"A34334"</definedName>
    <definedName name="FDD_49_11" hidden="1">"A34699"</definedName>
    <definedName name="FDD_49_12" hidden="1">"A35064"</definedName>
    <definedName name="FDD_49_13" hidden="1">"A35430"</definedName>
    <definedName name="FDD_49_14" hidden="1">"A35795"</definedName>
    <definedName name="FDD_49_2" hidden="1">"A31412"</definedName>
    <definedName name="FDD_49_3" hidden="1">"A31777"</definedName>
    <definedName name="FDD_49_4" hidden="1">"A32142"</definedName>
    <definedName name="FDD_49_5" hidden="1">"A32508"</definedName>
    <definedName name="FDD_49_6" hidden="1">"A32873"</definedName>
    <definedName name="FDD_49_7" hidden="1">"A33238"</definedName>
    <definedName name="FDD_49_8" hidden="1">"A33603"</definedName>
    <definedName name="FDD_49_9" hidden="1">"A33969"</definedName>
    <definedName name="FDD_5_0" hidden="1">"A25569"</definedName>
    <definedName name="FDD_5_1" hidden="1">"E35795"</definedName>
    <definedName name="FDD_5_2" hidden="1">"E36160"</definedName>
    <definedName name="FDD_5_3" hidden="1">"E36525"</definedName>
    <definedName name="FDD_50_0" hidden="1">"A30681"</definedName>
    <definedName name="FDD_50_1" hidden="1">"A31047"</definedName>
    <definedName name="FDD_50_10" hidden="1">"A34334"</definedName>
    <definedName name="FDD_50_11" hidden="1">"A34699"</definedName>
    <definedName name="FDD_50_12" hidden="1">"A35064"</definedName>
    <definedName name="FDD_50_13" hidden="1">"A35430"</definedName>
    <definedName name="FDD_50_14" hidden="1">"A35795"</definedName>
    <definedName name="FDD_50_2" hidden="1">"A31412"</definedName>
    <definedName name="FDD_50_3" hidden="1">"A31777"</definedName>
    <definedName name="FDD_50_4" hidden="1">"A32142"</definedName>
    <definedName name="FDD_50_5" hidden="1">"A32508"</definedName>
    <definedName name="FDD_50_6" hidden="1">"A32873"</definedName>
    <definedName name="FDD_50_7" hidden="1">"A33238"</definedName>
    <definedName name="FDD_50_8" hidden="1">"A33603"</definedName>
    <definedName name="FDD_50_9" hidden="1">"A33969"</definedName>
    <definedName name="FDD_51_0" hidden="1">"A30681"</definedName>
    <definedName name="FDD_51_1" hidden="1">"A31047"</definedName>
    <definedName name="FDD_51_10" hidden="1">"A34334"</definedName>
    <definedName name="FDD_51_11" hidden="1">"A34699"</definedName>
    <definedName name="FDD_51_12" hidden="1">"A35064"</definedName>
    <definedName name="FDD_51_13" hidden="1">"A35430"</definedName>
    <definedName name="FDD_51_14" hidden="1">"A35795"</definedName>
    <definedName name="FDD_51_2" hidden="1">"A31412"</definedName>
    <definedName name="FDD_51_3" hidden="1">"A31777"</definedName>
    <definedName name="FDD_51_4" hidden="1">"A32142"</definedName>
    <definedName name="FDD_51_5" hidden="1">"A32508"</definedName>
    <definedName name="FDD_51_6" hidden="1">"A32873"</definedName>
    <definedName name="FDD_51_7" hidden="1">"A33238"</definedName>
    <definedName name="FDD_51_8" hidden="1">"A33603"</definedName>
    <definedName name="FDD_51_9" hidden="1">"A33969"</definedName>
    <definedName name="FDD_52_0" hidden="1">"A30681"</definedName>
    <definedName name="FDD_52_1" hidden="1">"A31047"</definedName>
    <definedName name="FDD_52_10" hidden="1">"A34334"</definedName>
    <definedName name="FDD_52_11" hidden="1">"A34699"</definedName>
    <definedName name="FDD_52_12" hidden="1">"A35064"</definedName>
    <definedName name="FDD_52_13" hidden="1">"A35430"</definedName>
    <definedName name="FDD_52_14" hidden="1">"A35795"</definedName>
    <definedName name="FDD_52_2" hidden="1">"A31412"</definedName>
    <definedName name="FDD_52_3" hidden="1">"A31777"</definedName>
    <definedName name="FDD_52_4" hidden="1">"A32142"</definedName>
    <definedName name="FDD_52_5" hidden="1">"A32508"</definedName>
    <definedName name="FDD_52_6" hidden="1">"A32873"</definedName>
    <definedName name="FDD_52_7" hidden="1">"A33238"</definedName>
    <definedName name="FDD_52_8" hidden="1">"A33603"</definedName>
    <definedName name="FDD_52_9" hidden="1">"A33969"</definedName>
    <definedName name="FDD_53_0" hidden="1">"U30681"</definedName>
    <definedName name="FDD_53_1" hidden="1">"A31047"</definedName>
    <definedName name="FDD_53_10" hidden="1">"A34334"</definedName>
    <definedName name="FDD_53_11" hidden="1">"A34699"</definedName>
    <definedName name="FDD_53_12" hidden="1">"A35064"</definedName>
    <definedName name="FDD_53_13" hidden="1">"A35430"</definedName>
    <definedName name="FDD_53_14" hidden="1">"A35795"</definedName>
    <definedName name="FDD_53_2" hidden="1">"A31412"</definedName>
    <definedName name="FDD_53_3" hidden="1">"A31777"</definedName>
    <definedName name="FDD_53_4" hidden="1">"A32142"</definedName>
    <definedName name="FDD_53_5" hidden="1">"A32508"</definedName>
    <definedName name="FDD_53_6" hidden="1">"A32873"</definedName>
    <definedName name="FDD_53_7" hidden="1">"A33238"</definedName>
    <definedName name="FDD_53_8" hidden="1">"A33603"</definedName>
    <definedName name="FDD_53_9" hidden="1">"A33969"</definedName>
    <definedName name="FDD_54_0" hidden="1">"A30681"</definedName>
    <definedName name="FDD_54_1" hidden="1">"A31047"</definedName>
    <definedName name="FDD_54_10" hidden="1">"A34334"</definedName>
    <definedName name="FDD_54_11" hidden="1">"A34699"</definedName>
    <definedName name="FDD_54_12" hidden="1">"A35064"</definedName>
    <definedName name="FDD_54_13" hidden="1">"A35430"</definedName>
    <definedName name="FDD_54_14" hidden="1">"A35795"</definedName>
    <definedName name="FDD_54_2" hidden="1">"A31412"</definedName>
    <definedName name="FDD_54_3" hidden="1">"A31777"</definedName>
    <definedName name="FDD_54_4" hidden="1">"A32142"</definedName>
    <definedName name="FDD_54_5" hidden="1">"A32508"</definedName>
    <definedName name="FDD_54_6" hidden="1">"A32873"</definedName>
    <definedName name="FDD_54_7" hidden="1">"A33238"</definedName>
    <definedName name="FDD_54_8" hidden="1">"A33603"</definedName>
    <definedName name="FDD_54_9" hidden="1">"A33969"</definedName>
    <definedName name="FDD_55_0" hidden="1">"A30681"</definedName>
    <definedName name="FDD_55_1" hidden="1">"A31047"</definedName>
    <definedName name="FDD_55_10" hidden="1">"A34334"</definedName>
    <definedName name="FDD_55_11" hidden="1">"A34699"</definedName>
    <definedName name="FDD_55_12" hidden="1">"A35064"</definedName>
    <definedName name="FDD_55_13" hidden="1">"A35430"</definedName>
    <definedName name="FDD_55_14" hidden="1">"A35795"</definedName>
    <definedName name="FDD_55_2" hidden="1">"A31412"</definedName>
    <definedName name="FDD_55_3" hidden="1">"A31777"</definedName>
    <definedName name="FDD_55_4" hidden="1">"A32142"</definedName>
    <definedName name="FDD_55_5" hidden="1">"A32508"</definedName>
    <definedName name="FDD_55_6" hidden="1">"A32873"</definedName>
    <definedName name="FDD_55_7" hidden="1">"A33238"</definedName>
    <definedName name="FDD_55_8" hidden="1">"A33603"</definedName>
    <definedName name="FDD_55_9" hidden="1">"A33969"</definedName>
    <definedName name="FDD_56_0" hidden="1">"A30681"</definedName>
    <definedName name="FDD_56_1" hidden="1">"A31047"</definedName>
    <definedName name="FDD_56_10" hidden="1">"A34334"</definedName>
    <definedName name="FDD_56_11" hidden="1">"A34699"</definedName>
    <definedName name="FDD_56_12" hidden="1">"A35064"</definedName>
    <definedName name="FDD_56_13" hidden="1">"A35430"</definedName>
    <definedName name="FDD_56_14" hidden="1">"A35795"</definedName>
    <definedName name="FDD_56_2" hidden="1">"A31412"</definedName>
    <definedName name="FDD_56_3" hidden="1">"A31777"</definedName>
    <definedName name="FDD_56_4" hidden="1">"A32142"</definedName>
    <definedName name="FDD_56_5" hidden="1">"A32508"</definedName>
    <definedName name="FDD_56_6" hidden="1">"A32873"</definedName>
    <definedName name="FDD_56_7" hidden="1">"A33238"</definedName>
    <definedName name="FDD_56_8" hidden="1">"A33603"</definedName>
    <definedName name="FDD_56_9" hidden="1">"A33969"</definedName>
    <definedName name="FDD_57_0" hidden="1">"A30681"</definedName>
    <definedName name="FDD_57_1" hidden="1">"A31047"</definedName>
    <definedName name="FDD_57_10" hidden="1">"A34334"</definedName>
    <definedName name="FDD_57_11" hidden="1">"A34699"</definedName>
    <definedName name="FDD_57_12" hidden="1">"A35064"</definedName>
    <definedName name="FDD_57_13" hidden="1">"A35430"</definedName>
    <definedName name="FDD_57_14" hidden="1">"A35795"</definedName>
    <definedName name="FDD_57_2" hidden="1">"A31412"</definedName>
    <definedName name="FDD_57_3" hidden="1">"A31777"</definedName>
    <definedName name="FDD_57_4" hidden="1">"A32142"</definedName>
    <definedName name="FDD_57_5" hidden="1">"A32508"</definedName>
    <definedName name="FDD_57_6" hidden="1">"A32873"</definedName>
    <definedName name="FDD_57_7" hidden="1">"A33238"</definedName>
    <definedName name="FDD_57_8" hidden="1">"A33603"</definedName>
    <definedName name="FDD_57_9" hidden="1">"A33969"</definedName>
    <definedName name="FDD_58_0" hidden="1">"A30681"</definedName>
    <definedName name="FDD_58_1" hidden="1">"A31047"</definedName>
    <definedName name="FDD_58_10" hidden="1">"A34334"</definedName>
    <definedName name="FDD_58_100" hidden="1">"A35044"</definedName>
    <definedName name="FDD_58_101" hidden="1">"A35051"</definedName>
    <definedName name="FDD_58_102" hidden="1">"A35058"</definedName>
    <definedName name="FDD_58_103" hidden="1">"A35065"</definedName>
    <definedName name="FDD_58_104" hidden="1">"A35072"</definedName>
    <definedName name="FDD_58_105" hidden="1">"A35079"</definedName>
    <definedName name="FDD_58_106" hidden="1">"A35086"</definedName>
    <definedName name="FDD_58_107" hidden="1">"A35093"</definedName>
    <definedName name="FDD_58_108" hidden="1">"A35100"</definedName>
    <definedName name="FDD_58_109" hidden="1">"A35107"</definedName>
    <definedName name="FDD_58_11" hidden="1">"A34699"</definedName>
    <definedName name="FDD_58_110" hidden="1">"A35114"</definedName>
    <definedName name="FDD_58_111" hidden="1">"A35121"</definedName>
    <definedName name="FDD_58_112" hidden="1">"A35128"</definedName>
    <definedName name="FDD_58_113" hidden="1">"A35135"</definedName>
    <definedName name="FDD_58_114" hidden="1">"A35142"</definedName>
    <definedName name="FDD_58_115" hidden="1">"A35149"</definedName>
    <definedName name="FDD_58_116" hidden="1">"A35156"</definedName>
    <definedName name="FDD_58_117" hidden="1">"A35162"</definedName>
    <definedName name="FDD_58_118" hidden="1">"A35170"</definedName>
    <definedName name="FDD_58_119" hidden="1">"A35177"</definedName>
    <definedName name="FDD_58_12" hidden="1">"A35064"</definedName>
    <definedName name="FDD_58_120" hidden="1">"A35184"</definedName>
    <definedName name="FDD_58_121" hidden="1">"A35191"</definedName>
    <definedName name="FDD_58_122" hidden="1">"A35198"</definedName>
    <definedName name="FDD_58_123" hidden="1">"A35205"</definedName>
    <definedName name="FDD_58_124" hidden="1">"A35212"</definedName>
    <definedName name="FDD_58_125" hidden="1">"A35219"</definedName>
    <definedName name="FDD_58_126" hidden="1">"A35226"</definedName>
    <definedName name="FDD_58_127" hidden="1">"A35233"</definedName>
    <definedName name="FDD_58_128" hidden="1">"A35240"</definedName>
    <definedName name="FDD_58_129" hidden="1">"A35247"</definedName>
    <definedName name="FDD_58_13" hidden="1">"A35430"</definedName>
    <definedName name="FDD_58_130" hidden="1">"A35254"</definedName>
    <definedName name="FDD_58_131" hidden="1">"A35261"</definedName>
    <definedName name="FDD_58_132" hidden="1">"A35268"</definedName>
    <definedName name="FDD_58_133" hidden="1">"A35275"</definedName>
    <definedName name="FDD_58_134" hidden="1">"A35282"</definedName>
    <definedName name="FDD_58_135" hidden="1">"A35289"</definedName>
    <definedName name="FDD_58_136" hidden="1">"A35296"</definedName>
    <definedName name="FDD_58_137" hidden="1">"A35303"</definedName>
    <definedName name="FDD_58_138" hidden="1">"A35310"</definedName>
    <definedName name="FDD_58_139" hidden="1">"A35317"</definedName>
    <definedName name="FDD_58_14" hidden="1">"A35795"</definedName>
    <definedName name="FDD_58_140" hidden="1">"A35324"</definedName>
    <definedName name="FDD_58_141" hidden="1">"A35331"</definedName>
    <definedName name="FDD_58_142" hidden="1">"A35338"</definedName>
    <definedName name="FDD_58_143" hidden="1">"A35345"</definedName>
    <definedName name="FDD_58_144" hidden="1">"A35352"</definedName>
    <definedName name="FDD_58_145" hidden="1">"A35359"</definedName>
    <definedName name="FDD_58_146" hidden="1">"A35366"</definedName>
    <definedName name="FDD_58_147" hidden="1">"A35373"</definedName>
    <definedName name="FDD_58_148" hidden="1">"A35380"</definedName>
    <definedName name="FDD_58_149" hidden="1">"A35387"</definedName>
    <definedName name="FDD_58_15" hidden="1">"A34449"</definedName>
    <definedName name="FDD_58_150" hidden="1">"A35394"</definedName>
    <definedName name="FDD_58_151" hidden="1">"A35401"</definedName>
    <definedName name="FDD_58_152" hidden="1">"A35408"</definedName>
    <definedName name="FDD_58_153" hidden="1">"A35415"</definedName>
    <definedName name="FDD_58_154" hidden="1">"A35422"</definedName>
    <definedName name="FDD_58_155" hidden="1">"A35429"</definedName>
    <definedName name="FDD_58_156" hidden="1">"A35436"</definedName>
    <definedName name="FDD_58_157" hidden="1">"A35443"</definedName>
    <definedName name="FDD_58_158" hidden="1">"A35450"</definedName>
    <definedName name="FDD_58_159" hidden="1">"A35457"</definedName>
    <definedName name="FDD_58_16" hidden="1">"A34456"</definedName>
    <definedName name="FDD_58_160" hidden="1">"A35464"</definedName>
    <definedName name="FDD_58_161" hidden="1">"A35471"</definedName>
    <definedName name="FDD_58_162" hidden="1">"A35478"</definedName>
    <definedName name="FDD_58_163" hidden="1">"A35485"</definedName>
    <definedName name="FDD_58_164" hidden="1">"A35492"</definedName>
    <definedName name="FDD_58_165" hidden="1">"A35499"</definedName>
    <definedName name="FDD_58_166" hidden="1">"A35506"</definedName>
    <definedName name="FDD_58_167" hidden="1">"A35513"</definedName>
    <definedName name="FDD_58_168" hidden="1">"A35520"</definedName>
    <definedName name="FDD_58_169" hidden="1">"A35527"</definedName>
    <definedName name="FDD_58_17" hidden="1">"A34463"</definedName>
    <definedName name="FDD_58_170" hidden="1">"A35534"</definedName>
    <definedName name="FDD_58_171" hidden="1">"A35541"</definedName>
    <definedName name="FDD_58_172" hidden="1">"A35548"</definedName>
    <definedName name="FDD_58_173" hidden="1">"A35555"</definedName>
    <definedName name="FDD_58_174" hidden="1">"A35562"</definedName>
    <definedName name="FDD_58_175" hidden="1">"A35569"</definedName>
    <definedName name="FDD_58_176" hidden="1">"A35576"</definedName>
    <definedName name="FDD_58_177" hidden="1">"A35583"</definedName>
    <definedName name="FDD_58_178" hidden="1">"A35590"</definedName>
    <definedName name="FDD_58_179" hidden="1">"A35597"</definedName>
    <definedName name="FDD_58_18" hidden="1">"A34470"</definedName>
    <definedName name="FDD_58_180" hidden="1">"A35604"</definedName>
    <definedName name="FDD_58_181" hidden="1">"A35611"</definedName>
    <definedName name="FDD_58_182" hidden="1">"A35618"</definedName>
    <definedName name="FDD_58_183" hidden="1">"A35625"</definedName>
    <definedName name="FDD_58_184" hidden="1">"A35632"</definedName>
    <definedName name="FDD_58_185" hidden="1">"A35639"</definedName>
    <definedName name="FDD_58_186" hidden="1">"A35646"</definedName>
    <definedName name="FDD_58_187" hidden="1">"A35653"</definedName>
    <definedName name="FDD_58_188" hidden="1">"A35660"</definedName>
    <definedName name="FDD_58_189" hidden="1">"A35667"</definedName>
    <definedName name="FDD_58_19" hidden="1">"A34477"</definedName>
    <definedName name="FDD_58_190" hidden="1">"A35674"</definedName>
    <definedName name="FDD_58_191" hidden="1">"A35681"</definedName>
    <definedName name="FDD_58_192" hidden="1">"A35688"</definedName>
    <definedName name="FDD_58_193" hidden="1">"A35695"</definedName>
    <definedName name="FDD_58_194" hidden="1">"A35702"</definedName>
    <definedName name="FDD_58_195" hidden="1">"A35709"</definedName>
    <definedName name="FDD_58_196" hidden="1">"A35716"</definedName>
    <definedName name="FDD_58_197" hidden="1">"A35723"</definedName>
    <definedName name="FDD_58_198" hidden="1">"A35730"</definedName>
    <definedName name="FDD_58_199" hidden="1">"A35737"</definedName>
    <definedName name="FDD_58_2" hidden="1">"A31412"</definedName>
    <definedName name="FDD_58_20" hidden="1">"A34484"</definedName>
    <definedName name="FDD_58_200" hidden="1">"A35744"</definedName>
    <definedName name="FDD_58_201" hidden="1">"A35751"</definedName>
    <definedName name="FDD_58_202" hidden="1">"A35758"</definedName>
    <definedName name="FDD_58_203" hidden="1">"A35765"</definedName>
    <definedName name="FDD_58_204" hidden="1">"A35772"</definedName>
    <definedName name="FDD_58_205" hidden="1">"A35779"</definedName>
    <definedName name="FDD_58_206" hidden="1">"A35786"</definedName>
    <definedName name="FDD_58_207" hidden="1">"A35793"</definedName>
    <definedName name="FDD_58_208" hidden="1">"A35800"</definedName>
    <definedName name="FDD_58_209" hidden="1">"A35807"</definedName>
    <definedName name="FDD_58_21" hidden="1">"A34491"</definedName>
    <definedName name="FDD_58_210" hidden="1">"A35814"</definedName>
    <definedName name="FDD_58_211" hidden="1">"A35821"</definedName>
    <definedName name="FDD_58_212" hidden="1">"A35828"</definedName>
    <definedName name="FDD_58_213" hidden="1">"A35835"</definedName>
    <definedName name="FDD_58_214" hidden="1">"A35842"</definedName>
    <definedName name="FDD_58_215" hidden="1">"A35849"</definedName>
    <definedName name="FDD_58_216" hidden="1">"A35856"</definedName>
    <definedName name="FDD_58_217" hidden="1">"A35863"</definedName>
    <definedName name="FDD_58_218" hidden="1">"A35870"</definedName>
    <definedName name="FDD_58_219" hidden="1">"A35877"</definedName>
    <definedName name="FDD_58_22" hidden="1">"A34498"</definedName>
    <definedName name="FDD_58_220" hidden="1">"A35884"</definedName>
    <definedName name="FDD_58_221" hidden="1">"A35891"</definedName>
    <definedName name="FDD_58_222" hidden="1">"A35898"</definedName>
    <definedName name="FDD_58_223" hidden="1">"A35905"</definedName>
    <definedName name="FDD_58_224" hidden="1">"A35912"</definedName>
    <definedName name="FDD_58_225" hidden="1">"A35919"</definedName>
    <definedName name="FDD_58_226" hidden="1">"A35926"</definedName>
    <definedName name="FDD_58_227" hidden="1">"A35933"</definedName>
    <definedName name="FDD_58_228" hidden="1">"A35940"</definedName>
    <definedName name="FDD_58_229" hidden="1">"A35947"</definedName>
    <definedName name="FDD_58_23" hidden="1">"A34505"</definedName>
    <definedName name="FDD_58_230" hidden="1">"A35954"</definedName>
    <definedName name="FDD_58_231" hidden="1">"A35961"</definedName>
    <definedName name="FDD_58_232" hidden="1">"A35968"</definedName>
    <definedName name="FDD_58_233" hidden="1">"A35975"</definedName>
    <definedName name="FDD_58_234" hidden="1">"A35982"</definedName>
    <definedName name="FDD_58_235" hidden="1">"A35989"</definedName>
    <definedName name="FDD_58_236" hidden="1">"A35996"</definedName>
    <definedName name="FDD_58_237" hidden="1">"A36003"</definedName>
    <definedName name="FDD_58_238" hidden="1">"A36010"</definedName>
    <definedName name="FDD_58_239" hidden="1">"A36017"</definedName>
    <definedName name="FDD_58_24" hidden="1">"A34512"</definedName>
    <definedName name="FDD_58_240" hidden="1">"A36024"</definedName>
    <definedName name="FDD_58_241" hidden="1">"A36031"</definedName>
    <definedName name="FDD_58_242" hidden="1">"A36038"</definedName>
    <definedName name="FDD_58_243" hidden="1">"A36045"</definedName>
    <definedName name="FDD_58_244" hidden="1">"A36052"</definedName>
    <definedName name="FDD_58_245" hidden="1">"A36059"</definedName>
    <definedName name="FDD_58_246" hidden="1">"A36066"</definedName>
    <definedName name="FDD_58_247" hidden="1">"A36073"</definedName>
    <definedName name="FDD_58_248" hidden="1">"A36080"</definedName>
    <definedName name="FDD_58_249" hidden="1">"A36087"</definedName>
    <definedName name="FDD_58_25" hidden="1">"A34519"</definedName>
    <definedName name="FDD_58_250" hidden="1">"A36094"</definedName>
    <definedName name="FDD_58_251" hidden="1">"A36101"</definedName>
    <definedName name="FDD_58_252" hidden="1">"A36108"</definedName>
    <definedName name="FDD_58_253" hidden="1">"A36115"</definedName>
    <definedName name="FDD_58_254" hidden="1">"A36122"</definedName>
    <definedName name="FDD_58_255" hidden="1">"A36129"</definedName>
    <definedName name="FDD_58_256" hidden="1">"A36136"</definedName>
    <definedName name="FDD_58_257" hidden="1">"A36143"</definedName>
    <definedName name="FDD_58_258" hidden="1">"A36150"</definedName>
    <definedName name="FDD_58_259" hidden="1">"A36157"</definedName>
    <definedName name="FDD_58_26" hidden="1">"A34526"</definedName>
    <definedName name="FDD_58_260" hidden="1">"A36164"</definedName>
    <definedName name="FDD_58_27" hidden="1">"A34533"</definedName>
    <definedName name="FDD_58_28" hidden="1">"A34540"</definedName>
    <definedName name="FDD_58_29" hidden="1">"A34547"</definedName>
    <definedName name="FDD_58_3" hidden="1">"A31777"</definedName>
    <definedName name="FDD_58_30" hidden="1">"A34554"</definedName>
    <definedName name="FDD_58_31" hidden="1">"A34561"</definedName>
    <definedName name="FDD_58_32" hidden="1">"A34568"</definedName>
    <definedName name="FDD_58_33" hidden="1">"A34575"</definedName>
    <definedName name="FDD_58_34" hidden="1">"A34582"</definedName>
    <definedName name="FDD_58_35" hidden="1">"A34589"</definedName>
    <definedName name="FDD_58_36" hidden="1">"A34596"</definedName>
    <definedName name="FDD_58_37" hidden="1">"A34603"</definedName>
    <definedName name="FDD_58_38" hidden="1">"A34610"</definedName>
    <definedName name="FDD_58_39" hidden="1">"A34617"</definedName>
    <definedName name="FDD_58_4" hidden="1">"A32142"</definedName>
    <definedName name="FDD_58_40" hidden="1">"A34624"</definedName>
    <definedName name="FDD_58_41" hidden="1">"A34631"</definedName>
    <definedName name="FDD_58_42" hidden="1">"A34638"</definedName>
    <definedName name="FDD_58_43" hidden="1">"A34645"</definedName>
    <definedName name="FDD_58_44" hidden="1">"A34652"</definedName>
    <definedName name="FDD_58_45" hidden="1">"A34659"</definedName>
    <definedName name="FDD_58_46" hidden="1">"A34666"</definedName>
    <definedName name="FDD_58_47" hidden="1">"A34673"</definedName>
    <definedName name="FDD_58_48" hidden="1">"A34680"</definedName>
    <definedName name="FDD_58_49" hidden="1">"A34687"</definedName>
    <definedName name="FDD_58_5" hidden="1">"A32508"</definedName>
    <definedName name="FDD_58_50" hidden="1">"A34694"</definedName>
    <definedName name="FDD_58_51" hidden="1">"A34701"</definedName>
    <definedName name="FDD_58_52" hidden="1">"A34708"</definedName>
    <definedName name="FDD_58_53" hidden="1">"A34715"</definedName>
    <definedName name="FDD_58_54" hidden="1">"A34722"</definedName>
    <definedName name="FDD_58_55" hidden="1">"A34729"</definedName>
    <definedName name="FDD_58_56" hidden="1">"A34736"</definedName>
    <definedName name="FDD_58_57" hidden="1">"A34743"</definedName>
    <definedName name="FDD_58_58" hidden="1">"A34750"</definedName>
    <definedName name="FDD_58_59" hidden="1">"A34757"</definedName>
    <definedName name="FDD_58_6" hidden="1">"A32873"</definedName>
    <definedName name="FDD_58_60" hidden="1">"A34764"</definedName>
    <definedName name="FDD_58_61" hidden="1">"A34771"</definedName>
    <definedName name="FDD_58_62" hidden="1">"A34778"</definedName>
    <definedName name="FDD_58_63" hidden="1">"A34785"</definedName>
    <definedName name="FDD_58_64" hidden="1">"A34792"</definedName>
    <definedName name="FDD_58_65" hidden="1">"A34799"</definedName>
    <definedName name="FDD_58_66" hidden="1">"A34806"</definedName>
    <definedName name="FDD_58_67" hidden="1">"A34813"</definedName>
    <definedName name="FDD_58_68" hidden="1">"A34820"</definedName>
    <definedName name="FDD_58_69" hidden="1">"A34827"</definedName>
    <definedName name="FDD_58_7" hidden="1">"A33238"</definedName>
    <definedName name="FDD_58_70" hidden="1">"A34834"</definedName>
    <definedName name="FDD_58_71" hidden="1">"A34841"</definedName>
    <definedName name="FDD_58_72" hidden="1">"A34848"</definedName>
    <definedName name="FDD_58_73" hidden="1">"A34855"</definedName>
    <definedName name="FDD_58_74" hidden="1">"A34862"</definedName>
    <definedName name="FDD_58_75" hidden="1">"A34869"</definedName>
    <definedName name="FDD_58_76" hidden="1">"A34876"</definedName>
    <definedName name="FDD_58_77" hidden="1">"A34883"</definedName>
    <definedName name="FDD_58_78" hidden="1">"A34890"</definedName>
    <definedName name="FDD_58_79" hidden="1">"A34897"</definedName>
    <definedName name="FDD_58_8" hidden="1">"A33603"</definedName>
    <definedName name="FDD_58_80" hidden="1">"A34904"</definedName>
    <definedName name="FDD_58_81" hidden="1">"A34911"</definedName>
    <definedName name="FDD_58_82" hidden="1">"A34918"</definedName>
    <definedName name="FDD_58_83" hidden="1">"A34925"</definedName>
    <definedName name="FDD_58_84" hidden="1">"A34932"</definedName>
    <definedName name="FDD_58_85" hidden="1">"A34939"</definedName>
    <definedName name="FDD_58_86" hidden="1">"A34946"</definedName>
    <definedName name="FDD_58_87" hidden="1">"A34953"</definedName>
    <definedName name="FDD_58_88" hidden="1">"A34960"</definedName>
    <definedName name="FDD_58_89" hidden="1">"A34967"</definedName>
    <definedName name="FDD_58_9" hidden="1">"A33969"</definedName>
    <definedName name="FDD_58_90" hidden="1">"A34974"</definedName>
    <definedName name="FDD_58_91" hidden="1">"A34981"</definedName>
    <definedName name="FDD_58_92" hidden="1">"A34988"</definedName>
    <definedName name="FDD_58_93" hidden="1">"A34995"</definedName>
    <definedName name="FDD_58_94" hidden="1">"A35002"</definedName>
    <definedName name="FDD_58_95" hidden="1">"A35009"</definedName>
    <definedName name="FDD_58_96" hidden="1">"A35016"</definedName>
    <definedName name="FDD_58_97" hidden="1">"A35023"</definedName>
    <definedName name="FDD_58_98" hidden="1">"A35030"</definedName>
    <definedName name="FDD_58_99" hidden="1">"A35037"</definedName>
    <definedName name="FDD_59_0" hidden="1">"A30681"</definedName>
    <definedName name="FDD_59_1" hidden="1">"A31047"</definedName>
    <definedName name="FDD_59_10" hidden="1">"A34334"</definedName>
    <definedName name="FDD_59_100" hidden="1">"A35044"</definedName>
    <definedName name="FDD_59_101" hidden="1">"A35051"</definedName>
    <definedName name="FDD_59_102" hidden="1">"A35059"</definedName>
    <definedName name="FDD_59_103" hidden="1">"A35065"</definedName>
    <definedName name="FDD_59_104" hidden="1">"A35072"</definedName>
    <definedName name="FDD_59_105" hidden="1">"A35079"</definedName>
    <definedName name="FDD_59_106" hidden="1">"A35086"</definedName>
    <definedName name="FDD_59_107" hidden="1">"A35093"</definedName>
    <definedName name="FDD_59_108" hidden="1">"A35100"</definedName>
    <definedName name="FDD_59_109" hidden="1">"A35107"</definedName>
    <definedName name="FDD_59_11" hidden="1">"A34699"</definedName>
    <definedName name="FDD_59_110" hidden="1">"A35114"</definedName>
    <definedName name="FDD_59_111" hidden="1">"A35121"</definedName>
    <definedName name="FDD_59_112" hidden="1">"A35128"</definedName>
    <definedName name="FDD_59_113" hidden="1">"A35135"</definedName>
    <definedName name="FDD_59_114" hidden="1">"A35141"</definedName>
    <definedName name="FDD_59_115" hidden="1">"A35149"</definedName>
    <definedName name="FDD_59_116" hidden="1">"A35156"</definedName>
    <definedName name="FDD_59_117" hidden="1">"A35163"</definedName>
    <definedName name="FDD_59_118" hidden="1">"A35170"</definedName>
    <definedName name="FDD_59_119" hidden="1">"A35177"</definedName>
    <definedName name="FDD_59_12" hidden="1">"A35064"</definedName>
    <definedName name="FDD_59_120" hidden="1">"A35184"</definedName>
    <definedName name="FDD_59_121" hidden="1">"A35192"</definedName>
    <definedName name="FDD_59_122" hidden="1">"A35198"</definedName>
    <definedName name="FDD_59_123" hidden="1">"A35205"</definedName>
    <definedName name="FDD_59_124" hidden="1">"A35213"</definedName>
    <definedName name="FDD_59_125" hidden="1">"A35219"</definedName>
    <definedName name="FDD_59_126" hidden="1">"A35226"</definedName>
    <definedName name="FDD_59_127" hidden="1">"A35233"</definedName>
    <definedName name="FDD_59_128" hidden="1">"A35240"</definedName>
    <definedName name="FDD_59_129" hidden="1">"A35247"</definedName>
    <definedName name="FDD_59_13" hidden="1">"A35430"</definedName>
    <definedName name="FDD_59_130" hidden="1">"A35254"</definedName>
    <definedName name="FDD_59_131" hidden="1">"A35261"</definedName>
    <definedName name="FDD_59_132" hidden="1">"A35268"</definedName>
    <definedName name="FDD_59_133" hidden="1">"A35275"</definedName>
    <definedName name="FDD_59_134" hidden="1">"A35282"</definedName>
    <definedName name="FDD_59_135" hidden="1">"A35289"</definedName>
    <definedName name="FDD_59_136" hidden="1">"A35296"</definedName>
    <definedName name="FDD_59_137" hidden="1">"A35303"</definedName>
    <definedName name="FDD_59_138" hidden="1">"A35310"</definedName>
    <definedName name="FDD_59_139" hidden="1">"A35317"</definedName>
    <definedName name="FDD_59_14" hidden="1">"A35795"</definedName>
    <definedName name="FDD_59_140" hidden="1">"A35324"</definedName>
    <definedName name="FDD_59_141" hidden="1">"A35331"</definedName>
    <definedName name="FDD_59_142" hidden="1">"A35338"</definedName>
    <definedName name="FDD_59_143" hidden="1">"A35345"</definedName>
    <definedName name="FDD_59_144" hidden="1">"A35352"</definedName>
    <definedName name="FDD_59_145" hidden="1">"A35359"</definedName>
    <definedName name="FDD_59_146" hidden="1">"A35366"</definedName>
    <definedName name="FDD_59_147" hidden="1">"A35373"</definedName>
    <definedName name="FDD_59_148" hidden="1">"A35380"</definedName>
    <definedName name="FDD_59_149" hidden="1">"A35387"</definedName>
    <definedName name="FDD_59_15" hidden="1">"A34449"</definedName>
    <definedName name="FDD_59_150" hidden="1">"A35394"</definedName>
    <definedName name="FDD_59_151" hidden="1">"A35401"</definedName>
    <definedName name="FDD_59_152" hidden="1">"A35408"</definedName>
    <definedName name="FDD_59_153" hidden="1">"A35415"</definedName>
    <definedName name="FDD_59_154" hidden="1">"A35422"</definedName>
    <definedName name="FDD_59_155" hidden="1">"A35429"</definedName>
    <definedName name="FDD_59_156" hidden="1">"A35436"</definedName>
    <definedName name="FDD_59_157" hidden="1">"A35443"</definedName>
    <definedName name="FDD_59_158" hidden="1">"A35450"</definedName>
    <definedName name="FDD_59_159" hidden="1">"A35457"</definedName>
    <definedName name="FDD_59_16" hidden="1">"A34457"</definedName>
    <definedName name="FDD_59_160" hidden="1">"A35464"</definedName>
    <definedName name="FDD_59_161" hidden="1">"A35471"</definedName>
    <definedName name="FDD_59_162" hidden="1">"A35478"</definedName>
    <definedName name="FDD_59_163" hidden="1">"A35485"</definedName>
    <definedName name="FDD_59_164" hidden="1">"A35492"</definedName>
    <definedName name="FDD_59_165" hidden="1">"A35499"</definedName>
    <definedName name="FDD_59_166" hidden="1">"A35506"</definedName>
    <definedName name="FDD_59_167" hidden="1">"A35513"</definedName>
    <definedName name="FDD_59_168" hidden="1">"A35521"</definedName>
    <definedName name="FDD_59_169" hidden="1">"A35527"</definedName>
    <definedName name="FDD_59_17" hidden="1">"A34463"</definedName>
    <definedName name="FDD_59_170" hidden="1">"A35534"</definedName>
    <definedName name="FDD_59_171" hidden="1">"A35541"</definedName>
    <definedName name="FDD_59_172" hidden="1">"A35548"</definedName>
    <definedName name="FDD_59_173" hidden="1">"A35556"</definedName>
    <definedName name="FDD_59_174" hidden="1">"A35562"</definedName>
    <definedName name="FDD_59_175" hidden="1">"A35569"</definedName>
    <definedName name="FDD_59_176" hidden="1">"A35577"</definedName>
    <definedName name="FDD_59_177" hidden="1">"A35583"</definedName>
    <definedName name="FDD_59_178" hidden="1">"A35590"</definedName>
    <definedName name="FDD_59_179" hidden="1">"A35597"</definedName>
    <definedName name="FDD_59_18" hidden="1">"A34470"</definedName>
    <definedName name="FDD_59_180" hidden="1">"A35604"</definedName>
    <definedName name="FDD_59_181" hidden="1">"A35611"</definedName>
    <definedName name="FDD_59_182" hidden="1">"A35618"</definedName>
    <definedName name="FDD_59_183" hidden="1">"A35625"</definedName>
    <definedName name="FDD_59_184" hidden="1">"A35632"</definedName>
    <definedName name="FDD_59_185" hidden="1">"A35639"</definedName>
    <definedName name="FDD_59_186" hidden="1">"A35646"</definedName>
    <definedName name="FDD_59_187" hidden="1">"A35653"</definedName>
    <definedName name="FDD_59_188" hidden="1">"A35660"</definedName>
    <definedName name="FDD_59_189" hidden="1">"A35668"</definedName>
    <definedName name="FDD_59_19" hidden="1">"A34477"</definedName>
    <definedName name="FDD_59_190" hidden="1">"A35674"</definedName>
    <definedName name="FDD_59_191" hidden="1">"A35681"</definedName>
    <definedName name="FDD_59_192" hidden="1">"A35688"</definedName>
    <definedName name="FDD_59_193" hidden="1">"A35695"</definedName>
    <definedName name="FDD_59_194" hidden="1">"A35702"</definedName>
    <definedName name="FDD_59_195" hidden="1">"A35709"</definedName>
    <definedName name="FDD_59_196" hidden="1">"A35716"</definedName>
    <definedName name="FDD_59_197" hidden="1">"A35723"</definedName>
    <definedName name="FDD_59_198" hidden="1">"A35730"</definedName>
    <definedName name="FDD_59_199" hidden="1">"A35737"</definedName>
    <definedName name="FDD_59_2" hidden="1">"A31412"</definedName>
    <definedName name="FDD_59_20" hidden="1">"A34485"</definedName>
    <definedName name="FDD_59_200" hidden="1">"A35744"</definedName>
    <definedName name="FDD_59_201" hidden="1">"A35751"</definedName>
    <definedName name="FDD_59_202" hidden="1">"A35758"</definedName>
    <definedName name="FDD_59_203" hidden="1">"A35765"</definedName>
    <definedName name="FDD_59_204" hidden="1">"A35772"</definedName>
    <definedName name="FDD_59_205" hidden="1">"A35779"</definedName>
    <definedName name="FDD_59_206" hidden="1">"A35786"</definedName>
    <definedName name="FDD_59_207" hidden="1">"A35793"</definedName>
    <definedName name="FDD_59_208" hidden="1">"A35800"</definedName>
    <definedName name="FDD_59_209" hidden="1">"A35807"</definedName>
    <definedName name="FDD_59_21" hidden="1">"A34491"</definedName>
    <definedName name="FDD_59_210" hidden="1">"A35814"</definedName>
    <definedName name="FDD_59_211" hidden="1">"A35821"</definedName>
    <definedName name="FDD_59_212" hidden="1">"A35828"</definedName>
    <definedName name="FDD_59_213" hidden="1">"A35835"</definedName>
    <definedName name="FDD_59_214" hidden="1">"A35842"</definedName>
    <definedName name="FDD_59_215" hidden="1">"A35849"</definedName>
    <definedName name="FDD_59_216" hidden="1">"A35856"</definedName>
    <definedName name="FDD_59_217" hidden="1">"A35863"</definedName>
    <definedName name="FDD_59_218" hidden="1">"A35870"</definedName>
    <definedName name="FDD_59_219" hidden="1">"A35877"</definedName>
    <definedName name="FDD_59_22" hidden="1">"A34498"</definedName>
    <definedName name="FDD_59_220" hidden="1">"A35884"</definedName>
    <definedName name="FDD_59_221" hidden="1">"A35891"</definedName>
    <definedName name="FDD_59_222" hidden="1">"A35899"</definedName>
    <definedName name="FDD_59_223" hidden="1">"A35905"</definedName>
    <definedName name="FDD_59_224" hidden="1">"A35912"</definedName>
    <definedName name="FDD_59_225" hidden="1">"A35919"</definedName>
    <definedName name="FDD_59_226" hidden="1">"A35926"</definedName>
    <definedName name="FDD_59_227" hidden="1">"A35933"</definedName>
    <definedName name="FDD_59_228" hidden="1">"A35941"</definedName>
    <definedName name="FDD_59_229" hidden="1">"A35947"</definedName>
    <definedName name="FDD_59_23" hidden="1">"A34505"</definedName>
    <definedName name="FDD_59_230" hidden="1">"A35954"</definedName>
    <definedName name="FDD_59_231" hidden="1">"A35961"</definedName>
    <definedName name="FDD_59_232" hidden="1">"A35968"</definedName>
    <definedName name="FDD_59_233" hidden="1">"A35975"</definedName>
    <definedName name="FDD_59_234" hidden="1">"A35982"</definedName>
    <definedName name="FDD_59_235" hidden="1">"A35989"</definedName>
    <definedName name="FDD_59_236" hidden="1">"A35996"</definedName>
    <definedName name="FDD_59_237" hidden="1">"A36003"</definedName>
    <definedName name="FDD_59_238" hidden="1">"A36010"</definedName>
    <definedName name="FDD_59_239" hidden="1">"A36017"</definedName>
    <definedName name="FDD_59_24" hidden="1">"A34512"</definedName>
    <definedName name="FDD_59_240" hidden="1">"A36024"</definedName>
    <definedName name="FDD_59_241" hidden="1">"A36031"</definedName>
    <definedName name="FDD_59_242" hidden="1">"A36039"</definedName>
    <definedName name="FDD_59_243" hidden="1">"A36045"</definedName>
    <definedName name="FDD_59_244" hidden="1">"A36052"</definedName>
    <definedName name="FDD_59_245" hidden="1">"A36059"</definedName>
    <definedName name="FDD_59_246" hidden="1">"A36066"</definedName>
    <definedName name="FDD_59_247" hidden="1">"A36073"</definedName>
    <definedName name="FDD_59_248" hidden="1">"A36080"</definedName>
    <definedName name="FDD_59_249" hidden="1">"A36087"</definedName>
    <definedName name="FDD_59_25" hidden="1">"A34519"</definedName>
    <definedName name="FDD_59_250" hidden="1">"A36094"</definedName>
    <definedName name="FDD_59_251" hidden="1">"A36101"</definedName>
    <definedName name="FDD_59_252" hidden="1">"A36108"</definedName>
    <definedName name="FDD_59_253" hidden="1">"A36116"</definedName>
    <definedName name="FDD_59_254" hidden="1">"A36122"</definedName>
    <definedName name="FDD_59_255" hidden="1">"A36129"</definedName>
    <definedName name="FDD_59_256" hidden="1">"A36136"</definedName>
    <definedName name="FDD_59_257" hidden="1">"A36143"</definedName>
    <definedName name="FDD_59_258" hidden="1">"A36150"</definedName>
    <definedName name="FDD_59_259" hidden="1">"A36157"</definedName>
    <definedName name="FDD_59_26" hidden="1">"A34526"</definedName>
    <definedName name="FDD_59_260" hidden="1">"A36164"</definedName>
    <definedName name="FDD_59_27" hidden="1">"A34533"</definedName>
    <definedName name="FDD_59_28" hidden="1">"A34540"</definedName>
    <definedName name="FDD_59_29" hidden="1">"A34547"</definedName>
    <definedName name="FDD_59_3" hidden="1">"A31777"</definedName>
    <definedName name="FDD_59_30" hidden="1">"A34554"</definedName>
    <definedName name="FDD_59_31" hidden="1">"A34561"</definedName>
    <definedName name="FDD_59_32" hidden="1">"A34568"</definedName>
    <definedName name="FDD_59_33" hidden="1">"A34576"</definedName>
    <definedName name="FDD_59_34" hidden="1">"A34582"</definedName>
    <definedName name="FDD_59_35" hidden="1">"A34589"</definedName>
    <definedName name="FDD_59_36" hidden="1">"A34596"</definedName>
    <definedName name="FDD_59_37" hidden="1">"A34603"</definedName>
    <definedName name="FDD_59_38" hidden="1">"A34610"</definedName>
    <definedName name="FDD_59_39" hidden="1">"A34617"</definedName>
    <definedName name="FDD_59_4" hidden="1">"A32142"</definedName>
    <definedName name="FDD_59_40" hidden="1">"A34624"</definedName>
    <definedName name="FDD_59_41" hidden="1">"A34631"</definedName>
    <definedName name="FDD_59_42" hidden="1">"A34638"</definedName>
    <definedName name="FDD_59_43" hidden="1">"A34645"</definedName>
    <definedName name="FDD_59_44" hidden="1">"A34652"</definedName>
    <definedName name="FDD_59_45" hidden="1">"A34659"</definedName>
    <definedName name="FDD_59_46" hidden="1">"A34666"</definedName>
    <definedName name="FDD_59_47" hidden="1">"A34673"</definedName>
    <definedName name="FDD_59_48" hidden="1">"A34680"</definedName>
    <definedName name="FDD_59_49" hidden="1">"A34687"</definedName>
    <definedName name="FDD_59_5" hidden="1">"A32508"</definedName>
    <definedName name="FDD_59_50" hidden="1">"A34696"</definedName>
    <definedName name="FDD_59_51" hidden="1">"A34702"</definedName>
    <definedName name="FDD_59_52" hidden="1">"A34708"</definedName>
    <definedName name="FDD_59_53" hidden="1">"A34715"</definedName>
    <definedName name="FDD_59_54" hidden="1">"A34722"</definedName>
    <definedName name="FDD_59_55" hidden="1">"A34729"</definedName>
    <definedName name="FDD_59_56" hidden="1">"A34736"</definedName>
    <definedName name="FDD_59_57" hidden="1">"A34743"</definedName>
    <definedName name="FDD_59_58" hidden="1">"A34750"</definedName>
    <definedName name="FDD_59_59" hidden="1">"A34757"</definedName>
    <definedName name="FDD_59_6" hidden="1">"A32873"</definedName>
    <definedName name="FDD_59_60" hidden="1">"A34764"</definedName>
    <definedName name="FDD_59_61" hidden="1">"A34771"</definedName>
    <definedName name="FDD_59_62" hidden="1">"A34778"</definedName>
    <definedName name="FDD_59_63" hidden="1">"A34785"</definedName>
    <definedName name="FDD_59_64" hidden="1">"A34792"</definedName>
    <definedName name="FDD_59_65" hidden="1">"A34799"</definedName>
    <definedName name="FDD_59_66" hidden="1">"A34807"</definedName>
    <definedName name="FDD_59_67" hidden="1">"A34813"</definedName>
    <definedName name="FDD_59_68" hidden="1">"A34820"</definedName>
    <definedName name="FDD_59_69" hidden="1">"A34828"</definedName>
    <definedName name="FDD_59_7" hidden="1">"A33238"</definedName>
    <definedName name="FDD_59_70" hidden="1">"A34834"</definedName>
    <definedName name="FDD_59_71" hidden="1">"A34841"</definedName>
    <definedName name="FDD_59_72" hidden="1">"A34848"</definedName>
    <definedName name="FDD_59_73" hidden="1">"A34855"</definedName>
    <definedName name="FDD_59_74" hidden="1">"A34862"</definedName>
    <definedName name="FDD_59_75" hidden="1">"A34870"</definedName>
    <definedName name="FDD_59_76" hidden="1">"A34876"</definedName>
    <definedName name="FDD_59_77" hidden="1">"A34883"</definedName>
    <definedName name="FDD_59_78" hidden="1">"A34891"</definedName>
    <definedName name="FDD_59_79" hidden="1">"A34897"</definedName>
    <definedName name="FDD_59_8" hidden="1">"A33603"</definedName>
    <definedName name="FDD_59_80" hidden="1">"A34904"</definedName>
    <definedName name="FDD_59_81" hidden="1">"A34911"</definedName>
    <definedName name="FDD_59_82" hidden="1">"A34918"</definedName>
    <definedName name="FDD_59_83" hidden="1">"A34925"</definedName>
    <definedName name="FDD_59_84" hidden="1">"A34932"</definedName>
    <definedName name="FDD_59_85" hidden="1">"A34940"</definedName>
    <definedName name="FDD_59_86" hidden="1">"A34946"</definedName>
    <definedName name="FDD_59_87" hidden="1">"A34953"</definedName>
    <definedName name="FDD_59_88" hidden="1">"A34960"</definedName>
    <definedName name="FDD_59_89" hidden="1">"A34967"</definedName>
    <definedName name="FDD_59_9" hidden="1">"A33969"</definedName>
    <definedName name="FDD_59_90" hidden="1">"A34974"</definedName>
    <definedName name="FDD_59_91" hidden="1">"A34981"</definedName>
    <definedName name="FDD_59_92" hidden="1">"A34988"</definedName>
    <definedName name="FDD_59_93" hidden="1">"A34995"</definedName>
    <definedName name="FDD_59_94" hidden="1">"A35002"</definedName>
    <definedName name="FDD_59_95" hidden="1">"A35009"</definedName>
    <definedName name="FDD_59_96" hidden="1">"A35016"</definedName>
    <definedName name="FDD_59_97" hidden="1">"A35023"</definedName>
    <definedName name="FDD_59_98" hidden="1">"A35030"</definedName>
    <definedName name="FDD_59_99" hidden="1">"A35037"</definedName>
    <definedName name="FDD_6_0" hidden="1">"A25569"</definedName>
    <definedName name="FDD_6_1" hidden="1">"A35795"</definedName>
    <definedName name="FDD_6_2" hidden="1">"E36160"</definedName>
    <definedName name="FDD_6_3" hidden="1">"E36525"</definedName>
    <definedName name="FDD_60_0" hidden="1">"A30681"</definedName>
    <definedName name="FDD_60_1" hidden="1">"A31047"</definedName>
    <definedName name="FDD_60_10" hidden="1">"A34334"</definedName>
    <definedName name="FDD_60_11" hidden="1">"A34699"</definedName>
    <definedName name="FDD_60_12" hidden="1">"A35064"</definedName>
    <definedName name="FDD_60_13" hidden="1">"A35430"</definedName>
    <definedName name="FDD_60_14" hidden="1">"A35795"</definedName>
    <definedName name="FDD_60_2" hidden="1">"A31412"</definedName>
    <definedName name="FDD_60_3" hidden="1">"A31777"</definedName>
    <definedName name="FDD_60_4" hidden="1">"A32142"</definedName>
    <definedName name="FDD_60_5" hidden="1">"A32508"</definedName>
    <definedName name="FDD_60_6" hidden="1">"A32873"</definedName>
    <definedName name="FDD_60_7" hidden="1">"A33238"</definedName>
    <definedName name="FDD_60_8" hidden="1">"A33603"</definedName>
    <definedName name="FDD_60_9" hidden="1">"A33969"</definedName>
    <definedName name="FDD_61_0" hidden="1">"A30681"</definedName>
    <definedName name="FDD_61_1" hidden="1">"A31047"</definedName>
    <definedName name="FDD_61_10" hidden="1">"A34334"</definedName>
    <definedName name="FDD_61_11" hidden="1">"A34699"</definedName>
    <definedName name="FDD_61_12" hidden="1">"A35064"</definedName>
    <definedName name="FDD_61_13" hidden="1">"A35430"</definedName>
    <definedName name="FDD_61_14" hidden="1">"A35795"</definedName>
    <definedName name="FDD_61_2" hidden="1">"A31412"</definedName>
    <definedName name="FDD_61_3" hidden="1">"A31777"</definedName>
    <definedName name="FDD_61_4" hidden="1">"A32142"</definedName>
    <definedName name="FDD_61_5" hidden="1">"A32508"</definedName>
    <definedName name="FDD_61_6" hidden="1">"A32873"</definedName>
    <definedName name="FDD_61_7" hidden="1">"A33238"</definedName>
    <definedName name="FDD_61_8" hidden="1">"A33603"</definedName>
    <definedName name="FDD_61_9" hidden="1">"A33969"</definedName>
    <definedName name="FDD_62_0" hidden="1">"A30681"</definedName>
    <definedName name="FDD_62_1" hidden="1">"A31047"</definedName>
    <definedName name="FDD_62_10" hidden="1">"A34334"</definedName>
    <definedName name="FDD_62_11" hidden="1">"A34699"</definedName>
    <definedName name="FDD_62_12" hidden="1">"A35064"</definedName>
    <definedName name="FDD_62_13" hidden="1">"A35430"</definedName>
    <definedName name="FDD_62_14" hidden="1">"A35795"</definedName>
    <definedName name="FDD_62_2" hidden="1">"A31412"</definedName>
    <definedName name="FDD_62_3" hidden="1">"A31777"</definedName>
    <definedName name="FDD_62_4" hidden="1">"A32142"</definedName>
    <definedName name="FDD_62_5" hidden="1">"A32508"</definedName>
    <definedName name="FDD_62_6" hidden="1">"A32873"</definedName>
    <definedName name="FDD_62_7" hidden="1">"A33238"</definedName>
    <definedName name="FDD_62_8" hidden="1">"A33603"</definedName>
    <definedName name="FDD_62_9" hidden="1">"A33969"</definedName>
    <definedName name="FDD_63_0" hidden="1">"A30681"</definedName>
    <definedName name="FDD_63_1" hidden="1">"A31047"</definedName>
    <definedName name="FDD_63_10" hidden="1">"A34334"</definedName>
    <definedName name="FDD_63_11" hidden="1">"A34699"</definedName>
    <definedName name="FDD_63_12" hidden="1">"A35064"</definedName>
    <definedName name="FDD_63_13" hidden="1">"A35430"</definedName>
    <definedName name="FDD_63_14" hidden="1">"A35795"</definedName>
    <definedName name="FDD_63_2" hidden="1">"A31412"</definedName>
    <definedName name="FDD_63_3" hidden="1">"A31777"</definedName>
    <definedName name="FDD_63_4" hidden="1">"A32142"</definedName>
    <definedName name="FDD_63_5" hidden="1">"A32508"</definedName>
    <definedName name="FDD_63_6" hidden="1">"A32873"</definedName>
    <definedName name="FDD_63_7" hidden="1">"A33238"</definedName>
    <definedName name="FDD_63_8" hidden="1">"A33603"</definedName>
    <definedName name="FDD_63_9" hidden="1">"A33969"</definedName>
    <definedName name="FDD_64_0" hidden="1">"A30681"</definedName>
    <definedName name="FDD_64_1" hidden="1">"A31047"</definedName>
    <definedName name="FDD_64_10" hidden="1">"A34334"</definedName>
    <definedName name="FDD_64_11" hidden="1">"A34699"</definedName>
    <definedName name="FDD_64_12" hidden="1">"A35064"</definedName>
    <definedName name="FDD_64_13" hidden="1">"A35430"</definedName>
    <definedName name="FDD_64_14" hidden="1">"A35795"</definedName>
    <definedName name="FDD_64_2" hidden="1">"A31412"</definedName>
    <definedName name="FDD_64_3" hidden="1">"A31777"</definedName>
    <definedName name="FDD_64_4" hidden="1">"A32142"</definedName>
    <definedName name="FDD_64_5" hidden="1">"A32508"</definedName>
    <definedName name="FDD_64_6" hidden="1">"A32873"</definedName>
    <definedName name="FDD_64_7" hidden="1">"A33238"</definedName>
    <definedName name="FDD_64_8" hidden="1">"A33603"</definedName>
    <definedName name="FDD_64_9" hidden="1">"A33969"</definedName>
    <definedName name="FDD_65_0" hidden="1">"A30681"</definedName>
    <definedName name="FDD_65_1" hidden="1">"A31047"</definedName>
    <definedName name="FDD_65_10" hidden="1">"A34334"</definedName>
    <definedName name="FDD_65_11" hidden="1">"A34699"</definedName>
    <definedName name="FDD_65_12" hidden="1">"A35064"</definedName>
    <definedName name="FDD_65_13" hidden="1">"A35430"</definedName>
    <definedName name="FDD_65_14" hidden="1">"A35795"</definedName>
    <definedName name="FDD_65_2" hidden="1">"A31412"</definedName>
    <definedName name="FDD_65_3" hidden="1">"A31777"</definedName>
    <definedName name="FDD_65_4" hidden="1">"A32142"</definedName>
    <definedName name="FDD_65_5" hidden="1">"A32508"</definedName>
    <definedName name="FDD_65_6" hidden="1">"A32873"</definedName>
    <definedName name="FDD_65_7" hidden="1">"A33238"</definedName>
    <definedName name="FDD_65_8" hidden="1">"A33603"</definedName>
    <definedName name="FDD_65_9" hidden="1">"A33969"</definedName>
    <definedName name="FDD_66_0" hidden="1">"A30681"</definedName>
    <definedName name="FDD_66_1" hidden="1">"A31047"</definedName>
    <definedName name="FDD_66_10" hidden="1">"A34334"</definedName>
    <definedName name="FDD_66_11" hidden="1">"A34699"</definedName>
    <definedName name="FDD_66_12" hidden="1">"A35064"</definedName>
    <definedName name="FDD_66_13" hidden="1">"A35430"</definedName>
    <definedName name="FDD_66_14" hidden="1">"A35795"</definedName>
    <definedName name="FDD_66_2" hidden="1">"A31412"</definedName>
    <definedName name="FDD_66_3" hidden="1">"A31777"</definedName>
    <definedName name="FDD_66_4" hidden="1">"A32142"</definedName>
    <definedName name="FDD_66_5" hidden="1">"A32508"</definedName>
    <definedName name="FDD_66_6" hidden="1">"A32873"</definedName>
    <definedName name="FDD_66_7" hidden="1">"A33238"</definedName>
    <definedName name="FDD_66_8" hidden="1">"A33603"</definedName>
    <definedName name="FDD_66_9" hidden="1">"A33969"</definedName>
    <definedName name="FDD_67_0" hidden="1">"A30681"</definedName>
    <definedName name="FDD_67_1" hidden="1">"A31047"</definedName>
    <definedName name="FDD_67_10" hidden="1">"A34334"</definedName>
    <definedName name="FDD_67_11" hidden="1">"A34699"</definedName>
    <definedName name="FDD_67_12" hidden="1">"A35064"</definedName>
    <definedName name="FDD_67_13" hidden="1">"A35430"</definedName>
    <definedName name="FDD_67_14" hidden="1">"A35795"</definedName>
    <definedName name="FDD_67_2" hidden="1">"A31412"</definedName>
    <definedName name="FDD_67_3" hidden="1">"A31777"</definedName>
    <definedName name="FDD_67_4" hidden="1">"A32142"</definedName>
    <definedName name="FDD_67_5" hidden="1">"A32508"</definedName>
    <definedName name="FDD_67_6" hidden="1">"A32873"</definedName>
    <definedName name="FDD_67_7" hidden="1">"A33238"</definedName>
    <definedName name="FDD_67_8" hidden="1">"A33603"</definedName>
    <definedName name="FDD_67_9" hidden="1">"A33969"</definedName>
    <definedName name="FDD_68_0" hidden="1">"A30681"</definedName>
    <definedName name="FDD_68_1" hidden="1">"A31047"</definedName>
    <definedName name="FDD_68_10" hidden="1">"A34334"</definedName>
    <definedName name="FDD_68_11" hidden="1">"A34699"</definedName>
    <definedName name="FDD_68_12" hidden="1">"A35064"</definedName>
    <definedName name="FDD_68_13" hidden="1">"A35430"</definedName>
    <definedName name="FDD_68_14" hidden="1">"A35795"</definedName>
    <definedName name="FDD_68_2" hidden="1">"A31412"</definedName>
    <definedName name="FDD_68_3" hidden="1">"A31777"</definedName>
    <definedName name="FDD_68_4" hidden="1">"A32142"</definedName>
    <definedName name="FDD_68_5" hidden="1">"A32508"</definedName>
    <definedName name="FDD_68_6" hidden="1">"A32873"</definedName>
    <definedName name="FDD_68_7" hidden="1">"A33238"</definedName>
    <definedName name="FDD_68_8" hidden="1">"A33603"</definedName>
    <definedName name="FDD_68_9" hidden="1">"A33969"</definedName>
    <definedName name="FDD_69_0" hidden="1">"U30681"</definedName>
    <definedName name="FDD_69_1" hidden="1">"A31047"</definedName>
    <definedName name="FDD_69_10" hidden="1">"A34334"</definedName>
    <definedName name="FDD_69_11" hidden="1">"A34699"</definedName>
    <definedName name="FDD_69_12" hidden="1">"A35064"</definedName>
    <definedName name="FDD_69_13" hidden="1">"A35430"</definedName>
    <definedName name="FDD_69_14" hidden="1">"A35795"</definedName>
    <definedName name="FDD_69_2" hidden="1">"A31412"</definedName>
    <definedName name="FDD_69_3" hidden="1">"A31777"</definedName>
    <definedName name="FDD_69_4" hidden="1">"A32142"</definedName>
    <definedName name="FDD_69_5" hidden="1">"A32508"</definedName>
    <definedName name="FDD_69_6" hidden="1">"A32873"</definedName>
    <definedName name="FDD_69_7" hidden="1">"A33238"</definedName>
    <definedName name="FDD_69_8" hidden="1">"A33603"</definedName>
    <definedName name="FDD_69_9" hidden="1">"A33969"</definedName>
    <definedName name="FDD_7_0" hidden="1">"A25569"</definedName>
    <definedName name="FDD_7_1" hidden="1">"E35795"</definedName>
    <definedName name="FDD_7_2" hidden="1">"E36160"</definedName>
    <definedName name="FDD_7_3" hidden="1">"E36525"</definedName>
    <definedName name="FDD_70_0" hidden="1">"A30681"</definedName>
    <definedName name="FDD_70_1" hidden="1">"A31047"</definedName>
    <definedName name="FDD_70_10" hidden="1">"A34334"</definedName>
    <definedName name="FDD_70_11" hidden="1">"A34699"</definedName>
    <definedName name="FDD_70_12" hidden="1">"A35064"</definedName>
    <definedName name="FDD_70_13" hidden="1">"A35430"</definedName>
    <definedName name="FDD_70_14" hidden="1">"A35795"</definedName>
    <definedName name="FDD_70_2" hidden="1">"A31412"</definedName>
    <definedName name="FDD_70_3" hidden="1">"A31777"</definedName>
    <definedName name="FDD_70_4" hidden="1">"A32142"</definedName>
    <definedName name="FDD_70_5" hidden="1">"A32508"</definedName>
    <definedName name="FDD_70_6" hidden="1">"A32873"</definedName>
    <definedName name="FDD_70_7" hidden="1">"A33238"</definedName>
    <definedName name="FDD_70_8" hidden="1">"A33603"</definedName>
    <definedName name="FDD_70_9" hidden="1">"A33969"</definedName>
    <definedName name="FDD_71_0" hidden="1">"A30681"</definedName>
    <definedName name="FDD_71_1" hidden="1">"A31047"</definedName>
    <definedName name="FDD_71_10" hidden="1">"A34334"</definedName>
    <definedName name="FDD_71_11" hidden="1">"A34699"</definedName>
    <definedName name="FDD_71_12" hidden="1">"A35064"</definedName>
    <definedName name="FDD_71_13" hidden="1">"A35430"</definedName>
    <definedName name="FDD_71_14" hidden="1">"A35795"</definedName>
    <definedName name="FDD_71_2" hidden="1">"A31412"</definedName>
    <definedName name="FDD_71_3" hidden="1">"A31777"</definedName>
    <definedName name="FDD_71_4" hidden="1">"A32142"</definedName>
    <definedName name="FDD_71_5" hidden="1">"A32508"</definedName>
    <definedName name="FDD_71_6" hidden="1">"A32873"</definedName>
    <definedName name="FDD_71_7" hidden="1">"A33238"</definedName>
    <definedName name="FDD_71_8" hidden="1">"A33603"</definedName>
    <definedName name="FDD_71_9" hidden="1">"A33969"</definedName>
    <definedName name="FDD_72_0" hidden="1">"A30681"</definedName>
    <definedName name="FDD_72_1" hidden="1">"A31047"</definedName>
    <definedName name="FDD_72_10" hidden="1">"A34334"</definedName>
    <definedName name="FDD_72_11" hidden="1">"A34699"</definedName>
    <definedName name="FDD_72_12" hidden="1">"A35064"</definedName>
    <definedName name="FDD_72_13" hidden="1">"A35430"</definedName>
    <definedName name="FDD_72_14" hidden="1">"A35795"</definedName>
    <definedName name="FDD_72_2" hidden="1">"A31412"</definedName>
    <definedName name="FDD_72_3" hidden="1">"A31777"</definedName>
    <definedName name="FDD_72_4" hidden="1">"A32142"</definedName>
    <definedName name="FDD_72_5" hidden="1">"A32508"</definedName>
    <definedName name="FDD_72_6" hidden="1">"A32873"</definedName>
    <definedName name="FDD_72_7" hidden="1">"A33238"</definedName>
    <definedName name="FDD_72_8" hidden="1">"A33603"</definedName>
    <definedName name="FDD_72_9" hidden="1">"A33969"</definedName>
    <definedName name="FDD_73_0" hidden="1">"A30681"</definedName>
    <definedName name="FDD_73_1" hidden="1">"A31047"</definedName>
    <definedName name="FDD_73_10" hidden="1">"A34334"</definedName>
    <definedName name="FDD_73_11" hidden="1">"A34699"</definedName>
    <definedName name="FDD_73_12" hidden="1">"A35064"</definedName>
    <definedName name="FDD_73_13" hidden="1">"A35430"</definedName>
    <definedName name="FDD_73_14" hidden="1">"A35795"</definedName>
    <definedName name="FDD_73_2" hidden="1">"A31412"</definedName>
    <definedName name="FDD_73_3" hidden="1">"A31777"</definedName>
    <definedName name="FDD_73_4" hidden="1">"A32142"</definedName>
    <definedName name="FDD_73_5" hidden="1">"A32508"</definedName>
    <definedName name="FDD_73_6" hidden="1">"A32873"</definedName>
    <definedName name="FDD_73_7" hidden="1">"A33238"</definedName>
    <definedName name="FDD_73_8" hidden="1">"A33603"</definedName>
    <definedName name="FDD_73_9" hidden="1">"A33969"</definedName>
    <definedName name="FDD_74_0" hidden="1">"A30681"</definedName>
    <definedName name="FDD_74_1" hidden="1">"A31047"</definedName>
    <definedName name="FDD_74_10" hidden="1">"A34334"</definedName>
    <definedName name="FDD_74_11" hidden="1">"A34699"</definedName>
    <definedName name="FDD_74_12" hidden="1">"A35064"</definedName>
    <definedName name="FDD_74_13" hidden="1">"A35430"</definedName>
    <definedName name="FDD_74_14" hidden="1">"A35795"</definedName>
    <definedName name="FDD_74_2" hidden="1">"A31412"</definedName>
    <definedName name="FDD_74_3" hidden="1">"A31777"</definedName>
    <definedName name="FDD_74_4" hidden="1">"A32142"</definedName>
    <definedName name="FDD_74_5" hidden="1">"A32508"</definedName>
    <definedName name="FDD_74_6" hidden="1">"A32873"</definedName>
    <definedName name="FDD_74_7" hidden="1">"A33238"</definedName>
    <definedName name="FDD_74_8" hidden="1">"A33603"</definedName>
    <definedName name="FDD_74_9" hidden="1">"A33969"</definedName>
    <definedName name="FDD_75_0" hidden="1">"A30681"</definedName>
    <definedName name="FDD_75_1" hidden="1">"A31047"</definedName>
    <definedName name="FDD_75_10" hidden="1">"A34334"</definedName>
    <definedName name="FDD_75_11" hidden="1">"A34699"</definedName>
    <definedName name="FDD_75_12" hidden="1">"A35064"</definedName>
    <definedName name="FDD_75_13" hidden="1">"A35430"</definedName>
    <definedName name="FDD_75_14" hidden="1">"A35795"</definedName>
    <definedName name="FDD_75_2" hidden="1">"A31412"</definedName>
    <definedName name="FDD_75_3" hidden="1">"A31777"</definedName>
    <definedName name="FDD_75_4" hidden="1">"A32142"</definedName>
    <definedName name="FDD_75_5" hidden="1">"A32508"</definedName>
    <definedName name="FDD_75_6" hidden="1">"A32873"</definedName>
    <definedName name="FDD_75_7" hidden="1">"A33238"</definedName>
    <definedName name="FDD_75_8" hidden="1">"A33603"</definedName>
    <definedName name="FDD_75_9" hidden="1">"A33969"</definedName>
    <definedName name="FDD_76_0" hidden="1">"A30681"</definedName>
    <definedName name="FDD_76_1" hidden="1">"A31047"</definedName>
    <definedName name="FDD_76_10" hidden="1">"A34334"</definedName>
    <definedName name="FDD_76_11" hidden="1">"A34699"</definedName>
    <definedName name="FDD_76_12" hidden="1">"A35064"</definedName>
    <definedName name="FDD_76_13" hidden="1">"A35430"</definedName>
    <definedName name="FDD_76_14" hidden="1">"A35795"</definedName>
    <definedName name="FDD_76_2" hidden="1">"A31412"</definedName>
    <definedName name="FDD_76_3" hidden="1">"A31777"</definedName>
    <definedName name="FDD_76_4" hidden="1">"A32142"</definedName>
    <definedName name="FDD_76_5" hidden="1">"A32508"</definedName>
    <definedName name="FDD_76_6" hidden="1">"A32873"</definedName>
    <definedName name="FDD_76_7" hidden="1">"A33238"</definedName>
    <definedName name="FDD_76_8" hidden="1">"A33603"</definedName>
    <definedName name="FDD_76_9" hidden="1">"A33969"</definedName>
    <definedName name="FDD_77_0" hidden="1">"A30681"</definedName>
    <definedName name="FDD_77_1" hidden="1">"A31047"</definedName>
    <definedName name="FDD_77_10" hidden="1">"A34334"</definedName>
    <definedName name="FDD_77_11" hidden="1">"A34699"</definedName>
    <definedName name="FDD_77_12" hidden="1">"A35064"</definedName>
    <definedName name="FDD_77_13" hidden="1">"A35430"</definedName>
    <definedName name="FDD_77_14" hidden="1">"A35795"</definedName>
    <definedName name="FDD_77_2" hidden="1">"A31412"</definedName>
    <definedName name="FDD_77_3" hidden="1">"A31777"</definedName>
    <definedName name="FDD_77_4" hidden="1">"A32142"</definedName>
    <definedName name="FDD_77_5" hidden="1">"A32508"</definedName>
    <definedName name="FDD_77_6" hidden="1">"A32873"</definedName>
    <definedName name="FDD_77_7" hidden="1">"A33238"</definedName>
    <definedName name="FDD_77_8" hidden="1">"A33603"</definedName>
    <definedName name="FDD_77_9" hidden="1">"A33969"</definedName>
    <definedName name="FDD_78_0" hidden="1">"A30681"</definedName>
    <definedName name="FDD_78_1" hidden="1">"A31047"</definedName>
    <definedName name="FDD_78_10" hidden="1">"A34334"</definedName>
    <definedName name="FDD_78_11" hidden="1">"A34699"</definedName>
    <definedName name="FDD_78_12" hidden="1">"A35064"</definedName>
    <definedName name="FDD_78_13" hidden="1">"A35430"</definedName>
    <definedName name="FDD_78_14" hidden="1">"A35795"</definedName>
    <definedName name="FDD_78_2" hidden="1">"A31412"</definedName>
    <definedName name="FDD_78_3" hidden="1">"A31777"</definedName>
    <definedName name="FDD_78_4" hidden="1">"A32142"</definedName>
    <definedName name="FDD_78_5" hidden="1">"A32508"</definedName>
    <definedName name="FDD_78_6" hidden="1">"A32873"</definedName>
    <definedName name="FDD_78_7" hidden="1">"A33238"</definedName>
    <definedName name="FDD_78_8" hidden="1">"A33603"</definedName>
    <definedName name="FDD_78_9" hidden="1">"A33969"</definedName>
    <definedName name="FDD_79_0" hidden="1">"A30681"</definedName>
    <definedName name="FDD_79_1" hidden="1">"A31047"</definedName>
    <definedName name="FDD_79_10" hidden="1">"A34334"</definedName>
    <definedName name="FDD_79_11" hidden="1">"A34699"</definedName>
    <definedName name="FDD_79_12" hidden="1">"A35064"</definedName>
    <definedName name="FDD_79_13" hidden="1">"A35430"</definedName>
    <definedName name="FDD_79_14" hidden="1">"A35795"</definedName>
    <definedName name="FDD_79_2" hidden="1">"A31412"</definedName>
    <definedName name="FDD_79_3" hidden="1">"A31777"</definedName>
    <definedName name="FDD_79_4" hidden="1">"A32142"</definedName>
    <definedName name="FDD_79_5" hidden="1">"A32508"</definedName>
    <definedName name="FDD_79_6" hidden="1">"A32873"</definedName>
    <definedName name="FDD_79_7" hidden="1">"A33238"</definedName>
    <definedName name="FDD_79_8" hidden="1">"A33603"</definedName>
    <definedName name="FDD_79_9" hidden="1">"A33969"</definedName>
    <definedName name="FDD_8_0" hidden="1">"A25569"</definedName>
    <definedName name="FDD_8_1" hidden="1">"E35795"</definedName>
    <definedName name="FDD_8_2" hidden="1">"E36160"</definedName>
    <definedName name="FDD_8_3" hidden="1">"E36525"</definedName>
    <definedName name="FDD_80_0" hidden="1">"A30681"</definedName>
    <definedName name="FDD_80_1" hidden="1">"A31047"</definedName>
    <definedName name="FDD_80_10" hidden="1">"A34334"</definedName>
    <definedName name="FDD_80_11" hidden="1">"A34699"</definedName>
    <definedName name="FDD_80_12" hidden="1">"A35064"</definedName>
    <definedName name="FDD_80_13" hidden="1">"A35430"</definedName>
    <definedName name="FDD_80_14" hidden="1">"A35795"</definedName>
    <definedName name="FDD_80_2" hidden="1">"A31412"</definedName>
    <definedName name="FDD_80_3" hidden="1">"A31777"</definedName>
    <definedName name="FDD_80_4" hidden="1">"A32142"</definedName>
    <definedName name="FDD_80_5" hidden="1">"A32508"</definedName>
    <definedName name="FDD_80_6" hidden="1">"A32873"</definedName>
    <definedName name="FDD_80_7" hidden="1">"A33238"</definedName>
    <definedName name="FDD_80_8" hidden="1">"A33603"</definedName>
    <definedName name="FDD_80_9" hidden="1">"A33969"</definedName>
    <definedName name="FDD_81_0" hidden="1">"A30681"</definedName>
    <definedName name="FDD_81_1" hidden="1">"A31047"</definedName>
    <definedName name="FDD_81_10" hidden="1">"A34334"</definedName>
    <definedName name="FDD_81_11" hidden="1">"A34699"</definedName>
    <definedName name="FDD_81_12" hidden="1">"A35064"</definedName>
    <definedName name="FDD_81_13" hidden="1">"A35430"</definedName>
    <definedName name="FDD_81_14" hidden="1">"A35795"</definedName>
    <definedName name="FDD_81_2" hidden="1">"A31412"</definedName>
    <definedName name="FDD_81_3" hidden="1">"A31777"</definedName>
    <definedName name="FDD_81_4" hidden="1">"A32142"</definedName>
    <definedName name="FDD_81_5" hidden="1">"A32508"</definedName>
    <definedName name="FDD_81_6" hidden="1">"A32873"</definedName>
    <definedName name="FDD_81_7" hidden="1">"A33238"</definedName>
    <definedName name="FDD_81_8" hidden="1">"A33603"</definedName>
    <definedName name="FDD_81_9" hidden="1">"A33969"</definedName>
    <definedName name="FDD_82_0" hidden="1">"A30681"</definedName>
    <definedName name="FDD_82_1" hidden="1">"A31047"</definedName>
    <definedName name="FDD_82_10" hidden="1">"A34334"</definedName>
    <definedName name="FDD_82_11" hidden="1">"A34699"</definedName>
    <definedName name="FDD_82_12" hidden="1">"A35064"</definedName>
    <definedName name="FDD_82_13" hidden="1">"A35430"</definedName>
    <definedName name="FDD_82_14" hidden="1">"A35795"</definedName>
    <definedName name="FDD_82_2" hidden="1">"A31412"</definedName>
    <definedName name="FDD_82_3" hidden="1">"A31777"</definedName>
    <definedName name="FDD_82_4" hidden="1">"A32142"</definedName>
    <definedName name="FDD_82_5" hidden="1">"A32508"</definedName>
    <definedName name="FDD_82_6" hidden="1">"A32873"</definedName>
    <definedName name="FDD_82_7" hidden="1">"A33238"</definedName>
    <definedName name="FDD_82_8" hidden="1">"A33603"</definedName>
    <definedName name="FDD_82_9" hidden="1">"A33969"</definedName>
    <definedName name="FDD_83_0" hidden="1">"A30681"</definedName>
    <definedName name="FDD_83_1" hidden="1">"A31047"</definedName>
    <definedName name="FDD_83_10" hidden="1">"A34334"</definedName>
    <definedName name="FDD_83_11" hidden="1">"A34699"</definedName>
    <definedName name="FDD_83_12" hidden="1">"A35064"</definedName>
    <definedName name="FDD_83_13" hidden="1">"A35430"</definedName>
    <definedName name="FDD_83_14" hidden="1">"A35795"</definedName>
    <definedName name="FDD_83_2" hidden="1">"A31412"</definedName>
    <definedName name="FDD_83_3" hidden="1">"A31777"</definedName>
    <definedName name="FDD_83_4" hidden="1">"A32142"</definedName>
    <definedName name="FDD_83_5" hidden="1">"A32508"</definedName>
    <definedName name="FDD_83_6" hidden="1">"A32873"</definedName>
    <definedName name="FDD_83_7" hidden="1">"A33238"</definedName>
    <definedName name="FDD_83_8" hidden="1">"A33603"</definedName>
    <definedName name="FDD_83_9" hidden="1">"A33969"</definedName>
    <definedName name="FDD_84_0" hidden="1">"A30681"</definedName>
    <definedName name="FDD_84_1" hidden="1">"A31047"</definedName>
    <definedName name="FDD_84_10" hidden="1">"A34334"</definedName>
    <definedName name="FDD_84_11" hidden="1">"A34699"</definedName>
    <definedName name="FDD_84_12" hidden="1">"A35064"</definedName>
    <definedName name="FDD_84_13" hidden="1">"A35430"</definedName>
    <definedName name="FDD_84_14" hidden="1">"A35795"</definedName>
    <definedName name="FDD_84_2" hidden="1">"A31412"</definedName>
    <definedName name="FDD_84_3" hidden="1">"A31777"</definedName>
    <definedName name="FDD_84_4" hidden="1">"A32142"</definedName>
    <definedName name="FDD_84_5" hidden="1">"A32508"</definedName>
    <definedName name="FDD_84_6" hidden="1">"A32873"</definedName>
    <definedName name="FDD_84_7" hidden="1">"A33238"</definedName>
    <definedName name="FDD_84_8" hidden="1">"A33603"</definedName>
    <definedName name="FDD_84_9" hidden="1">"A33969"</definedName>
    <definedName name="FDD_85_0" hidden="1">"A30681"</definedName>
    <definedName name="FDD_85_1" hidden="1">"A31047"</definedName>
    <definedName name="FDD_85_10" hidden="1">"A34334"</definedName>
    <definedName name="FDD_85_11" hidden="1">"A34699"</definedName>
    <definedName name="FDD_85_12" hidden="1">"A35064"</definedName>
    <definedName name="FDD_85_13" hidden="1">"A35430"</definedName>
    <definedName name="FDD_85_14" hidden="1">"A35795"</definedName>
    <definedName name="FDD_85_2" hidden="1">"A31412"</definedName>
    <definedName name="FDD_85_3" hidden="1">"A31777"</definedName>
    <definedName name="FDD_85_4" hidden="1">"A32142"</definedName>
    <definedName name="FDD_85_5" hidden="1">"A32508"</definedName>
    <definedName name="FDD_85_6" hidden="1">"A32873"</definedName>
    <definedName name="FDD_85_7" hidden="1">"A33238"</definedName>
    <definedName name="FDD_85_8" hidden="1">"A33603"</definedName>
    <definedName name="FDD_85_9" hidden="1">"A33969"</definedName>
    <definedName name="FDD_86_0" hidden="1">"A30681"</definedName>
    <definedName name="FDD_86_1" hidden="1">"A31047"</definedName>
    <definedName name="FDD_86_10" hidden="1">"A34334"</definedName>
    <definedName name="FDD_86_11" hidden="1">"A34699"</definedName>
    <definedName name="FDD_86_12" hidden="1">"A35064"</definedName>
    <definedName name="FDD_86_13" hidden="1">"A35430"</definedName>
    <definedName name="FDD_86_14" hidden="1">"A35795"</definedName>
    <definedName name="FDD_86_2" hidden="1">"A31412"</definedName>
    <definedName name="FDD_86_3" hidden="1">"A31777"</definedName>
    <definedName name="FDD_86_4" hidden="1">"A32142"</definedName>
    <definedName name="FDD_86_5" hidden="1">"A32508"</definedName>
    <definedName name="FDD_86_6" hidden="1">"A32873"</definedName>
    <definedName name="FDD_86_7" hidden="1">"A33238"</definedName>
    <definedName name="FDD_86_8" hidden="1">"A33603"</definedName>
    <definedName name="FDD_86_9" hidden="1">"A33969"</definedName>
    <definedName name="FDD_87_0" hidden="1">"A30681"</definedName>
    <definedName name="FDD_87_1" hidden="1">"A31047"</definedName>
    <definedName name="FDD_87_10" hidden="1">"A34334"</definedName>
    <definedName name="FDD_87_11" hidden="1">"A34699"</definedName>
    <definedName name="FDD_87_12" hidden="1">"A35064"</definedName>
    <definedName name="FDD_87_13" hidden="1">"A35430"</definedName>
    <definedName name="FDD_87_14" hidden="1">"A35795"</definedName>
    <definedName name="FDD_87_2" hidden="1">"A31412"</definedName>
    <definedName name="FDD_87_3" hidden="1">"A31777"</definedName>
    <definedName name="FDD_87_4" hidden="1">"A32142"</definedName>
    <definedName name="FDD_87_5" hidden="1">"A32508"</definedName>
    <definedName name="FDD_87_6" hidden="1">"A32873"</definedName>
    <definedName name="FDD_87_7" hidden="1">"A33238"</definedName>
    <definedName name="FDD_87_8" hidden="1">"A33603"</definedName>
    <definedName name="FDD_87_9" hidden="1">"A33969"</definedName>
    <definedName name="FDD_88_0" hidden="1">"A30681"</definedName>
    <definedName name="FDD_88_1" hidden="1">"A31047"</definedName>
    <definedName name="FDD_88_10" hidden="1">"A34334"</definedName>
    <definedName name="FDD_88_11" hidden="1">"A34699"</definedName>
    <definedName name="FDD_88_12" hidden="1">"A35064"</definedName>
    <definedName name="FDD_88_13" hidden="1">"A35430"</definedName>
    <definedName name="FDD_88_14" hidden="1">"A35795"</definedName>
    <definedName name="FDD_88_2" hidden="1">"A31412"</definedName>
    <definedName name="FDD_88_3" hidden="1">"A31777"</definedName>
    <definedName name="FDD_88_4" hidden="1">"A32142"</definedName>
    <definedName name="FDD_88_5" hidden="1">"A32508"</definedName>
    <definedName name="FDD_88_6" hidden="1">"A32873"</definedName>
    <definedName name="FDD_88_7" hidden="1">"A33238"</definedName>
    <definedName name="FDD_88_8" hidden="1">"A33603"</definedName>
    <definedName name="FDD_88_9" hidden="1">"A33969"</definedName>
    <definedName name="FDD_89_0" hidden="1">"A30681"</definedName>
    <definedName name="FDD_89_1" hidden="1">"A31047"</definedName>
    <definedName name="FDD_89_10" hidden="1">"A34334"</definedName>
    <definedName name="FDD_89_11" hidden="1">"A34699"</definedName>
    <definedName name="FDD_89_12" hidden="1">"A35064"</definedName>
    <definedName name="FDD_89_13" hidden="1">"A35430"</definedName>
    <definedName name="FDD_89_14" hidden="1">"A35795"</definedName>
    <definedName name="FDD_89_2" hidden="1">"A31412"</definedName>
    <definedName name="FDD_89_3" hidden="1">"A31777"</definedName>
    <definedName name="FDD_89_4" hidden="1">"A32142"</definedName>
    <definedName name="FDD_89_5" hidden="1">"A32508"</definedName>
    <definedName name="FDD_89_6" hidden="1">"A32873"</definedName>
    <definedName name="FDD_89_7" hidden="1">"A33238"</definedName>
    <definedName name="FDD_89_8" hidden="1">"A33603"</definedName>
    <definedName name="FDD_89_9" hidden="1">"A33969"</definedName>
    <definedName name="FDD_9_0" hidden="1">"A25569"</definedName>
    <definedName name="FDD_9_1" hidden="1">"E35795"</definedName>
    <definedName name="FDD_9_2" hidden="1">"E36160"</definedName>
    <definedName name="FDD_9_3" hidden="1">"E36525"</definedName>
    <definedName name="FDD_90_0" hidden="1">"A30681"</definedName>
    <definedName name="FDD_90_1" hidden="1">"A31047"</definedName>
    <definedName name="FDD_90_10" hidden="1">"A34334"</definedName>
    <definedName name="FDD_90_11" hidden="1">"A34699"</definedName>
    <definedName name="FDD_90_12" hidden="1">"A35064"</definedName>
    <definedName name="FDD_90_13" hidden="1">"A35430"</definedName>
    <definedName name="FDD_90_14" hidden="1">"A35795"</definedName>
    <definedName name="FDD_90_2" hidden="1">"A31412"</definedName>
    <definedName name="FDD_90_3" hidden="1">"A31777"</definedName>
    <definedName name="FDD_90_4" hidden="1">"A32142"</definedName>
    <definedName name="FDD_90_5" hidden="1">"A32508"</definedName>
    <definedName name="FDD_90_6" hidden="1">"A32873"</definedName>
    <definedName name="FDD_90_7" hidden="1">"A33238"</definedName>
    <definedName name="FDD_90_8" hidden="1">"A33603"</definedName>
    <definedName name="FDD_90_9" hidden="1">"A33969"</definedName>
    <definedName name="FDD_91_0" hidden="1">"A30681"</definedName>
    <definedName name="FDD_91_1" hidden="1">"A31047"</definedName>
    <definedName name="FDD_91_10" hidden="1">"A34334"</definedName>
    <definedName name="FDD_91_11" hidden="1">"A34699"</definedName>
    <definedName name="FDD_91_12" hidden="1">"A35064"</definedName>
    <definedName name="FDD_91_13" hidden="1">"A35430"</definedName>
    <definedName name="FDD_91_14" hidden="1">"A35795"</definedName>
    <definedName name="FDD_91_2" hidden="1">"A31412"</definedName>
    <definedName name="FDD_91_3" hidden="1">"A31777"</definedName>
    <definedName name="FDD_91_4" hidden="1">"A32142"</definedName>
    <definedName name="FDD_91_5" hidden="1">"A32508"</definedName>
    <definedName name="FDD_91_6" hidden="1">"A32873"</definedName>
    <definedName name="FDD_91_7" hidden="1">"A33238"</definedName>
    <definedName name="FDD_91_8" hidden="1">"A33603"</definedName>
    <definedName name="FDD_91_9" hidden="1">"A33969"</definedName>
    <definedName name="FDD_92_0" hidden="1">"A30681"</definedName>
    <definedName name="FDD_92_1" hidden="1">"A31047"</definedName>
    <definedName name="FDD_92_10" hidden="1">"A34334"</definedName>
    <definedName name="FDD_92_11" hidden="1">"A34699"</definedName>
    <definedName name="FDD_92_12" hidden="1">"A35064"</definedName>
    <definedName name="FDD_92_13" hidden="1">"A35430"</definedName>
    <definedName name="FDD_92_14" hidden="1">"A35795"</definedName>
    <definedName name="FDD_92_2" hidden="1">"A31412"</definedName>
    <definedName name="FDD_92_3" hidden="1">"A31777"</definedName>
    <definedName name="FDD_92_4" hidden="1">"A32142"</definedName>
    <definedName name="FDD_92_5" hidden="1">"A32508"</definedName>
    <definedName name="FDD_92_6" hidden="1">"A32873"</definedName>
    <definedName name="FDD_92_7" hidden="1">"A33238"</definedName>
    <definedName name="FDD_92_8" hidden="1">"A33603"</definedName>
    <definedName name="FDD_92_9" hidden="1">"A33969"</definedName>
    <definedName name="FDD_93_0" hidden="1">"A30681"</definedName>
    <definedName name="FDD_93_1" hidden="1">"A31047"</definedName>
    <definedName name="FDD_93_10" hidden="1">"A34334"</definedName>
    <definedName name="FDD_93_11" hidden="1">"A34699"</definedName>
    <definedName name="FDD_93_12" hidden="1">"A35064"</definedName>
    <definedName name="FDD_93_13" hidden="1">"A35430"</definedName>
    <definedName name="FDD_93_14" hidden="1">"A35795"</definedName>
    <definedName name="FDD_93_2" hidden="1">"A31412"</definedName>
    <definedName name="FDD_93_3" hidden="1">"A31777"</definedName>
    <definedName name="FDD_93_4" hidden="1">"A32142"</definedName>
    <definedName name="FDD_93_5" hidden="1">"A32508"</definedName>
    <definedName name="FDD_93_6" hidden="1">"A32873"</definedName>
    <definedName name="FDD_93_7" hidden="1">"A33238"</definedName>
    <definedName name="FDD_93_8" hidden="1">"A33603"</definedName>
    <definedName name="FDD_93_9" hidden="1">"A33969"</definedName>
    <definedName name="FDD_94_0" hidden="1">"A30681"</definedName>
    <definedName name="FDD_94_1" hidden="1">"A31047"</definedName>
    <definedName name="FDD_94_10" hidden="1">"A34334"</definedName>
    <definedName name="FDD_94_11" hidden="1">"A34699"</definedName>
    <definedName name="FDD_94_12" hidden="1">"A35064"</definedName>
    <definedName name="FDD_94_13" hidden="1">"A35430"</definedName>
    <definedName name="FDD_94_14" hidden="1">"A35795"</definedName>
    <definedName name="FDD_94_2" hidden="1">"A31412"</definedName>
    <definedName name="FDD_94_3" hidden="1">"A31777"</definedName>
    <definedName name="FDD_94_4" hidden="1">"A32142"</definedName>
    <definedName name="FDD_94_5" hidden="1">"A32508"</definedName>
    <definedName name="FDD_94_6" hidden="1">"A32873"</definedName>
    <definedName name="FDD_94_7" hidden="1">"A33238"</definedName>
    <definedName name="FDD_94_8" hidden="1">"A33603"</definedName>
    <definedName name="FDD_94_9" hidden="1">"A33969"</definedName>
    <definedName name="FDD_95_0" hidden="1">"A30681"</definedName>
    <definedName name="FDD_95_1" hidden="1">"A31047"</definedName>
    <definedName name="FDD_95_10" hidden="1">"A34334"</definedName>
    <definedName name="FDD_95_11" hidden="1">"A34699"</definedName>
    <definedName name="FDD_95_12" hidden="1">"A35064"</definedName>
    <definedName name="FDD_95_13" hidden="1">"A35430"</definedName>
    <definedName name="FDD_95_14" hidden="1">"A35795"</definedName>
    <definedName name="FDD_95_2" hidden="1">"A31412"</definedName>
    <definedName name="FDD_95_3" hidden="1">"A31777"</definedName>
    <definedName name="FDD_95_4" hidden="1">"A32142"</definedName>
    <definedName name="FDD_95_5" hidden="1">"A32508"</definedName>
    <definedName name="FDD_95_6" hidden="1">"A32873"</definedName>
    <definedName name="FDD_95_7" hidden="1">"A33238"</definedName>
    <definedName name="FDD_95_8" hidden="1">"A33603"</definedName>
    <definedName name="FDD_95_9" hidden="1">"A33969"</definedName>
    <definedName name="FDD_96_0" hidden="1">"U30681"</definedName>
    <definedName name="FDD_96_1" hidden="1">"A31047"</definedName>
    <definedName name="FDD_96_10" hidden="1">"A34334"</definedName>
    <definedName name="FDD_96_11" hidden="1">"A34699"</definedName>
    <definedName name="FDD_96_12" hidden="1">"A35064"</definedName>
    <definedName name="FDD_96_13" hidden="1">"A35430"</definedName>
    <definedName name="FDD_96_14" hidden="1">"A35795"</definedName>
    <definedName name="FDD_96_2" hidden="1">"A31412"</definedName>
    <definedName name="FDD_96_3" hidden="1">"A31777"</definedName>
    <definedName name="FDD_96_4" hidden="1">"A32142"</definedName>
    <definedName name="FDD_96_5" hidden="1">"A32508"</definedName>
    <definedName name="FDD_96_6" hidden="1">"A32873"</definedName>
    <definedName name="FDD_96_7" hidden="1">"A33238"</definedName>
    <definedName name="FDD_96_8" hidden="1">"A33603"</definedName>
    <definedName name="FDD_96_9" hidden="1">"A33969"</definedName>
    <definedName name="FDD_97_0" hidden="1">"U30681"</definedName>
    <definedName name="FDD_97_1" hidden="1">"A31047"</definedName>
    <definedName name="FDD_97_10" hidden="1">"A34334"</definedName>
    <definedName name="FDD_97_11" hidden="1">"A34699"</definedName>
    <definedName name="FDD_97_12" hidden="1">"A35064"</definedName>
    <definedName name="FDD_97_13" hidden="1">"A35430"</definedName>
    <definedName name="FDD_97_14" hidden="1">"A35795"</definedName>
    <definedName name="FDD_97_2" hidden="1">"A31412"</definedName>
    <definedName name="FDD_97_3" hidden="1">"A31777"</definedName>
    <definedName name="FDD_97_4" hidden="1">"A32142"</definedName>
    <definedName name="FDD_97_5" hidden="1">"A32508"</definedName>
    <definedName name="FDD_97_6" hidden="1">"A32873"</definedName>
    <definedName name="FDD_97_7" hidden="1">"A33238"</definedName>
    <definedName name="FDD_97_8" hidden="1">"A33603"</definedName>
    <definedName name="FDD_97_9" hidden="1">"A33969"</definedName>
    <definedName name="FDD_98_0" hidden="1">"U30681"</definedName>
    <definedName name="FDD_98_1" hidden="1">"A31047"</definedName>
    <definedName name="FDD_98_10" hidden="1">"A34334"</definedName>
    <definedName name="FDD_98_11" hidden="1">"A34699"</definedName>
    <definedName name="FDD_98_12" hidden="1">"A35064"</definedName>
    <definedName name="FDD_98_13" hidden="1">"A35430"</definedName>
    <definedName name="FDD_98_14" hidden="1">"A35795"</definedName>
    <definedName name="FDD_98_2" hidden="1">"A31412"</definedName>
    <definedName name="FDD_98_3" hidden="1">"A31777"</definedName>
    <definedName name="FDD_98_4" hidden="1">"A32142"</definedName>
    <definedName name="FDD_98_5" hidden="1">"A32508"</definedName>
    <definedName name="FDD_98_6" hidden="1">"A32873"</definedName>
    <definedName name="FDD_98_7" hidden="1">"A33238"</definedName>
    <definedName name="FDD_98_8" hidden="1">"A33603"</definedName>
    <definedName name="FDD_98_9" hidden="1">"A33969"</definedName>
    <definedName name="FDD_99_0" hidden="1">"U30681"</definedName>
    <definedName name="FDD_99_1" hidden="1">"A31047"</definedName>
    <definedName name="FDD_99_10" hidden="1">"A34334"</definedName>
    <definedName name="FDD_99_11" hidden="1">"A34699"</definedName>
    <definedName name="FDD_99_12" hidden="1">"A35064"</definedName>
    <definedName name="FDD_99_13" hidden="1">"A35430"</definedName>
    <definedName name="FDD_99_14" hidden="1">"A35795"</definedName>
    <definedName name="FDD_99_2" hidden="1">"A31412"</definedName>
    <definedName name="FDD_99_3" hidden="1">"A31777"</definedName>
    <definedName name="FDD_99_4" hidden="1">"A32142"</definedName>
    <definedName name="FDD_99_5" hidden="1">"A32508"</definedName>
    <definedName name="FDD_99_6" hidden="1">"A32873"</definedName>
    <definedName name="FDD_99_7" hidden="1">"A33238"</definedName>
    <definedName name="FDD_99_8" hidden="1">"A33603"</definedName>
    <definedName name="FDD_99_9" hidden="1">"A33969"</definedName>
    <definedName name="FDP_0_1_aUrv" hidden="1">#REF!</definedName>
    <definedName name="FDP_1_1_aUrv" hidden="1">#REF!</definedName>
    <definedName name="FDP_10_1_aDrv" hidden="1">#REF!</definedName>
    <definedName name="FDP_10_1_aUrv" hidden="1">#REF!</definedName>
    <definedName name="FDP_100_1_aUrv" hidden="1">#REF!</definedName>
    <definedName name="FDP_101_1_aUrv" hidden="1">#REF!</definedName>
    <definedName name="FDP_102_1_aUrv" hidden="1">#REF!</definedName>
    <definedName name="FDP_103_1_aUrv" hidden="1">#REF!</definedName>
    <definedName name="FDP_104_1_aUrv" hidden="1">#REF!</definedName>
    <definedName name="FDP_105_1_aUrv" hidden="1">#REF!</definedName>
    <definedName name="FDP_106_1_aUrv" hidden="1">#REF!</definedName>
    <definedName name="FDP_107_1_aSrv" hidden="1">#REF!</definedName>
    <definedName name="FDP_107_1_aUrv" hidden="1">#REF!</definedName>
    <definedName name="FDP_108_1_aSrv" hidden="1">#REF!</definedName>
    <definedName name="FDP_108_1_aUrv" hidden="1">#REF!</definedName>
    <definedName name="FDP_109_1_aUrv" hidden="1">#REF!</definedName>
    <definedName name="FDP_11_1_aDrv" hidden="1">#REF!</definedName>
    <definedName name="FDP_11_1_aUrv" hidden="1">#REF!</definedName>
    <definedName name="FDP_110_1_aUrv" hidden="1">#REF!</definedName>
    <definedName name="FDP_111_1_aUrv" hidden="1">#REF!</definedName>
    <definedName name="FDP_112_1_aUrv" hidden="1">#REF!</definedName>
    <definedName name="FDP_113_1_aUrv" hidden="1">#REF!</definedName>
    <definedName name="FDP_114_1_aUrv" hidden="1">#REF!</definedName>
    <definedName name="FDP_115_1_aUrv" hidden="1">#REF!</definedName>
    <definedName name="FDP_116_1_aUrv" hidden="1">#REF!</definedName>
    <definedName name="FDP_117_1_aUrv" hidden="1">#REF!</definedName>
    <definedName name="FDP_118_1_aUrv" hidden="1">#REF!</definedName>
    <definedName name="FDP_119_1_aUrv" hidden="1">#REF!</definedName>
    <definedName name="FDP_12_1_aDrv" hidden="1">#REF!</definedName>
    <definedName name="FDP_12_1_aUrv" hidden="1">#REF!</definedName>
    <definedName name="FDP_120_1_aSrv" hidden="1">#REF!</definedName>
    <definedName name="FDP_120_1_aUrv" hidden="1">#REF!</definedName>
    <definedName name="FDP_121_1_aSrv" hidden="1">#REF!</definedName>
    <definedName name="FDP_121_1_aUrv" hidden="1">#REF!</definedName>
    <definedName name="FDP_122_1_aUrv" hidden="1">#REF!</definedName>
    <definedName name="FDP_123_1_aUrv" hidden="1">#REF!</definedName>
    <definedName name="FDP_124_1_aUrv" hidden="1">#REF!</definedName>
    <definedName name="FDP_125_1_aUrv" hidden="1">#REF!</definedName>
    <definedName name="FDP_126_1_aUrv" hidden="1">#REF!</definedName>
    <definedName name="FDP_127_1_aUrv" hidden="1">#REF!</definedName>
    <definedName name="FDP_128_1_aUrv" hidden="1">#REF!</definedName>
    <definedName name="FDP_129_1_aSrv" hidden="1">#REF!</definedName>
    <definedName name="FDP_129_1_aUrv" hidden="1">#REF!</definedName>
    <definedName name="FDP_13_1_aUrv" hidden="1">#REF!</definedName>
    <definedName name="FDP_130_1_aUrv" hidden="1">#REF!</definedName>
    <definedName name="FDP_131_1_aSrv" hidden="1">#REF!</definedName>
    <definedName name="FDP_131_1_aUrv" hidden="1">#REF!</definedName>
    <definedName name="FDP_132_1_aUrv" hidden="1">#REF!</definedName>
    <definedName name="FDP_133_1_aUrv" hidden="1">#REF!</definedName>
    <definedName name="FDP_134_1_aUrv" hidden="1">#REF!</definedName>
    <definedName name="FDP_135_1_aUrv" hidden="1">#REF!</definedName>
    <definedName name="FDP_136_1_aSrv" hidden="1">#REF!</definedName>
    <definedName name="FDP_136_1_aUrv" hidden="1">#REF!</definedName>
    <definedName name="FDP_137_1_aSrv" hidden="1">#REF!</definedName>
    <definedName name="FDP_137_1_aUrv" hidden="1">#REF!</definedName>
    <definedName name="FDP_138_1_aSrv" hidden="1">#REF!</definedName>
    <definedName name="FDP_138_1_aUrv" hidden="1">#REF!</definedName>
    <definedName name="FDP_139_1_aUrv" hidden="1">#REF!</definedName>
    <definedName name="FDP_14_1_aSrv" hidden="1">#REF!</definedName>
    <definedName name="FDP_14_1_aUrv" hidden="1">#REF!</definedName>
    <definedName name="FDP_140_1_aUrv" hidden="1">#REF!</definedName>
    <definedName name="FDP_141_1_aSrv" hidden="1">#REF!</definedName>
    <definedName name="FDP_141_1_aUrv" hidden="1">#REF!</definedName>
    <definedName name="FDP_142_1_aUrv" hidden="1">#REF!</definedName>
    <definedName name="FDP_143_1_aSrv" hidden="1">#REF!</definedName>
    <definedName name="FDP_143_1_aUrv" hidden="1">#REF!</definedName>
    <definedName name="FDP_144_1_aSrv" hidden="1">#REF!</definedName>
    <definedName name="FDP_144_1_aUrv" hidden="1">#REF!</definedName>
    <definedName name="FDP_145_1_aSrv" hidden="1">#REF!</definedName>
    <definedName name="FDP_145_1_aUrv" hidden="1">#REF!</definedName>
    <definedName name="FDP_146_1_aSrv" hidden="1">#REF!</definedName>
    <definedName name="FDP_146_1_aUrv" hidden="1">#REF!</definedName>
    <definedName name="FDP_147_1_aSrv" hidden="1">#REF!</definedName>
    <definedName name="FDP_147_1_aUrv" hidden="1">#REF!</definedName>
    <definedName name="FDP_148_1_aSrv" hidden="1">#REF!</definedName>
    <definedName name="FDP_148_1_aUrv" hidden="1">#REF!</definedName>
    <definedName name="FDP_149_1_aSrv" hidden="1">#REF!</definedName>
    <definedName name="FDP_149_1_aUrv" hidden="1">#REF!</definedName>
    <definedName name="FDP_15_1_aUrv" hidden="1">#REF!</definedName>
    <definedName name="FDP_150_1_aSrv" hidden="1">#REF!</definedName>
    <definedName name="FDP_150_1_aUrv" hidden="1">#REF!</definedName>
    <definedName name="FDP_151_1_aUrv" hidden="1">#REF!</definedName>
    <definedName name="FDP_152_1_aSrv" hidden="1">#REF!</definedName>
    <definedName name="FDP_152_1_aUrv" hidden="1">#REF!</definedName>
    <definedName name="FDP_153_1_aUrv" hidden="1">#REF!</definedName>
    <definedName name="FDP_154_1_aSrv" hidden="1">#REF!</definedName>
    <definedName name="FDP_154_1_aUrv" hidden="1">#REF!</definedName>
    <definedName name="FDP_155_1_aUrv" hidden="1">#REF!</definedName>
    <definedName name="FDP_156_1_aDrv" hidden="1">#REF!</definedName>
    <definedName name="FDP_156_1_aSrv" hidden="1">#REF!</definedName>
    <definedName name="FDP_156_1_aUrv" hidden="1">#REF!</definedName>
    <definedName name="FDP_157_1_aUrv" hidden="1">#REF!</definedName>
    <definedName name="FDP_158_1_aSrv" hidden="1">#REF!</definedName>
    <definedName name="FDP_158_1_aUrv" hidden="1">#REF!</definedName>
    <definedName name="FDP_159_1_aUrv" hidden="1">#REF!</definedName>
    <definedName name="FDP_16_1_aUrv" hidden="1">#REF!</definedName>
    <definedName name="FDP_160_1_aSrv" hidden="1">#REF!</definedName>
    <definedName name="FDP_160_1_aUrv" hidden="1">#REF!</definedName>
    <definedName name="FDP_161_1_aDrv" hidden="1">#REF!</definedName>
    <definedName name="FDP_161_1_aUrv" hidden="1">#REF!</definedName>
    <definedName name="FDP_162_1_aDrv" hidden="1">#REF!</definedName>
    <definedName name="FDP_162_1_aUrv" hidden="1">#REF!</definedName>
    <definedName name="FDP_163_1_aDrv" hidden="1">#REF!</definedName>
    <definedName name="FDP_163_1_aUrv" hidden="1">#REF!</definedName>
    <definedName name="FDP_164_1_aDrv" hidden="1">#REF!</definedName>
    <definedName name="FDP_164_1_aUrv" hidden="1">#REF!</definedName>
    <definedName name="FDP_165_1_aDrv" hidden="1">#REF!</definedName>
    <definedName name="FDP_165_1_aUrv" hidden="1">#REF!</definedName>
    <definedName name="FDP_166_1_aDrv" hidden="1">#REF!</definedName>
    <definedName name="FDP_166_1_aUrv" hidden="1">#REF!</definedName>
    <definedName name="FDP_167_1_aDrv" hidden="1">#REF!</definedName>
    <definedName name="FDP_167_1_aUrv" hidden="1">#REF!</definedName>
    <definedName name="FDP_168_1_aDrv" hidden="1">#REF!</definedName>
    <definedName name="FDP_168_1_aSrv" hidden="1">#REF!</definedName>
    <definedName name="FDP_169_1_aDrv" hidden="1">#REF!</definedName>
    <definedName name="FDP_169_1_aUrv" hidden="1">#REF!</definedName>
    <definedName name="FDP_17_1_aUrv" hidden="1">#REF!</definedName>
    <definedName name="FDP_170_1_aDrv" hidden="1">#REF!</definedName>
    <definedName name="FDP_170_1_aSrv" hidden="1">#REF!</definedName>
    <definedName name="FDP_171_1_aDrv" hidden="1">#REF!</definedName>
    <definedName name="FDP_171_1_aUrv" hidden="1">#REF!</definedName>
    <definedName name="FDP_172_1_aDrv" hidden="1">#REF!</definedName>
    <definedName name="FDP_172_1_aUrv" hidden="1">#REF!</definedName>
    <definedName name="FDP_173_1_aDrv" hidden="1">#REF!</definedName>
    <definedName name="FDP_173_1_aUrv" hidden="1">#REF!</definedName>
    <definedName name="FDP_174_1_aSrv" hidden="1">#REF!</definedName>
    <definedName name="FDP_174_1_aUrv" hidden="1">#REF!</definedName>
    <definedName name="FDP_175_1_aUrv" hidden="1">#REF!</definedName>
    <definedName name="FDP_176_1_aUrv" hidden="1">#REF!</definedName>
    <definedName name="FDP_177_1_aSrv" hidden="1">#REF!</definedName>
    <definedName name="FDP_177_1_aUrv" hidden="1">#REF!</definedName>
    <definedName name="FDP_178_1_aSrv" hidden="1">#REF!</definedName>
    <definedName name="FDP_178_1_aUrv" hidden="1">#REF!</definedName>
    <definedName name="FDP_179_1_aSrv" hidden="1">#REF!</definedName>
    <definedName name="FDP_179_1_aUrv" hidden="1">#REF!</definedName>
    <definedName name="FDP_18_1_aUrv" hidden="1">#REF!</definedName>
    <definedName name="FDP_180_1_aSrv" hidden="1">#REF!</definedName>
    <definedName name="FDP_180_1_aUdv" hidden="1">#REF!</definedName>
    <definedName name="FDP_181_1_aUdv" hidden="1">#REF!</definedName>
    <definedName name="FDP_181_1_aUrv" hidden="1">#REF!</definedName>
    <definedName name="FDP_182_1_aSrv" hidden="1">#REF!</definedName>
    <definedName name="FDP_182_1_aUdv" hidden="1">#REF!</definedName>
    <definedName name="FDP_182_1_aUrv" hidden="1">#REF!</definedName>
    <definedName name="FDP_183_1_aSrv" hidden="1">#REF!</definedName>
    <definedName name="FDP_183_1_aUdv" hidden="1">#REF!</definedName>
    <definedName name="FDP_184_1_aUdv" hidden="1">#REF!</definedName>
    <definedName name="FDP_184_1_aUrv" hidden="1">#REF!</definedName>
    <definedName name="FDP_185_1_aSrv" hidden="1">#REF!</definedName>
    <definedName name="FDP_185_1_aUdv" hidden="1">#REF!</definedName>
    <definedName name="FDP_185_1_aUrv" hidden="1">#REF!</definedName>
    <definedName name="FDP_186_1_aSrv" hidden="1">#REF!</definedName>
    <definedName name="FDP_186_1_aUdv" hidden="1">#REF!</definedName>
    <definedName name="FDP_186_1_aUrv" hidden="1">#REF!</definedName>
    <definedName name="FDP_187_1_aSrv" hidden="1">#REF!</definedName>
    <definedName name="FDP_187_1_aUdv" hidden="1">#REF!</definedName>
    <definedName name="FDP_187_1_aUrv" hidden="1">#REF!</definedName>
    <definedName name="FDP_188_1_aUdv" hidden="1">#REF!</definedName>
    <definedName name="FDP_188_1_aUrv" hidden="1">#REF!</definedName>
    <definedName name="FDP_189_1_aSrv" hidden="1">#REF!</definedName>
    <definedName name="FDP_189_1_aUdv" hidden="1">#REF!</definedName>
    <definedName name="FDP_189_1_aUrv" hidden="1">#REF!</definedName>
    <definedName name="FDP_19_1_aUrv" hidden="1">#REF!</definedName>
    <definedName name="FDP_190_1_aUdv" hidden="1">#REF!</definedName>
    <definedName name="FDP_190_1_aUrv" hidden="1">#REF!</definedName>
    <definedName name="FDP_191_1_aSrv" hidden="1">#REF!</definedName>
    <definedName name="FDP_191_1_aUdv" hidden="1">#REF!</definedName>
    <definedName name="FDP_191_1_aUrv" hidden="1">#REF!</definedName>
    <definedName name="FDP_192_1_aSrv" hidden="1">#REF!</definedName>
    <definedName name="FDP_192_1_aUdv" hidden="1">#REF!</definedName>
    <definedName name="FDP_192_1_aUrv" hidden="1">#REF!</definedName>
    <definedName name="FDP_193_1_aUdv" hidden="1">#REF!</definedName>
    <definedName name="FDP_193_1_aUrv" hidden="1">#REF!</definedName>
    <definedName name="FDP_194_1_aSrv" hidden="1">#REF!</definedName>
    <definedName name="FDP_194_1_aUdv" hidden="1">#REF!</definedName>
    <definedName name="FDP_194_1_aUrv" hidden="1">#REF!</definedName>
    <definedName name="FDP_195_1_aUdv" hidden="1">#REF!</definedName>
    <definedName name="FDP_195_1_aUrv" hidden="1">#REF!</definedName>
    <definedName name="FDP_196_1_aSrv" hidden="1">#REF!</definedName>
    <definedName name="FDP_196_1_aUdv" hidden="1">#REF!</definedName>
    <definedName name="FDP_196_1_aUrv" hidden="1">#REF!</definedName>
    <definedName name="FDP_196_1aUdv1" hidden="1">#REF!</definedName>
    <definedName name="FDP_197_1_aUdv" hidden="1">#REF!</definedName>
    <definedName name="FDP_197_1_aUrv" hidden="1">#REF!</definedName>
    <definedName name="FDP_198_1_aSrv" hidden="1">#REF!</definedName>
    <definedName name="FDP_198_1_aUdv" hidden="1">#REF!</definedName>
    <definedName name="FDP_198_1_aUrv" hidden="1">#REF!</definedName>
    <definedName name="FDP_199_1_aUdv" hidden="1">#REF!</definedName>
    <definedName name="FDP_199_1_aUrv" hidden="1">#REF!</definedName>
    <definedName name="FDP_2_1_aUrv" hidden="1">#REF!</definedName>
    <definedName name="FDP_20_1_aDrv" hidden="1">#REF!</definedName>
    <definedName name="FDP_20_1_aUrv" hidden="1">#REF!</definedName>
    <definedName name="FDP_200_1_aUrv" hidden="1">#REF!</definedName>
    <definedName name="FDP_201_1_aUrv" hidden="1">#REF!</definedName>
    <definedName name="FDP_202_1_aUrv" hidden="1">#REF!</definedName>
    <definedName name="FDP_203_1_aSrv" hidden="1">#REF!</definedName>
    <definedName name="FDP_203_1_aUrv" hidden="1">#REF!</definedName>
    <definedName name="FDP_204_1_aUrv" hidden="1">#REF!</definedName>
    <definedName name="FDP_205_1_aUrv" hidden="1">#REF!</definedName>
    <definedName name="FDP_206_1_aSrv" hidden="1">#REF!</definedName>
    <definedName name="FDP_206_1_aUrv" hidden="1">#REF!</definedName>
    <definedName name="FDP_207_1_aUrv" hidden="1">#REF!</definedName>
    <definedName name="FDP_208_1_aSrv" hidden="1">#REF!</definedName>
    <definedName name="FDP_208_1_aUrv" hidden="1">#REF!</definedName>
    <definedName name="FDP_209_1_aUrv" hidden="1">#REF!</definedName>
    <definedName name="FDP_21_1_aSrv" hidden="1">#REF!</definedName>
    <definedName name="FDP_21_1_aUrv" hidden="1">#REF!</definedName>
    <definedName name="FDP_210_1_aUrv" hidden="1">#REF!</definedName>
    <definedName name="FDP_211_1_aUrv" hidden="1">#REF!</definedName>
    <definedName name="FDP_212_1_aUrv" hidden="1">#REF!</definedName>
    <definedName name="FDP_213_1_aSrv" hidden="1">#REF!</definedName>
    <definedName name="FDP_213_1_aUrv" hidden="1">#REF!</definedName>
    <definedName name="FDP_214_1_aUrv" hidden="1">#REF!</definedName>
    <definedName name="FDP_215_1_aUrv" hidden="1">#REF!</definedName>
    <definedName name="FDP_216_1_aUrv" hidden="1">#REF!</definedName>
    <definedName name="FDP_217_1_aUrv" hidden="1">#REF!</definedName>
    <definedName name="FDP_218_1_aSrv" hidden="1">#REF!</definedName>
    <definedName name="FDP_218_1_aUrv" hidden="1">#REF!</definedName>
    <definedName name="FDP_219_1_aSrv" hidden="1">#REF!</definedName>
    <definedName name="FDP_219_1_aUrv" hidden="1">#REF!</definedName>
    <definedName name="FDP_22_1_aDrv" hidden="1">#REF!</definedName>
    <definedName name="FDP_22_1_aSrv" hidden="1">#REF!</definedName>
    <definedName name="FDP_22_1_aUrv" hidden="1">#REF!</definedName>
    <definedName name="FDP_220_1_aSrv" hidden="1">#REF!</definedName>
    <definedName name="FDP_220_1_aUrv" hidden="1">#REF!</definedName>
    <definedName name="FDP_221_1_aSrv" hidden="1">#REF!</definedName>
    <definedName name="FDP_221_1_aUrv" hidden="1">#REF!</definedName>
    <definedName name="FDP_222_1_aSrv" hidden="1">#REF!</definedName>
    <definedName name="FDP_222_1_aUrv" hidden="1">#REF!</definedName>
    <definedName name="FDP_223_1_aSrv" hidden="1">#REF!</definedName>
    <definedName name="FDP_223_1_aUrv" hidden="1">#REF!</definedName>
    <definedName name="FDP_224_1_aUrv" hidden="1">#REF!</definedName>
    <definedName name="FDP_225_1_aSrv" hidden="1">#REF!</definedName>
    <definedName name="FDP_225_1_aUrv" hidden="1">#REF!</definedName>
    <definedName name="FDP_226_1_aUrv" hidden="1">#REF!</definedName>
    <definedName name="FDP_227_1_aUrv" hidden="1">#REF!</definedName>
    <definedName name="FDP_228_1_aSrv" hidden="1">#REF!</definedName>
    <definedName name="FDP_228_1_aUrv" hidden="1">#REF!</definedName>
    <definedName name="FDP_229_1_aSrv" hidden="1">#REF!</definedName>
    <definedName name="FDP_229_1_aUrv" hidden="1">#REF!</definedName>
    <definedName name="FDP_23_1_aDrv" hidden="1">#REF!</definedName>
    <definedName name="FDP_23_1_aUrv" hidden="1">#REF!</definedName>
    <definedName name="FDP_230_1_aSrv" hidden="1">#REF!</definedName>
    <definedName name="FDP_230_1_aUrv" hidden="1">#REF!</definedName>
    <definedName name="FDP_231_1_aSrv" hidden="1">#REF!</definedName>
    <definedName name="FDP_231_1_aUrv" hidden="1">#REF!</definedName>
    <definedName name="FDP_232_1_aSrv" hidden="1">#REF!</definedName>
    <definedName name="FDP_232_1_aUrv" hidden="1">#REF!</definedName>
    <definedName name="FDP_233_1_aSrv" hidden="1">#REF!</definedName>
    <definedName name="FDP_233_1_aUrv" hidden="1">#REF!</definedName>
    <definedName name="FDP_234_1_aSrv" hidden="1">#REF!</definedName>
    <definedName name="FDP_234_1_aUrv" hidden="1">#REF!</definedName>
    <definedName name="FDP_235_1_aSrv" hidden="1">#REF!</definedName>
    <definedName name="FDP_235_1_aUrv" hidden="1">#REF!</definedName>
    <definedName name="FDP_236_1_aSrv" hidden="1">#REF!</definedName>
    <definedName name="FDP_236_1_aUrv" hidden="1">#REF!</definedName>
    <definedName name="FDP_237_1_aSrv" hidden="1">#REF!</definedName>
    <definedName name="FDP_237_1_aUrv" hidden="1">#REF!</definedName>
    <definedName name="FDP_238_1_aSrv" hidden="1">#REF!</definedName>
    <definedName name="FDP_239_1_aSrv" hidden="1">#REF!</definedName>
    <definedName name="FDP_24_1_aDrv" hidden="1">#REF!</definedName>
    <definedName name="FDP_24_1_aUrv" hidden="1">#REF!</definedName>
    <definedName name="FDP_240_1_aSrv" hidden="1">#REF!</definedName>
    <definedName name="FDP_241_1_aSrv" hidden="1">#REF!</definedName>
    <definedName name="FDP_242_1_aSrv" hidden="1">#REF!</definedName>
    <definedName name="FDP_243_1_aSrv" hidden="1">#REF!</definedName>
    <definedName name="FDP_244_1_aSrv" hidden="1">#REF!</definedName>
    <definedName name="FDP_245_1_aSrv" hidden="1">#REF!</definedName>
    <definedName name="FDP_246_1_aSrv" hidden="1">#REF!</definedName>
    <definedName name="FDP_247_1_aSrv" hidden="1">#REF!</definedName>
    <definedName name="FDP_248_1_aSrv" hidden="1">#REF!</definedName>
    <definedName name="FDP_249_1_aSrv" hidden="1">#REF!</definedName>
    <definedName name="FDP_25_1_aDrv" hidden="1">#REF!</definedName>
    <definedName name="FDP_25_1_aUrv" hidden="1">#REF!</definedName>
    <definedName name="FDP_250_1_aSrv" hidden="1">#REF!</definedName>
    <definedName name="FDP_251_1_aSrv" hidden="1">#REF!</definedName>
    <definedName name="FDP_252_1_aSrv" hidden="1">#REF!</definedName>
    <definedName name="FDP_253_1_aSrv" hidden="1">#REF!</definedName>
    <definedName name="FDP_254_1_aSrv" hidden="1">#REF!</definedName>
    <definedName name="FDP_255_1_aSrv" hidden="1">#REF!</definedName>
    <definedName name="FDP_256_1_aSrv" hidden="1">#REF!</definedName>
    <definedName name="FDP_257_1_aSrv" hidden="1">#REF!</definedName>
    <definedName name="FDP_258_1_aSrv" hidden="1">#REF!</definedName>
    <definedName name="FDP_259_1_aSrv" hidden="1">#REF!</definedName>
    <definedName name="FDP_26_1_aDrv" hidden="1">#REF!</definedName>
    <definedName name="FDP_26_1_aUrv" hidden="1">#REF!</definedName>
    <definedName name="FDP_260_1_aSrv" hidden="1">#REF!</definedName>
    <definedName name="FDP_261_1_aSrv" hidden="1">#REF!</definedName>
    <definedName name="FDP_262_1_aSrv" hidden="1">#REF!</definedName>
    <definedName name="FDP_263_1_aSrv" hidden="1">#REF!</definedName>
    <definedName name="FDP_264_1_aSrv" hidden="1">#REF!</definedName>
    <definedName name="FDP_264_1_aUrv" hidden="1">#REF!</definedName>
    <definedName name="FDP_265_1_aSrv" hidden="1">#REF!</definedName>
    <definedName name="FDP_265_1_aUrv" hidden="1">#REF!</definedName>
    <definedName name="FDP_266_1_aSrv" hidden="1">#REF!</definedName>
    <definedName name="FDP_266_1_aUrv" hidden="1">#REF!</definedName>
    <definedName name="FDP_267_1_aSrv" hidden="1">#REF!</definedName>
    <definedName name="FDP_267_1_aUrv" hidden="1">#REF!</definedName>
    <definedName name="FDP_268_1_aSrv" hidden="1">#REF!</definedName>
    <definedName name="FDP_268_1_aUrv" hidden="1">#REF!</definedName>
    <definedName name="FDP_269_1_aSrv" hidden="1">#REF!</definedName>
    <definedName name="FDP_269_1_aUrv" hidden="1">#REF!</definedName>
    <definedName name="FDP_27_1_aDrv" hidden="1">#REF!</definedName>
    <definedName name="FDP_27_1_aUrv" hidden="1">#REF!</definedName>
    <definedName name="FDP_270_1_aSrv" hidden="1">#REF!</definedName>
    <definedName name="FDP_270_1_aUrv" hidden="1">#REF!</definedName>
    <definedName name="FDP_271_1_aSrv" hidden="1">#REF!</definedName>
    <definedName name="FDP_271_1_aUrv" hidden="1">#REF!</definedName>
    <definedName name="FDP_272_1_aSrv" hidden="1">#REF!</definedName>
    <definedName name="FDP_272_1_aUrv" hidden="1">#REF!</definedName>
    <definedName name="FDP_273_1_aSrv" hidden="1">#REF!</definedName>
    <definedName name="FDP_273_1_aUrv" hidden="1">#REF!</definedName>
    <definedName name="FDP_274_1_aSrv" hidden="1">#REF!</definedName>
    <definedName name="FDP_274_1_aUrv" hidden="1">#REF!</definedName>
    <definedName name="FDP_275_1_aSrv" hidden="1">#REF!</definedName>
    <definedName name="FDP_275_1_aUrv" hidden="1">#REF!</definedName>
    <definedName name="FDP_276_1_aSrv" hidden="1">#REF!</definedName>
    <definedName name="FDP_276_1_aUrv" hidden="1">#REF!</definedName>
    <definedName name="FDP_277_1_aSrv" hidden="1">#REF!</definedName>
    <definedName name="FDP_277_1_aUrv" hidden="1">#REF!</definedName>
    <definedName name="FDP_278_1_aSrv" hidden="1">#REF!</definedName>
    <definedName name="FDP_278_1_aUrv" hidden="1">#REF!</definedName>
    <definedName name="FDP_279_1_aSrv" hidden="1">#REF!</definedName>
    <definedName name="FDP_28_1_aDrv" hidden="1">#REF!</definedName>
    <definedName name="FDP_28_1_aUrv" hidden="1">#REF!</definedName>
    <definedName name="FDP_280_1_aSrv" hidden="1">#REF!</definedName>
    <definedName name="FDP_281_1_aSrv" hidden="1">#REF!</definedName>
    <definedName name="FDP_282_1_aSrv" hidden="1">#REF!</definedName>
    <definedName name="FDP_283_1_aSrv" hidden="1">#REF!</definedName>
    <definedName name="FDP_284_1_aSrv" hidden="1">#REF!</definedName>
    <definedName name="FDP_285_1_aSrv" hidden="1">#REF!</definedName>
    <definedName name="FDP_286_1_aSrv" hidden="1">#REF!</definedName>
    <definedName name="FDP_287_1_aSrv" hidden="1">#REF!</definedName>
    <definedName name="FDP_288_1_aSrv" hidden="1">#REF!</definedName>
    <definedName name="FDP_289_1_aSrv" hidden="1">#REF!</definedName>
    <definedName name="FDP_29_1_aDrv" hidden="1">#REF!</definedName>
    <definedName name="FDP_29_1_aUrv" hidden="1">#REF!</definedName>
    <definedName name="FDP_290_1_aSrv" hidden="1">#REF!</definedName>
    <definedName name="FDP_291_1_aSrv" hidden="1">#REF!</definedName>
    <definedName name="FDP_292_1_aSrv" hidden="1">#REF!</definedName>
    <definedName name="FDP_293_1_aSrv" hidden="1">#REF!</definedName>
    <definedName name="FDP_294_1_aSrv" hidden="1">#REF!</definedName>
    <definedName name="FDP_295_1_aSrv" hidden="1">#REF!</definedName>
    <definedName name="FDP_296_1_aSrv" hidden="1">#REF!</definedName>
    <definedName name="FDP_297_1_aSrv" hidden="1">#REF!</definedName>
    <definedName name="FDP_298_1_aSrv" hidden="1">#REF!</definedName>
    <definedName name="FDP_299_1_aSrv" hidden="1">#REF!</definedName>
    <definedName name="FDP_3_1_aUrv" hidden="1">#REF!</definedName>
    <definedName name="FDP_30_1_aDrv" hidden="1">#REF!</definedName>
    <definedName name="FDP_30_1_aUrv" hidden="1">#REF!</definedName>
    <definedName name="FDP_300_1_aSrv" hidden="1">#REF!</definedName>
    <definedName name="FDP_301_1_aSrv" hidden="1">#REF!</definedName>
    <definedName name="FDP_302_1_aSrv" hidden="1">#REF!</definedName>
    <definedName name="FDP_303_1_aSrv" hidden="1">#REF!</definedName>
    <definedName name="FDP_304_1_aSrv" hidden="1">#REF!</definedName>
    <definedName name="FDP_305_1_aSrv" hidden="1">#REF!</definedName>
    <definedName name="FDP_306_1_aSrv" hidden="1">#REF!</definedName>
    <definedName name="FDP_307_1_aSrv" hidden="1">#REF!</definedName>
    <definedName name="FDP_308_1_aSrv" hidden="1">#REF!</definedName>
    <definedName name="FDP_309_1_aSrv" hidden="1">#REF!</definedName>
    <definedName name="FDP_31_1_aDrv" hidden="1">#REF!</definedName>
    <definedName name="FDP_31_1_aUrv" hidden="1">#REF!</definedName>
    <definedName name="FDP_310_1_aSrv" hidden="1">#REF!</definedName>
    <definedName name="FDP_311_1_aSrv" hidden="1">#REF!</definedName>
    <definedName name="FDP_312_1_aSrv" hidden="1">#REF!</definedName>
    <definedName name="FDP_313_1_aSrv" hidden="1">#REF!</definedName>
    <definedName name="FDP_314_1_aSrv" hidden="1">#REF!</definedName>
    <definedName name="FDP_315_1_aSrv" hidden="1">#REF!</definedName>
    <definedName name="FDP_316_1_aSrv" hidden="1">#REF!</definedName>
    <definedName name="FDP_317_1_aSrv" hidden="1">#REF!</definedName>
    <definedName name="FDP_318_1_aSrv" hidden="1">#REF!</definedName>
    <definedName name="FDP_319_1_aSrv" hidden="1">#REF!</definedName>
    <definedName name="FDP_32_1_aDrv" hidden="1">#REF!</definedName>
    <definedName name="FDP_32_1_aUrv" hidden="1">#REF!</definedName>
    <definedName name="FDP_320_1_aSrv" hidden="1">#REF!</definedName>
    <definedName name="FDP_321_1_aSrv" hidden="1">#REF!</definedName>
    <definedName name="FDP_322_1_aSrv" hidden="1">#REF!</definedName>
    <definedName name="FDP_323_1_aSrv" hidden="1">#REF!</definedName>
    <definedName name="FDP_324_1_aSrv" hidden="1">#REF!</definedName>
    <definedName name="FDP_325_1_aSrv" hidden="1">#REF!</definedName>
    <definedName name="FDP_326_1_aSrv" hidden="1">#REF!</definedName>
    <definedName name="FDP_327_1_aSrv" hidden="1">#REF!</definedName>
    <definedName name="FDP_328_1_aSrv" hidden="1">#REF!</definedName>
    <definedName name="FDP_329_1_aSrv" hidden="1">#REF!</definedName>
    <definedName name="FDP_33_1_aDrv" hidden="1">#REF!</definedName>
    <definedName name="FDP_33_1_aUrv" hidden="1">#REF!</definedName>
    <definedName name="FDP_330_1_aSrv" hidden="1">#REF!</definedName>
    <definedName name="FDP_331_1_aSrv" hidden="1">#REF!</definedName>
    <definedName name="FDP_332_1_aSrv" hidden="1">#REF!</definedName>
    <definedName name="FDP_333_1_aSrv" hidden="1">#REF!</definedName>
    <definedName name="FDP_334_1_aSrv" hidden="1">#REF!</definedName>
    <definedName name="FDP_335_1_aSrv" hidden="1">#REF!</definedName>
    <definedName name="FDP_336_1_aSrv" hidden="1">#REF!</definedName>
    <definedName name="FDP_337_1_aSrv" hidden="1">#REF!</definedName>
    <definedName name="FDP_338_1_aSrv" hidden="1">#REF!</definedName>
    <definedName name="FDP_339_1_aSrv" hidden="1">#REF!</definedName>
    <definedName name="FDP_34_1_aUrv" hidden="1">#REF!</definedName>
    <definedName name="FDP_340_1_aSrv" hidden="1">#REF!</definedName>
    <definedName name="FDP_341_1_aSrv" hidden="1">#REF!</definedName>
    <definedName name="FDP_342_1_aSrv" hidden="1">#REF!</definedName>
    <definedName name="FDP_343_1_aDrv" hidden="1">#REF!</definedName>
    <definedName name="FDP_344_1_aDrv" hidden="1">#REF!</definedName>
    <definedName name="FDP_345_1_aUrv" hidden="1">#REF!</definedName>
    <definedName name="FDP_346_1_aUrv" hidden="1">#REF!</definedName>
    <definedName name="FDP_347_1_aUrv" hidden="1">#REF!</definedName>
    <definedName name="FDP_348_1_aUrv" hidden="1">#REF!</definedName>
    <definedName name="FDP_349_1_aDrv" hidden="1">#REF!</definedName>
    <definedName name="FDP_35_1_aSrv" hidden="1">#REF!</definedName>
    <definedName name="FDP_35_1_aUrv" hidden="1">#REF!</definedName>
    <definedName name="FDP_350_1_aUrv" hidden="1">#REF!</definedName>
    <definedName name="FDP_351_1_aUrv" hidden="1">#REF!</definedName>
    <definedName name="FDP_352_1_aUrv" hidden="1">#REF!</definedName>
    <definedName name="FDP_353_1_aUrv" hidden="1">#REF!</definedName>
    <definedName name="FDP_354_1_aUrv" hidden="1">#REF!</definedName>
    <definedName name="FDP_355_1_aUrv" hidden="1">#REF!</definedName>
    <definedName name="FDP_356_1_aUrv" hidden="1">#REF!</definedName>
    <definedName name="FDP_357_1_aUrv" hidden="1">#REF!</definedName>
    <definedName name="FDP_358_1_aUrv" hidden="1">#REF!</definedName>
    <definedName name="FDP_359_1_aUrv" hidden="1">#REF!</definedName>
    <definedName name="FDP_36_1_aUrv" hidden="1">#REF!</definedName>
    <definedName name="FDP_360_1_aSrv" hidden="1">#REF!</definedName>
    <definedName name="FDP_361_1_aSrv" hidden="1">#REF!</definedName>
    <definedName name="FDP_362_1_aDrv" hidden="1">#REF!</definedName>
    <definedName name="FDP_363_1_aUrv" hidden="1">#REF!</definedName>
    <definedName name="FDP_364_1_aUrv" hidden="1">#REF!</definedName>
    <definedName name="FDP_365_1_aSrv" hidden="1">#REF!</definedName>
    <definedName name="FDP_366_1_aUrv" hidden="1">#REF!</definedName>
    <definedName name="FDP_367_1_aUrv" hidden="1">#REF!</definedName>
    <definedName name="FDP_368_1_aUrv" hidden="1">#REF!</definedName>
    <definedName name="FDP_369_1_aUrv" hidden="1">#REF!</definedName>
    <definedName name="FDP_37_1_aUrv" hidden="1">#REF!</definedName>
    <definedName name="FDP_370_1_aUrv" hidden="1">#REF!</definedName>
    <definedName name="FDP_371_1_aUrv" hidden="1">#REF!</definedName>
    <definedName name="FDP_372_1_aUrv" hidden="1">#REF!</definedName>
    <definedName name="FDP_373_1_aUrv" hidden="1">#REF!</definedName>
    <definedName name="FDP_374_1_aUrv" hidden="1">#REF!</definedName>
    <definedName name="FDP_375_1_aUrv" hidden="1">#REF!</definedName>
    <definedName name="FDP_376_1_aUrv" hidden="1">#REF!</definedName>
    <definedName name="FDP_377_1_aUrv" hidden="1">#REF!</definedName>
    <definedName name="FDP_378_1_aSrv" hidden="1">#REF!</definedName>
    <definedName name="FDP_379_1_aSrv" hidden="1">#REF!</definedName>
    <definedName name="FDP_38_1_aUrv" hidden="1">#REF!</definedName>
    <definedName name="FDP_380_1_aUrv" hidden="1">#REF!</definedName>
    <definedName name="FDP_381_1_aUrv" hidden="1">#REF!</definedName>
    <definedName name="FDP_382_1_aUrv" hidden="1">#REF!</definedName>
    <definedName name="FDP_383_1_aUrv" hidden="1">#REF!</definedName>
    <definedName name="FDP_384_1_aUrv" hidden="1">#REF!</definedName>
    <definedName name="FDP_385_1_aUrv" hidden="1">#REF!</definedName>
    <definedName name="FDP_386_1_aUrv" hidden="1">#REF!</definedName>
    <definedName name="FDP_387_1_aSrv" hidden="1">#REF!</definedName>
    <definedName name="FDP_388_1_aUrv" hidden="1">#REF!</definedName>
    <definedName name="FDP_389_1_aUrv" hidden="1">#REF!</definedName>
    <definedName name="FDP_39_1_aUrv" hidden="1">#REF!</definedName>
    <definedName name="FDP_390_1_aUrv" hidden="1">#REF!</definedName>
    <definedName name="FDP_391_1_aUrv" hidden="1">#REF!</definedName>
    <definedName name="FDP_392_1_aUrv" hidden="1">#REF!</definedName>
    <definedName name="FDP_393_1_aUrv" hidden="1">#REF!</definedName>
    <definedName name="FDP_394_1_aUrv" hidden="1">#REF!</definedName>
    <definedName name="FDP_395_1_aUrv" hidden="1">#REF!</definedName>
    <definedName name="FDP_396_1_aUrv" hidden="1">#REF!</definedName>
    <definedName name="FDP_397_1_aUrv" hidden="1">#REF!</definedName>
    <definedName name="FDP_398_1_aUrv" hidden="1">#REF!</definedName>
    <definedName name="FDP_399_1_aUrv" hidden="1">#REF!</definedName>
    <definedName name="FDP_4_1_aUrv" hidden="1">#REF!</definedName>
    <definedName name="FDP_40_1_aSrv" hidden="1">#REF!</definedName>
    <definedName name="FDP_40_1_aUrv" hidden="1">#REF!</definedName>
    <definedName name="FDP_400_1_aSrv" hidden="1">#REF!</definedName>
    <definedName name="FDP_401_1_aSrv" hidden="1">#REF!</definedName>
    <definedName name="FDP_402_1_aUdv" hidden="1">#REF!</definedName>
    <definedName name="FDP_403_1_aUdv" hidden="1">#REF!</definedName>
    <definedName name="FDP_404_1_aUdv" hidden="1">#REF!</definedName>
    <definedName name="FDP_405_1_aUdv" hidden="1">#REF!</definedName>
    <definedName name="FDP_406_1_aSrv" hidden="1">#REF!</definedName>
    <definedName name="FDP_407_1_aSrv" hidden="1">#REF!</definedName>
    <definedName name="FDP_408_1_aUrv" hidden="1">#REF!</definedName>
    <definedName name="FDP_409_1_aUrv" hidden="1">#REF!</definedName>
    <definedName name="FDP_41_1_aSrv" hidden="1">#REF!</definedName>
    <definedName name="FDP_41_1_aUrv" hidden="1">#REF!</definedName>
    <definedName name="FDP_410_1_aSrv" hidden="1">#REF!</definedName>
    <definedName name="FDP_411_1_aUrv" hidden="1">#REF!</definedName>
    <definedName name="FDP_412_1_aUdv" hidden="1">#REF!</definedName>
    <definedName name="FDP_413_1_aUdv" hidden="1">#REF!</definedName>
    <definedName name="FDP_414_1_aUdv" hidden="1">#REF!</definedName>
    <definedName name="FDP_415_1_aUdv" hidden="1">#REF!</definedName>
    <definedName name="FDP_416_1_aSrv" hidden="1">#REF!</definedName>
    <definedName name="FDP_417_1_aUrv" hidden="1">#REF!</definedName>
    <definedName name="FDP_418_1_aSrv" hidden="1">#REF!</definedName>
    <definedName name="FDP_419_1_aUrv" hidden="1">#REF!</definedName>
    <definedName name="FDP_42_1_aSrv" hidden="1">#REF!</definedName>
    <definedName name="FDP_42_1_aUrv" hidden="1">#REF!</definedName>
    <definedName name="FDP_420_1_aUrv" hidden="1">#REF!</definedName>
    <definedName name="FDP_421_1_aUrv" hidden="1">#REF!</definedName>
    <definedName name="FDP_422_1_aDdv" hidden="1">#REF!</definedName>
    <definedName name="FDP_423_1_aDdv" hidden="1">#REF!</definedName>
    <definedName name="FDP_424_1_aDdv" hidden="1">#REF!</definedName>
    <definedName name="FDP_425_1_aDdv" hidden="1">#REF!</definedName>
    <definedName name="FDP_426_1_aUrv" hidden="1">#REF!</definedName>
    <definedName name="FDP_427_1_aUrv" hidden="1">#REF!</definedName>
    <definedName name="FDP_428_1_aSrv" hidden="1">#REF!</definedName>
    <definedName name="FDP_429_1_aUrv" hidden="1">#REF!</definedName>
    <definedName name="FDP_43_1_aUrv" hidden="1">#REF!</definedName>
    <definedName name="FDP_430_1_aUrv" hidden="1">#REF!</definedName>
    <definedName name="FDP_431_1_aSrv" hidden="1">#REF!</definedName>
    <definedName name="FDP_432_1_aUrv" hidden="1">#REF!</definedName>
    <definedName name="FDP_433_1_aUdv" hidden="1">#REF!</definedName>
    <definedName name="FDP_434_1_aUdv" hidden="1">#REF!</definedName>
    <definedName name="FDP_435_1_aUdv" hidden="1">#REF!</definedName>
    <definedName name="FDP_436_1_aUrv" hidden="1">#REF!</definedName>
    <definedName name="FDP_437_1_aUrv" hidden="1">#REF!</definedName>
    <definedName name="FDP_438_1_aSrv" hidden="1">#REF!</definedName>
    <definedName name="FDP_439_1_aUrv" hidden="1">#REF!</definedName>
    <definedName name="FDP_44_1_aUrv" hidden="1">#REF!</definedName>
    <definedName name="FDP_440_1_aSrv" hidden="1">#REF!</definedName>
    <definedName name="FDP_441_1_aUdv" hidden="1">#REF!</definedName>
    <definedName name="FDP_442_1_aUdv" hidden="1">#REF!</definedName>
    <definedName name="FDP_443_1_aUdv" hidden="1">#REF!</definedName>
    <definedName name="FDP_444_1_aUdv" hidden="1">#REF!</definedName>
    <definedName name="FDP_445_1_aUrv" hidden="1">#REF!</definedName>
    <definedName name="FDP_446_1_aUrv" hidden="1">#REF!</definedName>
    <definedName name="FDP_447_1_aSrv" hidden="1">#REF!</definedName>
    <definedName name="FDP_448_1_aDrv" hidden="1">#REF!</definedName>
    <definedName name="FDP_449_1_aSrv" hidden="1">#REF!</definedName>
    <definedName name="FDP_45_1_aUrv" hidden="1">#REF!</definedName>
    <definedName name="FDP_450_1_aUrv" hidden="1">#REF!</definedName>
    <definedName name="FDP_451_1_aUrv" hidden="1">#REF!</definedName>
    <definedName name="FDP_452_1_aUrv" hidden="1">#REF!</definedName>
    <definedName name="FDP_453_1_aUrv" hidden="1">#REF!</definedName>
    <definedName name="FDP_454_1_aUrv" hidden="1">#REF!</definedName>
    <definedName name="FDP_455_1_aUrv" hidden="1">#REF!</definedName>
    <definedName name="FDP_456_1_aUrv" hidden="1">#REF!</definedName>
    <definedName name="FDP_457_1_aUrv" hidden="1">#REF!</definedName>
    <definedName name="FDP_458_1_aUrv" hidden="1">#REF!</definedName>
    <definedName name="FDP_459_1_aUrv" hidden="1">#REF!</definedName>
    <definedName name="FDP_46_1_aUrv" hidden="1">#REF!</definedName>
    <definedName name="FDP_460_1_aUrv" hidden="1">#REF!</definedName>
    <definedName name="FDP_461_1_aUrv" hidden="1">#REF!</definedName>
    <definedName name="FDP_462_1_aUrv" hidden="1">#REF!</definedName>
    <definedName name="FDP_463_1_aUrv" hidden="1">#REF!</definedName>
    <definedName name="FDP_464_1_aUrv" hidden="1">#REF!</definedName>
    <definedName name="FDP_465_1_aUrv" hidden="1">#REF!</definedName>
    <definedName name="FDP_466_1_aUrv" hidden="1">#REF!</definedName>
    <definedName name="FDP_467_1_aUrv" hidden="1">#REF!</definedName>
    <definedName name="FDP_468_1_aUrv" hidden="1">#REF!</definedName>
    <definedName name="FDP_469_1_aUrv" hidden="1">#REF!</definedName>
    <definedName name="FDP_47_1_aUrv" hidden="1">#REF!</definedName>
    <definedName name="FDP_470_1_aUrv" hidden="1">#REF!</definedName>
    <definedName name="FDP_471_1_aUrv" hidden="1">#REF!</definedName>
    <definedName name="FDP_472_1_aUrv" hidden="1">#REF!</definedName>
    <definedName name="FDP_473_1_aUrv" hidden="1">#REF!</definedName>
    <definedName name="FDP_474_1_aUrv" hidden="1">#REF!</definedName>
    <definedName name="FDP_475_1_aUrv" hidden="1">#REF!</definedName>
    <definedName name="FDP_476_1_aUrv" hidden="1">#REF!</definedName>
    <definedName name="FDP_477_1_aUrv" hidden="1">#REF!</definedName>
    <definedName name="FDP_478_1_aUrv" hidden="1">#REF!</definedName>
    <definedName name="FDP_479_1_aUrv" hidden="1">#REF!</definedName>
    <definedName name="FDP_48_1_aSrv" hidden="1">#REF!</definedName>
    <definedName name="FDP_48_1_aUrv" hidden="1">#REF!</definedName>
    <definedName name="FDP_480_1_aUrv" hidden="1">#REF!</definedName>
    <definedName name="FDP_481_1_aUrv" hidden="1">#REF!</definedName>
    <definedName name="FDP_482_1_aUrv" hidden="1">#REF!</definedName>
    <definedName name="FDP_483_1_aUrv" hidden="1">#REF!</definedName>
    <definedName name="FDP_484_1_aUrv" hidden="1">#REF!</definedName>
    <definedName name="FDP_485_1_aUrv" hidden="1">#REF!</definedName>
    <definedName name="FDP_486_1_aUrv" hidden="1">#REF!</definedName>
    <definedName name="FDP_487_1_aUrv" hidden="1">#REF!</definedName>
    <definedName name="FDP_488_1_aUrv" hidden="1">#REF!</definedName>
    <definedName name="FDP_489_1_aUrv" hidden="1">#REF!</definedName>
    <definedName name="FDP_49_1_aUrv" hidden="1">#REF!</definedName>
    <definedName name="FDP_490_1_aSrv" hidden="1">#REF!</definedName>
    <definedName name="FDP_491_1_aUrv" hidden="1">#REF!</definedName>
    <definedName name="FDP_492_1_aUrv" hidden="1">#REF!</definedName>
    <definedName name="FDP_493_1_aUrv" hidden="1">#REF!</definedName>
    <definedName name="FDP_494_1_aSrv" hidden="1">#REF!</definedName>
    <definedName name="FDP_495_1_aUrv" hidden="1">#REF!</definedName>
    <definedName name="FDP_496_1_aUrv" hidden="1">#REF!</definedName>
    <definedName name="FDP_497_1_aUrv" hidden="1">#REF!</definedName>
    <definedName name="FDP_498_1_aSrv" hidden="1">#REF!</definedName>
    <definedName name="FDP_499_1_aUrv" hidden="1">#REF!</definedName>
    <definedName name="FDP_5_1_aUrv" hidden="1">#REF!</definedName>
    <definedName name="FDP_50_1_aUrv" hidden="1">#REF!</definedName>
    <definedName name="FDP_500_1_aUrv" hidden="1">#REF!</definedName>
    <definedName name="FDP_501_1_aUrv" hidden="1">#REF!</definedName>
    <definedName name="FDP_502_1_aSrv" hidden="1">#REF!</definedName>
    <definedName name="FDP_503_1_aSrv" hidden="1">#REF!</definedName>
    <definedName name="FDP_504_1_aSrv" hidden="1">#REF!</definedName>
    <definedName name="FDP_505_1_aSrv" hidden="1">#REF!</definedName>
    <definedName name="FDP_506_1_aSrv" hidden="1">#REF!</definedName>
    <definedName name="FDP_507_1_aSrv" hidden="1">#REF!</definedName>
    <definedName name="FDP_508_1_aSrv" hidden="1">#REF!</definedName>
    <definedName name="FDP_509_1_aSrv" hidden="1">#REF!</definedName>
    <definedName name="FDP_51_1_aUrv" hidden="1">#REF!</definedName>
    <definedName name="FDP_510_1_aSrv" hidden="1">#REF!</definedName>
    <definedName name="FDP_511_1_aSrv" hidden="1">#REF!</definedName>
    <definedName name="FDP_512_1_aSrv" hidden="1">#REF!</definedName>
    <definedName name="FDP_513_1_aSrv" hidden="1">#REF!</definedName>
    <definedName name="FDP_514_1_aSrv" hidden="1">#REF!</definedName>
    <definedName name="FDP_515_1_aSrv" hidden="1">#REF!</definedName>
    <definedName name="FDP_516_1_aSrv" hidden="1">#REF!</definedName>
    <definedName name="FDP_517_1_aSrv" hidden="1">#REF!</definedName>
    <definedName name="FDP_518_1_aSrv" hidden="1">#REF!</definedName>
    <definedName name="FDP_519_1_aSrv" hidden="1">#REF!</definedName>
    <definedName name="FDP_52_1_aUrv" hidden="1">#REF!</definedName>
    <definedName name="FDP_520_1_aSrv" hidden="1">#REF!</definedName>
    <definedName name="FDP_521_1_aSrv" hidden="1">#REF!</definedName>
    <definedName name="FDP_522_1_aSrv" hidden="1">#REF!</definedName>
    <definedName name="FDP_523_1_aSrv" hidden="1">#REF!</definedName>
    <definedName name="FDP_524_1_aSrv" hidden="1">#REF!</definedName>
    <definedName name="FDP_525_1_aSrv" hidden="1">#REF!</definedName>
    <definedName name="FDP_526_1_aSrv" hidden="1">#REF!</definedName>
    <definedName name="FDP_527_1_aSrv" hidden="1">#REF!</definedName>
    <definedName name="FDP_528_1_aUdv" hidden="1">#REF!</definedName>
    <definedName name="FDP_529_1_aSrv" hidden="1">#REF!</definedName>
    <definedName name="FDP_53_1_aSrv" hidden="1">#REF!</definedName>
    <definedName name="FDP_53_1_aUrv" hidden="1">#REF!</definedName>
    <definedName name="FDP_530_1_aSrv" hidden="1">#REF!</definedName>
    <definedName name="FDP_531_1_aSrv" hidden="1">#REF!</definedName>
    <definedName name="FDP_532_1_aSrv" hidden="1">#REF!</definedName>
    <definedName name="FDP_533_1_aSrv" hidden="1">#REF!</definedName>
    <definedName name="FDP_534_1_aSrv" hidden="1">#REF!</definedName>
    <definedName name="FDP_535_1_aSrv" hidden="1">#REF!</definedName>
    <definedName name="FDP_536_1_aSrv" hidden="1">#REF!</definedName>
    <definedName name="FDP_537_1_aSrv" hidden="1">#REF!</definedName>
    <definedName name="FDP_538_1_aSrv" hidden="1">#REF!</definedName>
    <definedName name="FDP_539_1_aSrv" hidden="1">#REF!</definedName>
    <definedName name="FDP_54_1_aDdv" hidden="1">#REF!</definedName>
    <definedName name="FDP_54_1_aSrv" hidden="1">#REF!</definedName>
    <definedName name="FDP_54_1_aUrv" hidden="1">#REF!</definedName>
    <definedName name="FDP_540_1_aSrv" hidden="1">#REF!</definedName>
    <definedName name="FDP_541_1_aSrv" hidden="1">#REF!</definedName>
    <definedName name="FDP_542_1_aSrv" hidden="1">#REF!</definedName>
    <definedName name="FDP_543_1_aSrv" hidden="1">#REF!</definedName>
    <definedName name="FDP_544_1_aSrv" hidden="1">#REF!</definedName>
    <definedName name="FDP_545_1_aSrv" hidden="1">#REF!</definedName>
    <definedName name="FDP_546_1_aSrv" hidden="1">#REF!</definedName>
    <definedName name="FDP_547_1_aSrv" hidden="1">#REF!</definedName>
    <definedName name="FDP_548_1_aSrv" hidden="1">#REF!</definedName>
    <definedName name="FDP_549_1_aSrv" hidden="1">#REF!</definedName>
    <definedName name="FDP_55_1_aUrv" hidden="1">#REF!</definedName>
    <definedName name="FDP_550_1_aSrv" hidden="1">#REF!</definedName>
    <definedName name="FDP_551_1_aSrv" hidden="1">#REF!</definedName>
    <definedName name="FDP_552_1_aSrv" hidden="1">#REF!</definedName>
    <definedName name="FDP_553_1_aSrv" hidden="1">#REF!</definedName>
    <definedName name="FDP_554_1_aSrv" hidden="1">#REF!</definedName>
    <definedName name="FDP_555_1_aSrv" hidden="1">#REF!</definedName>
    <definedName name="FDP_556_1_aSrv" hidden="1">#REF!</definedName>
    <definedName name="FDP_557_1_aSrv" hidden="1">#REF!</definedName>
    <definedName name="FDP_558_1_aSrv" hidden="1">#REF!</definedName>
    <definedName name="FDP_559_1_aSrv" hidden="1">#REF!</definedName>
    <definedName name="FDP_56_1_aUrv" hidden="1">#REF!</definedName>
    <definedName name="FDP_560_1_aSrv" hidden="1">#REF!</definedName>
    <definedName name="FDP_561_1_aSrv" hidden="1">#REF!</definedName>
    <definedName name="FDP_562_1_aSrv" hidden="1">#REF!</definedName>
    <definedName name="FDP_563_1_aSrv" hidden="1">#REF!</definedName>
    <definedName name="FDP_564_1_aSrv" hidden="1">#REF!</definedName>
    <definedName name="FDP_565_1_aSrv" hidden="1">#REF!</definedName>
    <definedName name="FDP_566_1_aSrv" hidden="1">#REF!</definedName>
    <definedName name="FDP_567_1_aSrv" hidden="1">#REF!</definedName>
    <definedName name="FDP_568_1_aSrv" hidden="1">#REF!</definedName>
    <definedName name="FDP_569_1_aSrv" hidden="1">#REF!</definedName>
    <definedName name="FDP_57_1_aUrv" hidden="1">#REF!</definedName>
    <definedName name="FDP_570_1_aSrv" hidden="1">#REF!</definedName>
    <definedName name="FDP_571_1_aSrv" hidden="1">#REF!</definedName>
    <definedName name="FDP_572_1_aSrv" hidden="1">#REF!</definedName>
    <definedName name="FDP_573_1_aSrv" hidden="1">#REF!</definedName>
    <definedName name="FDP_574_1_aSrv" hidden="1">#REF!</definedName>
    <definedName name="FDP_575_1_aSrv" hidden="1">#REF!</definedName>
    <definedName name="FDP_576_1_aSrv" hidden="1">#REF!</definedName>
    <definedName name="FDP_577_1_aSrv" hidden="1">#REF!</definedName>
    <definedName name="FDP_578_1_aSrv" hidden="1">#REF!</definedName>
    <definedName name="FDP_579_1_aSrv" hidden="1">#REF!</definedName>
    <definedName name="FDP_58_1_aUrv" hidden="1">#REF!</definedName>
    <definedName name="FDP_580_1_aSrv" hidden="1">#REF!</definedName>
    <definedName name="FDP_581_1_aSrv" hidden="1">#REF!</definedName>
    <definedName name="FDP_582_1_aSrv" hidden="1">#REF!</definedName>
    <definedName name="FDP_583_1_aSrv" hidden="1">#REF!</definedName>
    <definedName name="FDP_584_1_aSrv" hidden="1">#REF!</definedName>
    <definedName name="FDP_585_1_aSrv" hidden="1">#REF!</definedName>
    <definedName name="FDP_586_1_aSrv" hidden="1">#REF!</definedName>
    <definedName name="FDP_587_1_aSrv" hidden="1">#REF!</definedName>
    <definedName name="FDP_588_1_aSrv" hidden="1">#REF!</definedName>
    <definedName name="FDP_589_1_aSrv" hidden="1">#REF!</definedName>
    <definedName name="FDP_59_1_aUrv" hidden="1">#REF!</definedName>
    <definedName name="FDP_590_1_aSrv" hidden="1">#REF!</definedName>
    <definedName name="FDP_591_1_aSrv" hidden="1">#REF!</definedName>
    <definedName name="FDP_592_1_aSrv" hidden="1">#REF!</definedName>
    <definedName name="FDP_593_1_aSrv" hidden="1">#REF!</definedName>
    <definedName name="FDP_594_1_aSrv" hidden="1">#REF!</definedName>
    <definedName name="FDP_595_1_aSrv" hidden="1">#REF!</definedName>
    <definedName name="FDP_596_1_aSrv" hidden="1">#REF!</definedName>
    <definedName name="FDP_597_1_aSrv" hidden="1">#REF!</definedName>
    <definedName name="FDP_598_1_aSrv" hidden="1">#REF!</definedName>
    <definedName name="FDP_599_1_aSrv" hidden="1">#REF!</definedName>
    <definedName name="FDP_6_1_aUrv" hidden="1">#REF!</definedName>
    <definedName name="FDP_60_1_aSrv" hidden="1">#REF!</definedName>
    <definedName name="FDP_60_1_aUrv" hidden="1">#REF!</definedName>
    <definedName name="FDP_600_1_aSrv" hidden="1">#REF!</definedName>
    <definedName name="FDP_601_1_aSrv" hidden="1">#REF!</definedName>
    <definedName name="FDP_602_1_aSrv" hidden="1">#REF!</definedName>
    <definedName name="FDP_603_1_aSrv" hidden="1">#REF!</definedName>
    <definedName name="FDP_604_1_aSrv" hidden="1">#REF!</definedName>
    <definedName name="FDP_605_1_aSrv" hidden="1">#REF!</definedName>
    <definedName name="FDP_606_1_aSrv" hidden="1">#REF!</definedName>
    <definedName name="FDP_607_1_aSrv" hidden="1">#REF!</definedName>
    <definedName name="FDP_608_1_aSrv" hidden="1">#REF!</definedName>
    <definedName name="FDP_609_1_aSrv" hidden="1">#REF!</definedName>
    <definedName name="FDP_61_1_aSrv" hidden="1">#REF!</definedName>
    <definedName name="FDP_61_1_aUrv" hidden="1">#REF!</definedName>
    <definedName name="FDP_610_1_aSrv" hidden="1">#REF!</definedName>
    <definedName name="FDP_611_1_aSrv" hidden="1">#REF!</definedName>
    <definedName name="FDP_612_1_aSrv" hidden="1">#REF!</definedName>
    <definedName name="FDP_613_1_aSrv" hidden="1">#REF!</definedName>
    <definedName name="FDP_614_1_aSrv" hidden="1">#REF!</definedName>
    <definedName name="FDP_615_1_aSrv" hidden="1">#REF!</definedName>
    <definedName name="FDP_616_1_aSrv" hidden="1">#REF!</definedName>
    <definedName name="FDP_617_1_aSrv" hidden="1">#REF!</definedName>
    <definedName name="FDP_618_1_aSrv" hidden="1">#REF!</definedName>
    <definedName name="FDP_619_1_aSrv" hidden="1">#REF!</definedName>
    <definedName name="FDP_62_1_aSrv" hidden="1">#REF!</definedName>
    <definedName name="FDP_62_1_aUrv" hidden="1">#REF!</definedName>
    <definedName name="FDP_620_1_aSrv" hidden="1">#REF!</definedName>
    <definedName name="FDP_621_1_aSrv" hidden="1">#REF!</definedName>
    <definedName name="FDP_622_1_aSrv" hidden="1">#REF!</definedName>
    <definedName name="FDP_623_1_aSrv" hidden="1">#REF!</definedName>
    <definedName name="FDP_624_1_aSrv" hidden="1">#REF!</definedName>
    <definedName name="FDP_625_1_aSrv" hidden="1">#REF!</definedName>
    <definedName name="FDP_626_1_aSrv" hidden="1">#REF!</definedName>
    <definedName name="FDP_627_1_aSrv" hidden="1">#REF!</definedName>
    <definedName name="FDP_63_1_aUrv" hidden="1">#REF!</definedName>
    <definedName name="FDP_64_1_aSrv" hidden="1">#REF!</definedName>
    <definedName name="FDP_64_1_aUrv" hidden="1">#REF!</definedName>
    <definedName name="FDP_65_1_aSrv" hidden="1">#REF!</definedName>
    <definedName name="FDP_65_1_aUrv" hidden="1">#REF!</definedName>
    <definedName name="FDP_66_1_aUrv" hidden="1">#REF!</definedName>
    <definedName name="FDP_67_1_aUrv" hidden="1">#REF!</definedName>
    <definedName name="FDP_67_1_rUrv" hidden="1">#REF!</definedName>
    <definedName name="FDP_68_1_aSrv" hidden="1">#REF!</definedName>
    <definedName name="FDP_68_1_aUrv" hidden="1">#REF!</definedName>
    <definedName name="FDP_69_1_aUrv" hidden="1">#REF!</definedName>
    <definedName name="FDP_7_1_aUrv" hidden="1">#REF!</definedName>
    <definedName name="FDP_7_1_rUrv" hidden="1">#REF!</definedName>
    <definedName name="FDP_70_1_aDrv" hidden="1">#REF!</definedName>
    <definedName name="FDP_70_1_aSrv" hidden="1">#REF!</definedName>
    <definedName name="FDP_71_1_aUrv" hidden="1">#REF!</definedName>
    <definedName name="FDP_72_1_aDrv" hidden="1">#REF!</definedName>
    <definedName name="FDP_72_1_aSrv" hidden="1">#REF!</definedName>
    <definedName name="FDP_73_1_aSrv" hidden="1">#REF!</definedName>
    <definedName name="FDP_73_1_aUrv" hidden="1">#REF!</definedName>
    <definedName name="FDP_74_1_aUrv" hidden="1">#REF!</definedName>
    <definedName name="FDP_75_1_aSrv" hidden="1">#REF!</definedName>
    <definedName name="FDP_75_1_aUrv" hidden="1">#REF!</definedName>
    <definedName name="FDP_76_1_aSrv" hidden="1">#REF!</definedName>
    <definedName name="FDP_76_1_aUrv" hidden="1">#REF!</definedName>
    <definedName name="FDP_77_1_aUrv" hidden="1">#REF!</definedName>
    <definedName name="FDP_78_1_aSrv" hidden="1">#REF!</definedName>
    <definedName name="FDP_78_1_aUrv" hidden="1">#REF!</definedName>
    <definedName name="FDP_79_1_aUrv" hidden="1">#REF!</definedName>
    <definedName name="FDP_8_1_aDrv" hidden="1">#REF!</definedName>
    <definedName name="FDP_8_1_aUrv" hidden="1">#REF!</definedName>
    <definedName name="FDP_80_1_aSrv" hidden="1">#REF!</definedName>
    <definedName name="FDP_80_1_aUrv" hidden="1">#REF!</definedName>
    <definedName name="FDP_81_1_aSrv" hidden="1">#REF!</definedName>
    <definedName name="FDP_82_1_aDrv" hidden="1">#REF!</definedName>
    <definedName name="FDP_82_1_aUrv" hidden="1">#REF!</definedName>
    <definedName name="FDP_83_1_aSrv" hidden="1">#REF!</definedName>
    <definedName name="FDP_83_1_aUrv" hidden="1">#REF!</definedName>
    <definedName name="FDP_84_1_aUrv" hidden="1">#REF!</definedName>
    <definedName name="FDP_85_1_aUrv" hidden="1">#REF!</definedName>
    <definedName name="FDP_86_1_aUrv" hidden="1">#REF!</definedName>
    <definedName name="FDP_87_1_aSrv" hidden="1">#REF!</definedName>
    <definedName name="FDP_87_1_aUrv" hidden="1">#REF!</definedName>
    <definedName name="FDP_88_1_aUrv" hidden="1">#REF!</definedName>
    <definedName name="FDP_89_1_aSrv" hidden="1">#REF!</definedName>
    <definedName name="FDP_89_1_aUrv" hidden="1">#REF!</definedName>
    <definedName name="FDP_9_1_aDrv" hidden="1">#REF!</definedName>
    <definedName name="FDP_9_1_aUrv" hidden="1">#REF!</definedName>
    <definedName name="FDP_90_1_aUrv" hidden="1">#REF!</definedName>
    <definedName name="FDP_91_1_aUrv" hidden="1">#REF!</definedName>
    <definedName name="FDP_92_1_aSrv" hidden="1">#REF!</definedName>
    <definedName name="FDP_92_1_aUrv" hidden="1">#REF!</definedName>
    <definedName name="FDP_93_1_aDrv" hidden="1">#REF!</definedName>
    <definedName name="FDP_93_1_aUrv" hidden="1">#REF!</definedName>
    <definedName name="FDP_94_1_aUrv" hidden="1">#REF!</definedName>
    <definedName name="FDP_95_1_aUrv" hidden="1">#REF!</definedName>
    <definedName name="FDP_96_1_aUrv" hidden="1">#REF!</definedName>
    <definedName name="FDP_97_1_aUrv" hidden="1">#REF!</definedName>
    <definedName name="FDP_98_1_aUrv" hidden="1">#REF!</definedName>
    <definedName name="FDP_99_1_aDrv" hidden="1">#REF!</definedName>
    <definedName name="FDP_99_1_aUrv" hidden="1">#REF!</definedName>
    <definedName name="fff" hidden="1">{"IS",#N/A,FALSE,"IS";"RPTIS",#N/A,FALSE,"RPTIS";"STATS",#N/A,FALSE,"STATS";"CELL",#N/A,FALSE,"CELL";"BS",#N/A,FALSE,"BS"}</definedName>
    <definedName name="Final_dividend">MODEL!$67:$67</definedName>
    <definedName name="FITB">MODEL!$156:$156</definedName>
    <definedName name="Franking">MODEL!$301:$301</definedName>
    <definedName name="GetFromOra_Click">[0]!GetFromOra_Click</definedName>
    <definedName name="GetPrice_Click" xlm="1">[0]!GetPrice_Click</definedName>
    <definedName name="Goodwill">MODEL!$145:$145</definedName>
    <definedName name="Gross_ppe">MODEL!$141:$141</definedName>
    <definedName name="int_copy">MODEL!$199:$199</definedName>
    <definedName name="int_paste">MODEL!$204:$204</definedName>
    <definedName name="Interest_Expense">MODEL!$192:$192</definedName>
    <definedName name="Interest_Income">MODEL!$197:$197</definedName>
    <definedName name="Interim_dividend">MODEL!$66:$66</definedName>
    <definedName name="Inventories">MODEL!$133:$133</definedName>
    <definedName name="Investments">MODEL!$155:$155</definedName>
    <definedName name="Investments_associates">MODEL!$153:$153</definedName>
    <definedName name="Investments_Other">MODEL!$154:$154</definedName>
    <definedName name="IQ_ACCOUNT_CHANGE" hidden="1">"c36"</definedName>
    <definedName name="IQ_ACCOUNTS_PAY" hidden="1">"c91"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"c93"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"c282"</definedName>
    <definedName name="IQ_ACCUMULATED_PENSION_OBLIGATION" hidden="1">"c2244"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"c109"</definedName>
    <definedName name="IQ_ADDIN" hidden="1">"AUTO"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"c292"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"c121"</definedName>
    <definedName name="IQ_AMT_OUT" hidden="1">"c2145"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"c148"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"c278"</definedName>
    <definedName name="IQ_AVG_BROKER_REC_NO" hidden="1">"c279"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"c253"</definedName>
    <definedName name="IQ_AVG_PRICE_TARGET" hidden="1">"c280"</definedName>
    <definedName name="IQ_AVG_SHAREOUTSTANDING" hidden="1">"c83"</definedName>
    <definedName name="IQ_AVG_TEV" hidden="1">"c84"</definedName>
    <definedName name="IQ_AVG_VOLUME" hidden="1">"c254"</definedName>
    <definedName name="IQ_BALANCE_GOODS_APR_FC_UNUSED_UNUSED_UNUSED" hidden="1">"c8353"</definedName>
    <definedName name="IQ_BALANCE_GOODS_APR_UNUSED_UNUSED_UNUSED" hidden="1">"c7473"</definedName>
    <definedName name="IQ_BALANCE_GOODS_FC_UNUSED_UNUSED_UNUSED" hidden="1">"c7693"</definedName>
    <definedName name="IQ_BALANCE_GOODS_POP_FC_UNUSED_UNUSED_UNUSED" hidden="1">"c7913"</definedName>
    <definedName name="IQ_BALANCE_GOODS_POP_UNUSED_UNUSED_UNUSED" hidden="1">"c7033"</definedName>
    <definedName name="IQ_BALANCE_GOODS_UNUSED_UNUSED_UNUSED" hidden="1">"c6813"</definedName>
    <definedName name="IQ_BALANCE_GOODS_YOY_FC_UNUSED_UNUSED_UNUSED" hidden="1">"c8133"</definedName>
    <definedName name="IQ_BALANCE_GOODS_YOY_UNUSED_UNUSED_UNUSED" hidden="1">"c7253"</definedName>
    <definedName name="IQ_BALANCE_SERV_APR_FC_UNUSED_UNUSED_UNUSED" hidden="1">"c8355"</definedName>
    <definedName name="IQ_BALANCE_SERV_APR_UNUSED_UNUSED_UNUSED" hidden="1">"c7475"</definedName>
    <definedName name="IQ_BALANCE_SERV_FC_UNUSED_UNUSED_UNUSED" hidden="1">"c7695"</definedName>
    <definedName name="IQ_BALANCE_SERV_POP_FC_UNUSED_UNUSED_UNUSED" hidden="1">"c7915"</definedName>
    <definedName name="IQ_BALANCE_SERV_POP_UNUSED_UNUSED_UNUSED" hidden="1">"c7035"</definedName>
    <definedName name="IQ_BALANCE_SERV_UNUSED_UNUSED_UNUSED" hidden="1">"c6815"</definedName>
    <definedName name="IQ_BALANCE_SERV_YOY_FC_UNUSED_UNUSED_UNUSED" hidden="1">"c8135"</definedName>
    <definedName name="IQ_BALANCE_SERV_YOY_UNUSED_UNUSED_UNUSED" hidden="1">"c7255"</definedName>
    <definedName name="IQ_BALANCE_TRADE_APR_FC_UNUSED_UNUSED_UNUSED" hidden="1">"c8357"</definedName>
    <definedName name="IQ_BALANCE_TRADE_APR_UNUSED_UNUSED_UNUSED" hidden="1">"c7477"</definedName>
    <definedName name="IQ_BALANCE_TRADE_FC_UNUSED_UNUSED_UNUSED" hidden="1">"c7697"</definedName>
    <definedName name="IQ_BALANCE_TRADE_POP_FC_UNUSED_UNUSED_UNUSED" hidden="1">"c7917"</definedName>
    <definedName name="IQ_BALANCE_TRADE_POP_UNUSED_UNUSED_UNUSED" hidden="1">"c7037"</definedName>
    <definedName name="IQ_BALANCE_TRADE_UNUSED_UNUSED_UNUSED" hidden="1">"c6817"</definedName>
    <definedName name="IQ_BALANCE_TRADE_YOY_FC_UNUSED_UNUSED_UNUSED" hidden="1">"c8137"</definedName>
    <definedName name="IQ_BALANCE_TRADE_YOY_UNUSED_UNUSED_UNUSED" hidden="1">"c7257"</definedName>
    <definedName name="IQ_BASIC_EPS_EXCL" hidden="1">"c45"</definedName>
    <definedName name="IQ_BASIC_EPS_INCL" hidden="1">"c46"</definedName>
    <definedName name="IQ_BASIC_NORMAL_EPS" hidden="1">"c65"</definedName>
    <definedName name="IQ_BASIC_WEIGHT" hidden="1">"c44"</definedName>
    <definedName name="IQ_BENCHMARK_SECURITY" hidden="1">"c2154"</definedName>
    <definedName name="IQ_BENCHMARK_SPRD" hidden="1">"c2153"</definedName>
    <definedName name="IQ_BETA" hidden="1">"c226"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"c233"</definedName>
    <definedName name="IQ_BOARD_MEMBER_BACKGROUND" hidden="1">"c2101"</definedName>
    <definedName name="IQ_BOARD_MEMBER_TITLE" hidden="1">"c234"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DGET_BALANCE_APR_FC_UNUSED_UNUSED_UNUSED" hidden="1">"c8359"</definedName>
    <definedName name="IQ_BUDGET_BALANCE_APR_UNUSED_UNUSED_UNUSED" hidden="1">"c7479"</definedName>
    <definedName name="IQ_BUDGET_BALANCE_FC_UNUSED_UNUSED_UNUSED" hidden="1">"c7699"</definedName>
    <definedName name="IQ_BUDGET_BALANCE_POP_FC_UNUSED_UNUSED_UNUSED" hidden="1">"c7919"</definedName>
    <definedName name="IQ_BUDGET_BALANCE_POP_UNUSED_UNUSED_UNUSED" hidden="1">"c7039"</definedName>
    <definedName name="IQ_BUDGET_BALANCE_UNUSED_UNUSED_UNUSED" hidden="1">"c6819"</definedName>
    <definedName name="IQ_BUDGET_BALANCE_YOY_FC_UNUSED_UNUSED_UNUSED" hidden="1">"c8139"</definedName>
    <definedName name="IQ_BUDGET_BALANCE_YOY_UNUSED_UNUSED_UNUSED" hidden="1">"c7259"</definedName>
    <definedName name="IQ_BUDGET_RECEIPTS_APR_FC_UNUSED_UNUSED_UNUSED" hidden="1">"c8361"</definedName>
    <definedName name="IQ_BUDGET_RECEIPTS_APR_UNUSED_UNUSED_UNUSED" hidden="1">"c7481"</definedName>
    <definedName name="IQ_BUDGET_RECEIPTS_FC_UNUSED_UNUSED_UNUSED" hidden="1">"c7701"</definedName>
    <definedName name="IQ_BUDGET_RECEIPTS_POP_FC_UNUSED_UNUSED_UNUSED" hidden="1">"c7921"</definedName>
    <definedName name="IQ_BUDGET_RECEIPTS_POP_UNUSED_UNUSED_UNUSED" hidden="1">"c7041"</definedName>
    <definedName name="IQ_BUDGET_RECEIPTS_UNUSED_UNUSED_UNUSED" hidden="1">"c6821"</definedName>
    <definedName name="IQ_BUDGET_RECEIPTS_YOY_FC_UNUSED_UNUSED_UNUSED" hidden="1">"c8141"</definedName>
    <definedName name="IQ_BUDGET_RECEIPTS_YOY_UNUSED_UNUSED_UNUSED" hidden="1">"c7261"</definedName>
    <definedName name="IQ_BUILDINGS" hidden="1">"c99"</definedName>
    <definedName name="IQ_BUSINESS_DESCRIPTION" hidden="1">"c322"</definedName>
    <definedName name="IQ_BV_OVER_SHARES" hidden="1">"c177"</definedName>
    <definedName name="IQ_BV_SHARE" hidden="1">"c100"</definedName>
    <definedName name="IQ_CAL_Q" hidden="1">"c246"</definedName>
    <definedName name="IQ_CAL_Y" hidden="1">"c248"</definedName>
    <definedName name="IQ_CALL_FEATURE" hidden="1">"c2197"</definedName>
    <definedName name="IQ_CALLABLE" hidden="1">"c2196"</definedName>
    <definedName name="IQ_CAPEX" hidden="1">"c126"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"c99"</definedName>
    <definedName name="IQ_CAPITAL_LEASES" hidden="1">"c115"</definedName>
    <definedName name="IQ_CAPITALIZED_INTEREST" hidden="1">"c2076"</definedName>
    <definedName name="IQ_CASH" hidden="1">"c69"</definedName>
    <definedName name="IQ_CASH_ACQUIRE_CF" hidden="1">"c1630"</definedName>
    <definedName name="IQ_CASH_CONVERSION" hidden="1">"c117"</definedName>
    <definedName name="IQ_CASH_DUE_BANKS" hidden="1">"c71"</definedName>
    <definedName name="IQ_CASH_EQUIV" hidden="1">"c70"</definedName>
    <definedName name="IQ_CASH_FINAN" hidden="1">"c119"</definedName>
    <definedName name="IQ_CASH_INTEREST" hidden="1">"c137"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"c73"</definedName>
    <definedName name="IQ_CASH_ST_INVEST" hidden="1">"c124"</definedName>
    <definedName name="IQ_CASH_TAXES" hidden="1">"c138"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_REAL_APR_FC_UNUSED_UNUSED_UNUSED" hidden="1">"c8500"</definedName>
    <definedName name="IQ_CHANGE_INVENT_REAL_APR_UNUSED_UNUSED_UNUSED" hidden="1">"c7620"</definedName>
    <definedName name="IQ_CHANGE_INVENT_REAL_FC_UNUSED_UNUSED_UNUSED" hidden="1">"c7840"</definedName>
    <definedName name="IQ_CHANGE_INVENT_REAL_POP_FC_UNUSED_UNUSED_UNUSED" hidden="1">"c8060"</definedName>
    <definedName name="IQ_CHANGE_INVENT_REAL_POP_UNUSED_UNUSED_UNUSED" hidden="1">"c7180"</definedName>
    <definedName name="IQ_CHANGE_INVENT_REAL_UNUSED_UNUSED_UNUSED" hidden="1">"c6960"</definedName>
    <definedName name="IQ_CHANGE_INVENT_REAL_YOY_FC_UNUSED_UNUSED_UNUSED" hidden="1">"c8280"</definedName>
    <definedName name="IQ_CHANGE_INVENT_REAL_YOY_UNUSED_UNUSED_UNUSED" hidden="1">"c7400"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"c124"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"c216"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UTSTANDING_BS_DATE" hidden="1">"c1971"</definedName>
    <definedName name="IQ_CLASSA_OUTSTANDING_FILING_DATE" hidden="1">"c1973"</definedName>
    <definedName name="IQ_CLOSEPRICE" hidden="1">"c206"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"c108"</definedName>
    <definedName name="IQ_COMP_BENEFITS" hidden="1">"c213"</definedName>
    <definedName name="IQ_COMPANY_ADDRESS" hidden="1">"c213"</definedName>
    <definedName name="IQ_COMPANY_NAME" hidden="1">"c208"</definedName>
    <definedName name="IQ_COMPANY_NAME_LONG" hidden="1">"c1585"</definedName>
    <definedName name="IQ_COMPANY_PHONE" hidden="1">"c219"</definedName>
    <definedName name="IQ_COMPANY_STATUS" hidden="1">"c2097"</definedName>
    <definedName name="IQ_COMPANY_STREET1" hidden="1">"c214"</definedName>
    <definedName name="IQ_COMPANY_STREET2" hidden="1">"c215"</definedName>
    <definedName name="IQ_COMPANY_TICKER" hidden="1">"c209"</definedName>
    <definedName name="IQ_COMPANY_TYPE" hidden="1">"c2096"</definedName>
    <definedName name="IQ_COMPANY_WEBSITE" hidden="1">"c212"</definedName>
    <definedName name="IQ_COMPANY_ZIP" hidden="1">"c218"</definedName>
    <definedName name="IQ_CONSTRUCTION_LOANS" hidden="1">"c222"</definedName>
    <definedName name="IQ_CONSUMER_LOANS" hidden="1">"c223"</definedName>
    <definedName name="IQ_CONTRACTS_OTHER_COMMODITIES_EQUITIES._FDIC" hidden="1">"c6522"</definedName>
    <definedName name="IQ_CONV_DATE" hidden="1">"c2191"</definedName>
    <definedName name="IQ_CONV_PREMIUM" hidden="1">"c2195"</definedName>
    <definedName name="IQ_CONV_PRICE" hidden="1">"c2193"</definedName>
    <definedName name="IQ_CONV_RATE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XITY" hidden="1">"c2182"</definedName>
    <definedName name="IQ_CORP_GOODS_PRICE_INDEX_APR_FC_UNUSED_UNUSED_UNUSED" hidden="1">"c8381"</definedName>
    <definedName name="IQ_CORP_GOODS_PRICE_INDEX_APR_UNUSED_UNUSED_UNUSED" hidden="1">"c7501"</definedName>
    <definedName name="IQ_CORP_GOODS_PRICE_INDEX_FC_UNUSED_UNUSED_UNUSED" hidden="1">"c7721"</definedName>
    <definedName name="IQ_CORP_GOODS_PRICE_INDEX_POP_FC_UNUSED_UNUSED_UNUSED" hidden="1">"c7941"</definedName>
    <definedName name="IQ_CORP_GOODS_PRICE_INDEX_POP_UNUSED_UNUSED_UNUSED" hidden="1">"c7061"</definedName>
    <definedName name="IQ_CORP_GOODS_PRICE_INDEX_UNUSED_UNUSED_UNUSED" hidden="1">"c6841"</definedName>
    <definedName name="IQ_CORP_GOODS_PRICE_INDEX_YOY_FC_UNUSED_UNUSED_UNUSED" hidden="1">"c8161"</definedName>
    <definedName name="IQ_CORP_GOODS_PRICE_INDEX_YOY_UNUSED_UNUSED_UNUSED" hidden="1">"c7281"</definedName>
    <definedName name="IQ_COST_BORROWINGS" hidden="1">"c225"</definedName>
    <definedName name="IQ_COST_REV" hidden="1">"c226"</definedName>
    <definedName name="IQ_COST_REVENUE" hidden="1">"c6"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"c220"</definedName>
    <definedName name="IQ_COVERED_POPS" hidden="1">"c2124"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ACCT_BALANCE_APR_FC_UNUSED_UNUSED_UNUSED" hidden="1">"c8387"</definedName>
    <definedName name="IQ_CURR_ACCT_BALANCE_APR_UNUSED_UNUSED_UNUSED" hidden="1">"c7507"</definedName>
    <definedName name="IQ_CURR_ACCT_BALANCE_FC_UNUSED_UNUSED_UNUSED" hidden="1">"c7727"</definedName>
    <definedName name="IQ_CURR_ACCT_BALANCE_POP_FC_UNUSED_UNUSED_UNUSED" hidden="1">"c7947"</definedName>
    <definedName name="IQ_CURR_ACCT_BALANCE_POP_UNUSED_UNUSED_UNUSED" hidden="1">"c7067"</definedName>
    <definedName name="IQ_CURR_ACCT_BALANCE_UNUSED_UNUSED_UNUSED" hidden="1">"c6847"</definedName>
    <definedName name="IQ_CURR_ACCT_BALANCE_YOY_FC_UNUSED_UNUSED_UNUSED" hidden="1">"c8167"</definedName>
    <definedName name="IQ_CURR_ACCT_BALANCE_YOY_UNUSED_UNUSED_UNUSED" hidden="1">"c7287"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"c95"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"c164"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"c154"</definedName>
    <definedName name="IQ_DAYS_PAYABLE_OUT" hidden="1">"c274"</definedName>
    <definedName name="IQ_DAYS_SALES_OUT" hidden="1">"c275"</definedName>
    <definedName name="IQ_DAYS_SALES_OUTST" hidden="1">"c153"</definedName>
    <definedName name="IQ_DEF_ACQ_CST" hidden="1">"c290"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"c102"</definedName>
    <definedName name="IQ_DEFERRED_TAXES" hidden="1">"c122"</definedName>
    <definedName name="IQ_DEMAND_DEP" hidden="1">"c320"</definedName>
    <definedName name="IQ_DEPOSITS_FIN" hidden="1">"c321"</definedName>
    <definedName name="IQ_DEPRE_AMORT" hidden="1">"c10"</definedName>
    <definedName name="IQ_DEPRE_AMORT_SUPPL" hidden="1">"c54"</definedName>
    <definedName name="IQ_DEPRE_DEPLE" hidden="1">"c120"</definedName>
    <definedName name="IQ_DEPRE_SUPP" hidden="1">"c136"</definedName>
    <definedName name="IQ_DESCRIPTION_LONG" hidden="1">"c211"</definedName>
    <definedName name="IQ_DEVELOP_LAND" hidden="1">"c323"</definedName>
    <definedName name="IQ_DIFF_LASTCLOSE_TARGET_PRICE" hidden="1">"c1854"</definedName>
    <definedName name="IQ_DILUT_ADJUST" hidden="1">"c47"</definedName>
    <definedName name="IQ_DILUT_EPS_EXCL" hidden="1">"c49"</definedName>
    <definedName name="IQ_DILUT_EPS_INCL" hidden="1">"c50"</definedName>
    <definedName name="IQ_DILUT_EPS_NORM" hidden="1">"c1903"</definedName>
    <definedName name="IQ_DILUT_NI" hidden="1">"c2079"</definedName>
    <definedName name="IQ_DILUT_NORMAL_EPS" hidden="1">"c66"</definedName>
    <definedName name="IQ_DILUT_WEIGHT" hidden="1">"c48"</definedName>
    <definedName name="IQ_DISCONT_OPER" hidden="1">"c37"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"c51"</definedName>
    <definedName name="IQ_DIVIDEND_YIELD" hidden="1">"c230"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"c22"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"c141"</definedName>
    <definedName name="IQ_EBIT_MEDIAN_EST" hidden="1">"c1682"</definedName>
    <definedName name="IQ_EBIT_NUM_EST" hidden="1">"c1685"</definedName>
    <definedName name="IQ_EBIT_OVER_IE" hidden="1">"c184"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"c23"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"c186"</definedName>
    <definedName name="IQ_EBITDA_EST" hidden="1">"c252"</definedName>
    <definedName name="IQ_EBITDA_HIGH_EST" hidden="1">"c265"</definedName>
    <definedName name="IQ_EBITDA_INT" hidden="1">"c373"</definedName>
    <definedName name="IQ_EBITDA_LOW_EST" hidden="1">"c266"</definedName>
    <definedName name="IQ_EBITDA_MARGIN" hidden="1">"c140"</definedName>
    <definedName name="IQ_EBITDA_MEDIAN_EST" hidden="1">"c1663"</definedName>
    <definedName name="IQ_EBITDA_NUM_EST" hidden="1">"c267"</definedName>
    <definedName name="IQ_EBITDA_OVER_TOTAL_IE" hidden="1">"c185"</definedName>
    <definedName name="IQ_EBITDA_STDDEV_EST" hidden="1">"c268"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CO_METRIC_6825_UNUSED_UNUSED_UNUSED" hidden="1">"c6825"</definedName>
    <definedName name="IQ_ECO_METRIC_6839_UNUSED_UNUSED_UNUSED" hidden="1">"c6839"</definedName>
    <definedName name="IQ_ECO_METRIC_6896_UNUSED_UNUSED_UNUSED" hidden="1">"c6896"</definedName>
    <definedName name="IQ_ECO_METRIC_6897_UNUSED_UNUSED_UNUSED" hidden="1">"c6897"</definedName>
    <definedName name="IQ_ECO_METRIC_6988_UNUSED_UNUSED_UNUSED" hidden="1">"c6988"</definedName>
    <definedName name="IQ_ECO_METRIC_7045_UNUSED_UNUSED_UNUSED" hidden="1">"c7045"</definedName>
    <definedName name="IQ_ECO_METRIC_7059_UNUSED_UNUSED_UNUSED" hidden="1">"c7059"</definedName>
    <definedName name="IQ_ECO_METRIC_7116_UNUSED_UNUSED_UNUSED" hidden="1">"c7116"</definedName>
    <definedName name="IQ_ECO_METRIC_7117_UNUSED_UNUSED_UNUSED" hidden="1">"c7117"</definedName>
    <definedName name="IQ_ECO_METRIC_7208_UNUSED_UNUSED_UNUSED" hidden="1">"c7208"</definedName>
    <definedName name="IQ_ECO_METRIC_7265_UNUSED_UNUSED_UNUSED" hidden="1">"c7265"</definedName>
    <definedName name="IQ_ECO_METRIC_7279_UNUSED_UNUSED_UNUSED" hidden="1">"c7279"</definedName>
    <definedName name="IQ_ECO_METRIC_7336_UNUSED_UNUSED_UNUSED" hidden="1">"c7336"</definedName>
    <definedName name="IQ_ECO_METRIC_7337_UNUSED_UNUSED_UNUSED" hidden="1">"c7337"</definedName>
    <definedName name="IQ_ECO_METRIC_7428_UNUSED_UNUSED_UNUSED" hidden="1">"c7428"</definedName>
    <definedName name="IQ_ECO_METRIC_7556_UNUSED_UNUSED_UNUSED" hidden="1">"c7556"</definedName>
    <definedName name="IQ_ECO_METRIC_7557_UNUSED_UNUSED_UNUSED" hidden="1">"c7557"</definedName>
    <definedName name="IQ_ECO_METRIC_7648_UNUSED_UNUSED_UNUSED" hidden="1">"c7648"</definedName>
    <definedName name="IQ_ECO_METRIC_7705_UNUSED_UNUSED_UNUSED" hidden="1">"c7705"</definedName>
    <definedName name="IQ_ECO_METRIC_7719_UNUSED_UNUSED_UNUSED" hidden="1">"c7719"</definedName>
    <definedName name="IQ_ECO_METRIC_7776_UNUSED_UNUSED_UNUSED" hidden="1">"c7776"</definedName>
    <definedName name="IQ_ECO_METRIC_7777_UNUSED_UNUSED_UNUSED" hidden="1">"c7777"</definedName>
    <definedName name="IQ_ECO_METRIC_7868_UNUSED_UNUSED_UNUSED" hidden="1">"c7868"</definedName>
    <definedName name="IQ_ECO_METRIC_7925_UNUSED_UNUSED_UNUSED" hidden="1">"c7925"</definedName>
    <definedName name="IQ_ECO_METRIC_7939_UNUSED_UNUSED_UNUSED" hidden="1">"c7939"</definedName>
    <definedName name="IQ_ECO_METRIC_7996_UNUSED_UNUSED_UNUSED" hidden="1">"c7996"</definedName>
    <definedName name="IQ_ECO_METRIC_7997_UNUSED_UNUSED_UNUSED" hidden="1">"c7997"</definedName>
    <definedName name="IQ_ECO_METRIC_8088_UNUSED_UNUSED_UNUSED" hidden="1">"c8088"</definedName>
    <definedName name="IQ_ECO_METRIC_8145_UNUSED_UNUSED_UNUSED" hidden="1">"c8145"</definedName>
    <definedName name="IQ_ECO_METRIC_8159_UNUSED_UNUSED_UNUSED" hidden="1">"c8159"</definedName>
    <definedName name="IQ_ECO_METRIC_8216_UNUSED_UNUSED_UNUSED" hidden="1">"c8216"</definedName>
    <definedName name="IQ_ECO_METRIC_8217_UNUSED_UNUSED_UNUSED" hidden="1">"c8217"</definedName>
    <definedName name="IQ_ECO_METRIC_8308_UNUSED_UNUSED_UNUSED" hidden="1">"c8308"</definedName>
    <definedName name="IQ_ECO_METRIC_8436_UNUSED_UNUSED_UNUSED" hidden="1">"c8436"</definedName>
    <definedName name="IQ_ECO_METRIC_8437_UNUSED_UNUSED_UNUSED" hidden="1">"c8437"</definedName>
    <definedName name="IQ_ECO_METRIC_8528_UNUSED_UNUSED_UNUSED" hidden="1">"c8528"</definedName>
    <definedName name="IQ_EFFECT_SPECIAL_CHARGE" hidden="1">"c61"</definedName>
    <definedName name="IQ_EFFECT_TAX_RATE" hidden="1">"c1899"</definedName>
    <definedName name="IQ_EFFICIENCY_RATIO" hidden="1">"c391"</definedName>
    <definedName name="IQ_EMPLOYEES" hidden="1">"c221"</definedName>
    <definedName name="IQ_ENTERPRISE_VALUE" hidden="1">"c2"</definedName>
    <definedName name="IQ_EPS" hidden="1">"IQ_EPS"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"c187"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"c269"</definedName>
    <definedName name="IQ_EPS_LOW_EST" hidden="1">"c270"</definedName>
    <definedName name="IQ_EPS_MEDIAN_EST" hidden="1">"c1661"</definedName>
    <definedName name="IQ_EPS_NORM" hidden="1">"c1902"</definedName>
    <definedName name="IQ_EPS_NUM_EST" hidden="1">"c271"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"c272"</definedName>
    <definedName name="IQ_EQUITY_AFFIL" hidden="1">"c33"</definedName>
    <definedName name="IQ_EQUITY_METHOD" hidden="1">"c404"</definedName>
    <definedName name="IQ_EQV_OVER_BV" hidden="1">"c173"</definedName>
    <definedName name="IQ_EQV_OVER_LTM_PRETAX_INC" hidden="1">"c178"</definedName>
    <definedName name="IQ_ESOP_DEBT" hidden="1">"c112"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" hidden="1">"c1635"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"c172"</definedName>
    <definedName name="IQ_EV_OVER_LTM_EBIT" hidden="1">"c167"</definedName>
    <definedName name="IQ_EV_OVER_LTM_EBITDA" hidden="1">"c168"</definedName>
    <definedName name="IQ_EV_OVER_LTM_REVENUE" hidden="1">"c169"</definedName>
    <definedName name="IQ_EVAL_DATE" hidden="1">"c2180"</definedName>
    <definedName name="IQ_EXCHANGE" hidden="1">"c210"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PORTS_APR_FC_UNUSED_UNUSED_UNUSED" hidden="1">"c8401"</definedName>
    <definedName name="IQ_EXPORTS_APR_UNUSED_UNUSED_UNUSED" hidden="1">"c7521"</definedName>
    <definedName name="IQ_EXPORTS_FC_UNUSED_UNUSED_UNUSED" hidden="1">"c7741"</definedName>
    <definedName name="IQ_EXPORTS_GOODS_REAL_SAAR_APR_FC_UNUSED_UNUSED_UNUSED" hidden="1">"c8512"</definedName>
    <definedName name="IQ_EXPORTS_GOODS_REAL_SAAR_APR_UNUSED_UNUSED_UNUSED" hidden="1">"c7632"</definedName>
    <definedName name="IQ_EXPORTS_GOODS_REAL_SAAR_FC_UNUSED_UNUSED_UNUSED" hidden="1">"c7852"</definedName>
    <definedName name="IQ_EXPORTS_GOODS_REAL_SAAR_POP_FC_UNUSED_UNUSED_UNUSED" hidden="1">"c8072"</definedName>
    <definedName name="IQ_EXPORTS_GOODS_REAL_SAAR_POP_UNUSED_UNUSED_UNUSED" hidden="1">"c7192"</definedName>
    <definedName name="IQ_EXPORTS_GOODS_REAL_SAAR_UNUSED_UNUSED_UNUSED" hidden="1">"c6972"</definedName>
    <definedName name="IQ_EXPORTS_GOODS_REAL_SAAR_YOY_FC_UNUSED_UNUSED_UNUSED" hidden="1">"c8292"</definedName>
    <definedName name="IQ_EXPORTS_GOODS_REAL_SAAR_YOY_UNUSED_UNUSED_UNUSED" hidden="1">"c7412"</definedName>
    <definedName name="IQ_EXPORTS_POP_FC_UNUSED_UNUSED_UNUSED" hidden="1">"c7961"</definedName>
    <definedName name="IQ_EXPORTS_POP_UNUSED_UNUSED_UNUSED" hidden="1">"c7081"</definedName>
    <definedName name="IQ_EXPORTS_SERVICES_REAL_SAAR_APR_FC_UNUSED_UNUSED_UNUSED" hidden="1">"c8516"</definedName>
    <definedName name="IQ_EXPORTS_SERVICES_REAL_SAAR_APR_UNUSED_UNUSED_UNUSED" hidden="1">"c7636"</definedName>
    <definedName name="IQ_EXPORTS_SERVICES_REAL_SAAR_FC_UNUSED_UNUSED_UNUSED" hidden="1">"c7856"</definedName>
    <definedName name="IQ_EXPORTS_SERVICES_REAL_SAAR_POP_FC_UNUSED_UNUSED_UNUSED" hidden="1">"c8076"</definedName>
    <definedName name="IQ_EXPORTS_SERVICES_REAL_SAAR_POP_UNUSED_UNUSED_UNUSED" hidden="1">"c7196"</definedName>
    <definedName name="IQ_EXPORTS_SERVICES_REAL_SAAR_UNUSED_UNUSED_UNUSED" hidden="1">"c6976"</definedName>
    <definedName name="IQ_EXPORTS_SERVICES_REAL_SAAR_YOY_FC_UNUSED_UNUSED_UNUSED" hidden="1">"c8296"</definedName>
    <definedName name="IQ_EXPORTS_SERVICES_REAL_SAAR_YOY_UNUSED_UNUSED_UNUSED" hidden="1">"c7416"</definedName>
    <definedName name="IQ_EXPORTS_UNUSED_UNUSED_UNUSED" hidden="1">"c6861"</definedName>
    <definedName name="IQ_EXPORTS_YOY_FC_UNUSED_UNUSED_UNUSED" hidden="1">"c8181"</definedName>
    <definedName name="IQ_EXPORTS_YOY_UNUSED_UNUSED_UNUSED" hidden="1">"c7301"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"c38"</definedName>
    <definedName name="IQ_FDIC" hidden="1">"c417"</definedName>
    <definedName name="IQ_FEDFUNDS_SOLD" hidden="1">"c2256"</definedName>
    <definedName name="IQ_FFO" hidden="1">"c1574"</definedName>
    <definedName name="IQ_FFO_EST" hidden="1">"c273"</definedName>
    <definedName name="IQ_FFO_HIGH_EST" hidden="1">"c274"</definedName>
    <definedName name="IQ_FFO_LOW_EST" hidden="1">"c275"</definedName>
    <definedName name="IQ_FFO_MEDIAN_EST" hidden="1">"c1665"</definedName>
    <definedName name="IQ_FFO_NUM_EST" hidden="1">"c276"</definedName>
    <definedName name="IQ_FFO_STDDEV_EST" hidden="1">"c277"</definedName>
    <definedName name="IQ_FH" hidden="1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NOTES_PAY_TOTAL" hidden="1">"c5522"</definedName>
    <definedName name="IQ_FIN_DIV_REV" hidden="1">"c437"</definedName>
    <definedName name="IQ_FINANCING_CASH" hidden="1">"c129"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SCAL_Q" hidden="1">"c245"</definedName>
    <definedName name="IQ_FISCAL_Y" hidden="1">"c247"</definedName>
    <definedName name="IQ_FIVE_PERCENT_OWNER" hidden="1">"c239"</definedName>
    <definedName name="IQ_FIVEPERCENT_PERCENT" hidden="1">"c240"</definedName>
    <definedName name="IQ_FIVEPERCENT_SHARES" hidden="1">"c251"</definedName>
    <definedName name="IQ_FIXED_ASSET_TURNS" hidden="1">"c445"</definedName>
    <definedName name="IQ_FIXED_INVEST_APR_FC_UNUSED_UNUSED_UNUSED" hidden="1">"c8410"</definedName>
    <definedName name="IQ_FIXED_INVEST_APR_UNUSED_UNUSED_UNUSED" hidden="1">"c7530"</definedName>
    <definedName name="IQ_FIXED_INVEST_FC_UNUSED_UNUSED_UNUSED" hidden="1">"c7750"</definedName>
    <definedName name="IQ_FIXED_INVEST_POP_FC_UNUSED_UNUSED_UNUSED" hidden="1">"c7970"</definedName>
    <definedName name="IQ_FIXED_INVEST_POP_UNUSED_UNUSED_UNUSED" hidden="1">"c7090"</definedName>
    <definedName name="IQ_FIXED_INVEST_REAL_APR_FC_UNUSED_UNUSED_UNUSED" hidden="1">"c8518"</definedName>
    <definedName name="IQ_FIXED_INVEST_REAL_APR_UNUSED_UNUSED_UNUSED" hidden="1">"c7638"</definedName>
    <definedName name="IQ_FIXED_INVEST_REAL_FC_UNUSED_UNUSED_UNUSED" hidden="1">"c7858"</definedName>
    <definedName name="IQ_FIXED_INVEST_REAL_POP_FC_UNUSED_UNUSED_UNUSED" hidden="1">"c8078"</definedName>
    <definedName name="IQ_FIXED_INVEST_REAL_POP_UNUSED_UNUSED_UNUSED" hidden="1">"c7198"</definedName>
    <definedName name="IQ_FIXED_INVEST_REAL_UNUSED_UNUSED_UNUSED" hidden="1">"c6978"</definedName>
    <definedName name="IQ_FIXED_INVEST_REAL_YOY_FC_UNUSED_UNUSED_UNUSED" hidden="1">"c8298"</definedName>
    <definedName name="IQ_FIXED_INVEST_REAL_YOY_UNUSED_UNUSED_UNUSED" hidden="1">"c7418"</definedName>
    <definedName name="IQ_FIXED_INVEST_UNUSED_UNUSED_UNUSED" hidden="1">"c6870"</definedName>
    <definedName name="IQ_FIXED_INVEST_YOY_FC_UNUSED_UNUSED_UNUSED" hidden="1">"c8190"</definedName>
    <definedName name="IQ_FIXED_INVEST_YOY_UNUSED_UNUSED_UNUSED" hidden="1">"c7310"</definedName>
    <definedName name="IQ_FLOAT_PERCENT" hidden="1">"c1575"</definedName>
    <definedName name="IQ_FOREIGN_BRANCHES_U.S._BANKS_LOANS_FDIC" hidden="1">"c6438"</definedName>
    <definedName name="IQ_FOREIGN_DEP_IB" hidden="1">"c446"</definedName>
    <definedName name="IQ_FOREIGN_DEP_NON_IB" hidden="1">"c447"</definedName>
    <definedName name="IQ_FOREIGN_EXCHANGE" hidden="1">"c134"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X" hidden="1">"c451"</definedName>
    <definedName name="IQ_FY" hidden="1">1000</definedName>
    <definedName name="IQ_FY_DATE" hidden="1">"IQ_FY_DATE"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"c27"</definedName>
    <definedName name="IQ_GOODWILL_NET" hidden="1">"c85"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"c52"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"c139"</definedName>
    <definedName name="IQ_GROSS_PROFIT" hidden="1">"c7"</definedName>
    <definedName name="IQ_GROSS_SPRD" hidden="1">"c2155"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"c193"</definedName>
    <definedName name="IQ_HOMEOWNERS_WRITTEN" hidden="1">"c546"</definedName>
    <definedName name="IQ_HOUSING_COMPLETIONS_SINGLE_FAM_APR_FC_UNUSED_UNUSED_UNUSED" hidden="1">"c8422"</definedName>
    <definedName name="IQ_HOUSING_COMPLETIONS_SINGLE_FAM_APR_UNUSED_UNUSED_UNUSED" hidden="1">"c7542"</definedName>
    <definedName name="IQ_HOUSING_COMPLETIONS_SINGLE_FAM_FC_UNUSED_UNUSED_UNUSED" hidden="1">"c7762"</definedName>
    <definedName name="IQ_HOUSING_COMPLETIONS_SINGLE_FAM_POP_FC_UNUSED_UNUSED_UNUSED" hidden="1">"c7982"</definedName>
    <definedName name="IQ_HOUSING_COMPLETIONS_SINGLE_FAM_POP_UNUSED_UNUSED_UNUSED" hidden="1">"c7102"</definedName>
    <definedName name="IQ_HOUSING_COMPLETIONS_SINGLE_FAM_UNUSED_UNUSED_UNUSED" hidden="1">"c6882"</definedName>
    <definedName name="IQ_HOUSING_COMPLETIONS_SINGLE_FAM_YOY_FC_UNUSED_UNUSED_UNUSED" hidden="1">"c8202"</definedName>
    <definedName name="IQ_HOUSING_COMPLETIONS_SINGLE_FAM_YOY_UNUSED_UNUSED_UNUSED" hidden="1">"c7322"</definedName>
    <definedName name="IQ_IMPAIR_OIL" hidden="1">"c547"</definedName>
    <definedName name="IQ_IMPAIRMENT_GW" hidden="1">"c548"</definedName>
    <definedName name="IQ_IMPORTS_GOODS_REAL_SAAR_APR_FC_UNUSED_UNUSED_UNUSED" hidden="1">"c8523"</definedName>
    <definedName name="IQ_IMPORTS_GOODS_REAL_SAAR_APR_UNUSED_UNUSED_UNUSED" hidden="1">"c7643"</definedName>
    <definedName name="IQ_IMPORTS_GOODS_REAL_SAAR_FC_UNUSED_UNUSED_UNUSED" hidden="1">"c7863"</definedName>
    <definedName name="IQ_IMPORTS_GOODS_REAL_SAAR_POP_FC_UNUSED_UNUSED_UNUSED" hidden="1">"c8083"</definedName>
    <definedName name="IQ_IMPORTS_GOODS_REAL_SAAR_POP_UNUSED_UNUSED_UNUSED" hidden="1">"c7203"</definedName>
    <definedName name="IQ_IMPORTS_GOODS_REAL_SAAR_UNUSED_UNUSED_UNUSED" hidden="1">"c6983"</definedName>
    <definedName name="IQ_IMPORTS_GOODS_REAL_SAAR_YOY_FC_UNUSED_UNUSED_UNUSED" hidden="1">"c8303"</definedName>
    <definedName name="IQ_IMPORTS_GOODS_REAL_SAAR_YOY_UNUSED_UNUSED_UNUSED" hidden="1">"c7423"</definedName>
    <definedName name="IQ_IMPORTS_GOODS_SERVICES_APR_FC_UNUSED_UNUSED_UNUSED" hidden="1">"c8429"</definedName>
    <definedName name="IQ_IMPORTS_GOODS_SERVICES_APR_UNUSED_UNUSED_UNUSED" hidden="1">"c7549"</definedName>
    <definedName name="IQ_IMPORTS_GOODS_SERVICES_FC_UNUSED_UNUSED_UNUSED" hidden="1">"c7769"</definedName>
    <definedName name="IQ_IMPORTS_GOODS_SERVICES_POP_FC_UNUSED_UNUSED_UNUSED" hidden="1">"c7989"</definedName>
    <definedName name="IQ_IMPORTS_GOODS_SERVICES_POP_UNUSED_UNUSED_UNUSED" hidden="1">"c7109"</definedName>
    <definedName name="IQ_IMPORTS_GOODS_SERVICES_REAL_SAAR_APR_FC_UNUSED_UNUSED_UNUSED" hidden="1">"c8524"</definedName>
    <definedName name="IQ_IMPORTS_GOODS_SERVICES_REAL_SAAR_APR_UNUSED_UNUSED_UNUSED" hidden="1">"c7644"</definedName>
    <definedName name="IQ_IMPORTS_GOODS_SERVICES_REAL_SAAR_FC_UNUSED_UNUSED_UNUSED" hidden="1">"c7864"</definedName>
    <definedName name="IQ_IMPORTS_GOODS_SERVICES_REAL_SAAR_POP_FC_UNUSED_UNUSED_UNUSED" hidden="1">"c8084"</definedName>
    <definedName name="IQ_IMPORTS_GOODS_SERVICES_REAL_SAAR_POP_UNUSED_UNUSED_UNUSED" hidden="1">"c7204"</definedName>
    <definedName name="IQ_IMPORTS_GOODS_SERVICES_REAL_SAAR_UNUSED_UNUSED_UNUSED" hidden="1">"c6984"</definedName>
    <definedName name="IQ_IMPORTS_GOODS_SERVICES_REAL_SAAR_YOY_FC_UNUSED_UNUSED_UNUSED" hidden="1">"c8304"</definedName>
    <definedName name="IQ_IMPORTS_GOODS_SERVICES_REAL_SAAR_YOY_UNUSED_UNUSED_UNUSED" hidden="1">"c7424"</definedName>
    <definedName name="IQ_IMPORTS_GOODS_SERVICES_UNUSED_UNUSED_UNUSED" hidden="1">"c6889"</definedName>
    <definedName name="IQ_IMPORTS_GOODS_SERVICES_YOY_FC_UNUSED_UNUSED_UNUSED" hidden="1">"c8209"</definedName>
    <definedName name="IQ_IMPORTS_GOODS_SERVICES_YOY_UNUSED_UNUSED_UNUSED" hidden="1">"c7329"</definedName>
    <definedName name="IQ_INC_AFTER_TAX" hidden="1">"c31"</definedName>
    <definedName name="IQ_INC_AVAIL_EXCL" hidden="1">"c42"</definedName>
    <definedName name="IQ_INC_AVAIL_INCL" hidden="1">"c43"</definedName>
    <definedName name="IQ_INC_BEFORE_TAX" hidden="1">"c29"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"c30"</definedName>
    <definedName name="IQ_INC_TAX_EXCL" hidden="1">"c62"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"c237"</definedName>
    <definedName name="IQ_INSIDER_PERCENT" hidden="1">"c238"</definedName>
    <definedName name="IQ_INSIDER_SHARES" hidden="1">"c250"</definedName>
    <definedName name="IQ_INSTITUTIONAL_OVER_TOTAL" hidden="1">"c1580"</definedName>
    <definedName name="IQ_INSTITUTIONAL_OWNER" hidden="1">"c235"</definedName>
    <definedName name="IQ_INSTITUTIONAL_PERCENT" hidden="1">"c236"</definedName>
    <definedName name="IQ_INSTITUTIONAL_SHARES" hidden="1">"c249"</definedName>
    <definedName name="IQ_INSUR_RECEIV" hidden="1">"c288"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"c86"</definedName>
    <definedName name="IQ_INTEREST_CASH_DEPOSITS" hidden="1">"c2255"</definedName>
    <definedName name="IQ_INTEREST_EXP" hidden="1">"c618"</definedName>
    <definedName name="IQ_INTEREST_EXP_NET" hidden="1">"c17"</definedName>
    <definedName name="IQ_INTEREST_EXP_NON" hidden="1">"c24"</definedName>
    <definedName name="IQ_INTEREST_EXP_SUPPL" hidden="1">"c53"</definedName>
    <definedName name="IQ_INTEREST_INC" hidden="1">"c26"</definedName>
    <definedName name="IQ_INTEREST_INC_NON" hidden="1">"c25"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"c147"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M_SERVICES_APR_FC_UNUSED_UNUSED_UNUSED" hidden="1">"c8443"</definedName>
    <definedName name="IQ_ISM_SERVICES_APR_UNUSED_UNUSED_UNUSED" hidden="1">"c7563"</definedName>
    <definedName name="IQ_ISM_SERVICES_FC_UNUSED_UNUSED_UNUSED" hidden="1">"c7783"</definedName>
    <definedName name="IQ_ISM_SERVICES_POP_FC_UNUSED_UNUSED_UNUSED" hidden="1">"c8003"</definedName>
    <definedName name="IQ_ISM_SERVICES_POP_UNUSED_UNUSED_UNUSED" hidden="1">"c7123"</definedName>
    <definedName name="IQ_ISM_SERVICES_UNUSED_UNUSED_UNUSED" hidden="1">"c6903"</definedName>
    <definedName name="IQ_ISM_SERVICES_YOY_FC_UNUSED_UNUSED_UNUSED" hidden="1">"c8223"</definedName>
    <definedName name="IQ_ISM_SERVICES_YOY_UNUSED_UNUSED_UNUSED" hidden="1">"c7343"</definedName>
    <definedName name="IQ_ISS_DEBT_NET" hidden="1">"c132"</definedName>
    <definedName name="IQ_ISS_STOCK_NET" hidden="1">"c131"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SALEPRICE" hidden="1">"c191"</definedName>
    <definedName name="IQ_LASTSALEPRICE_DATE" hidden="1">"c2109"</definedName>
    <definedName name="IQ_LATEST" hidden="1">"1"</definedName>
    <definedName name="IQ_LATESTK" hidden="1">1000</definedName>
    <definedName name="IQ_LATESTKFR" hidden="1">"100"</definedName>
    <definedName name="IQ_LATESTQ" hidden="1">500</definedName>
    <definedName name="IQ_LATESTQFR" hidden="1">"50"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"c12"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"c98"</definedName>
    <definedName name="IQ_LONG_TERM_DEBT_OVER_TOTAL_CAP" hidden="1">"c181"</definedName>
    <definedName name="IQ_LONG_TERM_GROWTH" hidden="1">"c143"</definedName>
    <definedName name="IQ_LONG_TERM_INV" hidden="1">"c87"</definedName>
    <definedName name="IQ_LOSS_LOSS_EXP" hidden="1">"c672"</definedName>
    <definedName name="IQ_LOW_TARGET_PRICE" hidden="1">"c1652"</definedName>
    <definedName name="IQ_LOWPRICE" hidden="1">"c194"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"c289"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DATE" hidden="1">"IQ_LTM_DATE"</definedName>
    <definedName name="IQ_LTM_REVENUE_OVER_EMPLOYEES" hidden="1">"c179"</definedName>
    <definedName name="IQ_LTMMONTH" hidden="1">120000</definedName>
    <definedName name="IQ_MACHINERY" hidden="1">"c711"</definedName>
    <definedName name="IQ_MAINT_REPAIR" hidden="1">"c2087"</definedName>
    <definedName name="IQ_MARKET_CAP_LFCF" hidden="1">"c2209"</definedName>
    <definedName name="IQ_MARKETCAP" hidden="1">"c200"</definedName>
    <definedName name="IQ_MARKETING" hidden="1">"c2239"</definedName>
    <definedName name="IQ_MATURITY_DATE" hidden="1">"c2146"</definedName>
    <definedName name="IQ_MEDIAN_NEW_HOME_SALES_APR_FC_UNUSED_UNUSED_UNUSED" hidden="1">"c8460"</definedName>
    <definedName name="IQ_MEDIAN_NEW_HOME_SALES_APR_UNUSED_UNUSED_UNUSED" hidden="1">"c7580"</definedName>
    <definedName name="IQ_MEDIAN_NEW_HOME_SALES_FC_UNUSED_UNUSED_UNUSED" hidden="1">"c7800"</definedName>
    <definedName name="IQ_MEDIAN_NEW_HOME_SALES_POP_FC_UNUSED_UNUSED_UNUSED" hidden="1">"c8020"</definedName>
    <definedName name="IQ_MEDIAN_NEW_HOME_SALES_POP_UNUSED_UNUSED_UNUSED" hidden="1">"c7140"</definedName>
    <definedName name="IQ_MEDIAN_NEW_HOME_SALES_UNUSED_UNUSED_UNUSED" hidden="1">"c6920"</definedName>
    <definedName name="IQ_MEDIAN_NEW_HOME_SALES_YOY_FC_UNUSED_UNUSED_UNUSED" hidden="1">"c8240"</definedName>
    <definedName name="IQ_MEDIAN_NEW_HOME_SALES_YOY_UNUSED_UNUSED_UNUSED" hidden="1">"c7360"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"c103"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"c32"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"c41"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MES_REVISION_DATE_" hidden="1">40458.5574189815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"c135"</definedName>
    <definedName name="IQ_NET_DEBT" hidden="1">"c118"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"c39"</definedName>
    <definedName name="IQ_NET_INC_BEFORE" hidden="1">"c35"</definedName>
    <definedName name="IQ_NET_INC_CF" hidden="1">"c119"</definedName>
    <definedName name="IQ_NET_INC_MARGIN" hidden="1">"c142"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"c11"</definedName>
    <definedName name="IQ_NET_INTEREST_INC_AFTER_LL" hidden="1">"c13"</definedName>
    <definedName name="IQ_NET_LOANS" hidden="1">"c75"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"c123"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"c15"</definedName>
    <definedName name="IQ_NON_INTEREST_INC" hidden="1">"c14"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RES_FIXED_INVEST_PRIV_APR_FC_UNUSED_UNUSED_UNUSED" hidden="1">"c8468"</definedName>
    <definedName name="IQ_NONRES_FIXED_INVEST_PRIV_APR_UNUSED_UNUSED_UNUSED" hidden="1">"c7588"</definedName>
    <definedName name="IQ_NONRES_FIXED_INVEST_PRIV_FC_UNUSED_UNUSED_UNUSED" hidden="1">"c7808"</definedName>
    <definedName name="IQ_NONRES_FIXED_INVEST_PRIV_POP_FC_UNUSED_UNUSED_UNUSED" hidden="1">"c8028"</definedName>
    <definedName name="IQ_NONRES_FIXED_INVEST_PRIV_POP_UNUSED_UNUSED_UNUSED" hidden="1">"c7148"</definedName>
    <definedName name="IQ_NONRES_FIXED_INVEST_PRIV_UNUSED_UNUSED_UNUSED" hidden="1">"c6928"</definedName>
    <definedName name="IQ_NONRES_FIXED_INVEST_PRIV_YOY_FC_UNUSED_UNUSED_UNUSED" hidden="1">"c8248"</definedName>
    <definedName name="IQ_NONRES_FIXED_INVEST_PRIV_YOY_UNUSED_UNUSED_UNUSED" hidden="1">"c7368"</definedName>
    <definedName name="IQ_NONUTIL_REV" hidden="1">"c2089"</definedName>
    <definedName name="IQ_NORMAL_INC_AFTER" hidden="1">"c63"</definedName>
    <definedName name="IQ_NORMAL_INC_AVAIL" hidden="1">"c64"</definedName>
    <definedName name="IQ_NORMAL_INC_BEFORE" hidden="1">"c60"</definedName>
    <definedName name="IQ_NOTES_PAY" hidden="1">"c94"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ED55" hidden="1">1</definedName>
    <definedName name="IQ_OPENPRICE" hidden="1">"c195"</definedName>
    <definedName name="IQ_OPER_INC" hidden="1">"c21"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"c89"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"c285"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"c80"</definedName>
    <definedName name="IQ_OTHER_CURRENT_LIAB" hidden="1">"c96"</definedName>
    <definedName name="IQ_OTHER_DEP" hidden="1">"c885"</definedName>
    <definedName name="IQ_OTHER_EARNING" hidden="1">"c74"</definedName>
    <definedName name="IQ_OTHER_EQUITY" hidden="1">"c113"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"c127"</definedName>
    <definedName name="IQ_OTHER_LIAB" hidden="1">"c104"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"c88"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"c28"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"c19"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"c77"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"c4"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"c92"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2MONTHS_CIQ" hidden="1">"c3769"</definedName>
    <definedName name="IQ_PERCENT_CHANGE_EST_FFO_18MONTHS" hidden="1">"c1829"</definedName>
    <definedName name="IQ_PERCENT_CHANGE_EST_FFO_18MONTHS_CIQ" hidden="1">"c3770"</definedName>
    <definedName name="IQ_PERCENT_CHANGE_EST_FFO_3MONTHS" hidden="1">"c1825"</definedName>
    <definedName name="IQ_PERCENT_CHANGE_EST_FFO_3MONTHS_CIQ" hidden="1">"c3766"</definedName>
    <definedName name="IQ_PERCENT_CHANGE_EST_FFO_6MONTHS" hidden="1">"c1826"</definedName>
    <definedName name="IQ_PERCENT_CHANGE_EST_FFO_6MONTHS_CIQ" hidden="1">"c3767"</definedName>
    <definedName name="IQ_PERCENT_CHANGE_EST_FFO_9MONTHS" hidden="1">"c1827"</definedName>
    <definedName name="IQ_PERCENT_CHANGE_EST_FFO_9MONTHS_CIQ" hidden="1">"c3768"</definedName>
    <definedName name="IQ_PERCENT_CHANGE_EST_FFO_DAY" hidden="1">"c1822"</definedName>
    <definedName name="IQ_PERCENT_CHANGE_EST_FFO_DAY_CIQ" hidden="1">"c3764"</definedName>
    <definedName name="IQ_PERCENT_CHANGE_EST_FFO_MONTH" hidden="1">"c1824"</definedName>
    <definedName name="IQ_PERCENT_CHANGE_EST_FFO_MONTH_CIQ" hidden="1">"c3765"</definedName>
    <definedName name="IQ_PERCENT_CHANGE_EST_FFO_WEEK" hidden="1">"c1823"</definedName>
    <definedName name="IQ_PERCENT_CHANGE_EST_FFO_WEEK_CIQ" hidden="1">"c3795"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"c244"</definedName>
    <definedName name="IQ_PLL" hidden="1">"c2114"</definedName>
    <definedName name="IQ_PMT_FREQ" hidden="1">"c2236"</definedName>
    <definedName name="IQ_POLICY_BENEFITS" hidden="1">"c1036"</definedName>
    <definedName name="IQ_POLICY_COST" hidden="1">"c1037"</definedName>
    <definedName name="IQ_POLICY_LIAB" hidden="1">"c291"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"c40"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"c107"</definedName>
    <definedName name="IQ_PREF_TOT" hidden="1">"c294"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"c81"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OVER_BVPS" hidden="1">"c171"</definedName>
    <definedName name="IQ_PRICE_OVER_LTM_EPS" hidden="1">"c176"</definedName>
    <definedName name="IQ_PRICE_TARGET" hidden="1">"c82"</definedName>
    <definedName name="IQ_PRICEDATE" hidden="1">"c207"</definedName>
    <definedName name="IQ_PRICEDATETIME" hidden="1">"IQ_PRICEDATETIME"</definedName>
    <definedName name="IQ_PRICING_DATE" hidden="1">"c260"</definedName>
    <definedName name="IQ_PRIMARY_INDUSTRY" hidden="1">"c222"</definedName>
    <definedName name="IQ_PRINCIPAL_AMT" hidden="1">"c2157"</definedName>
    <definedName name="IQ_PRIVATE_CONST_TOTAL_APR_FC_UNUSED_UNUSED_UNUSED" hidden="1">"c8559"</definedName>
    <definedName name="IQ_PRIVATE_CONST_TOTAL_APR_UNUSED_UNUSED_UNUSED" hidden="1">"c7679"</definedName>
    <definedName name="IQ_PRIVATE_CONST_TOTAL_FC_UNUSED_UNUSED_UNUSED" hidden="1">"c7899"</definedName>
    <definedName name="IQ_PRIVATE_CONST_TOTAL_POP_FC_UNUSED_UNUSED_UNUSED" hidden="1">"c8119"</definedName>
    <definedName name="IQ_PRIVATE_CONST_TOTAL_POP_UNUSED_UNUSED_UNUSED" hidden="1">"c7239"</definedName>
    <definedName name="IQ_PRIVATE_CONST_TOTAL_UNUSED_UNUSED_UNUSED" hidden="1">"c7019"</definedName>
    <definedName name="IQ_PRIVATE_CONST_TOTAL_YOY_FC_UNUSED_UNUSED_UNUSED" hidden="1">"c8339"</definedName>
    <definedName name="IQ_PRIVATE_CONST_TOTAL_YOY_UNUSED_UNUSED_UNUSED" hidden="1">"c7459"</definedName>
    <definedName name="IQ_PRIVATE_RES_CONST_REAL_APR_FC_UNUSED_UNUSED_UNUSED" hidden="1">"c8535"</definedName>
    <definedName name="IQ_PRIVATE_RES_CONST_REAL_APR_UNUSED_UNUSED_UNUSED" hidden="1">"c7655"</definedName>
    <definedName name="IQ_PRIVATE_RES_CONST_REAL_FC_UNUSED_UNUSED_UNUSED" hidden="1">"c7875"</definedName>
    <definedName name="IQ_PRIVATE_RES_CONST_REAL_POP_FC_UNUSED_UNUSED_UNUSED" hidden="1">"c8095"</definedName>
    <definedName name="IQ_PRIVATE_RES_CONST_REAL_POP_UNUSED_UNUSED_UNUSED" hidden="1">"c7215"</definedName>
    <definedName name="IQ_PRIVATE_RES_CONST_REAL_UNUSED_UNUSED_UNUSED" hidden="1">"c6995"</definedName>
    <definedName name="IQ_PRIVATE_RES_CONST_REAL_YOY_FC_UNUSED_UNUSED_UNUSED" hidden="1">"c8315"</definedName>
    <definedName name="IQ_PRIVATE_RES_CONST_REAL_YOY_UNUSED_UNUSED_UNUSED" hidden="1">"c7435"</definedName>
    <definedName name="IQ_PRO_FORMA_BASIC_EPS" hidden="1">"c57"</definedName>
    <definedName name="IQ_PRO_FORMA_DILUT_EPS" hidden="1">"c58"</definedName>
    <definedName name="IQ_PRO_FORMA_NET_INC" hidden="1">"c56"</definedName>
    <definedName name="IQ_PROFESSIONAL" hidden="1">"c231"</definedName>
    <definedName name="IQ_PROFESSIONAL_TITLE" hidden="1">"c232"</definedName>
    <definedName name="IQ_PROJECTED_PENSION_OBLIGATION" hidden="1">"c1292"</definedName>
    <definedName name="IQ_PROPERTY_EXP" hidden="1">"c1073"</definedName>
    <definedName name="IQ_PROPERTY_GROSS" hidden="1">"c84"</definedName>
    <definedName name="IQ_PROPERTY_MGMT_FEE" hidden="1">"c1074"</definedName>
    <definedName name="IQ_PROPERTY_NET" hidden="1">"c83"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RCHASES_EQUIP_NONRES_SAAR_APR_FC_UNUSED_UNUSED_UNUSED" hidden="1">"c8491"</definedName>
    <definedName name="IQ_PURCHASES_EQUIP_NONRES_SAAR_APR_UNUSED_UNUSED_UNUSED" hidden="1">"c7611"</definedName>
    <definedName name="IQ_PURCHASES_EQUIP_NONRES_SAAR_FC_UNUSED_UNUSED_UNUSED" hidden="1">"c7831"</definedName>
    <definedName name="IQ_PURCHASES_EQUIP_NONRES_SAAR_POP_FC_UNUSED_UNUSED_UNUSED" hidden="1">"c8051"</definedName>
    <definedName name="IQ_PURCHASES_EQUIP_NONRES_SAAR_POP_UNUSED_UNUSED_UNUSED" hidden="1">"c7171"</definedName>
    <definedName name="IQ_PURCHASES_EQUIP_NONRES_SAAR_UNUSED_UNUSED_UNUSED" hidden="1">"c6951"</definedName>
    <definedName name="IQ_PURCHASES_EQUIP_NONRES_SAAR_YOY_FC_UNUSED_UNUSED_UNUSED" hidden="1">"c8271"</definedName>
    <definedName name="IQ_PURCHASES_EQUIP_NONRES_SAAR_YOY_UNUSED_UNUSED_UNUSED" hidden="1">"c7391"</definedName>
    <definedName name="IQ_QUICK_RATIO" hidden="1">"c163"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"c106"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_CONST_REAL_APR_FC_UNUSED_UNUSED_UNUSED" hidden="1">"c8536"</definedName>
    <definedName name="IQ_RES_CONST_REAL_APR_UNUSED_UNUSED_UNUSED" hidden="1">"c7656"</definedName>
    <definedName name="IQ_RES_CONST_REAL_FC_UNUSED_UNUSED_UNUSED" hidden="1">"c7876"</definedName>
    <definedName name="IQ_RES_CONST_REAL_POP_FC_UNUSED_UNUSED_UNUSED" hidden="1">"c8096"</definedName>
    <definedName name="IQ_RES_CONST_REAL_POP_UNUSED_UNUSED_UNUSED" hidden="1">"c7216"</definedName>
    <definedName name="IQ_RES_CONST_REAL_SAAR_APR_FC_UNUSED_UNUSED_UNUSED" hidden="1">"c8537"</definedName>
    <definedName name="IQ_RES_CONST_REAL_SAAR_APR_UNUSED_UNUSED_UNUSED" hidden="1">"c7657"</definedName>
    <definedName name="IQ_RES_CONST_REAL_SAAR_FC_UNUSED_UNUSED_UNUSED" hidden="1">"c7877"</definedName>
    <definedName name="IQ_RES_CONST_REAL_SAAR_POP_FC_UNUSED_UNUSED_UNUSED" hidden="1">"c8097"</definedName>
    <definedName name="IQ_RES_CONST_REAL_SAAR_POP_UNUSED_UNUSED_UNUSED" hidden="1">"c7217"</definedName>
    <definedName name="IQ_RES_CONST_REAL_SAAR_UNUSED_UNUSED_UNUSED" hidden="1">"c6997"</definedName>
    <definedName name="IQ_RES_CONST_REAL_SAAR_YOY_FC_UNUSED_UNUSED_UNUSED" hidden="1">"c8317"</definedName>
    <definedName name="IQ_RES_CONST_REAL_SAAR_YOY_UNUSED_UNUSED_UNUSED" hidden="1">"c7437"</definedName>
    <definedName name="IQ_RES_CONST_REAL_UNUSED_UNUSED_UNUSED" hidden="1">"c6996"</definedName>
    <definedName name="IQ_RES_CONST_REAL_YOY_FC_UNUSED_UNUSED_UNUSED" hidden="1">"c8316"</definedName>
    <definedName name="IQ_RES_CONST_REAL_YOY_UNUSED_UNUSED_UNUSED" hidden="1">"c7436"</definedName>
    <definedName name="IQ_RES_CONST_SAAR_APR_FC_UNUSED_UNUSED_UNUSED" hidden="1">"c8540"</definedName>
    <definedName name="IQ_RES_CONST_SAAR_APR_UNUSED_UNUSED_UNUSED" hidden="1">"c7660"</definedName>
    <definedName name="IQ_RES_CONST_SAAR_FC_UNUSED_UNUSED_UNUSED" hidden="1">"c7880"</definedName>
    <definedName name="IQ_RES_CONST_SAAR_POP_FC_UNUSED_UNUSED_UNUSED" hidden="1">"c8100"</definedName>
    <definedName name="IQ_RES_CONST_SAAR_POP_UNUSED_UNUSED_UNUSED" hidden="1">"c7220"</definedName>
    <definedName name="IQ_RES_CONST_SAAR_UNUSED_UNUSED_UNUSED" hidden="1">"c7000"</definedName>
    <definedName name="IQ_RES_CONST_SAAR_YOY_FC_UNUSED_UNUSED_UNUSED" hidden="1">"c8320"</definedName>
    <definedName name="IQ_RES_CONST_SAAR_YOY_UNUSED_UNUSED_UNUSED" hidden="1">"c7440"</definedName>
    <definedName name="IQ_RESEARCH_DEV" hidden="1">"c9"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"c110"</definedName>
    <definedName name="IQ_RETURN_ASSETS" hidden="1">"c145"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"c146"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"c144"</definedName>
    <definedName name="IQ_REV" hidden="1">"c1122"</definedName>
    <definedName name="IQ_REV_BEFORE_LL" hidden="1">"c1123"</definedName>
    <definedName name="IQ_REV_STDDEV_EST" hidden="1">"c264"</definedName>
    <definedName name="IQ_REV_UTI" hidden="1">"c1125"</definedName>
    <definedName name="IQ_REVENUE" hidden="1">"c3"</definedName>
    <definedName name="IQ_REVENUE_EST" hidden="1">"c188"</definedName>
    <definedName name="IQ_REVENUE_HIGH_EST" hidden="1">"c261"</definedName>
    <definedName name="IQ_REVENUE_LOW_EST" hidden="1">"c262"</definedName>
    <definedName name="IQ_REVENUE_MEDIAN_EST" hidden="1">"c1662"</definedName>
    <definedName name="IQ_REVENUE_NUM_EST" hidden="1">"c263"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"c201"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"c72"</definedName>
    <definedName name="IQ_SMALL_INT_BEAR_CD" hidden="1">"c1166"</definedName>
    <definedName name="IQ_SOFTWARE" hidden="1">"c1167"</definedName>
    <definedName name="IQ_SOURCE" hidden="1">"c281"</definedName>
    <definedName name="IQ_SP" hidden="1">"c2171"</definedName>
    <definedName name="IQ_SP_DATE" hidden="1">"c2172"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"c217"</definedName>
    <definedName name="IQ_STATUTORY_SURPLUS" hidden="1">"c1201"</definedName>
    <definedName name="IQ_STOCK_BASED" hidden="1">"c55"</definedName>
    <definedName name="IQ_STOCK_BASED_CF" hidden="1">"c1203"</definedName>
    <definedName name="IQ_STRIKE_PRICE_ISSUED" hidden="1">"c1645"</definedName>
    <definedName name="IQ_STRIKE_PRICE_OS" hidden="1">"c1646"</definedName>
    <definedName name="IQ_STW" hidden="1">"c2166"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RATIO" hidden="1">"c1229"</definedName>
    <definedName name="IQ_TIME_DEP" hidden="1">"c1230"</definedName>
    <definedName name="IQ_TODAY" hidden="1">0</definedName>
    <definedName name="IQ_TOT_ADJ_INC" hidden="1">"c287"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"c90"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"c130"</definedName>
    <definedName name="IQ_TOTAL_CASH_FINAN" hidden="1">"c133"</definedName>
    <definedName name="IQ_TOTAL_CASH_INVEST" hidden="1">"c128"</definedName>
    <definedName name="IQ_TOTAL_CASH_OPER" hidden="1">"c125"</definedName>
    <definedName name="IQ_TOTAL_CHURN" hidden="1">"c2122"</definedName>
    <definedName name="IQ_TOTAL_CL" hidden="1">"c1245"</definedName>
    <definedName name="IQ_TOTAL_COMMON" hidden="1">"c116"</definedName>
    <definedName name="IQ_TOTAL_COMMON_EQUITY" hidden="1">"c1246"</definedName>
    <definedName name="IQ_TOTAL_CURRENT_ASSETS" hidden="1">"c82"</definedName>
    <definedName name="IQ_TOTAL_CURRENT_LIAB" hidden="1">"c97"</definedName>
    <definedName name="IQ_TOTAL_DEBT" hidden="1">"c101"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"c183"</definedName>
    <definedName name="IQ_TOTAL_DEBT_OVER_TOTAL_BV" hidden="1">"c180"</definedName>
    <definedName name="IQ_TOTAL_DEBT_OVER_TOTAL_CAP" hidden="1">"c182"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"c284"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"c114"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"c67"</definedName>
    <definedName name="IQ_TOTAL_INVENTORY" hidden="1">"c79"</definedName>
    <definedName name="IQ_TOTAL_INVEST" hidden="1">"c1275"</definedName>
    <definedName name="IQ_TOTAL_LIAB" hidden="1">"c105"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"c115"</definedName>
    <definedName name="IQ_TOTAL_LIAB_TOTAL_ASSETS" hidden="1">"c1283"</definedName>
    <definedName name="IQ_TOTAL_LONG_DEBT" hidden="1">"c100"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"c20"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"c78"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"c5"</definedName>
    <definedName name="IQ_TOTAL_SPECIAL" hidden="1">"c59"</definedName>
    <definedName name="IQ_TOTAL_ST_BORROW" hidden="1">"c286"</definedName>
    <definedName name="IQ_TOTAL_SUBS" hidden="1">"c2119"</definedName>
    <definedName name="IQ_TOTAL_UNUSUAL" hidden="1">"c1508"</definedName>
    <definedName name="IQ_TRADE_AR" hidden="1">"c76"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"c111"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"c117"</definedName>
    <definedName name="IQ_UNUSUAL_EXP" hidden="1">"c18"</definedName>
    <definedName name="IQ_US_GAAP" hidden="1">"c34"</definedName>
    <definedName name="IQ_UTIL_PPE_NET" hidden="1">"c293"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"c199"</definedName>
    <definedName name="IQ_WEEK" hidden="1">50000</definedName>
    <definedName name="IQ_WEIGHTED_AVG_PRICE" hidden="1">"c255"</definedName>
    <definedName name="IQ_WIP_INV" hidden="1">"c1335"</definedName>
    <definedName name="IQ_WORKMEN_WRITTEN" hidden="1">"c1336"</definedName>
    <definedName name="IQ_XDIV_DATE" hidden="1">"c2104"</definedName>
    <definedName name="IQ_YEARHIGH" hidden="1">"c197"</definedName>
    <definedName name="IQ_YEARHIGH_DATE" hidden="1">"c2250"</definedName>
    <definedName name="IQ_YEARLOW" hidden="1">"c198"</definedName>
    <definedName name="IQ_YEARLOW_DATE" hidden="1">"c2251"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"c243"</definedName>
    <definedName name="IsValidDate">[0]!IsValidDate</definedName>
    <definedName name="IsValidNum">[0]!IsValidNum</definedName>
    <definedName name="IsValidRepType">[0]!IsValidRepType</definedName>
    <definedName name="IsValidStr">[0]!IsValidStr</definedName>
    <definedName name="IsYesNo">[0]!IsYesNo</definedName>
    <definedName name="l" localSheetId="6" hidden="1">{"IS",#N/A,FALSE,"IS";"RPTIS",#N/A,FALSE,"RPTIS";"STATS",#N/A,FALSE,"STATS";"CELL",#N/A,FALSE,"CELL";"BS",#N/A,FALSE,"BS"}</definedName>
    <definedName name="l" hidden="1">{"IS",#N/A,FALSE,"IS";"RPTIS",#N/A,FALSE,"RPTIS";"STATS",#N/A,FALSE,"STATS";"CELL",#N/A,FALSE,"CELL";"BS",#N/A,FALSE,"BS"}</definedName>
    <definedName name="L_ALL_KEYWORDS_TYPE_ScalarContributed_EQTY_200019506" localSheetId="1">OCL.AX_Live_Sheet!$314:$335,OCL.AX_Live_Sheet!$354:$357,OCL.AX_Live_Sheet!$360:$368,OCL.AX_Live_Sheet!$413:$420,OCL.AX_Live_Sheet!$442:$442,OCL.AX_Live_Sheet!$444:$446,OCL.AX_Live_Sheet!$449:$450</definedName>
    <definedName name="L_ALL_KEYWORDS_TYPE_ScalarContributed_ISSR_208017981" localSheetId="1">OCL.AX_Live_Sheet!$9:$12,OCL.AX_Live_Sheet!$71:$71,OCL.AX_Live_Sheet!$211:$212</definedName>
    <definedName name="L_ALL_KEYWORDS_TYPE_ScalarReference_EQTY_200019506" localSheetId="1">OCL.AX_Live_Sheet!$307:$312</definedName>
    <definedName name="L_ALL_KEYWORDS_TYPE_ScalarReference_ISSR_208017981" localSheetId="1">OCL.AX_Live_Sheet!$6:$7</definedName>
    <definedName name="L_ALL_KEYWORDS_TYPE_Vector_EQTY_200019506" localSheetId="1">OCL.AX_Live_Sheet!$337:$352,OCL.AX_Live_Sheet!$358:$359,OCL.AX_Live_Sheet!$369:$373,OCL.AX_Live_Sheet!$375:$391,OCL.AX_Live_Sheet!$393:$412,OCL.AX_Live_Sheet!$421:$428,OCL.AX_Live_Sheet!$430:$431,OCL.AX_Live_Sheet!$433:$433,OCL.AX_Live_Sheet!$435:$436,OCL.AX_Live_Sheet!$438:$438,OCL.AX_Live_Sheet!$440:$440,OCL.AX_Live_Sheet!$448:$448,OCL.AX_Live_Sheet!$451:$453</definedName>
    <definedName name="L_ALL_KEYWORDS_TYPE_Vector_ISSR_208017981" localSheetId="1">OCL.AX_Live_Sheet!$2:$3,OCL.AX_Live_Sheet!$14:$33,OCL.AX_Live_Sheet!$35:$58,OCL.AX_Live_Sheet!$60:$70,OCL.AX_Live_Sheet!$73:$104,OCL.AX_Live_Sheet!$106:$138,OCL.AX_Live_Sheet!$140:$157,OCL.AX_Live_Sheet!$159:$176,OCL.AX_Live_Sheet!$178:$191,OCL.AX_Live_Sheet!$193:$203,OCL.AX_Live_Sheet!$205:$205,OCL.AX_Live_Sheet!$207:$210,OCL.AX_Live_Sheet!$213:$214,OCL.AX_Live_Sheet!$216:$273,OCL.AX_Live_Sheet!$275:$276,OCL.AX_Live_Sheet!$278:$288,OCL.AX_Live_Sheet!$290:$299,OCL.AX_Live_Sheet!$301:$304</definedName>
    <definedName name="L_ALL_OCL.AX">OCL.AX_Live_Sheet!$A$1:$AO$453</definedName>
    <definedName name="L_ALL_PERIODS_OCL.AX" localSheetId="1">OCL.AX_Live_Sheet!$F$1:$AO$1</definedName>
    <definedName name="L_ALL_SECTION_KEYWORDS_EQTY_200019506_1314" localSheetId="1">OCL.AX_Live_Sheet!$C$433</definedName>
    <definedName name="L_ALL_SECTION_KEYWORDS_EQTY_200019506_1316A" localSheetId="1">OCL.AX_Live_Sheet!$C$354:$C$373</definedName>
    <definedName name="L_ALL_SECTION_KEYWORDS_EQTY_200019506_1316B" localSheetId="1">OCL.AX_Live_Sheet!$C$393:$C$428</definedName>
    <definedName name="L_ALL_SECTION_KEYWORDS_EQTY_200019506_1316C" localSheetId="1">OCL.AX_Live_Sheet!$C$435:$C$436</definedName>
    <definedName name="L_ALL_SECTION_KEYWORDS_EQTY_200019506_1316D" localSheetId="1">OCL.AX_Live_Sheet!$C$440</definedName>
    <definedName name="L_ALL_SECTION_KEYWORDS_EQTY_200019506_1316E" localSheetId="1">OCL.AX_Live_Sheet!$C$448:$C$453</definedName>
    <definedName name="L_ALL_SECTION_KEYWORDS_EQTY_200019506_131E" localSheetId="1">OCL.AX_Live_Sheet!$C$438</definedName>
    <definedName name="L_ALL_SECTION_KEYWORDS_EQTY_200019506_131J" localSheetId="1">OCL.AX_Live_Sheet!$C$442</definedName>
    <definedName name="L_ALL_SECTION_KEYWORDS_EQTY_200019506_131O" localSheetId="1">OCL.AX_Live_Sheet!$C$444:$C$446</definedName>
    <definedName name="L_ALL_SECTION_KEYWORDS_EQTY_200019506_13A" localSheetId="1">OCL.AX_Live_Sheet!$C$314:$C$335</definedName>
    <definedName name="L_ALL_SECTION_KEYWORDS_EQTY_200019506_13K" localSheetId="1">OCL.AX_Live_Sheet!$C$337:$C$352</definedName>
    <definedName name="L_ALL_SECTION_KEYWORDS_EQTY_200019506_13U" localSheetId="1">OCL.AX_Live_Sheet!$C$375:$C$391</definedName>
    <definedName name="L_ALL_SECTION_KEYWORDS_EQTY_200019506_13V" localSheetId="1">OCL.AX_Live_Sheet!$C$430:$C$431</definedName>
    <definedName name="L_ALL_SECTION_KEYWORDS_EQTY_200019506_Reference_Data" localSheetId="1">OCL.AX_Live_Sheet!$C$307:$C$312</definedName>
    <definedName name="L_ALL_SECTION_KEYWORDS_ISSR_208017981_1314" localSheetId="1">OCL.AX_Live_Sheet!$C$73:$C$104</definedName>
    <definedName name="L_ALL_SECTION_KEYWORDS_ISSR_208017981_13168" localSheetId="1">OCL.AX_Live_Sheet!$C$216:$C$273</definedName>
    <definedName name="L_ALL_SECTION_KEYWORDS_ISSR_208017981_1316B" localSheetId="1">OCL.AX_Live_Sheet!$C$35:$C$58</definedName>
    <definedName name="L_ALL_SECTION_KEYWORDS_ISSR_208017981_1316C" localSheetId="1">OCL.AX_Live_Sheet!$C$106:$C$138</definedName>
    <definedName name="L_ALL_SECTION_KEYWORDS_ISSR_208017981_1316D" localSheetId="1">OCL.AX_Live_Sheet!$C$178:$C$191</definedName>
    <definedName name="L_ALL_SECTION_KEYWORDS_ISSR_208017981_1316E" localSheetId="1">OCL.AX_Live_Sheet!$C$207:$C$214</definedName>
    <definedName name="L_ALL_SECTION_KEYWORDS_ISSR_208017981_1316T" localSheetId="1">OCL.AX_Live_Sheet!$C$275:$C$276</definedName>
    <definedName name="L_ALL_SECTION_KEYWORDS_ISSR_208017981_1316U" localSheetId="1">OCL.AX_Live_Sheet!$C$278:$C$288</definedName>
    <definedName name="L_ALL_SECTION_KEYWORDS_ISSR_208017981_1319" localSheetId="1">OCL.AX_Live_Sheet!$C$140:$C$157</definedName>
    <definedName name="L_ALL_SECTION_KEYWORDS_ISSR_208017981_131E" localSheetId="1">OCL.AX_Live_Sheet!$C$159:$C$176</definedName>
    <definedName name="L_ALL_SECTION_KEYWORDS_ISSR_208017981_131J" localSheetId="1">OCL.AX_Live_Sheet!$C$193:$C$203</definedName>
    <definedName name="L_ALL_SECTION_KEYWORDS_ISSR_208017981_131O" localSheetId="1">OCL.AX_Live_Sheet!$C$205</definedName>
    <definedName name="L_ALL_SECTION_KEYWORDS_ISSR_208017981_136E" localSheetId="1">OCL.AX_Live_Sheet!$C$290:$C$299</definedName>
    <definedName name="L_ALL_SECTION_KEYWORDS_ISSR_208017981_136J" localSheetId="1">OCL.AX_Live_Sheet!$C$301:$C$304</definedName>
    <definedName name="L_ALL_SECTION_KEYWORDS_ISSR_208017981_13A" localSheetId="1">OCL.AX_Live_Sheet!$C$9:$C$12</definedName>
    <definedName name="L_ALL_SECTION_KEYWORDS_ISSR_208017981_13U" localSheetId="1">OCL.AX_Live_Sheet!$C$14:$C$33</definedName>
    <definedName name="L_ALL_SECTION_KEYWORDS_ISSR_208017981_13V" localSheetId="1">OCL.AX_Live_Sheet!$C$60:$C$71</definedName>
    <definedName name="L_ALL_SECTION_KEYWORDS_ISSR_208017981_Reference_Data" localSheetId="1">OCL.AX_Live_Sheet!$C$6:$C$7</definedName>
    <definedName name="L_ALL_SECTIONS_EQTY_200019506" localSheetId="1">OCL.AX_Live_Sheet!$306:$306,OCL.AX_Live_Sheet!$313:$313,OCL.AX_Live_Sheet!$336:$336,OCL.AX_Live_Sheet!$353:$353,OCL.AX_Live_Sheet!$374:$374,OCL.AX_Live_Sheet!$392:$392,OCL.AX_Live_Sheet!$429:$429,OCL.AX_Live_Sheet!$432:$432,OCL.AX_Live_Sheet!$434:$434,OCL.AX_Live_Sheet!$437:$437,OCL.AX_Live_Sheet!$439:$439,OCL.AX_Live_Sheet!$441:$441,OCL.AX_Live_Sheet!$443:$443,OCL.AX_Live_Sheet!$447:$447</definedName>
    <definedName name="L_ALL_SECTIONS_ISSR_208017981" localSheetId="1">OCL.AX_Live_Sheet!$5:$5,OCL.AX_Live_Sheet!$8:$8,OCL.AX_Live_Sheet!$13:$13,OCL.AX_Live_Sheet!$34:$34,OCL.AX_Live_Sheet!$59:$59,OCL.AX_Live_Sheet!$72:$72,OCL.AX_Live_Sheet!$105:$105,OCL.AX_Live_Sheet!$139:$139,OCL.AX_Live_Sheet!$158:$158,OCL.AX_Live_Sheet!$177:$177,OCL.AX_Live_Sheet!$192:$192,OCL.AX_Live_Sheet!$204:$204,OCL.AX_Live_Sheet!$206:$206,OCL.AX_Live_Sheet!$215:$215,OCL.AX_Live_Sheet!$274:$274,OCL.AX_Live_Sheet!$277:$277,OCL.AX_Live_Sheet!$289:$289,OCL.AX_Live_Sheet!$300:$300</definedName>
    <definedName name="L_CURRENCY_EQTY_200019506_PRI" localSheetId="1">OCL.AX_Live_Sheet!$E$311</definedName>
    <definedName name="L_CURRENCY_EQTY_200019506_PUB" localSheetId="1">OCL.AX_Live_Sheet!$E$310</definedName>
    <definedName name="L_CURRENCY_EQTY_200019506_REP" localSheetId="1">OCL.AX_Live_Sheet!$E$312</definedName>
    <definedName name="L_CURRENCY_ISSR_208017981_REP" localSheetId="1">OCL.AX_Live_Sheet!$E$7</definedName>
    <definedName name="L_ENTITY_DATA_EQTY_200019506" localSheetId="1">OCL.AX_Live_Sheet!$E$306:$AO$453</definedName>
    <definedName name="L_ENTITY_DATA_ISSR_208017981" localSheetId="1">OCL.AX_Live_Sheet!$E$5:$AO$304</definedName>
    <definedName name="L_KEYWORD_EQTY_200019506_ANZ_LIST" localSheetId="1">OCL.AX_Live_Sheet!$314:$314</definedName>
    <definedName name="L_KEYWORD_EQTY_200019506_ASSET_SALES_GAIN_LOSS" localSheetId="1">OCL.AX_Live_Sheet!$404:$404</definedName>
    <definedName name="L_KEYWORD_EQTY_200019506_BASE_CASE_VAL_DCF" localSheetId="1">OCL.AX_Live_Sheet!$366:$366</definedName>
    <definedName name="L_KEYWORD_EQTY_200019506_BENEFITS_TAX_LOSSES" localSheetId="1">OCL.AX_Live_Sheet!$448:$448</definedName>
    <definedName name="L_KEYWORD_EQTY_200019506_BETA_ANALYST" localSheetId="1">OCL.AX_Live_Sheet!$444:$444</definedName>
    <definedName name="L_KEYWORD_EQTY_200019506_BVPS" localSheetId="1">OCL.AX_Live_Sheet!$433:$433</definedName>
    <definedName name="L_KEYWORD_EQTY_200019506_BVPS_PUB" localSheetId="1">OCL.AX_Live_Sheet!$337:$337</definedName>
    <definedName name="L_KEYWORD_EQTY_200019506_CATALYST1_DATE" localSheetId="1">OCL.AX_Live_Sheet!$324:$324</definedName>
    <definedName name="L_KEYWORD_EQTY_200019506_CATALYST1_EVENT" localSheetId="1">OCL.AX_Live_Sheet!$325:$325</definedName>
    <definedName name="L_KEYWORD_EQTY_200019506_CATALYST2_DATE" localSheetId="1">OCL.AX_Live_Sheet!$326:$326</definedName>
    <definedName name="L_KEYWORD_EQTY_200019506_CATALYST2_EVENT" localSheetId="1">OCL.AX_Live_Sheet!$327:$327</definedName>
    <definedName name="L_KEYWORD_EQTY_200019506_CATALYST3_DATE" localSheetId="1">OCL.AX_Live_Sheet!$328:$328</definedName>
    <definedName name="L_KEYWORD_EQTY_200019506_CATALYST3_EVENT" localSheetId="1">OCL.AX_Live_Sheet!$329:$329</definedName>
    <definedName name="L_KEYWORD_EQTY_200019506_CATALYST4_DATE" localSheetId="1">OCL.AX_Live_Sheet!$330:$330</definedName>
    <definedName name="L_KEYWORD_EQTY_200019506_CATALYST4_EVENT" localSheetId="1">OCL.AX_Live_Sheet!$331:$331</definedName>
    <definedName name="L_KEYWORD_EQTY_200019506_CATALYST5_DATE" localSheetId="1">OCL.AX_Live_Sheet!$332:$332</definedName>
    <definedName name="L_KEYWORD_EQTY_200019506_CATALYST5_EVENT" localSheetId="1">OCL.AX_Live_Sheet!$333:$333</definedName>
    <definedName name="L_KEYWORD_EQTY_200019506_CEEE_NDEBT" localSheetId="1">OCL.AX_Live_Sheet!$345:$345</definedName>
    <definedName name="L_KEYWORD_EQTY_200019506_CF_NI_PRE_PREF" localSheetId="1">OCL.AX_Live_Sheet!$438:$438</definedName>
    <definedName name="L_KEYWORD_EQTY_200019506_CF_OPS_SHARE_NZ" localSheetId="1">OCL.AX_Live_Sheet!$440:$440</definedName>
    <definedName name="L_KEYWORD_EQTY_200019506_COMMON_DIV_PAID" localSheetId="1">OCL.AX_Live_Sheet!$386:$386</definedName>
    <definedName name="L_KEYWORD_EQTY_200019506_CONVERTIBLE_NOTES" localSheetId="1">OCL.AX_Live_Sheet!$421:$421</definedName>
    <definedName name="L_KEYWORD_EQTY_200019506_COST_OF_EQUITY_DCF" localSheetId="1">OCL.AX_Live_Sheet!$355:$355</definedName>
    <definedName name="L_KEYWORD_EQTY_200019506_CUM_PRESENT_VAL_CASH_FLOWS_DCF" localSheetId="1">OCL.AX_Live_Sheet!$360:$360</definedName>
    <definedName name="L_KEYWORD_EQTY_200019506_CURRENCY_ISO" localSheetId="1">OCL.AX_Live_Sheet!$312:$312</definedName>
    <definedName name="L_KEYWORD_EQTY_200019506_DCF_CASH_FLOW" localSheetId="1">OCL.AX_Live_Sheet!$442:$442</definedName>
    <definedName name="L_KEYWORD_EQTY_200019506_DEBT_EQUITY" localSheetId="1">OCL.AX_Live_Sheet!$373:$373</definedName>
    <definedName name="L_KEYWORD_EQTY_200019506_DEBT_RISK_MARGIN_DCF" localSheetId="1">OCL.AX_Live_Sheet!$356:$356</definedName>
    <definedName name="L_KEYWORD_EQTY_200019506_DILUTE_SHARES" localSheetId="1">OCL.AX_Live_Sheet!$389:$389</definedName>
    <definedName name="L_KEYWORD_EQTY_200019506_DISCOUNT_FACTOR_DCF" localSheetId="1">OCL.AX_Live_Sheet!$358:$358</definedName>
    <definedName name="L_KEYWORD_EQTY_200019506_DPS" localSheetId="1">OCL.AX_Live_Sheet!$387:$387</definedName>
    <definedName name="L_KEYWORD_EQTY_200019506_DPS_PUB" localSheetId="1">OCL.AX_Live_Sheet!$338:$338</definedName>
    <definedName name="L_KEYWORD_EQTY_200019506_DPS_SPECIAL_PUB" localSheetId="1">OCL.AX_Live_Sheet!$339:$339</definedName>
    <definedName name="L_KEYWORD_EQTY_200019506_EBIT_PUB" localSheetId="1">OCL.AX_Live_Sheet!$347:$347</definedName>
    <definedName name="L_KEYWORD_EQTY_200019506_EBITDA_PUB" localSheetId="1">OCL.AX_Live_Sheet!$340:$340</definedName>
    <definedName name="L_KEYWORD_EQTY_200019506_EBITDAF" localSheetId="1">OCL.AX_Live_Sheet!$407:$407</definedName>
    <definedName name="L_KEYWORD_EQTY_200019506_EFPO" localSheetId="1">OCL.AX_Live_Sheet!$427:$427</definedName>
    <definedName name="L_KEYWORD_EQTY_200019506_EFPOWA" localSheetId="1">OCL.AX_Live_Sheet!$428:$428</definedName>
    <definedName name="L_KEYWORD_EQTY_200019506_EPS" localSheetId="1">OCL.AX_Live_Sheet!$382:$382</definedName>
    <definedName name="L_KEYWORD_EQTY_200019506_EPS_CONS_PUB" localSheetId="1">OCL.AX_Live_Sheet!$351:$351</definedName>
    <definedName name="L_KEYWORD_EQTY_200019506_EPS_FUL_DIL" localSheetId="1">OCL.AX_Live_Sheet!$383:$383</definedName>
    <definedName name="L_KEYWORD_EQTY_200019506_EPS_POST_BASIC" localSheetId="1">OCL.AX_Live_Sheet!$384:$384</definedName>
    <definedName name="L_KEYWORD_EQTY_200019506_EPS_PRE_GWILL" localSheetId="1">OCL.AX_Live_Sheet!$409:$409</definedName>
    <definedName name="L_KEYWORD_EQTY_200019506_EPS_PUB" localSheetId="1">OCL.AX_Live_Sheet!$341:$341</definedName>
    <definedName name="L_KEYWORD_EQTY_200019506_EPS_REPORTED" localSheetId="1">OCL.AX_Live_Sheet!$410:$410</definedName>
    <definedName name="L_KEYWORD_EQTY_200019506_EQ_PUB" localSheetId="1">OCL.AX_Live_Sheet!$350:$350</definedName>
    <definedName name="L_KEYWORD_EQTY_200019506_EQUITY_VALUE_DCF" localSheetId="1">OCL.AX_Live_Sheet!$364:$364</definedName>
    <definedName name="L_KEYWORD_EQTY_200019506_EV_ADJ_PUB" localSheetId="1">OCL.AX_Live_Sheet!$342:$342</definedName>
    <definedName name="L_KEYWORD_EQTY_200019506_FIN_INSTRUMENT_HEDGE_POST_TAX" localSheetId="1">OCL.AX_Live_Sheet!$397:$397</definedName>
    <definedName name="L_KEYWORD_EQTY_200019506_FINAL_DIV_AMOUNT" localSheetId="1">OCL.AX_Live_Sheet!$417:$417</definedName>
    <definedName name="L_KEYWORD_EQTY_200019506_FINAL_DIV_EXDATE" localSheetId="1">OCL.AX_Live_Sheet!$418:$418</definedName>
    <definedName name="L_KEYWORD_EQTY_200019506_FINAL_DIV_FRANK" localSheetId="1">OCL.AX_Live_Sheet!$419:$419</definedName>
    <definedName name="L_KEYWORD_EQTY_200019506_FINAL_DIV_TAXRATE" localSheetId="1">OCL.AX_Live_Sheet!$420:$420</definedName>
    <definedName name="L_KEYWORD_EQTY_200019506_FOREIGN_EXCHANGE_GAIN_LOSS" localSheetId="1">OCL.AX_Live_Sheet!$403:$403</definedName>
    <definedName name="L_KEYWORD_EQTY_200019506_FOREIGN_HOLDNG" localSheetId="1">OCL.AX_Live_Sheet!$323:$323</definedName>
    <definedName name="L_KEYWORD_EQTY_200019506_FRANK_TAX_RATE" localSheetId="1">OCL.AX_Live_Sheet!$411:$411</definedName>
    <definedName name="L_KEYWORD_EQTY_200019506_FRANKING" localSheetId="1">OCL.AX_Live_Sheet!$391:$391</definedName>
    <definedName name="L_KEYWORD_EQTY_200019506_FRANKING_ANZPUB" localSheetId="1">OCL.AX_Live_Sheet!$371:$371</definedName>
    <definedName name="L_KEYWORD_EQTY_200019506_FRANKING_SPECIAL_ANZPUB" localSheetId="1">OCL.AX_Live_Sheet!$372:$372</definedName>
    <definedName name="L_KEYWORD_EQTY_200019506_FREE_FLOAT" localSheetId="1">OCL.AX_Live_Sheet!$322:$322</definedName>
    <definedName name="L_KEYWORD_EQTY_200019506_FULLY_DIL_EPS" localSheetId="1">OCL.AX_Live_Sheet!$385:$385</definedName>
    <definedName name="L_KEYWORD_EQTY_200019506_GWILL_ASSET_IMP_CHG_POST_TAX" localSheetId="1">OCL.AX_Live_Sheet!$395:$395</definedName>
    <definedName name="L_KEYWORD_EQTY_200019506_IMP_CREDITS_PER_SHARE_DCF" localSheetId="1">OCL.AX_Live_Sheet!$365:$365</definedName>
    <definedName name="L_KEYWORD_EQTY_200019506_INC_MINORITY" localSheetId="1">OCL.AX_Live_Sheet!$376:$376</definedName>
    <definedName name="L_KEYWORD_EQTY_200019506_INCTAX_PL_ON_AB" localSheetId="1">OCL.AX_Live_Sheet!$394:$394</definedName>
    <definedName name="L_KEYWORD_EQTY_200019506_INCTAX_PL_POST_AB" localSheetId="1">OCL.AX_Live_Sheet!$400:$400</definedName>
    <definedName name="L_KEYWORD_EQTY_200019506_INT_DIV_AMOUNT" localSheetId="1">OCL.AX_Live_Sheet!$413:$413</definedName>
    <definedName name="L_KEYWORD_EQTY_200019506_INT_DIV_EXDATE" localSheetId="1">OCL.AX_Live_Sheet!$414:$414</definedName>
    <definedName name="L_KEYWORD_EQTY_200019506_INT_DIV_FRANK" localSheetId="1">OCL.AX_Live_Sheet!$415:$415</definedName>
    <definedName name="L_KEYWORD_EQTY_200019506_INT_DIV_TAXRATE" localSheetId="1">OCL.AX_Live_Sheet!$416:$416</definedName>
    <definedName name="L_KEYWORD_EQTY_200019506_Interim_Type" localSheetId="1">OCL.AX_Live_Sheet!$309:$309</definedName>
    <definedName name="L_KEYWORD_EQTY_200019506_INTRINSIC_PER_SHARE_VALUE_DCF" localSheetId="1">OCL.AX_Live_Sheet!$368:$368</definedName>
    <definedName name="L_KEYWORD_EQTY_200019506_LEGAL_RATING" localSheetId="1">OCL.AX_Live_Sheet!$316:$316</definedName>
    <definedName name="L_KEYWORD_EQTY_200019506_MARGIN_TAX_RATE" localSheetId="1">OCL.AX_Live_Sheet!$430:$430</definedName>
    <definedName name="L_KEYWORD_EQTY_200019506_MARKET_VALUE_OF_INVESTMENTS_DCF" localSheetId="1">OCL.AX_Live_Sheet!$362:$362</definedName>
    <definedName name="L_KEYWORD_EQTY_200019506_MKT_EQ_RISK_PREM" localSheetId="1">OCL.AX_Live_Sheet!$445:$445</definedName>
    <definedName name="L_KEYWORD_EQTY_200019506_NET_DEBT_EX_LEASES_PUB" localSheetId="1">OCL.AX_Live_Sheet!$344:$344</definedName>
    <definedName name="L_KEYWORD_EQTY_200019506_NET_DEBT_NET_CASH_DCF" localSheetId="1">OCL.AX_Live_Sheet!$363:$363</definedName>
    <definedName name="L_KEYWORD_EQTY_200019506_NET_DEBT_PUB" localSheetId="1">OCL.AX_Live_Sheet!$343:$343</definedName>
    <definedName name="L_KEYWORD_EQTY_200019506_NET_EARNING" localSheetId="1">OCL.AX_Live_Sheet!$379:$379</definedName>
    <definedName name="L_KEYWORD_EQTY_200019506_NET_INC" localSheetId="1">OCL.AX_Live_Sheet!$381:$381</definedName>
    <definedName name="L_KEYWORD_EQTY_200019506_NET_PROFIT" localSheetId="1">OCL.AX_Live_Sheet!$402:$402</definedName>
    <definedName name="L_KEYWORD_EQTY_200019506_NET_TANGIBLE_ASSETS_ADJUSTED_NZ" localSheetId="1">OCL.AX_Live_Sheet!$436:$436</definedName>
    <definedName name="L_KEYWORD_EQTY_200019506_NI_CONS" localSheetId="1">OCL.AX_Live_Sheet!$431:$431</definedName>
    <definedName name="L_KEYWORD_EQTY_200019506_NI_PRE_PREF" localSheetId="1">OCL.AX_Live_Sheet!$377:$377</definedName>
    <definedName name="L_KEYWORD_EQTY_200019506_NI_PUB" localSheetId="1">OCL.AX_Live_Sheet!$346:$346</definedName>
    <definedName name="L_KEYWORD_EQTY_200019506_NI_REPT_PUB" localSheetId="1">OCL.AX_Live_Sheet!$370:$370</definedName>
    <definedName name="L_KEYWORD_EQTY_200019506_NON_OP_ADD" localSheetId="1">OCL.AX_Live_Sheet!$390:$390</definedName>
    <definedName name="L_KEYWORD_EQTY_200019506_NOPAT" localSheetId="1">OCL.AX_Live_Sheet!$452:$452</definedName>
    <definedName name="L_KEYWORD_EQTY_200019506_NOT_IN_USE" localSheetId="1">OCL.AX_Live_Sheet!$315:$315</definedName>
    <definedName name="L_KEYWORD_EQTY_200019506_NTA_PER_SHARE" localSheetId="1">OCL.AX_Live_Sheet!$352:$352</definedName>
    <definedName name="L_KEYWORD_EQTY_200019506_NUM_SH" localSheetId="1">OCL.AX_Live_Sheet!$321:$321</definedName>
    <definedName name="L_KEYWORD_EQTY_200019506_NZ_FRANKING" localSheetId="1">OCL.AX_Live_Sheet!$412:$412</definedName>
    <definedName name="L_KEYWORD_EQTY_200019506_OPPL_ATAX_POST_AB" localSheetId="1">OCL.AX_Live_Sheet!$401:$401</definedName>
    <definedName name="L_KEYWORD_EQTY_200019506_OPPL_ATAX_PRE_AB" localSheetId="1">OCL.AX_Live_Sheet!$393:$393</definedName>
    <definedName name="L_KEYWORD_EQTY_200019506_OPTIONS" localSheetId="1">OCL.AX_Live_Sheet!$424:$424</definedName>
    <definedName name="L_KEYWORD_EQTY_200019506_OTH_ASSET_IMPAIR_CHG_POST_TAX" localSheetId="1">OCL.AX_Live_Sheet!$396:$396</definedName>
    <definedName name="L_KEYWORD_EQTY_200019506_OTHER_ABNORMAL_ITEMS" localSheetId="1">OCL.AX_Live_Sheet!$406:$406</definedName>
    <definedName name="L_KEYWORD_EQTY_200019506_OTHER_CAPITAL" localSheetId="1">OCL.AX_Live_Sheet!$425:$425</definedName>
    <definedName name="L_KEYWORD_EQTY_200019506_OTHER_IFRS_ADJUST_POST_TAX" localSheetId="1">OCL.AX_Live_Sheet!$398:$398</definedName>
    <definedName name="L_KEYWORD_EQTY_200019506_PARTLY_PAID_SHARES" localSheetId="1">OCL.AX_Live_Sheet!$423:$423</definedName>
    <definedName name="L_KEYWORD_EQTY_200019506_PERPETUITY_GROWTH_RATE_DCF" localSheetId="1">OCL.AX_Live_Sheet!$357:$357</definedName>
    <definedName name="L_KEYWORD_EQTY_200019506_PREF_DIV" localSheetId="1">OCL.AX_Live_Sheet!$378:$378</definedName>
    <definedName name="L_KEYWORD_EQTY_200019506_PREFERENCE_SHARES" localSheetId="1">OCL.AX_Live_Sheet!$422:$422</definedName>
    <definedName name="L_KEYWORD_EQTY_200019506_PRESENT_VALUE_OF_CASH_FLOW_DCF" localSheetId="1">OCL.AX_Live_Sheet!$359:$359</definedName>
    <definedName name="L_KEYWORD_EQTY_200019506_PRI_TARG_METH" localSheetId="1">OCL.AX_Live_Sheet!$335:$335</definedName>
    <definedName name="L_KEYWORD_EQTY_200019506_PRI_TARG_MULT" localSheetId="1">OCL.AX_Live_Sheet!$334:$334</definedName>
    <definedName name="L_KEYWORD_EQTY_200019506_PRICE_CURRENCY_ISO" localSheetId="1">OCL.AX_Live_Sheet!$311:$311</definedName>
    <definedName name="L_KEYWORD_EQTY_200019506_PROF_ADJUST_EPS" localSheetId="1">OCL.AX_Live_Sheet!$408:$408</definedName>
    <definedName name="L_KEYWORD_EQTY_200019506_PROV_INC_TAX" localSheetId="1">OCL.AX_Live_Sheet!$375:$375</definedName>
    <definedName name="L_KEYWORD_EQTY_200019506_PTP_PUB" localSheetId="1">OCL.AX_Live_Sheet!$348:$348</definedName>
    <definedName name="L_KEYWORD_EQTY_200019506_PUB_CURRENCY_ISO" localSheetId="1">OCL.AX_Live_Sheet!$310:$310</definedName>
    <definedName name="L_KEYWORD_EQTY_200019506_RESTRUC_COSTS" localSheetId="1">OCL.AX_Live_Sheet!$405:$405</definedName>
    <definedName name="L_KEYWORD_EQTY_200019506_REVS_PUB" localSheetId="1">OCL.AX_Live_Sheet!$349:$349</definedName>
    <definedName name="L_KEYWORD_EQTY_200019506_RISK_ADJ_OPTION_VALUE_DCF" localSheetId="1">OCL.AX_Live_Sheet!$367:$367</definedName>
    <definedName name="L_KEYWORD_EQTY_200019506_RISK_FR_RATE" localSheetId="1">OCL.AX_Live_Sheet!$446:$446</definedName>
    <definedName name="L_KEYWORD_EQTY_200019506_RISK_TO_EARNINGS" localSheetId="1">OCL.AX_Live_Sheet!$354:$354</definedName>
    <definedName name="L_KEYWORD_EQTY_200019506_ROCE_ANZ" localSheetId="1">OCL.AX_Live_Sheet!$453:$453</definedName>
    <definedName name="L_KEYWORD_EQTY_200019506_Security_Name" localSheetId="1">OCL.AX_Live_Sheet!$308:$308</definedName>
    <definedName name="L_KEYWORD_EQTY_200019506_SH" localSheetId="1">OCL.AX_Live_Sheet!$388:$388</definedName>
    <definedName name="L_KEYWORD_EQTY_200019506_SHOLDERS_EQUITY_MBRS" localSheetId="1">OCL.AX_Live_Sheet!$435:$435</definedName>
    <definedName name="L_KEYWORD_EQTY_200019506_STD_FREE_OP_CASH_FLOW_DCF" localSheetId="1">OCL.AX_Live_Sheet!$451:$451</definedName>
    <definedName name="L_KEYWORD_EQTY_200019506_TARGET_PRICE" localSheetId="1">OCL.AX_Live_Sheet!$317:$317</definedName>
    <definedName name="L_KEYWORD_EQTY_200019506_TARGET_PRICE_FUNDAMENTAL" localSheetId="1">OCL.AX_Live_Sheet!$319:$319</definedName>
    <definedName name="L_KEYWORD_EQTY_200019506_TARGET_PRICE_MA" localSheetId="1">OCL.AX_Live_Sheet!$320:$320</definedName>
    <definedName name="L_KEYWORD_EQTY_200019506_TAX_EXC" localSheetId="1">OCL.AX_Live_Sheet!$380:$380</definedName>
    <definedName name="L_KEYWORD_EQTY_200019506_TAX_RATE_DCF" localSheetId="1">OCL.AX_Live_Sheet!$449:$449</definedName>
    <definedName name="L_KEYWORD_EQTY_200019506_TERMINAL_YEAR_DCF" localSheetId="1">OCL.AX_Live_Sheet!$361:$361</definedName>
    <definedName name="L_KEYWORD_EQTY_200019506_Ticker" localSheetId="1">OCL.AX_Live_Sheet!$307:$307</definedName>
    <definedName name="L_KEYWORD_EQTY_200019506_TOTAL_CAPITAL" localSheetId="1">OCL.AX_Live_Sheet!$426:$426</definedName>
    <definedName name="L_KEYWORD_EQTY_200019506_TOTAL_IFRS_ADJUST_POST_TAX" localSheetId="1">OCL.AX_Live_Sheet!$399:$399</definedName>
    <definedName name="L_KEYWORD_EQTY_200019506_TP_PERIOD" localSheetId="1">OCL.AX_Live_Sheet!$318:$318</definedName>
    <definedName name="L_KEYWORD_EQTY_200019506_WACC_DCF" localSheetId="1">OCL.AX_Live_Sheet!$450:$450</definedName>
    <definedName name="L_KEYWORD_EQTY_200019506_YEAR_END_CAPITAL_EVA" localSheetId="1">OCL.AX_Live_Sheet!$369:$369</definedName>
    <definedName name="L_KEYWORD_ISSR_208017981_ACC_AMORT" localSheetId="1">OCL.AX_Live_Sheet!$82:$82</definedName>
    <definedName name="L_KEYWORD_ISSR_208017981_ACC_DDA" localSheetId="1">OCL.AX_Live_Sheet!$79:$79</definedName>
    <definedName name="L_KEYWORD_ISSR_208017981_ACC_END_DATE" localSheetId="1">OCL.AX_Live_Sheet!$3:$3</definedName>
    <definedName name="L_KEYWORD_ISSR_208017981_ACC_PAY_GQ" localSheetId="1">OCL.AX_Live_Sheet!$88:$88</definedName>
    <definedName name="L_KEYWORD_ISSR_208017981_ACCESS_CONNECTION" localSheetId="1">OCL.AX_Live_Sheet!$39:$39</definedName>
    <definedName name="L_KEYWORD_ISSR_208017981_ACQ" localSheetId="1">OCL.AX_Live_Sheet!$165:$165</definedName>
    <definedName name="L_KEYWORD_ISSR_208017981_ADJ_UNF_PENS_GOOD" localSheetId="1">OCL.AX_Live_Sheet!$153:$153</definedName>
    <definedName name="L_KEYWORD_ISSR_208017981_AMORT_OF_INTANGIBLES" localSheetId="1">OCL.AX_Live_Sheet!$44:$44</definedName>
    <definedName name="L_KEYWORD_ISSR_208017981_AMORT_OF_INTANGIBLES_ADJ" localSheetId="1">OCL.AX_Live_Sheet!$45:$45</definedName>
    <definedName name="L_KEYWORD_ISSR_208017981_ASSOC_JV_ADDBK" localSheetId="1">OCL.AX_Live_Sheet!$193:$193</definedName>
    <definedName name="L_KEYWORD_ISSR_208017981_ASSOCIATE" localSheetId="1">OCL.AX_Live_Sheet!$30:$30</definedName>
    <definedName name="L_KEYWORD_ISSR_208017981_ASSOCIATE_OP" localSheetId="1">OCL.AX_Live_Sheet!$64:$64</definedName>
    <definedName name="L_KEYWORD_ISSR_208017981_AVG_CAPITAL_EMPLOYED_ADJ" localSheetId="1">OCL.AX_Live_Sheet!$214:$214</definedName>
    <definedName name="L_KEYWORD_ISSR_208017981_BAL_MINO_INT" localSheetId="1">OCL.AX_Live_Sheet!$156:$156</definedName>
    <definedName name="L_KEYWORD_ISSR_208017981_BAL_OF_FRANK_CREDITS" localSheetId="1">OCL.AX_Live_Sheet!$207:$207</definedName>
    <definedName name="L_KEYWORD_ISSR_208017981_BANK_ODRAFT" localSheetId="1">OCL.AX_Live_Sheet!$125:$125</definedName>
    <definedName name="L_KEYWORD_ISSR_208017981_BORROWINGS" localSheetId="1">OCL.AX_Live_Sheet!$126:$126</definedName>
    <definedName name="L_KEYWORD_ISSR_208017981_CAP_LEASES" localSheetId="1">OCL.AX_Live_Sheet!$145:$145</definedName>
    <definedName name="L_KEYWORD_ISSR_208017981_CAPEX" localSheetId="1">OCL.AX_Live_Sheet!$164:$164</definedName>
    <definedName name="L_KEYWORD_ISSR_208017981_CAPEX_EXPANSION" localSheetId="1">OCL.AX_Live_Sheet!$201:$201</definedName>
    <definedName name="L_KEYWORD_ISSR_208017981_CAPEX_MAINTENANCE" localSheetId="1">OCL.AX_Live_Sheet!$200:$200</definedName>
    <definedName name="L_KEYWORD_ISSR_208017981_CASH_EQ" localSheetId="1">OCL.AX_Live_Sheet!$73:$73</definedName>
    <definedName name="L_KEYWORD_ISSR_208017981_CASH_INT_EXP" localSheetId="1">OCL.AX_Live_Sheet!$197:$197</definedName>
    <definedName name="L_KEYWORD_ISSR_208017981_CASH_TAX_EXP" localSheetId="1">OCL.AX_Live_Sheet!$198:$198</definedName>
    <definedName name="L_KEYWORD_ISSR_208017981_CF_FIN" localSheetId="1">OCL.AX_Live_Sheet!$174:$174</definedName>
    <definedName name="L_KEYWORD_ISSR_208017981_CF_FX" localSheetId="1">OCL.AX_Live_Sheet!$175:$175</definedName>
    <definedName name="L_KEYWORD_ISSR_208017981_CF_INC_MINORITY" localSheetId="1">OCL.AX_Live_Sheet!$159:$159</definedName>
    <definedName name="L_KEYWORD_ISSR_208017981_CF_INV" localSheetId="1">OCL.AX_Live_Sheet!$168:$168</definedName>
    <definedName name="L_KEYWORD_ISSR_208017981_CF_INV_MISC" localSheetId="1">OCL.AX_Live_Sheet!$189:$189</definedName>
    <definedName name="L_KEYWORD_ISSR_208017981_CF_OPS" localSheetId="1">OCL.AX_Live_Sheet!$163:$163</definedName>
    <definedName name="L_KEYWORD_ISSR_208017981_CF_OPS_MISC" localSheetId="1">OCL.AX_Live_Sheet!$181:$181</definedName>
    <definedName name="L_KEYWORD_ISSR_208017981_CHG_LT_DEBT" localSheetId="1">OCL.AX_Live_Sheet!$171:$171</definedName>
    <definedName name="L_KEYWORD_ISSR_208017981_CO_BOR_MARGIN" localSheetId="1">OCL.AX_Live_Sheet!$149:$149</definedName>
    <definedName name="L_KEYWORD_ISSR_208017981_COGS_PCT_ROW" localSheetId="1">OCL.AX_Live_Sheet!$266:$266</definedName>
    <definedName name="L_KEYWORD_ISSR_208017981_COGS_PCT_US" localSheetId="1">OCL.AX_Live_Sheet!$265:$265</definedName>
    <definedName name="L_KEYWORD_ISSR_208017981_COST_GD_SD" localSheetId="1">OCL.AX_Live_Sheet!$16:$16</definedName>
    <definedName name="L_KEYWORD_ISSR_208017981_COST_OF_DEBT_DCF" localSheetId="1">OCL.AX_Live_Sheet!$211:$211</definedName>
    <definedName name="L_KEYWORD_ISSR_208017981_CUR_ASS" localSheetId="1">OCL.AX_Live_Sheet!$77:$77</definedName>
    <definedName name="L_KEYWORD_ISSR_208017981_CUR_ASS_MISC" localSheetId="1">OCL.AX_Live_Sheet!$109:$109</definedName>
    <definedName name="L_KEYWORD_ISSR_208017981_CUR_LIABS_MISC" localSheetId="1">OCL.AX_Live_Sheet!$129:$129</definedName>
    <definedName name="L_KEYWORD_ISSR_208017981_CURRENCY_ISO" localSheetId="1">OCL.AX_Live_Sheet!$7:$7</definedName>
    <definedName name="L_KEYWORD_ISSR_208017981_CUSTOMER_RECEIPTS" localSheetId="1">OCL.AX_Live_Sheet!$178:$178</definedName>
    <definedName name="L_KEYWORD_ISSR_208017981_DEBT_TO_EQUITY_MKT_VALUES_DCF" localSheetId="1">OCL.AX_Live_Sheet!$212:$212</definedName>
    <definedName name="L_KEYWORD_ISSR_208017981_DEBTORS" localSheetId="1">OCL.AX_Live_Sheet!$74:$74</definedName>
    <definedName name="L_KEYWORD_ISSR_208017981_DEF_INC_TAX" localSheetId="1">OCL.AX_Live_Sheet!$146:$146</definedName>
    <definedName name="L_KEYWORD_ISSR_208017981_DEFINED_BENEFIT_OBLIGATION" localSheetId="1">OCL.AX_Live_Sheet!$133:$133</definedName>
    <definedName name="L_KEYWORD_ISSR_208017981_DEFINED_BENEFIT_SURPLUS" localSheetId="1">OCL.AX_Live_Sheet!$120:$120</definedName>
    <definedName name="L_KEYWORD_ISSR_208017981_DEPR_AMORT" localSheetId="1">OCL.AX_Live_Sheet!$160:$160</definedName>
    <definedName name="L_KEYWORD_ISSR_208017981_DEPR_ROU_ASSETS" localSheetId="1">OCL.AX_Live_Sheet!$69:$69</definedName>
    <definedName name="L_KEYWORD_ISSR_208017981_DEPREC" localSheetId="1">OCL.AX_Live_Sheet!$24:$24</definedName>
    <definedName name="L_KEYWORD_ISSR_208017981_DIV_PAID" localSheetId="1">OCL.AX_Live_Sheet!$169:$169</definedName>
    <definedName name="L_KEYWORD_ISSR_208017981_DIVDS_ASSOC_JV" localSheetId="1">OCL.AX_Live_Sheet!$199:$199</definedName>
    <definedName name="L_KEYWORD_ISSR_208017981_DIVDS_PD_MINORITIES" localSheetId="1">OCL.AX_Live_Sheet!$203:$203</definedName>
    <definedName name="L_KEYWORD_ISSR_208017981_DIVEST" localSheetId="1">OCL.AX_Live_Sheet!$166:$166</definedName>
    <definedName name="L_KEYWORD_ISSR_208017981_DIVIDENDS_RECEIVED" localSheetId="1">OCL.AX_Live_Sheet!$35:$35</definedName>
    <definedName name="L_KEYWORD_ISSR_208017981_EBIT" localSheetId="1">OCL.AX_Live_Sheet!$26:$26</definedName>
    <definedName name="L_KEYWORD_ISSR_208017981_EBIT_CONSOLIDATED" localSheetId="1">OCL.AX_Live_Sheet!$48:$48</definedName>
    <definedName name="L_KEYWORD_ISSR_208017981_EBIT_CONSOLIDATED_PRE_ASSOC" localSheetId="1">OCL.AX_Live_Sheet!$47:$47</definedName>
    <definedName name="L_KEYWORD_ISSR_208017981_EBITDA_CALC" localSheetId="1">OCL.AX_Live_Sheet!$23:$23</definedName>
    <definedName name="L_KEYWORD_ISSR_208017981_EBITDA_CONSOLIDATED" localSheetId="1">OCL.AX_Live_Sheet!$43:$43</definedName>
    <definedName name="L_KEYWORD_ISSR_208017981_EMPLOYEES" localSheetId="1">OCL.AX_Live_Sheet!$205:$205</definedName>
    <definedName name="L_KEYWORD_ISSR_208017981_EQ" localSheetId="1">OCL.AX_Live_Sheet!$101:$101</definedName>
    <definedName name="L_KEYWORD_ISSR_208017981_EXP_OIL_DERIV_NGLS_PLASTICS" localSheetId="1">OCL.AX_Live_Sheet!$276:$276</definedName>
    <definedName name="L_KEYWORD_ISSR_208017981_EXP_OIL_PETRO_FUEL" localSheetId="1">OCL.AX_Live_Sheet!$275:$275</definedName>
    <definedName name="L_KEYWORD_ISSR_208017981_FIN_INSTR_HEDGE_CURR_LIABILITY" localSheetId="1">OCL.AX_Live_Sheet!$128:$128</definedName>
    <definedName name="L_KEYWORD_ISSR_208017981_FIN_INSTR_HEDGE_CURRENT" localSheetId="1">OCL.AX_Live_Sheet!$108:$108</definedName>
    <definedName name="L_KEYWORD_ISSR_208017981_FIN_INSTR_HEDGE_NON_CURR_LIAB" localSheetId="1">OCL.AX_Live_Sheet!$134:$134</definedName>
    <definedName name="L_KEYWORD_ISSR_208017981_FIN_INSTR_HEDGE_NON_CURRENT" localSheetId="1">OCL.AX_Live_Sheet!$121:$121</definedName>
    <definedName name="L_KEYWORD_ISSR_208017981_FIN_INSTRUMENT_HEDGE_PRE_TAX" localSheetId="1">OCL.AX_Live_Sheet!$54:$54</definedName>
    <definedName name="L_KEYWORD_ISSR_208017981_FIX_ASS_INV" localSheetId="1">OCL.AX_Live_Sheet!$84:$84</definedName>
    <definedName name="L_KEYWORD_ISSR_208017981_FLOATING_PCT_LOCAL_DEBT" localSheetId="1">OCL.AX_Live_Sheet!$142:$142</definedName>
    <definedName name="L_KEYWORD_ISSR_208017981_FLOATING_PCT_LOCAL_DEBT_HEDGED" localSheetId="1">OCL.AX_Live_Sheet!$143:$143</definedName>
    <definedName name="L_KEYWORD_ISSR_208017981_FX_AUD_ASSUMPTION" localSheetId="1">OCL.AX_Live_Sheet!$12:$12</definedName>
    <definedName name="L_KEYWORD_ISSR_208017981_FX_AUD_NI_SENSITIVITY" localSheetId="1">OCL.AX_Live_Sheet!$68:$68</definedName>
    <definedName name="L_KEYWORD_ISSR_208017981_FX_EUR_ASSUMPTION" localSheetId="1">OCL.AX_Live_Sheet!$11:$11</definedName>
    <definedName name="L_KEYWORD_ISSR_208017981_FX_EUR_NI_SENSITIVITY" localSheetId="1">OCL.AX_Live_Sheet!$67:$67</definedName>
    <definedName name="L_KEYWORD_ISSR_208017981_FX_USD_ASSUMPTION" localSheetId="1">OCL.AX_Live_Sheet!$10:$10</definedName>
    <definedName name="L_KEYWORD_ISSR_208017981_FX_USD_NI_SENSITIVITY" localSheetId="1">OCL.AX_Live_Sheet!$66:$66</definedName>
    <definedName name="L_KEYWORD_ISSR_208017981_GCI_INFL" localSheetId="1">OCL.AX_Live_Sheet!$155:$155</definedName>
    <definedName name="L_KEYWORD_ISSR_208017981_GOODWILL_AMORT" localSheetId="1">OCL.AX_Live_Sheet!$25:$25</definedName>
    <definedName name="L_KEYWORD_ISSR_208017981_GOODWILL_NET_AMNT" localSheetId="1">OCL.AX_Live_Sheet!$117:$117</definedName>
    <definedName name="L_KEYWORD_ISSR_208017981_GR_FIX_ASS" localSheetId="1">OCL.AX_Live_Sheet!$78:$78</definedName>
    <definedName name="L_KEYWORD_ISSR_208017981_GR_INTANG" localSheetId="1">OCL.AX_Live_Sheet!$81:$81</definedName>
    <definedName name="L_KEYWORD_ISSR_208017981_GWILL_ASSET_IMPAIR_CHG_PRE_TAX" localSheetId="1">OCL.AX_Live_Sheet!$52:$52</definedName>
    <definedName name="L_KEYWORD_ISSR_208017981_INT_EXP_IND" localSheetId="1">OCL.AX_Live_Sheet!$28:$28</definedName>
    <definedName name="L_KEYWORD_ISSR_208017981_INT_INC_IND" localSheetId="1">OCL.AX_Live_Sheet!$27:$27</definedName>
    <definedName name="L_KEYWORD_ISSR_208017981_INT_OTHERS_RECEIVED" localSheetId="1">OCL.AX_Live_Sheet!$180:$180</definedName>
    <definedName name="L_KEYWORD_ISSR_208017981_INV_SECUR" localSheetId="1">OCL.AX_Live_Sheet!$85:$85</definedName>
    <definedName name="L_KEYWORD_ISSR_208017981_INVESTMENTS" localSheetId="1">OCL.AX_Live_Sheet!$107:$107</definedName>
    <definedName name="L_KEYWORD_ISSR_208017981_Issuer_Name" localSheetId="1">OCL.AX_Live_Sheet!$6:$6</definedName>
    <definedName name="L_KEYWORD_ISSR_208017981_LABOUR" localSheetId="1">OCL.AX_Live_Sheet!$41:$41</definedName>
    <definedName name="L_KEYWORD_ISSR_208017981_LAND_BUILDINGS" localSheetId="1">OCL.AX_Live_Sheet!$114:$114</definedName>
    <definedName name="L_KEYWORD_ISSR_208017981_LEASE_ADOPT" localSheetId="1">OCL.AX_Live_Sheet!$71:$71</definedName>
    <definedName name="L_KEYWORD_ISSR_208017981_LEASE_DEEM_DEPR" localSheetId="1">OCL.AX_Live_Sheet!$62:$62</definedName>
    <definedName name="L_KEYWORD_ISSR_208017981_LEASE_DEEM_INT" localSheetId="1">OCL.AX_Live_Sheet!$61:$61</definedName>
    <definedName name="L_KEYWORD_ISSR_208017981_LEASE_INT_CHG" localSheetId="1">OCL.AX_Live_Sheet!$70:$70</definedName>
    <definedName name="L_KEYWORD_ISSR_208017981_LEASE_PAY" localSheetId="1">OCL.AX_Live_Sheet!$60:$60</definedName>
    <definedName name="L_KEYWORD_ISSR_208017981_LEASE_PRINCIPAL_CASH" localSheetId="1">OCL.AX_Live_Sheet!$172:$172</definedName>
    <definedName name="L_KEYWORD_ISSR_208017981_LOAN_REPAID_OTHER_ENTS" localSheetId="1">OCL.AX_Live_Sheet!$188:$188</definedName>
    <definedName name="L_KEYWORD_ISSR_208017981_LOANS_OTHER_ENTITIES" localSheetId="1">OCL.AX_Live_Sheet!$187:$187</definedName>
    <definedName name="L_KEYWORD_ISSR_208017981_LT_DEBT" localSheetId="1">OCL.AX_Live_Sheet!$93:$93</definedName>
    <definedName name="L_KEYWORD_ISSR_208017981_LT_LEASE_LIAB" localSheetId="1">OCL.AX_Live_Sheet!$94:$94</definedName>
    <definedName name="L_KEYWORD_ISSR_208017981_MA_PROB" localSheetId="1">OCL.AX_Live_Sheet!$9:$9</definedName>
    <definedName name="L_KEYWORD_ISSR_208017981_MARKETING_ADVERTISNIG" localSheetId="1">OCL.AX_Live_Sheet!$38:$38</definedName>
    <definedName name="L_KEYWORD_ISSR_208017981_MINORITIES" localSheetId="1">OCL.AX_Live_Sheet!$100:$100</definedName>
    <definedName name="L_KEYWORD_ISSR_208017981_MV_ASSOCIATES" localSheetId="1">OCL.AX_Live_Sheet!$147:$147</definedName>
    <definedName name="L_KEYWORD_ISSR_208017981_MV_CONVERTIBLE_NOTES" localSheetId="1">OCL.AX_Live_Sheet!$209:$209</definedName>
    <definedName name="L_KEYWORD_ISSR_208017981_MV_NET_OTHER_STAKEHOLDERS" localSheetId="1">OCL.AX_Live_Sheet!$208:$208</definedName>
    <definedName name="L_KEYWORD_ISSR_208017981_NCASSET_INVENTORIES" localSheetId="1">OCL.AX_Live_Sheet!$113:$113</definedName>
    <definedName name="L_KEYWORD_ISSR_208017981_NCASSET_INVESTMENT" localSheetId="1">OCL.AX_Live_Sheet!$112:$112</definedName>
    <definedName name="L_KEYWORD_ISSR_208017981_NCASSET_MISC" localSheetId="1">OCL.AX_Live_Sheet!$122:$122</definedName>
    <definedName name="L_KEYWORD_ISSR_208017981_NCASSET_RECEIVABLES" localSheetId="1">OCL.AX_Live_Sheet!$111:$111</definedName>
    <definedName name="L_KEYWORD_ISSR_208017981_NCASSET_TRADE_DEBTORS" localSheetId="1">OCL.AX_Live_Sheet!$110:$110</definedName>
    <definedName name="L_KEYWORD_ISSR_208017981_NCLIAB_MISC" localSheetId="1">OCL.AX_Live_Sheet!$135:$135</definedName>
    <definedName name="L_KEYWORD_ISSR_208017981_NCLIAB_OTHER_CREDITORS" localSheetId="1">OCL.AX_Live_Sheet!$131:$131</definedName>
    <definedName name="L_KEYWORD_ISSR_208017981_NCLIAB_PROVISIONS" localSheetId="1">OCL.AX_Live_Sheet!$132:$132</definedName>
    <definedName name="L_KEYWORD_ISSR_208017981_NCLIAB_TRADE_CREDITORS" localSheetId="1">OCL.AX_Live_Sheet!$130:$130</definedName>
    <definedName name="L_KEYWORD_ISSR_208017981_NET_ASSETS" localSheetId="1">OCL.AX_Live_Sheet!$137:$137</definedName>
    <definedName name="L_KEYWORD_ISSR_208017981_NET_DEBT" localSheetId="1">OCL.AX_Live_Sheet!$144:$144</definedName>
    <definedName name="L_KEYWORD_ISSR_208017981_NET_DEBT_ADJ" localSheetId="1">OCL.AX_Live_Sheet!$148:$148</definedName>
    <definedName name="L_KEYWORD_ISSR_208017981_NET_FIX_ASS" localSheetId="1">OCL.AX_Live_Sheet!$80:$80</definedName>
    <definedName name="L_KEYWORD_ISSR_208017981_NET_INT_CH" localSheetId="1">OCL.AX_Live_Sheet!$63:$63</definedName>
    <definedName name="L_KEYWORD_ISSR_208017981_NET_INT_EXP" localSheetId="1">OCL.AX_Live_Sheet!$29:$29</definedName>
    <definedName name="L_KEYWORD_ISSR_208017981_NET_INTANG" localSheetId="1">OCL.AX_Live_Sheet!$83:$83</definedName>
    <definedName name="L_KEYWORD_ISSR_208017981_NET_TANGIBLE_ASSETS" localSheetId="1">OCL.AX_Live_Sheet!$138:$138</definedName>
    <definedName name="L_KEYWORD_ISSR_208017981_NONPPE_CAPEX" localSheetId="1">OCL.AX_Live_Sheet!$202:$202</definedName>
    <definedName name="L_KEYWORD_ISSR_208017981_OP_COST" localSheetId="1">OCL.AX_Live_Sheet!$18:$18</definedName>
    <definedName name="L_KEYWORD_ISSR_208017981_OPPL_BTAX_EX_ASSOC" localSheetId="1">OCL.AX_Live_Sheet!$49:$49</definedName>
    <definedName name="L_KEYWORD_ISSR_208017981_OPPL_BTAX_POST_AB" localSheetId="1">OCL.AX_Live_Sheet!$58:$58</definedName>
    <definedName name="L_KEYWORD_ISSR_208017981_ORD_SH_FUND" localSheetId="1">OCL.AX_Live_Sheet!$99:$99</definedName>
    <definedName name="L_KEYWORD_ISSR_208017981_ORD_SHARE_CAPITAL" localSheetId="1">OCL.AX_Live_Sheet!$136:$136</definedName>
    <definedName name="L_KEYWORD_ISSR_208017981_OTH_COST_INC" localSheetId="1">OCL.AX_Live_Sheet!$32:$32</definedName>
    <definedName name="L_KEYWORD_ISSR_208017981_OTH_CUR_ASS" localSheetId="1">OCL.AX_Live_Sheet!$76:$76</definedName>
    <definedName name="L_KEYWORD_ISSR_208017981_OTH_CUR_LIABS" localSheetId="1">OCL.AX_Live_Sheet!$91:$91</definedName>
    <definedName name="L_KEYWORD_ISSR_208017981_OTH_DACF_ADJ" localSheetId="1">OCL.AX_Live_Sheet!$196:$196</definedName>
    <definedName name="L_KEYWORD_ISSR_208017981_OTH_FIN_CF" localSheetId="1">OCL.AX_Live_Sheet!$173:$173</definedName>
    <definedName name="L_KEYWORD_ISSR_208017981_OTH_GCI_ADJ" localSheetId="1">OCL.AX_Live_Sheet!$154:$154</definedName>
    <definedName name="L_KEYWORD_ISSR_208017981_OTH_INV_CF" localSheetId="1">OCL.AX_Live_Sheet!$167:$167</definedName>
    <definedName name="L_KEYWORD_ISSR_208017981_OTH_LT_ASS" localSheetId="1">OCL.AX_Live_Sheet!$86:$86</definedName>
    <definedName name="L_KEYWORD_ISSR_208017981_OTH_LT_CRED_GQ" localSheetId="1">OCL.AX_Live_Sheet!$95:$95</definedName>
    <definedName name="L_KEYWORD_ISSR_208017981_OTH_NONCASH_ADJ" localSheetId="1">OCL.AX_Live_Sheet!$195:$195</definedName>
    <definedName name="L_KEYWORD_ISSR_208017981_OTH_OP_CF" localSheetId="1">OCL.AX_Live_Sheet!$162:$162</definedName>
    <definedName name="L_KEYWORD_ISSR_208017981_OTH_OP_INC_EXP" localSheetId="1">OCL.AX_Live_Sheet!$20:$20</definedName>
    <definedName name="L_KEYWORD_ISSR_208017981_OTHER_ASSET_IMPAIR_CHG_PRE_TAX" localSheetId="1">OCL.AX_Live_Sheet!$53:$53</definedName>
    <definedName name="L_KEYWORD_ISSR_208017981_OTHER_CREDITORS" localSheetId="1">OCL.AX_Live_Sheet!$124:$124</definedName>
    <definedName name="L_KEYWORD_ISSR_208017981_OTHER_IFRS_ADJUST_PRE_TAX" localSheetId="1">OCL.AX_Live_Sheet!$55:$55</definedName>
    <definedName name="L_KEYWORD_ISSR_208017981_OTHER_INTANGIBLES_DEPREC" localSheetId="1">OCL.AX_Live_Sheet!$118:$118</definedName>
    <definedName name="L_KEYWORD_ISSR_208017981_OTHER_INTANGIBLES_NON_DEPREC" localSheetId="1">OCL.AX_Live_Sheet!$119:$119</definedName>
    <definedName name="L_KEYWORD_ISSR_208017981_OTHER_RECEIVABLES" localSheetId="1">OCL.AX_Live_Sheet!$106:$106</definedName>
    <definedName name="L_KEYWORD_ISSR_208017981_OTHER_REVENUE" localSheetId="1">OCL.AX_Live_Sheet!$65:$65</definedName>
    <definedName name="L_KEYWORD_ISSR_208017981_PERIOD_MILESTONE" localSheetId="1">OCL.AX_Live_Sheet!$2:$2</definedName>
    <definedName name="L_KEYWORD_ISSR_208017981_PERSONNEL" localSheetId="1">OCL.AX_Live_Sheet!$15:$15</definedName>
    <definedName name="L_KEYWORD_ISSR_208017981_PL_BTAX_ON_AB" localSheetId="1">OCL.AX_Live_Sheet!$50:$50</definedName>
    <definedName name="L_KEYWORD_ISSR_208017981_PL_SALE_ASSETS" localSheetId="1">OCL.AX_Live_Sheet!$194:$194</definedName>
    <definedName name="L_KEYWORD_ISSR_208017981_PLANT_EQUIP" localSheetId="1">OCL.AX_Live_Sheet!$115:$115</definedName>
    <definedName name="L_KEYWORD_ISSR_208017981_PREF_SH" localSheetId="1">OCL.AX_Live_Sheet!$98:$98</definedName>
    <definedName name="L_KEYWORD_ISSR_208017981_PROCEEDS_BORROWINGS" localSheetId="1">OCL.AX_Live_Sheet!$190:$190</definedName>
    <definedName name="L_KEYWORD_ISSR_208017981_PROCEEDS_NCASSET" localSheetId="1">OCL.AX_Live_Sheet!$36:$36</definedName>
    <definedName name="L_KEYWORD_ISSR_208017981_PROCEEDS_PURCH_OPER_BUS" localSheetId="1">OCL.AX_Live_Sheet!$182:$182</definedName>
    <definedName name="L_KEYWORD_ISSR_208017981_PROCEEDS_SALE_EQUITY_INV" localSheetId="1">OCL.AX_Live_Sheet!$185:$185</definedName>
    <definedName name="L_KEYWORD_ISSR_208017981_PROCEEDS_SALE_OPER_BUS" localSheetId="1">OCL.AX_Live_Sheet!$186:$186</definedName>
    <definedName name="L_KEYWORD_ISSR_208017981_PROFIT_DEFBEN_PLAN_POST_TAX" localSheetId="1">OCL.AX_Live_Sheet!$57:$57</definedName>
    <definedName name="L_KEYWORD_ISSR_208017981_PROFIT_DEFBEN_PLAN_PRE_TAX" localSheetId="1">OCL.AX_Live_Sheet!$51:$51</definedName>
    <definedName name="L_KEYWORD_ISSR_208017981_PROFIT_ON_DISP" localSheetId="1">OCL.AX_Live_Sheet!$31:$31</definedName>
    <definedName name="L_KEYWORD_ISSR_208017981_PROVISIONS" localSheetId="1">OCL.AX_Live_Sheet!$127:$127</definedName>
    <definedName name="L_KEYWORD_ISSR_208017981_PT_PROF" localSheetId="1">OCL.AX_Live_Sheet!$33:$33</definedName>
    <definedName name="L_KEYWORD_ISSR_208017981_PURCH_EQUITY_INVESTS" localSheetId="1">OCL.AX_Live_Sheet!$183:$183</definedName>
    <definedName name="L_KEYWORD_ISSR_208017981_R_AND_D_CAP" localSheetId="1">OCL.AX_Live_Sheet!$116:$116</definedName>
    <definedName name="L_KEYWORD_ISSR_208017981_RD_EXP" localSheetId="1">OCL.AX_Live_Sheet!$19:$19</definedName>
    <definedName name="L_KEYWORD_ISSR_208017981_REPAY_BORROWINGS" localSheetId="1">OCL.AX_Live_Sheet!$191:$191</definedName>
    <definedName name="L_KEYWORD_ISSR_208017981_RESERVES" localSheetId="1">OCL.AX_Live_Sheet!$103:$103</definedName>
    <definedName name="L_KEYWORD_ISSR_208017981_RETAIN_PROFIT_LOSS" localSheetId="1">OCL.AX_Live_Sheet!$104:$104</definedName>
    <definedName name="L_KEYWORD_ISSR_208017981_ROU_ASSET" localSheetId="1">OCL.AX_Live_Sheet!$157:$157</definedName>
    <definedName name="L_KEYWORD_ISSR_208017981_SALE_PROP_PLANT_EQUIP" localSheetId="1">OCL.AX_Live_Sheet!$184:$184</definedName>
    <definedName name="L_KEYWORD_ISSR_208017981_SALES" localSheetId="1">OCL.AX_Live_Sheet!$14:$14</definedName>
    <definedName name="L_KEYWORD_ISSR_208017981_SALES_ARGENTINA" localSheetId="1">OCL.AX_Live_Sheet!$219:$219</definedName>
    <definedName name="L_KEYWORD_ISSR_208017981_SALES_AUSTRA" localSheetId="1">OCL.AX_Live_Sheet!$262:$262</definedName>
    <definedName name="L_KEYWORD_ISSR_208017981_SALES_AUSTRIA" localSheetId="1">OCL.AX_Live_Sheet!$226:$226</definedName>
    <definedName name="L_KEYWORD_ISSR_208017981_SALES_BEL" localSheetId="1">OCL.AX_Live_Sheet!$227:$227</definedName>
    <definedName name="L_KEYWORD_ISSR_208017981_SALES_BRAZIL" localSheetId="1">OCL.AX_Live_Sheet!$220:$220</definedName>
    <definedName name="L_KEYWORD_ISSR_208017981_SALES_CANADA" localSheetId="1">OCL.AX_Live_Sheet!$216:$216</definedName>
    <definedName name="L_KEYWORD_ISSR_208017981_SALES_CEE" localSheetId="1">OCL.AX_Live_Sheet!$294:$294</definedName>
    <definedName name="L_KEYWORD_ISSR_208017981_SALES_CHILE" localSheetId="1">OCL.AX_Live_Sheet!$221:$221</definedName>
    <definedName name="L_KEYWORD_ISSR_208017981_SALES_CHINA" localSheetId="1">OCL.AX_Live_Sheet!$257:$257</definedName>
    <definedName name="L_KEYWORD_ISSR_208017981_SALES_COLOMBIA" localSheetId="1">OCL.AX_Live_Sheet!$222:$222</definedName>
    <definedName name="L_KEYWORD_ISSR_208017981_SALES_CONS" localSheetId="1">OCL.AX_Live_Sheet!$269:$269</definedName>
    <definedName name="L_KEYWORD_ISSR_208017981_SALES_EU_EX_UK" localSheetId="1">OCL.AX_Live_Sheet!$293:$293</definedName>
    <definedName name="L_KEYWORD_ISSR_208017981_SALES_FINAN" localSheetId="1">OCL.AX_Live_Sheet!$272:$272</definedName>
    <definedName name="L_KEYWORD_ISSR_208017981_SALES_FRA" localSheetId="1">OCL.AX_Live_Sheet!$228:$228</definedName>
    <definedName name="L_KEYWORD_ISSR_208017981_SALES_FX" localSheetId="1">OCL.AX_Live_Sheet!$301:$301</definedName>
    <definedName name="L_KEYWORD_ISSR_208017981_SALES_FX_AUD" localSheetId="1">OCL.AX_Live_Sheet!$286:$286</definedName>
    <definedName name="L_KEYWORD_ISSR_208017981_SALES_FX_BRL" localSheetId="1">OCL.AX_Live_Sheet!$282:$282</definedName>
    <definedName name="L_KEYWORD_ISSR_208017981_SALES_FX_CNY" localSheetId="1">OCL.AX_Live_Sheet!$284:$284</definedName>
    <definedName name="L_KEYWORD_ISSR_208017981_SALES_FX_EUR" localSheetId="1">OCL.AX_Live_Sheet!$279:$279</definedName>
    <definedName name="L_KEYWORD_ISSR_208017981_SALES_FX_GPB" localSheetId="1">OCL.AX_Live_Sheet!$278:$278</definedName>
    <definedName name="L_KEYWORD_ISSR_208017981_SALES_FX_INR" localSheetId="1">OCL.AX_Live_Sheet!$285:$285</definedName>
    <definedName name="L_KEYWORD_ISSR_208017981_SALES_FX_NZD" localSheetId="1">OCL.AX_Live_Sheet!$287:$287</definedName>
    <definedName name="L_KEYWORD_ISSR_208017981_SALES_FX_OTH" localSheetId="1">OCL.AX_Live_Sheet!$288:$288</definedName>
    <definedName name="L_KEYWORD_ISSR_208017981_SALES_FX_RUB" localSheetId="1">OCL.AX_Live_Sheet!$280:$280</definedName>
    <definedName name="L_KEYWORD_ISSR_208017981_SALES_FX_USD" localSheetId="1">OCL.AX_Live_Sheet!$281:$281</definedName>
    <definedName name="L_KEYWORD_ISSR_208017981_SALES_FX_YEN" localSheetId="1">OCL.AX_Live_Sheet!$283:$283</definedName>
    <definedName name="L_KEYWORD_ISSR_208017981_SALES_GER" localSheetId="1">OCL.AX_Live_Sheet!$229:$229</definedName>
    <definedName name="L_KEYWORD_ISSR_208017981_SALES_GOV" localSheetId="1">OCL.AX_Live_Sheet!$271:$271</definedName>
    <definedName name="L_KEYWORD_ISSR_208017981_SALES_GRE" localSheetId="1">OCL.AX_Live_Sheet!$230:$230</definedName>
    <definedName name="L_KEYWORD_ISSR_208017981_SALES_HONG_KONG" localSheetId="1">OCL.AX_Live_Sheet!$251:$251</definedName>
    <definedName name="L_KEYWORD_ISSR_208017981_SALES_IND" localSheetId="1">OCL.AX_Live_Sheet!$270:$270</definedName>
    <definedName name="L_KEYWORD_ISSR_208017981_SALES_INDIA" localSheetId="1">OCL.AX_Live_Sheet!$258:$258</definedName>
    <definedName name="L_KEYWORD_ISSR_208017981_SALES_INDONESIA" localSheetId="1">OCL.AX_Live_Sheet!$259:$259</definedName>
    <definedName name="L_KEYWORD_ISSR_208017981_SALES_INORGANIC" localSheetId="1">OCL.AX_Live_Sheet!$302:$302</definedName>
    <definedName name="L_KEYWORD_ISSR_208017981_SALES_IRE" localSheetId="1">OCL.AX_Live_Sheet!$231:$231</definedName>
    <definedName name="L_KEYWORD_ISSR_208017981_SALES_ITA" localSheetId="1">OCL.AX_Live_Sheet!$232:$232</definedName>
    <definedName name="L_KEYWORD_ISSR_208017981_SALES_JAPAN" localSheetId="1">OCL.AX_Live_Sheet!$252:$252</definedName>
    <definedName name="L_KEYWORD_ISSR_208017981_SALES_ME" localSheetId="1">OCL.AX_Live_Sheet!$295:$295</definedName>
    <definedName name="L_KEYWORD_ISSR_208017981_SALES_MEXICO" localSheetId="1">OCL.AX_Live_Sheet!$223:$223</definedName>
    <definedName name="L_KEYWORD_ISSR_208017981_SALES_NETH" localSheetId="1">OCL.AX_Live_Sheet!$233:$233</definedName>
    <definedName name="L_KEYWORD_ISSR_208017981_SALES_NIGERIA" localSheetId="1">OCL.AX_Live_Sheet!$248:$248</definedName>
    <definedName name="L_KEYWORD_ISSR_208017981_SALES_NOR" localSheetId="1">OCL.AX_Live_Sheet!$234:$234</definedName>
    <definedName name="L_KEYWORD_ISSR_208017981_SALES_NZ" localSheetId="1">OCL.AX_Live_Sheet!$263:$263</definedName>
    <definedName name="L_KEYWORD_ISSR_208017981_SALES_OIL_GAS" localSheetId="1">OCL.AX_Live_Sheet!$273:$273</definedName>
    <definedName name="L_KEYWORD_ISSR_208017981_SALES_OTH_AEJ" localSheetId="1">OCL.AX_Live_Sheet!$299:$299</definedName>
    <definedName name="L_KEYWORD_ISSR_208017981_SALES_OTH_AFRICA" localSheetId="1">OCL.AX_Live_Sheet!$250:$250</definedName>
    <definedName name="L_KEYWORD_ISSR_208017981_SALES_OTH_AM" localSheetId="1">OCL.AX_Live_Sheet!$291:$291</definedName>
    <definedName name="L_KEYWORD_ISSR_208017981_SALES_OTH_CEE" localSheetId="1">OCL.AX_Live_Sheet!$244:$244</definedName>
    <definedName name="L_KEYWORD_ISSR_208017981_SALES_OTH_DEV_ASIA" localSheetId="1">OCL.AX_Live_Sheet!$256:$256</definedName>
    <definedName name="L_KEYWORD_ISSR_208017981_SALES_OTH_EMEA" localSheetId="1">OCL.AX_Live_Sheet!$297:$297</definedName>
    <definedName name="L_KEYWORD_ISSR_208017981_SALES_OTH_EMERG_ASIA" localSheetId="1">OCL.AX_Live_Sheet!$261:$261</definedName>
    <definedName name="L_KEYWORD_ISSR_208017981_SALES_OTH_LATAM" localSheetId="1">OCL.AX_Live_Sheet!$225:$225</definedName>
    <definedName name="L_KEYWORD_ISSR_208017981_SALES_OTH_ME" localSheetId="1">OCL.AX_Live_Sheet!$247:$247</definedName>
    <definedName name="L_KEYWORD_ISSR_208017981_SALES_OTH_NO_AMER" localSheetId="1">OCL.AX_Live_Sheet!$218:$218</definedName>
    <definedName name="L_KEYWORD_ISSR_208017981_SALES_OTH_WEST_EURO" localSheetId="1">OCL.AX_Live_Sheet!$240:$240</definedName>
    <definedName name="L_KEYWORD_ISSR_208017981_SALES_OTHER" localSheetId="1">OCL.AX_Live_Sheet!$264:$264</definedName>
    <definedName name="L_KEYWORD_ISSR_208017981_SALES_POLAND" localSheetId="1">OCL.AX_Live_Sheet!$241:$241</definedName>
    <definedName name="L_KEYWORD_ISSR_208017981_SALES_POR" localSheetId="1">OCL.AX_Live_Sheet!$235:$235</definedName>
    <definedName name="L_KEYWORD_ISSR_208017981_SALES_PRICE" localSheetId="1">OCL.AX_Live_Sheet!$303:$303</definedName>
    <definedName name="L_KEYWORD_ISSR_208017981_SALES_RUSSIA" localSheetId="1">OCL.AX_Live_Sheet!$242:$242</definedName>
    <definedName name="L_KEYWORD_ISSR_208017981_SALES_SAUDI_ARABIA" localSheetId="1">OCL.AX_Live_Sheet!$245:$245</definedName>
    <definedName name="L_KEYWORD_ISSR_208017981_SALES_SINGAPORE" localSheetId="1">OCL.AX_Live_Sheet!$253:$253</definedName>
    <definedName name="L_KEYWORD_ISSR_208017981_SALES_SK" localSheetId="1">OCL.AX_Live_Sheet!$254:$254</definedName>
    <definedName name="L_KEYWORD_ISSR_208017981_SALES_SO_AFRICA" localSheetId="1">OCL.AX_Live_Sheet!$249:$249</definedName>
    <definedName name="L_KEYWORD_ISSR_208017981_SALES_SPA" localSheetId="1">OCL.AX_Live_Sheet!$236:$236</definedName>
    <definedName name="L_KEYWORD_ISSR_208017981_SALES_SWE" localSheetId="1">OCL.AX_Live_Sheet!$237:$237</definedName>
    <definedName name="L_KEYWORD_ISSR_208017981_SALES_SWIT" localSheetId="1">OCL.AX_Live_Sheet!$238:$238</definedName>
    <definedName name="L_KEYWORD_ISSR_208017981_SALES_TAIWAN" localSheetId="1">OCL.AX_Live_Sheet!$255:$255</definedName>
    <definedName name="L_KEYWORD_ISSR_208017981_SALES_THAILAND" localSheetId="1">OCL.AX_Live_Sheet!$260:$260</definedName>
    <definedName name="L_KEYWORD_ISSR_208017981_SALES_TOT_AFRICA" localSheetId="1">OCL.AX_Live_Sheet!$296:$296</definedName>
    <definedName name="L_KEYWORD_ISSR_208017981_SALES_TOT_AM" localSheetId="1">OCL.AX_Live_Sheet!$290:$290</definedName>
    <definedName name="L_KEYWORD_ISSR_208017981_SALES_TOT_ASIA" localSheetId="1">OCL.AX_Live_Sheet!$298:$298</definedName>
    <definedName name="L_KEYWORD_ISSR_208017981_SALES_TOT_EMEA" localSheetId="1">OCL.AX_Live_Sheet!$292:$292</definedName>
    <definedName name="L_KEYWORD_ISSR_208017981_SALES_TURKEY" localSheetId="1">OCL.AX_Live_Sheet!$243:$243</definedName>
    <definedName name="L_KEYWORD_ISSR_208017981_SALES_UAE" localSheetId="1">OCL.AX_Live_Sheet!$246:$246</definedName>
    <definedName name="L_KEYWORD_ISSR_208017981_SALES_UK" localSheetId="1">OCL.AX_Live_Sheet!$239:$239</definedName>
    <definedName name="L_KEYWORD_ISSR_208017981_SALES_US" localSheetId="1">OCL.AX_Live_Sheet!$217:$217</definedName>
    <definedName name="L_KEYWORD_ISSR_208017981_SALES_VENEZUELA" localSheetId="1">OCL.AX_Live_Sheet!$224:$224</definedName>
    <definedName name="L_KEYWORD_ISSR_208017981_SALES_VOLUME" localSheetId="1">OCL.AX_Live_Sheet!$304:$304</definedName>
    <definedName name="L_KEYWORD_ISSR_208017981_SEL_GL_AD" localSheetId="1">OCL.AX_Live_Sheet!$17:$17</definedName>
    <definedName name="L_KEYWORD_ISSR_208017981_SEL_GL_AD_OTHER" localSheetId="1">OCL.AX_Live_Sheet!$40:$40</definedName>
    <definedName name="L_KEYWORD_ISSR_208017981_SGA_PCT_ROW" localSheetId="1">OCL.AX_Live_Sheet!$268:$268</definedName>
    <definedName name="L_KEYWORD_ISSR_208017981_SGA_PCT_US" localSheetId="1">OCL.AX_Live_Sheet!$267:$267</definedName>
    <definedName name="L_KEYWORD_ISSR_208017981_SH_REPUR" localSheetId="1">OCL.AX_Live_Sheet!$170:$170</definedName>
    <definedName name="L_KEYWORD_ISSR_208017981_SHARE_BASED_PAYMENTS" localSheetId="1">OCL.AX_Live_Sheet!$42:$42</definedName>
    <definedName name="L_KEYWORD_ISSR_208017981_SHORT_T_DEBT" localSheetId="1">OCL.AX_Live_Sheet!$89:$89</definedName>
    <definedName name="L_KEYWORD_ISSR_208017981_SHORT_TERM_LIABS" localSheetId="1">OCL.AX_Live_Sheet!$92:$92</definedName>
    <definedName name="L_KEYWORD_ISSR_208017981_ST_LEASE_LIAB" localSheetId="1">OCL.AX_Live_Sheet!$90:$90</definedName>
    <definedName name="L_KEYWORD_ISSR_208017981_STOCKS" localSheetId="1">OCL.AX_Live_Sheet!$75:$75</definedName>
    <definedName name="L_KEYWORD_ISSR_208017981_SUPPLIER_EMPLOYEE_PAYS" localSheetId="1">OCL.AX_Live_Sheet!$179:$179</definedName>
    <definedName name="L_KEYWORD_ISSR_208017981_TOT_ASSET" localSheetId="1">OCL.AX_Live_Sheet!$87:$87</definedName>
    <definedName name="L_KEYWORD_ISSR_208017981_TOT_CF" localSheetId="1">OCL.AX_Live_Sheet!$176:$176</definedName>
    <definedName name="L_KEYWORD_ISSR_208017981_TOT_LIAB" localSheetId="1">OCL.AX_Live_Sheet!$97:$97</definedName>
    <definedName name="L_KEYWORD_ISSR_208017981_TOT_LIAB_EQ" localSheetId="1">OCL.AX_Live_Sheet!$102:$102</definedName>
    <definedName name="L_KEYWORD_ISSR_208017981_TOT_LT_LIAB" localSheetId="1">OCL.AX_Live_Sheet!$96:$96</definedName>
    <definedName name="L_KEYWORD_ISSR_208017981_TOT_OPS_EXP" localSheetId="1">OCL.AX_Live_Sheet!$22:$22</definedName>
    <definedName name="L_KEYWORD_ISSR_208017981_TOT_OPS_EXP_DDA" localSheetId="1">OCL.AX_Live_Sheet!$21:$21</definedName>
    <definedName name="L_KEYWORD_ISSR_208017981_TOT_PCT_USD_DEBT_HEDGED" localSheetId="1">OCL.AX_Live_Sheet!$141:$141</definedName>
    <definedName name="L_KEYWORD_ISSR_208017981_TOT_USD_DEBT" localSheetId="1">OCL.AX_Live_Sheet!$140:$140</definedName>
    <definedName name="L_KEYWORD_ISSR_208017981_TOTAL_CAPITAL_EMPLOYED_ADJ" localSheetId="1">OCL.AX_Live_Sheet!$213:$213</definedName>
    <definedName name="L_KEYWORD_ISSR_208017981_TOTAL_DEPREC_AMORT" localSheetId="1">OCL.AX_Live_Sheet!$46:$46</definedName>
    <definedName name="L_KEYWORD_ISSR_208017981_TOTAL_IFRS_ADJUST_PRE_TAX" localSheetId="1">OCL.AX_Live_Sheet!$56:$56</definedName>
    <definedName name="L_KEYWORD_ISSR_208017981_TOTAL_NONCURR_ASSETS" localSheetId="1">OCL.AX_Live_Sheet!$123:$123</definedName>
    <definedName name="L_KEYWORD_ISSR_208017981_TOTAL_OPR_REVENUE" localSheetId="1">OCL.AX_Live_Sheet!$37:$37</definedName>
    <definedName name="L_KEYWORD_ISSR_208017981_TV_LICENCES_MASTERHEADS" localSheetId="1">OCL.AX_Live_Sheet!$210:$210</definedName>
    <definedName name="L_KEYWORD_ISSR_208017981_UNF_PENS" localSheetId="1">OCL.AX_Live_Sheet!$150:$150</definedName>
    <definedName name="L_KEYWORD_ISSR_208017981_UNF_PENS_LIAB_OTH" localSheetId="1">OCL.AX_Live_Sheet!$152:$152</definedName>
    <definedName name="L_KEYWORD_ISSR_208017981_UNF_PENS_OFF" localSheetId="1">OCL.AX_Live_Sheet!$151:$151</definedName>
    <definedName name="L_KEYWORD_ISSR_208017981_WORK_CAP" localSheetId="1">OCL.AX_Live_Sheet!$161:$161</definedName>
    <definedName name="L_LIVEDATA_EQTY_200019506" localSheetId="1">OCL.AX_Live_Sheet!$B$305</definedName>
    <definedName name="L_LIVEDATA_ISSR_208017981" localSheetId="1">OCL.AX_Live_Sheet!$B$4</definedName>
    <definedName name="L_PERIOD_2014" localSheetId="1">OCL.AX_Live_Sheet!$F:$F</definedName>
    <definedName name="L_PERIOD_2015" localSheetId="1">OCL.AX_Live_Sheet!$I:$I</definedName>
    <definedName name="L_PERIOD_2015_H1" localSheetId="1">OCL.AX_Live_Sheet!$G:$G</definedName>
    <definedName name="L_PERIOD_2015_H2" localSheetId="1">OCL.AX_Live_Sheet!$H:$H</definedName>
    <definedName name="L_PERIOD_2016" localSheetId="1">OCL.AX_Live_Sheet!$L:$L</definedName>
    <definedName name="L_PERIOD_2016_H1" localSheetId="1">OCL.AX_Live_Sheet!$J:$J</definedName>
    <definedName name="L_PERIOD_2016_H2" localSheetId="1">OCL.AX_Live_Sheet!$K:$K</definedName>
    <definedName name="L_PERIOD_2017" localSheetId="1">OCL.AX_Live_Sheet!$O:$O</definedName>
    <definedName name="L_PERIOD_2017_H1" localSheetId="1">OCL.AX_Live_Sheet!$M:$M</definedName>
    <definedName name="L_PERIOD_2017_H2" localSheetId="1">OCL.AX_Live_Sheet!$N:$N</definedName>
    <definedName name="L_PERIOD_2018" localSheetId="1">OCL.AX_Live_Sheet!$R:$R</definedName>
    <definedName name="L_PERIOD_2018_H1" localSheetId="1">OCL.AX_Live_Sheet!$P:$P</definedName>
    <definedName name="L_PERIOD_2018_H2" localSheetId="1">OCL.AX_Live_Sheet!$Q:$Q</definedName>
    <definedName name="L_PERIOD_2019" localSheetId="1">OCL.AX_Live_Sheet!$U:$U</definedName>
    <definedName name="L_PERIOD_2019_H1" localSheetId="1">OCL.AX_Live_Sheet!$S:$S</definedName>
    <definedName name="L_PERIOD_2019_H2" localSheetId="1">OCL.AX_Live_Sheet!$T:$T</definedName>
    <definedName name="L_PERIOD_2020" localSheetId="1">OCL.AX_Live_Sheet!$X:$X</definedName>
    <definedName name="L_PERIOD_2020_H1" localSheetId="1">OCL.AX_Live_Sheet!$V:$V</definedName>
    <definedName name="L_PERIOD_2020_H2" localSheetId="1">OCL.AX_Live_Sheet!$W:$W</definedName>
    <definedName name="L_PERIOD_2021" localSheetId="1">OCL.AX_Live_Sheet!$AA:$AA</definedName>
    <definedName name="L_PERIOD_2021_H1" localSheetId="1">OCL.AX_Live_Sheet!$Y:$Y</definedName>
    <definedName name="L_PERIOD_2021_H2" localSheetId="1">OCL.AX_Live_Sheet!$Z:$Z</definedName>
    <definedName name="L_PERIOD_2022" localSheetId="1">OCL.AX_Live_Sheet!$AD:$AD</definedName>
    <definedName name="L_PERIOD_2022_H1" localSheetId="1">OCL.AX_Live_Sheet!$AB:$AB</definedName>
    <definedName name="L_PERIOD_2022_H2" localSheetId="1">OCL.AX_Live_Sheet!$AC:$AC</definedName>
    <definedName name="L_PERIOD_2023" localSheetId="1">OCL.AX_Live_Sheet!$AG:$AG</definedName>
    <definedName name="L_PERIOD_2023_H1" localSheetId="1">OCL.AX_Live_Sheet!$AE:$AE</definedName>
    <definedName name="L_PERIOD_2023_H2" localSheetId="1">OCL.AX_Live_Sheet!$AF:$AF</definedName>
    <definedName name="L_PERIOD_2024" localSheetId="1">OCL.AX_Live_Sheet!$AJ:$AJ</definedName>
    <definedName name="L_PERIOD_2024_H1" localSheetId="1">OCL.AX_Live_Sheet!$AH:$AH</definedName>
    <definedName name="L_PERIOD_2024_H2" localSheetId="1">OCL.AX_Live_Sheet!$AI:$AI</definedName>
    <definedName name="L_PERIOD_2025" localSheetId="1">OCL.AX_Live_Sheet!$AM:$AM</definedName>
    <definedName name="L_PERIOD_2025_H1" localSheetId="1">OCL.AX_Live_Sheet!$AK:$AK</definedName>
    <definedName name="L_PERIOD_2025_H2" localSheetId="1">OCL.AX_Live_Sheet!$AL:$AL</definedName>
    <definedName name="L_PERIOD_2026" localSheetId="1">OCL.AX_Live_Sheet!$AN:$AN</definedName>
    <definedName name="L_PERIOD_2027" localSheetId="1">OCL.AX_Live_Sheet!$AO:$AO</definedName>
    <definedName name="L_SECTION_EQTY_200019506_1314" localSheetId="1">OCL.AX_Live_Sheet!$432:$432</definedName>
    <definedName name="L_SECTION_EQTY_200019506_1316A" localSheetId="1">OCL.AX_Live_Sheet!$353:$353</definedName>
    <definedName name="L_SECTION_EQTY_200019506_1316B" localSheetId="1">OCL.AX_Live_Sheet!$392:$392</definedName>
    <definedName name="L_SECTION_EQTY_200019506_1316C" localSheetId="1">OCL.AX_Live_Sheet!$434:$434</definedName>
    <definedName name="L_SECTION_EQTY_200019506_1316D" localSheetId="1">OCL.AX_Live_Sheet!$439:$439</definedName>
    <definedName name="L_SECTION_EQTY_200019506_1316E" localSheetId="1">OCL.AX_Live_Sheet!$447:$447</definedName>
    <definedName name="L_SECTION_EQTY_200019506_131E" localSheetId="1">OCL.AX_Live_Sheet!$437:$437</definedName>
    <definedName name="L_SECTION_EQTY_200019506_131J" localSheetId="1">OCL.AX_Live_Sheet!$441:$441</definedName>
    <definedName name="L_SECTION_EQTY_200019506_131O" localSheetId="1">OCL.AX_Live_Sheet!$443:$443</definedName>
    <definedName name="L_SECTION_EQTY_200019506_13A" localSheetId="1">OCL.AX_Live_Sheet!$313:$313</definedName>
    <definedName name="L_SECTION_EQTY_200019506_13K" localSheetId="1">OCL.AX_Live_Sheet!$336:$336</definedName>
    <definedName name="L_SECTION_EQTY_200019506_13U" localSheetId="1">OCL.AX_Live_Sheet!$374:$374</definedName>
    <definedName name="L_SECTION_EQTY_200019506_13V" localSheetId="1">OCL.AX_Live_Sheet!$429:$429</definedName>
    <definedName name="L_SECTION_EQTY_200019506_Reference_Data" localSheetId="1">OCL.AX_Live_Sheet!$306:$306</definedName>
    <definedName name="L_SECTION_ISSR_208017981_1314" localSheetId="1">OCL.AX_Live_Sheet!$72:$72</definedName>
    <definedName name="L_SECTION_ISSR_208017981_13168" localSheetId="1">OCL.AX_Live_Sheet!$215:$215</definedName>
    <definedName name="L_SECTION_ISSR_208017981_1316B" localSheetId="1">OCL.AX_Live_Sheet!$34:$34</definedName>
    <definedName name="L_SECTION_ISSR_208017981_1316C" localSheetId="1">OCL.AX_Live_Sheet!$105:$105</definedName>
    <definedName name="L_SECTION_ISSR_208017981_1316D" localSheetId="1">OCL.AX_Live_Sheet!$177:$177</definedName>
    <definedName name="L_SECTION_ISSR_208017981_1316E" localSheetId="1">OCL.AX_Live_Sheet!$206:$206</definedName>
    <definedName name="L_SECTION_ISSR_208017981_1316T" localSheetId="1">OCL.AX_Live_Sheet!$274:$274</definedName>
    <definedName name="L_SECTION_ISSR_208017981_1316U" localSheetId="1">OCL.AX_Live_Sheet!$277:$277</definedName>
    <definedName name="L_SECTION_ISSR_208017981_1319" localSheetId="1">OCL.AX_Live_Sheet!$139:$139</definedName>
    <definedName name="L_SECTION_ISSR_208017981_131E" localSheetId="1">OCL.AX_Live_Sheet!$158:$158</definedName>
    <definedName name="L_SECTION_ISSR_208017981_131J" localSheetId="1">OCL.AX_Live_Sheet!$192:$192</definedName>
    <definedName name="L_SECTION_ISSR_208017981_131O" localSheetId="1">OCL.AX_Live_Sheet!$204:$204</definedName>
    <definedName name="L_SECTION_ISSR_208017981_136E" localSheetId="1">OCL.AX_Live_Sheet!$289:$289</definedName>
    <definedName name="L_SECTION_ISSR_208017981_136J" localSheetId="1">OCL.AX_Live_Sheet!$300:$300</definedName>
    <definedName name="L_SECTION_ISSR_208017981_13A" localSheetId="1">OCL.AX_Live_Sheet!$8:$8</definedName>
    <definedName name="L_SECTION_ISSR_208017981_13U" localSheetId="1">OCL.AX_Live_Sheet!$13:$13</definedName>
    <definedName name="L_SECTION_ISSR_208017981_13V" localSheetId="1">OCL.AX_Live_Sheet!$59:$59</definedName>
    <definedName name="L_SECTION_ISSR_208017981_Reference_Data" localSheetId="1">OCL.AX_Live_Sheet!$5:$5</definedName>
    <definedName name="L_TEMPLATEHASH" localSheetId="1">OCL.AX_Live_Sheet!$C$1</definedName>
    <definedName name="LAST_UPDATED">OCL.AX!$C$1</definedName>
    <definedName name="limcount" hidden="1">1</definedName>
    <definedName name="lnk_CoName" hidden="1">#REF!</definedName>
    <definedName name="lnk_countryID" hidden="1">#REF!</definedName>
    <definedName name="lnk_cpyID" hidden="1">#REF!</definedName>
    <definedName name="lnk_display_Currency" hidden="1">#REF!</definedName>
    <definedName name="lnk_drate_update" hidden="1">#REF!</definedName>
    <definedName name="lnk_IndustryType" hidden="1">#REF!</definedName>
    <definedName name="lnk_LastFiscalYear" hidden="1">#REF!</definedName>
    <definedName name="lnk_numForecastYears" hidden="1">#REF!</definedName>
    <definedName name="lnk_numHistoricalYears" hidden="1">#REF!</definedName>
    <definedName name="lnk_Print_Area" hidden="1">#REF!</definedName>
    <definedName name="lnk_rData_Start_Driver" hidden="1">#REF!</definedName>
    <definedName name="lnk_rData_Start_Result" hidden="1">#REF!</definedName>
    <definedName name="lnk_rDataStart" hidden="1">#REF!</definedName>
    <definedName name="lnk_rSourceFore" hidden="1">#REF!</definedName>
    <definedName name="lnk_rSourceFore1st" hidden="1">#REF!</definedName>
    <definedName name="lnk_rSourceHist" hidden="1">#REF!</definedName>
    <definedName name="lnk_rYearRow" hidden="1">#REF!</definedName>
    <definedName name="lnk_rYearRow_Driver" hidden="1">#REF!</definedName>
    <definedName name="lnk_rYearRow_Result" hidden="1">#REF!</definedName>
    <definedName name="lnk_ScenarioName" hidden="1">#REF!</definedName>
    <definedName name="lnk_TICK" hidden="1">#REF!</definedName>
    <definedName name="lnk_update" hidden="1">#REF!</definedName>
    <definedName name="lnk_version" hidden="1">#REF!</definedName>
    <definedName name="M_PlaceofPath" hidden="1">"g:\blabla"</definedName>
    <definedName name="Maintenance_capex">MODEL!$103:$103</definedName>
    <definedName name="Minorities_profit">MODEL!$53:$53</definedName>
    <definedName name="Minority_interests">MODEL!$185:$185</definedName>
    <definedName name="mkmk" hidden="1">{"IS",#N/A,FALSE,"IS";"RPTIS",#N/A,FALSE,"RPTIS";"STATS",#N/A,FALSE,"STATS";"CELL",#N/A,FALSE,"CELL";"BS",#N/A,FALSE,"BS"}</definedName>
    <definedName name="n" localSheetId="6" hidden="1">{"IS",#N/A,FALSE,"IS";"RPTIS",#N/A,FALSE,"RPTIS";"STATS",#N/A,FALSE,"STATS";"BS",#N/A,FALSE,"BS"}</definedName>
    <definedName name="n" hidden="1">{"IS",#N/A,FALSE,"IS";"RPTIS",#N/A,FALSE,"RPTIS";"STATS",#N/A,FALSE,"STATS";"BS",#N/A,FALSE,"BS"}</definedName>
    <definedName name="Net_debt">MODEL!$218:$218</definedName>
    <definedName name="Net_goodwill">MODEL!$147:$147</definedName>
    <definedName name="Net_interest_expense">MODEL!$48:$48</definedName>
    <definedName name="Net_interest_paid">MODEL!$100:$100</definedName>
    <definedName name="Net_other_intangibles">MODEL!$150:$150</definedName>
    <definedName name="Net_ppe">MODEL!$143:$143</definedName>
    <definedName name="Net_Profit_Post_ab">MODEL!$57:$57</definedName>
    <definedName name="newbel" localSheetId="6" hidden="1">{"IS",#N/A,FALSE,"IS";"RPTIS",#N/A,FALSE,"RPTIS";"STATS",#N/A,FALSE,"STATS";"CELL",#N/A,FALSE,"CELL";"BS",#N/A,FALSE,"BS"}</definedName>
    <definedName name="newbel" hidden="1">{"IS",#N/A,FALSE,"IS";"RPTIS",#N/A,FALSE,"RPTIS";"STATS",#N/A,FALSE,"STATS";"CELL",#N/A,FALSE,"CELL";"BS",#N/A,FALSE,"BS"}</definedName>
    <definedName name="no" hidden="1">{"PR1","pr1",TRUE,"Sch PR-1"}</definedName>
    <definedName name="Non_Current_Assets">MODEL!$158:$158</definedName>
    <definedName name="Non_current_borrowings">MODEL!$172:$172</definedName>
    <definedName name="Non_current_inventories">MODEL!$140:$140</definedName>
    <definedName name="Non_current_provisions">MODEL!$173:$173</definedName>
    <definedName name="Non_current_receivables">MODEL!$139:$139</definedName>
    <definedName name="NPAT_pre_ab">MODEL!$55:$55</definedName>
    <definedName name="Options_in_the_money">MODEL!$261:$261</definedName>
    <definedName name="Other_creditors">MODEL!$165:$165</definedName>
    <definedName name="Other_current_assets">MODEL!$135:$135</definedName>
    <definedName name="Other_current_liabilities">MODEL!$167:$167</definedName>
    <definedName name="Other_inflows">MODEL!$120:$120</definedName>
    <definedName name="Other_intangibles">MODEL!$148:$148</definedName>
    <definedName name="Other_investing_cashflows">MODEL!$115:$115</definedName>
    <definedName name="Other_non_current_assets">MODEL!$157:$157</definedName>
    <definedName name="Other_non_current_liabilities">MODEL!$175:$175</definedName>
    <definedName name="Other_operating">MODEL!$98:$98</definedName>
    <definedName name="Other_receivables">MODEL!$132:$132</definedName>
    <definedName name="PDIT">MODEL!$174:$174</definedName>
    <definedName name="Pre_tax_profit">MODEL!$49:$49</definedName>
    <definedName name="_xlnm.Print_Area" localSheetId="4">MODEL!$B$1:$X$207</definedName>
    <definedName name="_xlnm.Print_Titles" localSheetId="4">MODEL!$B:$B,MODEL!$1:$2</definedName>
    <definedName name="q" hidden="1">{"comps2",#N/A,FALSE,"AERO";"footnotes",#N/A,FALSE,"AERO"}</definedName>
    <definedName name="qwq" hidden="1">{"AT","COMPANIES",TRUE}</definedName>
    <definedName name="qwqwqw" hidden="1">{"AT","COMPANIES",TRUE}</definedName>
    <definedName name="Reserves">MODEL!$183:$183</definedName>
    <definedName name="Retained_profits">MODEL!$184:$184</definedName>
    <definedName name="Rwvu.Full_Year." localSheetId="6" hidden="1">#REF!,#REF!,#REF!,#REF!</definedName>
    <definedName name="Rwvu.Full_Year." hidden="1">#REF!,#REF!,#REF!,#REF!</definedName>
    <definedName name="Sales_classified">MODEL!$5:$5</definedName>
    <definedName name="Sales_learning">MODEL!#REF!</definedName>
    <definedName name="sds" hidden="1">{"Print Summary",#N/A,FALSE,"Bal_Graphs";"Print Summary",#N/A,FALSE,"DCF";"Print Summary",#N/A,FALSE,"Graphs";"Print Summary",#N/A,FALSE,"Summary"}</definedName>
    <definedName name="sdsds" hidden="1">{"PR1","pr1",TRUE,"Sch PR-1"}</definedName>
    <definedName name="sencount" hidden="1">1</definedName>
    <definedName name="Sensitivities.UpdateSensitivities">[0]!Sensitivities.UpdateSensitivities</definedName>
    <definedName name="Share_capital">MODEL!$182:$182</definedName>
    <definedName name="Shares_issued">MODEL!$117:$117</definedName>
    <definedName name="solver_adj" hidden="1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hs1" hidden="1">#REF!</definedName>
    <definedName name="solver_lhs10" hidden="1">#REF!</definedName>
    <definedName name="solver_lhs11" hidden="1">#REF!</definedName>
    <definedName name="solver_lhs2" hidden="1">#REF!</definedName>
    <definedName name="solver_lhs3" hidden="1">#REF!</definedName>
    <definedName name="solver_lhs4" hidden="1">#REF!</definedName>
    <definedName name="solver_lhs5" hidden="1">#REF!</definedName>
    <definedName name="solver_lhs6" hidden="1">#REF!</definedName>
    <definedName name="solver_lhs7" hidden="1">#REF!</definedName>
    <definedName name="solver_lhs8" hidden="1">#REF!</definedName>
    <definedName name="solver_lhs9" hidden="1">#REF!</definedName>
    <definedName name="solver_lin" localSheetId="6" hidden="1">0</definedName>
    <definedName name="solver_lin" hidden="1">2</definedName>
    <definedName name="solver_neg" hidden="1">2</definedName>
    <definedName name="solver_num" localSheetId="6" hidden="1">0</definedName>
    <definedName name="solver_num" hidden="1">1</definedName>
    <definedName name="solver_nwt" hidden="1">1</definedName>
    <definedName name="solver_opt" localSheetId="6" hidden="1">#REF!</definedName>
    <definedName name="solver_opt" hidden="1">#REF!</definedName>
    <definedName name="solver_pre" hidden="1">0.000001</definedName>
    <definedName name="solver_rel1" hidden="1">2</definedName>
    <definedName name="solver_rel10" hidden="1">1</definedName>
    <definedName name="solver_rel11" hidden="1">3</definedName>
    <definedName name="solver_rel2" hidden="1">2</definedName>
    <definedName name="solver_rel3" hidden="1">2</definedName>
    <definedName name="solver_rel4" hidden="1">2</definedName>
    <definedName name="solver_rel5" hidden="1">1</definedName>
    <definedName name="solver_rel6" hidden="1">3</definedName>
    <definedName name="solver_rel7" hidden="1">2</definedName>
    <definedName name="solver_rel8" hidden="1">1</definedName>
    <definedName name="solver_rel9" hidden="1">3</definedName>
    <definedName name="solver_rhs1" hidden="1">#REF!</definedName>
    <definedName name="solver_rhs10" hidden="1">#REF!</definedName>
    <definedName name="solver_rhs11" hidden="1">#REF!</definedName>
    <definedName name="solver_rhs2" hidden="1">#REF!</definedName>
    <definedName name="solver_rhs3" hidden="1">#REF!</definedName>
    <definedName name="solver_rhs4" hidden="1">#REF!</definedName>
    <definedName name="solver_rhs5" hidden="1">#REF!</definedName>
    <definedName name="solver_rhs6" hidden="1">#REF!</definedName>
    <definedName name="solver_rhs7" hidden="1">#REF!</definedName>
    <definedName name="solver_rhs8" hidden="1">#REF!</definedName>
    <definedName name="solver_rhs9" hidden="1">#REF!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localSheetId="6" hidden="1">5.05</definedName>
    <definedName name="solver_val" hidden="1">1053</definedName>
    <definedName name="sssssss" hidden="1">{"PR1","pr1",TRUE,"Sch PR-1"}</definedName>
    <definedName name="Tax_expense">MODEL!$50:$50</definedName>
    <definedName name="Tax_paid">MODEL!$101:$101</definedName>
    <definedName name="Television_licences_mastheads">MODEL!$151:$151</definedName>
    <definedName name="temp" hidden="1">{"Full annual",#N/A,FALSE,"Master"}</definedName>
    <definedName name="temp2" hidden="1">{"Full annual",#N/A,FALSE,"Master";"P and L halfyearly",#N/A,FALSE,"Master";"Underlying halfyearly",#N/A,FALSE,"Master"}</definedName>
    <definedName name="temp3" hidden="1">{"P and L halfyearly",#N/A,FALSE,"Master"}</definedName>
    <definedName name="temp4" hidden="1">{"Underlying halfyearly",#N/A,FALSE,"Master"}</definedName>
    <definedName name="Tigr_Exhibit00fc01f6_dd6f_4b8b_b1fa_ebe4c893c88c" hidden="1">#REF!</definedName>
    <definedName name="Tigr_Exhibit064c8930_c173_4342_adb7_c3cd66c48ed0" hidden="1">#REF!</definedName>
    <definedName name="Tigr_Exhibit07004af0_9d2d_41f1_a044_c6d0586815d6" hidden="1">#REF!</definedName>
    <definedName name="Tigr_Exhibit083f81f5_5330_4e93_a4ef_eedfcc37338b" localSheetId="6" hidden="1">VALUATION!$B$1:$E$14</definedName>
    <definedName name="Tigr_Exhibit086589f5_4fea_4dc7_8492_523a699dffa2" hidden="1">VALUATION!#REF!</definedName>
    <definedName name="Tigr_Exhibit097f330e_2fe0_4627_87da_50ba326867e7" hidden="1">VALUATION!$B$2:$E$8</definedName>
    <definedName name="Tigr_Exhibit0996f9f3_a6e9_46c7_b203_d2153e603a91" hidden="1">#REF!</definedName>
    <definedName name="Tigr_Exhibit0b377785_29fb_481a_8426_274c577a3aa8" hidden="1">#REF!</definedName>
    <definedName name="Tigr_Exhibit0dcc3c1b_93d2_4da4_85e4_2d6df8f9a4fe" hidden="1">'Earnings changes'!$C$2:$I$15</definedName>
    <definedName name="Tigr_Exhibit1233ddbb_0178_4f14_b962_ffbfe085a82b" hidden="1">#REF!</definedName>
    <definedName name="Tigr_Exhibit12f6778c_85fb_4a92_b775_15a2ae38b416" hidden="1">#REF!</definedName>
    <definedName name="Tigr_Exhibit1593b087_a270_4535_ab3e_4da171aecf42" hidden="1">#REF!</definedName>
    <definedName name="Tigr_Exhibit16b0e94e_7733_40a6_9e07_1c6315e67348" hidden="1">VALUATION!$B$2:$E$10</definedName>
    <definedName name="Tigr_Exhibit1a6ab05a_cc59_481d_b06d_1ddd1c7b8f18" hidden="1">#REF!</definedName>
    <definedName name="Tigr_Exhibit22288c81_bd47_48e7_8c32_30edec00b12c" hidden="1">#REF!</definedName>
    <definedName name="Tigr_Exhibit227e5286_5106_4362_9849_7f820ec6c291" hidden="1">#REF!</definedName>
    <definedName name="Tigr_Exhibit23313fa7_2d96_4c9c_986e_415d18829d27" hidden="1">#REF!</definedName>
    <definedName name="Tigr_Exhibit25154419_a8ec_480e_9c09_a3e72f29c788" hidden="1">#REF!</definedName>
    <definedName name="Tigr_Exhibit267a05bd_1415_44b4_8d8b_3de8b9c03572" hidden="1">#REF!</definedName>
    <definedName name="Tigr_Exhibit28b77046_b174_4ff1_b5cf_d1e86dbb682d" hidden="1">#REF!</definedName>
    <definedName name="Tigr_Exhibit2b4eec20_5112_4090_9416_cfe9bc9ccbd6" hidden="1">#REF!</definedName>
    <definedName name="Tigr_Exhibit2b68c517_3ef4_4c8e_bb01_f4293ceae332" hidden="1">#REF!</definedName>
    <definedName name="Tigr_Exhibit2f99f3c0_5e95_491d_aeb4_42232c9db6b6" hidden="1">#REF!</definedName>
    <definedName name="Tigr_Exhibit348f432f_c4b9_4ea8_b0ec_e29f705d67c9" hidden="1">#REF!</definedName>
    <definedName name="Tigr_Exhibit35929fe9_d8ff_495e_b8ab_7dc17572c413" hidden="1">#REF!</definedName>
    <definedName name="Tigr_Exhibit3d3f33dd_1955_44f8_a466_ff7d530600fb" hidden="1">#REF!</definedName>
    <definedName name="Tigr_Exhibit3d7af766_2b3e_4bd7_85a5_a4ab42d27fb6" hidden="1">#REF!</definedName>
    <definedName name="Tigr_Exhibit3e199742_8f6f_433c_9a87_4bd3edb2d32b" hidden="1">#REF!</definedName>
    <definedName name="Tigr_Exhibit40cf7839_f0bf_4ff8_b308_b10f1b7d854e" hidden="1">#REF!</definedName>
    <definedName name="Tigr_Exhibit44f3820d_47e1_4212_9214_e887a3adaac9" hidden="1">#REF!</definedName>
    <definedName name="Tigr_Exhibit46324a83_8e09_427a_8d4b_8aa02078bf1f" hidden="1">#REF!</definedName>
    <definedName name="Tigr_Exhibit46850850_9eb7_4694_965a_84b8fa173c38" hidden="1">#REF!</definedName>
    <definedName name="Tigr_Exhibit46b42880_de27_4016_a690_99d86805b967" hidden="1">#REF!</definedName>
    <definedName name="Tigr_Exhibit4700df85_28c4_4369_afa6_608136e8d7f0" hidden="1">#REF!</definedName>
    <definedName name="Tigr_Exhibit4788f2d0_6d5c_46f7_8da1_9543045312b8" hidden="1">#REF!</definedName>
    <definedName name="Tigr_Exhibit57367902_1294_4f77_93da_efc36bb92947" localSheetId="6" hidden="1">VALUATION!$B$2:$E$14</definedName>
    <definedName name="Tigr_Exhibit5a646ee0_f366_4f7f_8edb_ea1567b29d97" hidden="1">#REF!</definedName>
    <definedName name="Tigr_Exhibit6da6695d_e721_4f01_8a20_3261e2269a26" hidden="1">VALUATION!#REF!</definedName>
    <definedName name="Tigr_Exhibit7008bade_0432_4dc4_821f_64853ad48461" hidden="1">#REF!</definedName>
    <definedName name="Tigr_Exhibit71ae2b03_c580_4f93_8c62_8f0aa607e2fd" hidden="1">#REF!</definedName>
    <definedName name="Tigr_Exhibit7ac87595_8530_4bce_a0ee_8b4b6cc57329" hidden="1">'Earnings changes'!$B$1:$I$16</definedName>
    <definedName name="Tigr_Exhibit7afa5ec8_1d04_4b12_b02f_f2c8424c328a" hidden="1">#REF!</definedName>
    <definedName name="Tigr_Exhibit7b57ce60_1577_4239_a005_de2b763189d2" hidden="1">#REF!</definedName>
    <definedName name="Tigr_Exhibit7c23fe06_4f79_455e_b7b7_7eec4ea0417e" hidden="1">#REF!</definedName>
    <definedName name="Tigr_Exhibit7c793a49_9351_4068_8450_91eb7b1b9aa9" hidden="1">VALUATION!$B$2:$E$10</definedName>
    <definedName name="Tigr_Exhibit7ec6c09e_d544_4513_b876_499f84616f7e" hidden="1">VALUATION!$B$2:$E$8</definedName>
    <definedName name="Tigr_Exhibit7f2d16dd_4073_4aa0_ab01_3fe5d593cd0f" hidden="1">#REF!</definedName>
    <definedName name="Tigr_Exhibit80131d86_06c4_4221_ac39_1453f0e04416" hidden="1">'Earnings changes'!$B$1:$W$16</definedName>
    <definedName name="Tigr_Exhibit80dc5f9c_8319_45ac_b5b3_1c17fb98efef" hidden="1">#REF!</definedName>
    <definedName name="Tigr_Exhibit811db113_5d24_4f82_befa_bdf3617f9f3a" hidden="1">#REF!</definedName>
    <definedName name="Tigr_Exhibit814bf810_99f4_4474_a5f4_59b86074213e" hidden="1">#REF!</definedName>
    <definedName name="Tigr_Exhibit83488d40_63d2_43d5_879e_27955a1d2d87" hidden="1">#REF!</definedName>
    <definedName name="Tigr_Exhibit84da6cf7_1479_42c9_a956_8fc6c4f0b668" hidden="1">#REF!</definedName>
    <definedName name="Tigr_Exhibit86011401_e2fe_473b_b0b1_6dec7243b23d" hidden="1">'Earnings changes'!$C$2:$W$15</definedName>
    <definedName name="Tigr_Exhibit883c80ae_d07e_465e_8f4e_b33c62a72eec" hidden="1">#REF!</definedName>
    <definedName name="Tigr_Exhibit8899801e_03b7_4308_a92c_6d4c2085ad7d" hidden="1">#REF!</definedName>
    <definedName name="Tigr_Exhibit8e1b5988_1331_4526_91e3_954f7424b1d7" hidden="1">#REF!</definedName>
    <definedName name="Tigr_Exhibit9500c609_76e0_4252_b8e0_2d1fdfc6d3f8" hidden="1">#REF!</definedName>
    <definedName name="Tigr_Exhibit9712f653_2576_479f_acfb_8ba779ef4594" hidden="1">#REF!</definedName>
    <definedName name="Tigr_Exhibit973a4be7_447b_4a09_8482_9cda0f7a51e1" localSheetId="6" hidden="1">VALUATION!$B$1:$F$12</definedName>
    <definedName name="Tigr_Exhibit992b2e47_07e4_4ca4_a036_3f392e996e45" hidden="1">#REF!</definedName>
    <definedName name="Tigr_Exhibit9e381a48_554b_41d2_aaf5_09ca60e2d254" hidden="1">#REF!</definedName>
    <definedName name="Tigr_Exhibita111a88c_1165_4968_9561_e4716edc6966" hidden="1">VALUATION!$B$2:$E$10</definedName>
    <definedName name="Tigr_Exhibita4879f05_1ebb_410e_81e9_d8e92b1b55e9" hidden="1">#REF!</definedName>
    <definedName name="Tigr_Exhibita5277b4d_fb8d_47df_a7fc_108e03ecb335" hidden="1">#REF!</definedName>
    <definedName name="Tigr_Exhibita76fe869_bfab_4f77_b06f_961371b046fd" hidden="1">VALUATION!$B$2:$E$14</definedName>
    <definedName name="Tigr_Exhibita846b739_9618_486b_bc27_823b326a591a" hidden="1">VALUATION!$B$2:$E$14</definedName>
    <definedName name="Tigr_Exhibita9ca8ead_dfaa_41cf_9977_a8e503c5af81" hidden="1">#REF!</definedName>
    <definedName name="Tigr_Exhibitaa1c8d77_9c31_4230_bd3f_fe84e44275d8" hidden="1">#REF!</definedName>
    <definedName name="Tigr_Exhibitac6ffd5b_dc3f_479b_bc40_923880408045" localSheetId="6" hidden="1">VALUATION!$B$1:$E$14</definedName>
    <definedName name="Tigr_Exhibitad491c46_9df9_4398_b2f4_a5721d67299b" hidden="1">#REF!</definedName>
    <definedName name="Tigr_Exhibitb01be6a0_f455_40dc_a9c5_8640fc432bdd" hidden="1">#REF!</definedName>
    <definedName name="Tigr_Exhibitb4c7f885_12b3_4aaf_b18b_c0ce264db632" hidden="1">'Earnings changes'!$B$1:$F$12</definedName>
    <definedName name="Tigr_Exhibitb60f4c92_e6ef_41ea_ac73_1652ff0c159b" localSheetId="6" hidden="1" xml:space="preserve">  VALUATION!#REF!</definedName>
    <definedName name="Tigr_Exhibitb60f4c92_e6ef_41ea_ac73_1652ff0c159b" hidden="1">#REF!</definedName>
    <definedName name="Tigr_Exhibitb9b06890_d744_40d2_affc_e44b8dbca00a" hidden="1">#REF!</definedName>
    <definedName name="Tigr_Exhibitc248df97_36e0_407c_9e7c_8da0536a306d" hidden="1">#REF!</definedName>
    <definedName name="Tigr_Exhibitc5c901d7_4876_4b0e_8977_76dc21408d98" hidden="1">#REF!</definedName>
    <definedName name="Tigr_Exhibitc8b9448c_7341_4329_93a9_cf735ba7e6dc" hidden="1">#REF!</definedName>
    <definedName name="Tigr_Exhibitcdb42b8f_976b_489d_8bf9_47e2201e5f80" hidden="1">#REF!</definedName>
    <definedName name="Tigr_Exhibitd26abb30_25cc_466b_90b2_d83a0be27efd" hidden="1">#REF!</definedName>
    <definedName name="Tigr_Exhibitd3695c6f_028c_4279_9744_7c4b62d80ed3" hidden="1">#REF!</definedName>
    <definedName name="Tigr_Exhibitd6fc1e24_87ab_4ca1_9ab5_3b5fcf3bfb68" hidden="1">#REF!</definedName>
    <definedName name="Tigr_Exhibitd7164e13_0d4b_440b_a5a8_a1a51d45a1dc" hidden="1">#REF!</definedName>
    <definedName name="Tigr_Exhibitdb59ecf1_9935_425f_b375_e4b491c6b1d2" hidden="1">#REF!</definedName>
    <definedName name="Tigr_Exhibitdbd36e4f_d76e_40ba_a5af_096383087f60" hidden="1">#REF!</definedName>
    <definedName name="Tigr_Exhibitde29a68a_6825_4e71_b69b_9d727e94c07a" localSheetId="6" hidden="1">VALUATION!$B$1:$E$14</definedName>
    <definedName name="Tigr_Exhibite13c4a98_cf58_4a4e_a481_0011dc2c470b" localSheetId="6" hidden="1">VALUATION!$B$1:$E$14</definedName>
    <definedName name="Tigr_Exhibite61c1597_fa29_47d4_89d2_6cbe083abcf6" hidden="1">#REF!</definedName>
    <definedName name="Tigr_Exhibitee3d6b7d_d941_4137_8902_fc7f5f9720d1" hidden="1">#REF!</definedName>
    <definedName name="Tigr_Exhibitf6db11d2_ebce_4874_a53a_c579f7490ec8" hidden="1">#REF!</definedName>
    <definedName name="Tigr_Exhibitfba8611c_1ba0_4e26_92f0_479b93176075" hidden="1">#REF!</definedName>
    <definedName name="Tigr_Exhibitfefa4c3a_9340_4911_aad1_dfb9a8f4c675" hidden="1">#REF!</definedName>
    <definedName name="total_assets">MODEL!$160:$160</definedName>
    <definedName name="Total_current_assets">MODEL!$136:$136</definedName>
    <definedName name="Total_current_liabilities">MODEL!$169:$169</definedName>
    <definedName name="Total_equity">MODEL!$186:$186</definedName>
    <definedName name="total_liabilities">MODEL!$179:$179</definedName>
    <definedName name="Total_Non_Current_Assets">MODEL!$158:$158</definedName>
    <definedName name="Total_operating_costs">MODEL!$20:$20</definedName>
    <definedName name="Total_operating_EBIT">MODEL!$44:$44</definedName>
    <definedName name="Total_operating_EBITDA">MODEL!$23:$23</definedName>
    <definedName name="Total_sales">MODEL!$9:$9</definedName>
    <definedName name="TPLATE_FUNCS.ValidPeriodFlag">[0]!TPLATE_FUNCS.ValidPeriodFlag</definedName>
    <definedName name="Trade_creditors">MODEL!$164:$164</definedName>
    <definedName name="Trade_debtors">MODEL!$131:$131</definedName>
    <definedName name="trt" hidden="1">{"PRICES",#N/A,TRUE,"PRICES";"RESULTS",#N/A,TRUE,"RESULTS";"SECTOR1",#N/A,TRUE,"SECTOR 1";"SECTOR2",#N/A,TRUE,"SECTOR 2";"SECTOR3",#N/A,TRUE,"SECTOR 3";"SECTOR4",#N/A,TRUE,"SECTOR 4";"Sector 5",#N/A,TRUE,"SECTOR 5";"Normalized_Potential",#N/A,TRUE,"SECTOR 5";"SECTOR6",#N/A,TRUE,"SECTOR 6";"TOP",#N/A,TRUE,"PERATIOS";"BOTTOM",#N/A,TRUE,"PERATIOS"}</definedName>
    <definedName name="v" hidden="1">{"IS",#N/A,FALSE,"IS";"RPTIS",#N/A,FALSE,"RPTIS";"STATS",#N/A,FALSE,"STATS";"CELL",#N/A,FALSE,"CELL";"BS",#N/A,FALSE,"BS"}</definedName>
    <definedName name="V_ALL_KEYWORDS_TYPE_ScalarContributed_EQTY_200019506" localSheetId="2">OCL.AX_Validation_Sheet!$314:$335,OCL.AX_Validation_Sheet!$354:$357,OCL.AX_Validation_Sheet!$360:$368,OCL.AX_Validation_Sheet!$413:$420,OCL.AX_Validation_Sheet!$442:$442,OCL.AX_Validation_Sheet!$444:$446,OCL.AX_Validation_Sheet!$449:$450</definedName>
    <definedName name="V_ALL_KEYWORDS_TYPE_ScalarContributed_ISSR_208017981" localSheetId="2">OCL.AX_Validation_Sheet!$9:$12,OCL.AX_Validation_Sheet!$71:$71,OCL.AX_Validation_Sheet!$211:$212</definedName>
    <definedName name="V_ALL_KEYWORDS_TYPE_ScalarReference_EQTY_200019506" localSheetId="2">OCL.AX_Validation_Sheet!$307:$312</definedName>
    <definedName name="V_ALL_KEYWORDS_TYPE_ScalarReference_ISSR_208017981" localSheetId="2">OCL.AX_Validation_Sheet!$6:$7</definedName>
    <definedName name="V_ALL_KEYWORDS_TYPE_Vector_EQTY_200019506" localSheetId="2">OCL.AX_Validation_Sheet!$337:$352,OCL.AX_Validation_Sheet!$358:$359,OCL.AX_Validation_Sheet!$369:$373,OCL.AX_Validation_Sheet!$375:$391,OCL.AX_Validation_Sheet!$393:$412,OCL.AX_Validation_Sheet!$421:$428,OCL.AX_Validation_Sheet!$430:$431,OCL.AX_Validation_Sheet!$433:$433,OCL.AX_Validation_Sheet!$435:$436,OCL.AX_Validation_Sheet!$438:$438,OCL.AX_Validation_Sheet!$440:$440,OCL.AX_Validation_Sheet!$448:$448,OCL.AX_Validation_Sheet!$451:$453</definedName>
    <definedName name="V_ALL_KEYWORDS_TYPE_Vector_ISSR_208017981" localSheetId="2">OCL.AX_Validation_Sheet!$2:$3,OCL.AX_Validation_Sheet!$14:$33,OCL.AX_Validation_Sheet!$35:$58,OCL.AX_Validation_Sheet!$60:$70,OCL.AX_Validation_Sheet!$73:$104,OCL.AX_Validation_Sheet!$106:$138,OCL.AX_Validation_Sheet!$140:$157,OCL.AX_Validation_Sheet!$159:$176,OCL.AX_Validation_Sheet!$178:$191,OCL.AX_Validation_Sheet!$193:$203,OCL.AX_Validation_Sheet!$205:$205,OCL.AX_Validation_Sheet!$207:$210,OCL.AX_Validation_Sheet!$213:$214,OCL.AX_Validation_Sheet!$216:$273,OCL.AX_Validation_Sheet!$275:$276,OCL.AX_Validation_Sheet!$278:$288,OCL.AX_Validation_Sheet!$290:$299,OCL.AX_Validation_Sheet!$301:$304</definedName>
    <definedName name="V_ALL_OCL.AX">OCL.AX_Validation_Sheet!$A$1:$AO$453</definedName>
    <definedName name="V_ALL_PERIODS_OCL.AX" localSheetId="2">OCL.AX_Validation_Sheet!$F$1:$AO$1</definedName>
    <definedName name="V_ALL_SECTION_KEYWORDS_EQTY_200019506_1314" localSheetId="2">OCL.AX_Validation_Sheet!$C$433</definedName>
    <definedName name="V_ALL_SECTION_KEYWORDS_EQTY_200019506_1316A" localSheetId="2">OCL.AX_Validation_Sheet!$C$354:$C$373</definedName>
    <definedName name="V_ALL_SECTION_KEYWORDS_EQTY_200019506_1316B" localSheetId="2">OCL.AX_Validation_Sheet!$C$393:$C$428</definedName>
    <definedName name="V_ALL_SECTION_KEYWORDS_EQTY_200019506_1316C" localSheetId="2">OCL.AX_Validation_Sheet!$C$435:$C$436</definedName>
    <definedName name="V_ALL_SECTION_KEYWORDS_EQTY_200019506_1316D" localSheetId="2">OCL.AX_Validation_Sheet!$C$440</definedName>
    <definedName name="V_ALL_SECTION_KEYWORDS_EQTY_200019506_1316E" localSheetId="2">OCL.AX_Validation_Sheet!$C$448:$C$453</definedName>
    <definedName name="V_ALL_SECTION_KEYWORDS_EQTY_200019506_131E" localSheetId="2">OCL.AX_Validation_Sheet!$C$438</definedName>
    <definedName name="V_ALL_SECTION_KEYWORDS_EQTY_200019506_131J" localSheetId="2">OCL.AX_Validation_Sheet!$C$442</definedName>
    <definedName name="V_ALL_SECTION_KEYWORDS_EQTY_200019506_131O" localSheetId="2">OCL.AX_Validation_Sheet!$C$444:$C$446</definedName>
    <definedName name="V_ALL_SECTION_KEYWORDS_EQTY_200019506_13A" localSheetId="2">OCL.AX_Validation_Sheet!$C$314:$C$335</definedName>
    <definedName name="V_ALL_SECTION_KEYWORDS_EQTY_200019506_13K" localSheetId="2">OCL.AX_Validation_Sheet!$C$337:$C$352</definedName>
    <definedName name="V_ALL_SECTION_KEYWORDS_EQTY_200019506_13U" localSheetId="2">OCL.AX_Validation_Sheet!$C$375:$C$391</definedName>
    <definedName name="V_ALL_SECTION_KEYWORDS_EQTY_200019506_13V" localSheetId="2">OCL.AX_Validation_Sheet!$C$430:$C$431</definedName>
    <definedName name="V_ALL_SECTION_KEYWORDS_EQTY_200019506_Reference_Data" localSheetId="2">OCL.AX_Validation_Sheet!$C$307:$C$312</definedName>
    <definedName name="V_ALL_SECTION_KEYWORDS_ISSR_208017981_1314" localSheetId="2">OCL.AX_Validation_Sheet!$C$73:$C$104</definedName>
    <definedName name="V_ALL_SECTION_KEYWORDS_ISSR_208017981_13168" localSheetId="2">OCL.AX_Validation_Sheet!$C$216:$C$273</definedName>
    <definedName name="V_ALL_SECTION_KEYWORDS_ISSR_208017981_1316B" localSheetId="2">OCL.AX_Validation_Sheet!$C$35:$C$58</definedName>
    <definedName name="V_ALL_SECTION_KEYWORDS_ISSR_208017981_1316C" localSheetId="2">OCL.AX_Validation_Sheet!$C$106:$C$138</definedName>
    <definedName name="V_ALL_SECTION_KEYWORDS_ISSR_208017981_1316D" localSheetId="2">OCL.AX_Validation_Sheet!$C$178:$C$191</definedName>
    <definedName name="V_ALL_SECTION_KEYWORDS_ISSR_208017981_1316E" localSheetId="2">OCL.AX_Validation_Sheet!$C$207:$C$214</definedName>
    <definedName name="V_ALL_SECTION_KEYWORDS_ISSR_208017981_1316T" localSheetId="2">OCL.AX_Validation_Sheet!$C$275:$C$276</definedName>
    <definedName name="V_ALL_SECTION_KEYWORDS_ISSR_208017981_1316U" localSheetId="2">OCL.AX_Validation_Sheet!$C$278:$C$288</definedName>
    <definedName name="V_ALL_SECTION_KEYWORDS_ISSR_208017981_1319" localSheetId="2">OCL.AX_Validation_Sheet!$C$140:$C$157</definedName>
    <definedName name="V_ALL_SECTION_KEYWORDS_ISSR_208017981_131E" localSheetId="2">OCL.AX_Validation_Sheet!$C$159:$C$176</definedName>
    <definedName name="V_ALL_SECTION_KEYWORDS_ISSR_208017981_131J" localSheetId="2">OCL.AX_Validation_Sheet!$C$193:$C$203</definedName>
    <definedName name="V_ALL_SECTION_KEYWORDS_ISSR_208017981_131O" localSheetId="2">OCL.AX_Validation_Sheet!$C$205</definedName>
    <definedName name="V_ALL_SECTION_KEYWORDS_ISSR_208017981_136E" localSheetId="2">OCL.AX_Validation_Sheet!$C$290:$C$299</definedName>
    <definedName name="V_ALL_SECTION_KEYWORDS_ISSR_208017981_136J" localSheetId="2">OCL.AX_Validation_Sheet!$C$301:$C$304</definedName>
    <definedName name="V_ALL_SECTION_KEYWORDS_ISSR_208017981_13A" localSheetId="2">OCL.AX_Validation_Sheet!$C$9:$C$12</definedName>
    <definedName name="V_ALL_SECTION_KEYWORDS_ISSR_208017981_13U" localSheetId="2">OCL.AX_Validation_Sheet!$C$14:$C$33</definedName>
    <definedName name="V_ALL_SECTION_KEYWORDS_ISSR_208017981_13V" localSheetId="2">OCL.AX_Validation_Sheet!$C$60:$C$71</definedName>
    <definedName name="V_ALL_SECTION_KEYWORDS_ISSR_208017981_Reference_Data" localSheetId="2">OCL.AX_Validation_Sheet!$C$6:$C$7</definedName>
    <definedName name="V_ALL_SECTIONS_EQTY_200019506" localSheetId="2">OCL.AX_Validation_Sheet!$306:$306,OCL.AX_Validation_Sheet!$313:$313,OCL.AX_Validation_Sheet!$336:$336,OCL.AX_Validation_Sheet!$353:$353,OCL.AX_Validation_Sheet!$374:$374,OCL.AX_Validation_Sheet!$392:$392,OCL.AX_Validation_Sheet!$429:$429,OCL.AX_Validation_Sheet!$432:$432,OCL.AX_Validation_Sheet!$434:$434,OCL.AX_Validation_Sheet!$437:$437,OCL.AX_Validation_Sheet!$439:$439,OCL.AX_Validation_Sheet!$441:$441,OCL.AX_Validation_Sheet!$443:$443,OCL.AX_Validation_Sheet!$447:$447</definedName>
    <definedName name="V_ALL_SECTIONS_ISSR_208017981" localSheetId="2">OCL.AX_Validation_Sheet!$5:$5,OCL.AX_Validation_Sheet!$8:$8,OCL.AX_Validation_Sheet!$13:$13,OCL.AX_Validation_Sheet!$34:$34,OCL.AX_Validation_Sheet!$59:$59,OCL.AX_Validation_Sheet!$72:$72,OCL.AX_Validation_Sheet!$105:$105,OCL.AX_Validation_Sheet!$139:$139,OCL.AX_Validation_Sheet!$158:$158,OCL.AX_Validation_Sheet!$177:$177,OCL.AX_Validation_Sheet!$192:$192,OCL.AX_Validation_Sheet!$204:$204,OCL.AX_Validation_Sheet!$206:$206,OCL.AX_Validation_Sheet!$215:$215,OCL.AX_Validation_Sheet!$274:$274,OCL.AX_Validation_Sheet!$277:$277,OCL.AX_Validation_Sheet!$289:$289,OCL.AX_Validation_Sheet!$300:$300</definedName>
    <definedName name="V_CURRENCY_EQTY_200019506_PRI" localSheetId="2">OCL.AX_Validation_Sheet!$E$311</definedName>
    <definedName name="V_CURRENCY_EQTY_200019506_PUB" localSheetId="2">OCL.AX_Validation_Sheet!$E$310</definedName>
    <definedName name="V_CURRENCY_EQTY_200019506_REP" localSheetId="2">OCL.AX_Validation_Sheet!$E$312</definedName>
    <definedName name="V_CURRENCY_ISSR_208017981_REP" localSheetId="2">OCL.AX_Validation_Sheet!$E$7</definedName>
    <definedName name="V_ENTITY_DATA_EQTY_200019506" localSheetId="2">OCL.AX_Validation_Sheet!$E$306:$AO$453</definedName>
    <definedName name="V_ENTITY_DATA_ISSR_208017981" localSheetId="2">OCL.AX_Validation_Sheet!$E$5:$AO$304</definedName>
    <definedName name="V_KEYWORD_EQTY_200019506_ANZ_LIST" localSheetId="2">OCL.AX_Validation_Sheet!$314:$314</definedName>
    <definedName name="V_KEYWORD_EQTY_200019506_ASSET_SALES_GAIN_LOSS" localSheetId="2">OCL.AX_Validation_Sheet!$404:$404</definedName>
    <definedName name="V_KEYWORD_EQTY_200019506_BASE_CASE_VAL_DCF" localSheetId="2">OCL.AX_Validation_Sheet!$366:$366</definedName>
    <definedName name="V_KEYWORD_EQTY_200019506_BENEFITS_TAX_LOSSES" localSheetId="2">OCL.AX_Validation_Sheet!$448:$448</definedName>
    <definedName name="V_KEYWORD_EQTY_200019506_BETA_ANALYST" localSheetId="2">OCL.AX_Validation_Sheet!$444:$444</definedName>
    <definedName name="V_KEYWORD_EQTY_200019506_BVPS" localSheetId="2">OCL.AX_Validation_Sheet!$433:$433</definedName>
    <definedName name="V_KEYWORD_EQTY_200019506_BVPS_PUB" localSheetId="2">OCL.AX_Validation_Sheet!$337:$337</definedName>
    <definedName name="V_KEYWORD_EQTY_200019506_CATALYST1_DATE" localSheetId="2">OCL.AX_Validation_Sheet!$324:$324</definedName>
    <definedName name="V_KEYWORD_EQTY_200019506_CATALYST1_EVENT" localSheetId="2">OCL.AX_Validation_Sheet!$325:$325</definedName>
    <definedName name="V_KEYWORD_EQTY_200019506_CATALYST2_DATE" localSheetId="2">OCL.AX_Validation_Sheet!$326:$326</definedName>
    <definedName name="V_KEYWORD_EQTY_200019506_CATALYST2_EVENT" localSheetId="2">OCL.AX_Validation_Sheet!$327:$327</definedName>
    <definedName name="V_KEYWORD_EQTY_200019506_CATALYST3_DATE" localSheetId="2">OCL.AX_Validation_Sheet!$328:$328</definedName>
    <definedName name="V_KEYWORD_EQTY_200019506_CATALYST3_EVENT" localSheetId="2">OCL.AX_Validation_Sheet!$329:$329</definedName>
    <definedName name="V_KEYWORD_EQTY_200019506_CATALYST4_DATE" localSheetId="2">OCL.AX_Validation_Sheet!$330:$330</definedName>
    <definedName name="V_KEYWORD_EQTY_200019506_CATALYST4_EVENT" localSheetId="2">OCL.AX_Validation_Sheet!$331:$331</definedName>
    <definedName name="V_KEYWORD_EQTY_200019506_CATALYST5_DATE" localSheetId="2">OCL.AX_Validation_Sheet!$332:$332</definedName>
    <definedName name="V_KEYWORD_EQTY_200019506_CATALYST5_EVENT" localSheetId="2">OCL.AX_Validation_Sheet!$333:$333</definedName>
    <definedName name="V_KEYWORD_EQTY_200019506_CEEE_NDEBT" localSheetId="2">OCL.AX_Validation_Sheet!$345:$345</definedName>
    <definedName name="V_KEYWORD_EQTY_200019506_CF_NI_PRE_PREF" localSheetId="2">OCL.AX_Validation_Sheet!$438:$438</definedName>
    <definedName name="V_KEYWORD_EQTY_200019506_CF_OPS_SHARE_NZ" localSheetId="2">OCL.AX_Validation_Sheet!$440:$440</definedName>
    <definedName name="V_KEYWORD_EQTY_200019506_COMMON_DIV_PAID" localSheetId="2">OCL.AX_Validation_Sheet!$386:$386</definedName>
    <definedName name="V_KEYWORD_EQTY_200019506_CONVERTIBLE_NOTES" localSheetId="2">OCL.AX_Validation_Sheet!$421:$421</definedName>
    <definedName name="V_KEYWORD_EQTY_200019506_COST_OF_EQUITY_DCF" localSheetId="2">OCL.AX_Validation_Sheet!$355:$355</definedName>
    <definedName name="V_KEYWORD_EQTY_200019506_CUM_PRESENT_VAL_CASH_FLOWS_DCF" localSheetId="2">OCL.AX_Validation_Sheet!$360:$360</definedName>
    <definedName name="V_KEYWORD_EQTY_200019506_CURRENCY_ISO" localSheetId="2">OCL.AX_Validation_Sheet!$312:$312</definedName>
    <definedName name="V_KEYWORD_EQTY_200019506_DCF_CASH_FLOW" localSheetId="2">OCL.AX_Validation_Sheet!$442:$442</definedName>
    <definedName name="V_KEYWORD_EQTY_200019506_DEBT_EQUITY" localSheetId="2">OCL.AX_Validation_Sheet!$373:$373</definedName>
    <definedName name="V_KEYWORD_EQTY_200019506_DEBT_RISK_MARGIN_DCF" localSheetId="2">OCL.AX_Validation_Sheet!$356:$356</definedName>
    <definedName name="V_KEYWORD_EQTY_200019506_DILUTE_SHARES" localSheetId="2">OCL.AX_Validation_Sheet!$389:$389</definedName>
    <definedName name="V_KEYWORD_EQTY_200019506_DISCOUNT_FACTOR_DCF" localSheetId="2">OCL.AX_Validation_Sheet!$358:$358</definedName>
    <definedName name="V_KEYWORD_EQTY_200019506_DPS" localSheetId="2">OCL.AX_Validation_Sheet!$387:$387</definedName>
    <definedName name="V_KEYWORD_EQTY_200019506_DPS_PUB" localSheetId="2">OCL.AX_Validation_Sheet!$338:$338</definedName>
    <definedName name="V_KEYWORD_EQTY_200019506_DPS_SPECIAL_PUB" localSheetId="2">OCL.AX_Validation_Sheet!$339:$339</definedName>
    <definedName name="V_KEYWORD_EQTY_200019506_EBIT_PUB" localSheetId="2">OCL.AX_Validation_Sheet!$347:$347</definedName>
    <definedName name="V_KEYWORD_EQTY_200019506_EBITDA_PUB" localSheetId="2">OCL.AX_Validation_Sheet!$340:$340</definedName>
    <definedName name="V_KEYWORD_EQTY_200019506_EBITDAF" localSheetId="2">OCL.AX_Validation_Sheet!$407:$407</definedName>
    <definedName name="V_KEYWORD_EQTY_200019506_EFPO" localSheetId="2">OCL.AX_Validation_Sheet!$427:$427</definedName>
    <definedName name="V_KEYWORD_EQTY_200019506_EFPOWA" localSheetId="2">OCL.AX_Validation_Sheet!$428:$428</definedName>
    <definedName name="V_KEYWORD_EQTY_200019506_EPS" localSheetId="2">OCL.AX_Validation_Sheet!$382:$382</definedName>
    <definedName name="V_KEYWORD_EQTY_200019506_EPS_CONS_PUB" localSheetId="2">OCL.AX_Validation_Sheet!$351:$351</definedName>
    <definedName name="V_KEYWORD_EQTY_200019506_EPS_FUL_DIL" localSheetId="2">OCL.AX_Validation_Sheet!$383:$383</definedName>
    <definedName name="V_KEYWORD_EQTY_200019506_EPS_POST_BASIC" localSheetId="2">OCL.AX_Validation_Sheet!$384:$384</definedName>
    <definedName name="V_KEYWORD_EQTY_200019506_EPS_PRE_GWILL" localSheetId="2">OCL.AX_Validation_Sheet!$409:$409</definedName>
    <definedName name="V_KEYWORD_EQTY_200019506_EPS_PUB" localSheetId="2">OCL.AX_Validation_Sheet!$341:$341</definedName>
    <definedName name="V_KEYWORD_EQTY_200019506_EPS_REPORTED" localSheetId="2">OCL.AX_Validation_Sheet!$410:$410</definedName>
    <definedName name="V_KEYWORD_EQTY_200019506_EQ_PUB" localSheetId="2">OCL.AX_Validation_Sheet!$350:$350</definedName>
    <definedName name="V_KEYWORD_EQTY_200019506_EQUITY_VALUE_DCF" localSheetId="2">OCL.AX_Validation_Sheet!$364:$364</definedName>
    <definedName name="V_KEYWORD_EQTY_200019506_EV_ADJ_PUB" localSheetId="2">OCL.AX_Validation_Sheet!$342:$342</definedName>
    <definedName name="V_KEYWORD_EQTY_200019506_FIN_INSTRUMENT_HEDGE_POST_TAX" localSheetId="2">OCL.AX_Validation_Sheet!$397:$397</definedName>
    <definedName name="V_KEYWORD_EQTY_200019506_FINAL_DIV_AMOUNT" localSheetId="2">OCL.AX_Validation_Sheet!$417:$417</definedName>
    <definedName name="V_KEYWORD_EQTY_200019506_FINAL_DIV_EXDATE" localSheetId="2">OCL.AX_Validation_Sheet!$418:$418</definedName>
    <definedName name="V_KEYWORD_EQTY_200019506_FINAL_DIV_FRANK" localSheetId="2">OCL.AX_Validation_Sheet!$419:$419</definedName>
    <definedName name="V_KEYWORD_EQTY_200019506_FINAL_DIV_TAXRATE" localSheetId="2">OCL.AX_Validation_Sheet!$420:$420</definedName>
    <definedName name="V_KEYWORD_EQTY_200019506_FOREIGN_EXCHANGE_GAIN_LOSS" localSheetId="2">OCL.AX_Validation_Sheet!$403:$403</definedName>
    <definedName name="V_KEYWORD_EQTY_200019506_FOREIGN_HOLDNG" localSheetId="2">OCL.AX_Validation_Sheet!$323:$323</definedName>
    <definedName name="V_KEYWORD_EQTY_200019506_FRANK_TAX_RATE" localSheetId="2">OCL.AX_Validation_Sheet!$411:$411</definedName>
    <definedName name="V_KEYWORD_EQTY_200019506_FRANKING" localSheetId="2">OCL.AX_Validation_Sheet!$391:$391</definedName>
    <definedName name="V_KEYWORD_EQTY_200019506_FRANKING_ANZPUB" localSheetId="2">OCL.AX_Validation_Sheet!$371:$371</definedName>
    <definedName name="V_KEYWORD_EQTY_200019506_FRANKING_SPECIAL_ANZPUB" localSheetId="2">OCL.AX_Validation_Sheet!$372:$372</definedName>
    <definedName name="V_KEYWORD_EQTY_200019506_FREE_FLOAT" localSheetId="2">OCL.AX_Validation_Sheet!$322:$322</definedName>
    <definedName name="V_KEYWORD_EQTY_200019506_FULLY_DIL_EPS" localSheetId="2">OCL.AX_Validation_Sheet!$385:$385</definedName>
    <definedName name="V_KEYWORD_EQTY_200019506_GWILL_ASSET_IMP_CHG_POST_TAX" localSheetId="2">OCL.AX_Validation_Sheet!$395:$395</definedName>
    <definedName name="V_KEYWORD_EQTY_200019506_IMP_CREDITS_PER_SHARE_DCF" localSheetId="2">OCL.AX_Validation_Sheet!$365:$365</definedName>
    <definedName name="V_KEYWORD_EQTY_200019506_INC_MINORITY" localSheetId="2">OCL.AX_Validation_Sheet!$376:$376</definedName>
    <definedName name="V_KEYWORD_EQTY_200019506_INCTAX_PL_ON_AB" localSheetId="2">OCL.AX_Validation_Sheet!$394:$394</definedName>
    <definedName name="V_KEYWORD_EQTY_200019506_INCTAX_PL_POST_AB" localSheetId="2">OCL.AX_Validation_Sheet!$400:$400</definedName>
    <definedName name="V_KEYWORD_EQTY_200019506_INT_DIV_AMOUNT" localSheetId="2">OCL.AX_Validation_Sheet!$413:$413</definedName>
    <definedName name="V_KEYWORD_EQTY_200019506_INT_DIV_EXDATE" localSheetId="2">OCL.AX_Validation_Sheet!$414:$414</definedName>
    <definedName name="V_KEYWORD_EQTY_200019506_INT_DIV_FRANK" localSheetId="2">OCL.AX_Validation_Sheet!$415:$415</definedName>
    <definedName name="V_KEYWORD_EQTY_200019506_INT_DIV_TAXRATE" localSheetId="2">OCL.AX_Validation_Sheet!$416:$416</definedName>
    <definedName name="V_KEYWORD_EQTY_200019506_Interim_Type" localSheetId="2">OCL.AX_Validation_Sheet!$309:$309</definedName>
    <definedName name="V_KEYWORD_EQTY_200019506_INTRINSIC_PER_SHARE_VALUE_DCF" localSheetId="2">OCL.AX_Validation_Sheet!$368:$368</definedName>
    <definedName name="V_KEYWORD_EQTY_200019506_LEGAL_RATING" localSheetId="2">OCL.AX_Validation_Sheet!$316:$316</definedName>
    <definedName name="V_KEYWORD_EQTY_200019506_MARGIN_TAX_RATE" localSheetId="2">OCL.AX_Validation_Sheet!$430:$430</definedName>
    <definedName name="V_KEYWORD_EQTY_200019506_MARKET_VALUE_OF_INVESTMENTS_DCF" localSheetId="2">OCL.AX_Validation_Sheet!$362:$362</definedName>
    <definedName name="V_KEYWORD_EQTY_200019506_MKT_EQ_RISK_PREM" localSheetId="2">OCL.AX_Validation_Sheet!$445:$445</definedName>
    <definedName name="V_KEYWORD_EQTY_200019506_NET_DEBT_EX_LEASES_PUB" localSheetId="2">OCL.AX_Validation_Sheet!$344:$344</definedName>
    <definedName name="V_KEYWORD_EQTY_200019506_NET_DEBT_NET_CASH_DCF" localSheetId="2">OCL.AX_Validation_Sheet!$363:$363</definedName>
    <definedName name="V_KEYWORD_EQTY_200019506_NET_DEBT_PUB" localSheetId="2">OCL.AX_Validation_Sheet!$343:$343</definedName>
    <definedName name="V_KEYWORD_EQTY_200019506_NET_EARNING" localSheetId="2">OCL.AX_Validation_Sheet!$379:$379</definedName>
    <definedName name="V_KEYWORD_EQTY_200019506_NET_INC" localSheetId="2">OCL.AX_Validation_Sheet!$381:$381</definedName>
    <definedName name="V_KEYWORD_EQTY_200019506_NET_PROFIT" localSheetId="2">OCL.AX_Validation_Sheet!$402:$402</definedName>
    <definedName name="V_KEYWORD_EQTY_200019506_NET_TANGIBLE_ASSETS_ADJUSTED_NZ" localSheetId="2">OCL.AX_Validation_Sheet!$436:$436</definedName>
    <definedName name="V_KEYWORD_EQTY_200019506_NI_CONS" localSheetId="2">OCL.AX_Validation_Sheet!$431:$431</definedName>
    <definedName name="V_KEYWORD_EQTY_200019506_NI_PRE_PREF" localSheetId="2">OCL.AX_Validation_Sheet!$377:$377</definedName>
    <definedName name="V_KEYWORD_EQTY_200019506_NI_PUB" localSheetId="2">OCL.AX_Validation_Sheet!$346:$346</definedName>
    <definedName name="V_KEYWORD_EQTY_200019506_NI_REPT_PUB" localSheetId="2">OCL.AX_Validation_Sheet!$370:$370</definedName>
    <definedName name="V_KEYWORD_EQTY_200019506_NON_OP_ADD" localSheetId="2">OCL.AX_Validation_Sheet!$390:$390</definedName>
    <definedName name="V_KEYWORD_EQTY_200019506_NOPAT" localSheetId="2">OCL.AX_Validation_Sheet!$452:$452</definedName>
    <definedName name="V_KEYWORD_EQTY_200019506_NOT_IN_USE" localSheetId="2">OCL.AX_Validation_Sheet!$315:$315</definedName>
    <definedName name="V_KEYWORD_EQTY_200019506_NTA_PER_SHARE" localSheetId="2">OCL.AX_Validation_Sheet!$352:$352</definedName>
    <definedName name="V_KEYWORD_EQTY_200019506_NUM_SH" localSheetId="2">OCL.AX_Validation_Sheet!$321:$321</definedName>
    <definedName name="V_KEYWORD_EQTY_200019506_NZ_FRANKING" localSheetId="2">OCL.AX_Validation_Sheet!$412:$412</definedName>
    <definedName name="V_KEYWORD_EQTY_200019506_OPPL_ATAX_POST_AB" localSheetId="2">OCL.AX_Validation_Sheet!$401:$401</definedName>
    <definedName name="V_KEYWORD_EQTY_200019506_OPPL_ATAX_PRE_AB" localSheetId="2">OCL.AX_Validation_Sheet!$393:$393</definedName>
    <definedName name="V_KEYWORD_EQTY_200019506_OPTIONS" localSheetId="2">OCL.AX_Validation_Sheet!$424:$424</definedName>
    <definedName name="V_KEYWORD_EQTY_200019506_OTH_ASSET_IMPAIR_CHG_POST_TAX" localSheetId="2">OCL.AX_Validation_Sheet!$396:$396</definedName>
    <definedName name="V_KEYWORD_EQTY_200019506_OTHER_ABNORMAL_ITEMS" localSheetId="2">OCL.AX_Validation_Sheet!$406:$406</definedName>
    <definedName name="V_KEYWORD_EQTY_200019506_OTHER_CAPITAL" localSheetId="2">OCL.AX_Validation_Sheet!$425:$425</definedName>
    <definedName name="V_KEYWORD_EQTY_200019506_OTHER_IFRS_ADJUST_POST_TAX" localSheetId="2">OCL.AX_Validation_Sheet!$398:$398</definedName>
    <definedName name="V_KEYWORD_EQTY_200019506_PARTLY_PAID_SHARES" localSheetId="2">OCL.AX_Validation_Sheet!$423:$423</definedName>
    <definedName name="V_KEYWORD_EQTY_200019506_PERPETUITY_GROWTH_RATE_DCF" localSheetId="2">OCL.AX_Validation_Sheet!$357:$357</definedName>
    <definedName name="V_KEYWORD_EQTY_200019506_PREF_DIV" localSheetId="2">OCL.AX_Validation_Sheet!$378:$378</definedName>
    <definedName name="V_KEYWORD_EQTY_200019506_PREFERENCE_SHARES" localSheetId="2">OCL.AX_Validation_Sheet!$422:$422</definedName>
    <definedName name="V_KEYWORD_EQTY_200019506_PRESENT_VALUE_OF_CASH_FLOW_DCF" localSheetId="2">OCL.AX_Validation_Sheet!$359:$359</definedName>
    <definedName name="V_KEYWORD_EQTY_200019506_PRI_TARG_METH" localSheetId="2">OCL.AX_Validation_Sheet!$335:$335</definedName>
    <definedName name="V_KEYWORD_EQTY_200019506_PRI_TARG_MULT" localSheetId="2">OCL.AX_Validation_Sheet!$334:$334</definedName>
    <definedName name="V_KEYWORD_EQTY_200019506_PRICE_CURRENCY_ISO" localSheetId="2">OCL.AX_Validation_Sheet!$311:$311</definedName>
    <definedName name="V_KEYWORD_EQTY_200019506_PROF_ADJUST_EPS" localSheetId="2">OCL.AX_Validation_Sheet!$408:$408</definedName>
    <definedName name="V_KEYWORD_EQTY_200019506_PROV_INC_TAX" localSheetId="2">OCL.AX_Validation_Sheet!$375:$375</definedName>
    <definedName name="V_KEYWORD_EQTY_200019506_PTP_PUB" localSheetId="2">OCL.AX_Validation_Sheet!$348:$348</definedName>
    <definedName name="V_KEYWORD_EQTY_200019506_PUB_CURRENCY_ISO" localSheetId="2">OCL.AX_Validation_Sheet!$310:$310</definedName>
    <definedName name="V_KEYWORD_EQTY_200019506_RESTRUC_COSTS" localSheetId="2">OCL.AX_Validation_Sheet!$405:$405</definedName>
    <definedName name="V_KEYWORD_EQTY_200019506_REVS_PUB" localSheetId="2">OCL.AX_Validation_Sheet!$349:$349</definedName>
    <definedName name="V_KEYWORD_EQTY_200019506_RISK_ADJ_OPTION_VALUE_DCF" localSheetId="2">OCL.AX_Validation_Sheet!$367:$367</definedName>
    <definedName name="V_KEYWORD_EQTY_200019506_RISK_FR_RATE" localSheetId="2">OCL.AX_Validation_Sheet!$446:$446</definedName>
    <definedName name="V_KEYWORD_EQTY_200019506_RISK_TO_EARNINGS" localSheetId="2">OCL.AX_Validation_Sheet!$354:$354</definedName>
    <definedName name="V_KEYWORD_EQTY_200019506_ROCE_ANZ" localSheetId="2">OCL.AX_Validation_Sheet!$453:$453</definedName>
    <definedName name="V_KEYWORD_EQTY_200019506_Security_Name" localSheetId="2">OCL.AX_Validation_Sheet!$308:$308</definedName>
    <definedName name="V_KEYWORD_EQTY_200019506_SH" localSheetId="2">OCL.AX_Validation_Sheet!$388:$388</definedName>
    <definedName name="V_KEYWORD_EQTY_200019506_SHOLDERS_EQUITY_MBRS" localSheetId="2">OCL.AX_Validation_Sheet!$435:$435</definedName>
    <definedName name="V_KEYWORD_EQTY_200019506_STD_FREE_OP_CASH_FLOW_DCF" localSheetId="2">OCL.AX_Validation_Sheet!$451:$451</definedName>
    <definedName name="V_KEYWORD_EQTY_200019506_TARGET_PRICE" localSheetId="2">OCL.AX_Validation_Sheet!$317:$317</definedName>
    <definedName name="V_KEYWORD_EQTY_200019506_TARGET_PRICE_FUNDAMENTAL" localSheetId="2">OCL.AX_Validation_Sheet!$319:$319</definedName>
    <definedName name="V_KEYWORD_EQTY_200019506_TARGET_PRICE_MA" localSheetId="2">OCL.AX_Validation_Sheet!$320:$320</definedName>
    <definedName name="V_KEYWORD_EQTY_200019506_TAX_EXC" localSheetId="2">OCL.AX_Validation_Sheet!$380:$380</definedName>
    <definedName name="V_KEYWORD_EQTY_200019506_TAX_RATE_DCF" localSheetId="2">OCL.AX_Validation_Sheet!$449:$449</definedName>
    <definedName name="V_KEYWORD_EQTY_200019506_TERMINAL_YEAR_DCF" localSheetId="2">OCL.AX_Validation_Sheet!$361:$361</definedName>
    <definedName name="V_KEYWORD_EQTY_200019506_Ticker" localSheetId="2">OCL.AX_Validation_Sheet!$307:$307</definedName>
    <definedName name="V_KEYWORD_EQTY_200019506_TOTAL_CAPITAL" localSheetId="2">OCL.AX_Validation_Sheet!$426:$426</definedName>
    <definedName name="V_KEYWORD_EQTY_200019506_TOTAL_IFRS_ADJUST_POST_TAX" localSheetId="2">OCL.AX_Validation_Sheet!$399:$399</definedName>
    <definedName name="V_KEYWORD_EQTY_200019506_TP_PERIOD" localSheetId="2">OCL.AX_Validation_Sheet!$318:$318</definedName>
    <definedName name="V_KEYWORD_EQTY_200019506_WACC_DCF" localSheetId="2">OCL.AX_Validation_Sheet!$450:$450</definedName>
    <definedName name="V_KEYWORD_EQTY_200019506_YEAR_END_CAPITAL_EVA" localSheetId="2">OCL.AX_Validation_Sheet!$369:$369</definedName>
    <definedName name="V_KEYWORD_ISSR_208017981_ACC_AMORT" localSheetId="2">OCL.AX_Validation_Sheet!$82:$82</definedName>
    <definedName name="V_KEYWORD_ISSR_208017981_ACC_DDA" localSheetId="2">OCL.AX_Validation_Sheet!$79:$79</definedName>
    <definedName name="V_KEYWORD_ISSR_208017981_ACC_END_DATE" localSheetId="2">OCL.AX_Validation_Sheet!$3:$3</definedName>
    <definedName name="V_KEYWORD_ISSR_208017981_ACC_PAY_GQ" localSheetId="2">OCL.AX_Validation_Sheet!$88:$88</definedName>
    <definedName name="V_KEYWORD_ISSR_208017981_ACCESS_CONNECTION" localSheetId="2">OCL.AX_Validation_Sheet!$39:$39</definedName>
    <definedName name="V_KEYWORD_ISSR_208017981_ACQ" localSheetId="2">OCL.AX_Validation_Sheet!$165:$165</definedName>
    <definedName name="V_KEYWORD_ISSR_208017981_ADJ_UNF_PENS_GOOD" localSheetId="2">OCL.AX_Validation_Sheet!$153:$153</definedName>
    <definedName name="V_KEYWORD_ISSR_208017981_AMORT_OF_INTANGIBLES" localSheetId="2">OCL.AX_Validation_Sheet!$44:$44</definedName>
    <definedName name="V_KEYWORD_ISSR_208017981_AMORT_OF_INTANGIBLES_ADJ" localSheetId="2">OCL.AX_Validation_Sheet!$45:$45</definedName>
    <definedName name="V_KEYWORD_ISSR_208017981_ASSOC_JV_ADDBK" localSheetId="2">OCL.AX_Validation_Sheet!$193:$193</definedName>
    <definedName name="V_KEYWORD_ISSR_208017981_ASSOCIATE" localSheetId="2">OCL.AX_Validation_Sheet!$30:$30</definedName>
    <definedName name="V_KEYWORD_ISSR_208017981_ASSOCIATE_OP" localSheetId="2">OCL.AX_Validation_Sheet!$64:$64</definedName>
    <definedName name="V_KEYWORD_ISSR_208017981_AVG_CAPITAL_EMPLOYED_ADJ" localSheetId="2">OCL.AX_Validation_Sheet!$214:$214</definedName>
    <definedName name="V_KEYWORD_ISSR_208017981_BAL_MINO_INT" localSheetId="2">OCL.AX_Validation_Sheet!$156:$156</definedName>
    <definedName name="V_KEYWORD_ISSR_208017981_BAL_OF_FRANK_CREDITS" localSheetId="2">OCL.AX_Validation_Sheet!$207:$207</definedName>
    <definedName name="V_KEYWORD_ISSR_208017981_BANK_ODRAFT" localSheetId="2">OCL.AX_Validation_Sheet!$125:$125</definedName>
    <definedName name="V_KEYWORD_ISSR_208017981_BORROWINGS" localSheetId="2">OCL.AX_Validation_Sheet!$126:$126</definedName>
    <definedName name="V_KEYWORD_ISSR_208017981_CAP_LEASES" localSheetId="2">OCL.AX_Validation_Sheet!$145:$145</definedName>
    <definedName name="V_KEYWORD_ISSR_208017981_CAPEX" localSheetId="2">OCL.AX_Validation_Sheet!$164:$164</definedName>
    <definedName name="V_KEYWORD_ISSR_208017981_CAPEX_EXPANSION" localSheetId="2">OCL.AX_Validation_Sheet!$201:$201</definedName>
    <definedName name="V_KEYWORD_ISSR_208017981_CAPEX_MAINTENANCE" localSheetId="2">OCL.AX_Validation_Sheet!$200:$200</definedName>
    <definedName name="V_KEYWORD_ISSR_208017981_CASH_EQ" localSheetId="2">OCL.AX_Validation_Sheet!$73:$73</definedName>
    <definedName name="V_KEYWORD_ISSR_208017981_CASH_INT_EXP" localSheetId="2">OCL.AX_Validation_Sheet!$197:$197</definedName>
    <definedName name="V_KEYWORD_ISSR_208017981_CASH_TAX_EXP" localSheetId="2">OCL.AX_Validation_Sheet!$198:$198</definedName>
    <definedName name="V_KEYWORD_ISSR_208017981_CF_FIN" localSheetId="2">OCL.AX_Validation_Sheet!$174:$174</definedName>
    <definedName name="V_KEYWORD_ISSR_208017981_CF_FX" localSheetId="2">OCL.AX_Validation_Sheet!$175:$175</definedName>
    <definedName name="V_KEYWORD_ISSR_208017981_CF_INC_MINORITY" localSheetId="2">OCL.AX_Validation_Sheet!$159:$159</definedName>
    <definedName name="V_KEYWORD_ISSR_208017981_CF_INV" localSheetId="2">OCL.AX_Validation_Sheet!$168:$168</definedName>
    <definedName name="V_KEYWORD_ISSR_208017981_CF_INV_MISC" localSheetId="2">OCL.AX_Validation_Sheet!$189:$189</definedName>
    <definedName name="V_KEYWORD_ISSR_208017981_CF_OPS" localSheetId="2">OCL.AX_Validation_Sheet!$163:$163</definedName>
    <definedName name="V_KEYWORD_ISSR_208017981_CF_OPS_MISC" localSheetId="2">OCL.AX_Validation_Sheet!$181:$181</definedName>
    <definedName name="V_KEYWORD_ISSR_208017981_CHG_LT_DEBT" localSheetId="2">OCL.AX_Validation_Sheet!$171:$171</definedName>
    <definedName name="V_KEYWORD_ISSR_208017981_CO_BOR_MARGIN" localSheetId="2">OCL.AX_Validation_Sheet!$149:$149</definedName>
    <definedName name="V_KEYWORD_ISSR_208017981_COGS_PCT_ROW" localSheetId="2">OCL.AX_Validation_Sheet!$266:$266</definedName>
    <definedName name="V_KEYWORD_ISSR_208017981_COGS_PCT_US" localSheetId="2">OCL.AX_Validation_Sheet!$265:$265</definedName>
    <definedName name="V_KEYWORD_ISSR_208017981_COST_GD_SD" localSheetId="2">OCL.AX_Validation_Sheet!$16:$16</definedName>
    <definedName name="V_KEYWORD_ISSR_208017981_COST_OF_DEBT_DCF" localSheetId="2">OCL.AX_Validation_Sheet!$211:$211</definedName>
    <definedName name="V_KEYWORD_ISSR_208017981_CUR_ASS" localSheetId="2">OCL.AX_Validation_Sheet!$77:$77</definedName>
    <definedName name="V_KEYWORD_ISSR_208017981_CUR_ASS_MISC" localSheetId="2">OCL.AX_Validation_Sheet!$109:$109</definedName>
    <definedName name="V_KEYWORD_ISSR_208017981_CUR_LIABS_MISC" localSheetId="2">OCL.AX_Validation_Sheet!$129:$129</definedName>
    <definedName name="V_KEYWORD_ISSR_208017981_CURRENCY_ISO" localSheetId="2">OCL.AX_Validation_Sheet!$7:$7</definedName>
    <definedName name="V_KEYWORD_ISSR_208017981_CUSTOMER_RECEIPTS" localSheetId="2">OCL.AX_Validation_Sheet!$178:$178</definedName>
    <definedName name="V_KEYWORD_ISSR_208017981_DEBT_TO_EQUITY_MKT_VALUES_DCF" localSheetId="2">OCL.AX_Validation_Sheet!$212:$212</definedName>
    <definedName name="V_KEYWORD_ISSR_208017981_DEBTORS" localSheetId="2">OCL.AX_Validation_Sheet!$74:$74</definedName>
    <definedName name="V_KEYWORD_ISSR_208017981_DEF_INC_TAX" localSheetId="2">OCL.AX_Validation_Sheet!$146:$146</definedName>
    <definedName name="V_KEYWORD_ISSR_208017981_DEFINED_BENEFIT_OBLIGATION" localSheetId="2">OCL.AX_Validation_Sheet!$133:$133</definedName>
    <definedName name="V_KEYWORD_ISSR_208017981_DEFINED_BENEFIT_SURPLUS" localSheetId="2">OCL.AX_Validation_Sheet!$120:$120</definedName>
    <definedName name="V_KEYWORD_ISSR_208017981_DEPR_AMORT" localSheetId="2">OCL.AX_Validation_Sheet!$160:$160</definedName>
    <definedName name="V_KEYWORD_ISSR_208017981_DEPR_ROU_ASSETS" localSheetId="2">OCL.AX_Validation_Sheet!$69:$69</definedName>
    <definedName name="V_KEYWORD_ISSR_208017981_DEPREC" localSheetId="2">OCL.AX_Validation_Sheet!$24:$24</definedName>
    <definedName name="V_KEYWORD_ISSR_208017981_DIV_PAID" localSheetId="2">OCL.AX_Validation_Sheet!$169:$169</definedName>
    <definedName name="V_KEYWORD_ISSR_208017981_DIVDS_ASSOC_JV" localSheetId="2">OCL.AX_Validation_Sheet!$199:$199</definedName>
    <definedName name="V_KEYWORD_ISSR_208017981_DIVDS_PD_MINORITIES" localSheetId="2">OCL.AX_Validation_Sheet!$203:$203</definedName>
    <definedName name="V_KEYWORD_ISSR_208017981_DIVEST" localSheetId="2">OCL.AX_Validation_Sheet!$166:$166</definedName>
    <definedName name="V_KEYWORD_ISSR_208017981_DIVIDENDS_RECEIVED" localSheetId="2">OCL.AX_Validation_Sheet!$35:$35</definedName>
    <definedName name="V_KEYWORD_ISSR_208017981_EBIT" localSheetId="2">OCL.AX_Validation_Sheet!$26:$26</definedName>
    <definedName name="V_KEYWORD_ISSR_208017981_EBIT_CONSOLIDATED" localSheetId="2">OCL.AX_Validation_Sheet!$48:$48</definedName>
    <definedName name="V_KEYWORD_ISSR_208017981_EBIT_CONSOLIDATED_PRE_ASSOC" localSheetId="2">OCL.AX_Validation_Sheet!$47:$47</definedName>
    <definedName name="V_KEYWORD_ISSR_208017981_EBITDA_CALC" localSheetId="2">OCL.AX_Validation_Sheet!$23:$23</definedName>
    <definedName name="V_KEYWORD_ISSR_208017981_EBITDA_CONSOLIDATED" localSheetId="2">OCL.AX_Validation_Sheet!$43:$43</definedName>
    <definedName name="V_KEYWORD_ISSR_208017981_EMPLOYEES" localSheetId="2">OCL.AX_Validation_Sheet!$205:$205</definedName>
    <definedName name="V_KEYWORD_ISSR_208017981_EQ" localSheetId="2">OCL.AX_Validation_Sheet!$101:$101</definedName>
    <definedName name="V_KEYWORD_ISSR_208017981_EXP_OIL_DERIV_NGLS_PLASTICS" localSheetId="2">OCL.AX_Validation_Sheet!$276:$276</definedName>
    <definedName name="V_KEYWORD_ISSR_208017981_EXP_OIL_PETRO_FUEL" localSheetId="2">OCL.AX_Validation_Sheet!$275:$275</definedName>
    <definedName name="V_KEYWORD_ISSR_208017981_FIN_INSTR_HEDGE_CURR_LIABILITY" localSheetId="2">OCL.AX_Validation_Sheet!$128:$128</definedName>
    <definedName name="V_KEYWORD_ISSR_208017981_FIN_INSTR_HEDGE_CURRENT" localSheetId="2">OCL.AX_Validation_Sheet!$108:$108</definedName>
    <definedName name="V_KEYWORD_ISSR_208017981_FIN_INSTR_HEDGE_NON_CURR_LIAB" localSheetId="2">OCL.AX_Validation_Sheet!$134:$134</definedName>
    <definedName name="V_KEYWORD_ISSR_208017981_FIN_INSTR_HEDGE_NON_CURRENT" localSheetId="2">OCL.AX_Validation_Sheet!$121:$121</definedName>
    <definedName name="V_KEYWORD_ISSR_208017981_FIN_INSTRUMENT_HEDGE_PRE_TAX" localSheetId="2">OCL.AX_Validation_Sheet!$54:$54</definedName>
    <definedName name="V_KEYWORD_ISSR_208017981_FIX_ASS_INV" localSheetId="2">OCL.AX_Validation_Sheet!$84:$84</definedName>
    <definedName name="V_KEYWORD_ISSR_208017981_FLOATING_PCT_LOCAL_DEBT" localSheetId="2">OCL.AX_Validation_Sheet!$142:$142</definedName>
    <definedName name="V_KEYWORD_ISSR_208017981_FLOATING_PCT_LOCAL_DEBT_HEDGED" localSheetId="2">OCL.AX_Validation_Sheet!$143:$143</definedName>
    <definedName name="V_KEYWORD_ISSR_208017981_FX_AUD_ASSUMPTION" localSheetId="2">OCL.AX_Validation_Sheet!$12:$12</definedName>
    <definedName name="V_KEYWORD_ISSR_208017981_FX_AUD_NI_SENSITIVITY" localSheetId="2">OCL.AX_Validation_Sheet!$68:$68</definedName>
    <definedName name="V_KEYWORD_ISSR_208017981_FX_EUR_ASSUMPTION" localSheetId="2">OCL.AX_Validation_Sheet!$11:$11</definedName>
    <definedName name="V_KEYWORD_ISSR_208017981_FX_EUR_NI_SENSITIVITY" localSheetId="2">OCL.AX_Validation_Sheet!$67:$67</definedName>
    <definedName name="V_KEYWORD_ISSR_208017981_FX_USD_ASSUMPTION" localSheetId="2">OCL.AX_Validation_Sheet!$10:$10</definedName>
    <definedName name="V_KEYWORD_ISSR_208017981_FX_USD_NI_SENSITIVITY" localSheetId="2">OCL.AX_Validation_Sheet!$66:$66</definedName>
    <definedName name="V_KEYWORD_ISSR_208017981_GCI_INFL" localSheetId="2">OCL.AX_Validation_Sheet!$155:$155</definedName>
    <definedName name="V_KEYWORD_ISSR_208017981_GOODWILL_AMORT" localSheetId="2">OCL.AX_Validation_Sheet!$25:$25</definedName>
    <definedName name="V_KEYWORD_ISSR_208017981_GOODWILL_NET_AMNT" localSheetId="2">OCL.AX_Validation_Sheet!$117:$117</definedName>
    <definedName name="V_KEYWORD_ISSR_208017981_GR_FIX_ASS" localSheetId="2">OCL.AX_Validation_Sheet!$78:$78</definedName>
    <definedName name="V_KEYWORD_ISSR_208017981_GR_INTANG" localSheetId="2">OCL.AX_Validation_Sheet!$81:$81</definedName>
    <definedName name="V_KEYWORD_ISSR_208017981_GWILL_ASSET_IMPAIR_CHG_PRE_TAX" localSheetId="2">OCL.AX_Validation_Sheet!$52:$52</definedName>
    <definedName name="V_KEYWORD_ISSR_208017981_INT_EXP_IND" localSheetId="2">OCL.AX_Validation_Sheet!$28:$28</definedName>
    <definedName name="V_KEYWORD_ISSR_208017981_INT_INC_IND" localSheetId="2">OCL.AX_Validation_Sheet!$27:$27</definedName>
    <definedName name="V_KEYWORD_ISSR_208017981_INT_OTHERS_RECEIVED" localSheetId="2">OCL.AX_Validation_Sheet!$180:$180</definedName>
    <definedName name="V_KEYWORD_ISSR_208017981_INV_SECUR" localSheetId="2">OCL.AX_Validation_Sheet!$85:$85</definedName>
    <definedName name="V_KEYWORD_ISSR_208017981_INVESTMENTS" localSheetId="2">OCL.AX_Validation_Sheet!$107:$107</definedName>
    <definedName name="V_KEYWORD_ISSR_208017981_Issuer_Name" localSheetId="2">OCL.AX_Validation_Sheet!$6:$6</definedName>
    <definedName name="V_KEYWORD_ISSR_208017981_LABOUR" localSheetId="2">OCL.AX_Validation_Sheet!$41:$41</definedName>
    <definedName name="V_KEYWORD_ISSR_208017981_LAND_BUILDINGS" localSheetId="2">OCL.AX_Validation_Sheet!$114:$114</definedName>
    <definedName name="V_KEYWORD_ISSR_208017981_LEASE_ADOPT" localSheetId="2">OCL.AX_Validation_Sheet!$71:$71</definedName>
    <definedName name="V_KEYWORD_ISSR_208017981_LEASE_DEEM_DEPR" localSheetId="2">OCL.AX_Validation_Sheet!$62:$62</definedName>
    <definedName name="V_KEYWORD_ISSR_208017981_LEASE_DEEM_INT" localSheetId="2">OCL.AX_Validation_Sheet!$61:$61</definedName>
    <definedName name="V_KEYWORD_ISSR_208017981_LEASE_INT_CHG" localSheetId="2">OCL.AX_Validation_Sheet!$70:$70</definedName>
    <definedName name="V_KEYWORD_ISSR_208017981_LEASE_PAY" localSheetId="2">OCL.AX_Validation_Sheet!$60:$60</definedName>
    <definedName name="V_KEYWORD_ISSR_208017981_LEASE_PRINCIPAL_CASH" localSheetId="2">OCL.AX_Validation_Sheet!$172:$172</definedName>
    <definedName name="V_KEYWORD_ISSR_208017981_LOAN_REPAID_OTHER_ENTS" localSheetId="2">OCL.AX_Validation_Sheet!$188:$188</definedName>
    <definedName name="V_KEYWORD_ISSR_208017981_LOANS_OTHER_ENTITIES" localSheetId="2">OCL.AX_Validation_Sheet!$187:$187</definedName>
    <definedName name="V_KEYWORD_ISSR_208017981_LT_DEBT" localSheetId="2">OCL.AX_Validation_Sheet!$93:$93</definedName>
    <definedName name="V_KEYWORD_ISSR_208017981_LT_LEASE_LIAB" localSheetId="2">OCL.AX_Validation_Sheet!$94:$94</definedName>
    <definedName name="V_KEYWORD_ISSR_208017981_MA_PROB" localSheetId="2">OCL.AX_Validation_Sheet!$9:$9</definedName>
    <definedName name="V_KEYWORD_ISSR_208017981_MARKETING_ADVERTISNIG" localSheetId="2">OCL.AX_Validation_Sheet!$38:$38</definedName>
    <definedName name="V_KEYWORD_ISSR_208017981_MINORITIES" localSheetId="2">OCL.AX_Validation_Sheet!$100:$100</definedName>
    <definedName name="V_KEYWORD_ISSR_208017981_MV_ASSOCIATES" localSheetId="2">OCL.AX_Validation_Sheet!$147:$147</definedName>
    <definedName name="V_KEYWORD_ISSR_208017981_MV_CONVERTIBLE_NOTES" localSheetId="2">OCL.AX_Validation_Sheet!$209:$209</definedName>
    <definedName name="V_KEYWORD_ISSR_208017981_MV_NET_OTHER_STAKEHOLDERS" localSheetId="2">OCL.AX_Validation_Sheet!$208:$208</definedName>
    <definedName name="V_KEYWORD_ISSR_208017981_NCASSET_INVENTORIES" localSheetId="2">OCL.AX_Validation_Sheet!$113:$113</definedName>
    <definedName name="V_KEYWORD_ISSR_208017981_NCASSET_INVESTMENT" localSheetId="2">OCL.AX_Validation_Sheet!$112:$112</definedName>
    <definedName name="V_KEYWORD_ISSR_208017981_NCASSET_MISC" localSheetId="2">OCL.AX_Validation_Sheet!$122:$122</definedName>
    <definedName name="V_KEYWORD_ISSR_208017981_NCASSET_RECEIVABLES" localSheetId="2">OCL.AX_Validation_Sheet!$111:$111</definedName>
    <definedName name="V_KEYWORD_ISSR_208017981_NCASSET_TRADE_DEBTORS" localSheetId="2">OCL.AX_Validation_Sheet!$110:$110</definedName>
    <definedName name="V_KEYWORD_ISSR_208017981_NCLIAB_MISC" localSheetId="2">OCL.AX_Validation_Sheet!$135:$135</definedName>
    <definedName name="V_KEYWORD_ISSR_208017981_NCLIAB_OTHER_CREDITORS" localSheetId="2">OCL.AX_Validation_Sheet!$131:$131</definedName>
    <definedName name="V_KEYWORD_ISSR_208017981_NCLIAB_PROVISIONS" localSheetId="2">OCL.AX_Validation_Sheet!$132:$132</definedName>
    <definedName name="V_KEYWORD_ISSR_208017981_NCLIAB_TRADE_CREDITORS" localSheetId="2">OCL.AX_Validation_Sheet!$130:$130</definedName>
    <definedName name="V_KEYWORD_ISSR_208017981_NET_ASSETS" localSheetId="2">OCL.AX_Validation_Sheet!$137:$137</definedName>
    <definedName name="V_KEYWORD_ISSR_208017981_NET_DEBT" localSheetId="2">OCL.AX_Validation_Sheet!$144:$144</definedName>
    <definedName name="V_KEYWORD_ISSR_208017981_NET_DEBT_ADJ" localSheetId="2">OCL.AX_Validation_Sheet!$148:$148</definedName>
    <definedName name="V_KEYWORD_ISSR_208017981_NET_FIX_ASS" localSheetId="2">OCL.AX_Validation_Sheet!$80:$80</definedName>
    <definedName name="V_KEYWORD_ISSR_208017981_NET_INT_CH" localSheetId="2">OCL.AX_Validation_Sheet!$63:$63</definedName>
    <definedName name="V_KEYWORD_ISSR_208017981_NET_INT_EXP" localSheetId="2">OCL.AX_Validation_Sheet!$29:$29</definedName>
    <definedName name="V_KEYWORD_ISSR_208017981_NET_INTANG" localSheetId="2">OCL.AX_Validation_Sheet!$83:$83</definedName>
    <definedName name="V_KEYWORD_ISSR_208017981_NET_TANGIBLE_ASSETS" localSheetId="2">OCL.AX_Validation_Sheet!$138:$138</definedName>
    <definedName name="V_KEYWORD_ISSR_208017981_NONPPE_CAPEX" localSheetId="2">OCL.AX_Validation_Sheet!$202:$202</definedName>
    <definedName name="V_KEYWORD_ISSR_208017981_OP_COST" localSheetId="2">OCL.AX_Validation_Sheet!$18:$18</definedName>
    <definedName name="V_KEYWORD_ISSR_208017981_OPPL_BTAX_EX_ASSOC" localSheetId="2">OCL.AX_Validation_Sheet!$49:$49</definedName>
    <definedName name="V_KEYWORD_ISSR_208017981_OPPL_BTAX_POST_AB" localSheetId="2">OCL.AX_Validation_Sheet!$58:$58</definedName>
    <definedName name="V_KEYWORD_ISSR_208017981_ORD_SH_FUND" localSheetId="2">OCL.AX_Validation_Sheet!$99:$99</definedName>
    <definedName name="V_KEYWORD_ISSR_208017981_ORD_SHARE_CAPITAL" localSheetId="2">OCL.AX_Validation_Sheet!$136:$136</definedName>
    <definedName name="V_KEYWORD_ISSR_208017981_OTH_COST_INC" localSheetId="2">OCL.AX_Validation_Sheet!$32:$32</definedName>
    <definedName name="V_KEYWORD_ISSR_208017981_OTH_CUR_ASS" localSheetId="2">OCL.AX_Validation_Sheet!$76:$76</definedName>
    <definedName name="V_KEYWORD_ISSR_208017981_OTH_CUR_LIABS" localSheetId="2">OCL.AX_Validation_Sheet!$91:$91</definedName>
    <definedName name="V_KEYWORD_ISSR_208017981_OTH_DACF_ADJ" localSheetId="2">OCL.AX_Validation_Sheet!$196:$196</definedName>
    <definedName name="V_KEYWORD_ISSR_208017981_OTH_FIN_CF" localSheetId="2">OCL.AX_Validation_Sheet!$173:$173</definedName>
    <definedName name="V_KEYWORD_ISSR_208017981_OTH_GCI_ADJ" localSheetId="2">OCL.AX_Validation_Sheet!$154:$154</definedName>
    <definedName name="V_KEYWORD_ISSR_208017981_OTH_INV_CF" localSheetId="2">OCL.AX_Validation_Sheet!$167:$167</definedName>
    <definedName name="V_KEYWORD_ISSR_208017981_OTH_LT_ASS" localSheetId="2">OCL.AX_Validation_Sheet!$86:$86</definedName>
    <definedName name="V_KEYWORD_ISSR_208017981_OTH_LT_CRED_GQ" localSheetId="2">OCL.AX_Validation_Sheet!$95:$95</definedName>
    <definedName name="V_KEYWORD_ISSR_208017981_OTH_NONCASH_ADJ" localSheetId="2">OCL.AX_Validation_Sheet!$195:$195</definedName>
    <definedName name="V_KEYWORD_ISSR_208017981_OTH_OP_CF" localSheetId="2">OCL.AX_Validation_Sheet!$162:$162</definedName>
    <definedName name="V_KEYWORD_ISSR_208017981_OTH_OP_INC_EXP" localSheetId="2">OCL.AX_Validation_Sheet!$20:$20</definedName>
    <definedName name="V_KEYWORD_ISSR_208017981_OTHER_ASSET_IMPAIR_CHG_PRE_TAX" localSheetId="2">OCL.AX_Validation_Sheet!$53:$53</definedName>
    <definedName name="V_KEYWORD_ISSR_208017981_OTHER_CREDITORS" localSheetId="2">OCL.AX_Validation_Sheet!$124:$124</definedName>
    <definedName name="V_KEYWORD_ISSR_208017981_OTHER_IFRS_ADJUST_PRE_TAX" localSheetId="2">OCL.AX_Validation_Sheet!$55:$55</definedName>
    <definedName name="V_KEYWORD_ISSR_208017981_OTHER_INTANGIBLES_DEPREC" localSheetId="2">OCL.AX_Validation_Sheet!$118:$118</definedName>
    <definedName name="V_KEYWORD_ISSR_208017981_OTHER_INTANGIBLES_NON_DEPREC" localSheetId="2">OCL.AX_Validation_Sheet!$119:$119</definedName>
    <definedName name="V_KEYWORD_ISSR_208017981_OTHER_RECEIVABLES" localSheetId="2">OCL.AX_Validation_Sheet!$106:$106</definedName>
    <definedName name="V_KEYWORD_ISSR_208017981_OTHER_REVENUE" localSheetId="2">OCL.AX_Validation_Sheet!$65:$65</definedName>
    <definedName name="V_KEYWORD_ISSR_208017981_PERIOD_MILESTONE" localSheetId="2">OCL.AX_Validation_Sheet!$2:$2</definedName>
    <definedName name="V_KEYWORD_ISSR_208017981_PERSONNEL" localSheetId="2">OCL.AX_Validation_Sheet!$15:$15</definedName>
    <definedName name="V_KEYWORD_ISSR_208017981_PL_BTAX_ON_AB" localSheetId="2">OCL.AX_Validation_Sheet!$50:$50</definedName>
    <definedName name="V_KEYWORD_ISSR_208017981_PL_SALE_ASSETS" localSheetId="2">OCL.AX_Validation_Sheet!$194:$194</definedName>
    <definedName name="V_KEYWORD_ISSR_208017981_PLANT_EQUIP" localSheetId="2">OCL.AX_Validation_Sheet!$115:$115</definedName>
    <definedName name="V_KEYWORD_ISSR_208017981_PREF_SH" localSheetId="2">OCL.AX_Validation_Sheet!$98:$98</definedName>
    <definedName name="V_KEYWORD_ISSR_208017981_PROCEEDS_BORROWINGS" localSheetId="2">OCL.AX_Validation_Sheet!$190:$190</definedName>
    <definedName name="V_KEYWORD_ISSR_208017981_PROCEEDS_NCASSET" localSheetId="2">OCL.AX_Validation_Sheet!$36:$36</definedName>
    <definedName name="V_KEYWORD_ISSR_208017981_PROCEEDS_PURCH_OPER_BUS" localSheetId="2">OCL.AX_Validation_Sheet!$182:$182</definedName>
    <definedName name="V_KEYWORD_ISSR_208017981_PROCEEDS_SALE_EQUITY_INV" localSheetId="2">OCL.AX_Validation_Sheet!$185:$185</definedName>
    <definedName name="V_KEYWORD_ISSR_208017981_PROCEEDS_SALE_OPER_BUS" localSheetId="2">OCL.AX_Validation_Sheet!$186:$186</definedName>
    <definedName name="V_KEYWORD_ISSR_208017981_PROFIT_DEFBEN_PLAN_POST_TAX" localSheetId="2">OCL.AX_Validation_Sheet!$57:$57</definedName>
    <definedName name="V_KEYWORD_ISSR_208017981_PROFIT_DEFBEN_PLAN_PRE_TAX" localSheetId="2">OCL.AX_Validation_Sheet!$51:$51</definedName>
    <definedName name="V_KEYWORD_ISSR_208017981_PROFIT_ON_DISP" localSheetId="2">OCL.AX_Validation_Sheet!$31:$31</definedName>
    <definedName name="V_KEYWORD_ISSR_208017981_PROVISIONS" localSheetId="2">OCL.AX_Validation_Sheet!$127:$127</definedName>
    <definedName name="V_KEYWORD_ISSR_208017981_PT_PROF" localSheetId="2">OCL.AX_Validation_Sheet!$33:$33</definedName>
    <definedName name="V_KEYWORD_ISSR_208017981_PURCH_EQUITY_INVESTS" localSheetId="2">OCL.AX_Validation_Sheet!$183:$183</definedName>
    <definedName name="V_KEYWORD_ISSR_208017981_R_AND_D_CAP" localSheetId="2">OCL.AX_Validation_Sheet!$116:$116</definedName>
    <definedName name="V_KEYWORD_ISSR_208017981_RD_EXP" localSheetId="2">OCL.AX_Validation_Sheet!$19:$19</definedName>
    <definedName name="V_KEYWORD_ISSR_208017981_REPAY_BORROWINGS" localSheetId="2">OCL.AX_Validation_Sheet!$191:$191</definedName>
    <definedName name="V_KEYWORD_ISSR_208017981_RESERVES" localSheetId="2">OCL.AX_Validation_Sheet!$103:$103</definedName>
    <definedName name="V_KEYWORD_ISSR_208017981_RETAIN_PROFIT_LOSS" localSheetId="2">OCL.AX_Validation_Sheet!$104:$104</definedName>
    <definedName name="V_KEYWORD_ISSR_208017981_ROU_ASSET" localSheetId="2">OCL.AX_Validation_Sheet!$157:$157</definedName>
    <definedName name="V_KEYWORD_ISSR_208017981_SALE_PROP_PLANT_EQUIP" localSheetId="2">OCL.AX_Validation_Sheet!$184:$184</definedName>
    <definedName name="V_KEYWORD_ISSR_208017981_SALES" localSheetId="2">OCL.AX_Validation_Sheet!$14:$14</definedName>
    <definedName name="V_KEYWORD_ISSR_208017981_SALES_ARGENTINA" localSheetId="2">OCL.AX_Validation_Sheet!$219:$219</definedName>
    <definedName name="V_KEYWORD_ISSR_208017981_SALES_AUSTRA" localSheetId="2">OCL.AX_Validation_Sheet!$262:$262</definedName>
    <definedName name="V_KEYWORD_ISSR_208017981_SALES_AUSTRIA" localSheetId="2">OCL.AX_Validation_Sheet!$226:$226</definedName>
    <definedName name="V_KEYWORD_ISSR_208017981_SALES_BEL" localSheetId="2">OCL.AX_Validation_Sheet!$227:$227</definedName>
    <definedName name="V_KEYWORD_ISSR_208017981_SALES_BRAZIL" localSheetId="2">OCL.AX_Validation_Sheet!$220:$220</definedName>
    <definedName name="V_KEYWORD_ISSR_208017981_SALES_CANADA" localSheetId="2">OCL.AX_Validation_Sheet!$216:$216</definedName>
    <definedName name="V_KEYWORD_ISSR_208017981_SALES_CEE" localSheetId="2">OCL.AX_Validation_Sheet!$294:$294</definedName>
    <definedName name="V_KEYWORD_ISSR_208017981_SALES_CHILE" localSheetId="2">OCL.AX_Validation_Sheet!$221:$221</definedName>
    <definedName name="V_KEYWORD_ISSR_208017981_SALES_CHINA" localSheetId="2">OCL.AX_Validation_Sheet!$257:$257</definedName>
    <definedName name="V_KEYWORD_ISSR_208017981_SALES_COLOMBIA" localSheetId="2">OCL.AX_Validation_Sheet!$222:$222</definedName>
    <definedName name="V_KEYWORD_ISSR_208017981_SALES_CONS" localSheetId="2">OCL.AX_Validation_Sheet!$269:$269</definedName>
    <definedName name="V_KEYWORD_ISSR_208017981_SALES_EU_EX_UK" localSheetId="2">OCL.AX_Validation_Sheet!$293:$293</definedName>
    <definedName name="V_KEYWORD_ISSR_208017981_SALES_FINAN" localSheetId="2">OCL.AX_Validation_Sheet!$272:$272</definedName>
    <definedName name="V_KEYWORD_ISSR_208017981_SALES_FRA" localSheetId="2">OCL.AX_Validation_Sheet!$228:$228</definedName>
    <definedName name="V_KEYWORD_ISSR_208017981_SALES_FX" localSheetId="2">OCL.AX_Validation_Sheet!$301:$301</definedName>
    <definedName name="V_KEYWORD_ISSR_208017981_SALES_FX_AUD" localSheetId="2">OCL.AX_Validation_Sheet!$286:$286</definedName>
    <definedName name="V_KEYWORD_ISSR_208017981_SALES_FX_BRL" localSheetId="2">OCL.AX_Validation_Sheet!$282:$282</definedName>
    <definedName name="V_KEYWORD_ISSR_208017981_SALES_FX_CNY" localSheetId="2">OCL.AX_Validation_Sheet!$284:$284</definedName>
    <definedName name="V_KEYWORD_ISSR_208017981_SALES_FX_EUR" localSheetId="2">OCL.AX_Validation_Sheet!$279:$279</definedName>
    <definedName name="V_KEYWORD_ISSR_208017981_SALES_FX_GPB" localSheetId="2">OCL.AX_Validation_Sheet!$278:$278</definedName>
    <definedName name="V_KEYWORD_ISSR_208017981_SALES_FX_INR" localSheetId="2">OCL.AX_Validation_Sheet!$285:$285</definedName>
    <definedName name="V_KEYWORD_ISSR_208017981_SALES_FX_NZD" localSheetId="2">OCL.AX_Validation_Sheet!$287:$287</definedName>
    <definedName name="V_KEYWORD_ISSR_208017981_SALES_FX_OTH" localSheetId="2">OCL.AX_Validation_Sheet!$288:$288</definedName>
    <definedName name="V_KEYWORD_ISSR_208017981_SALES_FX_RUB" localSheetId="2">OCL.AX_Validation_Sheet!$280:$280</definedName>
    <definedName name="V_KEYWORD_ISSR_208017981_SALES_FX_USD" localSheetId="2">OCL.AX_Validation_Sheet!$281:$281</definedName>
    <definedName name="V_KEYWORD_ISSR_208017981_SALES_FX_YEN" localSheetId="2">OCL.AX_Validation_Sheet!$283:$283</definedName>
    <definedName name="V_KEYWORD_ISSR_208017981_SALES_GER" localSheetId="2">OCL.AX_Validation_Sheet!$229:$229</definedName>
    <definedName name="V_KEYWORD_ISSR_208017981_SALES_GOV" localSheetId="2">OCL.AX_Validation_Sheet!$271:$271</definedName>
    <definedName name="V_KEYWORD_ISSR_208017981_SALES_GRE" localSheetId="2">OCL.AX_Validation_Sheet!$230:$230</definedName>
    <definedName name="V_KEYWORD_ISSR_208017981_SALES_HONG_KONG" localSheetId="2">OCL.AX_Validation_Sheet!$251:$251</definedName>
    <definedName name="V_KEYWORD_ISSR_208017981_SALES_IND" localSheetId="2">OCL.AX_Validation_Sheet!$270:$270</definedName>
    <definedName name="V_KEYWORD_ISSR_208017981_SALES_INDIA" localSheetId="2">OCL.AX_Validation_Sheet!$258:$258</definedName>
    <definedName name="V_KEYWORD_ISSR_208017981_SALES_INDONESIA" localSheetId="2">OCL.AX_Validation_Sheet!$259:$259</definedName>
    <definedName name="V_KEYWORD_ISSR_208017981_SALES_INORGANIC" localSheetId="2">OCL.AX_Validation_Sheet!$302:$302</definedName>
    <definedName name="V_KEYWORD_ISSR_208017981_SALES_IRE" localSheetId="2">OCL.AX_Validation_Sheet!$231:$231</definedName>
    <definedName name="V_KEYWORD_ISSR_208017981_SALES_ITA" localSheetId="2">OCL.AX_Validation_Sheet!$232:$232</definedName>
    <definedName name="V_KEYWORD_ISSR_208017981_SALES_JAPAN" localSheetId="2">OCL.AX_Validation_Sheet!$252:$252</definedName>
    <definedName name="V_KEYWORD_ISSR_208017981_SALES_ME" localSheetId="2">OCL.AX_Validation_Sheet!$295:$295</definedName>
    <definedName name="V_KEYWORD_ISSR_208017981_SALES_MEXICO" localSheetId="2">OCL.AX_Validation_Sheet!$223:$223</definedName>
    <definedName name="V_KEYWORD_ISSR_208017981_SALES_NETH" localSheetId="2">OCL.AX_Validation_Sheet!$233:$233</definedName>
    <definedName name="V_KEYWORD_ISSR_208017981_SALES_NIGERIA" localSheetId="2">OCL.AX_Validation_Sheet!$248:$248</definedName>
    <definedName name="V_KEYWORD_ISSR_208017981_SALES_NOR" localSheetId="2">OCL.AX_Validation_Sheet!$234:$234</definedName>
    <definedName name="V_KEYWORD_ISSR_208017981_SALES_NZ" localSheetId="2">OCL.AX_Validation_Sheet!$263:$263</definedName>
    <definedName name="V_KEYWORD_ISSR_208017981_SALES_OIL_GAS" localSheetId="2">OCL.AX_Validation_Sheet!$273:$273</definedName>
    <definedName name="V_KEYWORD_ISSR_208017981_SALES_OTH_AEJ" localSheetId="2">OCL.AX_Validation_Sheet!$299:$299</definedName>
    <definedName name="V_KEYWORD_ISSR_208017981_SALES_OTH_AFRICA" localSheetId="2">OCL.AX_Validation_Sheet!$250:$250</definedName>
    <definedName name="V_KEYWORD_ISSR_208017981_SALES_OTH_AM" localSheetId="2">OCL.AX_Validation_Sheet!$291:$291</definedName>
    <definedName name="V_KEYWORD_ISSR_208017981_SALES_OTH_CEE" localSheetId="2">OCL.AX_Validation_Sheet!$244:$244</definedName>
    <definedName name="V_KEYWORD_ISSR_208017981_SALES_OTH_DEV_ASIA" localSheetId="2">OCL.AX_Validation_Sheet!$256:$256</definedName>
    <definedName name="V_KEYWORD_ISSR_208017981_SALES_OTH_EMEA" localSheetId="2">OCL.AX_Validation_Sheet!$297:$297</definedName>
    <definedName name="V_KEYWORD_ISSR_208017981_SALES_OTH_EMERG_ASIA" localSheetId="2">OCL.AX_Validation_Sheet!$261:$261</definedName>
    <definedName name="V_KEYWORD_ISSR_208017981_SALES_OTH_LATAM" localSheetId="2">OCL.AX_Validation_Sheet!$225:$225</definedName>
    <definedName name="V_KEYWORD_ISSR_208017981_SALES_OTH_ME" localSheetId="2">OCL.AX_Validation_Sheet!$247:$247</definedName>
    <definedName name="V_KEYWORD_ISSR_208017981_SALES_OTH_NO_AMER" localSheetId="2">OCL.AX_Validation_Sheet!$218:$218</definedName>
    <definedName name="V_KEYWORD_ISSR_208017981_SALES_OTH_WEST_EURO" localSheetId="2">OCL.AX_Validation_Sheet!$240:$240</definedName>
    <definedName name="V_KEYWORD_ISSR_208017981_SALES_OTHER" localSheetId="2">OCL.AX_Validation_Sheet!$264:$264</definedName>
    <definedName name="V_KEYWORD_ISSR_208017981_SALES_POLAND" localSheetId="2">OCL.AX_Validation_Sheet!$241:$241</definedName>
    <definedName name="V_KEYWORD_ISSR_208017981_SALES_POR" localSheetId="2">OCL.AX_Validation_Sheet!$235:$235</definedName>
    <definedName name="V_KEYWORD_ISSR_208017981_SALES_PRICE" localSheetId="2">OCL.AX_Validation_Sheet!$303:$303</definedName>
    <definedName name="V_KEYWORD_ISSR_208017981_SALES_RUSSIA" localSheetId="2">OCL.AX_Validation_Sheet!$242:$242</definedName>
    <definedName name="V_KEYWORD_ISSR_208017981_SALES_SAUDI_ARABIA" localSheetId="2">OCL.AX_Validation_Sheet!$245:$245</definedName>
    <definedName name="V_KEYWORD_ISSR_208017981_SALES_SINGAPORE" localSheetId="2">OCL.AX_Validation_Sheet!$253:$253</definedName>
    <definedName name="V_KEYWORD_ISSR_208017981_SALES_SK" localSheetId="2">OCL.AX_Validation_Sheet!$254:$254</definedName>
    <definedName name="V_KEYWORD_ISSR_208017981_SALES_SO_AFRICA" localSheetId="2">OCL.AX_Validation_Sheet!$249:$249</definedName>
    <definedName name="V_KEYWORD_ISSR_208017981_SALES_SPA" localSheetId="2">OCL.AX_Validation_Sheet!$236:$236</definedName>
    <definedName name="V_KEYWORD_ISSR_208017981_SALES_SWE" localSheetId="2">OCL.AX_Validation_Sheet!$237:$237</definedName>
    <definedName name="V_KEYWORD_ISSR_208017981_SALES_SWIT" localSheetId="2">OCL.AX_Validation_Sheet!$238:$238</definedName>
    <definedName name="V_KEYWORD_ISSR_208017981_SALES_TAIWAN" localSheetId="2">OCL.AX_Validation_Sheet!$255:$255</definedName>
    <definedName name="V_KEYWORD_ISSR_208017981_SALES_THAILAND" localSheetId="2">OCL.AX_Validation_Sheet!$260:$260</definedName>
    <definedName name="V_KEYWORD_ISSR_208017981_SALES_TOT_AFRICA" localSheetId="2">OCL.AX_Validation_Sheet!$296:$296</definedName>
    <definedName name="V_KEYWORD_ISSR_208017981_SALES_TOT_AM" localSheetId="2">OCL.AX_Validation_Sheet!$290:$290</definedName>
    <definedName name="V_KEYWORD_ISSR_208017981_SALES_TOT_ASIA" localSheetId="2">OCL.AX_Validation_Sheet!$298:$298</definedName>
    <definedName name="V_KEYWORD_ISSR_208017981_SALES_TOT_EMEA" localSheetId="2">OCL.AX_Validation_Sheet!$292:$292</definedName>
    <definedName name="V_KEYWORD_ISSR_208017981_SALES_TURKEY" localSheetId="2">OCL.AX_Validation_Sheet!$243:$243</definedName>
    <definedName name="V_KEYWORD_ISSR_208017981_SALES_UAE" localSheetId="2">OCL.AX_Validation_Sheet!$246:$246</definedName>
    <definedName name="V_KEYWORD_ISSR_208017981_SALES_UK" localSheetId="2">OCL.AX_Validation_Sheet!$239:$239</definedName>
    <definedName name="V_KEYWORD_ISSR_208017981_SALES_US" localSheetId="2">OCL.AX_Validation_Sheet!$217:$217</definedName>
    <definedName name="V_KEYWORD_ISSR_208017981_SALES_VENEZUELA" localSheetId="2">OCL.AX_Validation_Sheet!$224:$224</definedName>
    <definedName name="V_KEYWORD_ISSR_208017981_SALES_VOLUME" localSheetId="2">OCL.AX_Validation_Sheet!$304:$304</definedName>
    <definedName name="V_KEYWORD_ISSR_208017981_SEL_GL_AD" localSheetId="2">OCL.AX_Validation_Sheet!$17:$17</definedName>
    <definedName name="V_KEYWORD_ISSR_208017981_SEL_GL_AD_OTHER" localSheetId="2">OCL.AX_Validation_Sheet!$40:$40</definedName>
    <definedName name="V_KEYWORD_ISSR_208017981_SGA_PCT_ROW" localSheetId="2">OCL.AX_Validation_Sheet!$268:$268</definedName>
    <definedName name="V_KEYWORD_ISSR_208017981_SGA_PCT_US" localSheetId="2">OCL.AX_Validation_Sheet!$267:$267</definedName>
    <definedName name="V_KEYWORD_ISSR_208017981_SH_REPUR" localSheetId="2">OCL.AX_Validation_Sheet!$170:$170</definedName>
    <definedName name="V_KEYWORD_ISSR_208017981_SHARE_BASED_PAYMENTS" localSheetId="2">OCL.AX_Validation_Sheet!$42:$42</definedName>
    <definedName name="V_KEYWORD_ISSR_208017981_SHORT_T_DEBT" localSheetId="2">OCL.AX_Validation_Sheet!$89:$89</definedName>
    <definedName name="V_KEYWORD_ISSR_208017981_SHORT_TERM_LIABS" localSheetId="2">OCL.AX_Validation_Sheet!$92:$92</definedName>
    <definedName name="V_KEYWORD_ISSR_208017981_ST_LEASE_LIAB" localSheetId="2">OCL.AX_Validation_Sheet!$90:$90</definedName>
    <definedName name="V_KEYWORD_ISSR_208017981_STOCKS" localSheetId="2">OCL.AX_Validation_Sheet!$75:$75</definedName>
    <definedName name="V_KEYWORD_ISSR_208017981_SUPPLIER_EMPLOYEE_PAYS" localSheetId="2">OCL.AX_Validation_Sheet!$179:$179</definedName>
    <definedName name="V_KEYWORD_ISSR_208017981_TOT_ASSET" localSheetId="2">OCL.AX_Validation_Sheet!$87:$87</definedName>
    <definedName name="V_KEYWORD_ISSR_208017981_TOT_CF" localSheetId="2">OCL.AX_Validation_Sheet!$176:$176</definedName>
    <definedName name="V_KEYWORD_ISSR_208017981_TOT_LIAB" localSheetId="2">OCL.AX_Validation_Sheet!$97:$97</definedName>
    <definedName name="V_KEYWORD_ISSR_208017981_TOT_LIAB_EQ" localSheetId="2">OCL.AX_Validation_Sheet!$102:$102</definedName>
    <definedName name="V_KEYWORD_ISSR_208017981_TOT_LT_LIAB" localSheetId="2">OCL.AX_Validation_Sheet!$96:$96</definedName>
    <definedName name="V_KEYWORD_ISSR_208017981_TOT_OPS_EXP" localSheetId="2">OCL.AX_Validation_Sheet!$22:$22</definedName>
    <definedName name="V_KEYWORD_ISSR_208017981_TOT_OPS_EXP_DDA" localSheetId="2">OCL.AX_Validation_Sheet!$21:$21</definedName>
    <definedName name="V_KEYWORD_ISSR_208017981_TOT_PCT_USD_DEBT_HEDGED" localSheetId="2">OCL.AX_Validation_Sheet!$141:$141</definedName>
    <definedName name="V_KEYWORD_ISSR_208017981_TOT_USD_DEBT" localSheetId="2">OCL.AX_Validation_Sheet!$140:$140</definedName>
    <definedName name="V_KEYWORD_ISSR_208017981_TOTAL_CAPITAL_EMPLOYED_ADJ" localSheetId="2">OCL.AX_Validation_Sheet!$213:$213</definedName>
    <definedName name="V_KEYWORD_ISSR_208017981_TOTAL_DEPREC_AMORT" localSheetId="2">OCL.AX_Validation_Sheet!$46:$46</definedName>
    <definedName name="V_KEYWORD_ISSR_208017981_TOTAL_IFRS_ADJUST_PRE_TAX" localSheetId="2">OCL.AX_Validation_Sheet!$56:$56</definedName>
    <definedName name="V_KEYWORD_ISSR_208017981_TOTAL_NONCURR_ASSETS" localSheetId="2">OCL.AX_Validation_Sheet!$123:$123</definedName>
    <definedName name="V_KEYWORD_ISSR_208017981_TOTAL_OPR_REVENUE" localSheetId="2">OCL.AX_Validation_Sheet!$37:$37</definedName>
    <definedName name="V_KEYWORD_ISSR_208017981_TV_LICENCES_MASTERHEADS" localSheetId="2">OCL.AX_Validation_Sheet!$210:$210</definedName>
    <definedName name="V_KEYWORD_ISSR_208017981_UNF_PENS" localSheetId="2">OCL.AX_Validation_Sheet!$150:$150</definedName>
    <definedName name="V_KEYWORD_ISSR_208017981_UNF_PENS_LIAB_OTH" localSheetId="2">OCL.AX_Validation_Sheet!$152:$152</definedName>
    <definedName name="V_KEYWORD_ISSR_208017981_UNF_PENS_OFF" localSheetId="2">OCL.AX_Validation_Sheet!$151:$151</definedName>
    <definedName name="V_KEYWORD_ISSR_208017981_WORK_CAP" localSheetId="2">OCL.AX_Validation_Sheet!$161:$161</definedName>
    <definedName name="V_LIVEDATA_EQTY_200019506" localSheetId="2">OCL.AX_Validation_Sheet!$B$305</definedName>
    <definedName name="V_LIVEDATA_ISSR_208017981" localSheetId="2">OCL.AX_Validation_Sheet!$B$4</definedName>
    <definedName name="V_PERIOD_2014" localSheetId="2">OCL.AX_Validation_Sheet!$F:$F</definedName>
    <definedName name="V_PERIOD_2015" localSheetId="2">OCL.AX_Validation_Sheet!$I:$I</definedName>
    <definedName name="V_PERIOD_2015_H1" localSheetId="2">OCL.AX_Validation_Sheet!$G:$G</definedName>
    <definedName name="V_PERIOD_2015_H2" localSheetId="2">OCL.AX_Validation_Sheet!$H:$H</definedName>
    <definedName name="V_PERIOD_2016" localSheetId="2">OCL.AX_Validation_Sheet!$L:$L</definedName>
    <definedName name="V_PERIOD_2016_H1" localSheetId="2">OCL.AX_Validation_Sheet!$J:$J</definedName>
    <definedName name="V_PERIOD_2016_H2" localSheetId="2">OCL.AX_Validation_Sheet!$K:$K</definedName>
    <definedName name="V_PERIOD_2017" localSheetId="2">OCL.AX_Validation_Sheet!$O:$O</definedName>
    <definedName name="V_PERIOD_2017_H1" localSheetId="2">OCL.AX_Validation_Sheet!$M:$M</definedName>
    <definedName name="V_PERIOD_2017_H2" localSheetId="2">OCL.AX_Validation_Sheet!$N:$N</definedName>
    <definedName name="V_PERIOD_2018" localSheetId="2">OCL.AX_Validation_Sheet!$R:$R</definedName>
    <definedName name="V_PERIOD_2018_H1" localSheetId="2">OCL.AX_Validation_Sheet!$P:$P</definedName>
    <definedName name="V_PERIOD_2018_H2" localSheetId="2">OCL.AX_Validation_Sheet!$Q:$Q</definedName>
    <definedName name="V_PERIOD_2019" localSheetId="2">OCL.AX_Validation_Sheet!$U:$U</definedName>
    <definedName name="V_PERIOD_2019_H1" localSheetId="2">OCL.AX_Validation_Sheet!$S:$S</definedName>
    <definedName name="V_PERIOD_2019_H2" localSheetId="2">OCL.AX_Validation_Sheet!$T:$T</definedName>
    <definedName name="V_PERIOD_2020" localSheetId="2">OCL.AX_Validation_Sheet!$X:$X</definedName>
    <definedName name="V_PERIOD_2020_H1" localSheetId="2">OCL.AX_Validation_Sheet!$V:$V</definedName>
    <definedName name="V_PERIOD_2020_H2" localSheetId="2">OCL.AX_Validation_Sheet!$W:$W</definedName>
    <definedName name="V_PERIOD_2021" localSheetId="2">OCL.AX_Validation_Sheet!$AA:$AA</definedName>
    <definedName name="V_PERIOD_2021_H1" localSheetId="2">OCL.AX_Validation_Sheet!$Y:$Y</definedName>
    <definedName name="V_PERIOD_2021_H2" localSheetId="2">OCL.AX_Validation_Sheet!$Z:$Z</definedName>
    <definedName name="V_PERIOD_2022" localSheetId="2">OCL.AX_Validation_Sheet!$AD:$AD</definedName>
    <definedName name="V_PERIOD_2022_H1" localSheetId="2">OCL.AX_Validation_Sheet!$AB:$AB</definedName>
    <definedName name="V_PERIOD_2022_H2" localSheetId="2">OCL.AX_Validation_Sheet!$AC:$AC</definedName>
    <definedName name="V_PERIOD_2023" localSheetId="2">OCL.AX_Validation_Sheet!$AG:$AG</definedName>
    <definedName name="V_PERIOD_2023_H1" localSheetId="2">OCL.AX_Validation_Sheet!$AE:$AE</definedName>
    <definedName name="V_PERIOD_2023_H2" localSheetId="2">OCL.AX_Validation_Sheet!$AF:$AF</definedName>
    <definedName name="V_PERIOD_2024" localSheetId="2">OCL.AX_Validation_Sheet!$AJ:$AJ</definedName>
    <definedName name="V_PERIOD_2024_H1" localSheetId="2">OCL.AX_Validation_Sheet!$AH:$AH</definedName>
    <definedName name="V_PERIOD_2024_H2" localSheetId="2">OCL.AX_Validation_Sheet!$AI:$AI</definedName>
    <definedName name="V_PERIOD_2025" localSheetId="2">OCL.AX_Validation_Sheet!$AM:$AM</definedName>
    <definedName name="V_PERIOD_2025_H1" localSheetId="2">OCL.AX_Validation_Sheet!$AK:$AK</definedName>
    <definedName name="V_PERIOD_2025_H2" localSheetId="2">OCL.AX_Validation_Sheet!$AL:$AL</definedName>
    <definedName name="V_PERIOD_2026" localSheetId="2">OCL.AX_Validation_Sheet!$AN:$AN</definedName>
    <definedName name="V_PERIOD_2027" localSheetId="2">OCL.AX_Validation_Sheet!$AO:$AO</definedName>
    <definedName name="V_SECTION_EQTY_200019506_1314" localSheetId="2">OCL.AX_Validation_Sheet!$432:$432</definedName>
    <definedName name="V_SECTION_EQTY_200019506_1316A" localSheetId="2">OCL.AX_Validation_Sheet!$353:$353</definedName>
    <definedName name="V_SECTION_EQTY_200019506_1316B" localSheetId="2">OCL.AX_Validation_Sheet!$392:$392</definedName>
    <definedName name="V_SECTION_EQTY_200019506_1316C" localSheetId="2">OCL.AX_Validation_Sheet!$434:$434</definedName>
    <definedName name="V_SECTION_EQTY_200019506_1316D" localSheetId="2">OCL.AX_Validation_Sheet!$439:$439</definedName>
    <definedName name="V_SECTION_EQTY_200019506_1316E" localSheetId="2">OCL.AX_Validation_Sheet!$447:$447</definedName>
    <definedName name="V_SECTION_EQTY_200019506_131E" localSheetId="2">OCL.AX_Validation_Sheet!$437:$437</definedName>
    <definedName name="V_SECTION_EQTY_200019506_131J" localSheetId="2">OCL.AX_Validation_Sheet!$441:$441</definedName>
    <definedName name="V_SECTION_EQTY_200019506_131O" localSheetId="2">OCL.AX_Validation_Sheet!$443:$443</definedName>
    <definedName name="V_SECTION_EQTY_200019506_13A" localSheetId="2">OCL.AX_Validation_Sheet!$313:$313</definedName>
    <definedName name="V_SECTION_EQTY_200019506_13K" localSheetId="2">OCL.AX_Validation_Sheet!$336:$336</definedName>
    <definedName name="V_SECTION_EQTY_200019506_13U" localSheetId="2">OCL.AX_Validation_Sheet!$374:$374</definedName>
    <definedName name="V_SECTION_EQTY_200019506_13V" localSheetId="2">OCL.AX_Validation_Sheet!$429:$429</definedName>
    <definedName name="V_SECTION_EQTY_200019506_Reference_Data" localSheetId="2">OCL.AX_Validation_Sheet!$306:$306</definedName>
    <definedName name="V_SECTION_ISSR_208017981_1314" localSheetId="2">OCL.AX_Validation_Sheet!$72:$72</definedName>
    <definedName name="V_SECTION_ISSR_208017981_13168" localSheetId="2">OCL.AX_Validation_Sheet!$215:$215</definedName>
    <definedName name="V_SECTION_ISSR_208017981_1316B" localSheetId="2">OCL.AX_Validation_Sheet!$34:$34</definedName>
    <definedName name="V_SECTION_ISSR_208017981_1316C" localSheetId="2">OCL.AX_Validation_Sheet!$105:$105</definedName>
    <definedName name="V_SECTION_ISSR_208017981_1316D" localSheetId="2">OCL.AX_Validation_Sheet!$177:$177</definedName>
    <definedName name="V_SECTION_ISSR_208017981_1316E" localSheetId="2">OCL.AX_Validation_Sheet!$206:$206</definedName>
    <definedName name="V_SECTION_ISSR_208017981_1316T" localSheetId="2">OCL.AX_Validation_Sheet!$274:$274</definedName>
    <definedName name="V_SECTION_ISSR_208017981_1316U" localSheetId="2">OCL.AX_Validation_Sheet!$277:$277</definedName>
    <definedName name="V_SECTION_ISSR_208017981_1319" localSheetId="2">OCL.AX_Validation_Sheet!$139:$139</definedName>
    <definedName name="V_SECTION_ISSR_208017981_131E" localSheetId="2">OCL.AX_Validation_Sheet!$158:$158</definedName>
    <definedName name="V_SECTION_ISSR_208017981_131J" localSheetId="2">OCL.AX_Validation_Sheet!$192:$192</definedName>
    <definedName name="V_SECTION_ISSR_208017981_131O" localSheetId="2">OCL.AX_Validation_Sheet!$204:$204</definedName>
    <definedName name="V_SECTION_ISSR_208017981_136E" localSheetId="2">OCL.AX_Validation_Sheet!$289:$289</definedName>
    <definedName name="V_SECTION_ISSR_208017981_136J" localSheetId="2">OCL.AX_Validation_Sheet!$300:$300</definedName>
    <definedName name="V_SECTION_ISSR_208017981_13A" localSheetId="2">OCL.AX_Validation_Sheet!$8:$8</definedName>
    <definedName name="V_SECTION_ISSR_208017981_13U" localSheetId="2">OCL.AX_Validation_Sheet!$13:$13</definedName>
    <definedName name="V_SECTION_ISSR_208017981_13V" localSheetId="2">OCL.AX_Validation_Sheet!$59:$59</definedName>
    <definedName name="V_SECTION_ISSR_208017981_Reference_Data" localSheetId="2">OCL.AX_Validation_Sheet!$5:$5</definedName>
    <definedName name="V_TEMPLATEHASH" localSheetId="2">OCL.AX_Validation_Sheet!$C$1</definedName>
    <definedName name="ValidRecom">[0]!ValidRecom</definedName>
    <definedName name="ValidSTerm">[0]!ValidSTerm</definedName>
    <definedName name="w" localSheetId="6" hidden="1">{"IS",#N/A,FALSE,"IS";"RPTIS",#N/A,FALSE,"RPTIS";"STATS",#N/A,FALSE,"STATS";"CELL",#N/A,FALSE,"CELL";"BS",#N/A,FALSE,"BS"}</definedName>
    <definedName name="w" hidden="1">{"IS",#N/A,FALSE,"IS";"RPTIS",#N/A,FALSE,"RPTIS";"STATS",#N/A,FALSE,"STATS";"CELL",#N/A,FALSE,"CELL";"BS",#N/A,FALSE,"BS"}</definedName>
    <definedName name="wcom" localSheetId="6" hidden="1">{"IS",#N/A,FALSE,"IS";"RPTIS",#N/A,FALSE,"RPTIS";"STATS",#N/A,FALSE,"STATS";"BS",#N/A,FALSE,"BS"}</definedName>
    <definedName name="wcom" hidden="1">{"IS",#N/A,FALSE,"IS";"RPTIS",#N/A,FALSE,"RPTIS";"STATS",#N/A,FALSE,"STATS";"BS",#N/A,FALSE,"BS"}</definedName>
    <definedName name="win.gary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iteTemplate_Click" xlm="1">[0]!WriteTemplate_Click</definedName>
    <definedName name="wrn.____EVERYTHING____." hidden="1">{"PRICES",#N/A,TRUE,"PRICES";"RESULTS",#N/A,TRUE,"RESULTS";"SECTOR1",#N/A,TRUE,"SECTOR 1";"SECTOR2",#N/A,TRUE,"SECTOR 2";"SECTOR3",#N/A,TRUE,"SECTOR 3";"SECTOR4",#N/A,TRUE,"SECTOR 4";"Sector 5",#N/A,TRUE,"SECTOR 5";"Normalized_Potential",#N/A,TRUE,"SECTOR 5";"SECTOR6",#N/A,TRUE,"SECTOR 6";"KEY_OPER",#N/A,TRUE,"BARDON";"P_AND_L",#N/A,TRUE,"BARDON";"Val_Cash",#N/A,TRUE,"BARDON";"ANALYSIS",#N/A,TRUE,"BARDON";"FRONT",#N/A,TRUE,"BCI";"PRO_LOSS",#N/A,TRUE,"BCI";"CASH_VAL",#N/A,TRUE,"BCI";"CASH_VAL",#N/A,TRUE,"BPB";"ANAYLSIS",#N/A,TRUE,"BPB";"PROF_LOSS",#N/A,TRUE,"BPB";"BUILDING",#N/A,TRUE,"BPB";"GEOGRAPHY",#N/A,TRUE,"BPB";"FRONT",#N/A,TRUE,"CARADON";"PROF_LOSS",#N/A,TRUE,"CARADON";"CASHFLOW",#N/A,TRUE,"CARADON";"OPER_SUMMURY",#N/A,TRUE,"CARADON";"ANALYSIS",#N/A,TRUE,"CARADON";"FRONT",#N/A,TRUE,"CRH";"P_AND_L",#N/A,TRUE,"CRH";"CASH_AND_VAL",#N/A,TRUE,"CRH";"FRONT",#N/A,TRUE,"GRAHAM";"P_AND_L",#N/A,TRUE,"GRAHAM";"CASH_AND_VAL",#N/A,TRUE,"GRAHAM";"HISTORIC_PERFORMANCE",#N/A,TRUE,"GRAHAM";"FRONT",#N/A,TRUE,"HEPWORTH";"P_AND_L",#N/A,TRUE,"HEPWORTH";"CASH_AND_VAL",#N/A,TRUE,"HEPWORTH";"MODELS",#N/A,TRUE,"HEPWORTH";"FRONT",#N/A,TRUE,"HEYWOOD W";"P_AND_L",#N/A,TRUE,"HEYWOOD W";"CASH_AND_VAL",#N/A,TRUE,"HEYWOOD W";"UK_BRICKS",#N/A,TRUE,"IBSTOCK";"FRONT",#N/A,TRUE,"MARLEY";"P_AND_L",#N/A,TRUE,"MARLEY";"CASH_AND_VAL",#N/A,TRUE,"MARLEY";"FRONT",#N/A,TRUE,"MEYER";"P AND L",#N/A,TRUE,"MEYER";"CASH AND VAL",#N/A,TRUE,"MEYER";"FRONT",#N/A,TRUE,"NORCROS";"FRONT",#N/A,TRUE,"NORCROS";"CASH_AND_VAL",#N/A,TRUE,"NORCROS";"FRONT",#N/A,TRUE,"PILKINGTON";"P_AND_L",#N/A,TRUE,"PILKINGTON";#N/A,#N/A,TRUE,"PILKINGTON";"FRONT",#N/A,TRUE,"REDLAND";"P_AND_L",#N/A,TRUE,"REDLAND";"CASH_AND_VAL",#N/A,TRUE,"REDLAND";"OPERATIONAL_FORCASTS",#N/A,TRUE,"REDLAND";"MODELS",#N/A,TRUE,"REDLAND";"P_AND_L",#N/A,TRUE,"RMC";"CASH_AND_VAL",#N/A,TRUE,"RMC";"HALF_YEAR",#N/A,TRUE,"RMC";"P_AND_L",#N/A,TRUE,"RUGBY";"CASH_AND_VAL",#N/A,TRUE,"RUGBY";"P_AND_L",#N/A,TRUE,"A. RUSSELL";"CASH_AND_VAL",#N/A,TRUE,"A. RUSSELL";"FRONT",#N/A,TRUE,"SPRING RAM";"P_AND_L",#N/A,TRUE,"SPRING RAM";"CASH_AND_VAL",#N/A,TRUE,"SPRING RAM";"FRONT",#N/A,TRUE,"TARMAC";"P_AND_L",#N/A,TRUE,"TARMAC";"CASH_AND_VAL",#N/A,TRUE,"TARMAC";"MODELS",#N/A,TRUE,"TARMAC";"FRONT",#N/A,TRUE,"TRAVIS PERK";"P_AND_L",#N/A,TRUE,"TRAVIS PERK";"CASH_AND_VAL",#N/A,TRUE,"TRAVIS PERK";"P AND L",#N/A,TRUE,"WOLSELEY";"CASH AND VAL",#N/A,TRUE,"WOLSELEY";"FRONT",#N/A,TRUE,"IBSTOCK - NEW";"P_AND_L",#N/A,TRUE,"IBSTOCK - NEW";"UK_BRICKS",#N/A,TRUE,"IBSTOCK - NEW";"CASH_AND_VAL",#N/A,TRUE,"IBSTOCK - NEW"}</definedName>
    <definedName name="wrn.____OVERVIEW____." hidden="1">{"PRICES",#N/A,TRUE,"PRICES";"RESULTS",#N/A,TRUE,"RESULTS";"SECTOR1",#N/A,TRUE,"SECTOR 1";"SECTOR2",#N/A,TRUE,"SECTOR 2";"SECTOR3",#N/A,TRUE,"SECTOR 3";"SECTOR4",#N/A,TRUE,"SECTOR 4";"Sector 5",#N/A,TRUE,"SECTOR 5";"Normalized_Potential",#N/A,TRUE,"SECTOR 5";"SECTOR6",#N/A,TRUE,"SECTOR 6";"TOP",#N/A,TRUE,"PERATIOS";"BOTTOM",#N/A,TRUE,"PERATIOS"}</definedName>
    <definedName name="wrn.abc." hidden="1">{"sensit",#N/A,FALSE,"WOLSELEY"}</definedName>
    <definedName name="wrn.AcqState." hidden="1">{#N/A,#N/A,TRUE,"Acq-Ass";#N/A,#N/A,TRUE,"Acq-IS";#N/A,#N/A,TRUE,"Acq-BS";#N/A,#N/A,TRUE,"Acq-CF"}</definedName>
    <definedName name="wrn.Acquiror.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Val." hidden="1">{#N/A,#N/A,FALSE,"Acq-Val";#N/A,#N/A,FALSE,"Acq-Mult Val"}</definedName>
    <definedName name="wrn.AGG.._.IND.." hidden="1">{"P_AND_L (AGG. IND.) (25)",#N/A,TRUE,"AGG. IND.";"Val_Cash (AGG. IND.) (25)",#N/A,TRUE,"AGG. IND.";"KEY_OPER (AGG. IND.) (25)",#N/A,TRUE,"AGG. IND.";"COMBINED (AGG. IND.) (25)",#N/A,TRUE,"AGG. IND.";"ANALYSIS (AGG. IND.) (25)",#N/A,TRUE,"AGG. IND."}</definedName>
    <definedName name="wrn.Aging._.and._.Trend._.Analysis." hidden="1">{#N/A,#N/A,FALSE,"Aging Summary";#N/A,#N/A,FALSE,"Ratio Analysis";#N/A,#N/A,FALSE,"Test 120 Day Accts";#N/A,#N/A,FALSE,"Tickmarks"}</definedName>
    <definedName name="wrn.all." hidden="1">{#N/A,#N/A,FALSE,"Time Warner";#N/A,#N/A,FALSE,"Entertainment Group";#N/A,#N/A,FALSE,"EBITDA";#N/A,#N/A,FALSE,"Notes"}</definedName>
    <definedName name="wrn.All._.Company._.Analyses." hidden="1">{"Methodology and Sourcing",#N/A,FALSE,"Methodology and Sourcing";"britishtelecom",#N/A,FALSE,"BT out";"CTC",#N/A,FALSE,"CTC out";"DT",#N/A,FALSE,"DT out";"FT",#N/A,FALSE,"FT out";"HKT",#N/A,FALSE,"HKT out";"KPN",#N/A,FALSE,"KPN out";"MATAV",#N/A,FALSE,"MATAV out";"PT Telkom",#N/A,FALSE,"PT Telkom out";"Tel Arg",#N/A,FALSE,"Tel Arg out";"Telef Arg",#N/A,FALSE,"TASA out";"Tel Asia",#N/A,FALSE,"Tel. Asia Out";"T de E",#N/A,FALSE,"T de E out";"Tel Malay",#N/A,FALSE,"Tel Malay out";"TELMEX",#N/A,FALSE,"Telmex out";"TNZ",#N/A,FALSE,"TNZ out";"Telkom SA",#N/A,FALSE,"Telkom SA out";"SPT",#N/A,FALSE,"SPT out";"USA",#N/A,FALSE,"USA out"}</definedName>
    <definedName name="wrn.all._.comps.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_Mat." hidden="1">{#N/A,#N/A,FALSE,"Sheet1";#N/A,#N/A,FALSE,"OTHER";#N/A,#N/A,FALSE,"FMB";#N/A,#N/A,FALSE,"PCN";#N/A,#N/A,FALSE,"PCN2";#N/A,#N/A,FALSE,"CEI_Pref";#N/A,#N/A,FALSE,"CEI_FMB";#N/A,#N/A,FALSE,"CEI_PCN";#N/A,#N/A,FALSE,"CEI_PCN1";#N/A,#N/A,FALSE,"CEI_MED";#N/A,#N/A,FALSE,"CEI_MED1";#N/A,#N/A,FALSE,"TE_Other";#N/A,#N/A,FALSE,"TE_PCN";#N/A,#N/A,FALSE,"TE_MED";#N/A,#N/A,FALSE,"TE_MED1"}</definedName>
    <definedName name="wrn.All_Mat.1" hidden="1">{#N/A,#N/A,FALSE,"Sheet1";#N/A,#N/A,FALSE,"OTHER";#N/A,#N/A,FALSE,"FMB";#N/A,#N/A,FALSE,"PCN";#N/A,#N/A,FALSE,"PCN2";#N/A,#N/A,FALSE,"CEI_Pref";#N/A,#N/A,FALSE,"CEI_FMB";#N/A,#N/A,FALSE,"CEI_PCN";#N/A,#N/A,FALSE,"CEI_PCN1";#N/A,#N/A,FALSE,"CEI_MED";#N/A,#N/A,FALSE,"CEI_MED1";#N/A,#N/A,FALSE,"TE_Other";#N/A,#N/A,FALSE,"TE_PCN";#N/A,#N/A,FALSE,"TE_MED";#N/A,#N/A,FALSE,"TE_MED1"}</definedName>
    <definedName name="wrn.allpages." hidden="1">{#N/A,#N/A,TRUE,"Historicals";#N/A,#N/A,TRUE,"Charts";#N/A,#N/A,TRUE,"Forecasts"}</definedName>
    <definedName name="wrn.AMPJAN96." localSheetId="6" hidden="1">{"Associates",#N/A,FALSE,"FULLESTI";"GPEBIT",#N/A,FALSE,"FULLESTI";"USEBIT",#N/A,FALSE,"FULLESTI";"UKEBIT",#N/A,FALSE,"FULLESTI";"AUSTEBIT",#N/A,FALSE,"FULLESTI"}</definedName>
    <definedName name="wrn.AMPJAN96." hidden="1">{"Associates",#N/A,FALSE,"FULLESTI";"GPEBIT",#N/A,FALSE,"FULLESTI";"USEBIT",#N/A,FALSE,"FULLESTI";"UKEBIT",#N/A,FALSE,"FULLESTI";"AUSTEBIT",#N/A,FALSE,"FULLESTI"}</definedName>
    <definedName name="wrn.Annual." hidden="1">{"Full annual",#N/A,FALSE,"Master"}</definedName>
    <definedName name="wrn.Back._.Page." hidden="1">{"Back Page",#N/A,FALSE,"Front and Back"}</definedName>
    <definedName name="wrn.Back._.Page.2" hidden="1">{"Back Page",#N/A,FALSE,"Front and Back"}</definedName>
    <definedName name="wrn.BCI." hidden="1">{"FRONT (BCI) (25)",#N/A,TRUE,"BCI";"PRO_LOSS (BCI) (23)",#N/A,TRUE,"BCI";"CASH_VAL (BCI) (25)",#N/A,TRUE,"BCI";"CASHMODEL (BCI) (25)",#N/A,TRUE,"BCI";"MODELS1 (BCI) (25)",#N/A,TRUE,"BCI";"MODELS2 (BCI) (25)",#N/A,TRUE,"BCI";"MODELS3 (BCI) (25)",#N/A,TRUE,"BCI";"IND VALUE (BCI) (25)",#N/A,TRUE,"BCI"}</definedName>
    <definedName name="wrn.BEL." localSheetId="6" hidden="1">{"IS",#N/A,FALSE,"IS";"RPTIS",#N/A,FALSE,"RPTIS";"STATS",#N/A,FALSE,"STATS";"CELL",#N/A,FALSE,"CELL";"BS",#N/A,FALSE,"BS"}</definedName>
    <definedName name="wrn.BEL." hidden="1">{"IS",#N/A,FALSE,"IS";"RPTIS",#N/A,FALSE,"RPTIS";"STATS",#N/A,FALSE,"STATS";"CELL",#N/A,FALSE,"CELL";"BS",#N/A,FALSE,"BS"}</definedName>
    <definedName name="wrn.Book._.Output." hidden="1">{#N/A,#N/A,FALSE,"Title";#N/A,#N/A,FALSE,"Inputs";#N/A,#N/A,FALSE,"Impact";#N/A,#N/A,FALSE,"Sources &amp; Uses";#N/A,#N/A,FALSE,"Capitalization Impact";#N/A,#N/A,FALSE,"NEWCO Projections"}</definedName>
    <definedName name="wrn.BPB." hidden="1">{"PROF_LOSS (BPB) (25)",#N/A,TRUE,"BPB";"PROF_LOSS (BPB) (23)",#N/A,TRUE,"BPB";"CASH_VAL (BPB) (25)",#N/A,TRUE,"BPB";"ANAYLSIS (BPB) (25)",#N/A,TRUE,"BPB";"GEOGRAPHY (BPB) (25)",#N/A,TRUE,"BPB";"BUILDING (BPB) (25)",#N/A,TRUE,"BPB"}</definedName>
    <definedName name="wrn.BRASS." hidden="1">{"BRASS P AND L",#N/A,FALSE,"REDLAND";"BRASS BALANCE",#N/A,FALSE,"REDLAND";"BRASS TCE",#N/A,FALSE,"REDLAND";"GERMAN STATS",#N/A,FALSE,"REDLAND"}</definedName>
    <definedName name="wrn.BUILDING._.VALUE." hidden="1">{"BUILD VALUE 1",#N/A,FALSE,"VALUE";"BUILD VALUE 2",#N/A,FALSE,"VALUE";"BUILD VALUE 3",#N/A,FALSE,"VALUE";"BUILD VALUE 4",#N/A,FALSE,"VALUE";"BUILD VALUE 5",#N/A,FALSE,"VALUE";"BUILD VALUE 6",#N/A,FALSE,"VALUE";"BUILD VALUE 7",#N/A,FALSE,"VALUE";"BUILD VALUE 8",#N/A,FALSE,"VALUE";"BUILD VALUE 9",#N/A,FALSE,"VALUE";"BUILD VALUE 10",#N/A,FALSE,"VALUE"}</definedName>
    <definedName name="wrn.CARADON." hidden="1">{"FRONT (CARADON) (23)",#N/A,TRUE,"CARADON";"PROF_LOSS (CARADON) (23)",#N/A,TRUE,"CARADON";"CASHFLOW (CARADON) (23)",#N/A,TRUE,"CARADON";"ANALYSIS (CARADON) (23)",#N/A,TRUE,"CARADON";"RECONCILIATION (CARADON) (23)",#N/A,TRUE,"CARADON";"OPER_SUMMURY (CARADON) (23)",#N/A,TRUE,"CARADON"}</definedName>
    <definedName name="wrn.Client." localSheetId="6" hidden="1">{"Full_Year",#N/A,FALSE,"PE1_S";#N/A,#N/A,FALSE,"DIVIS_S"}</definedName>
    <definedName name="wrn.Client." hidden="1">{"Full_Year",#N/A,FALSE,"PE1_S";#N/A,#N/A,FALSE,"DIVIS_S"}</definedName>
    <definedName name="wrn.Client_Detailed." localSheetId="6" hidden="1">{"Full_Year",#N/A,FALSE,"PE1_S";"Full_Year",#N/A,FALSE,"Cashflow_EPS";"Full_Year",#N/A,FALSE,"EBIT_DIV"}</definedName>
    <definedName name="wrn.Client_Detailed." hidden="1">{"Full_Year",#N/A,FALSE,"PE1_S";"Full_Year",#N/A,FALSE,"Cashflow_EPS";"Full_Year",#N/A,FALSE,"EBIT_DIV"}</definedName>
    <definedName name="wrn.Combination.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oResults.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State." hidden="1">{#N/A,#N/A,FALSE,"Combo-Ass ";#N/A,#N/A,FALSE,"Combo-IS";#N/A,#N/A,FALSE,"Combo-BS";#N/A,#N/A,FALSE,"Combo-CF"}</definedName>
    <definedName name="wrn.Complete._.Report.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CompleteReport.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Consolidated._.Statements." hidden="1">{"view1",#N/A,FALSE,"EARN (US$)";"view1",#N/A,FALSE,"DASTBS (US$)";"view1",#N/A,FALSE,"DASTCF (US$)"}</definedName>
    <definedName name="wrn.CONSOLIDATION." localSheetId="6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.CONSOLIDATION.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.Covers." hidden="1">{"view1",#N/A,FALSE,"MOTEARN";"view1",#N/A,FALSE,"Bal Sht";"view1",#N/A,FALSE,"Cash Flows"}</definedName>
    <definedName name="wrn.CRH." hidden="1">{"FRONT (CRH) (25)",#N/A,TRUE,"CRH";"P_AND_L (CRH) (25)",#N/A,TRUE,"CRH";"CASH_AND_VAL (CRH) (25)",#N/A,TRUE,"CRH";"CASHFLOW (CRH) (25)",#N/A,TRUE,"CRH";"MODELS (CRH) (25)",#N/A,TRUE,"CRH"}</definedName>
    <definedName name="wrn.CUPID." hidden="1">{"Guide",#N/A,FALSE,"Guidant";"Boston Sci",#N/A,FALSE,"Boston Scientific";"Medtro",#N/A,FALSE,"Medtronic";"St. Jude",#N/A,FALSE,"St. Jude";"Pfi",#N/A,FALSE,"Pfizer";"Bard",#N/A,FALSE,"Bard";"Johns",#N/A,FALSE,"Johnson"}</definedName>
    <definedName name="wrn.database." hidden="1">{"subs",#N/A,FALSE,"database ";"proportional",#N/A,FALSE,"database "}</definedName>
    <definedName name="wrn.Dataproj1." hidden="1">{#N/A,#N/A,FALSE,"Front Page";#N/A,#N/A,FALSE,"Page 2";#N/A,#N/A,FALSE,"Page 3";#N/A,#N/A,FALSE,"Loan Growth"}</definedName>
    <definedName name="wrn.Detailed._.P._.and._.L." hidden="1">{"P and L Detail Page 1",#N/A,FALSE,"Data";"P and L Detail Page 2",#N/A,FALSE,"Data"}</definedName>
    <definedName name="wrn.Detailed._.P._.and._.L.2" hidden="1">{"P and L Detail Page 1",#N/A,FALSE,"Data";"P and L Detail Page 2",#N/A,FALSE,"Data"}</definedName>
    <definedName name="wrn.dil_anal." hidden="1">{"hiden",#N/A,FALSE,"14";"hidden",#N/A,FALSE,"16";"hidden",#N/A,FALSE,"18";"hidden",#N/A,FALSE,"20"}</definedName>
    <definedName name="wrn.document." hidden="1">{"comp",#N/A,FALSE,"SPEC";"footnotes",#N/A,FALSE,"SPEC"}</definedName>
    <definedName name="wrn.documentaero." hidden="1">{"comps2",#N/A,FALSE,"AERO";"footnotes",#N/A,FALSE,"AERO"}</definedName>
    <definedName name="wrn.documenthand." hidden="1">{"comps",#N/A,FALSE,"HANDPACK";"footnotes",#N/A,FALSE,"HANDPACK"}</definedName>
    <definedName name="wrn.Employee._.Efficiency." hidden="1">{"Employee Efficiency",#N/A,FALSE,"Benchmarking"}</definedName>
    <definedName name="wrn.equity._.comps." hidden="1">{"equity comps",#N/A,FALSE,"CS Comps";"equity comps",#N/A,FALSE,"PS Comps";"equity comps",#N/A,FALSE,"GIC_Comps";"equity comps",#N/A,FALSE,"GIC2_Comps"}</definedName>
    <definedName name="wrn.Everything.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Financial._.Output." hidden="1">{"P and L",#N/A,FALSE,"Financial Output";"Cashflow",#N/A,FALSE,"Financial Output";"Balance Sheet",#N/A,FALSE,"Financial Output"}</definedName>
    <definedName name="wrn.Financial._.Output.2" hidden="1">{"P and L",#N/A,FALSE,"Financial Output";"Cashflow",#N/A,FALSE,"Financial Output";"Balance Sheet",#N/A,FALSE,"Financial Output"}</definedName>
    <definedName name="wrn.First._.Grap._.on._.Things." hidden="1">{#N/A,#N/A,FALSE,"Overview"}</definedName>
    <definedName name="wrn.Five._.Year._.Record." hidden="1">{"Five Year Record",#N/A,FALSE,"Front and Back"}</definedName>
    <definedName name="wrn.Five._.Year._.Record.2" hidden="1">{"Five Year Record",#N/A,FALSE,"Front and Back"}</definedName>
    <definedName name="wrn.Front._.Page." hidden="1">{"Front Page",#N/A,FALSE,"Front and Back"}</definedName>
    <definedName name="wrn.Front._.Page.2" hidden="1">{"Front Page",#N/A,FALSE,"Front and Back"}</definedName>
    <definedName name="wrn.Full._.report." hidden="1">{"Full annual",#N/A,FALSE,"Master";"P and L halfyearly",#N/A,FALSE,"Master";"Underlying halfyearly",#N/A,FALSE,"Master"}</definedName>
    <definedName name="wrn.Full_Client." localSheetId="6" hidden="1">{"Full_Year",#N/A,FALSE,"PE1_S";"Automotive",#N/A,FALSE,"Auto_EBIT";#N/A,#N/A,FALSE,"Industrial_EBIT";#N/A,#N/A,FALSE,"Webforge_EBIT"}</definedName>
    <definedName name="wrn.Full_Client." hidden="1">{"Full_Year",#N/A,FALSE,"PE1_S";"Automotive",#N/A,FALSE,"Auto_EBIT";#N/A,#N/A,FALSE,"Industrial_EBIT";#N/A,#N/A,FALSE,"Webforge_EBIT"}</definedName>
    <definedName name="wrn.Geographic._.Trends." hidden="1">{"Geographic P1",#N/A,FALSE,"Division &amp; Geog"}</definedName>
    <definedName name="wrn.Geographic._.Trends.2" hidden="1">{"Geographic P1",#N/A,FALSE,"Division &amp; Geog"}</definedName>
    <definedName name="wrn.GRAHAM." hidden="1">{"FRONT (GRAHAM) (30)",#N/A,TRUE,"GRAHAM";"P_AND_L (GRAHAM) (30)",#N/A,TRUE,"GRAHAM";"CASH_AND_VAL (GRAHAM) (30)",#N/A,TRUE,"GRAHAM";"HISTORIC PERFORMANCE (GRAHAM) (30)",#N/A,TRUE,"GRAHAM"}</definedName>
    <definedName name="wrn.HANSON." hidden="1">{"P AND L (HANSON) (25)",#N/A,TRUE,"HANSON";"CASHFLOW (HANSON) (25)",#N/A,TRUE,"HANSON";"VALUATION (HANSON) (23)",#N/A,TRUE,"HANSON";"MODELS (HANSON) (25)",#N/A,TRUE,"HANSON";"CASHMODEL (HANSON) (25)",#N/A,TRUE,"HANSON";"BRICKS (HANSON) (25)",#N/A,TRUE,"HANSON";"ARC (HANSON) (25)",#N/A,TRUE,"HANSON";"VALUATION (HANSON) (25)",#N/A,TRUE,"HANSON"}</definedName>
    <definedName name="wrn.HEAVYSIDE." hidden="1">{#N/A,#N/A,FALSE,"HEAVYSIDE";"HEAVYSIDE",#N/A,FALSE,"HEAVYSIDE";"HEAVYSIDE2",#N/A,FALSE,"HEAVYSIDE"}</definedName>
    <definedName name="wrn.HEPWORTH." hidden="1">{"FRONT (HEPWORTH) (25)",#N/A,TRUE,"HEPWORTH";"P_AND_L (HEPWORTH) (25)",#N/A,TRUE,"HEPWORTH";"CASH_AND_VAL (HEPWORTH) (25)",#N/A,TRUE,"HEPWORTH";"MODELS (HEPWORTH) (25)",#N/A,TRUE,"HEPWORTH"}</definedName>
    <definedName name="wrn.HEYWOOD." hidden="1">{"FRONT (HEYWOOD W) (25)",#N/A,TRUE,"HEYWOOD W";"P_AND_L (HEYWOOD W) (25)",#N/A,TRUE,"HEYWOOD W";"CASH_AND_VAL (HEYWOOD W) (25)",#N/A,TRUE,"HEYWOOD W";"USAMODEL (HEYWOOD W) (25)",#N/A,TRUE,"HEYWOOD W";"UKMODEL (HEYWOOD W) (25)",#N/A,TRUE,"HEYWOOD W"}</definedName>
    <definedName name="wrn.IBSTOCK." hidden="1">{"FRONT",#N/A,FALSE,"IBSTOCK - NEW";"P_AND_L",#N/A,FALSE,"IBSTOCK - NEW";"UK_BRICKS",#N/A,FALSE,"IBSTOCK - NEW";"CASH_AND_VAL",#N/A,FALSE,"IBSTOCK - NEW"}</definedName>
    <definedName name="wrn.international.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wrn.LIGHTSIDE." hidden="1">{"light1",#N/A,FALSE,"LIGHTSIDE";"light2",#N/A,FALSE,"LIGHTSIDE";"light3",#N/A,FALSE,"LIGHTSIDE";"light4",#N/A,FALSE,"LIGHTSIDE"}</definedName>
    <definedName name="wrn.Line._.Efficiency." hidden="1">{"Line Efficiency",#N/A,FALSE,"Benchmarking"}</definedName>
    <definedName name="wrn.Main._.Report._.All._.Sections." localSheetId="6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.Main._.Report._.All._.Sections.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.MANUFACTURERS." hidden="1">{"summary",#N/A,FALSE,"MANUFACTURERS"}</definedName>
    <definedName name="wrn.MARLEY." hidden="1">{"FRONT",#N/A,TRUE,"MARLEY";"P_AND_L",#N/A,TRUE,"MARLEY";"CASH_AND_VAL",#N/A,TRUE,"MARLEY";"MODELS",#N/A,TRUE,"MARLEY"}</definedName>
    <definedName name="wrn.MARSHALLS." hidden="1">{"PANDL (MARSHALLS) (25)",#N/A,TRUE,"MARSHALLS";"CASHFLOW (MARSHALLS) (25)",#N/A,TRUE,"MARSHALLS";"VALUATION (MARSHALLS) (25)",#N/A,TRUE,"MARSHALLS";"MODELS (MARSHALLS) (25)",#N/A,TRUE,"MARSHALLS"}</definedName>
    <definedName name="wrn.MERCHANTS." hidden="1">{"merchants",#N/A,FALSE,"MERCHANTS";"merchants2",#N/A,FALSE,"MERCHANTS"}</definedName>
    <definedName name="wrn.MEYER." hidden="1">{"FRONT (MEYER) (23)",#N/A,TRUE,"MEYER";"P AND L (MEYER) (23)",#N/A,TRUE,"MEYER";"CASH AND VAL (MEYER) (23)",#N/A,TRUE,"MEYER";"DCF (MEYER) (23)",#N/A,TRUE,"MEYER";"JEWSON (MEYER) (23)",#N/A,TRUE,"MEYER";"HARCROS (MEYER) (23)",#N/A,TRUE,"MEYER";"PONT (MEYER) (23)",#N/A,TRUE,"MEYER"}</definedName>
    <definedName name="wrn.NORCROS." hidden="1">{"FRONT (NORCROS) (25)",#N/A,TRUE,"NORCROS";"P_AND_L (NORCROS) (25)",#N/A,TRUE,"NORCROS";"CASH_AND_VAL (NORCROS) (25)",#N/A,TRUE,"NORCROS";"SUMVAL (NORCROS) (23)",#N/A,TRUE,"NORCROS"}</definedName>
    <definedName name="wrn.Output." hidden="1">{#N/A,#N/A,TRUE,"Title";#N/A,#N/A,TRUE,"Inputs";#N/A,#N/A,TRUE,"Impact";#N/A,#N/A,TRUE,"Sources &amp; Uses";#N/A,#N/A,TRUE,"Capitalization Impact";#N/A,#N/A,TRUE,"NEWCO Projections";#N/A,#N/A,TRUE,"Summary - ITT";#N/A,#N/A,TRUE,"Summary - Forte";#N/A,#N/A,TRUE,"Balance Sheet Adj.";#N/A,#N/A,TRUE,"Calculation Verification"}</definedName>
    <definedName name="wrn.P._.and._.L._.halfyearly." hidden="1">{"P and L halfyearly",#N/A,FALSE,"Master"}</definedName>
    <definedName name="wrn.PILKINGTON." hidden="1">{"FRONT (PILKINGTON) (25)",#N/A,TRUE,"PILKINGTON";"P_AND_L (PILKINGTON) (25)",#N/A,TRUE,"PILKINGTON";"CASH_AND_VAL (PILKINGTON) (25)",#N/A,TRUE,"PILKINGTON";"VALUATION (PILKINGTON) (25)",#N/A,TRUE,"PILKINGTON";"MODELS (PILKINGTON) (25)",#N/A,TRUE,"PILKINGTON";"SENSITIV (PILKINGTON) (25)",#N/A,TRUE,"PILKINGTON";"P_AND_VOL (PILKINGTON) (25)",#N/A,TRUE,"PILKINGTON";"INVINC (PILKINGTON) (25)",#N/A,TRUE,"PILKINGTON"}</definedName>
    <definedName name="wrn.PrimeCo." hidden="1">{"print 1",#N/A,FALSE,"PrimeCo PCS";"print 2",#N/A,FALSE,"PrimeCo PCS";"valuation",#N/A,FALSE,"PrimeCo PCS"}</definedName>
    <definedName name="wrn.Print." localSheetId="6" hidden="1">{"Cashflow",#N/A,FALSE,"CASHFLOW";"DCF",#N/A,FALSE,"CASHFLOW"}</definedName>
    <definedName name="wrn.Print." hidden="1">{"Cashflow",#N/A,FALSE,"CASHFLOW";"DCF",#N/A,FALSE,"CASHFLOW"}</definedName>
    <definedName name="wrn.print._.pages." hidden="1">{#N/A,#N/A,FALSE,"Spain MKT";#N/A,#N/A,FALSE,"Assumptions";#N/A,#N/A,FALSE,"Adve";#N/A,#N/A,FALSE,"E-Commerce";#N/A,#N/A,FALSE,"Opex";#N/A,#N/A,FALSE,"P&amp;L";#N/A,#N/A,FALSE,"FCF &amp; DCF"}</definedName>
    <definedName name="wrn.printall." hidden="1">{"output","fiftysix",FALSE,"mergerplans";"inputs",#N/A,FALSE,"mergerplans";"output","sixtyfive",FALSE,"mergerplans";"output","seventy",FALSE,"mergerplans"}</definedName>
    <definedName name="wrn.REDLAND." hidden="1">{"FRONT (REDLAND) (25)",#N/A,FALSE,"REDLAND";"P_AND_L (REDLAND) (25)",#N/A,FALSE,"REDLAND";"CASH_AND_VAL (REDLAND) (25)",#N/A,FALSE,"REDLAND";"OPERATIONAL_FORCASTS (REDLAND) (25)",#N/A,FALSE,"REDLAND";"MODELS (REDLAND) (25)",#N/A,FALSE,"REDLAND";"IND.VAL2 (REDLAND) (25)",#N/A,FALSE,"REDLAND";"IND.VAL1 (REDLAND) (25)",#N/A,FALSE,"REDLAND";"GERMAN STATS (REDLAND) (25)",#N/A,FALSE,"REDLAND";"BRASS TCE (REDLAND) (25)",#N/A,FALSE,"REDLAND";"BRASS P AND L (REDLAND) (25)",#N/A,FALSE,"REDLAND";"BRASS BALANCE (REDLAND) (25)",#N/A,FALSE,"REDLAND";"SUMPARTS (REDLAND) (23)",#N/A,FALSE,"REDLAND"}</definedName>
    <definedName name="wrn.Report." localSheetId="6" hidden="1">{"Cashflow",#N/A,FALSE,"CASHFLOW";"DCF",#N/A,FALSE,"CASHFLOW"}</definedName>
    <definedName name="wrn.Report." hidden="1">{"Cashflow",#N/A,FALSE,"CASHFLOW";"DCF",#N/A,FALSE,"CASHFLOW"}</definedName>
    <definedName name="wrn.Report_PR_1." hidden="1">{"PR1","pr1",TRUE,"Sch PR-1"}</definedName>
    <definedName name="wrn.RETURNS." hidden="1">{"BETAS",#N/A,FALSE,"RETURNS";"THEOR KE",#N/A,FALSE,"RETURNS";"IMPLIED KE",#N/A,FALSE,"RETURNS";"THEO GR",#N/A,FALSE,"RETURNS";"IMPLIED GR",#N/A,FALSE,"RETURNS";"IMPLIED KE PORD",#N/A,FALSE,"RETURNS";"ROE",#N/A,FALSE,"RETURNS";"RETENTIONS",#N/A,FALSE,"RETURNS";"RISK FREE",#N/A,FALSE,"RETURNS";"GRISKADJPER",#N/A,FALSE,"RETURNS";"THEOR PER",#N/A,FALSE,"RETURNS"}</definedName>
    <definedName name="wrn.RETURNS._.ON._.INV." hidden="1">{"RETURNINVEST",#N/A,FALSE,"ROI (%)";"RETURNS2",#N/A,FALSE,"ROI (%)";"RETURNS3",#N/A,FALSE,"ROI (%)"}</definedName>
    <definedName name="wrn.Revenue._.Details." hidden="1">{"Revenue by Industry Chart",#N/A,FALSE,"Mix";"Annual Revenue Detail",#N/A,FALSE,"Mix";"Quarterly Revenue Detail",#N/A,FALSE,"Mix"}</definedName>
    <definedName name="wrn.RMC." hidden="1">{"FRONT (RMC) (25)",#N/A,TRUE,"RMC";"P_AND_L (RMC) (25)",#N/A,TRUE,"RMC";"CASH_AND_VAL (RMC) (25)",#N/A,TRUE,"RMC";"INDVAL (RMC) (25)",#N/A,TRUE,"RMC"}</definedName>
    <definedName name="wrn.RUGBY." hidden="1">{"FRONT (RUGBY) (25)",#N/A,TRUE,"RUGBY";"P_AND_L (RUGBY) (25)",#N/A,TRUE,"RUGBY";"CASH_AND_VAL (RUGBY) (25)",#N/A,TRUE,"RUGBY";"VALUE (RUGBY) (25)",#N/A,TRUE,"RUGBY";"SENSIT (RUGBY) (25)",#N/A,TRUE,"RUGBY";"models1 (RUGBY) (25)",#N/A,TRUE,"RUGBY";"MODELS (RUGBY) (25)",#N/A,TRUE,"RUGBY";"JOINERY (RUGBY) (25)",#N/A,TRUE,"RUGBY"}</definedName>
    <definedName name="wrn.RUSSELL." hidden="1">{"FRONT (A. RUSSELL) (25)",#N/A,TRUE,"A. RUSSELL";"P_AND_L (A. RUSSELL) (25)",#N/A,TRUE,"A. RUSSELL";"CASH_AND_VAL (A. RUSSELL) (25)",#N/A,TRUE,"A. RUSSELL"}</definedName>
    <definedName name="wrn.Segments." hidden="1">{"view1",#N/A,FALSE,"Consolidated";"view2",#N/A,FALSE,"Consolidated (sum)";"view1",#N/A,FALSE,"Gen Sys";"view1",#N/A,FALSE,"Semicon";"view1",#N/A,FALSE,"Mess|Med";"view1",#N/A,FALSE,"Land Mob";"view1",#N/A,FALSE,"Other Prod";"view1",#N/A,FALSE,"Adj|Elim"}</definedName>
    <definedName name="wrn.sfjsf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SHARPE." hidden="1">{"FRONT (SHARPE &amp; FISHER) (25)",#N/A,TRUE,"SHARPE &amp; FISHER";"P AND L (SHARPE &amp; FISHER) (25)",#N/A,TRUE,"SHARPE &amp; FISHER";"CASH AND VAL (SHARPE &amp; FISHER) (25)",#N/A,TRUE,"SHARPE &amp; FISHER"}</definedName>
    <definedName name="wrn.SIG." hidden="1">{"FRONT (SIG) (25)",#N/A,TRUE,"SIG";"P AND L (SIG) (25)",#N/A,TRUE,"SIG";"CASH AND VAL (SIG) (25)",#N/A,TRUE,"SIG";"MODELS (SIG) (25)",#N/A,TRUE,"SIG"}</definedName>
    <definedName name="wrn.SPRING._.RAM." hidden="1">{"FRONT (SPRING RAM) (29)",#N/A,TRUE,"SPRING RAM";"P_AND_L (SPRING RAM) (29)",#N/A,TRUE,"SPRING RAM";"CASH_AND_VAL (SPRING RAM) (29)",#N/A,TRUE,"SPRING RAM"}</definedName>
    <definedName name="wrn.sultan.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Summary." localSheetId="6" hidden="1">{"Print Summary",#N/A,FALSE,"Bal_Graphs";"Print Summary",#N/A,FALSE,"DCF";"Print Summary",#N/A,FALSE,"Graphs";"Print Summary",#N/A,FALSE,"Summary"}</definedName>
    <definedName name="wrn.Summary." hidden="1">{"Print Summary",#N/A,FALSE,"Bal_Graphs";"Print Summary",#N/A,FALSE,"DCF";"Print Summary",#N/A,FALSE,"Graphs";"Print Summary",#N/A,FALSE,"Summary"}</definedName>
    <definedName name="wrn.Summary._.Output." hidden="1">{#N/A,#N/A,FALSE,"Title";#N/A,#N/A,FALSE,"Inputs";#N/A,#N/A,FALSE,"Impact"}</definedName>
    <definedName name="wrn.Summary._.Projections." hidden="1">{#N/A,#N/A,FALSE,"Summary - Forte";#N/A,#N/A,FALSE,"Summary - ITT"}</definedName>
    <definedName name="wrn.SummaryPgs." hidden="1">{#N/A,#N/A,FALSE,"CreditStat";#N/A,#N/A,FALSE,"SPbrkup";#N/A,#N/A,FALSE,"MerSPsyn";#N/A,#N/A,FALSE,"MerSPwKCsyn";#N/A,#N/A,FALSE,"MerSPwKCsyn (2)";#N/A,#N/A,FALSE,"CreditStat (2)"}</definedName>
    <definedName name="wrn.Tables." hidden="1">{"view1",#N/A,FALSE,"Tables";"view2",#N/A,FALSE,"Tables";"view3",#N/A,FALSE,"Tables"}</definedName>
    <definedName name="wrn.Target.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LBO.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State." hidden="1">{#N/A,#N/A,FALSE,"Tar-Ass";#N/A,#N/A,FALSE,"Tar-IS";#N/A,#N/A,FALSE,"Tar-BS";#N/A,#N/A,FALSE,"Tar-Adg BS";#N/A,#N/A,FALSE,"Tar-CF"}</definedName>
    <definedName name="wrn.TargetVal." hidden="1">{#N/A,#N/A,TRUE,"Val - sum";#N/A,#N/A,TRUE,"Val - Sum1";#N/A,#N/A,TRUE,"Val - sum2";#N/A,#N/A,TRUE,"Val - Sum3";#N/A,#N/A,TRUE,"Tar-DCF";#N/A,#N/A,TRUE,"Tar-Val LBO";#N/A,#N/A,TRUE,"Tar-Mult Val"}</definedName>
    <definedName name="wrn.Tariff._.Analysis." hidden="1">{"Tarifica91",#N/A,FALSE,"Tariffs";"Tarifica92",#N/A,FALSE,"Tariffs";"Tarifica93",#N/A,FALSE,"Tariffs";"Tarifica94",#N/A,FALSE,"Tariffs";"Tarifica95",#N/A,FALSE,"Tariffs";"Tarifica96",#N/A,FALSE,"Tariffs"}</definedName>
    <definedName name="wrn.Tariff._.Comaprison." hidden="1">{"Tariff Comparison",#N/A,FALSE,"Benchmarking";"Tariff Comparison 2",#N/A,FALSE,"Benchmarking";"Tariff Comparison 3",#N/A,FALSE,"Benchmarking"}</definedName>
    <definedName name="wrn.TARMAC." hidden="1">{"FRONT (TARMAC) (25)",#N/A,TRUE,"TARMAC";"P_AND_L (TARMAC) (25)",#N/A,TRUE,"TARMAC";"CASH AND VAL (TARMAC) (25)",#N/A,TRUE,"TARMAC";"MODELS (TARMAC) (25)",#N/A,TRUE,"TARMAC";"MODELS2 (TARMAC) (25)",#N/A,TRUE,"TARMAC";"INDUSTRIAL (TARMAC) (25)",#N/A,TRUE,"TARMAC"}</definedName>
    <definedName name="wrn.Test." localSheetId="6" hidden="1">{"Detail",#N/A,FALSE,"FULLESTI";#N/A,#N/A,FALSE,"USMEDCOY"}</definedName>
    <definedName name="wrn.Test." hidden="1">{"Detail",#N/A,FALSE,"FULLESTI";#N/A,#N/A,FALSE,"USMEDCOY"}</definedName>
    <definedName name="wrn.totalcomp." hidden="1">{"comp1",#N/A,FALSE,"COMPS";"footnotes",#N/A,FALSE,"COMPS"}</definedName>
    <definedName name="wrn.TRAVIS._.PERKINS." hidden="1">{"FRONT (TRAVIS PERK) (25)",#N/A,TRUE,"TRAVIS PERK";"P_AND_L (TRAVIS PERK) (25)",#N/A,TRUE,"TRAVIS PERK";"CASH_AND_VAL (TRAVIS PERK) (25)",#N/A,TRUE,"TRAVIS PERK"}</definedName>
    <definedName name="wrn.Underlying._.halfyearly." hidden="1">{"Underlying halfyearly",#N/A,FALSE,"Master"}</definedName>
    <definedName name="wrn.USW." localSheetId="6" hidden="1">{"IS",#N/A,FALSE,"IS";"RPTIS",#N/A,FALSE,"RPTIS";"STATS",#N/A,FALSE,"STATS";"BS",#N/A,FALSE,"BS"}</definedName>
    <definedName name="wrn.USW." hidden="1">{"IS",#N/A,FALSE,"IS";"RPTIS",#N/A,FALSE,"RPTIS";"STATS",#N/A,FALSE,"STATS";"BS",#N/A,FALSE,"BS"}</definedName>
    <definedName name="wrn.WOLSELEY." hidden="1">{"FRONT (WOLSELEY) (23)",#N/A,TRUE,"WOLSELEY";"P AND L (WOLSELEY) (23)",#N/A,TRUE,"WOLSELEY";"CASH AND VAL (WOLSELEY) (23)",#N/A,TRUE,"WOLSELEY";"VALUATION (WOLSELEY) (23)",#N/A,TRUE,"WOLSELEY";"VALUATION (WOLSELEY) (21)",#N/A,TRUE,"WOLSELEY";"CASHFLOWVAL (WOLSELEY) (23)",#N/A,TRUE,"WOLSELEY";"MODELS3 (WOLSELEY) (23)",#N/A,TRUE,"WOLSELEY";"MODELS2 (WOLSELEY) (23)",#N/A,TRUE,"WOLSELEY";"MODELS (WOLSELEY) (23)",#N/A,TRUE,"WOLSELEY"}</definedName>
    <definedName name="wvu.bal_98." hidden="1">{TRUE,TRUE,-1.25,-15.5,484.5,276.75,FALSE,TRUE,TRUE,TRUE,0,1,#N/A,1,36,13.234375,17,1,FALSE,TRUE,3,TRUE,1,FALSE,100,"Swvu.bal_98.","ACwvu.bal_98.",#N/A,FALSE,FALSE,0.748031496062992,0.748031496062992,0.984251968503937,0.984251968503937,1,"&amp;F","Page &amp;P",FALSE,FALSE,FALSE,FALSE,1,100,#N/A,#N/A,FALSE,FALSE,"Rwvu.bal_98.",#N/A,FALSE,FALSE,TRUE,9,#N/A,#N/A,FALSE,FALSE,TRUE,TRUE,TRUE}</definedName>
    <definedName name="wvu.Full_Year." hidden="1">{TRUE,TRUE,-1.25,-15.5,604.5,366.75,FALSE,TRUE,TRUE,TRUE,0,1,#N/A,1,18,25.85,20,1,FALSE,TRUE,3,TRUE,1,FALSE,75,"Swvu.Full_Year.","ACwvu.Full_Year.",#N/A,FALSE,FALSE,0.393700787401575,0.393700787401575,0.393700787401575,0.393700787401575,1," ","&amp;C&amp;""Helvetica,Regular""J B Were &amp; Son - Research. Analyst: Matt Cook- Tel: (03) 9679 1445",TRUE,FALSE,FALSE,FALSE,1,85,#N/A,#N/A,"=C1:C22","=C1:C3,R1:R4","Rwvu.Full_Year.","Cwvu.Full_Year.",FALSE,FALSE,FALSE,9,#N/A,#N/A,FALSE,FALSE,TRUE,TRUE,TRUE}</definedName>
    <definedName name="www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Ycf_89">#REF!</definedName>
    <definedName name="Ycf_90">#REF!</definedName>
    <definedName name="Ycf_91">#REF!</definedName>
    <definedName name="Ycf_92">#REF!</definedName>
    <definedName name="Z_03DAD997_7A4F_11D1_AB8C_00805F1D08F8_.wvu.Cols" hidden="1">#REF!,#REF!,#REF!,#REF!</definedName>
    <definedName name="Z_0C942D74_7104_11D1_AB6C_00805F1D2048_.wvu.Cols" hidden="1">#REF!,#REF!,#REF!,#REF!</definedName>
    <definedName name="Z_115772F6_74E0_11D1_AB6E_00805F1D2048_.wvu.Cols" hidden="1">#REF!,#REF!,#REF!,#REF!</definedName>
    <definedName name="Z_2087720E_7599_11D1_AB6F_00805F1D2048_.wvu.Cols" hidden="1">#REF!,#REF!,#REF!,#REF!</definedName>
    <definedName name="Z_2087722E_7599_11D1_AB6F_00805F1D2048_.wvu.Cols" hidden="1">#REF!,#REF!,#REF!,#REF!</definedName>
    <definedName name="Z_2087724E_7599_11D1_AB6F_00805F1D2048_.wvu.Cols" hidden="1">#REF!,#REF!,#REF!,#REF!</definedName>
    <definedName name="Z_390AA9A1_4F12_11D1_AB62_00805F1D08F8_.wvu.Cols" hidden="1">#REF!,#REF!,#REF!,#REF!</definedName>
    <definedName name="Z_3A0CF413_61F2_11D1_AB75_00805F1D08F8_.wvu.Cols" hidden="1">#REF!,#REF!,#REF!,#REF!</definedName>
    <definedName name="Z_40C39524_4116_11D1_AB55_00805F1D08F8_.wvu.Cols" hidden="1">#REF!,#REF!,#REF!,#REF!</definedName>
    <definedName name="Z_40C39574_4116_11D1_AB55_00805F1D08F8_.wvu.Cols" hidden="1">#REF!,#REF!,#REF!,#REF!</definedName>
    <definedName name="Z_4B689A84_6515_11D1_AB79_00805F1D08F8_.wvu.Cols" hidden="1">#REF!,#REF!,#REF!,#REF!</definedName>
    <definedName name="Z_4D4EF4DD_6A0A_11D1_AB7D_00805F1D08F8_.wvu.Cols" hidden="1">#REF!,#REF!,#REF!,#REF!</definedName>
    <definedName name="Z_5BD438D5_7596_11D1_AB88_00805F1D08F8_.wvu.Cols" hidden="1">#REF!,#REF!,#REF!,#REF!</definedName>
    <definedName name="Z_5BD43915_7596_11D1_AB88_00805F1D08F8_.wvu.Cols" hidden="1">#REF!,#REF!,#REF!,#REF!</definedName>
    <definedName name="Z_5D8928C4_27D9_11D1_AB33_00805F1D2048_.wvu.Cols" hidden="1">#REF!,#REF!,#REF!,#REF!</definedName>
    <definedName name="Z_60FA13F0_C7AB_11D5_82BE_0060B0F04987_.wvu.Rows" localSheetId="6" hidden="1">#REF!</definedName>
    <definedName name="Z_60FA13F0_C7AB_11D5_82BE_0060B0F04987_.wvu.Rows" hidden="1">#REF!</definedName>
    <definedName name="Z_63193F36_1A71_11D1_AB28_00805F1D2048_.wvu.Cols" hidden="1">#REF!,#REF!,#REF!,#REF!</definedName>
    <definedName name="Z_67539AE8_7018_11D1_AB83_00805F1D08F8_.wvu.Cols" hidden="1">#REF!,#REF!,#REF!,#REF!</definedName>
    <definedName name="Z_78668873_6450_11D1_AB62_00805F1D2048_.wvu.Cols" hidden="1">#REF!,#REF!,#REF!,#REF!</definedName>
    <definedName name="Z_78668A27_6450_11D1_AB62_00805F1D2048_.wvu.Cols" hidden="1">#REF!,#REF!,#REF!,#REF!</definedName>
    <definedName name="Z_81AF337F_7A53_11D1_AB73_00805F1D2048_.wvu.Cols" hidden="1">#REF!,#REF!,#REF!,#REF!</definedName>
    <definedName name="Z_92309AA4_604A_11D5_9E55_00508BC944B9_.wvu.PrintArea" localSheetId="4" hidden="1">MODEL!$D$3:$AU$308</definedName>
    <definedName name="Z_92309AA4_604A_11D5_9E55_00508BC944B9_.wvu.PrintTitles" localSheetId="4" hidden="1">MODEL!$B:$B,MODEL!$1:$2</definedName>
    <definedName name="Z_92309AA5_604A_11D5_9E55_00508BC944B9_.wvu.PrintArea" localSheetId="4" hidden="1">MODEL!$D$3:$AU$308</definedName>
    <definedName name="Z_92309AA5_604A_11D5_9E55_00508BC944B9_.wvu.PrintTitles" localSheetId="4" hidden="1">MODEL!$B:$B,MODEL!$1:$2</definedName>
    <definedName name="Z_9431393C_8BB4_11D1_AB82_00805F1D2048_.wvu.Cols" hidden="1">#REF!,#REF!,#REF!,#REF!</definedName>
    <definedName name="Z_A399A71E_4368_11D1_AB57_00805F1D08F8_.wvu.Cols" hidden="1">#REF!,#REF!,#REF!,#REF!</definedName>
    <definedName name="Z_BAD6B5D1_6209_11D1_AB61_00805F1D2048_.wvu.Cols" hidden="1">#REF!,#REF!,#REF!,#REF!</definedName>
    <definedName name="Z_C743300E_5626_11D1_AB56_00805F1D2048_.wvu.Cols" hidden="1">#REF!,#REF!,#REF!,#REF!</definedName>
    <definedName name="Z_C7433014_5626_11D1_AB56_00805F1D2048_.wvu.Cols" hidden="1">#REF!,#REF!,#REF!,#REF!</definedName>
    <definedName name="Z_D54F9875_4E48_11D1_AB4F_00805F1D2048_.wvu.Cols" hidden="1">#REF!,#REF!,#REF!,#REF!</definedName>
    <definedName name="Z_D54F996F_4E48_11D1_AB4F_00805F1D2048_.wvu.Cols" hidden="1">#REF!,#REF!,#REF!,#REF!</definedName>
    <definedName name="Z_D62B3FE6_56F6_11D1_AB57_00805F1D2048_.wvu.Cols" hidden="1">#REF!,#REF!,#REF!,#REF!</definedName>
    <definedName name="Z_DCBAD064_2D80_11D1_AB5C_00805F466D8F_.wvu.Cols" hidden="1">#REF!,#REF!,#REF!,#REF!</definedName>
    <definedName name="Z_EC399AE0_4413_11D1_AB58_00805F1D08F8_.wvu.Cols" hidden="1">#REF!,#REF!,#REF!,#REF!</definedName>
    <definedName name="Z_F8F432B8_2D4F_11D1_AB36_00805F1DF014_.wvu.Cols" hidden="1">#REF!,#REF!,#REF!,#REF!</definedName>
    <definedName name="Z_F97BFBDF_2894_11D1_AB3A_00805F1D08F8_.wvu.Cols" hidden="1">#REF!,#REF!,#REF!,#REF!</definedName>
  </definedNames>
  <calcPr calcId="191029" iterate="1" iterateCount="25" calcOnSave="0"/>
  <customWorkbookViews>
    <customWorkbookView name="1990+" guid="{92309AA5-604A-11D5-9E55-00508BC944B9}" maximized="1" windowWidth="987" windowHeight="632" tabRatio="798" activeSheetId="23083"/>
    <customWorkbookView name="1995+" guid="{92309AA4-604A-11D5-9E55-00508BC944B9}" maximized="1" windowWidth="987" windowHeight="632" tabRatio="798" activeSheetId="2308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3149" l="1"/>
  <c r="AK44" i="23086"/>
  <c r="AO42" i="23083"/>
  <c r="AO50" i="23083"/>
  <c r="AO49" i="23083"/>
  <c r="AO48" i="23083"/>
  <c r="AO47" i="23083"/>
  <c r="E13" i="23120" a="1"/>
  <c r="A3" i="23149"/>
  <c r="E13" i="23120" l="1"/>
  <c r="AK46" i="23086"/>
  <c r="AK47" i="23086" s="1"/>
  <c r="AP27" i="23083"/>
  <c r="AP41" i="23083"/>
  <c r="AN27" i="23083"/>
  <c r="AM23" i="23083"/>
  <c r="AP23" i="23083"/>
  <c r="AL8" i="23086" l="1"/>
  <c r="AP167" i="23083"/>
  <c r="AP169" i="23083" s="1"/>
  <c r="AO169" i="23083" s="1"/>
  <c r="AP157" i="23083"/>
  <c r="AO157" i="23083" s="1"/>
  <c r="AP150" i="23083"/>
  <c r="AO150" i="23083" s="1"/>
  <c r="AP135" i="23083"/>
  <c r="AP136" i="23083" s="1"/>
  <c r="AP117" i="23083"/>
  <c r="AP100" i="23083"/>
  <c r="AP108" i="23083"/>
  <c r="AP110" i="23083" s="1"/>
  <c r="AP325" i="23083"/>
  <c r="AO325" i="23083"/>
  <c r="AP324" i="23083"/>
  <c r="AP326" i="23083" s="1"/>
  <c r="AP316" i="23083"/>
  <c r="AP315" i="23083"/>
  <c r="AP313" i="23083"/>
  <c r="AO312" i="23083"/>
  <c r="AO311" i="23083"/>
  <c r="AO316" i="23083" s="1"/>
  <c r="AP259" i="23083"/>
  <c r="AP256" i="23083"/>
  <c r="AP254" i="23083"/>
  <c r="AP260" i="23083" s="1"/>
  <c r="AP228" i="23083"/>
  <c r="AP218" i="23083"/>
  <c r="E7" i="23120" s="1"/>
  <c r="AP215" i="23083"/>
  <c r="AP196" i="23083"/>
  <c r="AP191" i="23083"/>
  <c r="AP186" i="23083"/>
  <c r="AO184" i="23083"/>
  <c r="AO182" i="23083"/>
  <c r="AP177" i="23083"/>
  <c r="AO177" i="23083" s="1"/>
  <c r="AO176" i="23083"/>
  <c r="AO175" i="23083"/>
  <c r="AO174" i="23083"/>
  <c r="AO173" i="23083"/>
  <c r="AO172" i="23083"/>
  <c r="AO168" i="23083"/>
  <c r="AO167" i="23083"/>
  <c r="AO166" i="23083"/>
  <c r="AO165" i="23083"/>
  <c r="AO164" i="23083"/>
  <c r="AO163" i="23083"/>
  <c r="AO156" i="23083"/>
  <c r="AO155" i="23083"/>
  <c r="AO147" i="23083"/>
  <c r="AO143" i="23083"/>
  <c r="AP142" i="23083"/>
  <c r="AO142" i="23083" s="1"/>
  <c r="AO141" i="23083"/>
  <c r="AO140" i="23083"/>
  <c r="AO139" i="23083"/>
  <c r="AO134" i="23083"/>
  <c r="AO132" i="23083"/>
  <c r="AO130" i="23083"/>
  <c r="AO123" i="23083"/>
  <c r="AO122" i="23083"/>
  <c r="AP114" i="23083"/>
  <c r="AO105" i="23083"/>
  <c r="AO102" i="23083"/>
  <c r="AO101" i="23083"/>
  <c r="AO215" i="23083" s="1"/>
  <c r="AP96" i="23083"/>
  <c r="AP213" i="23083" s="1"/>
  <c r="AP76" i="23083"/>
  <c r="AP75" i="23083"/>
  <c r="AO68" i="23083"/>
  <c r="AP67" i="23083"/>
  <c r="AP34" i="23083"/>
  <c r="AP37" i="23083" s="1"/>
  <c r="AO33" i="23083"/>
  <c r="AO32" i="23083"/>
  <c r="AO31" i="23083"/>
  <c r="AP29" i="23083"/>
  <c r="AO18" i="23083"/>
  <c r="AO17" i="23083"/>
  <c r="AP13" i="23083"/>
  <c r="AP20" i="23083" s="1"/>
  <c r="AP19" i="23083" s="1"/>
  <c r="AH98" i="23086"/>
  <c r="AH105" i="23086" s="1"/>
  <c r="AG97" i="23086"/>
  <c r="AG96" i="23086"/>
  <c r="AG95" i="23086"/>
  <c r="AG94" i="23086"/>
  <c r="AH83" i="23086"/>
  <c r="AG82" i="23086"/>
  <c r="AO13" i="23083" s="1"/>
  <c r="AH80" i="23086"/>
  <c r="AH81" i="23086" s="1"/>
  <c r="AH69" i="23086"/>
  <c r="AH70" i="23086" s="1"/>
  <c r="AG68" i="23086"/>
  <c r="AG80" i="23086" s="1"/>
  <c r="AH66" i="23086"/>
  <c r="AH76" i="23086" s="1"/>
  <c r="AH65" i="23086"/>
  <c r="AH75" i="23086" s="1"/>
  <c r="AH64" i="23086"/>
  <c r="AP5" i="23083" s="1"/>
  <c r="AH60" i="23086"/>
  <c r="AH59" i="23086"/>
  <c r="AG58" i="23086"/>
  <c r="AG60" i="23086" s="1"/>
  <c r="AH54" i="23086"/>
  <c r="AH53" i="23086"/>
  <c r="AH48" i="23086"/>
  <c r="AH47" i="23086"/>
  <c r="AG46" i="23086"/>
  <c r="AG48" i="23086" s="1"/>
  <c r="AH42" i="23086"/>
  <c r="AH41" i="23086"/>
  <c r="AH36" i="23086"/>
  <c r="AH35" i="23086"/>
  <c r="AG34" i="23086"/>
  <c r="AG36" i="23086" s="1"/>
  <c r="AH30" i="23086"/>
  <c r="AH29" i="23086"/>
  <c r="AH21" i="23086"/>
  <c r="AH22" i="23086" s="1"/>
  <c r="AH15" i="23086"/>
  <c r="AH13" i="23086" s="1"/>
  <c r="AH11" i="23086"/>
  <c r="AH10" i="23086"/>
  <c r="AH7" i="23086"/>
  <c r="AH6" i="23086"/>
  <c r="AG5" i="23086"/>
  <c r="AP6" i="23083" l="1"/>
  <c r="AP305" i="23083"/>
  <c r="AP44" i="23083"/>
  <c r="AO305" i="23083"/>
  <c r="AG10" i="23086"/>
  <c r="AG7" i="23086"/>
  <c r="AP317" i="23083"/>
  <c r="AP319" i="23083" s="1"/>
  <c r="AP241" i="23083"/>
  <c r="AP7" i="23083"/>
  <c r="AG83" i="23086"/>
  <c r="AP99" i="23083"/>
  <c r="AP210" i="23083" s="1"/>
  <c r="AP221" i="23083"/>
  <c r="AP179" i="23083"/>
  <c r="AO179" i="23083" s="1"/>
  <c r="AP103" i="23083"/>
  <c r="AP226" i="23083" s="1"/>
  <c r="AP304" i="23083"/>
  <c r="AO186" i="23083"/>
  <c r="AP247" i="23083"/>
  <c r="AO315" i="23083"/>
  <c r="AO317" i="23083" s="1"/>
  <c r="AP116" i="23083"/>
  <c r="AO136" i="23083"/>
  <c r="AO196" i="23083"/>
  <c r="AO218" i="23083"/>
  <c r="AP220" i="23083"/>
  <c r="AO34" i="23083"/>
  <c r="AO183" i="23083"/>
  <c r="AP222" i="23083"/>
  <c r="AP291" i="23083"/>
  <c r="AO324" i="23083"/>
  <c r="AO326" i="23083" s="1"/>
  <c r="AP219" i="23083"/>
  <c r="AG98" i="23086"/>
  <c r="AG105" i="23086" s="1"/>
  <c r="AH99" i="23086"/>
  <c r="AH101" i="23086"/>
  <c r="AH103" i="23086"/>
  <c r="AH104" i="23086"/>
  <c r="AG81" i="23086"/>
  <c r="AG66" i="23086"/>
  <c r="AG65" i="23086"/>
  <c r="AH67" i="23086"/>
  <c r="AP8" i="23083" s="1"/>
  <c r="AG64" i="23086"/>
  <c r="AH74" i="23086"/>
  <c r="AH8" i="23086"/>
  <c r="AH45" i="23086" s="1"/>
  <c r="AH16" i="23086"/>
  <c r="AG70" i="23086"/>
  <c r="AH102" i="23086"/>
  <c r="D317" i="23148"/>
  <c r="D319" i="23148"/>
  <c r="D320" i="23148"/>
  <c r="D337" i="23148"/>
  <c r="D338" i="23148"/>
  <c r="D339" i="23148"/>
  <c r="D340" i="23148"/>
  <c r="D341" i="23148"/>
  <c r="D342" i="23148"/>
  <c r="D343" i="23148"/>
  <c r="D344" i="23148"/>
  <c r="D345" i="23148"/>
  <c r="D346" i="23148"/>
  <c r="D347" i="23148"/>
  <c r="D348" i="23148"/>
  <c r="D349" i="23148"/>
  <c r="D350" i="23148"/>
  <c r="D351" i="23148"/>
  <c r="D352" i="23148"/>
  <c r="D359" i="23148"/>
  <c r="D360" i="23148"/>
  <c r="D361" i="23148"/>
  <c r="D362" i="23148"/>
  <c r="D363" i="23148"/>
  <c r="D364" i="23148"/>
  <c r="D365" i="23148"/>
  <c r="D366" i="23148"/>
  <c r="D367" i="23148"/>
  <c r="D368" i="23148"/>
  <c r="D369" i="23148"/>
  <c r="D370" i="23148"/>
  <c r="D375" i="23148"/>
  <c r="D376" i="23148"/>
  <c r="D377" i="23148"/>
  <c r="D378" i="23148"/>
  <c r="D379" i="23148"/>
  <c r="D380" i="23148"/>
  <c r="D381" i="23148"/>
  <c r="D382" i="23148"/>
  <c r="D383" i="23148"/>
  <c r="D384" i="23148"/>
  <c r="D385" i="23148"/>
  <c r="D386" i="23148"/>
  <c r="D387" i="23148"/>
  <c r="D393" i="23148"/>
  <c r="D394" i="23148"/>
  <c r="D395" i="23148"/>
  <c r="D396" i="23148"/>
  <c r="D397" i="23148"/>
  <c r="D398" i="23148"/>
  <c r="D399" i="23148"/>
  <c r="D400" i="23148"/>
  <c r="D401" i="23148"/>
  <c r="D402" i="23148"/>
  <c r="D403" i="23148"/>
  <c r="D404" i="23148"/>
  <c r="D405" i="23148"/>
  <c r="D406" i="23148"/>
  <c r="D407" i="23148"/>
  <c r="D408" i="23148"/>
  <c r="D409" i="23148"/>
  <c r="D410" i="23148"/>
  <c r="D413" i="23148"/>
  <c r="D417" i="23148"/>
  <c r="D431" i="23148"/>
  <c r="D433" i="23148"/>
  <c r="D435" i="23148"/>
  <c r="D436" i="23148"/>
  <c r="D438" i="23148"/>
  <c r="D440" i="23148"/>
  <c r="D442" i="23148"/>
  <c r="D448" i="23148"/>
  <c r="D451" i="23148"/>
  <c r="D452" i="23148"/>
  <c r="D14" i="23148"/>
  <c r="D15" i="23148"/>
  <c r="D16" i="23148"/>
  <c r="D17" i="23148"/>
  <c r="D18" i="23148"/>
  <c r="D19" i="23148"/>
  <c r="D20" i="23148"/>
  <c r="D21" i="23148"/>
  <c r="D22" i="23148"/>
  <c r="D23" i="23148"/>
  <c r="D24" i="23148"/>
  <c r="D25" i="23148"/>
  <c r="D26" i="23148"/>
  <c r="D27" i="23148"/>
  <c r="D28" i="23148"/>
  <c r="D29" i="23148"/>
  <c r="D30" i="23148"/>
  <c r="D31" i="23148"/>
  <c r="D32" i="23148"/>
  <c r="D33" i="23148"/>
  <c r="D35" i="23148"/>
  <c r="D36" i="23148"/>
  <c r="D37" i="23148"/>
  <c r="D38" i="23148"/>
  <c r="D39" i="23148"/>
  <c r="D40" i="23148"/>
  <c r="D41" i="23148"/>
  <c r="D42" i="23148"/>
  <c r="D43" i="23148"/>
  <c r="D44" i="23148"/>
  <c r="D45" i="23148"/>
  <c r="D46" i="23148"/>
  <c r="D47" i="23148"/>
  <c r="D48" i="23148"/>
  <c r="D49" i="23148"/>
  <c r="D50" i="23148"/>
  <c r="D51" i="23148"/>
  <c r="D52" i="23148"/>
  <c r="D53" i="23148"/>
  <c r="D54" i="23148"/>
  <c r="D55" i="23148"/>
  <c r="D56" i="23148"/>
  <c r="D57" i="23148"/>
  <c r="D58" i="23148"/>
  <c r="D60" i="23148"/>
  <c r="D61" i="23148"/>
  <c r="D62" i="23148"/>
  <c r="D63" i="23148"/>
  <c r="D64" i="23148"/>
  <c r="D65" i="23148"/>
  <c r="D66" i="23148"/>
  <c r="D67" i="23148"/>
  <c r="D68" i="23148"/>
  <c r="D69" i="23148"/>
  <c r="D70" i="23148"/>
  <c r="D73" i="23148"/>
  <c r="D74" i="23148"/>
  <c r="D75" i="23148"/>
  <c r="D76" i="23148"/>
  <c r="D77" i="23148"/>
  <c r="D78" i="23148"/>
  <c r="D79" i="23148"/>
  <c r="D80" i="23148"/>
  <c r="D81" i="23148"/>
  <c r="D82" i="23148"/>
  <c r="D83" i="23148"/>
  <c r="D84" i="23148"/>
  <c r="D85" i="23148"/>
  <c r="D86" i="23148"/>
  <c r="D87" i="23148"/>
  <c r="D88" i="23148"/>
  <c r="D89" i="23148"/>
  <c r="D90" i="23148"/>
  <c r="D91" i="23148"/>
  <c r="D92" i="23148"/>
  <c r="D93" i="23148"/>
  <c r="D94" i="23148"/>
  <c r="D95" i="23148"/>
  <c r="D96" i="23148"/>
  <c r="D97" i="23148"/>
  <c r="D98" i="23148"/>
  <c r="D99" i="23148"/>
  <c r="D100" i="23148"/>
  <c r="D101" i="23148"/>
  <c r="D102" i="23148"/>
  <c r="D103" i="23148"/>
  <c r="D104" i="23148"/>
  <c r="D106" i="23148"/>
  <c r="D107" i="23148"/>
  <c r="D108" i="23148"/>
  <c r="D109" i="23148"/>
  <c r="D110" i="23148"/>
  <c r="D111" i="23148"/>
  <c r="D112" i="23148"/>
  <c r="D113" i="23148"/>
  <c r="D114" i="23148"/>
  <c r="D115" i="23148"/>
  <c r="D116" i="23148"/>
  <c r="D117" i="23148"/>
  <c r="D118" i="23148"/>
  <c r="D119" i="23148"/>
  <c r="D120" i="23148"/>
  <c r="D121" i="23148"/>
  <c r="D122" i="23148"/>
  <c r="D123" i="23148"/>
  <c r="D124" i="23148"/>
  <c r="D125" i="23148"/>
  <c r="D126" i="23148"/>
  <c r="D127" i="23148"/>
  <c r="D128" i="23148"/>
  <c r="D129" i="23148"/>
  <c r="D130" i="23148"/>
  <c r="D131" i="23148"/>
  <c r="D132" i="23148"/>
  <c r="D133" i="23148"/>
  <c r="D134" i="23148"/>
  <c r="D135" i="23148"/>
  <c r="D136" i="23148"/>
  <c r="D137" i="23148"/>
  <c r="D138" i="23148"/>
  <c r="D144" i="23148"/>
  <c r="D145" i="23148"/>
  <c r="D146" i="23148"/>
  <c r="D147" i="23148"/>
  <c r="D148" i="23148"/>
  <c r="D150" i="23148"/>
  <c r="D151" i="23148"/>
  <c r="D152" i="23148"/>
  <c r="D153" i="23148"/>
  <c r="D154" i="23148"/>
  <c r="D156" i="23148"/>
  <c r="D157" i="23148"/>
  <c r="D159" i="23148"/>
  <c r="D160" i="23148"/>
  <c r="D161" i="23148"/>
  <c r="D162" i="23148"/>
  <c r="D163" i="23148"/>
  <c r="D164" i="23148"/>
  <c r="D165" i="23148"/>
  <c r="D166" i="23148"/>
  <c r="D167" i="23148"/>
  <c r="D168" i="23148"/>
  <c r="D169" i="23148"/>
  <c r="D170" i="23148"/>
  <c r="D171" i="23148"/>
  <c r="D172" i="23148"/>
  <c r="D173" i="23148"/>
  <c r="D174" i="23148"/>
  <c r="D175" i="23148"/>
  <c r="D176" i="23148"/>
  <c r="D178" i="23148"/>
  <c r="D179" i="23148"/>
  <c r="D180" i="23148"/>
  <c r="D181" i="23148"/>
  <c r="D182" i="23148"/>
  <c r="D183" i="23148"/>
  <c r="D184" i="23148"/>
  <c r="D185" i="23148"/>
  <c r="D186" i="23148"/>
  <c r="D187" i="23148"/>
  <c r="D188" i="23148"/>
  <c r="D189" i="23148"/>
  <c r="D190" i="23148"/>
  <c r="D191" i="23148"/>
  <c r="D193" i="23148"/>
  <c r="D194" i="23148"/>
  <c r="D195" i="23148"/>
  <c r="D196" i="23148"/>
  <c r="D197" i="23148"/>
  <c r="D198" i="23148"/>
  <c r="D199" i="23148"/>
  <c r="D200" i="23148"/>
  <c r="D201" i="23148"/>
  <c r="D202" i="23148"/>
  <c r="D203" i="23148"/>
  <c r="D207" i="23148"/>
  <c r="D208" i="23148"/>
  <c r="D209" i="23148"/>
  <c r="D210" i="23148"/>
  <c r="D213" i="23148"/>
  <c r="D214" i="23148"/>
  <c r="AG102" i="23086" l="1"/>
  <c r="AG99" i="23086"/>
  <c r="AP9" i="23083"/>
  <c r="AP38" i="23083" s="1"/>
  <c r="AP14" i="23083"/>
  <c r="AP93" i="23083"/>
  <c r="AP24" i="23083"/>
  <c r="AG103" i="23086"/>
  <c r="AG104" i="23086"/>
  <c r="AG74" i="23086"/>
  <c r="AO5" i="23083"/>
  <c r="AG101" i="23086"/>
  <c r="AG75" i="23086"/>
  <c r="AO6" i="23083"/>
  <c r="AP89" i="23083"/>
  <c r="AP233" i="23083"/>
  <c r="AP227" i="23083"/>
  <c r="AP232" i="23083"/>
  <c r="AP90" i="23083"/>
  <c r="AP12" i="23083"/>
  <c r="AP230" i="23083"/>
  <c r="AG76" i="23086"/>
  <c r="AO7" i="23083"/>
  <c r="AG67" i="23086"/>
  <c r="AO8" i="23083" s="1"/>
  <c r="AP225" i="23083"/>
  <c r="AP104" i="23083"/>
  <c r="AP126" i="23083" s="1"/>
  <c r="AO221" i="23083"/>
  <c r="AO220" i="23083"/>
  <c r="AO304" i="23083"/>
  <c r="AO247" i="23083"/>
  <c r="AP91" i="23083"/>
  <c r="AP307" i="23083"/>
  <c r="AP306" i="23083"/>
  <c r="AP308" i="23083" s="1"/>
  <c r="AO319" i="23083"/>
  <c r="AH57" i="23086"/>
  <c r="AH56" i="23086" s="1"/>
  <c r="AH33" i="23086"/>
  <c r="AH32" i="23086" s="1"/>
  <c r="AH44" i="23086"/>
  <c r="D14" i="23150"/>
  <c r="D15" i="23150"/>
  <c r="D16" i="23150"/>
  <c r="D17" i="23150"/>
  <c r="D18" i="23150"/>
  <c r="D19" i="23150"/>
  <c r="D20" i="23150"/>
  <c r="D21" i="23150"/>
  <c r="D22" i="23150"/>
  <c r="D23" i="23150"/>
  <c r="D24" i="23150"/>
  <c r="D25" i="23150"/>
  <c r="D26" i="23150"/>
  <c r="D27" i="23150"/>
  <c r="D28" i="23150"/>
  <c r="D29" i="23150"/>
  <c r="D30" i="23150"/>
  <c r="D31" i="23150"/>
  <c r="D32" i="23150"/>
  <c r="D33" i="23150"/>
  <c r="D35" i="23150"/>
  <c r="D36" i="23150"/>
  <c r="D37" i="23150"/>
  <c r="D38" i="23150"/>
  <c r="D39" i="23150"/>
  <c r="D40" i="23150"/>
  <c r="D41" i="23150"/>
  <c r="D42" i="23150"/>
  <c r="D43" i="23150"/>
  <c r="D44" i="23150"/>
  <c r="D45" i="23150"/>
  <c r="D46" i="23150"/>
  <c r="D47" i="23150"/>
  <c r="D48" i="23150"/>
  <c r="D49" i="23150"/>
  <c r="D50" i="23150"/>
  <c r="D51" i="23150"/>
  <c r="D52" i="23150"/>
  <c r="D53" i="23150"/>
  <c r="D54" i="23150"/>
  <c r="D55" i="23150"/>
  <c r="D56" i="23150"/>
  <c r="D57" i="23150"/>
  <c r="D58" i="23150"/>
  <c r="D60" i="23150"/>
  <c r="D61" i="23150"/>
  <c r="D62" i="23150"/>
  <c r="D63" i="23150"/>
  <c r="D64" i="23150"/>
  <c r="D65" i="23150"/>
  <c r="D66" i="23150"/>
  <c r="D67" i="23150"/>
  <c r="D68" i="23150"/>
  <c r="D69" i="23150"/>
  <c r="D70" i="23150"/>
  <c r="D73" i="23150"/>
  <c r="D74" i="23150"/>
  <c r="D75" i="23150"/>
  <c r="D76" i="23150"/>
  <c r="D77" i="23150"/>
  <c r="D78" i="23150"/>
  <c r="D79" i="23150"/>
  <c r="D80" i="23150"/>
  <c r="D81" i="23150"/>
  <c r="D82" i="23150"/>
  <c r="D83" i="23150"/>
  <c r="D84" i="23150"/>
  <c r="D85" i="23150"/>
  <c r="D86" i="23150"/>
  <c r="D87" i="23150"/>
  <c r="D88" i="23150"/>
  <c r="D89" i="23150"/>
  <c r="D90" i="23150"/>
  <c r="D91" i="23150"/>
  <c r="D92" i="23150"/>
  <c r="D93" i="23150"/>
  <c r="D94" i="23150"/>
  <c r="D95" i="23150"/>
  <c r="D96" i="23150"/>
  <c r="D97" i="23150"/>
  <c r="D98" i="23150"/>
  <c r="D99" i="23150"/>
  <c r="D100" i="23150"/>
  <c r="D101" i="23150"/>
  <c r="D102" i="23150"/>
  <c r="D103" i="23150"/>
  <c r="D104" i="23150"/>
  <c r="D106" i="23150"/>
  <c r="D107" i="23150"/>
  <c r="D108" i="23150"/>
  <c r="D109" i="23150"/>
  <c r="D110" i="23150"/>
  <c r="D111" i="23150"/>
  <c r="D112" i="23150"/>
  <c r="D113" i="23150"/>
  <c r="D114" i="23150"/>
  <c r="D115" i="23150"/>
  <c r="D116" i="23150"/>
  <c r="D117" i="23150"/>
  <c r="D118" i="23150"/>
  <c r="D119" i="23150"/>
  <c r="D120" i="23150"/>
  <c r="D121" i="23150"/>
  <c r="D122" i="23150"/>
  <c r="D123" i="23150"/>
  <c r="D124" i="23150"/>
  <c r="D125" i="23150"/>
  <c r="D126" i="23150"/>
  <c r="D127" i="23150"/>
  <c r="D128" i="23150"/>
  <c r="D129" i="23150"/>
  <c r="D130" i="23150"/>
  <c r="D131" i="23150"/>
  <c r="D132" i="23150"/>
  <c r="D133" i="23150"/>
  <c r="D134" i="23150"/>
  <c r="D135" i="23150"/>
  <c r="D136" i="23150"/>
  <c r="D137" i="23150"/>
  <c r="D138" i="23150"/>
  <c r="D144" i="23150"/>
  <c r="D145" i="23150"/>
  <c r="D146" i="23150"/>
  <c r="D147" i="23150"/>
  <c r="D148" i="23150"/>
  <c r="D150" i="23150"/>
  <c r="D151" i="23150"/>
  <c r="D152" i="23150"/>
  <c r="D153" i="23150"/>
  <c r="D154" i="23150"/>
  <c r="D156" i="23150"/>
  <c r="D157" i="23150"/>
  <c r="D159" i="23150"/>
  <c r="D160" i="23150"/>
  <c r="D161" i="23150"/>
  <c r="D162" i="23150"/>
  <c r="D163" i="23150"/>
  <c r="D164" i="23150"/>
  <c r="D165" i="23150"/>
  <c r="D166" i="23150"/>
  <c r="D167" i="23150"/>
  <c r="D168" i="23150"/>
  <c r="D169" i="23150"/>
  <c r="D170" i="23150"/>
  <c r="D171" i="23150"/>
  <c r="D172" i="23150"/>
  <c r="D173" i="23150"/>
  <c r="D174" i="23150"/>
  <c r="D175" i="23150"/>
  <c r="D176" i="23150"/>
  <c r="D178" i="23150"/>
  <c r="D179" i="23150"/>
  <c r="D180" i="23150"/>
  <c r="D181" i="23150"/>
  <c r="D182" i="23150"/>
  <c r="D183" i="23150"/>
  <c r="D184" i="23150"/>
  <c r="D185" i="23150"/>
  <c r="D186" i="23150"/>
  <c r="D187" i="23150"/>
  <c r="D188" i="23150"/>
  <c r="D189" i="23150"/>
  <c r="D190" i="23150"/>
  <c r="D191" i="23150"/>
  <c r="D193" i="23150"/>
  <c r="D194" i="23150"/>
  <c r="D195" i="23150"/>
  <c r="D196" i="23150"/>
  <c r="D197" i="23150"/>
  <c r="D198" i="23150"/>
  <c r="D199" i="23150"/>
  <c r="D200" i="23150"/>
  <c r="D201" i="23150"/>
  <c r="D202" i="23150"/>
  <c r="D203" i="23150"/>
  <c r="D207" i="23150"/>
  <c r="D208" i="23150"/>
  <c r="D209" i="23150"/>
  <c r="D210" i="23150"/>
  <c r="D213" i="23150"/>
  <c r="D214" i="23150"/>
  <c r="D317" i="23150"/>
  <c r="D319" i="23150"/>
  <c r="D320" i="23150"/>
  <c r="D337" i="23150"/>
  <c r="D338" i="23150"/>
  <c r="D339" i="23150"/>
  <c r="D340" i="23150"/>
  <c r="D341" i="23150"/>
  <c r="D342" i="23150"/>
  <c r="D343" i="23150"/>
  <c r="D344" i="23150"/>
  <c r="D345" i="23150"/>
  <c r="D346" i="23150"/>
  <c r="D347" i="23150"/>
  <c r="D348" i="23150"/>
  <c r="D349" i="23150"/>
  <c r="D350" i="23150"/>
  <c r="D351" i="23150"/>
  <c r="D352" i="23150"/>
  <c r="D359" i="23150"/>
  <c r="D360" i="23150"/>
  <c r="D361" i="23150"/>
  <c r="D362" i="23150"/>
  <c r="D363" i="23150"/>
  <c r="D364" i="23150"/>
  <c r="D365" i="23150"/>
  <c r="D366" i="23150"/>
  <c r="D367" i="23150"/>
  <c r="D368" i="23150"/>
  <c r="D369" i="23150"/>
  <c r="D370" i="23150"/>
  <c r="D375" i="23150"/>
  <c r="D376" i="23150"/>
  <c r="D377" i="23150"/>
  <c r="D378" i="23150"/>
  <c r="D379" i="23150"/>
  <c r="D380" i="23150"/>
  <c r="D381" i="23150"/>
  <c r="D382" i="23150"/>
  <c r="D383" i="23150"/>
  <c r="D384" i="23150"/>
  <c r="D385" i="23150"/>
  <c r="D386" i="23150"/>
  <c r="D387" i="23150"/>
  <c r="D393" i="23150"/>
  <c r="D394" i="23150"/>
  <c r="D395" i="23150"/>
  <c r="D396" i="23150"/>
  <c r="D397" i="23150"/>
  <c r="D398" i="23150"/>
  <c r="D399" i="23150"/>
  <c r="D400" i="23150"/>
  <c r="D401" i="23150"/>
  <c r="D402" i="23150"/>
  <c r="D403" i="23150"/>
  <c r="D404" i="23150"/>
  <c r="D405" i="23150"/>
  <c r="D406" i="23150"/>
  <c r="D407" i="23150"/>
  <c r="D408" i="23150"/>
  <c r="D409" i="23150"/>
  <c r="D410" i="23150"/>
  <c r="D413" i="23150"/>
  <c r="D417" i="23150"/>
  <c r="D431" i="23150"/>
  <c r="D433" i="23150"/>
  <c r="D435" i="23150"/>
  <c r="D436" i="23150"/>
  <c r="D438" i="23150"/>
  <c r="D440" i="23150"/>
  <c r="D442" i="23150"/>
  <c r="D448" i="23150"/>
  <c r="D451" i="23150"/>
  <c r="D452" i="23150"/>
  <c r="AN41" i="23083"/>
  <c r="AO41" i="23083" s="1"/>
  <c r="AO43" i="23083" s="1"/>
  <c r="AN108" i="23083"/>
  <c r="AN120" i="23083"/>
  <c r="AN117" i="23083"/>
  <c r="AN100" i="23083"/>
  <c r="AN114" i="23083"/>
  <c r="AK100" i="23083"/>
  <c r="AN228" i="23083"/>
  <c r="AN218" i="23083"/>
  <c r="AN157" i="23083"/>
  <c r="AN177" i="23083"/>
  <c r="AN169" i="23083"/>
  <c r="AN154" i="23083"/>
  <c r="AN153" i="23083"/>
  <c r="AN142" i="23083"/>
  <c r="AN135" i="23083"/>
  <c r="AN191" i="23083"/>
  <c r="AN186" i="23083"/>
  <c r="AN68" i="23083"/>
  <c r="AN76" i="23083"/>
  <c r="AN85" i="23083"/>
  <c r="AN82" i="23083"/>
  <c r="AN75" i="23083"/>
  <c r="AN63" i="23083"/>
  <c r="AN60" i="23083"/>
  <c r="AK51" i="23083"/>
  <c r="AN51" i="23083"/>
  <c r="AN34" i="23083"/>
  <c r="AN37" i="23083" s="1"/>
  <c r="AK23" i="23083"/>
  <c r="AN79" i="23083" s="1"/>
  <c r="AP231" i="23083" l="1"/>
  <c r="AP322" i="23083"/>
  <c r="AP45" i="23083"/>
  <c r="AP28" i="23083"/>
  <c r="AP321" i="23083"/>
  <c r="AO117" i="23083"/>
  <c r="AN110" i="23083"/>
  <c r="AO110" i="23083" s="1"/>
  <c r="AO108" i="23083"/>
  <c r="AN96" i="23083"/>
  <c r="AP106" i="23083"/>
  <c r="AP121" i="23083" s="1"/>
  <c r="AO120" i="23083"/>
  <c r="AO114" i="23083"/>
  <c r="AN99" i="23083"/>
  <c r="AO99" i="23083" s="1"/>
  <c r="AO100" i="23083"/>
  <c r="AO135" i="23083"/>
  <c r="AP293" i="23083"/>
  <c r="AO9" i="23083"/>
  <c r="AO321" i="23083" s="1"/>
  <c r="AO306" i="23083"/>
  <c r="AP86" i="23083"/>
  <c r="AP223" i="23083"/>
  <c r="AN222" i="23083"/>
  <c r="AN80" i="23083"/>
  <c r="AN44" i="23083"/>
  <c r="AN136" i="23083"/>
  <c r="AN221" i="23083"/>
  <c r="AN219" i="23083"/>
  <c r="AN220" i="23083"/>
  <c r="AN179" i="23083"/>
  <c r="AO12" i="23083" l="1"/>
  <c r="AO227" i="23083"/>
  <c r="AN116" i="23083"/>
  <c r="AO116" i="23083" s="1"/>
  <c r="AO90" i="23083"/>
  <c r="AO14" i="23083"/>
  <c r="AO89" i="23083"/>
  <c r="AO322" i="23083"/>
  <c r="AO222" i="23083"/>
  <c r="AP124" i="23083"/>
  <c r="AF98" i="23086" l="1"/>
  <c r="AF105" i="23086" s="1"/>
  <c r="AF83" i="23086"/>
  <c r="AF80" i="23086"/>
  <c r="AF81" i="23086" s="1"/>
  <c r="AF69" i="23086"/>
  <c r="AF66" i="23086"/>
  <c r="AF65" i="23086"/>
  <c r="AF64" i="23086"/>
  <c r="AF59" i="23086"/>
  <c r="AF47" i="23086"/>
  <c r="AF35" i="23086"/>
  <c r="AF11" i="23086"/>
  <c r="AF6" i="23086"/>
  <c r="AF67" i="23086" l="1"/>
  <c r="AF102" i="23086"/>
  <c r="AF99" i="23086"/>
  <c r="AF101" i="23086"/>
  <c r="AF103" i="23086"/>
  <c r="AF104" i="23086"/>
  <c r="AQ271" i="23083" l="1"/>
  <c r="AR146" i="23083"/>
  <c r="AR122" i="23083"/>
  <c r="AQ114" i="23083"/>
  <c r="AQ110" i="23083"/>
  <c r="AR98" i="23083"/>
  <c r="AR56" i="23083"/>
  <c r="AR47" i="23083"/>
  <c r="AQ34" i="23083"/>
  <c r="AR33" i="23083"/>
  <c r="AR32" i="23083"/>
  <c r="AR31" i="23083"/>
  <c r="AR8" i="23083"/>
  <c r="AQ8" i="23083"/>
  <c r="AR34" i="23083" l="1"/>
  <c r="AQ116" i="23083"/>
  <c r="AK44" i="23083" l="1"/>
  <c r="AM324" i="23083" l="1"/>
  <c r="AK324" i="23083"/>
  <c r="AK326" i="23083" s="1"/>
  <c r="AJ324" i="23083"/>
  <c r="AH324" i="23083"/>
  <c r="AG324" i="23083"/>
  <c r="AE324" i="23083"/>
  <c r="AD324" i="23083"/>
  <c r="AB324" i="23083"/>
  <c r="AA324" i="23083"/>
  <c r="Y324" i="23083"/>
  <c r="X324" i="23083"/>
  <c r="V324" i="23083"/>
  <c r="U324" i="23083"/>
  <c r="S324" i="23083"/>
  <c r="R324" i="23083"/>
  <c r="P324" i="23083"/>
  <c r="O324" i="23083"/>
  <c r="M324" i="23083"/>
  <c r="L324" i="23083"/>
  <c r="AK60" i="23083"/>
  <c r="AH60" i="23083"/>
  <c r="AG60" i="23083"/>
  <c r="AE60" i="23083"/>
  <c r="AD60" i="23083"/>
  <c r="AB60" i="23083"/>
  <c r="AA60" i="23083"/>
  <c r="Y60" i="23083"/>
  <c r="X60" i="23083"/>
  <c r="V60" i="23083"/>
  <c r="U60" i="23083"/>
  <c r="S60" i="23083"/>
  <c r="R60" i="23083"/>
  <c r="P60" i="23083"/>
  <c r="O60" i="23083"/>
  <c r="M60" i="23083"/>
  <c r="L60" i="23083"/>
  <c r="AM325" i="23083"/>
  <c r="AL325" i="23083"/>
  <c r="AJ325" i="23083"/>
  <c r="AI325" i="23083"/>
  <c r="AH325" i="23083"/>
  <c r="AG325" i="23083"/>
  <c r="AF325" i="23083"/>
  <c r="AE325" i="23083"/>
  <c r="AD325" i="23083"/>
  <c r="AC325" i="23083"/>
  <c r="AB325" i="23083"/>
  <c r="AA325" i="23083"/>
  <c r="Z325" i="23083"/>
  <c r="Y325" i="23083"/>
  <c r="X325" i="23083"/>
  <c r="W325" i="23083"/>
  <c r="V325" i="23083"/>
  <c r="U325" i="23083"/>
  <c r="T325" i="23083"/>
  <c r="S325" i="23083"/>
  <c r="R325" i="23083"/>
  <c r="Q325" i="23083"/>
  <c r="P325" i="23083"/>
  <c r="O325" i="23083"/>
  <c r="N325" i="23083"/>
  <c r="M325" i="23083"/>
  <c r="L325" i="23083"/>
  <c r="K325" i="23083"/>
  <c r="K324" i="23083"/>
  <c r="AP25" i="23083" l="1"/>
  <c r="AP79" i="23083"/>
  <c r="S326" i="23083"/>
  <c r="AH326" i="23083"/>
  <c r="Y326" i="23083"/>
  <c r="AE326" i="23083"/>
  <c r="AB326" i="23083"/>
  <c r="K326" i="23083"/>
  <c r="V326" i="23083"/>
  <c r="U326" i="23083"/>
  <c r="AG326" i="23083"/>
  <c r="O326" i="23083"/>
  <c r="AA326" i="23083"/>
  <c r="AM326" i="23083"/>
  <c r="L326" i="23083"/>
  <c r="R326" i="23083"/>
  <c r="AD326" i="23083"/>
  <c r="AJ326" i="23083"/>
  <c r="AK96" i="23083" l="1"/>
  <c r="AJ96" i="23083"/>
  <c r="AH96" i="23083"/>
  <c r="AG96" i="23083"/>
  <c r="AE96" i="23083"/>
  <c r="AD96" i="23083"/>
  <c r="AB96" i="23083"/>
  <c r="AA96" i="23083"/>
  <c r="Y96" i="23083"/>
  <c r="V96" i="23083"/>
  <c r="U96" i="23083"/>
  <c r="S96" i="23083"/>
  <c r="R96" i="23083"/>
  <c r="O96" i="23083"/>
  <c r="L96" i="23083"/>
  <c r="AM96" i="23083"/>
  <c r="N50" i="23083"/>
  <c r="N49" i="23083"/>
  <c r="N48" i="23083"/>
  <c r="N47" i="23083"/>
  <c r="Q50" i="23083"/>
  <c r="Q49" i="23083"/>
  <c r="Q48" i="23083"/>
  <c r="Q47" i="23083"/>
  <c r="T50" i="23083"/>
  <c r="T49" i="23083"/>
  <c r="T48" i="23083"/>
  <c r="T47" i="23083"/>
  <c r="W50" i="23083"/>
  <c r="W49" i="23083"/>
  <c r="W48" i="23083"/>
  <c r="W47" i="23083"/>
  <c r="Z50" i="23083"/>
  <c r="Z49" i="23083"/>
  <c r="Z48" i="23083"/>
  <c r="Z47" i="23083"/>
  <c r="AC50" i="23083"/>
  <c r="AC49" i="23083"/>
  <c r="AC48" i="23083"/>
  <c r="AC47" i="23083"/>
  <c r="AL50" i="23083"/>
  <c r="AL47" i="23083"/>
  <c r="AI50" i="23083"/>
  <c r="AI47" i="23083"/>
  <c r="AF50" i="23083"/>
  <c r="AF49" i="23083"/>
  <c r="AF48" i="23083"/>
  <c r="T27" i="23083"/>
  <c r="Z27" i="23083"/>
  <c r="Z96" i="23083" s="1"/>
  <c r="AC27" i="23083"/>
  <c r="AF27" i="23083"/>
  <c r="AF96" i="23083" s="1"/>
  <c r="AI27" i="23083"/>
  <c r="AL27" i="23083"/>
  <c r="AJ23" i="23083"/>
  <c r="AH23" i="23083"/>
  <c r="AG23" i="23083"/>
  <c r="AE23" i="23083"/>
  <c r="AD23" i="23083"/>
  <c r="AB23" i="23083"/>
  <c r="AA23" i="23083"/>
  <c r="Y23" i="23083"/>
  <c r="V23" i="23083"/>
  <c r="U23" i="23083"/>
  <c r="S23" i="23083"/>
  <c r="R23" i="23083"/>
  <c r="O23" i="23083"/>
  <c r="L23" i="23083"/>
  <c r="AM29" i="23083"/>
  <c r="AK29" i="23083"/>
  <c r="AJ29" i="23083"/>
  <c r="AH29" i="23083"/>
  <c r="AG29" i="23083"/>
  <c r="AE29" i="23083"/>
  <c r="AD29" i="23083"/>
  <c r="AB29" i="23083"/>
  <c r="Y29" i="23083"/>
  <c r="V29" i="23083"/>
  <c r="U29" i="23083"/>
  <c r="R29" i="23083"/>
  <c r="O29" i="23083"/>
  <c r="AM256" i="23083"/>
  <c r="AM228" i="23083"/>
  <c r="AK228" i="23083"/>
  <c r="AK222" i="23083"/>
  <c r="AM218" i="23083"/>
  <c r="AP202" i="23083" s="1"/>
  <c r="AK218" i="23083"/>
  <c r="AN202" i="23083" s="1"/>
  <c r="AK157" i="23083"/>
  <c r="AK147" i="23083"/>
  <c r="AK135" i="23083"/>
  <c r="AM157" i="23083"/>
  <c r="AM150" i="23083"/>
  <c r="AM142" i="23083"/>
  <c r="AM135" i="23083"/>
  <c r="AL123" i="23083"/>
  <c r="AM117" i="23083"/>
  <c r="AM108" i="23083"/>
  <c r="AL108" i="23083" s="1"/>
  <c r="AM316" i="23083"/>
  <c r="AM315" i="23083"/>
  <c r="AM313" i="23083"/>
  <c r="AL312" i="23083"/>
  <c r="AL311" i="23083"/>
  <c r="AL316" i="23083" s="1"/>
  <c r="AM100" i="23083"/>
  <c r="AM76" i="23083"/>
  <c r="AM75" i="23083"/>
  <c r="AM67" i="23083"/>
  <c r="AM49" i="23083"/>
  <c r="AM48" i="23083"/>
  <c r="AM41" i="23083"/>
  <c r="AM8" i="23086"/>
  <c r="AK57" i="23086"/>
  <c r="AI57" i="23086" s="1"/>
  <c r="AJ57" i="23086" s="1"/>
  <c r="AI45" i="23086"/>
  <c r="AJ45" i="23086" s="1"/>
  <c r="AK33" i="23086"/>
  <c r="AI33" i="23086" s="1"/>
  <c r="AJ33" i="23086" s="1"/>
  <c r="AE21" i="23086"/>
  <c r="AE22" i="23086" s="1"/>
  <c r="AB21" i="23086"/>
  <c r="AB22" i="23086" s="1"/>
  <c r="Y21" i="23086"/>
  <c r="Y22" i="23086" s="1"/>
  <c r="V21" i="23086"/>
  <c r="V22" i="23086" s="1"/>
  <c r="S21" i="23086"/>
  <c r="S22" i="23086" s="1"/>
  <c r="P21" i="23086"/>
  <c r="P22" i="23086" s="1"/>
  <c r="M21" i="23086"/>
  <c r="M22" i="23086" s="1"/>
  <c r="AD97" i="23086"/>
  <c r="AD96" i="23086"/>
  <c r="AD95" i="23086"/>
  <c r="AD94" i="23086"/>
  <c r="AE98" i="23086"/>
  <c r="AE105" i="23086" s="1"/>
  <c r="AD82" i="23086"/>
  <c r="AE80" i="23086"/>
  <c r="AE81" i="23086" s="1"/>
  <c r="AD68" i="23086"/>
  <c r="AG69" i="23086" s="1"/>
  <c r="AD58" i="23086"/>
  <c r="AG59" i="23086" s="1"/>
  <c r="AD46" i="23086"/>
  <c r="AG47" i="23086" s="1"/>
  <c r="AM54" i="23086"/>
  <c r="AE54" i="23086"/>
  <c r="AE53" i="23086"/>
  <c r="AM42" i="23086"/>
  <c r="AE42" i="23086"/>
  <c r="AE41" i="23086"/>
  <c r="AE36" i="23086"/>
  <c r="AE35" i="23086"/>
  <c r="AD34" i="23086"/>
  <c r="AG35" i="23086" s="1"/>
  <c r="AM30" i="23086"/>
  <c r="AD5" i="23086"/>
  <c r="AG6" i="23086" s="1"/>
  <c r="AN229" i="23083" l="1"/>
  <c r="AN97" i="23083" s="1"/>
  <c r="AP229" i="23083"/>
  <c r="AP97" i="23083" s="1"/>
  <c r="AG11" i="23086"/>
  <c r="AD7" i="23086"/>
  <c r="AF10" i="23086"/>
  <c r="AF7" i="23086"/>
  <c r="AD36" i="23086"/>
  <c r="AF36" i="23086"/>
  <c r="AD48" i="23086"/>
  <c r="AF48" i="23086"/>
  <c r="AD60" i="23086"/>
  <c r="AF60" i="23086"/>
  <c r="AD70" i="23086"/>
  <c r="AF70" i="23086"/>
  <c r="AM222" i="23083"/>
  <c r="AM85" i="23083"/>
  <c r="AM99" i="23083"/>
  <c r="AL142" i="23083"/>
  <c r="AK150" i="23083"/>
  <c r="AN98" i="23083"/>
  <c r="AO98" i="23083" s="1"/>
  <c r="AH44" i="23083"/>
  <c r="AL48" i="23083"/>
  <c r="AL57" i="23086"/>
  <c r="AM57" i="23086" s="1"/>
  <c r="AL33" i="23086"/>
  <c r="AM33" i="23086" s="1"/>
  <c r="AI14" i="23086"/>
  <c r="AK56" i="23086"/>
  <c r="AI56" i="23086" s="1"/>
  <c r="AL45" i="23086"/>
  <c r="AM45" i="23086" s="1"/>
  <c r="T96" i="23083"/>
  <c r="AL96" i="23083"/>
  <c r="AM79" i="23083"/>
  <c r="AC96" i="23083"/>
  <c r="AI96" i="23083"/>
  <c r="AL49" i="23083"/>
  <c r="AL41" i="23083"/>
  <c r="AM44" i="23083"/>
  <c r="AM317" i="23083"/>
  <c r="AM319" i="23083" s="1"/>
  <c r="AM219" i="23083"/>
  <c r="AK219" i="23083"/>
  <c r="AK14" i="23086"/>
  <c r="AD98" i="23086"/>
  <c r="AD104" i="23086" s="1"/>
  <c r="AD66" i="23086"/>
  <c r="AD80" i="23086"/>
  <c r="AD81" i="23086" s="1"/>
  <c r="AD64" i="23086"/>
  <c r="AD83" i="23086"/>
  <c r="AD65" i="23086"/>
  <c r="AE103" i="23086"/>
  <c r="AE99" i="23086"/>
  <c r="AE101" i="23086"/>
  <c r="AE102" i="23086"/>
  <c r="AE104" i="23086"/>
  <c r="AK52" i="23086"/>
  <c r="AK40" i="23086"/>
  <c r="AD10" i="23086"/>
  <c r="AE7" i="23086"/>
  <c r="AE6" i="23086"/>
  <c r="AJ52" i="23086" l="1"/>
  <c r="AJ40" i="23086"/>
  <c r="AO97" i="23083"/>
  <c r="AP212" i="23083"/>
  <c r="AP214" i="23083" s="1"/>
  <c r="AM14" i="23086"/>
  <c r="AD99" i="23086"/>
  <c r="AL14" i="23086"/>
  <c r="AI40" i="23086"/>
  <c r="AI42" i="23086" s="1"/>
  <c r="AI52" i="23086"/>
  <c r="AJ54" i="23086" s="1"/>
  <c r="AJ56" i="23086"/>
  <c r="AJ58" i="23086" s="1"/>
  <c r="AI58" i="23086"/>
  <c r="AI44" i="23086"/>
  <c r="AI46" i="23086" s="1"/>
  <c r="AJ14" i="23086"/>
  <c r="AL56" i="23086"/>
  <c r="AL44" i="23086"/>
  <c r="AL52" i="23086"/>
  <c r="AL40" i="23086"/>
  <c r="AD105" i="23086"/>
  <c r="AD102" i="23086"/>
  <c r="AD101" i="23086"/>
  <c r="AD103" i="23086"/>
  <c r="AD67" i="23086"/>
  <c r="AK53" i="23086"/>
  <c r="AK41" i="23086"/>
  <c r="AE29" i="23086"/>
  <c r="AE30" i="23086"/>
  <c r="AJ44" i="23086" l="1"/>
  <c r="AJ46" i="23086" s="1"/>
  <c r="AJ48" i="23086" s="1"/>
  <c r="AJ42" i="23086"/>
  <c r="AI54" i="23086"/>
  <c r="AI47" i="23086"/>
  <c r="AI48" i="23086"/>
  <c r="AI60" i="23086"/>
  <c r="AI59" i="23086"/>
  <c r="AJ60" i="23086"/>
  <c r="AJ59" i="23086"/>
  <c r="AI65" i="23086"/>
  <c r="AQ6" i="23083" s="1"/>
  <c r="AI66" i="23086"/>
  <c r="AQ7" i="23083" s="1"/>
  <c r="AL53" i="23086"/>
  <c r="AM56" i="23086"/>
  <c r="AL41" i="23086"/>
  <c r="AM44" i="23086"/>
  <c r="AM40" i="23086"/>
  <c r="AM52" i="23086"/>
  <c r="AJ47" i="23086" l="1"/>
  <c r="AJ66" i="23086"/>
  <c r="AR7" i="23083" s="1"/>
  <c r="AJ65" i="23086"/>
  <c r="AR6" i="23083" s="1"/>
  <c r="AM53" i="23086"/>
  <c r="AM41" i="23086"/>
  <c r="AK28" i="23086"/>
  <c r="AK5" i="23086" l="1"/>
  <c r="AK6" i="23086" s="1"/>
  <c r="AK7" i="23086" s="1"/>
  <c r="AJ28" i="23086"/>
  <c r="AI28" i="23086"/>
  <c r="AL32" i="23086"/>
  <c r="AK29" i="23086"/>
  <c r="AL28" i="23086"/>
  <c r="AI30" i="23086" l="1"/>
  <c r="AI5" i="23086"/>
  <c r="AJ30" i="23086"/>
  <c r="AJ5" i="23086"/>
  <c r="AJ6" i="23086" s="1"/>
  <c r="AM32" i="23086"/>
  <c r="AL5" i="23086"/>
  <c r="AL29" i="23086"/>
  <c r="AM28" i="23086"/>
  <c r="AJ7" i="23086" l="1"/>
  <c r="AI7" i="23086"/>
  <c r="AI6" i="23086"/>
  <c r="AJ10" i="23086"/>
  <c r="AJ11" i="23086"/>
  <c r="AI11" i="23086"/>
  <c r="AI10" i="23086"/>
  <c r="AL6" i="23086"/>
  <c r="AL7" i="23086" s="1"/>
  <c r="AM5" i="23086"/>
  <c r="AM29" i="23086"/>
  <c r="AM6" i="23086" l="1"/>
  <c r="AM7" i="23086" s="1"/>
  <c r="AK315" i="23083" l="1"/>
  <c r="AK85" i="23083" l="1"/>
  <c r="AK82" i="23083"/>
  <c r="AK79" i="23083"/>
  <c r="AK76" i="23083"/>
  <c r="AK75" i="23083"/>
  <c r="AK68" i="23083"/>
  <c r="AK63" i="23083"/>
  <c r="AL51" i="23083"/>
  <c r="AK34" i="23083"/>
  <c r="AK25" i="23083"/>
  <c r="AK13" i="23083"/>
  <c r="AK20" i="23083" s="1"/>
  <c r="AC98" i="23086"/>
  <c r="AC105" i="23086" s="1"/>
  <c r="AC83" i="23086"/>
  <c r="AC80" i="23086"/>
  <c r="AC81" i="23086" s="1"/>
  <c r="AC69" i="23086"/>
  <c r="AC66" i="23086"/>
  <c r="AC76" i="23086" s="1"/>
  <c r="AC65" i="23086"/>
  <c r="AC75" i="23086" s="1"/>
  <c r="AC64" i="23086"/>
  <c r="AC59" i="23086"/>
  <c r="AC47" i="23086"/>
  <c r="AC35" i="23086"/>
  <c r="AC15" i="23086"/>
  <c r="AC13" i="23086" s="1"/>
  <c r="AC8" i="23086" s="1"/>
  <c r="AC11" i="23086"/>
  <c r="AC6" i="23086"/>
  <c r="AN8" i="23083"/>
  <c r="AK37" i="23083" l="1"/>
  <c r="AC74" i="23086"/>
  <c r="AC67" i="23086"/>
  <c r="AK5" i="23083"/>
  <c r="AK6" i="23083"/>
  <c r="AK7" i="23083"/>
  <c r="AK55" i="23083"/>
  <c r="AC99" i="23086"/>
  <c r="AC101" i="23086"/>
  <c r="AC102" i="23086"/>
  <c r="AC14" i="23086"/>
  <c r="AD14" i="23086" s="1"/>
  <c r="AC103" i="23086"/>
  <c r="AC104" i="23086"/>
  <c r="AK59" i="23083" l="1"/>
  <c r="AN39" i="23083"/>
  <c r="AK57" i="23083"/>
  <c r="AK8" i="23083"/>
  <c r="AK9" i="23083" s="1"/>
  <c r="AK19" i="23083"/>
  <c r="AK28" i="23083" l="1"/>
  <c r="AK227" i="23083"/>
  <c r="AK230" i="23083"/>
  <c r="AK56" i="23083"/>
  <c r="AK91" i="23083"/>
  <c r="AK24" i="23083"/>
  <c r="AK90" i="23083"/>
  <c r="AK38" i="23083"/>
  <c r="AK14" i="23083"/>
  <c r="AK45" i="23083"/>
  <c r="AK12" i="23083"/>
  <c r="AK89" i="23083"/>
  <c r="AH49" i="23083" l="1"/>
  <c r="AA68" i="23086"/>
  <c r="AB8" i="23086"/>
  <c r="V8" i="23086"/>
  <c r="T8" i="23086"/>
  <c r="S8" i="23086"/>
  <c r="Q8" i="23086"/>
  <c r="P8" i="23086"/>
  <c r="AA5" i="23086"/>
  <c r="AB11" i="23086"/>
  <c r="AB10" i="23086"/>
  <c r="AB7" i="23086"/>
  <c r="AB6" i="23086"/>
  <c r="AJ228" i="23083"/>
  <c r="AJ218" i="23083"/>
  <c r="AI168" i="23083"/>
  <c r="AJ167" i="23083"/>
  <c r="AJ157" i="23083"/>
  <c r="AJ150" i="23083"/>
  <c r="AJ141" i="23083"/>
  <c r="AJ135" i="23083"/>
  <c r="AJ316" i="23083"/>
  <c r="AJ315" i="23083"/>
  <c r="AJ313" i="23083"/>
  <c r="AI312" i="23083"/>
  <c r="AI311" i="23083"/>
  <c r="AI316" i="23083" s="1"/>
  <c r="AJ100" i="23083"/>
  <c r="AJ79" i="23083"/>
  <c r="AJ76" i="23083"/>
  <c r="AJ75" i="23083"/>
  <c r="AI68" i="23083"/>
  <c r="AJ67" i="23083"/>
  <c r="AJ43" i="23083"/>
  <c r="AJ48" i="23083"/>
  <c r="AA97" i="23086"/>
  <c r="AA96" i="23086"/>
  <c r="AA95" i="23086"/>
  <c r="AA94" i="23086"/>
  <c r="AB98" i="23086"/>
  <c r="AB99" i="23086" s="1"/>
  <c r="AB60" i="23086"/>
  <c r="AB59" i="23086"/>
  <c r="AA58" i="23086"/>
  <c r="AD59" i="23086" s="1"/>
  <c r="AA46" i="23086"/>
  <c r="AD47" i="23086" s="1"/>
  <c r="AB48" i="23086"/>
  <c r="AB47" i="23086"/>
  <c r="AA34" i="23086"/>
  <c r="AD35" i="23086" s="1"/>
  <c r="AB16" i="23086"/>
  <c r="AA82" i="23086"/>
  <c r="AJ317" i="23083" l="1"/>
  <c r="AI48" i="23083"/>
  <c r="AJ142" i="23083"/>
  <c r="AM229" i="23083"/>
  <c r="AK229" i="23083"/>
  <c r="AJ99" i="23083"/>
  <c r="AC70" i="23086"/>
  <c r="AD69" i="23086"/>
  <c r="AA48" i="23086"/>
  <c r="AC48" i="23086"/>
  <c r="AD6" i="23086"/>
  <c r="AD11" i="23086"/>
  <c r="AC10" i="23086"/>
  <c r="AC7" i="23086"/>
  <c r="AA36" i="23086"/>
  <c r="AC36" i="23086"/>
  <c r="AA60" i="23086"/>
  <c r="AC60" i="23086"/>
  <c r="AJ219" i="23083"/>
  <c r="AJ319" i="23083"/>
  <c r="AB104" i="23086"/>
  <c r="AB101" i="23086"/>
  <c r="AB102" i="23086"/>
  <c r="AB103" i="23086"/>
  <c r="AB105" i="23086"/>
  <c r="AA7" i="23086"/>
  <c r="AJ222" i="23083"/>
  <c r="AA10" i="23086"/>
  <c r="AA98" i="23086"/>
  <c r="AA103" i="23086" s="1"/>
  <c r="AA105" i="23086" l="1"/>
  <c r="AA99" i="23086"/>
  <c r="AA102" i="23086"/>
  <c r="AA104" i="23086"/>
  <c r="AA101" i="23086"/>
  <c r="AI108" i="23083" l="1"/>
  <c r="AI18" i="23083"/>
  <c r="AI324" i="23083" l="1"/>
  <c r="AI326" i="23083" s="1"/>
  <c r="AI315" i="23083"/>
  <c r="AI317" i="23083" s="1"/>
  <c r="AI319" i="23083" l="1"/>
  <c r="AI135" i="23083" l="1"/>
  <c r="X68" i="23086" l="1"/>
  <c r="U68" i="23086"/>
  <c r="AF184" i="23083"/>
  <c r="AF183" i="23083"/>
  <c r="AF182" i="23083"/>
  <c r="AC184" i="23083"/>
  <c r="AC183" i="23083"/>
  <c r="AC182" i="23083"/>
  <c r="Z184" i="23083"/>
  <c r="Z183" i="23083"/>
  <c r="Z182" i="23083"/>
  <c r="W184" i="23083"/>
  <c r="W183" i="23083"/>
  <c r="W182" i="23083"/>
  <c r="T184" i="23083"/>
  <c r="T183" i="23083"/>
  <c r="T182" i="23083"/>
  <c r="Q184" i="23083"/>
  <c r="Q183" i="23083"/>
  <c r="Q182" i="23083"/>
  <c r="N183" i="23083"/>
  <c r="N184" i="23083"/>
  <c r="N182" i="23083"/>
  <c r="M271" i="23083"/>
  <c r="L271" i="23083"/>
  <c r="P271" i="23083"/>
  <c r="O271" i="23083"/>
  <c r="N271" i="23083" l="1"/>
  <c r="AQ176" i="23083" l="1"/>
  <c r="AS176" i="23083"/>
  <c r="AR176" i="23083" l="1"/>
  <c r="AT176" i="23083"/>
  <c r="AU176" i="23083" l="1"/>
  <c r="Z11" i="23086" l="1"/>
  <c r="Z6" i="23086"/>
  <c r="Z15" i="23086"/>
  <c r="AA15" i="23086" s="1"/>
  <c r="Z13" i="23086" l="1"/>
  <c r="AA13" i="23086" l="1"/>
  <c r="AA8" i="23086" s="1"/>
  <c r="Z8" i="23086"/>
  <c r="AS120" i="23083"/>
  <c r="Z14" i="23086"/>
  <c r="AA16" i="23086" l="1"/>
  <c r="AT120" i="23083"/>
  <c r="AG67" i="23083"/>
  <c r="AI120" i="23083"/>
  <c r="AH196" i="23083"/>
  <c r="AG196" i="23083"/>
  <c r="L215" i="23083"/>
  <c r="O215" i="23083"/>
  <c r="M215" i="23083"/>
  <c r="R215" i="23083"/>
  <c r="P215" i="23083"/>
  <c r="U215" i="23083"/>
  <c r="S215" i="23083"/>
  <c r="X215" i="23083"/>
  <c r="V215" i="23083"/>
  <c r="AA215" i="23083"/>
  <c r="Y215" i="23083"/>
  <c r="M228" i="23083"/>
  <c r="L228" i="23083"/>
  <c r="M218" i="23083"/>
  <c r="L218" i="23083"/>
  <c r="P228" i="23083"/>
  <c r="O228" i="23083"/>
  <c r="P218" i="23083"/>
  <c r="O218" i="23083"/>
  <c r="S228" i="23083"/>
  <c r="R228" i="23083"/>
  <c r="S218" i="23083"/>
  <c r="S219" i="23083" s="1"/>
  <c r="R218" i="23083"/>
  <c r="R167" i="23083"/>
  <c r="S167" i="23083"/>
  <c r="U167" i="23083"/>
  <c r="U131" i="23083"/>
  <c r="V167" i="23083"/>
  <c r="U150" i="23083"/>
  <c r="V150" i="23083"/>
  <c r="X167" i="23083"/>
  <c r="X150" i="23083"/>
  <c r="Y157" i="23083"/>
  <c r="Y150" i="23083"/>
  <c r="Y131" i="23083"/>
  <c r="AA157" i="23083"/>
  <c r="AA131" i="23083"/>
  <c r="AB167" i="23083"/>
  <c r="AB157" i="23083"/>
  <c r="AA150" i="23083"/>
  <c r="AB150" i="23083"/>
  <c r="AB131" i="23083"/>
  <c r="AD167" i="23083"/>
  <c r="AD157" i="23083"/>
  <c r="AD131" i="23083"/>
  <c r="AE150" i="23083"/>
  <c r="AE157" i="23083"/>
  <c r="AE131" i="23083"/>
  <c r="V100" i="23083"/>
  <c r="X100" i="23083"/>
  <c r="AA100" i="23083"/>
  <c r="Y100" i="23083"/>
  <c r="AB100" i="23083"/>
  <c r="AD100" i="23083"/>
  <c r="AG100" i="23083"/>
  <c r="R117" i="23083"/>
  <c r="U115" i="23083"/>
  <c r="U117" i="23083"/>
  <c r="AA117" i="23083"/>
  <c r="Y117" i="23083"/>
  <c r="AD117" i="23083"/>
  <c r="AG167" i="23083"/>
  <c r="X228" i="23083"/>
  <c r="V228" i="23083"/>
  <c r="AG157" i="23083"/>
  <c r="AG150" i="23083"/>
  <c r="AG131" i="23083"/>
  <c r="AE177" i="23083"/>
  <c r="AE169" i="23083"/>
  <c r="AE155" i="23083"/>
  <c r="AE141" i="23083"/>
  <c r="AH167" i="23083"/>
  <c r="AH157" i="23083"/>
  <c r="AH150" i="23083"/>
  <c r="AH131" i="23083"/>
  <c r="AH111" i="23083"/>
  <c r="AE100" i="23083"/>
  <c r="AH100" i="23083"/>
  <c r="AL31" i="23083"/>
  <c r="O229" i="23083" l="1"/>
  <c r="AE142" i="23083"/>
  <c r="AK120" i="23083"/>
  <c r="AU120" i="23083"/>
  <c r="AH228" i="23083"/>
  <c r="AG228" i="23083"/>
  <c r="AJ229" i="23083" s="1"/>
  <c r="AE136" i="23083"/>
  <c r="AD228" i="23083"/>
  <c r="AB228" i="23083"/>
  <c r="AA228" i="23083"/>
  <c r="Y228" i="23083"/>
  <c r="U228" i="23083"/>
  <c r="AE228" i="23083"/>
  <c r="M229" i="23083"/>
  <c r="M97" i="23083" s="1"/>
  <c r="P229" i="23083"/>
  <c r="P97" i="23083" s="1"/>
  <c r="S229" i="23083"/>
  <c r="S97" i="23083" s="1"/>
  <c r="L219" i="23083"/>
  <c r="L229" i="23083"/>
  <c r="L97" i="23083" s="1"/>
  <c r="O219" i="23083"/>
  <c r="R219" i="23083"/>
  <c r="R229" i="23083"/>
  <c r="R97" i="23083" s="1"/>
  <c r="AE158" i="23083"/>
  <c r="AE179" i="23083"/>
  <c r="AH63" i="23083"/>
  <c r="AG63" i="23083"/>
  <c r="AE63" i="23083"/>
  <c r="AD63" i="23083"/>
  <c r="AB63" i="23083"/>
  <c r="AA63" i="23083"/>
  <c r="Y63" i="23083"/>
  <c r="X63" i="23083"/>
  <c r="V63" i="23083"/>
  <c r="U63" i="23083"/>
  <c r="S63" i="23083"/>
  <c r="R63" i="23083"/>
  <c r="P63" i="23083"/>
  <c r="O63" i="23083"/>
  <c r="L51" i="23083"/>
  <c r="L55" i="23083" s="1"/>
  <c r="O51" i="23083"/>
  <c r="L66" i="23083"/>
  <c r="L68" i="23083" s="1"/>
  <c r="L44" i="23083"/>
  <c r="L34" i="23083"/>
  <c r="O67" i="23083"/>
  <c r="O66" i="23083"/>
  <c r="O82" i="23083"/>
  <c r="O44" i="23083"/>
  <c r="O34" i="23083"/>
  <c r="O25" i="23083"/>
  <c r="AJ33" i="23083"/>
  <c r="M34" i="23083"/>
  <c r="M19" i="23083"/>
  <c r="O79" i="23083"/>
  <c r="O76" i="23083"/>
  <c r="O75" i="23083"/>
  <c r="R79" i="23083"/>
  <c r="R76" i="23083"/>
  <c r="P76" i="23083"/>
  <c r="R75" i="23083"/>
  <c r="P75" i="23083"/>
  <c r="M68" i="23083"/>
  <c r="M51" i="23083"/>
  <c r="K315" i="23083"/>
  <c r="N68" i="23083"/>
  <c r="N62" i="23083"/>
  <c r="N60" i="23083" s="1"/>
  <c r="N56" i="23083"/>
  <c r="N34" i="23083"/>
  <c r="N18" i="23083"/>
  <c r="N17" i="23083"/>
  <c r="Q68" i="23083"/>
  <c r="Q56" i="23083"/>
  <c r="Q34" i="23083"/>
  <c r="Q18" i="23083"/>
  <c r="Q17" i="23083"/>
  <c r="P43" i="23083"/>
  <c r="R44" i="23083"/>
  <c r="U44" i="23083"/>
  <c r="S44" i="23083"/>
  <c r="V44" i="23083"/>
  <c r="X44" i="23083"/>
  <c r="AA44" i="23083"/>
  <c r="AG47" i="23083"/>
  <c r="Y44" i="23083"/>
  <c r="AB44" i="23083"/>
  <c r="AE44" i="23083"/>
  <c r="M316" i="23083"/>
  <c r="L316" i="23083"/>
  <c r="M315" i="23083"/>
  <c r="L315" i="23083"/>
  <c r="M313" i="23083"/>
  <c r="M103" i="23083" s="1"/>
  <c r="L313" i="23083"/>
  <c r="K313" i="23083" s="1"/>
  <c r="K312" i="23083"/>
  <c r="K311" i="23083"/>
  <c r="K316" i="23083" s="1"/>
  <c r="P316" i="23083"/>
  <c r="O316" i="23083"/>
  <c r="P315" i="23083"/>
  <c r="O315" i="23083"/>
  <c r="P313" i="23083"/>
  <c r="P103" i="23083" s="1"/>
  <c r="O313" i="23083"/>
  <c r="O103" i="23083" s="1"/>
  <c r="N312" i="23083"/>
  <c r="N311" i="23083"/>
  <c r="N316" i="23083" s="1"/>
  <c r="S316" i="23083"/>
  <c r="R316" i="23083"/>
  <c r="S315" i="23083"/>
  <c r="R315" i="23083"/>
  <c r="S313" i="23083"/>
  <c r="S103" i="23083" s="1"/>
  <c r="R313" i="23083"/>
  <c r="Q312" i="23083"/>
  <c r="Q311" i="23083"/>
  <c r="Q316" i="23083" s="1"/>
  <c r="V316" i="23083"/>
  <c r="U316" i="23083"/>
  <c r="V315" i="23083"/>
  <c r="U315" i="23083"/>
  <c r="V313" i="23083"/>
  <c r="U313" i="23083"/>
  <c r="T312" i="23083"/>
  <c r="T311" i="23083"/>
  <c r="T316" i="23083" s="1"/>
  <c r="Y316" i="23083"/>
  <c r="X316" i="23083"/>
  <c r="Y315" i="23083"/>
  <c r="X315" i="23083"/>
  <c r="Y313" i="23083"/>
  <c r="X313" i="23083"/>
  <c r="W312" i="23083"/>
  <c r="W311" i="23083"/>
  <c r="W316" i="23083" s="1"/>
  <c r="AB316" i="23083"/>
  <c r="AA316" i="23083"/>
  <c r="AB315" i="23083"/>
  <c r="AA315" i="23083"/>
  <c r="AB313" i="23083"/>
  <c r="AA313" i="23083"/>
  <c r="Z312" i="23083"/>
  <c r="Z311" i="23083"/>
  <c r="Z316" i="23083" s="1"/>
  <c r="AE316" i="23083"/>
  <c r="AD316" i="23083"/>
  <c r="AE315" i="23083"/>
  <c r="AD315" i="23083"/>
  <c r="AE313" i="23083"/>
  <c r="AD313" i="23083"/>
  <c r="AC312" i="23083"/>
  <c r="AC311" i="23083"/>
  <c r="AC316" i="23083" s="1"/>
  <c r="M261" i="23083"/>
  <c r="M259" i="23083"/>
  <c r="L259" i="23083"/>
  <c r="K257" i="23083"/>
  <c r="M254" i="23083"/>
  <c r="M260" i="23083" s="1"/>
  <c r="L254" i="23083"/>
  <c r="L256" i="23083" s="1"/>
  <c r="K254" i="23083"/>
  <c r="P261" i="23083"/>
  <c r="P259" i="23083"/>
  <c r="O259" i="23083"/>
  <c r="N257" i="23083"/>
  <c r="P254" i="23083"/>
  <c r="P260" i="23083" s="1"/>
  <c r="O254" i="23083"/>
  <c r="O256" i="23083" s="1"/>
  <c r="N254" i="23083"/>
  <c r="S261" i="23083"/>
  <c r="S259" i="23083"/>
  <c r="R259" i="23083"/>
  <c r="Q257" i="23083"/>
  <c r="S254" i="23083"/>
  <c r="S260" i="23083" s="1"/>
  <c r="R254" i="23083"/>
  <c r="R256" i="23083" s="1"/>
  <c r="Q254" i="23083"/>
  <c r="V261" i="23083"/>
  <c r="V259" i="23083"/>
  <c r="U259" i="23083"/>
  <c r="T257" i="23083"/>
  <c r="V254" i="23083"/>
  <c r="V260" i="23083" s="1"/>
  <c r="U254" i="23083"/>
  <c r="U256" i="23083" s="1"/>
  <c r="T254" i="23083"/>
  <c r="Y261" i="23083"/>
  <c r="Y259" i="23083"/>
  <c r="X259" i="23083"/>
  <c r="W257" i="23083"/>
  <c r="Y254" i="23083"/>
  <c r="Y260" i="23083" s="1"/>
  <c r="X254" i="23083"/>
  <c r="X256" i="23083" s="1"/>
  <c r="W254" i="23083"/>
  <c r="AB261" i="23083"/>
  <c r="AB259" i="23083"/>
  <c r="AA259" i="23083"/>
  <c r="Z257" i="23083"/>
  <c r="AB254" i="23083"/>
  <c r="AB260" i="23083" s="1"/>
  <c r="AA254" i="23083"/>
  <c r="AA256" i="23083" s="1"/>
  <c r="Z254" i="23083"/>
  <c r="AE261" i="23083"/>
  <c r="AE259" i="23083"/>
  <c r="AD259" i="23083"/>
  <c r="AC257" i="23083"/>
  <c r="AE254" i="23083"/>
  <c r="AE260" i="23083" s="1"/>
  <c r="AD254" i="23083"/>
  <c r="AD256" i="23083" s="1"/>
  <c r="AC254" i="23083"/>
  <c r="M186" i="23083"/>
  <c r="L186" i="23083"/>
  <c r="L177" i="23083"/>
  <c r="M169" i="23083"/>
  <c r="L169" i="23083"/>
  <c r="M155" i="23083"/>
  <c r="M147" i="23083"/>
  <c r="L147" i="23083"/>
  <c r="M141" i="23083"/>
  <c r="L141" i="23083"/>
  <c r="M136" i="23083"/>
  <c r="L136" i="23083"/>
  <c r="P186" i="23083"/>
  <c r="O186" i="23083"/>
  <c r="O177" i="23083"/>
  <c r="N176" i="23083"/>
  <c r="N175" i="23083"/>
  <c r="N174" i="23083"/>
  <c r="N173" i="23083"/>
  <c r="N172" i="23083"/>
  <c r="P169" i="23083"/>
  <c r="O169" i="23083"/>
  <c r="N168" i="23083"/>
  <c r="N167" i="23083"/>
  <c r="N166" i="23083"/>
  <c r="N165" i="23083"/>
  <c r="N164" i="23083"/>
  <c r="N163" i="23083"/>
  <c r="N157" i="23083"/>
  <c r="N156" i="23083"/>
  <c r="P155" i="23083"/>
  <c r="N155" i="23083"/>
  <c r="N150" i="23083"/>
  <c r="N149" i="23083"/>
  <c r="N148" i="23083"/>
  <c r="P147" i="23083"/>
  <c r="O147" i="23083"/>
  <c r="N146" i="23083"/>
  <c r="N145" i="23083"/>
  <c r="N143" i="23083"/>
  <c r="P141" i="23083"/>
  <c r="O141" i="23083"/>
  <c r="N140" i="23083"/>
  <c r="N139" i="23083"/>
  <c r="P136" i="23083"/>
  <c r="O136" i="23083"/>
  <c r="N135" i="23083"/>
  <c r="N134" i="23083"/>
  <c r="N133" i="23083"/>
  <c r="N132" i="23083"/>
  <c r="N131" i="23083"/>
  <c r="N130" i="23083"/>
  <c r="S186" i="23083"/>
  <c r="R186" i="23083"/>
  <c r="R177" i="23083"/>
  <c r="Q176" i="23083"/>
  <c r="Q175" i="23083"/>
  <c r="Q174" i="23083"/>
  <c r="Q173" i="23083"/>
  <c r="Q172" i="23083"/>
  <c r="S169" i="23083"/>
  <c r="R169" i="23083"/>
  <c r="Q168" i="23083"/>
  <c r="Q167" i="23083"/>
  <c r="Q166" i="23083"/>
  <c r="Q165" i="23083"/>
  <c r="Q164" i="23083"/>
  <c r="Q163" i="23083"/>
  <c r="Q157" i="23083"/>
  <c r="Q156" i="23083"/>
  <c r="S155" i="23083"/>
  <c r="Q155" i="23083"/>
  <c r="Q150" i="23083"/>
  <c r="Q149" i="23083"/>
  <c r="Q148" i="23083"/>
  <c r="S147" i="23083"/>
  <c r="R147" i="23083"/>
  <c r="Q146" i="23083"/>
  <c r="Q145" i="23083"/>
  <c r="Q143" i="23083"/>
  <c r="S141" i="23083"/>
  <c r="R141" i="23083"/>
  <c r="Q140" i="23083"/>
  <c r="Q139" i="23083"/>
  <c r="S136" i="23083"/>
  <c r="R136" i="23083"/>
  <c r="Q135" i="23083"/>
  <c r="Q134" i="23083"/>
  <c r="Q133" i="23083"/>
  <c r="Q132" i="23083"/>
  <c r="Q131" i="23083"/>
  <c r="Q130" i="23083"/>
  <c r="V186" i="23083"/>
  <c r="U186" i="23083"/>
  <c r="U177" i="23083"/>
  <c r="T176" i="23083"/>
  <c r="T175" i="23083"/>
  <c r="T174" i="23083"/>
  <c r="T173" i="23083"/>
  <c r="T172" i="23083"/>
  <c r="V169" i="23083"/>
  <c r="U169" i="23083"/>
  <c r="T168" i="23083"/>
  <c r="T167" i="23083"/>
  <c r="T166" i="23083"/>
  <c r="T165" i="23083"/>
  <c r="T164" i="23083"/>
  <c r="T163" i="23083"/>
  <c r="T157" i="23083"/>
  <c r="T156" i="23083"/>
  <c r="V155" i="23083"/>
  <c r="T155" i="23083"/>
  <c r="T150" i="23083"/>
  <c r="T149" i="23083"/>
  <c r="T148" i="23083"/>
  <c r="T147" i="23083"/>
  <c r="T146" i="23083"/>
  <c r="T145" i="23083"/>
  <c r="T143" i="23083"/>
  <c r="V141" i="23083"/>
  <c r="U141" i="23083"/>
  <c r="T140" i="23083"/>
  <c r="T139" i="23083"/>
  <c r="V136" i="23083"/>
  <c r="U136" i="23083"/>
  <c r="T135" i="23083"/>
  <c r="T134" i="23083"/>
  <c r="T133" i="23083"/>
  <c r="T132" i="23083"/>
  <c r="T131" i="23083"/>
  <c r="T130" i="23083"/>
  <c r="Y186" i="23083"/>
  <c r="X186" i="23083"/>
  <c r="X177" i="23083"/>
  <c r="W176" i="23083"/>
  <c r="W175" i="23083"/>
  <c r="W174" i="23083"/>
  <c r="W173" i="23083"/>
  <c r="W172" i="23083"/>
  <c r="Y169" i="23083"/>
  <c r="X169" i="23083"/>
  <c r="W168" i="23083"/>
  <c r="W167" i="23083"/>
  <c r="W166" i="23083"/>
  <c r="W165" i="23083"/>
  <c r="W164" i="23083"/>
  <c r="W163" i="23083"/>
  <c r="W157" i="23083"/>
  <c r="W156" i="23083"/>
  <c r="Y155" i="23083"/>
  <c r="W155" i="23083"/>
  <c r="W150" i="23083"/>
  <c r="W149" i="23083"/>
  <c r="W148" i="23083"/>
  <c r="W147" i="23083"/>
  <c r="W146" i="23083"/>
  <c r="W145" i="23083"/>
  <c r="W143" i="23083"/>
  <c r="Y141" i="23083"/>
  <c r="X141" i="23083"/>
  <c r="W140" i="23083"/>
  <c r="W139" i="23083"/>
  <c r="Y136" i="23083"/>
  <c r="X136" i="23083"/>
  <c r="W135" i="23083"/>
  <c r="W134" i="23083"/>
  <c r="W133" i="23083"/>
  <c r="W132" i="23083"/>
  <c r="W131" i="23083"/>
  <c r="W130" i="23083"/>
  <c r="AB186" i="23083"/>
  <c r="AA186" i="23083"/>
  <c r="AA177" i="23083"/>
  <c r="Z176" i="23083"/>
  <c r="Z175" i="23083"/>
  <c r="Z174" i="23083"/>
  <c r="Z173" i="23083"/>
  <c r="Z172" i="23083"/>
  <c r="AB169" i="23083"/>
  <c r="AA169" i="23083"/>
  <c r="Z168" i="23083"/>
  <c r="Z167" i="23083"/>
  <c r="Z166" i="23083"/>
  <c r="Z165" i="23083"/>
  <c r="Z164" i="23083"/>
  <c r="Z163" i="23083"/>
  <c r="Z157" i="23083"/>
  <c r="Z156" i="23083"/>
  <c r="AB155" i="23083"/>
  <c r="Z155" i="23083"/>
  <c r="Z150" i="23083"/>
  <c r="Z149" i="23083"/>
  <c r="Z148" i="23083"/>
  <c r="AB158" i="23083"/>
  <c r="Z147" i="23083"/>
  <c r="Z146" i="23083"/>
  <c r="Z145" i="23083"/>
  <c r="Z143" i="23083"/>
  <c r="AB141" i="23083"/>
  <c r="AA141" i="23083"/>
  <c r="Z140" i="23083"/>
  <c r="Z139" i="23083"/>
  <c r="AB136" i="23083"/>
  <c r="AA136" i="23083"/>
  <c r="Z135" i="23083"/>
  <c r="Z134" i="23083"/>
  <c r="Z133" i="23083"/>
  <c r="Z132" i="23083"/>
  <c r="Z131" i="23083"/>
  <c r="Z130" i="23083"/>
  <c r="AE186" i="23083"/>
  <c r="AD186" i="23083"/>
  <c r="AD177" i="23083"/>
  <c r="AC176" i="23083"/>
  <c r="AC175" i="23083"/>
  <c r="AC174" i="23083"/>
  <c r="AC173" i="23083"/>
  <c r="AC172" i="23083"/>
  <c r="AD169" i="23083"/>
  <c r="AC168" i="23083"/>
  <c r="AC167" i="23083"/>
  <c r="AC166" i="23083"/>
  <c r="AC165" i="23083"/>
  <c r="AC164" i="23083"/>
  <c r="AC163" i="23083"/>
  <c r="AC157" i="23083"/>
  <c r="AC156" i="23083"/>
  <c r="AC155" i="23083"/>
  <c r="AC150" i="23083"/>
  <c r="AC149" i="23083"/>
  <c r="AC148" i="23083"/>
  <c r="AC147" i="23083"/>
  <c r="AC146" i="23083"/>
  <c r="AC145" i="23083"/>
  <c r="AC143" i="23083"/>
  <c r="AD141" i="23083"/>
  <c r="AC140" i="23083"/>
  <c r="AC139" i="23083"/>
  <c r="AD136" i="23083"/>
  <c r="AC135" i="23083"/>
  <c r="AC134" i="23083"/>
  <c r="AC133" i="23083"/>
  <c r="AC132" i="23083"/>
  <c r="AC131" i="23083"/>
  <c r="AC130" i="23083"/>
  <c r="M114" i="23083"/>
  <c r="L114" i="23083"/>
  <c r="M110" i="23083"/>
  <c r="L110" i="23083"/>
  <c r="N123" i="23083"/>
  <c r="N122" i="23083"/>
  <c r="N120" i="23083"/>
  <c r="N119" i="23083"/>
  <c r="N118" i="23083"/>
  <c r="N117" i="23083"/>
  <c r="N115" i="23083"/>
  <c r="P114" i="23083"/>
  <c r="O114" i="23083"/>
  <c r="N113" i="23083"/>
  <c r="N112" i="23083"/>
  <c r="N111" i="23083"/>
  <c r="P110" i="23083"/>
  <c r="O110" i="23083"/>
  <c r="N109" i="23083"/>
  <c r="N108" i="23083"/>
  <c r="N105" i="23083"/>
  <c r="N102" i="23083"/>
  <c r="O97" i="23083"/>
  <c r="Q123" i="23083"/>
  <c r="Q122" i="23083"/>
  <c r="Q120" i="23083"/>
  <c r="Q119" i="23083"/>
  <c r="Q118" i="23083"/>
  <c r="Q117" i="23083"/>
  <c r="Q115" i="23083"/>
  <c r="S114" i="23083"/>
  <c r="R114" i="23083"/>
  <c r="Q113" i="23083"/>
  <c r="Q112" i="23083"/>
  <c r="Q111" i="23083"/>
  <c r="S110" i="23083"/>
  <c r="R110" i="23083"/>
  <c r="Q109" i="23083"/>
  <c r="Q108" i="23083"/>
  <c r="Q105" i="23083"/>
  <c r="Q102" i="23083"/>
  <c r="T123" i="23083"/>
  <c r="T122" i="23083"/>
  <c r="T120" i="23083"/>
  <c r="T119" i="23083"/>
  <c r="T118" i="23083"/>
  <c r="T117" i="23083"/>
  <c r="T115" i="23083"/>
  <c r="V114" i="23083"/>
  <c r="U114" i="23083"/>
  <c r="T113" i="23083"/>
  <c r="T112" i="23083"/>
  <c r="T111" i="23083"/>
  <c r="V110" i="23083"/>
  <c r="U110" i="23083"/>
  <c r="T109" i="23083"/>
  <c r="T108" i="23083"/>
  <c r="T105" i="23083"/>
  <c r="T102" i="23083"/>
  <c r="W123" i="23083"/>
  <c r="W122" i="23083"/>
  <c r="W120" i="23083"/>
  <c r="W119" i="23083"/>
  <c r="W118" i="23083"/>
  <c r="W117" i="23083"/>
  <c r="W115" i="23083"/>
  <c r="Y114" i="23083"/>
  <c r="X114" i="23083"/>
  <c r="W113" i="23083"/>
  <c r="W112" i="23083"/>
  <c r="W111" i="23083"/>
  <c r="Y110" i="23083"/>
  <c r="X110" i="23083"/>
  <c r="W109" i="23083"/>
  <c r="W108" i="23083"/>
  <c r="W105" i="23083"/>
  <c r="W102" i="23083"/>
  <c r="Z123" i="23083"/>
  <c r="Z122" i="23083"/>
  <c r="Z120" i="23083"/>
  <c r="Z119" i="23083"/>
  <c r="Z118" i="23083"/>
  <c r="Z117" i="23083"/>
  <c r="Z115" i="23083"/>
  <c r="AB114" i="23083"/>
  <c r="AA114" i="23083"/>
  <c r="Z113" i="23083"/>
  <c r="Z112" i="23083"/>
  <c r="Z111" i="23083"/>
  <c r="AB110" i="23083"/>
  <c r="AA110" i="23083"/>
  <c r="Z109" i="23083"/>
  <c r="Z108" i="23083"/>
  <c r="Z105" i="23083"/>
  <c r="Z102" i="23083"/>
  <c r="AC123" i="23083"/>
  <c r="AC122" i="23083"/>
  <c r="AC120" i="23083"/>
  <c r="AC119" i="23083"/>
  <c r="AC118" i="23083"/>
  <c r="AC117" i="23083"/>
  <c r="AC115" i="23083"/>
  <c r="AE114" i="23083"/>
  <c r="AD114" i="23083"/>
  <c r="AC113" i="23083"/>
  <c r="AC112" i="23083"/>
  <c r="AC111" i="23083"/>
  <c r="AE110" i="23083"/>
  <c r="AD110" i="23083"/>
  <c r="AC109" i="23083"/>
  <c r="AC108" i="23083"/>
  <c r="AC105" i="23083"/>
  <c r="AC102" i="23083"/>
  <c r="AC100" i="23083"/>
  <c r="M13" i="23083"/>
  <c r="L13" i="23083"/>
  <c r="AS8" i="23083"/>
  <c r="AT8" i="23083"/>
  <c r="AU8" i="23083"/>
  <c r="B8" i="23083"/>
  <c r="N51" i="23083" l="1"/>
  <c r="Q324" i="23083"/>
  <c r="N324" i="23083"/>
  <c r="L59" i="23083"/>
  <c r="AF47" i="23083"/>
  <c r="L37" i="23083"/>
  <c r="O37" i="23083"/>
  <c r="U142" i="23083"/>
  <c r="M142" i="23083"/>
  <c r="S142" i="23083"/>
  <c r="AD142" i="23083"/>
  <c r="P142" i="23083"/>
  <c r="L267" i="23083"/>
  <c r="L270" i="23083" s="1"/>
  <c r="AA142" i="23083"/>
  <c r="X142" i="23083"/>
  <c r="L142" i="23083"/>
  <c r="AL150" i="23083"/>
  <c r="P262" i="23083"/>
  <c r="AE160" i="23083"/>
  <c r="M262" i="23083"/>
  <c r="AB262" i="23083"/>
  <c r="V262" i="23083"/>
  <c r="AE262" i="23083"/>
  <c r="Y262" i="23083"/>
  <c r="S262" i="23083"/>
  <c r="K259" i="23083"/>
  <c r="K260" i="23083"/>
  <c r="L260" i="23083" s="1"/>
  <c r="V142" i="23083"/>
  <c r="R142" i="23083"/>
  <c r="AB142" i="23083"/>
  <c r="O142" i="23083"/>
  <c r="Y142" i="23083"/>
  <c r="AL120" i="23083"/>
  <c r="AC141" i="23083"/>
  <c r="AC169" i="23083"/>
  <c r="AC177" i="23083"/>
  <c r="AE247" i="23083"/>
  <c r="Z141" i="23083"/>
  <c r="Z169" i="23083"/>
  <c r="Z177" i="23083"/>
  <c r="AB247" i="23083"/>
  <c r="W141" i="23083"/>
  <c r="W169" i="23083"/>
  <c r="W177" i="23083"/>
  <c r="Y247" i="23083"/>
  <c r="T141" i="23083"/>
  <c r="T169" i="23083"/>
  <c r="T177" i="23083"/>
  <c r="V247" i="23083"/>
  <c r="S222" i="23083"/>
  <c r="Q147" i="23083"/>
  <c r="S158" i="23083"/>
  <c r="S160" i="23083" s="1"/>
  <c r="Q169" i="23083"/>
  <c r="Q177" i="23083"/>
  <c r="P222" i="23083"/>
  <c r="N147" i="23083"/>
  <c r="P158" i="23083"/>
  <c r="P160" i="23083" s="1"/>
  <c r="N169" i="23083"/>
  <c r="N177" i="23083"/>
  <c r="L222" i="23083"/>
  <c r="M222" i="23083"/>
  <c r="AC259" i="23083"/>
  <c r="Z259" i="23083"/>
  <c r="W259" i="23083"/>
  <c r="T259" i="23083"/>
  <c r="Q259" i="23083"/>
  <c r="N259" i="23083"/>
  <c r="AG44" i="23083"/>
  <c r="P19" i="23083"/>
  <c r="M20" i="23083"/>
  <c r="M27" i="23083" s="1"/>
  <c r="L57" i="23083"/>
  <c r="S221" i="23083"/>
  <c r="S247" i="23083"/>
  <c r="M220" i="23083"/>
  <c r="M247" i="23083"/>
  <c r="AC186" i="23083"/>
  <c r="AD247" i="23083"/>
  <c r="O55" i="23083"/>
  <c r="O249" i="23083"/>
  <c r="Z186" i="23083"/>
  <c r="AA247" i="23083"/>
  <c r="T186" i="23083"/>
  <c r="U247" i="23083"/>
  <c r="P221" i="23083"/>
  <c r="P247" i="23083"/>
  <c r="W186" i="23083"/>
  <c r="X247" i="23083"/>
  <c r="Q186" i="23083"/>
  <c r="R247" i="23083"/>
  <c r="N186" i="23083"/>
  <c r="O247" i="23083"/>
  <c r="L221" i="23083"/>
  <c r="L247" i="23083"/>
  <c r="T228" i="23083"/>
  <c r="T229" i="23083" s="1"/>
  <c r="L212" i="23083"/>
  <c r="P104" i="23083"/>
  <c r="P223" i="23083"/>
  <c r="T218" i="23083"/>
  <c r="S220" i="23083"/>
  <c r="O104" i="23083"/>
  <c r="O226" i="23083"/>
  <c r="O221" i="23083"/>
  <c r="R220" i="23083"/>
  <c r="L220" i="23083"/>
  <c r="M221" i="23083"/>
  <c r="N228" i="23083"/>
  <c r="N218" i="23083"/>
  <c r="S104" i="23083"/>
  <c r="S226" i="23083"/>
  <c r="M104" i="23083"/>
  <c r="M223" i="23083"/>
  <c r="O220" i="23083"/>
  <c r="Q141" i="23083"/>
  <c r="R222" i="23083"/>
  <c r="P220" i="23083"/>
  <c r="Q228" i="23083"/>
  <c r="Q218" i="23083"/>
  <c r="N141" i="23083"/>
  <c r="O222" i="23083"/>
  <c r="R221" i="23083"/>
  <c r="N260" i="23083"/>
  <c r="AC313" i="23083"/>
  <c r="N114" i="23083"/>
  <c r="AD317" i="23083"/>
  <c r="AD319" i="23083" s="1"/>
  <c r="O317" i="23083"/>
  <c r="O319" i="23083" s="1"/>
  <c r="Z228" i="23083"/>
  <c r="R317" i="23083"/>
  <c r="R319" i="23083" s="1"/>
  <c r="U317" i="23083"/>
  <c r="U319" i="23083" s="1"/>
  <c r="AA317" i="23083"/>
  <c r="AA319" i="23083" s="1"/>
  <c r="AC228" i="23083"/>
  <c r="W228" i="23083"/>
  <c r="Z313" i="23083"/>
  <c r="Q313" i="23083"/>
  <c r="Q114" i="23083"/>
  <c r="O68" i="23083"/>
  <c r="N55" i="23083"/>
  <c r="AC101" i="23083"/>
  <c r="Z110" i="23083"/>
  <c r="W101" i="23083"/>
  <c r="P116" i="23083"/>
  <c r="AC260" i="23083"/>
  <c r="W260" i="23083"/>
  <c r="Q260" i="23083"/>
  <c r="AE317" i="23083"/>
  <c r="AE319" i="23083" s="1"/>
  <c r="AB317" i="23083"/>
  <c r="AB319" i="23083" s="1"/>
  <c r="S317" i="23083"/>
  <c r="S319" i="23083" s="1"/>
  <c r="M55" i="23083"/>
  <c r="O80" i="23083"/>
  <c r="N315" i="23083"/>
  <c r="N317" i="23083" s="1"/>
  <c r="N319" i="23083" s="1"/>
  <c r="Q76" i="23083"/>
  <c r="Q75" i="23083"/>
  <c r="Q100" i="23083"/>
  <c r="P99" i="23083"/>
  <c r="K322" i="23083"/>
  <c r="T100" i="23083"/>
  <c r="Z100" i="23083"/>
  <c r="Y99" i="23083"/>
  <c r="AC110" i="23083"/>
  <c r="Z101" i="23083"/>
  <c r="W100" i="23083"/>
  <c r="W110" i="23083"/>
  <c r="Q101" i="23083"/>
  <c r="Q215" i="23083" s="1"/>
  <c r="S256" i="23083"/>
  <c r="T256" i="23083" s="1"/>
  <c r="P256" i="23083"/>
  <c r="Q256" i="23083" s="1"/>
  <c r="W313" i="23083"/>
  <c r="Z114" i="23083"/>
  <c r="Y177" i="23083"/>
  <c r="AE116" i="23083"/>
  <c r="AC114" i="23083"/>
  <c r="W114" i="23083"/>
  <c r="N101" i="23083"/>
  <c r="N215" i="23083" s="1"/>
  <c r="M116" i="23083"/>
  <c r="M317" i="23083"/>
  <c r="M319" i="23083" s="1"/>
  <c r="AB160" i="23083"/>
  <c r="Z260" i="23083"/>
  <c r="T260" i="23083"/>
  <c r="Y317" i="23083"/>
  <c r="Y319" i="23083" s="1"/>
  <c r="V99" i="23083"/>
  <c r="T114" i="23083"/>
  <c r="S116" i="23083"/>
  <c r="N100" i="23083"/>
  <c r="N313" i="23083"/>
  <c r="P317" i="23083"/>
  <c r="P319" i="23083" s="1"/>
  <c r="L317" i="23083"/>
  <c r="L319" i="23083" s="1"/>
  <c r="AB99" i="23083"/>
  <c r="T101" i="23083"/>
  <c r="V177" i="23083"/>
  <c r="Y116" i="23083"/>
  <c r="V116" i="23083"/>
  <c r="M99" i="23083"/>
  <c r="AB177" i="23083"/>
  <c r="V158" i="23083"/>
  <c r="V160" i="23083" s="1"/>
  <c r="P177" i="23083"/>
  <c r="M158" i="23083"/>
  <c r="M160" i="23083" s="1"/>
  <c r="M256" i="23083"/>
  <c r="N256" i="23083" s="1"/>
  <c r="AB116" i="23083"/>
  <c r="S99" i="23083"/>
  <c r="Y158" i="23083"/>
  <c r="Y160" i="23083" s="1"/>
  <c r="X317" i="23083"/>
  <c r="X319" i="23083" s="1"/>
  <c r="T313" i="23083"/>
  <c r="V317" i="23083"/>
  <c r="V319" i="23083" s="1"/>
  <c r="Q110" i="23083"/>
  <c r="N110" i="23083"/>
  <c r="S177" i="23083"/>
  <c r="M177" i="23083"/>
  <c r="AE256" i="23083"/>
  <c r="AB256" i="23083"/>
  <c r="AC256" i="23083" s="1"/>
  <c r="Y256" i="23083"/>
  <c r="Z256" i="23083" s="1"/>
  <c r="V256" i="23083"/>
  <c r="W256" i="23083" s="1"/>
  <c r="AE99" i="23083"/>
  <c r="AE210" i="23083" s="1"/>
  <c r="K317" i="23083"/>
  <c r="K321" i="23083" s="1"/>
  <c r="L103" i="23083"/>
  <c r="R103" i="23083"/>
  <c r="L158" i="23083"/>
  <c r="L179" i="23083"/>
  <c r="O158" i="23083"/>
  <c r="N158" i="23083" s="1"/>
  <c r="O179" i="23083"/>
  <c r="N136" i="23083"/>
  <c r="R179" i="23083"/>
  <c r="R158" i="23083"/>
  <c r="Q158" i="23083" s="1"/>
  <c r="Q136" i="23083"/>
  <c r="U179" i="23083"/>
  <c r="U158" i="23083"/>
  <c r="T158" i="23083" s="1"/>
  <c r="T136" i="23083"/>
  <c r="X158" i="23083"/>
  <c r="W158" i="23083" s="1"/>
  <c r="X179" i="23083"/>
  <c r="W136" i="23083"/>
  <c r="AA179" i="23083"/>
  <c r="AA158" i="23083"/>
  <c r="Z158" i="23083" s="1"/>
  <c r="Z136" i="23083"/>
  <c r="AD158" i="23083"/>
  <c r="AC158" i="23083" s="1"/>
  <c r="AD179" i="23083"/>
  <c r="AC136" i="23083"/>
  <c r="L99" i="23083"/>
  <c r="L210" i="23083" s="1"/>
  <c r="L116" i="23083"/>
  <c r="N97" i="23083"/>
  <c r="O99" i="23083"/>
  <c r="O116" i="23083"/>
  <c r="Q97" i="23083"/>
  <c r="N103" i="23083"/>
  <c r="T110" i="23083"/>
  <c r="R99" i="23083"/>
  <c r="R116" i="23083"/>
  <c r="U99" i="23083"/>
  <c r="U116" i="23083"/>
  <c r="X99" i="23083"/>
  <c r="X116" i="23083"/>
  <c r="AA99" i="23083"/>
  <c r="AA116" i="23083"/>
  <c r="AD99" i="23083"/>
  <c r="AD116" i="23083"/>
  <c r="F13" i="23086"/>
  <c r="I13" i="23086"/>
  <c r="F58" i="23086"/>
  <c r="F66" i="23086" s="1"/>
  <c r="N7" i="23083" s="1"/>
  <c r="F46" i="23086"/>
  <c r="F65" i="23086" s="1"/>
  <c r="N6" i="23083" s="1"/>
  <c r="E34" i="23086"/>
  <c r="E64" i="23086" s="1"/>
  <c r="D34" i="23086"/>
  <c r="D64" i="23086" s="1"/>
  <c r="G34" i="23086"/>
  <c r="G69" i="23086"/>
  <c r="J69" i="23086"/>
  <c r="J70" i="23086" s="1"/>
  <c r="H69" i="23086"/>
  <c r="M69" i="23086"/>
  <c r="M70" i="23086" s="1"/>
  <c r="K69" i="23086"/>
  <c r="D83" i="23086"/>
  <c r="G83" i="23086"/>
  <c r="F82" i="23086"/>
  <c r="N13" i="23083" s="1"/>
  <c r="I82" i="23086"/>
  <c r="I58" i="23086"/>
  <c r="K60" i="23086" s="1"/>
  <c r="I46" i="23086"/>
  <c r="I65" i="23086" s="1"/>
  <c r="H34" i="23086"/>
  <c r="E83" i="23086"/>
  <c r="H83" i="23086"/>
  <c r="E15" i="23086"/>
  <c r="E14" i="23086" s="1"/>
  <c r="H15" i="23086"/>
  <c r="H14" i="23086" s="1"/>
  <c r="L5" i="23086"/>
  <c r="F68" i="23086"/>
  <c r="F34" i="23086" s="1"/>
  <c r="I68" i="23086"/>
  <c r="I70" i="23086" s="1"/>
  <c r="R68" i="23086"/>
  <c r="O68" i="23086"/>
  <c r="L68" i="23086"/>
  <c r="M60" i="23086"/>
  <c r="M59" i="23086"/>
  <c r="L58" i="23086"/>
  <c r="L60" i="23086" s="1"/>
  <c r="L46" i="23086"/>
  <c r="L65" i="23086" s="1"/>
  <c r="J34" i="23086"/>
  <c r="J64" i="23086" s="1"/>
  <c r="M34" i="23086"/>
  <c r="M64" i="23086" s="1"/>
  <c r="L97" i="23086"/>
  <c r="L96" i="23086"/>
  <c r="L95" i="23086"/>
  <c r="L94" i="23086"/>
  <c r="K98" i="23086"/>
  <c r="K99" i="23086" s="1"/>
  <c r="L82" i="23086"/>
  <c r="O82" i="23086"/>
  <c r="M83" i="23086"/>
  <c r="K83" i="23086"/>
  <c r="K34" i="23086"/>
  <c r="N34" i="23086"/>
  <c r="N64" i="23086" s="1"/>
  <c r="Q11" i="23086"/>
  <c r="N15" i="23086"/>
  <c r="O15" i="23086" s="1"/>
  <c r="P11" i="23086"/>
  <c r="P10" i="23086"/>
  <c r="T11" i="23086"/>
  <c r="S11" i="23086"/>
  <c r="S10" i="23086"/>
  <c r="W11" i="23086"/>
  <c r="S7" i="23086"/>
  <c r="S6" i="23086"/>
  <c r="T6" i="23086"/>
  <c r="P34" i="23086"/>
  <c r="S34" i="23086"/>
  <c r="R82" i="23086"/>
  <c r="U82" i="23086"/>
  <c r="T16" i="23086"/>
  <c r="U15" i="23086"/>
  <c r="T14" i="23086"/>
  <c r="U13" i="23086"/>
  <c r="R15" i="23086"/>
  <c r="R13" i="23086"/>
  <c r="R8" i="23086" s="1"/>
  <c r="Q16" i="23086"/>
  <c r="Q14" i="23086"/>
  <c r="R5" i="23086"/>
  <c r="T10" i="23086" s="1"/>
  <c r="Q34" i="23086"/>
  <c r="Q64" i="23086" s="1"/>
  <c r="T34" i="23086"/>
  <c r="W35" i="23086" s="1"/>
  <c r="W6" i="23086"/>
  <c r="W15" i="23086"/>
  <c r="X15" i="23086" s="1"/>
  <c r="J98" i="23086"/>
  <c r="V34" i="23086"/>
  <c r="V64" i="23086" s="1"/>
  <c r="Y34" i="23086"/>
  <c r="Y64" i="23086" s="1"/>
  <c r="B76" i="23086"/>
  <c r="X5" i="23086"/>
  <c r="V5" i="23086"/>
  <c r="V7" i="23086" s="1"/>
  <c r="Y16" i="23086"/>
  <c r="V16" i="23086"/>
  <c r="S16" i="23086"/>
  <c r="P16" i="23086"/>
  <c r="M16" i="23086"/>
  <c r="J16" i="23086"/>
  <c r="G16" i="23086"/>
  <c r="D16" i="23086"/>
  <c r="D14" i="23086"/>
  <c r="G14" i="23086"/>
  <c r="J14" i="23086"/>
  <c r="M14" i="23086"/>
  <c r="P14" i="23086"/>
  <c r="S14" i="23086"/>
  <c r="V14" i="23086"/>
  <c r="Y14" i="23086"/>
  <c r="Y98" i="23086"/>
  <c r="W98" i="23086"/>
  <c r="V98" i="23086"/>
  <c r="T98" i="23086"/>
  <c r="S98" i="23086"/>
  <c r="Q98" i="23086"/>
  <c r="P98" i="23086"/>
  <c r="N98" i="23086"/>
  <c r="M98" i="23086"/>
  <c r="Z98" i="23086"/>
  <c r="X82" i="23086"/>
  <c r="Z80" i="23086"/>
  <c r="Z81" i="23086" s="1"/>
  <c r="W80" i="23086"/>
  <c r="W81" i="23086" s="1"/>
  <c r="W59" i="23086"/>
  <c r="B75" i="23086"/>
  <c r="Z65" i="23086"/>
  <c r="Y65" i="23086"/>
  <c r="W65" i="23086"/>
  <c r="W75" i="23086" s="1"/>
  <c r="V65" i="23086"/>
  <c r="T65" i="23086"/>
  <c r="S65" i="23086"/>
  <c r="Q65" i="23086"/>
  <c r="P65" i="23086"/>
  <c r="N65" i="23086"/>
  <c r="M65" i="23086"/>
  <c r="K65" i="23086"/>
  <c r="J65" i="23086"/>
  <c r="H65" i="23086"/>
  <c r="G65" i="23086"/>
  <c r="E65" i="23086"/>
  <c r="Z66" i="23086"/>
  <c r="Y66" i="23086"/>
  <c r="W66" i="23086"/>
  <c r="W76" i="23086" s="1"/>
  <c r="V66" i="23086"/>
  <c r="T66" i="23086"/>
  <c r="S66" i="23086"/>
  <c r="Q66" i="23086"/>
  <c r="P66" i="23086"/>
  <c r="N66" i="23086"/>
  <c r="M66" i="23086"/>
  <c r="K66" i="23086"/>
  <c r="J66" i="23086"/>
  <c r="H66" i="23086"/>
  <c r="G66" i="23086"/>
  <c r="G75" i="23086" s="1"/>
  <c r="E66" i="23086"/>
  <c r="Z64" i="23086"/>
  <c r="W64" i="23086"/>
  <c r="D65" i="23086"/>
  <c r="L6" i="23083" s="1"/>
  <c r="D66" i="23086"/>
  <c r="Z47" i="23086"/>
  <c r="X46" i="23086"/>
  <c r="U46" i="23086"/>
  <c r="R46" i="23086"/>
  <c r="O46" i="23086"/>
  <c r="Z35" i="23086"/>
  <c r="B102" i="23086"/>
  <c r="B103" i="23086"/>
  <c r="B104" i="23086"/>
  <c r="B101" i="23086"/>
  <c r="O97" i="23086"/>
  <c r="R97" i="23086"/>
  <c r="U97" i="23086"/>
  <c r="X97" i="23086"/>
  <c r="B74" i="23086"/>
  <c r="B65" i="23086"/>
  <c r="B6" i="23083" s="1"/>
  <c r="B66" i="23086"/>
  <c r="B7" i="23083" s="1"/>
  <c r="B64" i="23086"/>
  <c r="B5" i="23083" s="1"/>
  <c r="P36" i="23086" l="1"/>
  <c r="I66" i="23086"/>
  <c r="P64" i="23086"/>
  <c r="P67" i="23086" s="1"/>
  <c r="X34" i="23086"/>
  <c r="X64" i="23086" s="1"/>
  <c r="I14" i="23086"/>
  <c r="H35" i="23086"/>
  <c r="G35" i="23086"/>
  <c r="M59" i="23083"/>
  <c r="O59" i="23083"/>
  <c r="L272" i="23083"/>
  <c r="N59" i="23083"/>
  <c r="Z142" i="23083"/>
  <c r="M326" i="23083"/>
  <c r="M96" i="23083"/>
  <c r="M212" i="23083" s="1"/>
  <c r="M37" i="23083"/>
  <c r="M23" i="23083"/>
  <c r="M226" i="23083" s="1"/>
  <c r="N27" i="23083"/>
  <c r="Z116" i="23083"/>
  <c r="AC142" i="23083"/>
  <c r="Q116" i="23083"/>
  <c r="O43" i="23083"/>
  <c r="T142" i="23083"/>
  <c r="L262" i="23083"/>
  <c r="O267" i="23083"/>
  <c r="O270" i="23083" s="1"/>
  <c r="M267" i="23083"/>
  <c r="W142" i="23083"/>
  <c r="L66" i="23086"/>
  <c r="V35" i="23086"/>
  <c r="G64" i="23086"/>
  <c r="G67" i="23086" s="1"/>
  <c r="T64" i="23086"/>
  <c r="H64" i="23086"/>
  <c r="H67" i="23086" s="1"/>
  <c r="J35" i="23086"/>
  <c r="L5" i="23083"/>
  <c r="M5" i="23083"/>
  <c r="H16" i="23086"/>
  <c r="U14" i="23086"/>
  <c r="Q35" i="23086"/>
  <c r="S36" i="23086"/>
  <c r="S64" i="23086"/>
  <c r="S67" i="23086" s="1"/>
  <c r="R34" i="23086"/>
  <c r="R64" i="23086" s="1"/>
  <c r="F14" i="23086"/>
  <c r="U34" i="23086"/>
  <c r="U64" i="23086" s="1"/>
  <c r="V36" i="23086"/>
  <c r="L69" i="23086"/>
  <c r="G36" i="23086"/>
  <c r="L34" i="23086"/>
  <c r="L36" i="23086" s="1"/>
  <c r="I15" i="23086"/>
  <c r="I16" i="23086" s="1"/>
  <c r="T35" i="23086"/>
  <c r="V11" i="23086"/>
  <c r="K70" i="23086"/>
  <c r="P77" i="23083"/>
  <c r="W13" i="23086"/>
  <c r="W8" i="23086" s="1"/>
  <c r="J36" i="23086"/>
  <c r="Y35" i="23086"/>
  <c r="Y36" i="23086"/>
  <c r="V6" i="23086"/>
  <c r="N13" i="23086"/>
  <c r="O13" i="23086" s="1"/>
  <c r="O16" i="23086" s="1"/>
  <c r="N104" i="23083"/>
  <c r="N35" i="23086"/>
  <c r="V67" i="23086"/>
  <c r="O106" i="23083"/>
  <c r="O121" i="23083" s="1"/>
  <c r="K64" i="23086"/>
  <c r="K74" i="23086" s="1"/>
  <c r="P35" i="23086"/>
  <c r="M67" i="23086"/>
  <c r="Z67" i="23086"/>
  <c r="O34" i="23086"/>
  <c r="S35" i="23086"/>
  <c r="M36" i="23086"/>
  <c r="L70" i="23086"/>
  <c r="M263" i="23083"/>
  <c r="P263" i="23083"/>
  <c r="X48" i="23086"/>
  <c r="AA47" i="23086"/>
  <c r="Y67" i="23086"/>
  <c r="AG8" i="23083" s="1"/>
  <c r="Y8" i="23086"/>
  <c r="AA6" i="23086"/>
  <c r="AA11" i="23086"/>
  <c r="AB36" i="23086"/>
  <c r="AB35" i="23086"/>
  <c r="U16" i="23086"/>
  <c r="U8" i="23086"/>
  <c r="O81" i="23083"/>
  <c r="Y263" i="23083"/>
  <c r="AB263" i="23083"/>
  <c r="S263" i="23083"/>
  <c r="AE263" i="23083"/>
  <c r="V263" i="23083"/>
  <c r="N142" i="23083"/>
  <c r="Q142" i="23083"/>
  <c r="L281" i="23083"/>
  <c r="L282" i="23083"/>
  <c r="L280" i="23083"/>
  <c r="F64" i="23086"/>
  <c r="F67" i="23086" s="1"/>
  <c r="N8" i="23083" s="1"/>
  <c r="F36" i="23086"/>
  <c r="H36" i="23086"/>
  <c r="AG7" i="23083"/>
  <c r="K102" i="23086"/>
  <c r="U248" i="23083"/>
  <c r="D75" i="23086"/>
  <c r="L7" i="23083"/>
  <c r="P75" i="23086"/>
  <c r="X6" i="23083"/>
  <c r="R7" i="23083"/>
  <c r="Q76" i="23086"/>
  <c r="Y7" i="23083"/>
  <c r="AH7" i="23083"/>
  <c r="R6" i="23083"/>
  <c r="Q75" i="23086"/>
  <c r="Y6" i="23083"/>
  <c r="AH6" i="23083"/>
  <c r="Z76" i="23086"/>
  <c r="E74" i="23086"/>
  <c r="K103" i="23086"/>
  <c r="I34" i="23086"/>
  <c r="F70" i="23086"/>
  <c r="E76" i="23086"/>
  <c r="M7" i="23083"/>
  <c r="K76" i="23086"/>
  <c r="S7" i="23083"/>
  <c r="S76" i="23086"/>
  <c r="AA7" i="23083"/>
  <c r="E75" i="23086"/>
  <c r="M6" i="23083"/>
  <c r="K75" i="23086"/>
  <c r="S6" i="23083"/>
  <c r="S75" i="23086"/>
  <c r="AA6" i="23083"/>
  <c r="Y76" i="23086"/>
  <c r="T7" i="23086"/>
  <c r="K104" i="23086"/>
  <c r="P76" i="23086"/>
  <c r="X7" i="23083"/>
  <c r="AB7" i="23083"/>
  <c r="T6" i="23083"/>
  <c r="AB6" i="23083"/>
  <c r="R14" i="23086"/>
  <c r="R11" i="23086"/>
  <c r="K105" i="23086"/>
  <c r="O11" i="23086"/>
  <c r="Y75" i="23086"/>
  <c r="AG6" i="23083"/>
  <c r="O7" i="23083"/>
  <c r="U7" i="23083"/>
  <c r="V76" i="23086"/>
  <c r="AD7" i="23083"/>
  <c r="O6" i="23083"/>
  <c r="M75" i="23086"/>
  <c r="U6" i="23083"/>
  <c r="V75" i="23086"/>
  <c r="AD6" i="23083"/>
  <c r="M76" i="23086"/>
  <c r="U5" i="23086"/>
  <c r="Q7" i="23086"/>
  <c r="R10" i="23086"/>
  <c r="Q10" i="23086"/>
  <c r="M35" i="23086"/>
  <c r="I80" i="23086"/>
  <c r="I81" i="23086" s="1"/>
  <c r="H70" i="23086"/>
  <c r="F15" i="23086"/>
  <c r="F16" i="23086" s="1"/>
  <c r="O248" i="23083"/>
  <c r="O250" i="23083" s="1"/>
  <c r="Q6" i="23083"/>
  <c r="H76" i="23086"/>
  <c r="P7" i="23083"/>
  <c r="N67" i="23086"/>
  <c r="V7" i="23083"/>
  <c r="W67" i="23086"/>
  <c r="AE7" i="23083"/>
  <c r="H75" i="23086"/>
  <c r="P6" i="23083"/>
  <c r="N75" i="23086"/>
  <c r="V6" i="23083"/>
  <c r="AE6" i="23083"/>
  <c r="Z7" i="23086"/>
  <c r="Z10" i="23086"/>
  <c r="Z75" i="23086"/>
  <c r="R7" i="23086"/>
  <c r="V10" i="23086"/>
  <c r="I75" i="23086"/>
  <c r="K101" i="23086"/>
  <c r="I83" i="23086"/>
  <c r="Q13" i="23083"/>
  <c r="Q15" i="23083" s="1"/>
  <c r="O39" i="23083"/>
  <c r="D74" i="23086"/>
  <c r="G70" i="23086"/>
  <c r="AC179" i="23083"/>
  <c r="Z179" i="23083"/>
  <c r="W179" i="23083"/>
  <c r="T179" i="23083"/>
  <c r="Q179" i="23083"/>
  <c r="N179" i="23083"/>
  <c r="M179" i="23083"/>
  <c r="S179" i="23083"/>
  <c r="P179" i="23083"/>
  <c r="AB179" i="23083"/>
  <c r="V179" i="23083"/>
  <c r="U260" i="23083"/>
  <c r="AA260" i="23083"/>
  <c r="Y179" i="23083"/>
  <c r="M57" i="23083"/>
  <c r="R260" i="23083"/>
  <c r="X260" i="23083"/>
  <c r="AD260" i="23083"/>
  <c r="N57" i="23083"/>
  <c r="L19" i="23083"/>
  <c r="O260" i="23083"/>
  <c r="N222" i="23083"/>
  <c r="Q222" i="23083"/>
  <c r="N247" i="23083"/>
  <c r="Q247" i="23083"/>
  <c r="W247" i="23083"/>
  <c r="T247" i="23083"/>
  <c r="Z247" i="23083"/>
  <c r="O57" i="23083"/>
  <c r="AC247" i="23083"/>
  <c r="T222" i="23083"/>
  <c r="X248" i="23083"/>
  <c r="R248" i="23083"/>
  <c r="AA248" i="23083"/>
  <c r="AD248" i="23083"/>
  <c r="W116" i="23083"/>
  <c r="Q229" i="23083"/>
  <c r="M106" i="23083"/>
  <c r="M121" i="23083" s="1"/>
  <c r="M124" i="23083" s="1"/>
  <c r="N229" i="23083"/>
  <c r="R104" i="23083"/>
  <c r="Q104" i="23083" s="1"/>
  <c r="R226" i="23083"/>
  <c r="P106" i="23083"/>
  <c r="P121" i="23083" s="1"/>
  <c r="P124" i="23083" s="1"/>
  <c r="L104" i="23083"/>
  <c r="L226" i="23083"/>
  <c r="L223" i="23083"/>
  <c r="T220" i="23083"/>
  <c r="T221" i="23083"/>
  <c r="Q220" i="23083"/>
  <c r="Q221" i="23083"/>
  <c r="S106" i="23083"/>
  <c r="S121" i="23083" s="1"/>
  <c r="S124" i="23083" s="1"/>
  <c r="N220" i="23083"/>
  <c r="N221" i="23083"/>
  <c r="T116" i="23083"/>
  <c r="N116" i="23083"/>
  <c r="AC116" i="23083"/>
  <c r="Q103" i="23083"/>
  <c r="AE187" i="23083"/>
  <c r="K319" i="23083"/>
  <c r="L160" i="23083"/>
  <c r="O160" i="23083"/>
  <c r="R160" i="23083"/>
  <c r="U160" i="23083"/>
  <c r="X160" i="23083"/>
  <c r="AA160" i="23083"/>
  <c r="AD160" i="23083"/>
  <c r="L98" i="23083"/>
  <c r="N99" i="23083"/>
  <c r="Q99" i="23083"/>
  <c r="T99" i="23083"/>
  <c r="W99" i="23083"/>
  <c r="Z99" i="23083"/>
  <c r="AC99" i="23083"/>
  <c r="F76" i="23086"/>
  <c r="E67" i="23086"/>
  <c r="M8" i="23083" s="1"/>
  <c r="D67" i="23086"/>
  <c r="F83" i="23086"/>
  <c r="F80" i="23086"/>
  <c r="F81" i="23086" s="1"/>
  <c r="I69" i="23086"/>
  <c r="F75" i="23086"/>
  <c r="E16" i="23086"/>
  <c r="L59" i="23086"/>
  <c r="J67" i="23086"/>
  <c r="L98" i="23086"/>
  <c r="K35" i="23086"/>
  <c r="N76" i="23086"/>
  <c r="O10" i="23086"/>
  <c r="R6" i="23086"/>
  <c r="R16" i="23086"/>
  <c r="Q67" i="23086"/>
  <c r="H80" i="23086"/>
  <c r="H81" i="23086" s="1"/>
  <c r="D80" i="23086"/>
  <c r="D81" i="23086" s="1"/>
  <c r="P80" i="23086"/>
  <c r="P81" i="23086" s="1"/>
  <c r="V80" i="23086"/>
  <c r="V81" i="23086" s="1"/>
  <c r="O65" i="23086"/>
  <c r="K80" i="23086"/>
  <c r="K81" i="23086" s="1"/>
  <c r="S80" i="23086"/>
  <c r="S81" i="23086" s="1"/>
  <c r="J80" i="23086"/>
  <c r="J81" i="23086" s="1"/>
  <c r="X65" i="23086"/>
  <c r="M80" i="23086"/>
  <c r="M81" i="23086" s="1"/>
  <c r="Q80" i="23086"/>
  <c r="Q81" i="23086" s="1"/>
  <c r="Y80" i="23086"/>
  <c r="Y81" i="23086" s="1"/>
  <c r="U65" i="23086"/>
  <c r="G80" i="23086"/>
  <c r="G81" i="23086" s="1"/>
  <c r="R65" i="23086"/>
  <c r="AA64" i="23086"/>
  <c r="Z48" i="23086"/>
  <c r="X36" i="23086" l="1"/>
  <c r="AA35" i="23086"/>
  <c r="Z36" i="23086"/>
  <c r="I76" i="23086"/>
  <c r="Q7" i="23083"/>
  <c r="G74" i="23086"/>
  <c r="F74" i="23086"/>
  <c r="T7" i="23083"/>
  <c r="AQ147" i="23083"/>
  <c r="AN147" i="23083"/>
  <c r="Y187" i="23083"/>
  <c r="P187" i="23083"/>
  <c r="L277" i="23083"/>
  <c r="O223" i="23083"/>
  <c r="N267" i="23083"/>
  <c r="L263" i="23083"/>
  <c r="L276" i="23083"/>
  <c r="N326" i="23083"/>
  <c r="N96" i="23083"/>
  <c r="N37" i="23083"/>
  <c r="M219" i="23083"/>
  <c r="K262" i="23083"/>
  <c r="N23" i="23083"/>
  <c r="O19" i="23083"/>
  <c r="N43" i="23083"/>
  <c r="O262" i="23083"/>
  <c r="M270" i="23083"/>
  <c r="M282" i="23083"/>
  <c r="V187" i="23083"/>
  <c r="S187" i="23083"/>
  <c r="M281" i="23083"/>
  <c r="M187" i="23083"/>
  <c r="L275" i="23083"/>
  <c r="T36" i="23086"/>
  <c r="R36" i="23086"/>
  <c r="U35" i="23086"/>
  <c r="H74" i="23086"/>
  <c r="AH8" i="23083"/>
  <c r="N14" i="23086"/>
  <c r="O14" i="23086" s="1"/>
  <c r="O35" i="23086"/>
  <c r="X13" i="23086"/>
  <c r="X8" i="23086" s="1"/>
  <c r="U8" i="23083"/>
  <c r="W14" i="23086"/>
  <c r="X14" i="23086" s="1"/>
  <c r="L64" i="23086"/>
  <c r="U36" i="23086"/>
  <c r="X35" i="23086"/>
  <c r="K67" i="23086"/>
  <c r="S8" i="23083" s="1"/>
  <c r="W36" i="23086"/>
  <c r="N5" i="23083"/>
  <c r="N9" i="23083" s="1"/>
  <c r="N36" i="23086"/>
  <c r="O36" i="23086"/>
  <c r="Q36" i="23086"/>
  <c r="AD8" i="23083"/>
  <c r="N106" i="23083"/>
  <c r="R35" i="23086"/>
  <c r="O64" i="23086"/>
  <c r="M98" i="23083"/>
  <c r="U262" i="23083"/>
  <c r="O282" i="23083"/>
  <c r="AD262" i="23083"/>
  <c r="M9" i="23083"/>
  <c r="O280" i="23083"/>
  <c r="O272" i="23083"/>
  <c r="AA262" i="23083"/>
  <c r="O281" i="23083"/>
  <c r="X262" i="23083"/>
  <c r="R262" i="23083"/>
  <c r="Z6" i="23083"/>
  <c r="D76" i="23086"/>
  <c r="L8" i="23083"/>
  <c r="L9" i="23083" s="1"/>
  <c r="AA8" i="23083"/>
  <c r="G76" i="23086"/>
  <c r="O8" i="23083"/>
  <c r="AE8" i="23083"/>
  <c r="W6" i="23083"/>
  <c r="X8" i="23083"/>
  <c r="AC6" i="23083"/>
  <c r="U10" i="23086"/>
  <c r="U7" i="23086"/>
  <c r="X6" i="23086"/>
  <c r="W10" i="23086"/>
  <c r="U11" i="23086"/>
  <c r="U6" i="23086"/>
  <c r="V8" i="23083"/>
  <c r="I36" i="23086"/>
  <c r="I35" i="23086"/>
  <c r="I64" i="23086"/>
  <c r="K36" i="23086"/>
  <c r="Y8" i="23083"/>
  <c r="AF6" i="23083"/>
  <c r="J76" i="23086"/>
  <c r="R8" i="23083"/>
  <c r="P8" i="23083"/>
  <c r="AB187" i="23083"/>
  <c r="L35" i="23086"/>
  <c r="L213" i="23083"/>
  <c r="L214" i="23083" s="1"/>
  <c r="AS147" i="23083"/>
  <c r="AR147" i="23083" s="1"/>
  <c r="L20" i="23083"/>
  <c r="M44" i="23083"/>
  <c r="L106" i="23083"/>
  <c r="L121" i="23083" s="1"/>
  <c r="L124" i="23083" s="1"/>
  <c r="R106" i="23083"/>
  <c r="M210" i="23083"/>
  <c r="L187" i="23083"/>
  <c r="O187" i="23083"/>
  <c r="N160" i="23083"/>
  <c r="R187" i="23083"/>
  <c r="Q160" i="23083"/>
  <c r="U187" i="23083"/>
  <c r="T160" i="23083"/>
  <c r="W160" i="23083"/>
  <c r="X187" i="23083"/>
  <c r="AA187" i="23083"/>
  <c r="Z160" i="23083"/>
  <c r="AD187" i="23083"/>
  <c r="AC160" i="23083"/>
  <c r="N121" i="23083"/>
  <c r="O124" i="23083"/>
  <c r="L105" i="23086"/>
  <c r="L102" i="23086"/>
  <c r="L104" i="23086"/>
  <c r="L103" i="23086"/>
  <c r="L101" i="23086"/>
  <c r="T80" i="23086"/>
  <c r="T81" i="23086" s="1"/>
  <c r="T75" i="23086"/>
  <c r="T76" i="23086"/>
  <c r="T67" i="23086"/>
  <c r="AB64" i="23086"/>
  <c r="E80" i="23086"/>
  <c r="E81" i="23086" s="1"/>
  <c r="N80" i="23086"/>
  <c r="N81" i="23086" s="1"/>
  <c r="Z59" i="23086"/>
  <c r="AH316" i="23083"/>
  <c r="AH315" i="23083"/>
  <c r="AH313" i="23083"/>
  <c r="AH103" i="23083" s="1"/>
  <c r="AH300" i="23083"/>
  <c r="AH291" i="23083"/>
  <c r="AH261" i="23083"/>
  <c r="AH259" i="23083"/>
  <c r="AH254" i="23083"/>
  <c r="AH256" i="23083" s="1"/>
  <c r="AJ256" i="23083" s="1"/>
  <c r="AH186" i="23083"/>
  <c r="AH169" i="23083"/>
  <c r="AH155" i="23083"/>
  <c r="AH141" i="23083"/>
  <c r="AH136" i="23083"/>
  <c r="AH204" i="23083"/>
  <c r="AH114" i="23083"/>
  <c r="AH110" i="23083"/>
  <c r="AH215" i="23083"/>
  <c r="AH76" i="23083"/>
  <c r="AH75" i="23083"/>
  <c r="AH68" i="23083"/>
  <c r="AH34" i="23083"/>
  <c r="AH13" i="23083"/>
  <c r="AK15" i="23083" s="1"/>
  <c r="X16" i="23086" l="1"/>
  <c r="L28" i="23083"/>
  <c r="M28" i="23083"/>
  <c r="N28" i="23083"/>
  <c r="M276" i="23083"/>
  <c r="AN150" i="23083"/>
  <c r="AQ120" i="23083"/>
  <c r="N19" i="23083"/>
  <c r="O77" i="23083"/>
  <c r="O263" i="23083"/>
  <c r="O20" i="23083"/>
  <c r="O21" i="23083" s="1"/>
  <c r="AH37" i="23083"/>
  <c r="N223" i="23083"/>
  <c r="N270" i="23083"/>
  <c r="O275" i="23083"/>
  <c r="M272" i="23083"/>
  <c r="M277" i="23083" s="1"/>
  <c r="M275" i="23083"/>
  <c r="M280" i="23083"/>
  <c r="N280" i="23083" s="1"/>
  <c r="N282" i="23083"/>
  <c r="M12" i="23083"/>
  <c r="AH142" i="23083"/>
  <c r="N281" i="23083"/>
  <c r="N262" i="23083"/>
  <c r="O276" i="23083"/>
  <c r="AT147" i="23083"/>
  <c r="M233" i="23083"/>
  <c r="M38" i="23083"/>
  <c r="M230" i="23083"/>
  <c r="L126" i="23083"/>
  <c r="M14" i="23083"/>
  <c r="M213" i="23083"/>
  <c r="M214" i="23083" s="1"/>
  <c r="M91" i="23083"/>
  <c r="M321" i="23083"/>
  <c r="M232" i="23083"/>
  <c r="M89" i="23083"/>
  <c r="M126" i="23083"/>
  <c r="M322" i="23083"/>
  <c r="M93" i="23083"/>
  <c r="M90" i="23083"/>
  <c r="M24" i="23083"/>
  <c r="M231" i="23083"/>
  <c r="M227" i="23083"/>
  <c r="Q262" i="23083"/>
  <c r="R263" i="23083"/>
  <c r="Z262" i="23083"/>
  <c r="AA263" i="23083"/>
  <c r="T262" i="23083"/>
  <c r="U263" i="23083"/>
  <c r="W262" i="23083"/>
  <c r="X263" i="23083"/>
  <c r="O277" i="23083"/>
  <c r="AC262" i="23083"/>
  <c r="AD263" i="23083"/>
  <c r="L24" i="23083"/>
  <c r="L38" i="23083"/>
  <c r="L321" i="23083"/>
  <c r="L232" i="23083"/>
  <c r="L45" i="23083"/>
  <c r="L322" i="23083"/>
  <c r="L14" i="23083"/>
  <c r="L227" i="23083"/>
  <c r="L233" i="23083"/>
  <c r="L225" i="23083"/>
  <c r="L91" i="23083"/>
  <c r="L231" i="23083"/>
  <c r="L89" i="23083"/>
  <c r="L230" i="23083"/>
  <c r="L93" i="23083"/>
  <c r="L90" i="23083"/>
  <c r="L12" i="23083"/>
  <c r="AB8" i="23083"/>
  <c r="I74" i="23086"/>
  <c r="Q5" i="23083"/>
  <c r="I67" i="23086"/>
  <c r="N227" i="23083"/>
  <c r="N126" i="23083"/>
  <c r="N89" i="23083"/>
  <c r="N14" i="23083"/>
  <c r="N90" i="23083"/>
  <c r="N322" i="23083"/>
  <c r="N230" i="23083"/>
  <c r="N231" i="23083"/>
  <c r="N321" i="23083"/>
  <c r="N232" i="23083"/>
  <c r="N93" i="23083"/>
  <c r="N233" i="23083"/>
  <c r="N12" i="23083"/>
  <c r="AH222" i="23083"/>
  <c r="N124" i="23083"/>
  <c r="AC187" i="23083"/>
  <c r="Z187" i="23083"/>
  <c r="W187" i="23083"/>
  <c r="T187" i="23083"/>
  <c r="Q187" i="23083"/>
  <c r="N187" i="23083"/>
  <c r="M45" i="23083"/>
  <c r="AH304" i="23083"/>
  <c r="AH307" i="23083" s="1"/>
  <c r="AH247" i="23083"/>
  <c r="Q106" i="23083"/>
  <c r="R121" i="23083"/>
  <c r="AH177" i="23083"/>
  <c r="AH260" i="23083"/>
  <c r="AH317" i="23083"/>
  <c r="AH319" i="23083" s="1"/>
  <c r="AE64" i="23086"/>
  <c r="AH116" i="23083"/>
  <c r="AH99" i="23083"/>
  <c r="AH305" i="23083"/>
  <c r="AH104" i="23083"/>
  <c r="AH226" i="23083"/>
  <c r="AH158" i="23083"/>
  <c r="AH160" i="23083" s="1"/>
  <c r="AH218" i="23083"/>
  <c r="AG259" i="23083"/>
  <c r="AF257" i="23083"/>
  <c r="AG254" i="23083"/>
  <c r="AG256" i="23083" s="1"/>
  <c r="AF256" i="23083" s="1"/>
  <c r="AF254" i="23083"/>
  <c r="V222" i="23083"/>
  <c r="W218" i="23083"/>
  <c r="V218" i="23083"/>
  <c r="Z218" i="23083"/>
  <c r="Y218" i="23083"/>
  <c r="Y221" i="23083" s="1"/>
  <c r="Y222" i="23083"/>
  <c r="AE218" i="23083"/>
  <c r="AE221" i="23083" s="1"/>
  <c r="AG141" i="23083"/>
  <c r="AG204" i="23083"/>
  <c r="AF115" i="23083"/>
  <c r="U76" i="23083"/>
  <c r="S76" i="23083"/>
  <c r="U75" i="23083"/>
  <c r="S75" i="23083"/>
  <c r="X76" i="23083"/>
  <c r="V76" i="23083"/>
  <c r="X75" i="23083"/>
  <c r="V75" i="23083"/>
  <c r="AG76" i="23083"/>
  <c r="AG75" i="23083"/>
  <c r="B76" i="23083"/>
  <c r="B77" i="23083"/>
  <c r="B75" i="23083"/>
  <c r="B90" i="23083"/>
  <c r="B91" i="23083"/>
  <c r="B89" i="23083"/>
  <c r="Z42" i="23083"/>
  <c r="W42" i="23083"/>
  <c r="Z41" i="23083"/>
  <c r="W41" i="23083"/>
  <c r="AA34" i="23083"/>
  <c r="Y34" i="23083"/>
  <c r="X34" i="23083"/>
  <c r="V34" i="23083"/>
  <c r="Z18" i="23083"/>
  <c r="W18" i="23083"/>
  <c r="Z17" i="23083"/>
  <c r="W17" i="23083"/>
  <c r="AC42" i="23083"/>
  <c r="AC41" i="23083"/>
  <c r="P20" i="23083"/>
  <c r="AA66" i="23086"/>
  <c r="M104" i="23086"/>
  <c r="P60" i="23086"/>
  <c r="N60" i="23086"/>
  <c r="P59" i="23086"/>
  <c r="N59" i="23086"/>
  <c r="Y60" i="23086"/>
  <c r="Y59" i="23086"/>
  <c r="V60" i="23086"/>
  <c r="V59" i="23086"/>
  <c r="T59" i="23086"/>
  <c r="S60" i="23086"/>
  <c r="S59" i="23086"/>
  <c r="Q59" i="23086"/>
  <c r="O58" i="23086"/>
  <c r="O96" i="23086"/>
  <c r="O95" i="23086"/>
  <c r="O94" i="23086"/>
  <c r="R96" i="23086"/>
  <c r="R95" i="23086"/>
  <c r="R94" i="23086"/>
  <c r="R58" i="23086"/>
  <c r="U96" i="23086"/>
  <c r="U95" i="23086"/>
  <c r="U94" i="23086"/>
  <c r="X95" i="23086"/>
  <c r="X96" i="23086"/>
  <c r="X94" i="23086"/>
  <c r="V104" i="23086"/>
  <c r="U58" i="23086"/>
  <c r="W60" i="23086" s="1"/>
  <c r="X58" i="23086"/>
  <c r="AA59" i="23086" s="1"/>
  <c r="H2" i="23086"/>
  <c r="I2" i="23086"/>
  <c r="O78" i="23083" l="1"/>
  <c r="N276" i="23083"/>
  <c r="N91" i="23083"/>
  <c r="AN158" i="23083"/>
  <c r="AN160" i="23083" s="1"/>
  <c r="N20" i="23083"/>
  <c r="N275" i="23083"/>
  <c r="W324" i="23083"/>
  <c r="Z324" i="23083"/>
  <c r="Z326" i="23083" s="1"/>
  <c r="N272" i="23083"/>
  <c r="AR120" i="23083"/>
  <c r="AU147" i="23083"/>
  <c r="AA37" i="23083"/>
  <c r="Y37" i="23083"/>
  <c r="V37" i="23083"/>
  <c r="AH262" i="23083"/>
  <c r="AG142" i="23083"/>
  <c r="N277" i="23083"/>
  <c r="AI7" i="23083"/>
  <c r="Q8" i="23083"/>
  <c r="Q9" i="23083" s="1"/>
  <c r="AH306" i="23083"/>
  <c r="AH308" i="23083" s="1"/>
  <c r="W315" i="23083"/>
  <c r="W317" i="23083" s="1"/>
  <c r="W319" i="23083" s="1"/>
  <c r="Z315" i="23083"/>
  <c r="Z317" i="23083" s="1"/>
  <c r="Z319" i="23083" s="1"/>
  <c r="W215" i="23083"/>
  <c r="Z215" i="23083"/>
  <c r="AF259" i="23083"/>
  <c r="AH69" i="23083"/>
  <c r="AH179" i="23083"/>
  <c r="R124" i="23083"/>
  <c r="Q121" i="23083"/>
  <c r="P21" i="23083"/>
  <c r="P78" i="23083"/>
  <c r="AF260" i="23083"/>
  <c r="Z222" i="23083"/>
  <c r="O98" i="23086"/>
  <c r="U98" i="23086"/>
  <c r="U104" i="23086" s="1"/>
  <c r="R98" i="23086"/>
  <c r="X98" i="23086"/>
  <c r="X104" i="23086" s="1"/>
  <c r="Z60" i="23086"/>
  <c r="X66" i="23086"/>
  <c r="O60" i="23086"/>
  <c r="O66" i="23086"/>
  <c r="J103" i="23086"/>
  <c r="J104" i="23086"/>
  <c r="U60" i="23086"/>
  <c r="U66" i="23086"/>
  <c r="T60" i="23086"/>
  <c r="R66" i="23086"/>
  <c r="N102" i="23086"/>
  <c r="N104" i="23086"/>
  <c r="Q102" i="23086"/>
  <c r="Q104" i="23086"/>
  <c r="P105" i="23086"/>
  <c r="P104" i="23086"/>
  <c r="S105" i="23086"/>
  <c r="S104" i="23086"/>
  <c r="T103" i="23086"/>
  <c r="T104" i="23086"/>
  <c r="W103" i="23086"/>
  <c r="W104" i="23086"/>
  <c r="T101" i="23086"/>
  <c r="J102" i="23086"/>
  <c r="S101" i="23086"/>
  <c r="W102" i="23086"/>
  <c r="R60" i="23086"/>
  <c r="J101" i="23086"/>
  <c r="W101" i="23086"/>
  <c r="T105" i="23086"/>
  <c r="U59" i="23086"/>
  <c r="P101" i="23086"/>
  <c r="X60" i="23086"/>
  <c r="P102" i="23086"/>
  <c r="S102" i="23086"/>
  <c r="V105" i="23086"/>
  <c r="Q60" i="23086"/>
  <c r="O59" i="23086"/>
  <c r="V101" i="23086"/>
  <c r="R59" i="23086"/>
  <c r="X59" i="23086"/>
  <c r="P103" i="23086"/>
  <c r="S103" i="23086"/>
  <c r="T102" i="23086"/>
  <c r="J105" i="23086"/>
  <c r="AH5" i="23083"/>
  <c r="AH221" i="23083"/>
  <c r="AH220" i="23083"/>
  <c r="AH219" i="23083"/>
  <c r="AH106" i="23083"/>
  <c r="AH121" i="23083" s="1"/>
  <c r="AH124" i="23083" s="1"/>
  <c r="AH293" i="23083"/>
  <c r="Z229" i="23083"/>
  <c r="W229" i="23083"/>
  <c r="V221" i="23083"/>
  <c r="W221" i="23083"/>
  <c r="V220" i="23083"/>
  <c r="W220" i="23083"/>
  <c r="Y220" i="23083"/>
  <c r="Z221" i="23083"/>
  <c r="Z220" i="23083"/>
  <c r="AE220" i="23083"/>
  <c r="Q101" i="23086"/>
  <c r="M101" i="23086"/>
  <c r="M102" i="23086"/>
  <c r="M103" i="23086"/>
  <c r="M105" i="23086"/>
  <c r="W34" i="23083"/>
  <c r="Z34" i="23083"/>
  <c r="W105" i="23086"/>
  <c r="V102" i="23086"/>
  <c r="V103" i="23086"/>
  <c r="N101" i="23086"/>
  <c r="Q105" i="23086"/>
  <c r="N105" i="23086"/>
  <c r="N103" i="23086"/>
  <c r="Q103" i="23086"/>
  <c r="AN187" i="23083" l="1"/>
  <c r="AH297" i="23083"/>
  <c r="AH263" i="23083"/>
  <c r="Z37" i="23083"/>
  <c r="AF142" i="23083"/>
  <c r="AK39" i="23083"/>
  <c r="AN5" i="23083"/>
  <c r="Q93" i="23083"/>
  <c r="Q12" i="23083"/>
  <c r="Q227" i="23083"/>
  <c r="Q233" i="23083"/>
  <c r="Q231" i="23083"/>
  <c r="Q14" i="23083"/>
  <c r="Q232" i="23083"/>
  <c r="Q10" i="23083"/>
  <c r="Q230" i="23083"/>
  <c r="Q74" i="23083"/>
  <c r="Q126" i="23083"/>
  <c r="AC7" i="23083"/>
  <c r="X67" i="23086"/>
  <c r="AF7" i="23083"/>
  <c r="AH187" i="23083"/>
  <c r="Z7" i="23083"/>
  <c r="W7" i="23083"/>
  <c r="AB66" i="23086"/>
  <c r="AG260" i="23083"/>
  <c r="Q124" i="23083"/>
  <c r="N226" i="23083"/>
  <c r="N219" i="23083"/>
  <c r="N24" i="23083"/>
  <c r="AH9" i="23083"/>
  <c r="O76" i="23086"/>
  <c r="X80" i="23086"/>
  <c r="X81" i="23086" s="1"/>
  <c r="X75" i="23086"/>
  <c r="X76" i="23086"/>
  <c r="O70" i="23086"/>
  <c r="T70" i="23086"/>
  <c r="X70" i="23086"/>
  <c r="Z70" i="23086"/>
  <c r="O103" i="23086"/>
  <c r="O104" i="23086"/>
  <c r="R105" i="23086"/>
  <c r="R104" i="23086"/>
  <c r="Z83" i="23086"/>
  <c r="Z74" i="23086"/>
  <c r="AH210" i="23083"/>
  <c r="X105" i="23086"/>
  <c r="X102" i="23086"/>
  <c r="X103" i="23086"/>
  <c r="X101" i="23086"/>
  <c r="U103" i="23086"/>
  <c r="U102" i="23086"/>
  <c r="U105" i="23086"/>
  <c r="U101" i="23086"/>
  <c r="O101" i="23086"/>
  <c r="O105" i="23086"/>
  <c r="O102" i="23086"/>
  <c r="R101" i="23086"/>
  <c r="R103" i="23086"/>
  <c r="R102" i="23086"/>
  <c r="AH28" i="23083" l="1"/>
  <c r="AK74" i="23083"/>
  <c r="AK10" i="23083"/>
  <c r="AH223" i="23083"/>
  <c r="AI43" i="23083"/>
  <c r="AG262" i="23083"/>
  <c r="AH86" i="23083"/>
  <c r="AF8" i="23083"/>
  <c r="AJ7" i="23083"/>
  <c r="U80" i="23086"/>
  <c r="U81" i="23086" s="1"/>
  <c r="U83" i="23086"/>
  <c r="AH19" i="23083"/>
  <c r="AH24" i="23083"/>
  <c r="AH227" i="23083"/>
  <c r="AH231" i="23083"/>
  <c r="AH232" i="23083"/>
  <c r="AH233" i="23083"/>
  <c r="AH12" i="23083"/>
  <c r="AH38" i="23083"/>
  <c r="AH89" i="23083"/>
  <c r="N38" i="23083"/>
  <c r="N44" i="23083"/>
  <c r="AH90" i="23083"/>
  <c r="AH93" i="23083"/>
  <c r="AH14" i="23083"/>
  <c r="AH322" i="23083"/>
  <c r="AH321" i="23083"/>
  <c r="AH230" i="23083"/>
  <c r="AH126" i="23083"/>
  <c r="Q70" i="23086"/>
  <c r="O80" i="23086"/>
  <c r="O75" i="23086"/>
  <c r="O67" i="23086"/>
  <c r="R76" i="23086"/>
  <c r="R80" i="23086"/>
  <c r="R81" i="23086" s="1"/>
  <c r="R83" i="23086"/>
  <c r="R70" i="23086"/>
  <c r="R67" i="23086"/>
  <c r="R75" i="23086"/>
  <c r="U76" i="23086"/>
  <c r="U67" i="23086"/>
  <c r="W70" i="23086"/>
  <c r="U70" i="23086"/>
  <c r="U75" i="23086"/>
  <c r="AH45" i="23083"/>
  <c r="AH20" i="23083" l="1"/>
  <c r="AK77" i="23083"/>
  <c r="AB80" i="23086"/>
  <c r="AB81" i="23086" s="1"/>
  <c r="AB76" i="23086"/>
  <c r="AH91" i="23083"/>
  <c r="AF262" i="23083"/>
  <c r="W8" i="23083"/>
  <c r="AC8" i="23083"/>
  <c r="Z8" i="23083"/>
  <c r="N45" i="23083"/>
  <c r="AH85" i="23083"/>
  <c r="AH51" i="23083"/>
  <c r="AK80" i="23083" s="1"/>
  <c r="AK78" i="23083" l="1"/>
  <c r="AK21" i="23083"/>
  <c r="AH55" i="23083"/>
  <c r="AH59" i="23083" l="1"/>
  <c r="AK81" i="23083"/>
  <c r="AH57" i="23083"/>
  <c r="AB14" i="23086"/>
  <c r="AH70" i="23083"/>
  <c r="AH267" i="23083"/>
  <c r="AH71" i="23083"/>
  <c r="AH56" i="23083" l="1"/>
  <c r="AA14" i="23086"/>
  <c r="AH270" i="23083"/>
  <c r="AH281" i="23083"/>
  <c r="AG313" i="23083"/>
  <c r="AF117" i="23083"/>
  <c r="AF108" i="23083"/>
  <c r="AG99" i="23083"/>
  <c r="AH271" i="23083" l="1"/>
  <c r="AH282" i="23083" s="1"/>
  <c r="AH276" i="23083"/>
  <c r="AH290" i="23083"/>
  <c r="AH292" i="23083" s="1"/>
  <c r="AH296" i="23083" s="1"/>
  <c r="AH275" i="23083"/>
  <c r="AH280" i="23083"/>
  <c r="AH272" i="23083"/>
  <c r="AH277" i="23083" l="1"/>
  <c r="AE222" i="23083" l="1"/>
  <c r="AF168" i="23083" l="1"/>
  <c r="AI176" i="23083"/>
  <c r="AF176" i="23083"/>
  <c r="AI167" i="23083"/>
  <c r="AL176" i="23083" l="1"/>
  <c r="AL167" i="23083" l="1"/>
  <c r="AQ167" i="23083" l="1"/>
  <c r="AL168" i="23083"/>
  <c r="AQ168" i="23083" l="1"/>
  <c r="AS168" i="23083"/>
  <c r="AR168" i="23083" l="1"/>
  <c r="AT168" i="23083"/>
  <c r="AU168" i="23083" l="1"/>
  <c r="AD218" i="23083" l="1"/>
  <c r="AB218" i="23083"/>
  <c r="AA218" i="23083"/>
  <c r="X218" i="23083"/>
  <c r="U218" i="23083"/>
  <c r="AL7" i="23083" l="1"/>
  <c r="AI204" i="23083"/>
  <c r="AD204" i="23083"/>
  <c r="AB204" i="23083"/>
  <c r="AA204" i="23083"/>
  <c r="Y204" i="23083"/>
  <c r="X204" i="23083"/>
  <c r="V204" i="23083"/>
  <c r="U204" i="23083"/>
  <c r="S204" i="23083"/>
  <c r="R204" i="23083"/>
  <c r="AE204" i="23083"/>
  <c r="AG316" i="23083"/>
  <c r="AB103" i="23083"/>
  <c r="AE305" i="23083"/>
  <c r="AD305" i="23083"/>
  <c r="AB305" i="23083"/>
  <c r="AA305" i="23083"/>
  <c r="Y305" i="23083"/>
  <c r="X305" i="23083"/>
  <c r="V305" i="23083"/>
  <c r="U305" i="23083"/>
  <c r="S300" i="23083"/>
  <c r="AE300" i="23083"/>
  <c r="AB300" i="23083"/>
  <c r="R271" i="23083"/>
  <c r="Q271" i="23083" s="1"/>
  <c r="W222" i="23083"/>
  <c r="AL98" i="23083"/>
  <c r="AF123" i="23083"/>
  <c r="AF119" i="23083"/>
  <c r="AF118" i="23083"/>
  <c r="AF113" i="23083"/>
  <c r="AF112" i="23083"/>
  <c r="AF111" i="23083"/>
  <c r="AF109" i="23083"/>
  <c r="AG291" i="23083"/>
  <c r="AF174" i="23083"/>
  <c r="AF165" i="23083"/>
  <c r="AF156" i="23083"/>
  <c r="AF134" i="23083"/>
  <c r="AG114" i="23083"/>
  <c r="R13" i="23083"/>
  <c r="AD34" i="23083"/>
  <c r="AB34" i="23083"/>
  <c r="U34" i="23083"/>
  <c r="S34" i="23083"/>
  <c r="R34" i="23083"/>
  <c r="P34" i="23083"/>
  <c r="AE34" i="23083"/>
  <c r="AK271" i="23083"/>
  <c r="AK110" i="23083"/>
  <c r="U13" i="23083"/>
  <c r="AB37" i="23083" l="1"/>
  <c r="U37" i="23083"/>
  <c r="AE37" i="23083"/>
  <c r="AD37" i="23083"/>
  <c r="R37" i="23083"/>
  <c r="S37" i="23083"/>
  <c r="AB104" i="23083"/>
  <c r="AB106" i="23083" s="1"/>
  <c r="AB121" i="23083" s="1"/>
  <c r="AB124" i="23083" s="1"/>
  <c r="AC222" i="23083"/>
  <c r="AF139" i="23083"/>
  <c r="AF173" i="23083"/>
  <c r="AF145" i="23083"/>
  <c r="AF163" i="23083"/>
  <c r="AC218" i="23083"/>
  <c r="AF132" i="23083"/>
  <c r="AG222" i="23083"/>
  <c r="AG110" i="23083"/>
  <c r="AG315" i="23083"/>
  <c r="AG317" i="23083" s="1"/>
  <c r="AG319" i="23083" s="1"/>
  <c r="AF141" i="23083"/>
  <c r="AC34" i="23083"/>
  <c r="AK114" i="23083"/>
  <c r="T34" i="23083"/>
  <c r="AI33" i="23083"/>
  <c r="AL33" i="23083"/>
  <c r="T37" i="23083" l="1"/>
  <c r="AC37" i="23083"/>
  <c r="AG116" i="23083"/>
  <c r="AC220" i="23083"/>
  <c r="AC221" i="23083"/>
  <c r="AF222" i="23083"/>
  <c r="AF155" i="23083"/>
  <c r="AK116" i="23083"/>
  <c r="W7" i="23086" l="1"/>
  <c r="B83" i="23086"/>
  <c r="AE13" i="23083"/>
  <c r="AB13" i="23083"/>
  <c r="V13" i="23083"/>
  <c r="V210" i="23083" s="1"/>
  <c r="S13" i="23083"/>
  <c r="P13" i="23083"/>
  <c r="O13" i="23083"/>
  <c r="P15" i="23083" l="1"/>
  <c r="P27" i="23083"/>
  <c r="O15" i="23083"/>
  <c r="AH15" i="23083"/>
  <c r="V219" i="23083"/>
  <c r="Y13" i="23083"/>
  <c r="AD13" i="23083"/>
  <c r="X13" i="23083"/>
  <c r="AA13" i="23083"/>
  <c r="T13" i="23083"/>
  <c r="P326" i="23083" l="1"/>
  <c r="P96" i="23083"/>
  <c r="P37" i="23083"/>
  <c r="AE66" i="23086"/>
  <c r="AE59" i="23086"/>
  <c r="V43" i="23083"/>
  <c r="Y210" i="23083"/>
  <c r="Y219" i="23083"/>
  <c r="Y25" i="23083"/>
  <c r="AE60" i="23086"/>
  <c r="N2" i="23083"/>
  <c r="M2" i="23083"/>
  <c r="Q2" i="23083"/>
  <c r="P2" i="23083"/>
  <c r="T2" i="23083"/>
  <c r="S2" i="23083"/>
  <c r="W2" i="23083"/>
  <c r="V2" i="23083"/>
  <c r="Z2" i="23083"/>
  <c r="Y2" i="23083"/>
  <c r="AC2" i="23083"/>
  <c r="AB2" i="23083"/>
  <c r="L2" i="23086"/>
  <c r="K2" i="23086"/>
  <c r="O2" i="23086"/>
  <c r="N2" i="23086"/>
  <c r="R2" i="23086"/>
  <c r="Q2" i="23086"/>
  <c r="U2" i="23086"/>
  <c r="T2" i="23086"/>
  <c r="V19" i="23083" l="1"/>
  <c r="AM7" i="23083"/>
  <c r="Y43" i="23083"/>
  <c r="Z210" i="23083"/>
  <c r="AA210" i="23083"/>
  <c r="V51" i="23083"/>
  <c r="Y39" i="23083"/>
  <c r="AI134" i="23083"/>
  <c r="Y75" i="23083"/>
  <c r="Y76" i="23083"/>
  <c r="AB75" i="23083"/>
  <c r="AB76" i="23083"/>
  <c r="AE75" i="23083"/>
  <c r="AE76" i="23083"/>
  <c r="P68" i="23083"/>
  <c r="R67" i="23083"/>
  <c r="R66" i="23083"/>
  <c r="T68" i="23083"/>
  <c r="S68" i="23083"/>
  <c r="U67" i="23083"/>
  <c r="U66" i="23083"/>
  <c r="AA67" i="23083"/>
  <c r="AA66" i="23083"/>
  <c r="X67" i="23083"/>
  <c r="X66" i="23083"/>
  <c r="AD67" i="23083"/>
  <c r="AD66" i="23083"/>
  <c r="V20" i="23083" l="1"/>
  <c r="Y19" i="23083"/>
  <c r="AA43" i="23083"/>
  <c r="V55" i="23083"/>
  <c r="Y51" i="23083"/>
  <c r="Y55" i="23083" s="1"/>
  <c r="AI163" i="23083"/>
  <c r="AI132" i="23083"/>
  <c r="U300" i="23083"/>
  <c r="T300" i="23083" s="1"/>
  <c r="AD300" i="23083"/>
  <c r="U68" i="23083"/>
  <c r="R68" i="23083"/>
  <c r="AQ17" i="23083" l="1"/>
  <c r="Y59" i="23083"/>
  <c r="V59" i="23083"/>
  <c r="AA19" i="23083"/>
  <c r="Z43" i="23083"/>
  <c r="Y77" i="23083"/>
  <c r="Y20" i="23083"/>
  <c r="Y57" i="23083"/>
  <c r="V57" i="23083"/>
  <c r="AA51" i="23083"/>
  <c r="X51" i="23083"/>
  <c r="AC300" i="23083"/>
  <c r="U69" i="23083"/>
  <c r="AA20" i="23083" l="1"/>
  <c r="Z19" i="23083"/>
  <c r="X249" i="23083"/>
  <c r="X250" i="23083" s="1"/>
  <c r="W51" i="23083"/>
  <c r="AA249" i="23083"/>
  <c r="AA250" i="23083" s="1"/>
  <c r="Z51" i="23083"/>
  <c r="Z55" i="23083" s="1"/>
  <c r="V56" i="23083"/>
  <c r="Y56" i="23083"/>
  <c r="Y21" i="23083"/>
  <c r="X55" i="23083"/>
  <c r="AA55" i="23083"/>
  <c r="AA59" i="23083" l="1"/>
  <c r="Z20" i="23083"/>
  <c r="Z59" i="23083"/>
  <c r="X59" i="23083"/>
  <c r="Z57" i="23083"/>
  <c r="X57" i="23083"/>
  <c r="AA57" i="23083"/>
  <c r="W55" i="23083"/>
  <c r="W59" i="23083" l="1"/>
  <c r="X56" i="23083"/>
  <c r="W57" i="23083"/>
  <c r="AA56" i="23083"/>
  <c r="W56" i="23083" l="1"/>
  <c r="Z56" i="23083"/>
  <c r="V103" i="23083" l="1"/>
  <c r="Y103" i="23083"/>
  <c r="AF312" i="23083"/>
  <c r="AF311" i="23083"/>
  <c r="AE103" i="23083"/>
  <c r="Y223" i="23083" l="1"/>
  <c r="V223" i="23083"/>
  <c r="V104" i="23083"/>
  <c r="V106" i="23083" s="1"/>
  <c r="V121" i="23083" s="1"/>
  <c r="V124" i="23083" s="1"/>
  <c r="V226" i="23083"/>
  <c r="Y104" i="23083"/>
  <c r="Y106" i="23083" s="1"/>
  <c r="Y121" i="23083" s="1"/>
  <c r="Y124" i="23083" s="1"/>
  <c r="Y226" i="23083"/>
  <c r="AE104" i="23083"/>
  <c r="AE106" i="23083" s="1"/>
  <c r="AE121" i="23083" s="1"/>
  <c r="AE124" i="23083" s="1"/>
  <c r="V271" i="23083"/>
  <c r="Y86" i="23083"/>
  <c r="T17" i="23083"/>
  <c r="T18" i="23083"/>
  <c r="S15" i="23083"/>
  <c r="V15" i="23083"/>
  <c r="Y78" i="23083"/>
  <c r="Y15" i="23083"/>
  <c r="AC17" i="23083"/>
  <c r="AC18" i="23083"/>
  <c r="AC324" i="23083" l="1"/>
  <c r="AC326" i="23083" s="1"/>
  <c r="T324" i="23083"/>
  <c r="T326" i="23083" s="1"/>
  <c r="AC315" i="23083"/>
  <c r="AC317" i="23083" s="1"/>
  <c r="AC319" i="23083" s="1"/>
  <c r="T315" i="23083"/>
  <c r="T317" i="23083" s="1"/>
  <c r="T319" i="23083" s="1"/>
  <c r="S98" i="23083"/>
  <c r="S212" i="23083"/>
  <c r="S210" i="23083"/>
  <c r="P82" i="23083"/>
  <c r="Q315" i="23083"/>
  <c r="Q317" i="23083" s="1"/>
  <c r="T75" i="23083"/>
  <c r="W75" i="23083"/>
  <c r="V79" i="23083"/>
  <c r="T76" i="23083"/>
  <c r="W76" i="23083"/>
  <c r="V25" i="23083"/>
  <c r="AC75" i="23083"/>
  <c r="Z76" i="23083"/>
  <c r="Z75" i="23083"/>
  <c r="AC76" i="23083"/>
  <c r="T15" i="23083"/>
  <c r="AF17" i="23083"/>
  <c r="S43" i="23083" l="1"/>
  <c r="S213" i="23083"/>
  <c r="S214" i="23083" s="1"/>
  <c r="Q319" i="23083"/>
  <c r="V39" i="23083"/>
  <c r="AF75" i="23083"/>
  <c r="Y79" i="23083"/>
  <c r="S19" i="23083" l="1"/>
  <c r="S223" i="23083"/>
  <c r="S51" i="23083"/>
  <c r="V77" i="23083" l="1"/>
  <c r="S77" i="23083"/>
  <c r="S20" i="23083"/>
  <c r="S55" i="23083"/>
  <c r="V80" i="23083"/>
  <c r="P51" i="23083"/>
  <c r="P80" i="23083" s="1"/>
  <c r="S59" i="23083" l="1"/>
  <c r="S21" i="23083"/>
  <c r="S78" i="23083"/>
  <c r="V78" i="23083"/>
  <c r="V21" i="23083"/>
  <c r="S57" i="23083"/>
  <c r="P55" i="23083"/>
  <c r="S80" i="23083"/>
  <c r="S267" i="23083"/>
  <c r="V81" i="23083"/>
  <c r="V267" i="23083"/>
  <c r="Y85" i="23083"/>
  <c r="P59" i="23083" l="1"/>
  <c r="P267" i="23083"/>
  <c r="P281" i="23083" s="1"/>
  <c r="P57" i="23083"/>
  <c r="P81" i="23083"/>
  <c r="S81" i="23083"/>
  <c r="S281" i="23083"/>
  <c r="S270" i="23083"/>
  <c r="V270" i="23083"/>
  <c r="V281" i="23083"/>
  <c r="V282" i="23083"/>
  <c r="Y80" i="23083"/>
  <c r="P270" i="23083" l="1"/>
  <c r="P282" i="23083"/>
  <c r="P275" i="23083"/>
  <c r="P272" i="23083"/>
  <c r="P280" i="23083"/>
  <c r="P276" i="23083"/>
  <c r="S276" i="23083"/>
  <c r="S275" i="23083"/>
  <c r="S82" i="23083" s="1"/>
  <c r="S280" i="23083"/>
  <c r="V272" i="23083"/>
  <c r="V280" i="23083"/>
  <c r="V276" i="23083"/>
  <c r="V275" i="23083"/>
  <c r="Y81" i="23083"/>
  <c r="P277" i="23083" l="1"/>
  <c r="V277" i="23083"/>
  <c r="V285" i="23083"/>
  <c r="V82" i="23083"/>
  <c r="AF120" i="23083" l="1"/>
  <c r="AF316" i="23083"/>
  <c r="U103" i="23083"/>
  <c r="X103" i="23083"/>
  <c r="AA103" i="23083"/>
  <c r="AD103" i="23083"/>
  <c r="W305" i="23083"/>
  <c r="AD75" i="23083"/>
  <c r="AD76" i="23083"/>
  <c r="AA75" i="23083"/>
  <c r="AA76" i="23083"/>
  <c r="AE15" i="23083"/>
  <c r="AD15" i="23083"/>
  <c r="AB15" i="23083"/>
  <c r="AA15" i="23083"/>
  <c r="X15" i="23083"/>
  <c r="U15" i="23083"/>
  <c r="R15" i="23083"/>
  <c r="O5" i="23083"/>
  <c r="O9" i="23083" s="1"/>
  <c r="P5" i="23083"/>
  <c r="P9" i="23083" s="1"/>
  <c r="O28" i="23083" l="1"/>
  <c r="P227" i="23083"/>
  <c r="O227" i="23083"/>
  <c r="AC215" i="23083"/>
  <c r="AA223" i="23083"/>
  <c r="X223" i="23083"/>
  <c r="T204" i="23083"/>
  <c r="O231" i="23083"/>
  <c r="O232" i="23083"/>
  <c r="O233" i="23083"/>
  <c r="O230" i="23083"/>
  <c r="O225" i="23083"/>
  <c r="O126" i="23083"/>
  <c r="T215" i="23083"/>
  <c r="P232" i="23083"/>
  <c r="P233" i="23083"/>
  <c r="P231" i="23083"/>
  <c r="P230" i="23083"/>
  <c r="P126" i="23083"/>
  <c r="P10" i="23083"/>
  <c r="P74" i="23083"/>
  <c r="P93" i="23083"/>
  <c r="O24" i="23083"/>
  <c r="O89" i="23083"/>
  <c r="O74" i="23083"/>
  <c r="O10" i="23083"/>
  <c r="O90" i="23083"/>
  <c r="O93" i="23083"/>
  <c r="O38" i="23083"/>
  <c r="O45" i="23083"/>
  <c r="O91" i="23083"/>
  <c r="O322" i="23083"/>
  <c r="O321" i="23083"/>
  <c r="P322" i="23083"/>
  <c r="P321" i="23083"/>
  <c r="U104" i="23083"/>
  <c r="T103" i="23083"/>
  <c r="X104" i="23083"/>
  <c r="W103" i="23083"/>
  <c r="AA104" i="23083"/>
  <c r="Z103" i="23083"/>
  <c r="AD104" i="23083"/>
  <c r="AC103" i="23083"/>
  <c r="Z305" i="23083"/>
  <c r="AC305" i="23083"/>
  <c r="AF175" i="23083"/>
  <c r="AG177" i="23083"/>
  <c r="AF167" i="23083"/>
  <c r="AI17" i="23083"/>
  <c r="O86" i="23083"/>
  <c r="AA86" i="23083"/>
  <c r="AF18" i="23083"/>
  <c r="AD210" i="23083"/>
  <c r="AF324" i="23083" l="1"/>
  <c r="AF326" i="23083" s="1"/>
  <c r="AI75" i="23083"/>
  <c r="AI76" i="23083"/>
  <c r="Z223" i="23083"/>
  <c r="T210" i="23083"/>
  <c r="U210" i="23083"/>
  <c r="T104" i="23083"/>
  <c r="U106" i="23083"/>
  <c r="X106" i="23083"/>
  <c r="W104" i="23083"/>
  <c r="AA106" i="23083"/>
  <c r="Z104" i="23083"/>
  <c r="AC104" i="23083"/>
  <c r="AD106" i="23083"/>
  <c r="U79" i="23083"/>
  <c r="AF157" i="23083"/>
  <c r="Z204" i="23083"/>
  <c r="W204" i="23083"/>
  <c r="AC204" i="23083"/>
  <c r="P90" i="23083"/>
  <c r="P89" i="23083"/>
  <c r="P91" i="23083"/>
  <c r="AL17" i="23083"/>
  <c r="AO75" i="23083" s="1"/>
  <c r="O14" i="23083"/>
  <c r="P14" i="23083"/>
  <c r="AF76" i="23083"/>
  <c r="U25" i="23083"/>
  <c r="AD25" i="23083"/>
  <c r="P12" i="23083"/>
  <c r="O12" i="23083"/>
  <c r="R25" i="23083"/>
  <c r="U43" i="23083" l="1"/>
  <c r="R43" i="23083"/>
  <c r="R212" i="23083"/>
  <c r="R210" i="23083"/>
  <c r="O212" i="23083"/>
  <c r="O210" i="23083"/>
  <c r="R39" i="23083"/>
  <c r="R98" i="23083"/>
  <c r="O98" i="23083"/>
  <c r="T106" i="23083"/>
  <c r="U121" i="23083"/>
  <c r="X121" i="23083"/>
  <c r="W106" i="23083"/>
  <c r="AA121" i="23083"/>
  <c r="Z106" i="23083"/>
  <c r="AC106" i="23083"/>
  <c r="AD121" i="23083"/>
  <c r="AD39" i="23083"/>
  <c r="Z86" i="23083"/>
  <c r="U39" i="23083"/>
  <c r="R51" i="23083"/>
  <c r="AL75" i="23083"/>
  <c r="AI157" i="23083"/>
  <c r="AS17" i="23083"/>
  <c r="AR17" i="23083" l="1"/>
  <c r="R249" i="23083"/>
  <c r="R250" i="23083" s="1"/>
  <c r="Q51" i="23083"/>
  <c r="AL157" i="23083"/>
  <c r="U86" i="23083"/>
  <c r="R19" i="23083"/>
  <c r="Q43" i="23083"/>
  <c r="U19" i="23083"/>
  <c r="T43" i="23083"/>
  <c r="R86" i="23083"/>
  <c r="R223" i="23083"/>
  <c r="U223" i="23083"/>
  <c r="N98" i="23083"/>
  <c r="O213" i="23083"/>
  <c r="O214" i="23083" s="1"/>
  <c r="R213" i="23083"/>
  <c r="R214" i="23083" s="1"/>
  <c r="N212" i="23083"/>
  <c r="N210" i="23083"/>
  <c r="R55" i="23083"/>
  <c r="R80" i="23083"/>
  <c r="U124" i="23083"/>
  <c r="T121" i="23083"/>
  <c r="W121" i="23083"/>
  <c r="X124" i="23083"/>
  <c r="AA124" i="23083"/>
  <c r="Z121" i="23083"/>
  <c r="AC121" i="23083"/>
  <c r="AD124" i="23083"/>
  <c r="U51" i="23083"/>
  <c r="AT17" i="23083"/>
  <c r="AQ157" i="23083" l="1"/>
  <c r="AR75" i="23083"/>
  <c r="R59" i="23083"/>
  <c r="U249" i="23083"/>
  <c r="U250" i="23083" s="1"/>
  <c r="T51" i="23083"/>
  <c r="Q19" i="23083"/>
  <c r="T223" i="23083"/>
  <c r="AS157" i="23083"/>
  <c r="AR157" i="23083" s="1"/>
  <c r="T19" i="23083"/>
  <c r="R77" i="23083"/>
  <c r="Q223" i="23083"/>
  <c r="U20" i="23083"/>
  <c r="U77" i="23083"/>
  <c r="R20" i="23083"/>
  <c r="AC124" i="23083"/>
  <c r="Z124" i="23083"/>
  <c r="W124" i="23083"/>
  <c r="T124" i="23083"/>
  <c r="N213" i="23083"/>
  <c r="N214" i="23083" s="1"/>
  <c r="R81" i="23083"/>
  <c r="R57" i="23083"/>
  <c r="Q80" i="23083"/>
  <c r="Q55" i="23083"/>
  <c r="U80" i="23083"/>
  <c r="X80" i="23083"/>
  <c r="U55" i="23083"/>
  <c r="AU17" i="23083"/>
  <c r="U59" i="23083" l="1"/>
  <c r="Q59" i="23083"/>
  <c r="Q20" i="23083"/>
  <c r="Q78" i="23083" s="1"/>
  <c r="Q77" i="23083"/>
  <c r="T20" i="23083"/>
  <c r="U21" i="23083"/>
  <c r="T77" i="23083"/>
  <c r="U78" i="23083"/>
  <c r="R78" i="23083"/>
  <c r="R21" i="23083"/>
  <c r="Q57" i="23083"/>
  <c r="U57" i="23083"/>
  <c r="U70" i="23083"/>
  <c r="Q81" i="23083"/>
  <c r="U81" i="23083"/>
  <c r="X81" i="23083"/>
  <c r="T55" i="23083"/>
  <c r="T80" i="23083"/>
  <c r="W80" i="23083"/>
  <c r="U71" i="23083"/>
  <c r="T78" i="23083" l="1"/>
  <c r="T59" i="23083"/>
  <c r="Q21" i="23083"/>
  <c r="T21" i="23083"/>
  <c r="U56" i="23083"/>
  <c r="T57" i="23083"/>
  <c r="T81" i="23083"/>
  <c r="W81" i="23083"/>
  <c r="Z80" i="23083"/>
  <c r="Z81" i="23083" l="1"/>
  <c r="AE291" i="23083" l="1"/>
  <c r="AE215" i="23083"/>
  <c r="AF110" i="23083"/>
  <c r="AF114" i="23083" l="1"/>
  <c r="AE304" i="23083"/>
  <c r="AE306" i="23083" s="1"/>
  <c r="AE308" i="23083" s="1"/>
  <c r="AE307" i="23083" l="1"/>
  <c r="AF116" i="23083"/>
  <c r="AE293" i="23083"/>
  <c r="AE297" i="23083" s="1"/>
  <c r="AE68" i="23083" l="1"/>
  <c r="AE69" i="23083" l="1"/>
  <c r="AD222" i="23083"/>
  <c r="AD304" i="23083" l="1"/>
  <c r="AE229" i="23083"/>
  <c r="AE97" i="23083" s="1"/>
  <c r="AD68" i="23083"/>
  <c r="AE98" i="23083" l="1"/>
  <c r="AC304" i="23083"/>
  <c r="AC307" i="23083" s="1"/>
  <c r="AD306" i="23083"/>
  <c r="AD308" i="23083" s="1"/>
  <c r="AD307" i="23083"/>
  <c r="AF146" i="23083"/>
  <c r="AD69" i="23083"/>
  <c r="AC306" i="23083" l="1"/>
  <c r="AC308" i="23083" s="1"/>
  <c r="AF147" i="23083"/>
  <c r="AF143" i="23083"/>
  <c r="AF149" i="23083"/>
  <c r="AF122" i="23083" l="1"/>
  <c r="AF172" i="23083"/>
  <c r="AH19" i="23123"/>
  <c r="AH17" i="23123"/>
  <c r="AH20" i="23123"/>
  <c r="AH18" i="23123"/>
  <c r="AH16" i="23123"/>
  <c r="AF177" i="23083" l="1"/>
  <c r="S11" i="23123"/>
  <c r="S7" i="23123"/>
  <c r="S9" i="23123"/>
  <c r="S5" i="23123"/>
  <c r="AB222" i="23083" l="1"/>
  <c r="AL32" i="23083" l="1"/>
  <c r="AT157" i="23083"/>
  <c r="AU157" i="23083" s="1"/>
  <c r="AB68" i="23083" l="1"/>
  <c r="AB291" i="23083"/>
  <c r="AG16" i="23123"/>
  <c r="AG20" i="23123"/>
  <c r="AG19" i="23123"/>
  <c r="AG18" i="23123"/>
  <c r="AG17" i="23123"/>
  <c r="P11" i="23123" l="1"/>
  <c r="P5" i="23123"/>
  <c r="P7" i="23123"/>
  <c r="P9" i="23123"/>
  <c r="AA222" i="23083" l="1"/>
  <c r="AD229" i="23083"/>
  <c r="AD97" i="23083" s="1"/>
  <c r="AA68" i="23083"/>
  <c r="AD98" i="23083" l="1"/>
  <c r="AA304" i="23083"/>
  <c r="AA69" i="23083"/>
  <c r="AA70" i="23083" s="1"/>
  <c r="Z304" i="23083" l="1"/>
  <c r="Z307" i="23083" s="1"/>
  <c r="AA306" i="23083"/>
  <c r="AA308" i="23083" s="1"/>
  <c r="AA307" i="23083"/>
  <c r="Z306" i="23083" l="1"/>
  <c r="Z308" i="23083" s="1"/>
  <c r="Y271" i="23083" l="1"/>
  <c r="AF20" i="23123"/>
  <c r="AF17" i="23123"/>
  <c r="AF19" i="23123"/>
  <c r="AF18" i="23123"/>
  <c r="AF16" i="23123"/>
  <c r="M9" i="23123" l="1"/>
  <c r="M11" i="23123"/>
  <c r="M7" i="23123"/>
  <c r="M5" i="23123"/>
  <c r="X222" i="23083" l="1"/>
  <c r="X68" i="23083"/>
  <c r="AA229" i="23083" l="1"/>
  <c r="AA97" i="23083" s="1"/>
  <c r="Y229" i="23083"/>
  <c r="Y97" i="23083" s="1"/>
  <c r="AA212" i="23083" l="1"/>
  <c r="Y98" i="23083"/>
  <c r="Y212" i="23083"/>
  <c r="Z97" i="23083"/>
  <c r="AA98" i="23083"/>
  <c r="AA20" i="23123"/>
  <c r="Z212" i="23083" l="1"/>
  <c r="Y213" i="23083"/>
  <c r="Y214" i="23083" s="1"/>
  <c r="Z98" i="23083"/>
  <c r="AA213" i="23083"/>
  <c r="AA214" i="23083" s="1"/>
  <c r="V304" i="23083"/>
  <c r="Z213" i="23083" l="1"/>
  <c r="Z214" i="23083" s="1"/>
  <c r="V306" i="23083"/>
  <c r="V308" i="23083" s="1"/>
  <c r="V307" i="23083"/>
  <c r="S69" i="23083" l="1"/>
  <c r="S70" i="23083" s="1"/>
  <c r="S71" i="23083" l="1"/>
  <c r="G15" i="23123"/>
  <c r="AM154" i="23083" l="1"/>
  <c r="AP154" i="23083" s="1"/>
  <c r="AQ154" i="23083" l="1"/>
  <c r="AS154" i="23083" l="1"/>
  <c r="AT154" i="23083" s="1"/>
  <c r="AU154" i="23083" s="1"/>
  <c r="Y104" i="23086" l="1"/>
  <c r="Y103" i="23086" l="1"/>
  <c r="Y102" i="23086"/>
  <c r="Y101" i="23086"/>
  <c r="Y99" i="23086"/>
  <c r="Y105" i="23086"/>
  <c r="O206" i="23083" l="1"/>
  <c r="X271" i="23083" l="1"/>
  <c r="W271" i="23083" s="1"/>
  <c r="X291" i="23083"/>
  <c r="R291" i="23083" l="1"/>
  <c r="AU271" i="23083"/>
  <c r="AT271" i="23083"/>
  <c r="AS271" i="23083"/>
  <c r="AR271" i="23083" s="1"/>
  <c r="U271" i="23083"/>
  <c r="AU114" i="23083"/>
  <c r="AT114" i="23083"/>
  <c r="AS114" i="23083"/>
  <c r="AM114" i="23083"/>
  <c r="AJ114" i="23083"/>
  <c r="AU110" i="23083"/>
  <c r="AT110" i="23083"/>
  <c r="AS110" i="23083"/>
  <c r="AM110" i="23083"/>
  <c r="AJ110" i="23083"/>
  <c r="AB19" i="23123"/>
  <c r="AC19" i="23123"/>
  <c r="AD19" i="23123"/>
  <c r="AD20" i="23123"/>
  <c r="AD16" i="23123"/>
  <c r="AE19" i="23123"/>
  <c r="AA18" i="23123"/>
  <c r="AE20" i="23123"/>
  <c r="AC16" i="23123"/>
  <c r="AA19" i="23123"/>
  <c r="AE17" i="23123"/>
  <c r="AC18" i="23123"/>
  <c r="Z19" i="23123"/>
  <c r="Z18" i="23123"/>
  <c r="AE16" i="23123"/>
  <c r="AD17" i="23123"/>
  <c r="Z16" i="23123"/>
  <c r="AA16" i="23123"/>
  <c r="AB16" i="23123"/>
  <c r="Z17" i="23123"/>
  <c r="Z20" i="23123"/>
  <c r="AB17" i="23123"/>
  <c r="AA17" i="23123"/>
  <c r="AB18" i="23123"/>
  <c r="AC20" i="23123"/>
  <c r="AE18" i="23123"/>
  <c r="AB20" i="23123"/>
  <c r="AD18" i="23123"/>
  <c r="AC17" i="23123"/>
  <c r="AR110" i="23083" l="1"/>
  <c r="AR114" i="23083"/>
  <c r="J5" i="23123"/>
  <c r="J9" i="23123"/>
  <c r="J7" i="23123"/>
  <c r="J11" i="23123"/>
  <c r="AI114" i="23083"/>
  <c r="AL114" i="23083"/>
  <c r="AL110" i="23083"/>
  <c r="AI110" i="23083"/>
  <c r="D11" i="23123"/>
  <c r="V11" i="23123" s="1"/>
  <c r="D5" i="23123"/>
  <c r="V5" i="23123" s="1"/>
  <c r="G5" i="23123"/>
  <c r="G7" i="23123"/>
  <c r="G11" i="23123"/>
  <c r="D9" i="23123"/>
  <c r="V9" i="23123" s="1"/>
  <c r="D7" i="23123"/>
  <c r="V7" i="23123" s="1"/>
  <c r="G9" i="23123"/>
  <c r="AJ116" i="23083"/>
  <c r="AT116" i="23083"/>
  <c r="AM116" i="23083"/>
  <c r="AS116" i="23083"/>
  <c r="AR116" i="23083" s="1"/>
  <c r="AU116" i="23083"/>
  <c r="U291" i="23083"/>
  <c r="AI116" i="23083" l="1"/>
  <c r="AL116" i="23083"/>
  <c r="R188" i="23083"/>
  <c r="AJ156" i="23083" l="1"/>
  <c r="AI175" i="23083" l="1"/>
  <c r="AI174" i="23083"/>
  <c r="AI173" i="23083"/>
  <c r="AK156" i="23083"/>
  <c r="AI156" i="23083"/>
  <c r="AL134" i="23083"/>
  <c r="R293" i="23083"/>
  <c r="AJ145" i="23083"/>
  <c r="AL174" i="23083" l="1"/>
  <c r="AL175" i="23083"/>
  <c r="AL156" i="23083"/>
  <c r="AL173" i="23083"/>
  <c r="AL132" i="23083"/>
  <c r="AK145" i="23083"/>
  <c r="AN145" i="23083" s="1"/>
  <c r="AI145" i="23083"/>
  <c r="AQ134" i="23083"/>
  <c r="AR134" i="23083" s="1"/>
  <c r="AM145" i="23083"/>
  <c r="AP145" i="23083" s="1"/>
  <c r="AO145" i="23083" s="1"/>
  <c r="AQ173" i="23083" l="1"/>
  <c r="AQ156" i="23083"/>
  <c r="AQ174" i="23083"/>
  <c r="AI182" i="23083"/>
  <c r="AI146" i="23083"/>
  <c r="AL163" i="23083"/>
  <c r="AL145" i="23083"/>
  <c r="AI139" i="23083"/>
  <c r="AS134" i="23083"/>
  <c r="AT134" i="23083" s="1"/>
  <c r="AU134" i="23083" s="1"/>
  <c r="AS173" i="23083"/>
  <c r="AS167" i="23083"/>
  <c r="AS156" i="23083"/>
  <c r="AS174" i="23083"/>
  <c r="AQ163" i="23083" l="1"/>
  <c r="AR173" i="23083"/>
  <c r="AT156" i="23083"/>
  <c r="AU156" i="23083" s="1"/>
  <c r="AR156" i="23083"/>
  <c r="AQ145" i="23083"/>
  <c r="AT167" i="23083"/>
  <c r="AU167" i="23083" s="1"/>
  <c r="AR167" i="23083"/>
  <c r="AT174" i="23083"/>
  <c r="AU174" i="23083" s="1"/>
  <c r="AR174" i="23083"/>
  <c r="AT173" i="23083"/>
  <c r="AL139" i="23083"/>
  <c r="AQ132" i="23083"/>
  <c r="AR132" i="23083" s="1"/>
  <c r="AL182" i="23083"/>
  <c r="AI147" i="23083"/>
  <c r="AS163" i="23083"/>
  <c r="AS145" i="23083"/>
  <c r="AR145" i="23083" s="1"/>
  <c r="AQ139" i="23083" l="1"/>
  <c r="AR163" i="23083"/>
  <c r="AQ182" i="23083"/>
  <c r="AU173" i="23083"/>
  <c r="AS132" i="23083"/>
  <c r="AL147" i="23083"/>
  <c r="AS182" i="23083"/>
  <c r="AR182" i="23083" s="1"/>
  <c r="AS139" i="23083"/>
  <c r="AR139" i="23083" s="1"/>
  <c r="AT145" i="23083"/>
  <c r="AJ254" i="23083"/>
  <c r="AT163" i="23083"/>
  <c r="AT132" i="23083" l="1"/>
  <c r="AU132" i="23083" s="1"/>
  <c r="AI254" i="23083"/>
  <c r="AU145" i="23083"/>
  <c r="AT139" i="23083"/>
  <c r="AT182" i="23083"/>
  <c r="AU163" i="23083"/>
  <c r="AU182" i="23083" l="1"/>
  <c r="AU139" i="23083"/>
  <c r="O291" i="23083" l="1"/>
  <c r="Z25" i="23123" l="1"/>
  <c r="Z31" i="23123" l="1"/>
  <c r="O290" i="23083" l="1"/>
  <c r="O292" i="23083" s="1"/>
  <c r="O205" i="23083" l="1"/>
  <c r="G74" i="23083" l="1"/>
  <c r="B97" i="23083"/>
  <c r="G79" i="23083" l="1"/>
  <c r="G78" i="23083" l="1"/>
  <c r="H74" i="23083"/>
  <c r="H79" i="23083" l="1"/>
  <c r="H78" i="23083" l="1"/>
  <c r="AA23" i="23123" l="1"/>
  <c r="AA29" i="23123" l="1"/>
  <c r="AA24" i="23123" l="1"/>
  <c r="AA30" i="23123" s="1"/>
  <c r="AM153" i="23083" l="1"/>
  <c r="AP153" i="23083" s="1"/>
  <c r="AP158" i="23083" l="1"/>
  <c r="AP236" i="23083"/>
  <c r="AP238" i="23083" s="1"/>
  <c r="AI155" i="23083"/>
  <c r="AQ153" i="23083"/>
  <c r="AQ155" i="23083" s="1"/>
  <c r="AO158" i="23083" l="1"/>
  <c r="AP160" i="23083"/>
  <c r="AL155" i="23083"/>
  <c r="AS153" i="23083"/>
  <c r="AP187" i="23083" l="1"/>
  <c r="AP188" i="23083" s="1"/>
  <c r="AO160" i="23083"/>
  <c r="AO187" i="23083" s="1"/>
  <c r="AT153" i="23083"/>
  <c r="AS155" i="23083"/>
  <c r="AR155" i="23083" l="1"/>
  <c r="AU153" i="23083"/>
  <c r="AT155" i="23083"/>
  <c r="AU155" i="23083" l="1"/>
  <c r="U222" i="23083" l="1"/>
  <c r="X229" i="23083" l="1"/>
  <c r="X97" i="23083" s="1"/>
  <c r="V229" i="23083"/>
  <c r="V97" i="23083" s="1"/>
  <c r="U229" i="23083"/>
  <c r="U97" i="23083" s="1"/>
  <c r="U212" i="23083" l="1"/>
  <c r="V98" i="23083"/>
  <c r="V212" i="23083"/>
  <c r="T97" i="23083"/>
  <c r="U98" i="23083"/>
  <c r="W97" i="23083"/>
  <c r="Z22" i="23123"/>
  <c r="T212" i="23083" l="1"/>
  <c r="V213" i="23083"/>
  <c r="V214" i="23083" s="1"/>
  <c r="T98" i="23083"/>
  <c r="U213" i="23083"/>
  <c r="U214" i="23083" s="1"/>
  <c r="Z28" i="23123"/>
  <c r="T213" i="23083" l="1"/>
  <c r="T214" i="23083" s="1"/>
  <c r="O188" i="23083"/>
  <c r="Z23" i="23123" l="1"/>
  <c r="Z29" i="23123" l="1"/>
  <c r="Z24" i="23123" l="1"/>
  <c r="Z30" i="23123" s="1"/>
  <c r="O293" i="23083" l="1"/>
  <c r="U304" i="23083" l="1"/>
  <c r="U306" i="23083" l="1"/>
  <c r="U308" i="23083" s="1"/>
  <c r="U307" i="23083"/>
  <c r="U221" i="23083" l="1"/>
  <c r="U220" i="23083"/>
  <c r="U236" i="23083" l="1"/>
  <c r="U238" i="23083" l="1"/>
  <c r="U240" i="23083" s="1"/>
  <c r="U239" i="23083"/>
  <c r="U188" i="23083" l="1"/>
  <c r="U226" i="23083" l="1"/>
  <c r="AB23" i="23123"/>
  <c r="U241" i="23083"/>
  <c r="U219" i="23083"/>
  <c r="U244" i="23083" l="1"/>
  <c r="U243" i="23083"/>
  <c r="AB29" i="23123"/>
  <c r="AB24" i="23123" l="1"/>
  <c r="AB30" i="23123" s="1"/>
  <c r="U85" i="23083" l="1"/>
  <c r="AB25" i="23123" l="1"/>
  <c r="U267" i="23083"/>
  <c r="T267" i="23083" s="1"/>
  <c r="R267" i="23083"/>
  <c r="Q267" i="23083" s="1"/>
  <c r="AA25" i="23123"/>
  <c r="AA31" i="23123" s="1"/>
  <c r="R270" i="23083" l="1"/>
  <c r="R281" i="23083"/>
  <c r="Q281" i="23083" s="1"/>
  <c r="R282" i="23083"/>
  <c r="Q282" i="23083" s="1"/>
  <c r="AB31" i="23123"/>
  <c r="U282" i="23083"/>
  <c r="U281" i="23083"/>
  <c r="T281" i="23083" s="1"/>
  <c r="U270" i="23083"/>
  <c r="Q270" i="23083" l="1"/>
  <c r="T270" i="23083"/>
  <c r="R272" i="23083"/>
  <c r="R280" i="23083"/>
  <c r="Q280" i="23083" s="1"/>
  <c r="R276" i="23083"/>
  <c r="Q276" i="23083" s="1"/>
  <c r="R275" i="23083"/>
  <c r="Q275" i="23083" s="1"/>
  <c r="U272" i="23083"/>
  <c r="U290" i="23083"/>
  <c r="U292" i="23083" s="1"/>
  <c r="U296" i="23083" s="1"/>
  <c r="U280" i="23083"/>
  <c r="U275" i="23083"/>
  <c r="U276" i="23083"/>
  <c r="R290" i="23083"/>
  <c r="R292" i="23083" s="1"/>
  <c r="Q272" i="23083" l="1"/>
  <c r="R277" i="23083"/>
  <c r="Q277" i="23083" s="1"/>
  <c r="T276" i="23083"/>
  <c r="U285" i="23083"/>
  <c r="T275" i="23083"/>
  <c r="T280" i="23083"/>
  <c r="U277" i="23083"/>
  <c r="U286" i="23083" l="1"/>
  <c r="AB26" i="23123"/>
  <c r="AB32" i="23123" s="1"/>
  <c r="T62" i="23083"/>
  <c r="T60" i="23083" s="1"/>
  <c r="R297" i="23083" l="1"/>
  <c r="R296" i="23083"/>
  <c r="R82" i="23083" l="1"/>
  <c r="Q62" i="23083"/>
  <c r="Q60" i="23083" s="1"/>
  <c r="U82" i="23083"/>
  <c r="AA26" i="23123"/>
  <c r="Q63" i="23083" l="1"/>
  <c r="T63" i="23083"/>
  <c r="Q82" i="23083"/>
  <c r="T82" i="23083"/>
  <c r="AA32" i="23123"/>
  <c r="O296" i="23083" l="1"/>
  <c r="O297" i="23083"/>
  <c r="Z26" i="23123" l="1"/>
  <c r="Z32" i="23123" l="1"/>
  <c r="AA271" i="23083" l="1"/>
  <c r="Z271" i="23083" s="1"/>
  <c r="V300" i="23083" l="1"/>
  <c r="V68" i="23083" l="1"/>
  <c r="V69" i="23083" l="1"/>
  <c r="V70" i="23083" s="1"/>
  <c r="V85" i="23083" l="1"/>
  <c r="V71" i="23083" l="1"/>
  <c r="AC24" i="23123" l="1"/>
  <c r="AC30" i="23123" s="1"/>
  <c r="X85" i="23083"/>
  <c r="AC25" i="23123" l="1"/>
  <c r="X267" i="23083"/>
  <c r="W267" i="23083" l="1"/>
  <c r="X281" i="23083"/>
  <c r="W281" i="23083" s="1"/>
  <c r="X282" i="23083"/>
  <c r="W282" i="23083" s="1"/>
  <c r="X270" i="23083"/>
  <c r="E9" i="23123"/>
  <c r="AC31" i="23123"/>
  <c r="F9" i="23123" s="1"/>
  <c r="X280" i="23083" l="1"/>
  <c r="W280" i="23083" s="1"/>
  <c r="W270" i="23083"/>
  <c r="X275" i="23083"/>
  <c r="X276" i="23083"/>
  <c r="W276" i="23083" s="1"/>
  <c r="X272" i="23083"/>
  <c r="X290" i="23083"/>
  <c r="X292" i="23083" s="1"/>
  <c r="X296" i="23083" s="1"/>
  <c r="W304" i="23083" l="1"/>
  <c r="X304" i="23083"/>
  <c r="W272" i="23083"/>
  <c r="X277" i="23083"/>
  <c r="W275" i="23083"/>
  <c r="W285" i="23083" s="1"/>
  <c r="X285" i="23083"/>
  <c r="AA226" i="23083"/>
  <c r="AD23" i="23123"/>
  <c r="H7" i="23123" s="1"/>
  <c r="H23" i="23123" s="1"/>
  <c r="I23" i="23123" s="1"/>
  <c r="AA241" i="23083"/>
  <c r="X221" i="23083"/>
  <c r="X220" i="23083"/>
  <c r="X82" i="23083" l="1"/>
  <c r="X307" i="23083"/>
  <c r="X306" i="23083"/>
  <c r="X308" i="23083" s="1"/>
  <c r="W307" i="23083"/>
  <c r="W306" i="23083"/>
  <c r="W308" i="23083" s="1"/>
  <c r="W277" i="23083"/>
  <c r="X286" i="23083"/>
  <c r="W62" i="23083"/>
  <c r="W60" i="23083" s="1"/>
  <c r="AD29" i="23123"/>
  <c r="I7" i="23123" s="1"/>
  <c r="AC26" i="23123"/>
  <c r="AA291" i="23083"/>
  <c r="W82" i="23083" l="1"/>
  <c r="W63" i="23083"/>
  <c r="AC229" i="23083"/>
  <c r="AB229" i="23083"/>
  <c r="E11" i="23123"/>
  <c r="AC32" i="23123"/>
  <c r="F11" i="23123" s="1"/>
  <c r="AB97" i="23083" l="1"/>
  <c r="AD24" i="23123"/>
  <c r="AD30" i="23123" s="1"/>
  <c r="AA85" i="23083"/>
  <c r="X300" i="23083"/>
  <c r="W68" i="23083"/>
  <c r="AC97" i="23083" l="1"/>
  <c r="AB215" i="23083"/>
  <c r="W300" i="23083"/>
  <c r="AA80" i="23083" l="1"/>
  <c r="Y68" i="23083" l="1"/>
  <c r="Y300" i="23083"/>
  <c r="Y69" i="23083" l="1"/>
  <c r="Y70" i="23083" s="1"/>
  <c r="X69" i="23083" l="1"/>
  <c r="X71" i="23083" l="1"/>
  <c r="X70" i="23083"/>
  <c r="X236" i="23083"/>
  <c r="X239" i="23083" l="1"/>
  <c r="X238" i="23083"/>
  <c r="X188" i="23083" l="1"/>
  <c r="X240" i="23083"/>
  <c r="Y267" i="23083" l="1"/>
  <c r="Y71" i="23083"/>
  <c r="Y282" i="23083" l="1"/>
  <c r="Y281" i="23083"/>
  <c r="Y270" i="23083"/>
  <c r="Y275" i="23083" l="1"/>
  <c r="Y285" i="23083" s="1"/>
  <c r="Y272" i="23083"/>
  <c r="Y276" i="23083"/>
  <c r="Y280" i="23083"/>
  <c r="Y277" i="23083" l="1"/>
  <c r="Y286" i="23083" s="1"/>
  <c r="Y82" i="23083" l="1"/>
  <c r="AA71" i="23083" l="1"/>
  <c r="AA267" i="23083"/>
  <c r="AA81" i="23083"/>
  <c r="AD25" i="23123"/>
  <c r="AD31" i="23123" l="1"/>
  <c r="I9" i="23123" s="1"/>
  <c r="H9" i="23123"/>
  <c r="AA282" i="23083"/>
  <c r="AA281" i="23083"/>
  <c r="Z281" i="23083" s="1"/>
  <c r="AA270" i="23083"/>
  <c r="Z267" i="23083"/>
  <c r="Z282" i="23083" l="1"/>
  <c r="AA276" i="23083"/>
  <c r="AA290" i="23083"/>
  <c r="AA292" i="23083" s="1"/>
  <c r="AA296" i="23083" s="1"/>
  <c r="AA272" i="23083"/>
  <c r="AA275" i="23083"/>
  <c r="AA285" i="23083" s="1"/>
  <c r="AA280" i="23083"/>
  <c r="Z270" i="23083"/>
  <c r="Z280" i="23083" l="1"/>
  <c r="Z276" i="23083"/>
  <c r="Z275" i="23083"/>
  <c r="Z285" i="23083" s="1"/>
  <c r="AA277" i="23083"/>
  <c r="AA286" i="23083" s="1"/>
  <c r="Z272" i="23083"/>
  <c r="AD291" i="23083"/>
  <c r="Z62" i="23083" l="1"/>
  <c r="Z60" i="23083" s="1"/>
  <c r="AD226" i="23083"/>
  <c r="AD79" i="23083"/>
  <c r="AE23" i="23123"/>
  <c r="K7" i="23123" s="1"/>
  <c r="H25" i="23123" s="1"/>
  <c r="H27" i="23123" s="1"/>
  <c r="AD241" i="23083"/>
  <c r="Z277" i="23083"/>
  <c r="Z286" i="23083" s="1"/>
  <c r="AA82" i="23083"/>
  <c r="AD26" i="23123"/>
  <c r="Z63" i="23083" l="1"/>
  <c r="Z82" i="23083"/>
  <c r="AE29" i="23123"/>
  <c r="L7" i="23123" s="1"/>
  <c r="I25" i="23123"/>
  <c r="I27" i="23123" s="1"/>
  <c r="AD32" i="23123"/>
  <c r="I11" i="23123" s="1"/>
  <c r="H11" i="23123"/>
  <c r="AA300" i="23083" l="1"/>
  <c r="Z68" i="23083"/>
  <c r="AD213" i="23083" l="1"/>
  <c r="AD212" i="23083"/>
  <c r="Z300" i="23083"/>
  <c r="AD214" i="23083" l="1"/>
  <c r="AD215" i="23083"/>
  <c r="AD293" i="23083" l="1"/>
  <c r="AD297" i="23083" s="1"/>
  <c r="AA293" i="23083" l="1"/>
  <c r="AA297" i="23083" s="1"/>
  <c r="AD221" i="23083" l="1"/>
  <c r="AD220" i="23083"/>
  <c r="AD219" i="23083"/>
  <c r="AA221" i="23083"/>
  <c r="AA219" i="23083"/>
  <c r="AA220" i="23083"/>
  <c r="AA236" i="23083" l="1"/>
  <c r="AA239" i="23083" l="1"/>
  <c r="AA243" i="23083" s="1"/>
  <c r="AA238" i="23083"/>
  <c r="AA240" i="23083" l="1"/>
  <c r="AA244" i="23083" s="1"/>
  <c r="AA188" i="23083"/>
  <c r="AB69" i="23083" l="1"/>
  <c r="AB304" i="23083" l="1"/>
  <c r="AB307" i="23083" s="1"/>
  <c r="AB306" i="23083" l="1"/>
  <c r="AB308" i="23083" s="1"/>
  <c r="AB293" i="23083"/>
  <c r="AB297" i="23083" s="1"/>
  <c r="AB221" i="23083" l="1"/>
  <c r="AB220" i="23083"/>
  <c r="AC68" i="23083" l="1"/>
  <c r="AD188" i="23083" l="1"/>
  <c r="AD236" i="23083"/>
  <c r="AD239" i="23083" l="1"/>
  <c r="AD243" i="23083" s="1"/>
  <c r="AD238" i="23083"/>
  <c r="AD240" i="23083" l="1"/>
  <c r="AD244" i="23083" s="1"/>
  <c r="AJ190" i="23083" l="1"/>
  <c r="AJ192" i="23083" s="1"/>
  <c r="AF68" i="23083" l="1"/>
  <c r="AE226" i="23083" l="1"/>
  <c r="AH25" i="23083"/>
  <c r="AH79" i="23083"/>
  <c r="AE219" i="23083"/>
  <c r="AE43" i="23083" l="1"/>
  <c r="AH39" i="23083"/>
  <c r="AE213" i="23083"/>
  <c r="AE212" i="23083"/>
  <c r="AE86" i="23083" l="1"/>
  <c r="AE19" i="23083"/>
  <c r="AE223" i="23083"/>
  <c r="AE85" i="23083"/>
  <c r="AE214" i="23083"/>
  <c r="AE51" i="23083"/>
  <c r="AH80" i="23083" s="1"/>
  <c r="AH77" i="23083" l="1"/>
  <c r="AE20" i="23083"/>
  <c r="AH78" i="23083" s="1"/>
  <c r="AE55" i="23083"/>
  <c r="AE59" i="23083" l="1"/>
  <c r="AH21" i="23083"/>
  <c r="AE57" i="23083"/>
  <c r="AE70" i="23083"/>
  <c r="AH81" i="23083"/>
  <c r="AE267" i="23083"/>
  <c r="AE270" i="23083" s="1"/>
  <c r="AE71" i="23083"/>
  <c r="AE56" i="23083" l="1"/>
  <c r="AE281" i="23083"/>
  <c r="AE290" i="23083"/>
  <c r="AE292" i="23083" s="1"/>
  <c r="AE296" i="23083" s="1"/>
  <c r="AE276" i="23083"/>
  <c r="AE275" i="23083"/>
  <c r="AH285" i="23083" s="1"/>
  <c r="AE280" i="23083"/>
  <c r="AE271" i="23083" l="1"/>
  <c r="AE272" i="23083" s="1"/>
  <c r="AE277" i="23083" s="1"/>
  <c r="AH286" i="23083" s="1"/>
  <c r="AE282" i="23083" l="1"/>
  <c r="AH82" i="23083"/>
  <c r="AF315" i="23083"/>
  <c r="AF317" i="23083" s="1"/>
  <c r="AF319" i="23083" l="1"/>
  <c r="AB210" i="23083"/>
  <c r="AB98" i="23083" l="1"/>
  <c r="AB79" i="23083"/>
  <c r="AE79" i="23083"/>
  <c r="AB226" i="23083"/>
  <c r="AE25" i="23083"/>
  <c r="AB219" i="23083"/>
  <c r="AB25" i="23083"/>
  <c r="AC98" i="23083" l="1"/>
  <c r="AC210" i="23083"/>
  <c r="AC212" i="23083"/>
  <c r="AB43" i="23083"/>
  <c r="AB39" i="23083"/>
  <c r="AE39" i="23083"/>
  <c r="AB212" i="23083"/>
  <c r="AB223" i="23083" l="1"/>
  <c r="AC213" i="23083"/>
  <c r="AC214" i="23083" s="1"/>
  <c r="AB19" i="23083"/>
  <c r="AB86" i="23083"/>
  <c r="AB213" i="23083"/>
  <c r="AB214" i="23083" s="1"/>
  <c r="AB20" i="23083" l="1"/>
  <c r="AB77" i="23083"/>
  <c r="AE77" i="23083"/>
  <c r="AB85" i="23083"/>
  <c r="AB51" i="23083"/>
  <c r="AB55" i="23083" s="1"/>
  <c r="AB59" i="23083" l="1"/>
  <c r="AB70" i="23083"/>
  <c r="AB57" i="23083"/>
  <c r="AB78" i="23083"/>
  <c r="AE78" i="23083"/>
  <c r="AB21" i="23083"/>
  <c r="AE21" i="23083"/>
  <c r="AB80" i="23083"/>
  <c r="AE80" i="23083"/>
  <c r="AB56" i="23083" l="1"/>
  <c r="AB81" i="23083"/>
  <c r="AE81" i="23083"/>
  <c r="AB267" i="23083"/>
  <c r="AB71" i="23083"/>
  <c r="AB271" i="23083" l="1"/>
  <c r="AB282" i="23083" s="1"/>
  <c r="AB281" i="23083"/>
  <c r="AB270" i="23083"/>
  <c r="AB276" i="23083" l="1"/>
  <c r="AB280" i="23083"/>
  <c r="AB275" i="23083"/>
  <c r="AB285" i="23083" s="1"/>
  <c r="AB272" i="23083"/>
  <c r="AB290" i="23083"/>
  <c r="AB292" i="23083" s="1"/>
  <c r="AB296" i="23083" s="1"/>
  <c r="AE285" i="23083" l="1"/>
  <c r="AB277" i="23083"/>
  <c r="AB286" i="23083" s="1"/>
  <c r="AB82" i="23083" l="1"/>
  <c r="AE82" i="23083"/>
  <c r="AE286" i="23083"/>
  <c r="AK190" i="23083" l="1"/>
  <c r="AK192" i="23083" s="1"/>
  <c r="AJ177" i="23083" l="1"/>
  <c r="AJ191" i="23083"/>
  <c r="AM190" i="23083" s="1"/>
  <c r="AM192" i="23083" s="1"/>
  <c r="AI172" i="23083"/>
  <c r="AQ190" i="23083" l="1"/>
  <c r="AQ192" i="23083" s="1"/>
  <c r="AM177" i="23083"/>
  <c r="AI177" i="23083"/>
  <c r="AL172" i="23083"/>
  <c r="AL122" i="23083"/>
  <c r="AM191" i="23083"/>
  <c r="AP190" i="23083" s="1"/>
  <c r="AP192" i="23083" s="1"/>
  <c r="AK177" i="23083" l="1"/>
  <c r="AL177" i="23083"/>
  <c r="AI192" i="23083"/>
  <c r="AK191" i="23083"/>
  <c r="AN190" i="23083" s="1"/>
  <c r="AN192" i="23083" s="1"/>
  <c r="AO192" i="23083" s="1"/>
  <c r="AQ172" i="23083" l="1"/>
  <c r="AQ191" i="23083"/>
  <c r="AL192" i="23083"/>
  <c r="AQ177" i="23083" l="1"/>
  <c r="AS172" i="23083"/>
  <c r="AS190" i="23083"/>
  <c r="AS192" i="23083" s="1"/>
  <c r="AR192" i="23083" s="1"/>
  <c r="AR172" i="23083" l="1"/>
  <c r="AS177" i="23083"/>
  <c r="AS191" i="23083"/>
  <c r="AR177" i="23083" l="1"/>
  <c r="AT172" i="23083"/>
  <c r="AT190" i="23083"/>
  <c r="AT192" i="23083" s="1"/>
  <c r="AT191" i="23083" l="1"/>
  <c r="AU190" i="23083" s="1"/>
  <c r="AU192" i="23083" s="1"/>
  <c r="AU172" i="23083" l="1"/>
  <c r="AU191" i="23083" l="1"/>
  <c r="AI122" i="23083" l="1"/>
  <c r="AF204" i="23083" l="1"/>
  <c r="AF100" i="23083"/>
  <c r="AG5" i="23083"/>
  <c r="AG9" i="23083" s="1"/>
  <c r="AG28" i="23083" l="1"/>
  <c r="AG227" i="23083"/>
  <c r="AG321" i="23083"/>
  <c r="AG322" i="23083"/>
  <c r="AG93" i="23083"/>
  <c r="AG90" i="23083"/>
  <c r="AG89" i="23083"/>
  <c r="AF22" i="23123"/>
  <c r="Y74" i="23086"/>
  <c r="AF13" i="23083" l="1"/>
  <c r="N5" i="23123"/>
  <c r="AF28" i="23123"/>
  <c r="O5" i="23123" s="1"/>
  <c r="AG34" i="23083"/>
  <c r="AF313" i="23083"/>
  <c r="AG103" i="23083"/>
  <c r="AG37" i="23083" l="1"/>
  <c r="AF34" i="23083"/>
  <c r="AG225" i="23083"/>
  <c r="AF103" i="23083"/>
  <c r="AF37" i="23083" l="1"/>
  <c r="AF148" i="23083"/>
  <c r="AG305" i="23083" l="1"/>
  <c r="AF150" i="23083"/>
  <c r="AF305" i="23083" l="1"/>
  <c r="AF99" i="23083" l="1"/>
  <c r="AF101" i="23083" l="1"/>
  <c r="AF102" i="23083" l="1"/>
  <c r="AG104" i="23083"/>
  <c r="AF104" i="23083" l="1"/>
  <c r="AG126" i="23083"/>
  <c r="AG293" i="23083"/>
  <c r="X293" i="23083" l="1"/>
  <c r="X297" i="23083" s="1"/>
  <c r="Y304" i="23083" l="1"/>
  <c r="Y306" i="23083" l="1"/>
  <c r="Y308" i="23083" s="1"/>
  <c r="Y307" i="23083"/>
  <c r="U293" i="23083"/>
  <c r="U297" i="23083" s="1"/>
  <c r="Y10" i="23086" l="1"/>
  <c r="Y6" i="23086"/>
  <c r="Y11" i="23086"/>
  <c r="Y7" i="23086"/>
  <c r="X11" i="23086" l="1"/>
  <c r="X7" i="23086"/>
  <c r="X10" i="23086"/>
  <c r="AE5" i="23083" l="1"/>
  <c r="AE9" i="23083" s="1"/>
  <c r="AE28" i="23083" l="1"/>
  <c r="AE227" i="23083"/>
  <c r="AE322" i="23083"/>
  <c r="AE321" i="23083"/>
  <c r="Z69" i="23086"/>
  <c r="AE93" i="23083"/>
  <c r="AE233" i="23083"/>
  <c r="AE231" i="23083"/>
  <c r="AE126" i="23083"/>
  <c r="AE232" i="23083"/>
  <c r="AE230" i="23083"/>
  <c r="AH10" i="23083"/>
  <c r="AH74" i="23083"/>
  <c r="W74" i="23086"/>
  <c r="W99" i="23086"/>
  <c r="AF5" i="23083"/>
  <c r="AF9" i="23083" s="1"/>
  <c r="W83" i="23086"/>
  <c r="AE90" i="23083"/>
  <c r="AE89" i="23083"/>
  <c r="AE14" i="23083"/>
  <c r="AE24" i="23083"/>
  <c r="AE91" i="23083"/>
  <c r="AE45" i="23083"/>
  <c r="AE12" i="23083"/>
  <c r="AE38" i="23083"/>
  <c r="AF227" i="23083" l="1"/>
  <c r="AF126" i="23083"/>
  <c r="AF322" i="23083"/>
  <c r="AF93" i="23083"/>
  <c r="AF321" i="23083"/>
  <c r="X74" i="23086"/>
  <c r="X83" i="23086"/>
  <c r="X99" i="23086"/>
  <c r="AF14" i="23083"/>
  <c r="AF90" i="23083"/>
  <c r="AF89" i="23083"/>
  <c r="AF12" i="23083"/>
  <c r="AI5" i="23083"/>
  <c r="AJ5" i="23083" l="1"/>
  <c r="AB74" i="23086" l="1"/>
  <c r="AB69" i="23086"/>
  <c r="AL5" i="23083"/>
  <c r="AM5" i="23083"/>
  <c r="Y83" i="23086"/>
  <c r="AG13" i="23083"/>
  <c r="AB70" i="23086" l="1"/>
  <c r="AJ34" i="23083"/>
  <c r="AG12" i="23083"/>
  <c r="AG14" i="23083"/>
  <c r="AG15" i="23083"/>
  <c r="AG79" i="23083"/>
  <c r="AJ37" i="23083" l="1"/>
  <c r="AI34" i="23083"/>
  <c r="AM34" i="23083"/>
  <c r="AG226" i="23083"/>
  <c r="AG24" i="23083"/>
  <c r="AG25" i="23083"/>
  <c r="AG241" i="23083"/>
  <c r="AF23" i="23123"/>
  <c r="AI183" i="23083"/>
  <c r="AM37" i="23083" l="1"/>
  <c r="AP39" i="23083" s="1"/>
  <c r="AJ44" i="23083"/>
  <c r="AI37" i="23083"/>
  <c r="AG43" i="23083"/>
  <c r="AF210" i="23083"/>
  <c r="AG210" i="23083"/>
  <c r="AL34" i="23083"/>
  <c r="AG39" i="23083"/>
  <c r="AG38" i="23083"/>
  <c r="N7" i="23123"/>
  <c r="AF29" i="23123"/>
  <c r="O7" i="23123" s="1"/>
  <c r="AL37" i="23083" l="1"/>
  <c r="AF43" i="23083"/>
  <c r="AG86" i="23083"/>
  <c r="AG19" i="23083"/>
  <c r="AG223" i="23083"/>
  <c r="AG45" i="23083"/>
  <c r="AF24" i="23123"/>
  <c r="AF30" i="23123" s="1"/>
  <c r="AG85" i="23083"/>
  <c r="AF223" i="23083" l="1"/>
  <c r="AF86" i="23083"/>
  <c r="AG91" i="23083"/>
  <c r="AG20" i="23083"/>
  <c r="AF19" i="23083"/>
  <c r="AL183" i="23083"/>
  <c r="AF91" i="23083" l="1"/>
  <c r="AF20" i="23083"/>
  <c r="AJ291" i="23083"/>
  <c r="AG215" i="23083"/>
  <c r="AG51" i="23083"/>
  <c r="AS34" i="23083"/>
  <c r="AT34" i="23083"/>
  <c r="AG249" i="23083" l="1"/>
  <c r="AF51" i="23083"/>
  <c r="AF215" i="23083"/>
  <c r="AJ149" i="23083"/>
  <c r="AI142" i="23083"/>
  <c r="AU34" i="23083"/>
  <c r="AG55" i="23083"/>
  <c r="AF166" i="23083"/>
  <c r="AG59" i="23083" l="1"/>
  <c r="AQ183" i="23083"/>
  <c r="AI149" i="23083"/>
  <c r="AG57" i="23083"/>
  <c r="AF55" i="23083"/>
  <c r="AS183" i="23083"/>
  <c r="AF25" i="23123"/>
  <c r="AG267" i="23083"/>
  <c r="AR183" i="23083" l="1"/>
  <c r="AF59" i="23083"/>
  <c r="AG56" i="23083"/>
  <c r="AF57" i="23083"/>
  <c r="AF31" i="23123"/>
  <c r="O9" i="23123" s="1"/>
  <c r="N9" i="23123"/>
  <c r="W9" i="23123" s="1"/>
  <c r="AF267" i="23083"/>
  <c r="AG281" i="23083"/>
  <c r="AF281" i="23083" s="1"/>
  <c r="AG270" i="23083"/>
  <c r="AT183" i="23083"/>
  <c r="AF56" i="23083" l="1"/>
  <c r="AG271" i="23083"/>
  <c r="AF271" i="23083" s="1"/>
  <c r="AF270" i="23083"/>
  <c r="AG290" i="23083"/>
  <c r="AG292" i="23083" s="1"/>
  <c r="AG280" i="23083"/>
  <c r="AF280" i="23083" s="1"/>
  <c r="AU183" i="23083"/>
  <c r="AG282" i="23083" l="1"/>
  <c r="AF282" i="23083" s="1"/>
  <c r="AG272" i="23083"/>
  <c r="AF272" i="23083" l="1"/>
  <c r="AF105" i="23083" l="1"/>
  <c r="AG106" i="23083"/>
  <c r="AG186" i="23083" l="1"/>
  <c r="AF106" i="23083"/>
  <c r="AG121" i="23083"/>
  <c r="AG247" i="23083" l="1"/>
  <c r="AG248" i="23083" s="1"/>
  <c r="AG250" i="23083" s="1"/>
  <c r="AF121" i="23083"/>
  <c r="AG124" i="23083"/>
  <c r="AF186" i="23083"/>
  <c r="AG304" i="23083"/>
  <c r="AF247" i="23083" l="1"/>
  <c r="AF304" i="23083"/>
  <c r="AF124" i="23083"/>
  <c r="AG307" i="23083"/>
  <c r="AG306" i="23083"/>
  <c r="AG308" i="23083" s="1"/>
  <c r="AG218" i="23083" l="1"/>
  <c r="AF130" i="23083"/>
  <c r="AJ195" i="23083"/>
  <c r="AJ197" i="23083" s="1"/>
  <c r="AG236" i="23083"/>
  <c r="AF306" i="23083"/>
  <c r="AF308" i="23083" s="1"/>
  <c r="AF307" i="23083"/>
  <c r="AF218" i="23083" l="1"/>
  <c r="AF220" i="23083" s="1"/>
  <c r="AG238" i="23083"/>
  <c r="AG239" i="23083"/>
  <c r="AG243" i="23083" s="1"/>
  <c r="AI197" i="23083"/>
  <c r="AJ199" i="23083"/>
  <c r="AG219" i="23083"/>
  <c r="AJ202" i="23083"/>
  <c r="AG221" i="23083"/>
  <c r="AG220" i="23083"/>
  <c r="AF221" i="23083" l="1"/>
  <c r="AJ204" i="23083"/>
  <c r="AJ200" i="23083" s="1"/>
  <c r="AG240" i="23083"/>
  <c r="AG244" i="23083" s="1"/>
  <c r="AJ205" i="23083" l="1"/>
  <c r="AI100" i="23083" l="1"/>
  <c r="AB5" i="23083" l="1"/>
  <c r="AD5" i="23083"/>
  <c r="V5" i="23083"/>
  <c r="X5" i="23083"/>
  <c r="X9" i="23083" s="1"/>
  <c r="W5" i="23083"/>
  <c r="W9" i="23083" s="1"/>
  <c r="S5" i="23083"/>
  <c r="S9" i="23083" s="1"/>
  <c r="R5" i="23083"/>
  <c r="R9" i="23083" s="1"/>
  <c r="M74" i="23086"/>
  <c r="U5" i="23083"/>
  <c r="U9" i="23083" s="1"/>
  <c r="Z5" i="23083"/>
  <c r="Z9" i="23083" s="1"/>
  <c r="Y5" i="23083"/>
  <c r="Y9" i="23083" s="1"/>
  <c r="T5" i="23083"/>
  <c r="Y28" i="23083" l="1"/>
  <c r="U28" i="23083"/>
  <c r="R28" i="23083"/>
  <c r="S28" i="23083"/>
  <c r="Y227" i="23083"/>
  <c r="Z227" i="23083"/>
  <c r="U227" i="23083"/>
  <c r="R227" i="23083"/>
  <c r="S227" i="23083"/>
  <c r="W227" i="23083"/>
  <c r="X227" i="23083"/>
  <c r="R74" i="23083"/>
  <c r="R231" i="23083"/>
  <c r="R232" i="23083"/>
  <c r="R233" i="23083"/>
  <c r="R230" i="23083"/>
  <c r="R225" i="23083"/>
  <c r="R126" i="23083"/>
  <c r="S231" i="23083"/>
  <c r="S232" i="23083"/>
  <c r="S233" i="23083"/>
  <c r="S230" i="23083"/>
  <c r="S126" i="23083"/>
  <c r="U322" i="23083"/>
  <c r="U321" i="23083"/>
  <c r="S322" i="23083"/>
  <c r="S321" i="23083"/>
  <c r="R322" i="23083"/>
  <c r="R321" i="23083"/>
  <c r="V9" i="23083"/>
  <c r="AD9" i="23083"/>
  <c r="AG74" i="23083" s="1"/>
  <c r="Z322" i="23083"/>
  <c r="Z321" i="23083"/>
  <c r="Y322" i="23083"/>
  <c r="Y321" i="23083"/>
  <c r="W322" i="23083"/>
  <c r="W321" i="23083"/>
  <c r="X322" i="23083"/>
  <c r="X321" i="23083"/>
  <c r="AB9" i="23083"/>
  <c r="T69" i="23086"/>
  <c r="W69" i="23086"/>
  <c r="P69" i="23086"/>
  <c r="R69" i="23086"/>
  <c r="N69" i="23086"/>
  <c r="Q69" i="23086"/>
  <c r="Y69" i="23086"/>
  <c r="W233" i="23083"/>
  <c r="W231" i="23083"/>
  <c r="W126" i="23083"/>
  <c r="W232" i="23083"/>
  <c r="W230" i="23083"/>
  <c r="X74" i="23083"/>
  <c r="P74" i="23086"/>
  <c r="P99" i="23086"/>
  <c r="P83" i="23086"/>
  <c r="M99" i="23086"/>
  <c r="T83" i="23086"/>
  <c r="T99" i="23086"/>
  <c r="Z233" i="23083"/>
  <c r="Z231" i="23083"/>
  <c r="Z126" i="23083"/>
  <c r="Z232" i="23083"/>
  <c r="Z230" i="23083"/>
  <c r="S74" i="23083"/>
  <c r="Y232" i="23083"/>
  <c r="Y233" i="23083"/>
  <c r="Y231" i="23083"/>
  <c r="Y126" i="23083"/>
  <c r="Y230" i="23083"/>
  <c r="U74" i="23083"/>
  <c r="J74" i="23086"/>
  <c r="J83" i="23086"/>
  <c r="J99" i="23086"/>
  <c r="V74" i="23086"/>
  <c r="V83" i="23086"/>
  <c r="V99" i="23086"/>
  <c r="Y24" i="23083"/>
  <c r="Y38" i="23083"/>
  <c r="Y45" i="23083"/>
  <c r="X45" i="23083"/>
  <c r="O99" i="23086"/>
  <c r="N83" i="23086"/>
  <c r="N99" i="23086"/>
  <c r="Q74" i="23086"/>
  <c r="Q99" i="23086"/>
  <c r="Q83" i="23086"/>
  <c r="R74" i="23086"/>
  <c r="R99" i="23086"/>
  <c r="AA5" i="23083"/>
  <c r="AA9" i="23083" s="1"/>
  <c r="S45" i="23083"/>
  <c r="S24" i="23083"/>
  <c r="S93" i="23083"/>
  <c r="S90" i="23083"/>
  <c r="S14" i="23083"/>
  <c r="S10" i="23083"/>
  <c r="S38" i="23083"/>
  <c r="S89" i="23083"/>
  <c r="S91" i="23083"/>
  <c r="S12" i="23083"/>
  <c r="U91" i="23083"/>
  <c r="U230" i="23083"/>
  <c r="U231" i="23083"/>
  <c r="U126" i="23083"/>
  <c r="U14" i="23083"/>
  <c r="U10" i="23083"/>
  <c r="U233" i="23083"/>
  <c r="U90" i="23083"/>
  <c r="U24" i="23083"/>
  <c r="U93" i="23083"/>
  <c r="U12" i="23083"/>
  <c r="U45" i="23083"/>
  <c r="U38" i="23083"/>
  <c r="U232" i="23083"/>
  <c r="U89" i="23083"/>
  <c r="U225" i="23083"/>
  <c r="AB22" i="23123"/>
  <c r="AB28" i="23123" s="1"/>
  <c r="W93" i="23083"/>
  <c r="W89" i="23083"/>
  <c r="W90" i="23083"/>
  <c r="Z91" i="23083"/>
  <c r="Z93" i="23083"/>
  <c r="Z74" i="23083"/>
  <c r="Z90" i="23083"/>
  <c r="Z89" i="23083"/>
  <c r="Z10" i="23083"/>
  <c r="Y14" i="23083"/>
  <c r="Y91" i="23083"/>
  <c r="Y90" i="23083"/>
  <c r="Y93" i="23083"/>
  <c r="Y89" i="23083"/>
  <c r="Y12" i="23083"/>
  <c r="T74" i="23086"/>
  <c r="X230" i="23083"/>
  <c r="X93" i="23083"/>
  <c r="X89" i="23083"/>
  <c r="X10" i="23083"/>
  <c r="X126" i="23083"/>
  <c r="X90" i="23083"/>
  <c r="X231" i="23083"/>
  <c r="X233" i="23083"/>
  <c r="X14" i="23083"/>
  <c r="X232" i="23083"/>
  <c r="X225" i="23083"/>
  <c r="X12" i="23083"/>
  <c r="AC22" i="23123"/>
  <c r="N74" i="23086"/>
  <c r="AC5" i="23083"/>
  <c r="AC9" i="23083" s="1"/>
  <c r="R90" i="23083"/>
  <c r="R93" i="23083"/>
  <c r="R45" i="23083"/>
  <c r="R14" i="23083"/>
  <c r="R38" i="23083"/>
  <c r="R89" i="23083"/>
  <c r="R24" i="23083"/>
  <c r="R12" i="23083"/>
  <c r="R10" i="23083"/>
  <c r="R91" i="23083"/>
  <c r="AA22" i="23123"/>
  <c r="AA28" i="23123" s="1"/>
  <c r="J75" i="23086"/>
  <c r="O74" i="23086"/>
  <c r="AA28" i="23083" l="1"/>
  <c r="AB28" i="23083"/>
  <c r="AD28" i="23083"/>
  <c r="V28" i="23083"/>
  <c r="AE22" i="23123"/>
  <c r="K5" i="23123" s="1"/>
  <c r="K25" i="23123" s="1"/>
  <c r="L25" i="23123" s="1"/>
  <c r="Y70" i="23086"/>
  <c r="P70" i="23086"/>
  <c r="AC227" i="23083"/>
  <c r="AA227" i="23083"/>
  <c r="AB74" i="23083"/>
  <c r="AB227" i="23083"/>
  <c r="V89" i="23083"/>
  <c r="V227" i="23083"/>
  <c r="AD89" i="23083"/>
  <c r="AD227" i="23083"/>
  <c r="V24" i="23083"/>
  <c r="V14" i="23083"/>
  <c r="AD231" i="23083"/>
  <c r="AB93" i="23083"/>
  <c r="V233" i="23083"/>
  <c r="AD232" i="23083"/>
  <c r="V91" i="23083"/>
  <c r="AD93" i="23083"/>
  <c r="AD230" i="23083"/>
  <c r="AD14" i="23083"/>
  <c r="AD233" i="23083"/>
  <c r="AD225" i="23083"/>
  <c r="AD38" i="23083"/>
  <c r="AG10" i="23083"/>
  <c r="AD24" i="23083"/>
  <c r="AD126" i="23083"/>
  <c r="AD90" i="23083"/>
  <c r="AD12" i="23083"/>
  <c r="Y10" i="23083"/>
  <c r="AB10" i="23083"/>
  <c r="V230" i="23083"/>
  <c r="V74" i="23083"/>
  <c r="V93" i="23083"/>
  <c r="V90" i="23083"/>
  <c r="V12" i="23083"/>
  <c r="Y74" i="23083"/>
  <c r="V45" i="23083"/>
  <c r="V232" i="23083"/>
  <c r="V126" i="23083"/>
  <c r="V10" i="23083"/>
  <c r="V38" i="23083"/>
  <c r="V231" i="23083"/>
  <c r="AA322" i="23083"/>
  <c r="AA321" i="23083"/>
  <c r="V322" i="23083"/>
  <c r="V321" i="23083"/>
  <c r="AC322" i="23083"/>
  <c r="AC321" i="23083"/>
  <c r="AB322" i="23083"/>
  <c r="AB321" i="23083"/>
  <c r="AB231" i="23083"/>
  <c r="AB126" i="23083"/>
  <c r="AB38" i="23083"/>
  <c r="AB90" i="23083"/>
  <c r="AB91" i="23083"/>
  <c r="AB89" i="23083"/>
  <c r="AE74" i="23083"/>
  <c r="AE10" i="23083"/>
  <c r="AB45" i="23083"/>
  <c r="AB232" i="23083"/>
  <c r="AB12" i="23083"/>
  <c r="AB233" i="23083"/>
  <c r="AB14" i="23083"/>
  <c r="AB24" i="23083"/>
  <c r="AB230" i="23083"/>
  <c r="AD322" i="23083"/>
  <c r="AD321" i="23083"/>
  <c r="V69" i="23086"/>
  <c r="U69" i="23086"/>
  <c r="X69" i="23086"/>
  <c r="S69" i="23086"/>
  <c r="AC233" i="23083"/>
  <c r="AC232" i="23083"/>
  <c r="AC93" i="23083"/>
  <c r="AC231" i="23083"/>
  <c r="AC126" i="23083"/>
  <c r="AC230" i="23083"/>
  <c r="U74" i="23086"/>
  <c r="U99" i="23086"/>
  <c r="S83" i="23086"/>
  <c r="S99" i="23086"/>
  <c r="AA93" i="23083"/>
  <c r="AA24" i="23083"/>
  <c r="AA38" i="23083"/>
  <c r="AA45" i="23083"/>
  <c r="AC89" i="23083"/>
  <c r="AC74" i="23083"/>
  <c r="AF10" i="23083"/>
  <c r="AF74" i="23083"/>
  <c r="AC90" i="23083"/>
  <c r="AC10" i="23083"/>
  <c r="Q90" i="23083"/>
  <c r="Q91" i="23083"/>
  <c r="Q89" i="23083"/>
  <c r="AG231" i="23083"/>
  <c r="AF131" i="23083"/>
  <c r="AH229" i="23083"/>
  <c r="AH97" i="23083" s="1"/>
  <c r="AF164" i="23083"/>
  <c r="AG233" i="23083"/>
  <c r="AG169" i="23083"/>
  <c r="AG232" i="23083"/>
  <c r="AF133" i="23083"/>
  <c r="S74" i="23086"/>
  <c r="E5" i="23123"/>
  <c r="W5" i="23123" s="1"/>
  <c r="AC28" i="23123"/>
  <c r="F5" i="23123" s="1"/>
  <c r="AG158" i="23083"/>
  <c r="AF140" i="23083"/>
  <c r="AA89" i="23083"/>
  <c r="AA90" i="23083"/>
  <c r="AA10" i="23083"/>
  <c r="AA230" i="23083"/>
  <c r="AA232" i="23083"/>
  <c r="AA14" i="23083"/>
  <c r="AA91" i="23083"/>
  <c r="AA233" i="23083"/>
  <c r="AA225" i="23083"/>
  <c r="AA126" i="23083"/>
  <c r="AA74" i="23083"/>
  <c r="AA231" i="23083"/>
  <c r="AA12" i="23083"/>
  <c r="AD22" i="23123"/>
  <c r="AD10" i="23083"/>
  <c r="AD74" i="23083"/>
  <c r="AE28" i="23123" l="1"/>
  <c r="L5" i="23123" s="1"/>
  <c r="S70" i="23086"/>
  <c r="V70" i="23086"/>
  <c r="AF228" i="23083"/>
  <c r="Q322" i="23083"/>
  <c r="Q321" i="23083"/>
  <c r="AF233" i="23083"/>
  <c r="AH212" i="23083"/>
  <c r="AH98" i="23083"/>
  <c r="AF232" i="23083"/>
  <c r="AF231" i="23083"/>
  <c r="AG230" i="23083"/>
  <c r="AG229" i="23083"/>
  <c r="AG97" i="23083" s="1"/>
  <c r="AI140" i="23083"/>
  <c r="AF158" i="23083"/>
  <c r="AG179" i="23083"/>
  <c r="AF169" i="23083"/>
  <c r="AD28" i="23123"/>
  <c r="I5" i="23123" s="1"/>
  <c r="H5" i="23123"/>
  <c r="K23" i="23123" s="1"/>
  <c r="AF229" i="23083" l="1"/>
  <c r="AF230" i="23083"/>
  <c r="AH213" i="23083"/>
  <c r="AH214" i="23083" s="1"/>
  <c r="AI98" i="23083"/>
  <c r="AF179" i="23083"/>
  <c r="AG212" i="23083"/>
  <c r="AF97" i="23083"/>
  <c r="AG98" i="23083"/>
  <c r="L23" i="23123"/>
  <c r="L27" i="23123" s="1"/>
  <c r="K27" i="23123"/>
  <c r="AF212" i="23083" l="1"/>
  <c r="AG213" i="23083"/>
  <c r="AG214" i="23083" s="1"/>
  <c r="AF98" i="23083"/>
  <c r="AG136" i="23083"/>
  <c r="AF213" i="23083" l="1"/>
  <c r="AF214" i="23083" s="1"/>
  <c r="AF136" i="23083"/>
  <c r="AG160" i="23083"/>
  <c r="AF135" i="23083"/>
  <c r="AF160" i="23083" l="1"/>
  <c r="AG187" i="23083"/>
  <c r="AG188" i="23083" s="1"/>
  <c r="AF187" i="23083" l="1"/>
  <c r="AL135" i="23083" l="1"/>
  <c r="AQ135" i="23083" l="1"/>
  <c r="AR135" i="23083" s="1"/>
  <c r="AS135" i="23083" l="1"/>
  <c r="AT135" i="23083" l="1"/>
  <c r="AU135" i="23083" l="1"/>
  <c r="S271" i="23083" l="1"/>
  <c r="S282" i="23083" s="1"/>
  <c r="T282" i="23083" s="1"/>
  <c r="T56" i="23083"/>
  <c r="S272" i="23083" l="1"/>
  <c r="T271" i="23083"/>
  <c r="T272" i="23083" l="1"/>
  <c r="S277" i="23083"/>
  <c r="AG297" i="23083"/>
  <c r="AJ261" i="23083"/>
  <c r="AK261" i="23083" l="1"/>
  <c r="T277" i="23083"/>
  <c r="W286" i="23083" s="1"/>
  <c r="V286" i="23083"/>
  <c r="AG275" i="23083"/>
  <c r="AF275" i="23083" s="1"/>
  <c r="AG263" i="23083"/>
  <c r="AG277" i="23083"/>
  <c r="AG296" i="23083"/>
  <c r="AG276" i="23083"/>
  <c r="AF276" i="23083" s="1"/>
  <c r="AM261" i="23083"/>
  <c r="AN261" i="23083" l="1"/>
  <c r="AP261" i="23083"/>
  <c r="AF62" i="23083"/>
  <c r="AF60" i="23083" s="1"/>
  <c r="AF26" i="23123"/>
  <c r="AQ261" i="23083"/>
  <c r="AF277" i="23083"/>
  <c r="AP262" i="23083" l="1"/>
  <c r="E9" i="23120"/>
  <c r="AP263" i="23083"/>
  <c r="AP297" i="23083"/>
  <c r="AG66" i="23083"/>
  <c r="AF32" i="23123"/>
  <c r="O11" i="23123" s="1"/>
  <c r="N11" i="23123"/>
  <c r="W11" i="23123" s="1"/>
  <c r="AS261" i="23083"/>
  <c r="AG68" i="23083" l="1"/>
  <c r="AG300" i="23083"/>
  <c r="AT261" i="23083"/>
  <c r="AG69" i="23083" l="1"/>
  <c r="AG71" i="23083" s="1"/>
  <c r="AU261" i="23083"/>
  <c r="AF300" i="23083"/>
  <c r="AK195" i="23083" l="1"/>
  <c r="AK197" i="23083" s="1"/>
  <c r="AK199" i="23083" s="1"/>
  <c r="AK204" i="23083" l="1"/>
  <c r="AK202" i="23083"/>
  <c r="AK200" i="23083" l="1"/>
  <c r="AK205" i="23083"/>
  <c r="AJ305" i="23083" l="1"/>
  <c r="AI150" i="23083"/>
  <c r="AK305" i="23083" l="1"/>
  <c r="AI305" i="23083"/>
  <c r="AM305" i="23083"/>
  <c r="AL305" i="23083" l="1"/>
  <c r="O83" i="23086" l="1"/>
  <c r="Z13" i="23083"/>
  <c r="Z12" i="23083" s="1"/>
  <c r="AC13" i="23083"/>
  <c r="O81" i="23086"/>
  <c r="W13" i="23083"/>
  <c r="AC12" i="23083" l="1"/>
  <c r="W12" i="23083"/>
  <c r="W14" i="23083"/>
  <c r="W15" i="23083"/>
  <c r="Z14" i="23083"/>
  <c r="Z15" i="23083"/>
  <c r="AC14" i="23083"/>
  <c r="AC15" i="23083"/>
  <c r="AF15" i="23083"/>
  <c r="AI13" i="23083" l="1"/>
  <c r="AB83" i="23086"/>
  <c r="AJ13" i="23083"/>
  <c r="AJ20" i="23083" s="1"/>
  <c r="AJ15" i="23083" l="1"/>
  <c r="AI15" i="23083"/>
  <c r="AJ19" i="23083" l="1"/>
  <c r="AJ78" i="23083"/>
  <c r="AJ21" i="23083"/>
  <c r="AJ25" i="23083"/>
  <c r="AG23" i="23123"/>
  <c r="AJ241" i="23083"/>
  <c r="AJ77" i="23083" l="1"/>
  <c r="AI19" i="23083"/>
  <c r="AJ213" i="23083"/>
  <c r="AJ39" i="23083"/>
  <c r="Q7" i="23123"/>
  <c r="AG29" i="23123"/>
  <c r="R7" i="23123" s="1"/>
  <c r="AI77" i="23083" l="1"/>
  <c r="AI20" i="23083"/>
  <c r="AJ206" i="23083"/>
  <c r="AG24" i="23123"/>
  <c r="AG30" i="23123" s="1"/>
  <c r="AJ49" i="23083"/>
  <c r="AI213" i="23083"/>
  <c r="AI49" i="23083" l="1"/>
  <c r="AI21" i="23083"/>
  <c r="AI78" i="23083"/>
  <c r="AJ85" i="23083"/>
  <c r="AJ51" i="23083" l="1"/>
  <c r="AI51" i="23083" s="1"/>
  <c r="AI80" i="23083" l="1"/>
  <c r="AM80" i="23083"/>
  <c r="AJ249" i="23083"/>
  <c r="AJ80" i="23083"/>
  <c r="AJ55" i="23083"/>
  <c r="AJ215" i="23083"/>
  <c r="AI101" i="23083"/>
  <c r="AI55" i="23083"/>
  <c r="AI59" i="23083" l="1"/>
  <c r="AJ59" i="23083"/>
  <c r="AI81" i="23083"/>
  <c r="AJ56" i="23083"/>
  <c r="AJ81" i="23083"/>
  <c r="AG25" i="23123"/>
  <c r="Q9" i="23123" s="1"/>
  <c r="AJ267" i="23083"/>
  <c r="AI267" i="23083" s="1"/>
  <c r="AI215" i="23083"/>
  <c r="AI166" i="23083"/>
  <c r="AG31" i="23123" l="1"/>
  <c r="R9" i="23123" s="1"/>
  <c r="AI56" i="23083"/>
  <c r="AJ271" i="23083"/>
  <c r="AI271" i="23083" s="1"/>
  <c r="AJ270" i="23083"/>
  <c r="AI270" i="23083" l="1"/>
  <c r="AJ272" i="23083"/>
  <c r="AI57" i="23083"/>
  <c r="AJ290" i="23083"/>
  <c r="AJ292" i="23083" s="1"/>
  <c r="AI272" i="23083" l="1"/>
  <c r="Z105" i="23086" l="1"/>
  <c r="Z101" i="23086"/>
  <c r="Z99" i="23086"/>
  <c r="Z102" i="23086"/>
  <c r="Z104" i="23086"/>
  <c r="Z103" i="23086"/>
  <c r="L76" i="23086"/>
  <c r="L99" i="23086"/>
  <c r="L83" i="23086"/>
  <c r="N70" i="23086"/>
  <c r="L75" i="23086"/>
  <c r="O69" i="23086"/>
  <c r="L74" i="23086"/>
  <c r="L67" i="23086"/>
  <c r="L80" i="23086"/>
  <c r="L81" i="23086" s="1"/>
  <c r="T8" i="23083" l="1"/>
  <c r="T9" i="23083" s="1"/>
  <c r="T231" i="23083" l="1"/>
  <c r="T321" i="23083"/>
  <c r="T12" i="23083"/>
  <c r="T89" i="23083"/>
  <c r="T230" i="23083"/>
  <c r="T14" i="23083"/>
  <c r="T227" i="23083"/>
  <c r="T126" i="23083"/>
  <c r="W10" i="23083"/>
  <c r="T93" i="23083"/>
  <c r="T91" i="23083"/>
  <c r="T232" i="23083"/>
  <c r="W74" i="23083"/>
  <c r="T90" i="23083"/>
  <c r="T233" i="23083"/>
  <c r="T322" i="23083"/>
  <c r="T10" i="23083"/>
  <c r="T74" i="23083"/>
  <c r="AD85" i="23083" l="1"/>
  <c r="AD51" i="23083"/>
  <c r="AC51" i="23083" s="1"/>
  <c r="AD44" i="23083"/>
  <c r="AC80" i="23083" l="1"/>
  <c r="AD249" i="23083"/>
  <c r="AD250" i="23083" s="1"/>
  <c r="AD55" i="23083"/>
  <c r="AD43" i="23083"/>
  <c r="AD45" i="23083"/>
  <c r="AE24" i="23123"/>
  <c r="AE30" i="23123" s="1"/>
  <c r="AD80" i="23083"/>
  <c r="AG80" i="23083"/>
  <c r="AE25" i="23123" l="1"/>
  <c r="AD59" i="23083"/>
  <c r="AC55" i="23083"/>
  <c r="AD71" i="23083"/>
  <c r="AD81" i="23083"/>
  <c r="AF80" i="23083"/>
  <c r="AG81" i="23083"/>
  <c r="AD223" i="23083"/>
  <c r="AD267" i="23083"/>
  <c r="AC267" i="23083" s="1"/>
  <c r="AD57" i="23083"/>
  <c r="AD70" i="23083"/>
  <c r="AE31" i="23123"/>
  <c r="L9" i="23123" s="1"/>
  <c r="K9" i="23123"/>
  <c r="AC43" i="23083"/>
  <c r="AD86" i="23083"/>
  <c r="AD19" i="23083"/>
  <c r="AC81" i="23083" l="1"/>
  <c r="AC57" i="23083"/>
  <c r="AF81" i="23083"/>
  <c r="AC59" i="23083"/>
  <c r="AD281" i="23083"/>
  <c r="AC281" i="23083" s="1"/>
  <c r="AD270" i="23083"/>
  <c r="AC223" i="23083"/>
  <c r="AD56" i="23083"/>
  <c r="AD20" i="23083"/>
  <c r="AG77" i="23083"/>
  <c r="AD91" i="23083"/>
  <c r="AD77" i="23083"/>
  <c r="AC19" i="23083"/>
  <c r="AC86" i="23083"/>
  <c r="AD276" i="23083" l="1"/>
  <c r="AC276" i="23083" s="1"/>
  <c r="AC270" i="23083"/>
  <c r="AD290" i="23083"/>
  <c r="AD292" i="23083" s="1"/>
  <c r="AD296" i="23083" s="1"/>
  <c r="AD275" i="23083"/>
  <c r="AD285" i="23083" s="1"/>
  <c r="AD280" i="23083"/>
  <c r="AC280" i="23083" s="1"/>
  <c r="AD271" i="23083"/>
  <c r="AC56" i="23083"/>
  <c r="AC91" i="23083"/>
  <c r="AF77" i="23083"/>
  <c r="AC77" i="23083"/>
  <c r="AC20" i="23083"/>
  <c r="AD78" i="23083"/>
  <c r="AG78" i="23083"/>
  <c r="AG21" i="23083"/>
  <c r="AD21" i="23083"/>
  <c r="AG285" i="23083" l="1"/>
  <c r="AC275" i="23083"/>
  <c r="AF285" i="23083" s="1"/>
  <c r="AC271" i="23083"/>
  <c r="AD272" i="23083"/>
  <c r="AD282" i="23083"/>
  <c r="AC282" i="23083" s="1"/>
  <c r="AG82" i="23083"/>
  <c r="AC62" i="23083"/>
  <c r="AC60" i="23083" s="1"/>
  <c r="AD82" i="23083"/>
  <c r="AE26" i="23123"/>
  <c r="AF78" i="23083"/>
  <c r="AC21" i="23083"/>
  <c r="AC78" i="23083"/>
  <c r="AF21" i="23083"/>
  <c r="AC285" i="23083" l="1"/>
  <c r="AC272" i="23083"/>
  <c r="AD277" i="23083"/>
  <c r="AC63" i="23083"/>
  <c r="AF63" i="23083"/>
  <c r="K11" i="23123"/>
  <c r="AE32" i="23123"/>
  <c r="L11" i="23123" s="1"/>
  <c r="AF82" i="23083"/>
  <c r="AC82" i="23083"/>
  <c r="AD286" i="23083" l="1"/>
  <c r="AC277" i="23083"/>
  <c r="AG286" i="23083"/>
  <c r="AF286" i="23083" l="1"/>
  <c r="AC286" i="23083"/>
  <c r="X86" i="23083" l="1"/>
  <c r="X19" i="23083"/>
  <c r="W43" i="23083"/>
  <c r="W223" i="23083" l="1"/>
  <c r="W19" i="23083"/>
  <c r="X20" i="23083"/>
  <c r="X27" i="23083" s="1"/>
  <c r="X77" i="23083"/>
  <c r="AA77" i="23083"/>
  <c r="X91" i="23083"/>
  <c r="X326" i="23083" l="1"/>
  <c r="X96" i="23083"/>
  <c r="X37" i="23083"/>
  <c r="X23" i="23083"/>
  <c r="W27" i="23083"/>
  <c r="X78" i="23083"/>
  <c r="Z77" i="23083"/>
  <c r="W91" i="23083"/>
  <c r="W20" i="23083"/>
  <c r="W77" i="23083"/>
  <c r="X21" i="23083"/>
  <c r="AA78" i="23083"/>
  <c r="AA21" i="23083"/>
  <c r="W326" i="23083" l="1"/>
  <c r="W96" i="23083"/>
  <c r="W37" i="23083"/>
  <c r="W78" i="23083"/>
  <c r="Z78" i="23083"/>
  <c r="W21" i="23083"/>
  <c r="Z21" i="23083"/>
  <c r="AI256" i="23083" l="1"/>
  <c r="AI257" i="23083" s="1"/>
  <c r="AJ259" i="23083" l="1"/>
  <c r="AK254" i="23083"/>
  <c r="AM254" i="23083"/>
  <c r="AI260" i="23083"/>
  <c r="AI259" i="23083"/>
  <c r="AJ260" i="23083" l="1"/>
  <c r="AJ281" i="23083" s="1"/>
  <c r="AI281" i="23083" s="1"/>
  <c r="AK257" i="23083"/>
  <c r="AJ282" i="23083" l="1"/>
  <c r="AI282" i="23083" s="1"/>
  <c r="AJ280" i="23083"/>
  <c r="AI280" i="23083" s="1"/>
  <c r="AJ262" i="23083"/>
  <c r="AJ275" i="23083" s="1"/>
  <c r="AN254" i="23083"/>
  <c r="AK260" i="23083"/>
  <c r="AM259" i="23083"/>
  <c r="AK259" i="23083"/>
  <c r="AL254" i="23083"/>
  <c r="AM260" i="23083"/>
  <c r="AJ277" i="23083" l="1"/>
  <c r="AJ263" i="23083"/>
  <c r="AJ296" i="23083"/>
  <c r="AJ276" i="23083"/>
  <c r="AI276" i="23083" s="1"/>
  <c r="AK262" i="23083"/>
  <c r="AK263" i="23083" s="1"/>
  <c r="AK69" i="23083"/>
  <c r="AI262" i="23083"/>
  <c r="AN257" i="23083"/>
  <c r="AO254" i="23083" s="1"/>
  <c r="AJ62" i="23083"/>
  <c r="AJ60" i="23083" s="1"/>
  <c r="AJ285" i="23083"/>
  <c r="AI275" i="23083"/>
  <c r="AI285" i="23083" s="1"/>
  <c r="AJ286" i="23083"/>
  <c r="AI277" i="23083"/>
  <c r="AI286" i="23083" s="1"/>
  <c r="AL257" i="23083"/>
  <c r="AM262" i="23083"/>
  <c r="AO257" i="23083" l="1"/>
  <c r="AO259" i="23083" s="1"/>
  <c r="AO260" i="23083"/>
  <c r="AO262" i="23083" s="1"/>
  <c r="AO263" i="23083" s="1"/>
  <c r="AQ254" i="23083"/>
  <c r="AI263" i="23083"/>
  <c r="AK71" i="23083"/>
  <c r="AK70" i="23083"/>
  <c r="AN260" i="23083"/>
  <c r="AN262" i="23083" s="1"/>
  <c r="AN259" i="23083"/>
  <c r="AJ82" i="23083"/>
  <c r="AJ66" i="23083"/>
  <c r="AJ68" i="23083" s="1"/>
  <c r="AG26" i="23123"/>
  <c r="AI62" i="23083"/>
  <c r="AI60" i="23083" s="1"/>
  <c r="AJ63" i="23083"/>
  <c r="AM263" i="23083"/>
  <c r="AL259" i="23083"/>
  <c r="AS254" i="23083"/>
  <c r="AL260" i="23083"/>
  <c r="AO307" i="23083" l="1"/>
  <c r="AO308" i="23083"/>
  <c r="AN69" i="23083"/>
  <c r="AQ257" i="23083"/>
  <c r="AJ69" i="23083"/>
  <c r="AJ71" i="23083" s="1"/>
  <c r="AI82" i="23083"/>
  <c r="AN263" i="23083"/>
  <c r="AI105" i="23083"/>
  <c r="AI184" i="23083"/>
  <c r="AI63" i="23083"/>
  <c r="AG32" i="23123"/>
  <c r="R11" i="23123" s="1"/>
  <c r="Q11" i="23123"/>
  <c r="AL262" i="23083"/>
  <c r="AS257" i="23083"/>
  <c r="AQ260" i="23083" l="1"/>
  <c r="AR254" i="23083"/>
  <c r="AQ259" i="23083"/>
  <c r="AJ186" i="23083"/>
  <c r="AJ247" i="23083" s="1"/>
  <c r="AJ248" i="23083" s="1"/>
  <c r="AJ250" i="23083" s="1"/>
  <c r="AS259" i="23083"/>
  <c r="AT254" i="23083"/>
  <c r="AS260" i="23083"/>
  <c r="AL263" i="23083"/>
  <c r="AQ262" i="23083" l="1"/>
  <c r="AI186" i="23083"/>
  <c r="AI304" i="23083" s="1"/>
  <c r="AR257" i="23083"/>
  <c r="AJ221" i="23083"/>
  <c r="AJ220" i="23083"/>
  <c r="AJ304" i="23083"/>
  <c r="AJ307" i="23083" s="1"/>
  <c r="AT257" i="23083"/>
  <c r="AS262" i="23083"/>
  <c r="AQ263" i="23083" l="1"/>
  <c r="AI247" i="23083"/>
  <c r="AR259" i="23083"/>
  <c r="AR260" i="23083"/>
  <c r="AJ306" i="23083"/>
  <c r="AJ308" i="23083" s="1"/>
  <c r="AT259" i="23083"/>
  <c r="AU254" i="23083"/>
  <c r="AS263" i="23083"/>
  <c r="AI306" i="23083"/>
  <c r="AI308" i="23083" s="1"/>
  <c r="AI307" i="23083"/>
  <c r="AT260" i="23083"/>
  <c r="AR262" i="23083" l="1"/>
  <c r="AT262" i="23083"/>
  <c r="AU257" i="23083"/>
  <c r="AU260" i="23083" l="1"/>
  <c r="AR263" i="23083"/>
  <c r="AT263" i="23083"/>
  <c r="AU262" i="23083"/>
  <c r="AU259" i="23083"/>
  <c r="AU263" i="23083" l="1"/>
  <c r="AJ300" i="23083" l="1"/>
  <c r="AI300" i="23083" l="1"/>
  <c r="AI165" i="23083" l="1"/>
  <c r="AB65" i="23086" l="1"/>
  <c r="AA65" i="23086"/>
  <c r="AI6" i="23083" l="1"/>
  <c r="AA67" i="23086"/>
  <c r="AJ6" i="23083"/>
  <c r="AB67" i="23086"/>
  <c r="AB75" i="23086"/>
  <c r="AA69" i="23086"/>
  <c r="AA70" i="23086"/>
  <c r="AA74" i="23086"/>
  <c r="AA76" i="23086"/>
  <c r="AA80" i="23086"/>
  <c r="AA81" i="23086" s="1"/>
  <c r="AA75" i="23086"/>
  <c r="AA83" i="23086"/>
  <c r="AE48" i="23086" l="1"/>
  <c r="AJ8" i="23083"/>
  <c r="AJ9" i="23083" s="1"/>
  <c r="AI8" i="23083"/>
  <c r="AI9" i="23083" s="1"/>
  <c r="AJ28" i="23083" l="1"/>
  <c r="AN6" i="23083"/>
  <c r="AE65" i="23086"/>
  <c r="AE47" i="23086"/>
  <c r="AI90" i="23083"/>
  <c r="AI321" i="23083"/>
  <c r="AI89" i="23083"/>
  <c r="AI322" i="23083"/>
  <c r="AI91" i="23083"/>
  <c r="AI12" i="23083"/>
  <c r="AI74" i="23083"/>
  <c r="AI227" i="23083"/>
  <c r="AI10" i="23083"/>
  <c r="AI14" i="23083"/>
  <c r="AJ321" i="23083"/>
  <c r="AJ10" i="23083"/>
  <c r="AJ89" i="23083"/>
  <c r="AG22" i="23123"/>
  <c r="AJ74" i="23083"/>
  <c r="AJ90" i="23083"/>
  <c r="AJ322" i="23083"/>
  <c r="AJ230" i="23083"/>
  <c r="AJ227" i="23083"/>
  <c r="AJ12" i="23083"/>
  <c r="AJ14" i="23083"/>
  <c r="AJ24" i="23083"/>
  <c r="AJ91" i="23083"/>
  <c r="AJ38" i="23083"/>
  <c r="AJ45" i="23083"/>
  <c r="AL6" i="23083"/>
  <c r="AE67" i="23086" l="1"/>
  <c r="AM6" i="23083"/>
  <c r="AI131" i="23083"/>
  <c r="AI164" i="23083"/>
  <c r="AI133" i="23083"/>
  <c r="Q5" i="23123"/>
  <c r="AG28" i="23123"/>
  <c r="R5" i="23123" s="1"/>
  <c r="AE75" i="23086"/>
  <c r="AI141" i="23083"/>
  <c r="AJ231" i="23083"/>
  <c r="AJ233" i="23083"/>
  <c r="AJ169" i="23083"/>
  <c r="AJ232" i="23083"/>
  <c r="AE69" i="23086"/>
  <c r="AE76" i="23086"/>
  <c r="AE74" i="23086"/>
  <c r="AE15" i="23086"/>
  <c r="AI222" i="23083" l="1"/>
  <c r="AM8" i="23083"/>
  <c r="AM9" i="23083" s="1"/>
  <c r="AE13" i="23086"/>
  <c r="AD15" i="23086"/>
  <c r="AI232" i="23083"/>
  <c r="AI233" i="23083"/>
  <c r="AI228" i="23083"/>
  <c r="AI231" i="23083"/>
  <c r="AK232" i="23083"/>
  <c r="AJ97" i="23083"/>
  <c r="AJ158" i="23083"/>
  <c r="AI158" i="23083" s="1"/>
  <c r="AI143" i="23083"/>
  <c r="AK231" i="23083"/>
  <c r="AJ148" i="23083"/>
  <c r="AM148" i="23083" s="1"/>
  <c r="AP148" i="23083" s="1"/>
  <c r="AO148" i="23083" s="1"/>
  <c r="AK233" i="23083"/>
  <c r="AE70" i="23086"/>
  <c r="AJ179" i="23083"/>
  <c r="AI169" i="23083"/>
  <c r="AP74" i="23083" l="1"/>
  <c r="AP10" i="23083"/>
  <c r="AM28" i="23083"/>
  <c r="AM227" i="23083"/>
  <c r="AM322" i="23083"/>
  <c r="AM74" i="23083"/>
  <c r="AM230" i="23083"/>
  <c r="AM321" i="23083"/>
  <c r="AH22" i="23123"/>
  <c r="AM89" i="23083"/>
  <c r="AL165" i="23083"/>
  <c r="AM10" i="23083"/>
  <c r="AE16" i="23086"/>
  <c r="AD13" i="23086"/>
  <c r="AE8" i="23086"/>
  <c r="AI229" i="23083"/>
  <c r="AI230" i="23083"/>
  <c r="AI97" i="23083"/>
  <c r="AJ212" i="23083"/>
  <c r="AJ214" i="23083" s="1"/>
  <c r="AI179" i="23083"/>
  <c r="AI148" i="23083"/>
  <c r="AK97" i="23083"/>
  <c r="AE10" i="23086"/>
  <c r="AE11" i="23086"/>
  <c r="AK99" i="23083" l="1"/>
  <c r="AS227" i="23083"/>
  <c r="AT227" i="23083" s="1"/>
  <c r="AU227" i="23083" s="1"/>
  <c r="AE57" i="23086"/>
  <c r="AE56" i="23086" s="1"/>
  <c r="AE45" i="23086"/>
  <c r="AE44" i="23086" s="1"/>
  <c r="AE33" i="23086"/>
  <c r="AE32" i="23086" s="1"/>
  <c r="AH28" i="23123"/>
  <c r="U5" i="23123" s="1"/>
  <c r="T5" i="23123"/>
  <c r="AD8" i="23086"/>
  <c r="AD16" i="23086"/>
  <c r="AK212" i="23083"/>
  <c r="AI212" i="23083"/>
  <c r="AI214" i="23083" s="1"/>
  <c r="AK291" i="23083"/>
  <c r="AI99" i="23083"/>
  <c r="AI210" i="23083" s="1"/>
  <c r="AJ210" i="23083"/>
  <c r="AN330" i="23083" l="1"/>
  <c r="AS328" i="23083"/>
  <c r="AL164" i="23083"/>
  <c r="AM233" i="23083"/>
  <c r="AL140" i="23083"/>
  <c r="AI102" i="23083"/>
  <c r="AK10" i="23086"/>
  <c r="AK11" i="23086" s="1"/>
  <c r="AK213" i="23083"/>
  <c r="AK214" i="23083" s="1"/>
  <c r="AO233" i="23083" l="1"/>
  <c r="AK206" i="23083"/>
  <c r="AK210" i="23083"/>
  <c r="AL10" i="23086"/>
  <c r="AL11" i="23086" s="1"/>
  <c r="AM10" i="23086" l="1"/>
  <c r="AM11" i="23086" s="1"/>
  <c r="AK101" i="23083" l="1"/>
  <c r="AK267" i="23083" l="1"/>
  <c r="AK169" i="23083"/>
  <c r="AK215" i="23083"/>
  <c r="AK102" i="23083"/>
  <c r="AK282" i="23083" l="1"/>
  <c r="AK270" i="23083"/>
  <c r="AK281" i="23083"/>
  <c r="AK179" i="23083"/>
  <c r="AK280" i="23083" l="1"/>
  <c r="AK272" i="23083"/>
  <c r="AK276" i="23083"/>
  <c r="AK290" i="23083"/>
  <c r="AK292" i="23083" s="1"/>
  <c r="AK296" i="23083" s="1"/>
  <c r="AK275" i="23083"/>
  <c r="AK277" i="23083" l="1"/>
  <c r="AK286" i="23083" s="1"/>
  <c r="AK285" i="23083"/>
  <c r="AK300" i="23083" l="1"/>
  <c r="AK105" i="23083"/>
  <c r="AK186" i="23083" l="1"/>
  <c r="AK221" i="23083" l="1"/>
  <c r="AK220" i="23083"/>
  <c r="AK247" i="23083"/>
  <c r="AK304" i="23083"/>
  <c r="AK307" i="23083" l="1"/>
  <c r="AK306" i="23083"/>
  <c r="AK308" i="23083" s="1"/>
  <c r="AJ86" i="23083" l="1"/>
  <c r="AJ93" i="23083"/>
  <c r="AI313" i="23083"/>
  <c r="AJ103" i="23083"/>
  <c r="AJ104" i="23083" l="1"/>
  <c r="AJ106" i="23083" s="1"/>
  <c r="AI106" i="23083" s="1"/>
  <c r="AJ225" i="23083"/>
  <c r="AJ223" i="23083"/>
  <c r="AJ226" i="23083"/>
  <c r="AI93" i="23083"/>
  <c r="AI86" i="23083"/>
  <c r="AJ293" i="23083"/>
  <c r="AJ297" i="23083" s="1"/>
  <c r="AI103" i="23083"/>
  <c r="AJ126" i="23083" l="1"/>
  <c r="AI104" i="23083"/>
  <c r="AI126" i="23083" s="1"/>
  <c r="AJ121" i="23083"/>
  <c r="AI121" i="23083" s="1"/>
  <c r="AI223" i="23083"/>
  <c r="AJ124" i="23083" l="1"/>
  <c r="AI124" i="23083" l="1"/>
  <c r="AI130" i="23083"/>
  <c r="AJ136" i="23083"/>
  <c r="AJ236" i="23083"/>
  <c r="AJ196" i="23083"/>
  <c r="AM195" i="23083" s="1"/>
  <c r="AM197" i="23083" s="1"/>
  <c r="AI218" i="23083" l="1"/>
  <c r="AI221" i="23083" s="1"/>
  <c r="AL197" i="23083"/>
  <c r="AL199" i="23083" s="1"/>
  <c r="AL204" i="23083" s="1"/>
  <c r="AM199" i="23083"/>
  <c r="AM202" i="23083"/>
  <c r="AJ239" i="23083"/>
  <c r="AJ243" i="23083" s="1"/>
  <c r="AJ238" i="23083"/>
  <c r="AI136" i="23083"/>
  <c r="AJ160" i="23083"/>
  <c r="AI196" i="23083"/>
  <c r="AI220" i="23083" l="1"/>
  <c r="AM204" i="23083"/>
  <c r="AM200" i="23083" s="1"/>
  <c r="AJ240" i="23083"/>
  <c r="AJ244" i="23083" s="1"/>
  <c r="AI160" i="23083"/>
  <c r="AJ187" i="23083"/>
  <c r="AJ188" i="23083" s="1"/>
  <c r="AI187" i="23083" l="1"/>
  <c r="AM205" i="23083"/>
  <c r="AL100" i="23083" l="1"/>
  <c r="AK317" i="23083" l="1"/>
  <c r="AK321" i="23083" s="1"/>
  <c r="AK319" i="23083" l="1"/>
  <c r="AK148" i="23083"/>
  <c r="AK322" i="23083" l="1"/>
  <c r="AK313" i="23083"/>
  <c r="AL313" i="23083" s="1"/>
  <c r="AK93" i="23083" l="1"/>
  <c r="AK86" i="23083"/>
  <c r="AK103" i="23083"/>
  <c r="AK223" i="23083" l="1"/>
  <c r="AK226" i="23083"/>
  <c r="AK104" i="23083"/>
  <c r="AK293" i="23083" l="1"/>
  <c r="AK297" i="23083" s="1"/>
  <c r="AK126" i="23083"/>
  <c r="AK106" i="23083"/>
  <c r="AK121" i="23083" s="1"/>
  <c r="AK124" i="23083" s="1"/>
  <c r="AK136" i="23083" l="1"/>
  <c r="AK196" i="23083"/>
  <c r="AN195" i="23083" s="1"/>
  <c r="AN197" i="23083" s="1"/>
  <c r="AN199" i="23083" l="1"/>
  <c r="AN204" i="23083" l="1"/>
  <c r="AN205" i="23083" l="1"/>
  <c r="AN206" i="23083"/>
  <c r="AN200" i="23083"/>
  <c r="AD76" i="23086" l="1"/>
  <c r="AD74" i="23086"/>
  <c r="AD75" i="23086"/>
  <c r="AL8" i="23083"/>
  <c r="AL9" i="23083" s="1"/>
  <c r="AO74" i="23083" l="1"/>
  <c r="AO10" i="23083"/>
  <c r="AL322" i="23083"/>
  <c r="AL227" i="23083"/>
  <c r="AM13" i="23083"/>
  <c r="AP15" i="23083" s="1"/>
  <c r="AE83" i="23086"/>
  <c r="AL74" i="23083"/>
  <c r="AL233" i="23083"/>
  <c r="AL10" i="23083"/>
  <c r="AL89" i="23083"/>
  <c r="AL13" i="23083"/>
  <c r="AL12" i="23083" l="1"/>
  <c r="AO15" i="23083"/>
  <c r="AO133" i="23083"/>
  <c r="AO131" i="23083"/>
  <c r="AO228" i="23083" s="1"/>
  <c r="AM20" i="23083"/>
  <c r="AM78" i="23083" s="1"/>
  <c r="AL131" i="23083"/>
  <c r="AL133" i="23083"/>
  <c r="AM15" i="23083"/>
  <c r="AM14" i="23083"/>
  <c r="AM12" i="23083"/>
  <c r="AL15" i="23083"/>
  <c r="AL14" i="23083"/>
  <c r="AM19" i="23083" l="1"/>
  <c r="AO229" i="23083"/>
  <c r="AO230" i="23083"/>
  <c r="AO231" i="23083"/>
  <c r="AO232" i="23083"/>
  <c r="AM21" i="23083"/>
  <c r="AP78" i="23083"/>
  <c r="AP21" i="23083"/>
  <c r="AM77" i="23083"/>
  <c r="AL19" i="23083"/>
  <c r="AM91" i="23083"/>
  <c r="AL228" i="23083"/>
  <c r="AL231" i="23083"/>
  <c r="AL232" i="23083"/>
  <c r="AL18" i="23083"/>
  <c r="AO76" i="23083" s="1"/>
  <c r="AM90" i="23083"/>
  <c r="AP77" i="23083" l="1"/>
  <c r="AL324" i="23083"/>
  <c r="AL326" i="23083" s="1"/>
  <c r="AL77" i="23083"/>
  <c r="AL91" i="23083"/>
  <c r="AS19" i="23083"/>
  <c r="AL315" i="23083"/>
  <c r="AL317" i="23083" s="1"/>
  <c r="AL230" i="23083"/>
  <c r="AL229" i="23083"/>
  <c r="AL76" i="23083"/>
  <c r="AL20" i="23083"/>
  <c r="AL90" i="23083"/>
  <c r="AL141" i="23083"/>
  <c r="AM232" i="23083"/>
  <c r="AM231" i="23083"/>
  <c r="AT19" i="23083" l="1"/>
  <c r="AL222" i="23083"/>
  <c r="AL321" i="23083"/>
  <c r="AL319" i="23083"/>
  <c r="AL93" i="23083"/>
  <c r="AM241" i="23083"/>
  <c r="AM42" i="23083"/>
  <c r="AM25" i="23083"/>
  <c r="AM24" i="23083"/>
  <c r="AH23" i="23123"/>
  <c r="AM97" i="23083"/>
  <c r="AL78" i="23083"/>
  <c r="AL21" i="23083"/>
  <c r="AU19" i="23083" l="1"/>
  <c r="AL42" i="23083"/>
  <c r="AM43" i="23083"/>
  <c r="AM38" i="23083"/>
  <c r="AM39" i="23083"/>
  <c r="AL148" i="23083"/>
  <c r="AH29" i="23123"/>
  <c r="U7" i="23123" s="1"/>
  <c r="T7" i="23123"/>
  <c r="AL97" i="23083"/>
  <c r="AM212" i="23083"/>
  <c r="AL213" i="23083"/>
  <c r="AM213" i="23083"/>
  <c r="AM103" i="23083"/>
  <c r="AM93" i="23083"/>
  <c r="AM225" i="23083" l="1"/>
  <c r="AM226" i="23083"/>
  <c r="AM223" i="23083"/>
  <c r="AM86" i="23083"/>
  <c r="AL212" i="23083"/>
  <c r="AL214" i="23083" s="1"/>
  <c r="AH24" i="23123"/>
  <c r="AH30" i="23123" s="1"/>
  <c r="AM206" i="23083"/>
  <c r="AM45" i="23083"/>
  <c r="AL103" i="23083"/>
  <c r="AM291" i="23083"/>
  <c r="AM210" i="23083"/>
  <c r="AL99" i="23083"/>
  <c r="AL210" i="23083" s="1"/>
  <c r="AM214" i="23083"/>
  <c r="AM249" i="23083" l="1"/>
  <c r="AM55" i="23083"/>
  <c r="AM158" i="23083"/>
  <c r="AL158" i="23083" s="1"/>
  <c r="AL143" i="23083"/>
  <c r="AM81" i="23083" l="1"/>
  <c r="AM59" i="23083"/>
  <c r="AL101" i="23083"/>
  <c r="AM215" i="23083"/>
  <c r="AM267" i="23083"/>
  <c r="AM57" i="23083"/>
  <c r="AH25" i="23123"/>
  <c r="AL80" i="23083"/>
  <c r="AL55" i="23083"/>
  <c r="AL59" i="23083" l="1"/>
  <c r="AM56" i="23083"/>
  <c r="AM281" i="23083"/>
  <c r="AL281" i="23083" s="1"/>
  <c r="AL267" i="23083"/>
  <c r="AM270" i="23083"/>
  <c r="AL215" i="23083"/>
  <c r="AL102" i="23083"/>
  <c r="AM104" i="23083"/>
  <c r="AM169" i="23083"/>
  <c r="AL166" i="23083"/>
  <c r="T9" i="23123"/>
  <c r="AH31" i="23123"/>
  <c r="U9" i="23123" s="1"/>
  <c r="AL57" i="23083"/>
  <c r="AL81" i="23083"/>
  <c r="AL104" i="23083" l="1"/>
  <c r="AM126" i="23083"/>
  <c r="AM293" i="23083"/>
  <c r="AM297" i="23083" s="1"/>
  <c r="AM280" i="23083"/>
  <c r="AL280" i="23083" s="1"/>
  <c r="AM276" i="23083"/>
  <c r="AL276" i="23083" s="1"/>
  <c r="AM290" i="23083"/>
  <c r="AM292" i="23083" s="1"/>
  <c r="AM296" i="23083" s="1"/>
  <c r="AL270" i="23083"/>
  <c r="AM275" i="23083"/>
  <c r="AL169" i="23083"/>
  <c r="AM179" i="23083"/>
  <c r="AM271" i="23083"/>
  <c r="AM272" i="23083" s="1"/>
  <c r="AL56" i="23083"/>
  <c r="AM62" i="23083" l="1"/>
  <c r="AL275" i="23083"/>
  <c r="AL285" i="23083" s="1"/>
  <c r="AM285" i="23083"/>
  <c r="AL126" i="23083"/>
  <c r="AL271" i="23083"/>
  <c r="AM282" i="23083"/>
  <c r="AL282" i="23083" s="1"/>
  <c r="AL272" i="23083"/>
  <c r="AM277" i="23083"/>
  <c r="AL179" i="23083"/>
  <c r="AM60" i="23083" l="1"/>
  <c r="AM66" i="23083"/>
  <c r="AM68" i="23083" s="1"/>
  <c r="AM82" i="23083"/>
  <c r="AM286" i="23083"/>
  <c r="AL277" i="23083"/>
  <c r="AL286" i="23083" s="1"/>
  <c r="AM63" i="23083"/>
  <c r="AH26" i="23123"/>
  <c r="AL62" i="23083"/>
  <c r="AL60" i="23083" l="1"/>
  <c r="AM69" i="23083"/>
  <c r="AM71" i="23083" s="1"/>
  <c r="AM300" i="23083"/>
  <c r="AL300" i="23083" s="1"/>
  <c r="T11" i="23123"/>
  <c r="AH32" i="23123"/>
  <c r="U11" i="23123" s="1"/>
  <c r="AL82" i="23083"/>
  <c r="AL63" i="23083"/>
  <c r="AL105" i="23083" l="1"/>
  <c r="AM106" i="23083"/>
  <c r="AL68" i="23083"/>
  <c r="AL106" i="23083" l="1"/>
  <c r="AM121" i="23083"/>
  <c r="AL184" i="23083"/>
  <c r="AM186" i="23083"/>
  <c r="AM221" i="23083" l="1"/>
  <c r="AM220" i="23083"/>
  <c r="AM247" i="23083"/>
  <c r="AP248" i="23083" s="1"/>
  <c r="AM304" i="23083"/>
  <c r="AL186" i="23083"/>
  <c r="AL121" i="23083"/>
  <c r="AM124" i="23083"/>
  <c r="AL124" i="23083" l="1"/>
  <c r="AL247" i="23083"/>
  <c r="AL304" i="23083"/>
  <c r="AM306" i="23083"/>
  <c r="AM308" i="23083" s="1"/>
  <c r="AM307" i="23083"/>
  <c r="AM248" i="23083"/>
  <c r="AM250" i="23083" s="1"/>
  <c r="AM196" i="23083" l="1"/>
  <c r="AP195" i="23083" s="1"/>
  <c r="AP197" i="23083" s="1"/>
  <c r="AL130" i="23083"/>
  <c r="AM136" i="23083"/>
  <c r="AM236" i="23083"/>
  <c r="AP239" i="23083" s="1"/>
  <c r="AP243" i="23083" s="1"/>
  <c r="AL307" i="23083"/>
  <c r="AL306" i="23083"/>
  <c r="AL308" i="23083" s="1"/>
  <c r="AO197" i="23083" l="1"/>
  <c r="AO199" i="23083" s="1"/>
  <c r="AO204" i="23083" s="1"/>
  <c r="AP199" i="23083"/>
  <c r="AL218" i="23083"/>
  <c r="AL220" i="23083" s="1"/>
  <c r="AM160" i="23083"/>
  <c r="AL136" i="23083"/>
  <c r="AL196" i="23083"/>
  <c r="AM238" i="23083"/>
  <c r="AP240" i="23083" s="1"/>
  <c r="AP244" i="23083" s="1"/>
  <c r="AM239" i="23083"/>
  <c r="AM243" i="23083" s="1"/>
  <c r="AP204" i="23083" l="1"/>
  <c r="AP200" i="23083"/>
  <c r="AL221" i="23083"/>
  <c r="AM240" i="23083"/>
  <c r="AM244" i="23083" s="1"/>
  <c r="AM187" i="23083"/>
  <c r="AM188" i="23083" s="1"/>
  <c r="AL160" i="23083"/>
  <c r="AP205" i="23083" l="1"/>
  <c r="AP206" i="23083"/>
  <c r="AL187" i="23083"/>
  <c r="AK58" i="23086" l="1"/>
  <c r="AK65" i="23086"/>
  <c r="AK48" i="23086" l="1"/>
  <c r="AK59" i="23086"/>
  <c r="AK66" i="23086"/>
  <c r="AS6" i="23083"/>
  <c r="AS7" i="23083" l="1"/>
  <c r="AK60" i="23086"/>
  <c r="AN7" i="23083" l="1"/>
  <c r="AN9" i="23083" s="1"/>
  <c r="AF15" i="23086"/>
  <c r="AG15" i="23086" s="1"/>
  <c r="AF13" i="23086" l="1"/>
  <c r="AG13" i="23086" s="1"/>
  <c r="AN227" i="23083"/>
  <c r="AN89" i="23083"/>
  <c r="AN74" i="23083"/>
  <c r="AN90" i="23083"/>
  <c r="AN38" i="23083"/>
  <c r="AN230" i="23083"/>
  <c r="AN45" i="23083"/>
  <c r="AF8" i="23086"/>
  <c r="AN326" i="23083"/>
  <c r="AF74" i="23086"/>
  <c r="AF75" i="23086"/>
  <c r="AN10" i="23083"/>
  <c r="AN317" i="23083"/>
  <c r="AF76" i="23086"/>
  <c r="AG16" i="23086" l="1"/>
  <c r="AG8" i="23086"/>
  <c r="AF14" i="23086"/>
  <c r="AG14" i="23086" s="1"/>
  <c r="AN13" i="23083"/>
  <c r="AN20" i="23083" s="1"/>
  <c r="AN78" i="23083" s="1"/>
  <c r="AN232" i="23083" l="1"/>
  <c r="AN233" i="23083"/>
  <c r="AN15" i="23083"/>
  <c r="AN14" i="23083"/>
  <c r="AN12" i="23083"/>
  <c r="AN231" i="23083"/>
  <c r="AN291" i="23083" l="1"/>
  <c r="AN196" i="23083" l="1"/>
  <c r="AS195" i="23083" l="1"/>
  <c r="AS197" i="23083" s="1"/>
  <c r="AS199" i="23083" l="1"/>
  <c r="AS204" i="23083" s="1"/>
  <c r="AS202" i="23083"/>
  <c r="AS200" i="23083" l="1"/>
  <c r="AS205" i="23083"/>
  <c r="AL58" i="23086" l="1"/>
  <c r="AL59" i="23086" s="1"/>
  <c r="AL46" i="23086"/>
  <c r="AL34" i="23086"/>
  <c r="AK32" i="23086"/>
  <c r="AI32" i="23086" s="1"/>
  <c r="AK34" i="23086" l="1"/>
  <c r="AK35" i="23086" s="1"/>
  <c r="AL66" i="23086"/>
  <c r="AL60" i="23086"/>
  <c r="AJ32" i="23086"/>
  <c r="AJ34" i="23086" s="1"/>
  <c r="AI34" i="23086"/>
  <c r="AK64" i="23086"/>
  <c r="AK13" i="23086"/>
  <c r="AK36" i="23086"/>
  <c r="AL35" i="23086"/>
  <c r="AL64" i="23086"/>
  <c r="AL47" i="23086"/>
  <c r="AL65" i="23086"/>
  <c r="AL13" i="23086"/>
  <c r="AT7" i="23083"/>
  <c r="AI35" i="23086" l="1"/>
  <c r="AI36" i="23086"/>
  <c r="AJ35" i="23086"/>
  <c r="AJ36" i="23086"/>
  <c r="AL48" i="23086"/>
  <c r="AL36" i="23086"/>
  <c r="AS5" i="23083"/>
  <c r="AS9" i="23083" s="1"/>
  <c r="AS10" i="23083" s="1"/>
  <c r="AJ13" i="23086"/>
  <c r="AJ8" i="23086" s="1"/>
  <c r="AK68" i="23086"/>
  <c r="AK80" i="23086" s="1"/>
  <c r="AI13" i="23086"/>
  <c r="AI8" i="23086" s="1"/>
  <c r="AT5" i="23083"/>
  <c r="AL68" i="23086"/>
  <c r="AT6" i="23083"/>
  <c r="AS326" i="23083" l="1"/>
  <c r="AS165" i="23083"/>
  <c r="AR165" i="23083" s="1"/>
  <c r="AS91" i="23083"/>
  <c r="AS312" i="23083"/>
  <c r="AS89" i="23083"/>
  <c r="AS317" i="23083"/>
  <c r="AS315" i="23083" s="1"/>
  <c r="AS74" i="23083"/>
  <c r="AI64" i="23086"/>
  <c r="AQ5" i="23083" s="1"/>
  <c r="AQ9" i="23083" s="1"/>
  <c r="AJ64" i="23086"/>
  <c r="AR5" i="23083" s="1"/>
  <c r="AR9" i="23083" s="1"/>
  <c r="AK76" i="23086"/>
  <c r="AK15" i="23086"/>
  <c r="AK16" i="23086" s="1"/>
  <c r="AK75" i="23086"/>
  <c r="AK69" i="23086"/>
  <c r="AK74" i="23086"/>
  <c r="AL75" i="23086"/>
  <c r="AS325" i="23083"/>
  <c r="AS141" i="23083"/>
  <c r="AL80" i="23086"/>
  <c r="AL69" i="23086"/>
  <c r="AL15" i="23086"/>
  <c r="AL16" i="23086" s="1"/>
  <c r="AL76" i="23086"/>
  <c r="AT9" i="23083"/>
  <c r="AL74" i="23086"/>
  <c r="AM58" i="23086"/>
  <c r="AM46" i="23086"/>
  <c r="AS131" i="23083" l="1"/>
  <c r="AS231" i="23083" s="1"/>
  <c r="AS48" i="23083"/>
  <c r="AS41" i="23083"/>
  <c r="AS316" i="23083"/>
  <c r="AS311" i="23083" s="1"/>
  <c r="AS140" i="23083"/>
  <c r="AS18" i="23083"/>
  <c r="AS329" i="23083"/>
  <c r="AS330" i="23083" s="1"/>
  <c r="AS42" i="23083" s="1"/>
  <c r="AS164" i="23083"/>
  <c r="AS133" i="23083"/>
  <c r="AQ326" i="23083"/>
  <c r="AQ325" i="23083" s="1"/>
  <c r="AQ324" i="23083" s="1"/>
  <c r="AQ165" i="23083"/>
  <c r="AQ317" i="23083"/>
  <c r="AQ312" i="23083"/>
  <c r="AQ89" i="23083"/>
  <c r="AQ10" i="23083"/>
  <c r="AQ74" i="23083"/>
  <c r="AR89" i="23083"/>
  <c r="AR74" i="23083"/>
  <c r="AR10" i="23083"/>
  <c r="AR227" i="23083"/>
  <c r="AR141" i="23083"/>
  <c r="AI68" i="23086"/>
  <c r="AI74" i="23086" s="1"/>
  <c r="AL70" i="23086"/>
  <c r="AK70" i="23086"/>
  <c r="AS324" i="23083"/>
  <c r="AJ68" i="23086"/>
  <c r="AJ74" i="23086" s="1"/>
  <c r="AT326" i="23083"/>
  <c r="AT165" i="23083"/>
  <c r="AT89" i="23083"/>
  <c r="AT312" i="23083"/>
  <c r="AT74" i="23083"/>
  <c r="AT10" i="23083"/>
  <c r="AT317" i="23083"/>
  <c r="AT91" i="23083"/>
  <c r="AM65" i="23086"/>
  <c r="AM47" i="23086"/>
  <c r="AM48" i="23086" s="1"/>
  <c r="AM66" i="23086"/>
  <c r="AM59" i="23086"/>
  <c r="AM60" i="23086" s="1"/>
  <c r="AM34" i="23086"/>
  <c r="AM13" i="23086"/>
  <c r="AT141" i="23083" l="1"/>
  <c r="AT41" i="23083"/>
  <c r="AT48" i="23083"/>
  <c r="AQ48" i="23083"/>
  <c r="AS100" i="23083"/>
  <c r="AS313" i="23083"/>
  <c r="AS103" i="23083" s="1"/>
  <c r="AS148" i="23083"/>
  <c r="AR148" i="23083" s="1"/>
  <c r="AS90" i="23083"/>
  <c r="AS20" i="23083"/>
  <c r="AR140" i="23083"/>
  <c r="AS76" i="23083"/>
  <c r="AS232" i="23083"/>
  <c r="AR164" i="23083"/>
  <c r="AS233" i="23083"/>
  <c r="AS228" i="23083"/>
  <c r="AQ141" i="23083"/>
  <c r="AR312" i="23083"/>
  <c r="AR322" i="23083" s="1"/>
  <c r="AQ315" i="23083"/>
  <c r="AQ316" i="23083"/>
  <c r="AR317" i="23083"/>
  <c r="AR321" i="23083" s="1"/>
  <c r="AR326" i="23083" s="1"/>
  <c r="AQ164" i="23083"/>
  <c r="AQ140" i="23083"/>
  <c r="AQ133" i="23083"/>
  <c r="AQ131" i="23083"/>
  <c r="AQ330" i="23083"/>
  <c r="AQ42" i="23083" s="1"/>
  <c r="AI70" i="23086"/>
  <c r="AI82" i="23086"/>
  <c r="AI15" i="23086"/>
  <c r="AI16" i="23086" s="1"/>
  <c r="AI80" i="23086"/>
  <c r="AI69" i="23086"/>
  <c r="AI76" i="23086"/>
  <c r="AI75" i="23086"/>
  <c r="AJ82" i="23086"/>
  <c r="AR13" i="23083" s="1"/>
  <c r="AJ70" i="23086"/>
  <c r="AJ69" i="23086"/>
  <c r="AJ15" i="23086"/>
  <c r="AJ16" i="23086" s="1"/>
  <c r="AJ80" i="23086"/>
  <c r="AJ75" i="23086"/>
  <c r="AJ76" i="23086"/>
  <c r="AT325" i="23083"/>
  <c r="AS331" i="23083"/>
  <c r="AT328" i="23083" s="1"/>
  <c r="AU6" i="23083"/>
  <c r="AT164" i="23083"/>
  <c r="AT131" i="23083"/>
  <c r="AT133" i="23083"/>
  <c r="AT140" i="23083"/>
  <c r="AM64" i="23086"/>
  <c r="AM35" i="23086"/>
  <c r="AM36" i="23086" s="1"/>
  <c r="AT315" i="23083"/>
  <c r="AT316" i="23083"/>
  <c r="AT311" i="23083" s="1"/>
  <c r="AU7" i="23083"/>
  <c r="AS21" i="23083" l="1"/>
  <c r="AS93" i="23083"/>
  <c r="AS78" i="23083"/>
  <c r="AR233" i="23083"/>
  <c r="AS229" i="23083"/>
  <c r="AS97" i="23083" s="1"/>
  <c r="AS230" i="23083"/>
  <c r="AQ233" i="23083"/>
  <c r="AQ311" i="23083"/>
  <c r="AR316" i="23083"/>
  <c r="AR319" i="23083" s="1"/>
  <c r="AR325" i="23083" s="1"/>
  <c r="AR324" i="23083" s="1"/>
  <c r="AQ228" i="23083"/>
  <c r="AR131" i="23083"/>
  <c r="AQ231" i="23083"/>
  <c r="AQ18" i="23083"/>
  <c r="AR315" i="23083"/>
  <c r="AR18" i="23083" s="1"/>
  <c r="AR133" i="23083"/>
  <c r="AQ232" i="23083"/>
  <c r="AR12" i="23083"/>
  <c r="AR14" i="23083"/>
  <c r="AR15" i="23083"/>
  <c r="AK82" i="23086"/>
  <c r="AQ13" i="23083"/>
  <c r="AS225" i="23083"/>
  <c r="AQ149" i="23083"/>
  <c r="AR330" i="23083"/>
  <c r="AR42" i="23083" s="1"/>
  <c r="AJ81" i="23086"/>
  <c r="AI81" i="23086"/>
  <c r="AT324" i="23083"/>
  <c r="AT18" i="23083"/>
  <c r="AT329" i="23083"/>
  <c r="AS149" i="23083"/>
  <c r="AT232" i="23083"/>
  <c r="AT313" i="23083"/>
  <c r="AT148" i="23083"/>
  <c r="AT233" i="23083"/>
  <c r="AU5" i="23083"/>
  <c r="AU9" i="23083" s="1"/>
  <c r="AM68" i="23086"/>
  <c r="AM74" i="23086" s="1"/>
  <c r="AT228" i="23083"/>
  <c r="AT231" i="23083"/>
  <c r="AU326" i="23083" l="1"/>
  <c r="AR90" i="23083"/>
  <c r="AQ90" i="23083"/>
  <c r="AQ76" i="23083"/>
  <c r="AQ313" i="23083"/>
  <c r="AQ148" i="23083"/>
  <c r="AQ150" i="23083" s="1"/>
  <c r="AR311" i="23083"/>
  <c r="AR232" i="23083"/>
  <c r="AR228" i="23083"/>
  <c r="AR230" i="23083" s="1"/>
  <c r="AR231" i="23083"/>
  <c r="AQ230" i="23083"/>
  <c r="AQ229" i="23083"/>
  <c r="AQ97" i="23083" s="1"/>
  <c r="AQ12" i="23083"/>
  <c r="AQ14" i="23083"/>
  <c r="AQ15" i="23083"/>
  <c r="AK83" i="23086"/>
  <c r="AK81" i="23086"/>
  <c r="AS13" i="23083"/>
  <c r="AS23" i="23083" s="1"/>
  <c r="AS150" i="23083"/>
  <c r="AR149" i="23083"/>
  <c r="AT20" i="23083"/>
  <c r="AU325" i="23083"/>
  <c r="AU324" i="23083" s="1"/>
  <c r="AT330" i="23083"/>
  <c r="AT42" i="23083" s="1"/>
  <c r="AT76" i="23083"/>
  <c r="AT90" i="23083"/>
  <c r="AT103" i="23083"/>
  <c r="AT93" i="23083"/>
  <c r="AM15" i="23086"/>
  <c r="AM16" i="23086" s="1"/>
  <c r="AM80" i="23086"/>
  <c r="AM69" i="23086"/>
  <c r="AM70" i="23086" s="1"/>
  <c r="AM76" i="23086"/>
  <c r="AM75" i="23086"/>
  <c r="AT230" i="23083"/>
  <c r="AT229" i="23083"/>
  <c r="AT97" i="23083" s="1"/>
  <c r="AU89" i="23083"/>
  <c r="AU91" i="23083"/>
  <c r="AU317" i="23083"/>
  <c r="AU312" i="23083"/>
  <c r="AU165" i="23083"/>
  <c r="AU10" i="23083"/>
  <c r="AU74" i="23083"/>
  <c r="AU48" i="23083" s="1"/>
  <c r="AS27" i="23083" l="1"/>
  <c r="AS37" i="23083"/>
  <c r="AS305" i="23083"/>
  <c r="AQ305" i="23083"/>
  <c r="AQ103" i="23083"/>
  <c r="AQ93" i="23083"/>
  <c r="AR313" i="23083"/>
  <c r="AR93" i="23083" s="1"/>
  <c r="AR97" i="23083"/>
  <c r="AR150" i="23083"/>
  <c r="AR229" i="23083"/>
  <c r="AM83" i="23086"/>
  <c r="AL82" i="23086"/>
  <c r="AS14" i="23083"/>
  <c r="AS12" i="23083"/>
  <c r="AS15" i="23083"/>
  <c r="AT21" i="23083"/>
  <c r="AT78" i="23083"/>
  <c r="AT331" i="23083"/>
  <c r="AU328" i="23083" s="1"/>
  <c r="AT225" i="23083"/>
  <c r="AU315" i="23083"/>
  <c r="AU316" i="23083"/>
  <c r="AU311" i="23083" s="1"/>
  <c r="AU141" i="23083"/>
  <c r="AU133" i="23083"/>
  <c r="AU164" i="23083"/>
  <c r="AU131" i="23083"/>
  <c r="AU140" i="23083"/>
  <c r="AS38" i="23083" l="1"/>
  <c r="AS39" i="23083"/>
  <c r="AQ225" i="23083"/>
  <c r="AR103" i="23083"/>
  <c r="AR305" i="23083"/>
  <c r="AL81" i="23086"/>
  <c r="AT13" i="23083"/>
  <c r="AM82" i="23086"/>
  <c r="AS241" i="23083"/>
  <c r="AS226" i="23083"/>
  <c r="AS79" i="23083"/>
  <c r="AS24" i="23083"/>
  <c r="AS96" i="23083"/>
  <c r="AS25" i="23083"/>
  <c r="AU18" i="23083"/>
  <c r="AU329" i="23083"/>
  <c r="AU233" i="23083"/>
  <c r="AU232" i="23083"/>
  <c r="AU313" i="23083"/>
  <c r="AU148" i="23083"/>
  <c r="AT149" i="23083"/>
  <c r="AU228" i="23083"/>
  <c r="AU231" i="23083"/>
  <c r="AT150" i="23083" l="1"/>
  <c r="AT15" i="23083"/>
  <c r="AT12" i="23083"/>
  <c r="AT14" i="23083"/>
  <c r="AT23" i="23083"/>
  <c r="AU13" i="23083"/>
  <c r="AM81" i="23086"/>
  <c r="AS29" i="23083"/>
  <c r="AS28" i="23083"/>
  <c r="AS212" i="23083"/>
  <c r="AS213" i="23083"/>
  <c r="AS99" i="23083"/>
  <c r="AU20" i="23083"/>
  <c r="AU330" i="23083"/>
  <c r="AU42" i="23083" s="1"/>
  <c r="AU90" i="23083"/>
  <c r="AU76" i="23083"/>
  <c r="AU93" i="23083"/>
  <c r="AU103" i="23083"/>
  <c r="AU230" i="23083"/>
  <c r="AU229" i="23083"/>
  <c r="AU97" i="23083" s="1"/>
  <c r="C6" i="23120" l="1"/>
  <c r="AT305" i="23083"/>
  <c r="AU23" i="23083"/>
  <c r="AU241" i="23083" s="1"/>
  <c r="AS214" i="23083"/>
  <c r="AU15" i="23083"/>
  <c r="AU14" i="23083"/>
  <c r="AU12" i="23083"/>
  <c r="AS210" i="23083"/>
  <c r="AT24" i="23083"/>
  <c r="AT241" i="23083"/>
  <c r="AT96" i="23083"/>
  <c r="AT226" i="23083"/>
  <c r="AT79" i="23083"/>
  <c r="AT25" i="23083"/>
  <c r="AT27" i="23083"/>
  <c r="AT37" i="23083"/>
  <c r="AU331" i="23083"/>
  <c r="AU21" i="23083"/>
  <c r="AU78" i="23083"/>
  <c r="AU149" i="23083"/>
  <c r="AU225" i="23083"/>
  <c r="AU25" i="23083" l="1"/>
  <c r="AU150" i="23083"/>
  <c r="E6" i="23120"/>
  <c r="AU27" i="23083"/>
  <c r="AU29" i="23083" s="1"/>
  <c r="AU37" i="23083"/>
  <c r="AU226" i="23083"/>
  <c r="AU79" i="23083"/>
  <c r="AU96" i="23083"/>
  <c r="AU212" i="23083" s="1"/>
  <c r="AU24" i="23083"/>
  <c r="AT99" i="23083"/>
  <c r="AT210" i="23083" s="1"/>
  <c r="AT212" i="23083"/>
  <c r="AT213" i="23083"/>
  <c r="AT38" i="23083"/>
  <c r="AT39" i="23083"/>
  <c r="AT29" i="23083"/>
  <c r="AT28" i="23083"/>
  <c r="AU213" i="23083"/>
  <c r="AU214" i="23083" s="1"/>
  <c r="AU28" i="23083" l="1"/>
  <c r="AU305" i="23083"/>
  <c r="AU39" i="23083"/>
  <c r="E8" i="23120"/>
  <c r="E10" i="23120" s="1"/>
  <c r="AU38" i="23083"/>
  <c r="AU99" i="23083"/>
  <c r="AU210" i="23083" s="1"/>
  <c r="AT214" i="23083"/>
  <c r="E12" i="23120" l="1"/>
  <c r="H15" i="23123"/>
  <c r="I15" i="23123" s="1"/>
  <c r="E14" i="23120" l="1"/>
  <c r="AL43" i="23083" l="1"/>
  <c r="AL223" i="23083" l="1"/>
  <c r="AL86" i="23083"/>
  <c r="AK158" i="23083" l="1"/>
  <c r="AK160" i="23083" s="1"/>
  <c r="AK142" i="23083"/>
  <c r="AK187" i="23083" l="1"/>
  <c r="X241" i="23083" l="1"/>
  <c r="X243" i="23083" s="1"/>
  <c r="X24" i="23083"/>
  <c r="AC23" i="23123"/>
  <c r="E7" i="23123" s="1"/>
  <c r="W7" i="23123" s="1"/>
  <c r="X226" i="23083"/>
  <c r="AA79" i="23083"/>
  <c r="X219" i="23083"/>
  <c r="X79" i="23083"/>
  <c r="AA25" i="23083"/>
  <c r="X25" i="23083"/>
  <c r="AA29" i="23083"/>
  <c r="AC29" i="23123" l="1"/>
  <c r="F7" i="23123" s="1"/>
  <c r="X210" i="23083"/>
  <c r="W210" i="23083"/>
  <c r="W212" i="23083"/>
  <c r="X28" i="23083"/>
  <c r="X244" i="23083"/>
  <c r="X212" i="23083"/>
  <c r="X39" i="23083"/>
  <c r="X29" i="23083"/>
  <c r="X38" i="23083"/>
  <c r="X98" i="23083"/>
  <c r="AA39" i="23083"/>
  <c r="W98" i="23083" l="1"/>
  <c r="X213" i="23083"/>
  <c r="X214" i="23083" s="1"/>
  <c r="W213" i="23083" l="1"/>
  <c r="W214" i="23083" s="1"/>
  <c r="AL23" i="23083"/>
  <c r="AL28" i="23083"/>
  <c r="AL24" i="23083" l="1"/>
  <c r="AL38" i="23083"/>
  <c r="AL44" i="23083"/>
  <c r="AL219" i="23083"/>
  <c r="AL226" i="23083"/>
  <c r="AL45" i="23083" l="1"/>
  <c r="AL206" i="23083"/>
  <c r="AL85" i="23083" l="1"/>
  <c r="AI28" i="23083" l="1"/>
  <c r="AL29" i="23083"/>
  <c r="AI85" i="23083"/>
  <c r="AI23" i="23083"/>
  <c r="AL25" i="23083" l="1"/>
  <c r="AI44" i="23083"/>
  <c r="AL79" i="23083"/>
  <c r="AL39" i="23083"/>
  <c r="AI38" i="23083"/>
  <c r="AI24" i="23083"/>
  <c r="AI219" i="23083"/>
  <c r="AI226" i="23083"/>
  <c r="AI206" i="23083" l="1"/>
  <c r="AI45" i="23083"/>
  <c r="AF28" i="23083" l="1"/>
  <c r="AI29" i="23083"/>
  <c r="AF23" i="23083"/>
  <c r="AF226" i="23083" l="1"/>
  <c r="AI79" i="23083"/>
  <c r="AF219" i="23083"/>
  <c r="AI25" i="23083"/>
  <c r="AF24" i="23083"/>
  <c r="AF38" i="23083" l="1"/>
  <c r="AI39" i="23083"/>
  <c r="AF44" i="23083"/>
  <c r="AF45" i="23083" l="1"/>
  <c r="AF85" i="23083" l="1"/>
  <c r="AC28" i="23083" l="1"/>
  <c r="AF29" i="23083"/>
  <c r="AC23" i="23083"/>
  <c r="AF25" i="23083" l="1"/>
  <c r="AC24" i="23083"/>
  <c r="AF79" i="23083"/>
  <c r="AC219" i="23083"/>
  <c r="AC226" i="23083"/>
  <c r="AC44" i="23083" l="1"/>
  <c r="AF39" i="23083"/>
  <c r="AC38" i="23083"/>
  <c r="AC45" i="23083" l="1"/>
  <c r="AC85" i="23083" l="1"/>
  <c r="AC29" i="23083" l="1"/>
  <c r="Z28" i="23083"/>
  <c r="Z23" i="23083"/>
  <c r="Z44" i="23083"/>
  <c r="AC25" i="23083" l="1"/>
  <c r="Z24" i="23083"/>
  <c r="Z226" i="23083"/>
  <c r="Z45" i="23083"/>
  <c r="Z38" i="23083"/>
  <c r="AC39" i="23083"/>
  <c r="Z219" i="23083"/>
  <c r="AC79" i="23083"/>
  <c r="Z85" i="23083" l="1"/>
  <c r="W28" i="23083" l="1"/>
  <c r="Z29" i="23083"/>
  <c r="W23" i="23083"/>
  <c r="Z79" i="23083" s="1"/>
  <c r="W226" i="23083" l="1"/>
  <c r="Z25" i="23083"/>
  <c r="W219" i="23083"/>
  <c r="W24" i="23083"/>
  <c r="W44" i="23083" l="1"/>
  <c r="W38" i="23083"/>
  <c r="Z39" i="23083"/>
  <c r="W45" i="23083" l="1"/>
  <c r="W85" i="23083" l="1"/>
  <c r="W29" i="23083" l="1"/>
  <c r="T28" i="23083"/>
  <c r="T23" i="23083"/>
  <c r="W79" i="23083" s="1"/>
  <c r="T219" i="23083" l="1"/>
  <c r="W25" i="23083"/>
  <c r="T226" i="23083"/>
  <c r="T24" i="23083"/>
  <c r="T38" i="23083" l="1"/>
  <c r="W39" i="23083"/>
  <c r="T44" i="23083"/>
  <c r="T45" i="23083" l="1"/>
  <c r="P29" i="23083" l="1"/>
  <c r="S29" i="23083"/>
  <c r="P28" i="23083"/>
  <c r="P23" i="23083"/>
  <c r="S25" i="23083" s="1"/>
  <c r="Q27" i="23083"/>
  <c r="Q28" i="23083" l="1"/>
  <c r="Q326" i="23083"/>
  <c r="Q96" i="23083"/>
  <c r="Q37" i="23083"/>
  <c r="P226" i="23083"/>
  <c r="T29" i="23083"/>
  <c r="S79" i="23083"/>
  <c r="Q23" i="23083"/>
  <c r="Q29" i="23083"/>
  <c r="P79" i="23083"/>
  <c r="P24" i="23083"/>
  <c r="P25" i="23083"/>
  <c r="P219" i="23083"/>
  <c r="P44" i="23083" l="1"/>
  <c r="P38" i="23083"/>
  <c r="S39" i="23083"/>
  <c r="P39" i="23083"/>
  <c r="P98" i="23083"/>
  <c r="P210" i="23083"/>
  <c r="P212" i="23083"/>
  <c r="T25" i="23083"/>
  <c r="T79" i="23083"/>
  <c r="Q25" i="23083"/>
  <c r="Q79" i="23083"/>
  <c r="Q24" i="23083"/>
  <c r="Q226" i="23083"/>
  <c r="Q219" i="23083"/>
  <c r="Q212" i="23083" l="1"/>
  <c r="Q210" i="23083"/>
  <c r="Q44" i="23083"/>
  <c r="Q38" i="23083"/>
  <c r="T39" i="23083"/>
  <c r="Q39" i="23083"/>
  <c r="P213" i="23083"/>
  <c r="P214" i="23083" s="1"/>
  <c r="Q98" i="23083"/>
  <c r="P45" i="23083"/>
  <c r="Q213" i="23083" l="1"/>
  <c r="Q214" i="23083" s="1"/>
  <c r="Q45" i="23083"/>
  <c r="AN305" i="23083" l="1"/>
  <c r="AN28" i="23083" l="1"/>
  <c r="AN29" i="23083"/>
  <c r="AN21" i="23083" l="1"/>
  <c r="AN19" i="23083"/>
  <c r="AO19" i="23083" s="1"/>
  <c r="AO20" i="23083" l="1"/>
  <c r="AO23" i="23083" s="1"/>
  <c r="AO77" i="23083"/>
  <c r="AO91" i="23083"/>
  <c r="AN77" i="23083"/>
  <c r="AN91" i="23083"/>
  <c r="AQ19" i="23083"/>
  <c r="AN24" i="23083"/>
  <c r="AN25" i="23083"/>
  <c r="AO37" i="23083" l="1"/>
  <c r="AO25" i="23083"/>
  <c r="AO27" i="23083"/>
  <c r="AO24" i="23083"/>
  <c r="AO219" i="23083"/>
  <c r="AO79" i="23083"/>
  <c r="AO78" i="23083"/>
  <c r="AO21" i="23083"/>
  <c r="AQ91" i="23083"/>
  <c r="AQ20" i="23083"/>
  <c r="AR19" i="23083"/>
  <c r="AN212" i="23083"/>
  <c r="AN213" i="23083"/>
  <c r="AO28" i="23083" l="1"/>
  <c r="AO29" i="23083"/>
  <c r="AO96" i="23083"/>
  <c r="AO39" i="23083"/>
  <c r="AO38" i="23083"/>
  <c r="AO44" i="23083"/>
  <c r="AN214" i="23083"/>
  <c r="AQ21" i="23083"/>
  <c r="AQ78" i="23083"/>
  <c r="AQ23" i="23083"/>
  <c r="AR91" i="23083"/>
  <c r="AR77" i="23083"/>
  <c r="AR20" i="23083"/>
  <c r="AN210" i="23083"/>
  <c r="AO45" i="23083" l="1"/>
  <c r="AO206" i="23083"/>
  <c r="AO210" i="23083"/>
  <c r="AO213" i="23083"/>
  <c r="AO212" i="23083"/>
  <c r="AO214" i="23083" s="1"/>
  <c r="AR23" i="23083"/>
  <c r="AQ226" i="23083"/>
  <c r="AQ27" i="23083"/>
  <c r="AQ25" i="23083"/>
  <c r="AQ24" i="23083"/>
  <c r="AQ79" i="23083"/>
  <c r="AQ37" i="23083"/>
  <c r="AQ96" i="23083"/>
  <c r="AQ29" i="23083" l="1"/>
  <c r="AQ28" i="23083"/>
  <c r="AQ212" i="23083"/>
  <c r="AQ213" i="23083"/>
  <c r="AR96" i="23083"/>
  <c r="AQ99" i="23083"/>
  <c r="AN55" i="23083"/>
  <c r="AQ39" i="23083"/>
  <c r="AQ38" i="23083"/>
  <c r="AR226" i="23083"/>
  <c r="AR24" i="23083"/>
  <c r="AR37" i="23083"/>
  <c r="AR27" i="23083"/>
  <c r="AN70" i="23083" l="1"/>
  <c r="AN71" i="23083"/>
  <c r="AN59" i="23083"/>
  <c r="AN57" i="23083"/>
  <c r="AN81" i="23083"/>
  <c r="AN215" i="23083"/>
  <c r="AQ214" i="23083"/>
  <c r="AR28" i="23083"/>
  <c r="AR38" i="23083"/>
  <c r="AQ210" i="23083"/>
  <c r="AR99" i="23083"/>
  <c r="AR210" i="23083" s="1"/>
  <c r="AN267" i="23083"/>
  <c r="AR213" i="23083"/>
  <c r="AR212" i="23083"/>
  <c r="AR214" i="23083" l="1"/>
  <c r="AN56" i="23083"/>
  <c r="AN281" i="23083"/>
  <c r="AN270" i="23083"/>
  <c r="AN271" i="23083" l="1"/>
  <c r="AN290" i="23083"/>
  <c r="AN292" i="23083" s="1"/>
  <c r="AN296" i="23083" s="1"/>
  <c r="AN275" i="23083"/>
  <c r="AN280" i="23083"/>
  <c r="AN276" i="23083"/>
  <c r="AN272" i="23083" l="1"/>
  <c r="AN282" i="23083"/>
  <c r="AN285" i="23083"/>
  <c r="AN277" i="23083"/>
  <c r="AN286" i="23083" l="1"/>
  <c r="AN300" i="23083" l="1"/>
  <c r="AN304" i="23083" l="1"/>
  <c r="AN247" i="23083"/>
  <c r="AN306" i="23083" l="1"/>
  <c r="AN308" i="23083" s="1"/>
  <c r="AN307" i="23083"/>
  <c r="AQ195" i="23083" l="1"/>
  <c r="AQ197" i="23083" s="1"/>
  <c r="AQ202" i="23083" l="1"/>
  <c r="AR197" i="23083"/>
  <c r="AR199" i="23083" s="1"/>
  <c r="AR204" i="23083" s="1"/>
  <c r="AQ199" i="23083"/>
  <c r="AQ204" i="23083" l="1"/>
  <c r="AQ205" i="23083" l="1"/>
  <c r="AQ200" i="23083"/>
  <c r="AQ100" i="23083" l="1"/>
  <c r="AR48" i="23083"/>
  <c r="AR100" i="23083" l="1"/>
  <c r="AT177" i="23083" l="1"/>
  <c r="AU175" i="23083"/>
  <c r="AU177" i="23083" l="1"/>
  <c r="AN148" i="23083"/>
  <c r="AN313" i="23083"/>
  <c r="AN103" i="23083" l="1"/>
  <c r="AO103" i="23083" s="1"/>
  <c r="AO313" i="23083"/>
  <c r="AN104" i="23083"/>
  <c r="AN93" i="23083"/>
  <c r="AN86" i="23083"/>
  <c r="AN106" i="23083" l="1"/>
  <c r="AO104" i="23083"/>
  <c r="AO126" i="23083" s="1"/>
  <c r="AO93" i="23083"/>
  <c r="AO86" i="23083"/>
  <c r="AO223" i="23083"/>
  <c r="AO226" i="23083"/>
  <c r="AN223" i="23083"/>
  <c r="AN226" i="23083"/>
  <c r="AN121" i="23083" l="1"/>
  <c r="AO106" i="23083"/>
  <c r="AN126" i="23083"/>
  <c r="AN293" i="23083"/>
  <c r="AN297" i="23083" s="1"/>
  <c r="AN124" i="23083" l="1"/>
  <c r="AO121" i="23083"/>
  <c r="AO124" i="23083" l="1"/>
  <c r="AR76" i="23083" l="1"/>
  <c r="AR21" i="23083" l="1"/>
  <c r="AR78" i="23083"/>
  <c r="AR79" i="23083" l="1"/>
  <c r="AR25" i="23083"/>
  <c r="AR39" i="23083" l="1"/>
  <c r="AR29" i="23083"/>
  <c r="AN315" i="23083" l="1"/>
  <c r="AN316" i="23083"/>
  <c r="AN325" i="23083"/>
  <c r="AN324" i="23083" s="1"/>
  <c r="AP51" i="23083"/>
  <c r="AP249" i="23083" s="1"/>
  <c r="AP250" i="23083" s="1"/>
  <c r="AP55" i="23083"/>
  <c r="AP267" i="23083" s="1"/>
  <c r="AO267" i="23083" s="1"/>
  <c r="AO85" i="23083"/>
  <c r="AP85" i="23083"/>
  <c r="AS85" i="23083" l="1"/>
  <c r="AO51" i="23083"/>
  <c r="AP80" i="23083"/>
  <c r="AP57" i="23083"/>
  <c r="AP59" i="23083"/>
  <c r="AP81" i="23083"/>
  <c r="AT85" i="23083"/>
  <c r="AP270" i="23083"/>
  <c r="AP281" i="23083"/>
  <c r="AO281" i="23083" s="1"/>
  <c r="AP56" i="23083" l="1"/>
  <c r="AO80" i="23083"/>
  <c r="AO55" i="23083"/>
  <c r="AP275" i="23083"/>
  <c r="AP276" i="23083"/>
  <c r="AO276" i="23083" s="1"/>
  <c r="AP280" i="23083"/>
  <c r="AO280" i="23083" s="1"/>
  <c r="AO270" i="23083"/>
  <c r="AP290" i="23083"/>
  <c r="AP292" i="23083" s="1"/>
  <c r="AP296" i="23083" s="1"/>
  <c r="AU85" i="23083"/>
  <c r="AO56" i="23083"/>
  <c r="AP271" i="23083"/>
  <c r="AO57" i="23083" l="1"/>
  <c r="AO59" i="23083"/>
  <c r="AO81" i="23083"/>
  <c r="AO271" i="23083"/>
  <c r="AP282" i="23083"/>
  <c r="AO282" i="23083" s="1"/>
  <c r="AP62" i="23083"/>
  <c r="AP285" i="23083"/>
  <c r="AO275" i="23083"/>
  <c r="AP272" i="23083"/>
  <c r="AO285" i="23083" l="1"/>
  <c r="AO62" i="23083"/>
  <c r="AP66" i="23083"/>
  <c r="AP60" i="23083"/>
  <c r="AP82" i="23083"/>
  <c r="AP63" i="23083"/>
  <c r="AP277" i="23083"/>
  <c r="AO272" i="23083"/>
  <c r="AP286" i="23083" l="1"/>
  <c r="AO277" i="23083"/>
  <c r="AO286" i="23083" s="1"/>
  <c r="AP68" i="23083"/>
  <c r="AP300" i="23083"/>
  <c r="AO300" i="23083" s="1"/>
  <c r="AO82" i="23083"/>
  <c r="AO60" i="23083"/>
  <c r="AO63" i="23083"/>
  <c r="AP69" i="23083" l="1"/>
  <c r="AP71" i="23083" s="1"/>
  <c r="AS71" i="23083" s="1"/>
  <c r="AT71" i="23083" s="1"/>
  <c r="AU71" i="23083" s="1"/>
  <c r="AQ41" i="23083" l="1"/>
  <c r="AQ43" i="23083" s="1"/>
  <c r="AQ44" i="23083" s="1"/>
  <c r="AU43" i="23083"/>
  <c r="AS43" i="23083"/>
  <c r="AS223" i="23083" s="1"/>
  <c r="AT43" i="23083"/>
  <c r="AT223" i="23083" s="1"/>
  <c r="AS59" i="23083"/>
  <c r="AS142" i="23083"/>
  <c r="AQ206" i="23083"/>
  <c r="AS222" i="23083"/>
  <c r="AT222" i="23083"/>
  <c r="AU222" i="23083"/>
  <c r="AQ291" i="23083"/>
  <c r="AS291" i="23083"/>
  <c r="AT291" i="23083"/>
  <c r="AU291" i="23083"/>
  <c r="AQ142" i="23083" l="1"/>
  <c r="AQ143" i="23083" s="1"/>
  <c r="AQ158" i="23083" s="1"/>
  <c r="AS44" i="23083"/>
  <c r="AS45" i="23083" s="1"/>
  <c r="AQ223" i="23083"/>
  <c r="AQ222" i="23083"/>
  <c r="AS86" i="23083"/>
  <c r="AR41" i="23083"/>
  <c r="AU223" i="23083"/>
  <c r="AT86" i="23083"/>
  <c r="AU86" i="23083"/>
  <c r="AT142" i="23083"/>
  <c r="AU142" i="23083" s="1"/>
  <c r="AR142" i="23083"/>
  <c r="AS143" i="23083"/>
  <c r="AU44" i="23083"/>
  <c r="AT44" i="23083"/>
  <c r="AQ45" i="23083"/>
  <c r="AQ49" i="23083"/>
  <c r="AQ50" i="23083" s="1"/>
  <c r="AQ86" i="23083"/>
  <c r="AQ59" i="23083"/>
  <c r="AR43" i="23083" l="1"/>
  <c r="AR222" i="23083"/>
  <c r="AS49" i="23083"/>
  <c r="AS206" i="23083"/>
  <c r="AR143" i="23083"/>
  <c r="AS158" i="23083"/>
  <c r="AR158" i="23083" s="1"/>
  <c r="AU143" i="23083"/>
  <c r="AT143" i="23083"/>
  <c r="AT45" i="23083"/>
  <c r="AU45" i="23083"/>
  <c r="AS50" i="23083" l="1"/>
  <c r="AR44" i="23083"/>
  <c r="AR223" i="23083"/>
  <c r="AR86" i="23083"/>
  <c r="AU158" i="23083"/>
  <c r="AQ101" i="23083"/>
  <c r="AQ166" i="23083" s="1"/>
  <c r="AT158" i="23083"/>
  <c r="AQ51" i="23083"/>
  <c r="AR206" i="23083" l="1"/>
  <c r="AR45" i="23083"/>
  <c r="AR49" i="23083"/>
  <c r="AS101" i="23083"/>
  <c r="AS51" i="23083"/>
  <c r="AR51" i="23083" s="1"/>
  <c r="AR50" i="23083"/>
  <c r="AQ169" i="23083"/>
  <c r="AQ80" i="23083"/>
  <c r="AQ55" i="23083"/>
  <c r="AQ102" i="23083"/>
  <c r="AQ215" i="23083"/>
  <c r="AR55" i="23083" l="1"/>
  <c r="AR80" i="23083"/>
  <c r="AR85" i="23083"/>
  <c r="AS55" i="23083"/>
  <c r="AS80" i="23083"/>
  <c r="AS249" i="23083"/>
  <c r="AR101" i="23083"/>
  <c r="AS102" i="23083"/>
  <c r="AR102" i="23083" s="1"/>
  <c r="AS215" i="23083"/>
  <c r="AS166" i="23083"/>
  <c r="AQ179" i="23083"/>
  <c r="AQ104" i="23083"/>
  <c r="AQ81" i="23083"/>
  <c r="AQ57" i="23083"/>
  <c r="AQ267" i="23083"/>
  <c r="AR81" i="23083"/>
  <c r="AR57" i="23083"/>
  <c r="AR215" i="23083" l="1"/>
  <c r="AR59" i="23083"/>
  <c r="AS169" i="23083"/>
  <c r="AR166" i="23083"/>
  <c r="AS57" i="23083"/>
  <c r="AS81" i="23083"/>
  <c r="AS267" i="23083"/>
  <c r="AS104" i="23083"/>
  <c r="AR104" i="23083" s="1"/>
  <c r="AR126" i="23083" s="1"/>
  <c r="AQ126" i="23083"/>
  <c r="AQ293" i="23083"/>
  <c r="AQ297" i="23083" s="1"/>
  <c r="AQ282" i="23083"/>
  <c r="AQ270" i="23083"/>
  <c r="AQ281" i="23083"/>
  <c r="AS282" i="23083" l="1"/>
  <c r="AR282" i="23083" s="1"/>
  <c r="AR267" i="23083"/>
  <c r="AS270" i="23083"/>
  <c r="AS281" i="23083"/>
  <c r="AR281" i="23083"/>
  <c r="AR169" i="23083"/>
  <c r="AS179" i="23083"/>
  <c r="AS126" i="23083"/>
  <c r="AS293" i="23083"/>
  <c r="AS297" i="23083" s="1"/>
  <c r="AQ272" i="23083"/>
  <c r="AQ280" i="23083"/>
  <c r="AQ290" i="23083"/>
  <c r="AQ292" i="23083" s="1"/>
  <c r="AQ296" i="23083" s="1"/>
  <c r="AQ276" i="23083"/>
  <c r="AQ275" i="23083"/>
  <c r="AS275" i="23083" l="1"/>
  <c r="AR275" i="23083" s="1"/>
  <c r="AR285" i="23083" s="1"/>
  <c r="AR270" i="23083"/>
  <c r="AS290" i="23083"/>
  <c r="AS292" i="23083" s="1"/>
  <c r="AS296" i="23083" s="1"/>
  <c r="AS272" i="23083"/>
  <c r="AR272" i="23083" s="1"/>
  <c r="AS280" i="23083"/>
  <c r="AR280" i="23083" s="1"/>
  <c r="AS276" i="23083"/>
  <c r="AR276" i="23083" s="1"/>
  <c r="AR179" i="23083"/>
  <c r="AQ62" i="23083"/>
  <c r="AQ285" i="23083"/>
  <c r="AQ277" i="23083"/>
  <c r="AQ286" i="23083" s="1"/>
  <c r="AS277" i="23083" l="1"/>
  <c r="AS286" i="23083" s="1"/>
  <c r="AS62" i="23083"/>
  <c r="AS285" i="23083"/>
  <c r="AQ68" i="23083"/>
  <c r="AQ82" i="23083"/>
  <c r="AQ66" i="23083"/>
  <c r="AQ63" i="23083"/>
  <c r="AQ60" i="23083"/>
  <c r="AR62" i="23083"/>
  <c r="AR277" i="23083" l="1"/>
  <c r="AR286" i="23083" s="1"/>
  <c r="AS63" i="23083"/>
  <c r="AS60" i="23083"/>
  <c r="AS68" i="23083" s="1"/>
  <c r="AS82" i="23083"/>
  <c r="AS66" i="23083"/>
  <c r="AS105" i="23083" s="1"/>
  <c r="AS184" i="23083" s="1"/>
  <c r="AR63" i="23083"/>
  <c r="AR82" i="23083"/>
  <c r="AR60" i="23083"/>
  <c r="AQ105" i="23083"/>
  <c r="AQ69" i="23083"/>
  <c r="AQ67" i="23083"/>
  <c r="AQ300" i="23083" s="1"/>
  <c r="AS106" i="23083" l="1"/>
  <c r="AS67" i="23083"/>
  <c r="AS69" i="23083"/>
  <c r="AQ184" i="23083"/>
  <c r="AQ106" i="23083"/>
  <c r="AQ121" i="23083" s="1"/>
  <c r="AQ124" i="23083" s="1"/>
  <c r="AS121" i="23083"/>
  <c r="AR184" i="23083"/>
  <c r="AS186" i="23083"/>
  <c r="AR105" i="23083"/>
  <c r="AS300" i="23083" l="1"/>
  <c r="AR300" i="23083" s="1"/>
  <c r="AR67" i="23083"/>
  <c r="AR68" i="23083" s="1"/>
  <c r="AQ130" i="23083"/>
  <c r="AR106" i="23083"/>
  <c r="AQ186" i="23083"/>
  <c r="AR186" i="23083"/>
  <c r="AS247" i="23083"/>
  <c r="AS304" i="23083"/>
  <c r="AR121" i="23083"/>
  <c r="AS124" i="23083"/>
  <c r="AS307" i="23083" l="1"/>
  <c r="AS306" i="23083"/>
  <c r="AS308" i="23083" s="1"/>
  <c r="AQ247" i="23083"/>
  <c r="AQ304" i="23083"/>
  <c r="AS130" i="23083"/>
  <c r="AR124" i="23083"/>
  <c r="AR247" i="23083"/>
  <c r="AR304" i="23083"/>
  <c r="AQ218" i="23083"/>
  <c r="AQ136" i="23083"/>
  <c r="AQ196" i="23083"/>
  <c r="AQ307" i="23083" l="1"/>
  <c r="AQ306" i="23083"/>
  <c r="AQ308" i="23083" s="1"/>
  <c r="AS248" i="23083"/>
  <c r="AS250" i="23083" s="1"/>
  <c r="AQ160" i="23083"/>
  <c r="AQ219" i="23083"/>
  <c r="AQ220" i="23083"/>
  <c r="AQ221" i="23083"/>
  <c r="AR130" i="23083"/>
  <c r="AS136" i="23083"/>
  <c r="AS196" i="23083"/>
  <c r="AT195" i="23083" s="1"/>
  <c r="AT197" i="23083" s="1"/>
  <c r="AT199" i="23083" s="1"/>
  <c r="AS218" i="23083"/>
  <c r="AS236" i="23083"/>
  <c r="AR307" i="23083"/>
  <c r="AR306" i="23083"/>
  <c r="AR308" i="23083" s="1"/>
  <c r="AT204" i="23083" l="1"/>
  <c r="AR218" i="23083"/>
  <c r="AR196" i="23083"/>
  <c r="AQ187" i="23083"/>
  <c r="AS239" i="23083"/>
  <c r="AS243" i="23083" s="1"/>
  <c r="AS238" i="23083"/>
  <c r="AS160" i="23083"/>
  <c r="AR136" i="23083"/>
  <c r="AS220" i="23083"/>
  <c r="AS219" i="23083"/>
  <c r="AS221" i="23083"/>
  <c r="AT202" i="23083"/>
  <c r="AR160" i="23083" l="1"/>
  <c r="AS187" i="23083"/>
  <c r="AS188" i="23083" s="1"/>
  <c r="AS240" i="23083"/>
  <c r="AS244" i="23083" s="1"/>
  <c r="AT205" i="23083"/>
  <c r="AT206" i="23083"/>
  <c r="AR220" i="23083"/>
  <c r="AR219" i="23083"/>
  <c r="AR221" i="23083"/>
  <c r="AT200" i="23083"/>
  <c r="AT59" i="23083" l="1"/>
  <c r="AT100" i="23083"/>
  <c r="AT49" i="23083"/>
  <c r="AR187" i="23083"/>
  <c r="AT50" i="23083" l="1"/>
  <c r="AT101" i="23083" l="1"/>
  <c r="AT166" i="23083"/>
  <c r="AT51" i="23083"/>
  <c r="AT55" i="23083" l="1"/>
  <c r="AT80" i="23083"/>
  <c r="AT249" i="23083"/>
  <c r="AT169" i="23083"/>
  <c r="AT215" i="23083"/>
  <c r="AT102" i="23083"/>
  <c r="AT57" i="23083" l="1"/>
  <c r="AT81" i="23083"/>
  <c r="AT267" i="23083"/>
  <c r="AT179" i="23083"/>
  <c r="AT104" i="23083"/>
  <c r="AT126" i="23083" l="1"/>
  <c r="AT293" i="23083"/>
  <c r="AT297" i="23083" s="1"/>
  <c r="AT282" i="23083"/>
  <c r="AT270" i="23083"/>
  <c r="AT281" i="23083"/>
  <c r="AT276" i="23083" l="1"/>
  <c r="AT275" i="23083"/>
  <c r="AT272" i="23083"/>
  <c r="AT280" i="23083"/>
  <c r="AT290" i="23083"/>
  <c r="AT292" i="23083" s="1"/>
  <c r="AT296" i="23083" s="1"/>
  <c r="AT277" i="23083" l="1"/>
  <c r="AT286" i="23083" s="1"/>
  <c r="AT62" i="23083"/>
  <c r="AT285" i="23083"/>
  <c r="AT66" i="23083" l="1"/>
  <c r="AT63" i="23083"/>
  <c r="AT82" i="23083"/>
  <c r="AT60" i="23083"/>
  <c r="AT68" i="23083" s="1"/>
  <c r="AT69" i="23083" l="1"/>
  <c r="AT67" i="23083"/>
  <c r="AT105" i="23083"/>
  <c r="AT184" i="23083" l="1"/>
  <c r="AT106" i="23083"/>
  <c r="AT121" i="23083" s="1"/>
  <c r="AT124" i="23083" s="1"/>
  <c r="AT300" i="23083"/>
  <c r="AT186" i="23083" l="1"/>
  <c r="AT130" i="23083"/>
  <c r="AT236" i="23083" l="1"/>
  <c r="AT247" i="23083"/>
  <c r="AT304" i="23083"/>
  <c r="AT136" i="23083"/>
  <c r="AT196" i="23083"/>
  <c r="AU195" i="23083" s="1"/>
  <c r="AU197" i="23083" s="1"/>
  <c r="AU199" i="23083" s="1"/>
  <c r="AT218" i="23083"/>
  <c r="AT220" i="23083" l="1"/>
  <c r="AU202" i="23083"/>
  <c r="AT221" i="23083"/>
  <c r="AT219" i="23083"/>
  <c r="AT160" i="23083"/>
  <c r="AT248" i="23083"/>
  <c r="AT250" i="23083" s="1"/>
  <c r="AT307" i="23083"/>
  <c r="AT306" i="23083"/>
  <c r="AT308" i="23083" s="1"/>
  <c r="AU204" i="23083"/>
  <c r="AU200" i="23083" s="1"/>
  <c r="AT238" i="23083"/>
  <c r="AT239" i="23083"/>
  <c r="AT243" i="23083" s="1"/>
  <c r="AU205" i="23083" l="1"/>
  <c r="AU206" i="23083"/>
  <c r="AT187" i="23083"/>
  <c r="AT188" i="23083" s="1"/>
  <c r="AT240" i="23083"/>
  <c r="AT244" i="23083" s="1"/>
  <c r="AU59" i="23083" l="1"/>
  <c r="AU100" i="23083"/>
  <c r="AU49" i="23083"/>
  <c r="AU50" i="23083" l="1"/>
  <c r="AU51" i="23083" l="1"/>
  <c r="AU55" i="23083"/>
  <c r="AU80" i="23083"/>
  <c r="AU249" i="23083"/>
  <c r="AU101" i="23083"/>
  <c r="AU166" i="23083" l="1"/>
  <c r="AU169" i="23083"/>
  <c r="AU57" i="23083"/>
  <c r="AU267" i="23083"/>
  <c r="AU81" i="23083"/>
  <c r="AU215" i="23083"/>
  <c r="AU102" i="23083"/>
  <c r="AU179" i="23083" l="1"/>
  <c r="AU104" i="23083"/>
  <c r="AU282" i="23083"/>
  <c r="AU281" i="23083"/>
  <c r="AU270" i="23083"/>
  <c r="AU280" i="23083" l="1"/>
  <c r="AU290" i="23083"/>
  <c r="AU292" i="23083" s="1"/>
  <c r="AU296" i="23083" s="1"/>
  <c r="AU276" i="23083"/>
  <c r="AU275" i="23083"/>
  <c r="AU272" i="23083"/>
  <c r="AU126" i="23083"/>
  <c r="AU293" i="23083"/>
  <c r="AU297" i="23083" s="1"/>
  <c r="AU277" i="23083" l="1"/>
  <c r="AU286" i="23083" s="1"/>
  <c r="AU62" i="23083"/>
  <c r="AU285" i="23083"/>
  <c r="AU66" i="23083" l="1"/>
  <c r="AU63" i="23083"/>
  <c r="AU82" i="23083"/>
  <c r="AU60" i="23083"/>
  <c r="AU68" i="23083" s="1"/>
  <c r="AU67" i="23083" l="1"/>
  <c r="AU300" i="23083" s="1"/>
  <c r="AU69" i="23083"/>
  <c r="AU105" i="23083"/>
  <c r="AU184" i="23083" l="1"/>
  <c r="AU106" i="23083"/>
  <c r="AU121" i="23083" s="1"/>
  <c r="AU124" i="23083" s="1"/>
  <c r="AU130" i="23083" l="1"/>
  <c r="AU136" i="23083"/>
  <c r="AU196" i="23083"/>
  <c r="AU218" i="23083"/>
  <c r="AU186" i="23083"/>
  <c r="AU160" i="23083" l="1"/>
  <c r="AU187" i="23083" s="1"/>
  <c r="AU188" i="23083" s="1"/>
  <c r="AU221" i="23083"/>
  <c r="AU219" i="23083"/>
  <c r="AU220" i="23083"/>
  <c r="AU304" i="23083"/>
  <c r="AU236" i="23083"/>
  <c r="AU247" i="23083"/>
  <c r="AU238" i="23083" l="1"/>
  <c r="AU239" i="23083"/>
  <c r="AU243" i="23083" s="1"/>
  <c r="AU248" i="23083"/>
  <c r="AU250" i="23083" s="1"/>
  <c r="AU307" i="23083"/>
  <c r="AU306" i="23083"/>
  <c r="AU308" i="23083" s="1"/>
  <c r="AU240" i="23083" l="1"/>
  <c r="AU244" i="2308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Bailey, Elise K [GIR]</author>
  </authors>
  <commentList>
    <comment ref="A1" authorId="0" shapeId="0" xr:uid="{3DE39D16-6774-4718-A1C3-FC67DE028AD2}">
      <text>
        <r>
          <rPr>
            <b/>
            <sz val="9"/>
            <color indexed="81"/>
            <rFont val="Tahoma"/>
            <charset val="1"/>
          </rPr>
          <t>&lt;?xml version="1.0" encoding="utf-8"?&gt;&lt;Schema xmlns:xsd="http://www.w3.org/2001/XMLSchema" xmlns:xsi="http://www.w3.org/2001/XMLSchema-instance" Version="2" Timestamp="1724394852"&gt;&lt;FQL&gt;&lt;Q&gt;RDY-AU^P_DATE(43647,44649,W,"DATEJ")&lt;/Q&gt;&lt;R&gt;143&lt;/R&gt;&lt;C&gt;1&lt;/C&gt;&lt;D xsi:type="xsd:long"&gt;43651&lt;/D&gt;&lt;D xsi:type="xsd:long"&gt;43658&lt;/D&gt;&lt;D xsi:type="xsd:long"&gt;43665&lt;/D&gt;&lt;D xsi:type="xsd:long"&gt;43672&lt;/D&gt;&lt;D xsi:type="xsd:long"&gt;43679&lt;/D&gt;&lt;D xsi:type="xsd:long"&gt;43686&lt;/D&gt;&lt;D xsi:type="xsd:long"&gt;43693&lt;/D&gt;&lt;D xsi:type="xsd:long"&gt;43700&lt;/D&gt;&lt;D xsi:type="xsd:long"&gt;43707&lt;/D&gt;&lt;D xsi:type="xsd:long"&gt;43714&lt;/D&gt;&lt;D xsi:type="xsd:long"&gt;43721&lt;/D&gt;&lt;D xsi:type="xsd:long"&gt;43728&lt;/D&gt;&lt;D xsi:type="xsd:long"&gt;43735&lt;/D&gt;&lt;D xsi:type="xsd:long"&gt;43742&lt;/D&gt;&lt;D xsi:type="xsd:long"&gt;43749&lt;/D&gt;&lt;D xsi:type="xsd:long"&gt;43756&lt;/D&gt;&lt;D xsi:type="xsd:long"&gt;43763&lt;/D&gt;&lt;D xsi:type="xsd:long"&gt;43770&lt;/D&gt;&lt;D xsi:type="xsd:long"&gt;43777&lt;/D&gt;&lt;D xsi:type="xsd:long"&gt;43784&lt;/D&gt;&lt;D xsi:type="xsd:long"&gt;43791&lt;/D&gt;&lt;D xsi:type="xsd:long"&gt;43798&lt;/D&gt;&lt;D xsi:type="xsd:long"&gt;43805&lt;/D&gt;&lt;D xsi:type="xsd:long"&gt;43812&lt;/D&gt;&lt;D xsi:type="xsd:long"&gt;43819&lt;/D&gt;&lt;D xsi:type="xsd:long"&gt;43826&lt;/D&gt;&lt;D xsi:type="xsd:long"&gt;43833&lt;/D&gt;&lt;D xsi:type="xsd:long"&gt;43840&lt;/D&gt;&lt;D xsi:type="xsd:long"&gt;43847&lt;/D&gt;&lt;D xsi:type="xsd:long"&gt;43854&lt;/D&gt;&lt;D xsi:type="xsd:long"&gt;43861&lt;/D&gt;&lt;D xsi:type="xsd:long"&gt;43868&lt;/D&gt;&lt;D xsi:type="xsd:long"&gt;43875&lt;/D&gt;&lt;D xsi:type="xsd:long"&gt;43882&lt;/D&gt;&lt;D xsi:type="xsd:long"&gt;43889&lt;/D&gt;&lt;D xsi:type="xsd:long"&gt;43896&lt;/D&gt;&lt;D xsi:type="xsd:long"&gt;43903&lt;/D&gt;&lt;D xsi:type="xsd:long"&gt;43910&lt;/D&gt;&lt;D xsi:type="xsd:long"&gt;43917&lt;/D&gt;&lt;D xsi:type="xsd:long"&gt;43924&lt;/D&gt;&lt;D xsi:type="xsd:long"&gt;43930&lt;/D&gt;&lt;D xsi:type="xsd:long"&gt;43938&lt;/D&gt;&lt;D xsi:type="xsd:long"&gt;43945&lt;/D&gt;&lt;D xsi:type="xsd:long"&gt;43952&lt;/D&gt;&lt;D xsi:type="xsd:long"&gt;43959&lt;/D&gt;&lt;D xsi:type="xsd:long"&gt;43966&lt;/D&gt;&lt;D xsi:type="xsd:long"&gt;43973&lt;/D&gt;&lt;D xsi:type="xsd:long"&gt;43980&lt;/D&gt;&lt;D xsi:type="xsd:long"&gt;43987&lt;/D&gt;&lt;D xsi:type="xsd:long"&gt;43994&lt;/D&gt;&lt;D xsi:type="xsd:long"&gt;44001&lt;/D&gt;&lt;D xsi:type="xsd:long"&gt;44008&lt;/D&gt;&lt;D xsi:type="xsd:long"&gt;44015&lt;/D&gt;&lt;D xsi:type="xsd:long"&gt;44022&lt;/D&gt;&lt;D xsi:type="xsd:long"&gt;44029&lt;/D&gt;&lt;D xsi:type="xsd:long"&gt;44036&lt;/D&gt;&lt;D xsi:type="xsd:long"&gt;44043&lt;/D&gt;&lt;D xsi:type="xsd:long"&gt;44050&lt;/D&gt;&lt;D xsi:type="xsd:long"&gt;44057&lt;/D&gt;&lt;D xsi:type="xsd:long"&gt;44064&lt;/D&gt;&lt;D xsi:type="xsd:long"&gt;44071&lt;/D&gt;&lt;D xsi:type="xsd:long"&gt;44078&lt;/D&gt;&lt;D xsi:type="xsd:long"&gt;44085&lt;/D&gt;&lt;D xsi:type="xsd:long"&gt;44092&lt;/D&gt;&lt;D xsi:type="xsd:long"&gt;44099&lt;/D&gt;&lt;D xsi:type="xsd:long"&gt;44106&lt;/D&gt;&lt;D xsi:type="xsd:long"&gt;44113&lt;/D&gt;&lt;D xsi:type="xsd:long"&gt;44120&lt;/D&gt;&lt;D xsi:type="xsd:long"&gt;44127&lt;/D&gt;&lt;D xsi:type="xsd:long"&gt;44134&lt;/D&gt;&lt;D xsi:type="xsd:long"&gt;44141&lt;/D&gt;&lt;D xsi:type="xsd:long"&gt;44148&lt;/D&gt;&lt;D xsi:type="xsd:long"&gt;44155&lt;/D&gt;&lt;D xsi:type="xsd:long"&gt;44162&lt;/D&gt;&lt;D xsi:type="xsd:long"&gt;44169&lt;/D&gt;&lt;D xsi:type="xsd:long"&gt;44176&lt;/D&gt;&lt;D xsi:type="xsd:long"&gt;44183&lt;/D&gt;&lt;D xsi:type="xsd:long"&gt;44189&lt;/D&gt;&lt;D xsi:type="xsd:long"&gt;44196&lt;/D&gt;&lt;D xsi:type="xsd:long"&gt;44204&lt;/D&gt;&lt;D xsi:type="xsd:long"&gt;44211&lt;/D&gt;&lt;D xsi:type="xsd:long"&gt;44218&lt;/D&gt;&lt;D xsi:type="xsd:long"&gt;44225&lt;/D&gt;&lt;D xsi:type="xsd:long"&gt;44232&lt;/D&gt;&lt;D xsi:type="xsd:long"&gt;44239&lt;/D&gt;&lt;D xsi:type="xsd:long"&gt;44246&lt;/D&gt;&lt;D xsi:type="xsd:long"&gt;44253&lt;/D&gt;&lt;D xsi:type="xsd:long"&gt;44260&lt;/D&gt;&lt;D xsi:type="xsd:long"&gt;44267&lt;/D&gt;&lt;D xsi:type="xsd:long"&gt;44274&lt;/D&gt;&lt;D xsi:type="xsd:long"&gt;44281&lt;/D&gt;&lt;D xsi:type="xsd:long"&gt;44287&lt;/D&gt;&lt;D xsi:type="xsd:long"&gt;44295&lt;/D&gt;&lt;D xsi:type="xsd:long"&gt;44302&lt;/D&gt;&lt;D xsi:type="xsd:long"&gt;44309&lt;/D&gt;&lt;D xsi:type="xsd:long"&gt;44316&lt;/D&gt;&lt;D xsi:type="xsd:long"&gt;44323&lt;/D&gt;&lt;D xsi:type="xsd:long"&gt;44330&lt;/D&gt;&lt;D xsi:type="xsd:long"&gt;44337&lt;/D&gt;&lt;D xsi:type="xsd:long"&gt;44344&lt;/D&gt;&lt;D xsi:type="xsd:long"&gt;44351&lt;/D&gt;&lt;D xsi:type="xsd:long"&gt;44358&lt;/D&gt;&lt;D xsi:type="xsd:long"&gt;44365&lt;/D&gt;&lt;D xsi:type="xsd:long"&gt;44372&lt;/D&gt;&lt;D xsi:type="xsd:long"&gt;44379&lt;/D&gt;&lt;D xsi:type="xsd:long"&gt;44386&lt;/D&gt;&lt;D xsi:type="xsd:long"&gt;44393&lt;/D&gt;&lt;D xsi:type="xsd:long"&gt;44400&lt;/D&gt;&lt;D xsi:type="xsd:long"&gt;44407&lt;/D&gt;&lt;D xsi:type="xsd:long"&gt;44414&lt;/D&gt;&lt;D xsi:type="xsd:long"&gt;44421&lt;/D&gt;&lt;D xsi:type="xsd:long"&gt;44428&lt;/D&gt;&lt;D xsi:type="xsd:long"&gt;44435&lt;/D&gt;&lt;D xsi:type="xsd:long"&gt;44442&lt;/D&gt;&lt;D xsi:type="xsd:long"&gt;44449&lt;/D&gt;&lt;D xsi:type="xsd:long"&gt;44456&lt;/D&gt;&lt;D xsi:type="xsd:long"&gt;44463&lt;/D&gt;&lt;D xsi:type="xsd:long"&gt;44470&lt;/D&gt;&lt;D xsi:type="xsd:long"&gt;44477&lt;/D&gt;&lt;D xsi:type="xsd:long"&gt;44484&lt;/D&gt;&lt;D xsi:type="xsd:long"&gt;44491&lt;/D&gt;&lt;D xsi:type="xsd:long"&gt;44498&lt;/D&gt;&lt;D xsi:type="xsd:long"&gt;44505&lt;/D&gt;&lt;D xsi:type="xsd:long"&gt;44512&lt;/D&gt;&lt;D xsi:type="xsd:long"&gt;44519&lt;/D&gt;&lt;D xsi:type="xsd:long"&gt;44526&lt;/D&gt;&lt;D xsi:type="xsd:long"&gt;44533&lt;/D&gt;&lt;D xsi:type="xsd:long"&gt;44540&lt;/D&gt;&lt;D xsi:type="xsd:long"&gt;44547&lt;/D&gt;&lt;D xsi:type="xsd:long"&gt;44554&lt;/D&gt;&lt;D xsi:type="xsd:long"&gt;44561&lt;/D&gt;&lt;D xsi:type="xsd:long"&gt;44568&lt;/D&gt;&lt;D xsi:type="xsd:long"&gt;44575&lt;/D&gt;&lt;D xsi:type="xsd:long"&gt;44582&lt;/D&gt;&lt;D xsi:type="xsd:long"&gt;44589&lt;/D&gt;&lt;D xsi:type="xsd:long"&gt;44596&lt;/D&gt;&lt;D xsi:type="xsd:long"&gt;44603&lt;/D&gt;&lt;D xsi:type="xsd:long"&gt;44610&lt;/D&gt;&lt;D xsi:type="xsd:long"&gt;44617&lt;/D&gt;&lt;D xsi:type="xsd:long"&gt;44624&lt;/D&gt;&lt;D xsi:type="xsd:long"&gt;44631&lt;/D&gt;&lt;D xsi:type="xsd:long"&gt;44638&lt;/D&gt;&lt;D xsi:type="xsd:long"&gt;44645&lt;/D&gt;&lt;/FQL&gt;&lt;FQL&gt;&lt;Q&gt;OCL-AU^FREF_SHARES_COMPANY(44732,,,,0,"LEGACY")&lt;/Q&gt;&lt;R&gt;1&lt;/R&gt;&lt;C&gt;1&lt;/C&gt;&lt;D xsi:type="xsd:double"&gt;94.8071136474609&lt;/D&gt;&lt;/FQL&gt;&lt;FQL&gt;&lt;Q&gt;OCL-AU^FG_PRICE(44732)&lt;/Q&gt;&lt;R&gt;1&lt;/R&gt;&lt;C&gt;1&lt;/C&gt;&lt;D xsi:type="xsd:double"&gt;12.67&lt;/D&gt;&lt;/FQL&gt;&lt;FQL&gt;&lt;Q&gt;OCL-AU^P_DATE(36756,44732,M,"DATEJ")&lt;/Q&gt;&lt;R&gt;262&lt;/R&gt;&lt;C&gt;1&lt;/C&gt;&lt;D xsi:type="xsd:long"&gt;36769&lt;/D&gt;&lt;D xsi:type="xsd:long"&gt;36798&lt;/D&gt;&lt;D xsi:type="xsd:long"&gt;36830&lt;/D&gt;&lt;D xsi:type="xsd:long"&gt;36860&lt;/D&gt;&lt;D xsi:type="xsd:long"&gt;36889&lt;/D&gt;&lt;D xsi:type="xsd:long"&gt;36922&lt;/D&gt;&lt;D xsi:type="xsd:long"&gt;36950&lt;/D&gt;&lt;D xsi:type="xsd:long"&gt;36980&lt;/D&gt;&lt;D xsi:type="xsd:long"&gt;37011&lt;/D&gt;&lt;D xsi:type="xsd:long"&gt;37042&lt;/D&gt;&lt;D xsi:type="xsd:long"&gt;37071&lt;/D&gt;&lt;D xsi:type="xsd:long"&gt;37103&lt;/D&gt;&lt;D xsi:type="xsd:long"&gt;37134&lt;/D&gt;&lt;D xsi:type="xsd:long"&gt;37162&lt;/D&gt;&lt;D xsi:type="xsd:long"&gt;37195&lt;/D&gt;&lt;D xsi:type="xsd:long"&gt;37225&lt;/D&gt;&lt;D xsi:type="xsd:long"&gt;37256&lt;/D&gt;&lt;D xsi:type="xsd:long"&gt;37287&lt;/D&gt;&lt;D xsi:type="xsd:long"&gt;37315&lt;/D&gt;&lt;D xsi:type="xsd:long"&gt;37343&lt;/D&gt;&lt;D xsi:type="xsd:long"&gt;37376&lt;/D&gt;&lt;D xsi:type="xsd:long"&gt;37407&lt;/D&gt;&lt;D xsi:type="xsd:long"&gt;37435&lt;/D&gt;&lt;D xsi:type="xsd:long"&gt;37468&lt;/D&gt;&lt;D xsi:type="xsd:long"&gt;37498&lt;/D&gt;&lt;D xsi:type="xsd:long"&gt;37529&lt;/D&gt;&lt;D xsi:type="xsd:long"&gt;37560&lt;/D&gt;&lt;D xsi:type="xsd:long"&gt;37589&lt;/D&gt;&lt;D xsi:type="xsd:long"&gt;37621&lt;/D&gt;&lt;D xsi:type="xsd:long"&gt;37652&lt;/D&gt;&lt;D xsi:type="xsd:long"&gt;37680&lt;/D&gt;&lt;D xsi:type="xsd:long"&gt;37711&lt;/D&gt;&lt;D xsi:type="xsd:long"&gt;37741&lt;/D&gt;&lt;D xsi:type="xsd:long"&gt;37771&lt;/D&gt;&lt;D xsi:type="xsd:long"&gt;37802&lt;/D&gt;&lt;D xsi:type="xsd:long"&gt;37833&lt;/D&gt;&lt;D xsi:type="xsd:long"&gt;37862&lt;/D&gt;&lt;D xsi:type="xsd:long"&gt;37894&lt;/D&gt;&lt;D xsi:type="xsd:long"&gt;37925&lt;/D&gt;&lt;D xsi:type="xsd:long"&gt;37953&lt;/D&gt;&lt;D xsi:type="xsd:long"&gt;37986&lt;/D&gt;&lt;D xsi:type="xsd:long"&gt;38016&lt;/D&gt;&lt;D xsi:type="xsd:long"&gt;38044&lt;/D&gt;&lt;D xsi:type="xsd:long"&gt;38077&lt;/D&gt;&lt;D xsi:type="xsd:long"&gt;38107&lt;/D&gt;&lt;D xsi:type="xsd:long"&gt;38138&lt;/D&gt;&lt;D xsi:type="xsd:long"&gt;38168&lt;/D&gt;&lt;D xsi:type="xsd:long"&gt;38198&lt;/D&gt;&lt;D xsi:type="xsd:long"&gt;38230&lt;/D&gt;&lt;D xsi:type="xsd:long"&gt;38260&lt;/D&gt;&lt;D xsi:type="xsd:long"&gt;38289&lt;/D&gt;&lt;D xsi:type="xsd:long"&gt;38321&lt;/D&gt;&lt;D xsi:type="xsd:long"&gt;38352&lt;/D&gt;&lt;D xsi:type="xsd:long"&gt;38383&lt;/D&gt;&lt;D xsi:type="xsd:long"&gt;38411&lt;/D&gt;&lt;D xsi:type="xsd:long"&gt;38442&lt;/D&gt;&lt;D xsi:type="xsd:long"&gt;38471&lt;/D&gt;&lt;D xsi:type="xsd:long"&gt;38503&lt;/D&gt;&lt;D xsi:type="xsd:long"&gt;38533&lt;/D&gt;&lt;D xsi:type="xsd:long"&gt;38562&lt;/D&gt;&lt;D xsi:type="xsd:long"&gt;38595&lt;/D&gt;&lt;D xsi:type="xsd:long"&gt;38625&lt;/D&gt;&lt;D xsi:type="xsd:long"&gt;38656&lt;/D&gt;&lt;D xsi:type="xsd:long"&gt;38686&lt;/D&gt;&lt;D xsi:type="xsd:long"&gt;38716&lt;/D&gt;&lt;D xsi:type="xsd:long"&gt;38748&lt;/D&gt;&lt;D xsi:type="xsd:long"&gt;38776&lt;/D&gt;&lt;D xsi:type="xsd:long"&gt;38807&lt;/D&gt;&lt;D xsi:type="xsd:long"&gt;38835&lt;/D&gt;&lt;D xsi:type="xsd:long"&gt;38868&lt;/D&gt;&lt;D xsi:type="xsd:long"&gt;38898&lt;/D&gt;&lt;D xsi:type="xsd:long"&gt;38929&lt;/D&gt;&lt;D xsi:type="xsd:long"&gt;38960&lt;/D&gt;&lt;D xsi:type="xsd:long"&gt;38989&lt;/D&gt;&lt;D xsi:type="xsd:long"&gt;39021&lt;/D&gt;&lt;D xsi:type="xsd:long"&gt;39051&lt;/D&gt;&lt;D xsi:type="xsd:long"&gt;39080&lt;/D&gt;&lt;D xsi:type="xsd:long"&gt;39113&lt;/D&gt;&lt;D xsi:type="xsd:long"&gt;39141&lt;/D&gt;&lt;D xsi:type="xsd:long"&gt;39171&lt;/D&gt;&lt;D xsi:type="xsd:long"&gt;39202&lt;/D&gt;&lt;D xsi:type="xsd:long"&gt;39233&lt;/D&gt;&lt;D xsi:type="xsd:long"&gt;39262&lt;/D&gt;&lt;D xsi:type="xsd:long"&gt;39294&lt;/D&gt;&lt;D xsi:type="xsd:long"&gt;39325&lt;/D&gt;&lt;D xsi:type="xsd:long"&gt;39353&lt;/D&gt;&lt;D xsi:type="xsd:long"&gt;39386&lt;/D&gt;&lt;D xsi:type="xsd:long"&gt;39416&lt;/D&gt;&lt;D xsi:type="xsd:long"&gt;39447&lt;/D&gt;&lt;D xsi:type="xsd:long"&gt;39478&lt;/D&gt;&lt;D xsi:type="xsd:long"&gt;39507&lt;/D&gt;&lt;D xsi:type="xsd:long"&gt;39538&lt;/D&gt;&lt;D xsi:type="xsd:long"&gt;39568&lt;/D&gt;&lt;D xsi:type="xsd:long"&gt;39598&lt;/D&gt;&lt;D xsi:type="xsd:long"&gt;39629&lt;/D&gt;&lt;D xsi:type="xsd:long"&gt;39660&lt;/D&gt;&lt;D xsi:type="xsd:long"&gt;39689&lt;/D&gt;&lt;D xsi:type="xsd:long"&gt;39721&lt;/D&gt;&lt;D xsi:type="xsd:long"&gt;39752&lt;/D&gt;&lt;D xsi:type="xsd:long"&gt;39780&lt;/D&gt;&lt;D xsi:type="xsd:long"&gt;39813&lt;/D&gt;&lt;D xsi:type="xsd:long"&gt;39843&lt;/D&gt;&lt;D xsi:type="xsd:long"&gt;39871&lt;/D&gt;&lt;D xsi:type="xsd:long"&gt;39903&lt;/D&gt;&lt;D xsi:type="xsd:long"&gt;39933&lt;/D&gt;&lt;D xsi:type="xsd:long"&gt;39962&lt;/D&gt;&lt;D xsi:type="xsd:long"&gt;39994&lt;/D&gt;&lt;D xsi:type="xsd:long"&gt;40025&lt;/D&gt;&lt;D xsi:type="xsd:long"&gt;40056&lt;/D&gt;&lt;D xsi:type="xsd:long"&gt;40086&lt;/D&gt;&lt;D xsi:type="xsd:long"&gt;40116&lt;/D&gt;&lt;D xsi:type="xsd:long"&gt;40147&lt;/D&gt;&lt;D xsi:type="xsd:long"&gt;40178&lt;/D&gt;&lt;D xsi:type="xsd:long"&gt;40207&lt;/D&gt;&lt;D xsi:type="xsd:long"&gt;40235&lt;/D&gt;&lt;D xsi:type="xsd:long"&gt;40268&lt;/D&gt;&lt;D xsi:type="xsd:long"&gt;40298&lt;/D&gt;&lt;D xsi:type="xsd:long"&gt;40329&lt;/D&gt;&lt;D xsi:type="xsd:long"&gt;40359&lt;/D&gt;&lt;D xsi:type="xsd:long"&gt;40389&lt;/D&gt;&lt;D xsi:type="xsd:long"&gt;40421&lt;/D&gt;&lt;D xsi:type="xsd:long"&gt;40451&lt;/D&gt;&lt;D xsi:type="xsd:long"&gt;40480&lt;/D&gt;&lt;D xsi:type="xsd:long"&gt;40512&lt;/D&gt;&lt;D xsi:type="xsd:long"&gt;40543&lt;/D&gt;&lt;D xsi:type="xsd:long"&gt;40574&lt;/D&gt;&lt;D xsi:type="xsd:long"&gt;40602&lt;/D&gt;&lt;D xsi:type="xsd:long"&gt;40633&lt;/D&gt;&lt;D xsi:type="xsd:long"&gt;40662&lt;/D&gt;&lt;D xsi:type="xsd:long"&gt;40694&lt;/D&gt;&lt;D xsi:type="xsd:long"&gt;40724&lt;/D&gt;&lt;D xsi:type="xsd:long"&gt;40753&lt;/D&gt;&lt;D xsi:type="xsd:long"&gt;40786&lt;/D&gt;&lt;D xsi:type="xsd:long"&gt;40816&lt;/D&gt;&lt;D xsi:type="xsd:long"&gt;40847&lt;/D&gt;&lt;D xsi:type="xsd:long"&gt;40877&lt;/D&gt;&lt;D xsi:type="xsd:long"&gt;40907&lt;/D&gt;&lt;D xsi:type="xsd:long"&gt;40939&lt;/D&gt;&lt;D xsi:type="xsd:long"&gt;40968&lt;/D&gt;&lt;D xsi:type="xsd:long"&gt;40998&lt;/D&gt;&lt;D xsi:type="xsd:long"&gt;41029&lt;/D&gt;&lt;D xsi:type="xsd:long"&gt;41060&lt;/D&gt;&lt;D xsi:type="xsd:long"&gt;41089&lt;/D&gt;&lt;D xsi:type="xsd:long"&gt;41121&lt;/D&gt;&lt;D xsi:type="xsd:long"&gt;41152&lt;/D&gt;&lt;D xsi:type="xsd:long"&gt;41180&lt;/D&gt;&lt;D xsi:type="xsd:long"&gt;41213&lt;/D&gt;&lt;D xsi:type="xsd:long"&gt;41243&lt;/D&gt;&lt;D xsi:type="xsd:long"&gt;41274&lt;/D&gt;&lt;D xsi:type="xsd:long"&gt;41305&lt;/D&gt;&lt;D xsi:type="xsd:long"&gt;41333&lt;/D&gt;&lt;D xsi:type="xsd:long"&gt;41361&lt;/D&gt;&lt;D xsi:type="xsd:long"&gt;41394&lt;/D&gt;&lt;D xsi:type="xsd:long"&gt;41425&lt;/D&gt;&lt;D xsi:type="xsd:long"&gt;41453&lt;/D&gt;&lt;D xsi:type="xsd:long"&gt;41486&lt;/D&gt;&lt;D xsi:type="xsd:long"&gt;41516&lt;/D&gt;&lt;D xsi:type="xsd:long"&gt;41547&lt;/D&gt;&lt;D xsi:type="xsd:long"&gt;41578&lt;/D&gt;&lt;D xsi:type="xsd:long"&gt;41607&lt;/D&gt;&lt;D xsi:type="xsd:long"&gt;41639&lt;/D&gt;&lt;D xsi:type="xsd:long"&gt;41670&lt;/D&gt;&lt;D xsi:type="xsd:long"&gt;41698&lt;/D&gt;&lt;D xsi:type="xsd:long"&gt;41729&lt;/D&gt;&lt;D xsi:type="xsd:long"&gt;41759&lt;/D&gt;&lt;D xsi:type="xsd:long"&gt;41789&lt;/D&gt;&lt;D xsi:type="xsd:long"&gt;41820&lt;/D&gt;&lt;D xsi:type="xsd:long"&gt;41851&lt;/D&gt;&lt;D xsi:type="xsd:long"&gt;41880&lt;/D&gt;&lt;D xsi:type="xsd:long"&gt;41912&lt;/D&gt;&lt;D xsi:type="xsd:long"&gt;41943&lt;/D&gt;&lt;D xsi:type="xsd:long"&gt;41971&lt;/D&gt;&lt;D xsi:type="xsd:long"&gt;42004&lt;/D&gt;&lt;D xsi:type="xsd:long"&gt;42034&lt;/D&gt;&lt;D xsi:type="xsd:long"&gt;42062&lt;/D&gt;&lt;D xsi:type="xsd:long"&gt;42094&lt;/D&gt;&lt;D xsi:type="xsd:long"&gt;42124&lt;/D&gt;&lt;D xsi:type="xsd:long"&gt;42153&lt;/D&gt;&lt;D xsi:type="xsd:long"&gt;42185&lt;/D&gt;&lt;D xsi:type="xsd:long"&gt;42216&lt;/D&gt;&lt;D xsi:type="xsd:long"&gt;42247&lt;/D&gt;&lt;D xsi:type="xsd:long"&gt;42277&lt;/D&gt;&lt;D xsi:type="xsd:long"&gt;42307&lt;/D&gt;&lt;D xsi:type="xsd:long"&gt;42338&lt;/D&gt;&lt;D xsi:type="xsd:long"&gt;42369&lt;/D&gt;&lt;D xsi:type="xsd:long"&gt;42398&lt;/D&gt;&lt;D xsi:type="xsd:long"&gt;42429&lt;/D&gt;&lt;D xsi:type="xsd:long"&gt;42460&lt;/D&gt;&lt;D xsi:type="xsd:long"&gt;42489&lt;/D&gt;&lt;D xsi:type="xsd:long"&gt;42521&lt;/D&gt;&lt;D xsi:type="xsd:long"&gt;42551&lt;/D&gt;&lt;D xsi:type="xsd:long"&gt;42580&lt;/D&gt;&lt;D xsi:type="xsd:long"&gt;42613&lt;/D&gt;&lt;D xsi:type="xsd:long"&gt;42643&lt;/D&gt;&lt;D xsi:type="xsd:long"&gt;42674&lt;/D&gt;&lt;D xsi:type="xsd:long"&gt;42704&lt;/D&gt;&lt;D xsi:type="xsd:long"&gt;42734&lt;/D&gt;&lt;D xsi:type="xsd:long"&gt;42766&lt;/D&gt;&lt;D xsi:type="xsd:long"&gt;42794&lt;/D&gt;&lt;D xsi:type="xsd:long"&gt;42825&lt;/D&gt;&lt;D xsi:type="xsd:long"&gt;42853&lt;/D&gt;&lt;D xsi:type="xsd:long"&gt;42886&lt;/D&gt;&lt;D xsi:type="xsd:long"&gt;42916&lt;/D&gt;&lt;D xsi:type="xsd:long"&gt;42947&lt;/D&gt;&lt;D xsi:type="xsd:long"&gt;42978&lt;/D&gt;&lt;D xsi:type="xsd:long"&gt;43007&lt;/D&gt;&lt;D xsi:type="xsd:long"&gt;43039&lt;/D&gt;&lt;D xsi:type="xsd:long"&gt;43069&lt;/D&gt;&lt;D xsi:type="xsd:long"&gt;43098&lt;/D&gt;&lt;D xsi:type="xsd:long"&gt;43131&lt;/D&gt;&lt;D xsi:type="xsd:long"&gt;43159&lt;/D&gt;&lt;D xsi:type="xsd:long"&gt;43188&lt;/D&gt;&lt;D xsi:type="xsd:long"&gt;43220&lt;/D&gt;&lt;D xsi:type="xsd:long"&gt;43251&lt;/D&gt;&lt;D xsi:type="xsd:long"&gt;43280&lt;/D&gt;&lt;D xsi:type="xsd:long"&gt;43312&lt;/D&gt;&lt;D xsi:type="xsd:long"&gt;43343&lt;/D&gt;&lt;D xsi:type="xsd:long"&gt;43371&lt;/D&gt;&lt;D xsi:type="xsd:long"&gt;43404&lt;/D&gt;&lt;D xsi:type="xsd:long"&gt;43434&lt;/D&gt;&lt;D xsi:type="xsd:long"&gt;43465&lt;/D&gt;&lt;D xsi:type="xsd:long"&gt;43496&lt;/D&gt;&lt;D xsi:type="xsd:long"&gt;43524&lt;/D&gt;&lt;D xsi:type="xsd:long"&gt;43553&lt;/D&gt;&lt;D xsi:type="xsd:long"&gt;43585&lt;/D&gt;&lt;D xsi:type="xsd:long"&gt;43616&lt;/D&gt;&lt;D xsi:type="xsd:long"&gt;43644&lt;/D&gt;&lt;D xsi:type="xsd:long"&gt;43677&lt;/D&gt;&lt;D xsi:type="xsd:long"&gt;43707&lt;/D&gt;&lt;D xsi:type="xsd:long"&gt;43738&lt;/D&gt;&lt;D xsi:type="xsd:long"&gt;43769&lt;/D&gt;&lt;D xsi:type="xsd:long"&gt;43798&lt;/D&gt;&lt;D xsi:type="xsd:long"&gt;43830&lt;/D&gt;&lt;D xsi:type="xsd:long"&gt;43861&lt;/D&gt;&lt;D xsi:type="xsd:long"&gt;43889&lt;/D&gt;&lt;D xsi:type="xsd:long"&gt;43921&lt;/D&gt;&lt;D xsi:type="xsd:long"&gt;43951&lt;/D&gt;&lt;D xsi:type="xsd:long"&gt;43980&lt;/D&gt;&lt;D xsi:type="xsd:long"&gt;44012&lt;/D&gt;&lt;D xsi:type="xsd:long"&gt;44043&lt;/D&gt;&lt;D xsi:type="xsd:long"&gt;44074&lt;/D&gt;&lt;D xsi:type="xsd:long"&gt;44104&lt;/D&gt;&lt;D xsi:type="xsd:long"&gt;44134&lt;/D&gt;&lt;D xsi:type="xsd:long"&gt;44165&lt;/D&gt;&lt;D xsi:type="xsd:long"&gt;44196&lt;/D&gt;&lt;D xsi:type="xsd:long"&gt;44225&lt;/D&gt;&lt;D xsi:type="xsd:long"&gt;44253&lt;/D&gt;&lt;D xsi:type="xsd:long"&gt;44286&lt;/D&gt;&lt;D xsi:type="xsd:long"&gt;44316&lt;/D&gt;&lt;D xsi:type="xsd:long"&gt;44347&lt;/D&gt;&lt;D xsi:type="xsd:long"&gt;44377&lt;/D&gt;&lt;D xsi:type="xsd:long"&gt;44407&lt;/D&gt;&lt;D xsi:type="xsd:long"&gt;44439&lt;/D&gt;&lt;D xsi:type="xsd:long"&gt;44469&lt;/D&gt;&lt;D xsi:type="xsd:long"&gt;44498&lt;/D&gt;&lt;D xsi:type="xsd:long"&gt;44530&lt;/D&gt;&lt;D xsi:type="xsd:long"&gt;44561&lt;/D&gt;&lt;D xsi:type="xsd:long"&gt;44592&lt;/D&gt;&lt;D xsi:type="xsd:long"&gt;44620&lt;/D&gt;&lt;D xsi:type="xsd:long"&gt;44651&lt;/D&gt;&lt;D xsi:type="xsd:long"&gt;44680&lt;/D&gt;&lt;D xsi:type="xsd:long"&gt;44712&lt;/D&gt;&lt;/FQL&gt;&lt;FQL&gt;&lt;Q&gt;OCL-AU^FG_PRICE(NOW)&lt;/Q&gt;&lt;R&gt;1&lt;/R&gt;&lt;C&gt;1&lt;/C&gt;&lt;D xsi:type="xsd:double"&gt;12.97&lt;/D&gt;&lt;/FQL&gt;&lt;FQL&gt;&lt;Q&gt;OCL-AU^FE_ESTIMATE(NET_DEBT,MEAN,ANN_ROLL,2026,NOW,,,'CURRENCY=AUD')&lt;/Q&gt;&lt;R&gt;1&lt;/R&gt;&lt;C&gt;1&lt;/C&gt;&lt;D xsi:type="xsd:double"&gt;-93.070526&lt;/D&gt;&lt;/FQL&gt;&lt;FQL&gt;&lt;Q&gt;OCL-AU^FE_ESTIMATE(NET_DEBT,MEAN,ANN_ROLL,2025,NOW,,,'CURRENCY=AUD')&lt;/Q&gt;&lt;R&gt;1&lt;/R&gt;&lt;C&gt;1&lt;/C&gt;&lt;D xsi:type="xsd:double"&gt;-76.78781&lt;/D&gt;&lt;/FQL&gt;&lt;FQL&gt;&lt;Q&gt;OCL-AU^FE_ESTIMATE(NET_DEBT,MEAN,ANN_ROLL,2024,NOW,,,'CURRENCY=AUD')&lt;/Q&gt;&lt;R&gt;1&lt;/R&gt;&lt;C&gt;1&lt;/C&gt;&lt;D xsi:type="xsd:double"&gt;-68.69556&lt;/D&gt;&lt;/FQL&gt;&lt;FQL&gt;&lt;Q&gt;OCL-AU^FE_ESTIMATE(NET_DEBT,MEAN,ANN_ROLL,2023,NOW,,,'CURRENCY=AUD')&lt;/Q&gt;&lt;R&gt;1&lt;/R&gt;&lt;C&gt;1&lt;/C&gt;&lt;D xsi:type="xsd:double"&gt;-64.55575&lt;/D&gt;&lt;/FQL&gt;&lt;FQL&gt;&lt;Q&gt;OCL-AU^FE_ESTIMATE(NET_DEBT,MEAN,ANN_ROLL,2022,NOW,,,'CURRENCY=AUD')&lt;/Q&gt;&lt;R&gt;1&lt;/R&gt;&lt;C&gt;1&lt;/C&gt;&lt;D xsi:type="xsd:double"&gt;-54.577&lt;/D&gt;&lt;/FQL&gt;&lt;FQL&gt;&lt;Q&gt;OCL-AU^FE_ESTIMATE(FCF,MEAN,ANN_ROLL,2026,NOW,,,'CURRENCY=AUD')&lt;/Q&gt;&lt;R&gt;1&lt;/R&gt;&lt;C&gt;1&lt;/C&gt;&lt;D xsi:type="xsd:double"&gt;35.5&lt;/D&gt;&lt;/FQL&gt;&lt;FQL&gt;&lt;Q&gt;OCL-AU^FE_ESTIMATE(FCF,MEAN,ANN_ROLL,2025,NOW,,,'CURRENCY=AUD')&lt;/Q&gt;&lt;R&gt;1&lt;/R&gt;&lt;C&gt;1&lt;/C&gt;&lt;D xsi:type="xsd:double"&gt;26.7&lt;/D&gt;&lt;/FQL&gt;&lt;FQL&gt;&lt;Q&gt;OCL-AU^FE_ESTIMATE(FCF,MEAN,ANN_ROLL,2024,NOW,,,'CURRENCY=AUD')&lt;/Q&gt;&lt;R&gt;1&lt;/R&gt;&lt;C&gt;1&lt;/C&gt;&lt;D xsi:type="xsd:double"&gt;23.8&lt;/D&gt;&lt;/FQL&gt;&lt;FQL&gt;&lt;Q&gt;OCL-AU^FE_ESTIMATE(FCF,MEAN,ANN_ROLL,2023,NOW,,,'CURRENCY=AUD')&lt;/Q&gt;&lt;R&gt;1&lt;/R&gt;&lt;C&gt;1&lt;/C&gt;&lt;D xsi:type="xsd:double"&gt;19.6475&lt;/D&gt;&lt;/FQL&gt;&lt;FQL&gt;&lt;Q&gt;OCL-AU^FE_ESTIMATE(FCF,MEAN,ANN_ROLL,2022,NOW,,,'CURRENCY=AUD')&lt;/Q&gt;&lt;R&gt;1&lt;/R&gt;&lt;C&gt;1&lt;/C&gt;&lt;D xsi:type="xsd:double"&gt;26.35&lt;/D&gt;&lt;/FQL&gt;&lt;FQL&gt;&lt;Q&gt;OCL-AU^FE_ESTIMATE(CF_OP,MEAN,ANN_ROLL,2026,NOW,,,'CURRENCY=AUD')&lt;/Q&gt;&lt;R&gt;1&lt;/R&gt;&lt;C&gt;1&lt;/C&gt;&lt;D xsi:type="xsd:double"&gt;52.45&lt;/D&gt;&lt;/FQL&gt;&lt;FQL&gt;&lt;Q&gt;OCL-AU^FE_ESTIMATE(CF_OP,MEAN,ANN_ROLL,2025,NOW,,,'CURRENCY=AUD')&lt;/Q&gt;&lt;R&gt;1&lt;/R&gt;&lt;C&gt;1&lt;/C&gt;&lt;D xsi:type="xsd:double"&gt;43.8&lt;/D&gt;&lt;/FQL&gt;&lt;FQL&gt;&lt;Q&gt;OCL-AU^FE_ESTIMATE(CF_OP,MEAN,ANN_ROLL,2024,NOW,,,'CURRENCY=AUD')&lt;/Q&gt;&lt;R&gt;1&lt;/R&gt;&lt;C&gt;1&lt;/C&gt;&lt;D xsi:type="xsd:double"&gt;34.4&lt;/D&gt;&lt;/FQL&gt;&lt;FQL&gt;&lt;Q&gt;OCL-AU^FE_ESTIMATE(CF_OP,MEAN,ANN_ROLL,2023,NOW,,,'CURRENCY=AUD')&lt;/Q&gt;&lt;R&gt;1&lt;/R&gt;&lt;C&gt;1&lt;/C&gt;&lt;D xsi:type="xsd:double"&gt;23.475666&lt;/D&gt;&lt;/FQL&gt;&lt;FQL&gt;&lt;Q&gt;OCL-AU^FE_ESTIMATE(CF_OP,MEAN,ANN_ROLL,2022,NOW,,,'CURRENCY=AUD')&lt;/Q&gt;&lt;R&gt;1&lt;/R&gt;&lt;C&gt;1&lt;/C&gt;&lt;D xsi:type="xsd:double"&gt;30.5&lt;/D&gt;&lt;/FQL&gt;&lt;FQL&gt;&lt;Q&gt;OCL-AU^FE_ESTIMATE(EPS,MEAN,ANN_ROLL,2026,NOW,,,'CURRENCY=AUD')&lt;/Q&gt;&lt;R&gt;1&lt;/R&gt;&lt;C&gt;1&lt;/C&gt;&lt;D xsi:type="xsd:double"&gt;0.45273674&lt;/D&gt;&lt;/FQL&gt;&lt;FQL&gt;&lt;Q&gt;OCL-AU^FE_ESTIMATE(EPS,MEAN,ANN_ROLL,2025,NOW,,,'CURRENCY=AUD')&lt;/Q&gt;&lt;R&gt;1&lt;/R&gt;&lt;C&gt;1&lt;/C&gt;&lt;D xsi:type="xsd:double"&gt;0.3893775&lt;/D&gt;&lt;/FQL&gt;&lt;FQL&gt;&lt;Q&gt;OCL-AU^FE_ESTIMATE(EPS,MEAN,ANN_ROLL,2024,NOW,,,'CURRENCY=AUD')&lt;/Q&gt;&lt;R&gt;1&lt;/R&gt;&lt;C&gt;1&lt;/C&gt;&lt;D xsi:type="xsd:double"&gt;0.329&lt;/D&gt;&lt;/FQL&gt;&lt;FQL&gt;&lt;Q&gt;OCL-AU^FE_ESTIMATE(EPS,MEAN,ANN_ROLL,2023,NOW,,,'CURRENCY=AUD')&lt;/Q&gt;&lt;R&gt;1&lt;/R&gt;&lt;C&gt;1&lt;/C&gt;&lt;D xsi:type="xsd:double"&gt;0.222&lt;/D&gt;&lt;/FQL&gt;&lt;FQL&gt;&lt;Q&gt;OCL-AU^FE_ESTIMATE(EPS,MEAN,ANN_ROLL,2022,NOW,,,'CURRENCY=AUD')&lt;/Q&gt;&lt;R&gt;1&lt;/R&gt;&lt;C&gt;1&lt;/C&gt;&lt;D xsi:type="xsd:double"&gt;0.222&lt;/D&gt;&lt;/FQL&gt;&lt;FQL&gt;&lt;Q&gt;OCL-AU^FE_ESTIMATE(EBITDA,MEAN,ANN_ROLL,2026,NOW,,,'CURRENCY=AUD')&lt;/Q&gt;&lt;R&gt;1&lt;/R&gt;&lt;C&gt;1&lt;/C&gt;&lt;D xsi:type="xsd:double"&gt;59.89102&lt;/D&gt;&lt;/FQL&gt;&lt;FQL&gt;&lt;Q&gt;OCL-AU^FE_ESTIMATE(EBITDA,MEAN,ANN_ROLL,2025,NOW,,,'CURRENCY=AUD')&lt;/Q&gt;&lt;R&gt;1&lt;/R&gt;&lt;C&gt;1&lt;/C&gt;&lt;D xsi:type="xsd:double"&gt;51.221302&lt;/D&gt;&lt;/FQL&gt;&lt;FQL&gt;&lt;Q&gt;OCL-AU^FE_ESTIMATE(EBITDA,MEAN,ANN_ROLL,2024,NOW,,,'CURRENCY=AUD')&lt;/Q&gt;&lt;R&gt;1&lt;/R&gt;&lt;C&gt;1&lt;/C&gt;&lt;D xsi:type="xsd:double"&gt;45.00768&lt;/D&gt;&lt;/FQL&gt;&lt;FQL&gt;&lt;Q&gt;OCL-AU^FE_ESTIMATE(EBITDA,MEAN,ANN_ROLL,2023,NOW,,,'CURRENCY=AUD')&lt;/Q&gt;&lt;R&gt;1&lt;/R&gt;&lt;C&gt;1&lt;/C&gt;&lt;D xsi:type="xsd:double"&gt;26.026&lt;/D&gt;&lt;/FQL&gt;&lt;FQL&gt;&lt;Q&gt;OCL-AU^FE_ESTIMATE(EBITDA,MEAN,ANN_ROLL,2022,NOW,,,'CURRENCY=AUD')&lt;/Q&gt;&lt;R&gt;1&lt;/R&gt;&lt;C&gt;1&lt;/C&gt;&lt;D xsi:type="xsd:double"&gt;30.35725&lt;/D&gt;&lt;/FQL&gt;&lt;FQL&gt;&lt;Q&gt;OCL-AU^FE_ESTIMATE(GROSS_INC,MEAN,ANN_ROLL,2026,NOW,,,'CURRENCY=AUD')&lt;/Q&gt;&lt;R&gt;1&lt;/R&gt;&lt;C&gt;1&lt;/C&gt;&lt;D xsi:type="xsd:double"&gt;135.55&lt;/D&gt;&lt;/FQL&gt;&lt;FQL&gt;&lt;Q&gt;OCL-AU^FE_ESTIMATE(GROSS_INC,MEAN,ANN_ROLL,2025,NOW,,,'CURRENCY=AUD')&lt;/Q&gt;&lt;R&gt;1&lt;/R&gt;&lt;C&gt;1&lt;/C&gt;&lt;D xsi:type="xsd:double"&gt;121.9&lt;/D&gt;&lt;/FQL&gt;&lt;FQL&gt;&lt;Q&gt;OCL-AU^FE_ESTIMATE(GROSS_INC,MEAN,ANN_ROLL,2024,NOW,,,'CURRENCY=AUD')&lt;/Q&gt;&lt;R&gt;1&lt;/R&gt;&lt;C&gt;1&lt;/C&gt;&lt;D xsi:type="xsd:double"&gt;109.65&lt;/D&gt;&lt;/FQL&gt;&lt;FQL&gt;&lt;Q&gt;OCL-AU^FE_ESTIMATE(GROSS_INC,MEAN,ANN_ROLL,2023,NOW,,,'CURRENCY=AUD')&lt;/Q&gt;&lt;R&gt;1&lt;/R&gt;&lt;C&gt;1&lt;/C&gt;&lt;D xsi:type="xsd:double"&gt;101.708&lt;/D&gt;&lt;/FQL&gt;&lt;FQL&gt;&lt;Q&gt;OCL-AU^FE_ESTIMATE(GROSS_INC,MEAN,ANN_ROLL,2022,NOW,,,'CURRENCY=AUD')&lt;/Q&gt;&lt;R&gt;1&lt;/R&gt;&lt;C&gt;1&lt;/C&gt;&lt;D xsi:type="xsd:double"&gt;100.7&lt;/D&gt;&lt;/FQL&gt;&lt;FQL&gt;&lt;Q&gt;OCL-AU^FE_ESTIMATE(SALES,MEAN,ANN_ROLL,2026,NOW,,,'CURRENCY=AUD')&lt;/Q&gt;&lt;R&gt;1&lt;/R&gt;&lt;C&gt;1&lt;/C&gt;&lt;D xsi:type="xsd:double"&gt;143.94986&lt;/D&gt;&lt;/FQL&gt;&lt;FQL&gt;&lt;Q&gt;OCL-AU^FE_ESTIMATE(SALES,MEAN,ANN_ROLL,2025,NOW,,,'CURRENCY=AUD')&lt;/Q&gt;&lt;R&gt;1&lt;/R&gt;&lt;C&gt;1&lt;/C&gt;&lt;D xsi:type="xsd:double"&gt;128.93088&lt;/D&gt;&lt;/FQL&gt;&lt;FQL&gt;&lt;Q&gt;OCL-AU^FE_ESTIMATE(SALES,MEAN,ANN_ROLL,2024,NOW,,,'CURRENCY=AUD')&lt;/Q&gt;&lt;R&gt;1&lt;/R&gt;&lt;C&gt;1&lt;/C&gt;&lt;D xsi:type="xsd:double"&gt;118&lt;/D&gt;&lt;/FQL&gt;&lt;FQL&gt;&lt;Q&gt;OCL-AU^FE_ESTIMATE(SALES,MEAN,ANN_ROLL,2023,NOW,,,'CURRENCY=AUD')&lt;/Q&gt;&lt;R&gt;1&lt;/R&gt;&lt;C&gt;1&lt;/C&gt;&lt;D xsi:type="xsd:double"&gt;110.4&lt;/D&gt;&lt;/FQL&gt;&lt;FQL&gt;&lt;Q&gt;OCL-AU^FE_ESTIMATE(SALES,MEAN,ANN_ROLL,2022,NOW,,,'CURRENCY=AUD')&lt;/Q&gt;&lt;R&gt;1&lt;/R&gt;&lt;C&gt;1&lt;/C&gt;&lt;D xsi:type="xsd:double"&gt;107&lt;/D&gt;&lt;/FQL&gt;&lt;FQL&gt;&lt;Q&gt;^P_EXCH_RATE(AUD,AUD,0)&lt;/Q&gt;&lt;R&gt;1&lt;/R&gt;&lt;C&gt;1&lt;/C&gt;&lt;D xsi:type="xsd:double"&gt;1&lt;/D&gt;&lt;/FQL&gt;&lt;FQL&gt;&lt;Q&gt;OCL-AU^FE_ESTIMATE(NET_DEBT,MEAN,ANN_ROLL,2021,NOW,,,'CURRENCY=AUD')&lt;/Q&gt;&lt;R&gt;0&lt;/R&gt;&lt;C&gt;0&lt;/C&gt;&lt;/FQL&gt;&lt;FQL&gt;&lt;Q&gt;OCL-AU^FE_ESTIMATE(FCF,MEAN,ANN_ROLL,2021,NOW,,,'CURRENCY=AUD')&lt;/Q&gt;&lt;R&gt;1&lt;/R&gt;&lt;C&gt;1&lt;/C&gt;&lt;D xsi:type="xsd:double"&gt;21.1&lt;/D&gt;&lt;/FQL&gt;&lt;FQL&gt;&lt;Q&gt;OCL-AU^FE_ESTIMATE(CF_OP,MEAN,ANN_ROLL,2021,NOW,,,'CURRENCY=AUD')&lt;/Q&gt;&lt;R&gt;1&lt;/R&gt;&lt;C&gt;1&lt;/C&gt;&lt;D xsi:type="xsd:double"&gt;24.7&lt;/D&gt;&lt;/FQL&gt;&lt;FQL&gt;&lt;Q&gt;OCL-AU^FE_ESTIMATE(EPS,MEAN,ANN_ROLL,2021,NOW,,,'CURRENCY=AUD')&lt;/Q&gt;&lt;R&gt;1&lt;/R&gt;&lt;C&gt;1&lt;/C&gt;&lt;D xsi:type="xsd:double"&gt;0.168&lt;/D&gt;&lt;/FQL&gt;&lt;FQL&gt;&lt;Q&gt;OCL-AU^FE_ESTIMATE(EBITDA,MEAN,ANN_ROLL,2021,NOW,,,'CURRENCY=AUD')&lt;/Q&gt;&lt;R&gt;1&lt;/R&gt;&lt;C&gt;1&lt;/C&gt;&lt;D xsi:type="xsd:double"&gt;33&lt;/D&gt;&lt;/FQL&gt;&lt;FQL&gt;&lt;Q&gt;OCL-AU^FE_ESTIMATE(GROSS_INC,MEAN,ANN_ROLL,2021,NOW,,,'CURRENCY=AUD')&lt;/Q&gt;&lt;R&gt;0&lt;/R&gt;&lt;C&gt;0&lt;/C&gt;&lt;/FQL&gt;&lt;FQL&gt;&lt;Q&gt;OCL-AU^FE_ESTIMATE(SALES,MEAN,ANN_ROLL,2021,NOW,,,'CURRENCY=AUD')&lt;/Q&gt;&lt;R&gt;1&lt;/R&gt;&lt;C&gt;1&lt;/C&gt;&lt;D xsi:type="xsd:double"&gt;95.056&lt;/D&gt;&lt;/FQL&gt;&lt;FQL&gt;&lt;Q&gt;OCL-AU^FG_PRICE(36769)&lt;/Q&gt;&lt;R&gt;1&lt;/R&gt;&lt;C&gt;1&lt;/C&gt;&lt;D xsi:type="xsd:double"&gt;0.87&lt;/D&gt;&lt;/FQL&gt;&lt;FQL&gt;&lt;Q&gt;OCL-AU^FREF_SHARES_COMPANY(36769,,,,0,"LEGACY")&lt;/Q&gt;&lt;R&gt;1&lt;/R&gt;&lt;C&gt;1&lt;/C&gt;&lt;D xsi:type="xsd:double"&gt;134.834503173828&lt;/D&gt;&lt;/FQL&gt;&lt;FQL&gt;&lt;Q&gt;OCL-AU^FG_PRICE(36798)&lt;/Q&gt;&lt;R&gt;1&lt;/R&gt;&lt;C&gt;1&lt;/C&gt;&lt;D xsi:type="xsd:double"&gt;0.69&lt;/D&gt;&lt;/FQL&gt;&lt;FQL&gt;&lt;Q&gt;OCL-AU^FREF_SHARES_COMPANY(36798,,,,0,"LEGACY")&lt;/Q&gt;&lt;R&gt;1&lt;/R&gt;&lt;C&gt;1&lt;/C&gt;&lt;D xsi:type="xsd:double"&gt;134.834503173828&lt;/D&gt;&lt;/FQL&gt;&lt;FQL&gt;&lt;Q&gt;OCL-AU^FG_PRICE(36830)&lt;/Q&gt;&lt;R&gt;1&lt;/R&gt;&lt;C&gt;1&lt;/C&gt;&lt;D xsi:type="xsd:double"&gt;0.74&lt;/D&gt;&lt;/FQL&gt;&lt;FQL&gt;&lt;Q&gt;OCL-AU^FREF_SHARES_COMPANY(36830,,,,0,"LEGACY")&lt;/Q&gt;&lt;R&gt;1&lt;/R&gt;&lt;C&gt;1&lt;/C&gt;&lt;D xsi:type="xsd:double"&gt;134.834503173828&lt;/D&gt;&lt;/FQL&gt;&lt;FQL&gt;&lt;Q&gt;OCL-AU^FG_PRICE(36860)&lt;/Q&gt;&lt;R&gt;1&lt;/R&gt;&lt;C&gt;1&lt;/C&gt;&lt;D xsi:type="xsd:double"&gt;0.6&lt;/D&gt;&lt;/FQL&gt;&lt;FQL&gt;&lt;Q&gt;OCL-AU^FREF_SHARES_COMPANY(36860,,,,0,"LEGACY")&lt;/Q&gt;&lt;R&gt;1&lt;/R&gt;&lt;C&gt;1&lt;/C&gt;&lt;D xsi:type="xsd:double"&gt;134.834503173828&lt;/D&gt;&lt;/FQL&gt;&lt;FQL&gt;&lt;Q&gt;OCL-AU^FG_PRICE(36889)&lt;/Q&gt;&lt;R&gt;1&lt;/R&gt;&lt;C&gt;1&lt;/C&gt;&lt;D xsi:type="xsd:double"&gt;0.57&lt;/D&gt;&lt;/FQL&gt;&lt;FQL&gt;&lt;Q&gt;OCL-AU^FREF_SHARES_COMPANY(36889,,,,0,"LEGACY")&lt;/Q&gt;&lt;R&gt;1&lt;/R&gt;&lt;C&gt;1&lt;/C&gt;&lt;D xsi:type="xsd:double"&gt;134.834503173828&lt;/D&gt;&lt;/FQL&gt;&lt;FQL&gt;&lt;Q&gt;OCL-AU^FG_PRICE(36922)&lt;/Q&gt;&lt;R&gt;1&lt;/R&gt;&lt;C&gt;1&lt;/C&gt;&lt;D xsi:type="xsd:double"&gt;0.54&lt;/D&gt;&lt;/FQL&gt;&lt;FQL&gt;&lt;Q&gt;OCL-AU^FREF_SHARES_COMPANY(36922,,,,0,"LEGACY")&lt;/Q&gt;&lt;R&gt;1&lt;/R&gt;&lt;C&gt;1&lt;/C&gt;&lt;D xsi:type="xsd:double"&gt;134.834503173828&lt;/D&gt;&lt;/FQL&gt;&lt;FQL&gt;&lt;Q&gt;OCL-AU^FG_PRICE(36950)&lt;/Q&gt;&lt;R&gt;1&lt;/R&gt;&lt;C&gt;1&lt;/C&gt;&lt;D xsi:type="xsd:double"&gt;0.5&lt;/D&gt;&lt;/FQL&gt;&lt;FQL&gt;&lt;Q&gt;OCL-AU^FREF_SHARES_COMPANY(36950,,,,0,"LEGACY")&lt;/Q&gt;&lt;R&gt;1&lt;/R&gt;&lt;C&gt;1&lt;/C&gt;&lt;D xsi:type="xsd:double"&gt;134.834503173828&lt;/D&gt;&lt;/FQL&gt;&lt;FQL&gt;&lt;Q&gt;OCL-AU^FG_PRICE(36980)&lt;/Q&gt;&lt;R&gt;1&lt;/R&gt;&lt;C&gt;1&lt;/C&gt;&lt;D xsi:type="xsd:double"&gt;0.49&lt;/D&gt;&lt;/FQL&gt;&lt;FQL&gt;&lt;Q&gt;OCL-AU^FREF_SHARES_COMPANY(36980,,,,0,"LEGACY")&lt;/Q&gt;&lt;R&gt;1&lt;/R&gt;&lt;C&gt;1&lt;/C&gt;&lt;D xsi:type="xsd:double"&gt;134.834503173828&lt;/D&gt;&lt;/FQL&gt;&lt;FQL&gt;&lt;Q&gt;OCL-AU^FG_PRICE(37011)&lt;/Q&gt;&lt;R&gt;1&lt;/R&gt;&lt;C&gt;1&lt;/C&gt;&lt;D xsi:type="xsd:double"&gt;0.46&lt;/D&gt;&lt;/FQL&gt;&lt;FQL&gt;&lt;Q&gt;OCL-AU^FREF_SHARES_COMPANY(37011,,,,0,"LEGACY")&lt;/Q&gt;&lt;R&gt;1&lt;/R&gt;&lt;C&gt;1&lt;/C&gt;&lt;D xsi:type="xsd:double"&gt;134.834503173828&lt;/D&gt;&lt;/FQL&gt;&lt;FQL&gt;&lt;Q&gt;OCL-AU^FG_PRICE(37042)&lt;/Q&gt;&lt;R&gt;1&lt;/R&gt;&lt;C&gt;1&lt;/C&gt;&lt;D xsi:type="xsd:double"&gt;0.28&lt;/D&gt;&lt;/FQL&gt;&lt;FQL&gt;&lt;Q&gt;OCL-AU^FREF_SHARES_COMPANY(37042,,,,0,"LEGACY")&lt;/Q&gt;&lt;R&gt;1&lt;/R&gt;&lt;C&gt;1&lt;/C&gt;&lt;D xsi:type="xsd:double"&gt;134.834503173828&lt;/D&gt;&lt;/FQL&gt;&lt;FQL&gt;&lt;Q&gt;OCL-AU^FG_PRICE(37071)&lt;/Q&gt;&lt;R&gt;1&lt;/R&gt;&lt;C&gt;1&lt;/C&gt;&lt;D xsi:type="xsd:double"&gt;0.315&lt;/D&gt;&lt;/FQL&gt;&lt;FQL&gt;&lt;Q&gt;OCL-AU^FREF_SHARES_COMPANY(37071,,,,0,"LEGACY")&lt;/Q&gt;&lt;R&gt;1&lt;/R&gt;&lt;C&gt;1&lt;/C&gt;&lt;D xsi:type="xsd:double"&gt;134.834503173828&lt;/D&gt;&lt;/FQL&gt;&lt;FQL&gt;&lt;Q&gt;OCL-AU^FG_PRICE(37103)&lt;/Q&gt;&lt;R&gt;1&lt;/R&gt;&lt;C&gt;1&lt;/C&gt;&lt;D xsi:type="xsd:double"&gt;0.46&lt;/D&gt;&lt;/FQL&gt;&lt;FQL&gt;&lt;Q&gt;OCL-AU^FREF_SHARES_COMPANY(37103,,,,0,"LEGACY")&lt;/Q&gt;&lt;R&gt;1&lt;/R&gt;&lt;C&gt;1&lt;/C&gt;&lt;D xsi:type="xsd:double"&gt;134.834503173828&lt;/D&gt;&lt;/FQL&gt;&lt;FQL&gt;&lt;Q&gt;OCL-AU^FG_PRICE(37134)&lt;/Q&gt;&lt;R&gt;1&lt;/R&gt;&lt;C&gt;1&lt;/C&gt;&lt;D xsi:type="xsd:double"&gt;0.34&lt;/D&gt;&lt;/FQL&gt;&lt;FQL&gt;&lt;Q&gt;OCL-AU^FREF_SHARES_COMPANY(37134,,,,0,"LEGACY")&lt;/Q&gt;&lt;R&gt;1&lt;/R&gt;&lt;C&gt;1&lt;/C&gt;&lt;D xsi:type="xsd:double"&gt;134.834503173828&lt;/D&gt;&lt;/FQL&gt;&lt;FQL&gt;&lt;Q&gt;OCL-AU^FG_PRICE(37162)&lt;/Q&gt;&lt;R&gt;1&lt;/R&gt;&lt;C&gt;1&lt;/C&gt;&lt;D xsi:type="xsd:double"&gt;0.3&lt;/D&gt;&lt;/FQL&gt;&lt;FQL&gt;&lt;Q&gt;OCL-AU^FREF_SHARES_COMPANY(37162,,,,0,"LEGACY")&lt;/Q&gt;&lt;R&gt;1&lt;/R&gt;&lt;C&gt;1&lt;/C&gt;&lt;D xsi:type="xsd:double"&gt;134.834503173828&lt;/D&gt;&lt;/FQL&gt;&lt;FQL&gt;&lt;Q&gt;OCL-AU^FG_PRICE(37195)&lt;/Q&gt;&lt;R&gt;1&lt;/R&gt;&lt;C&gt;1&lt;/C&gt;&lt;D xsi:type="xsd:double"&gt;0.22&lt;/D&gt;&lt;/FQL&gt;&lt;FQL&gt;&lt;Q&gt;OCL-AU^FREF_SHARES_COMPANY(37195,,,,0,"LEGACY")&lt;/Q&gt;&lt;R&gt;1&lt;/R&gt;&lt;C&gt;1&lt;/C&gt;&lt;D xsi:type="xsd:double"&gt;134.834503173828&lt;/D&gt;&lt;/FQL&gt;&lt;FQL&gt;&lt;Q&gt;OCL-AU^FG_PRICE(37225)&lt;/Q&gt;&lt;R&gt;1&lt;/R&gt;&lt;C&gt;1&lt;/C&gt;&lt;D xsi:type="xsd:double"&gt;0.27&lt;/D&gt;&lt;/FQL&gt;&lt;FQL&gt;&lt;Q&gt;OCL-AU^FREF_SHARES_COMPANY(37225,,,,0,"LEGACY")&lt;/Q&gt;&lt;R&gt;1&lt;/R&gt;&lt;C&gt;1&lt;/C&gt;&lt;D xsi:type="xsd:double"&gt;134.834503173828&lt;/D&gt;&lt;/FQL&gt;&lt;FQL&gt;&lt;Q&gt;OCL-AU^FG_PRICE(37256)&lt;/Q&gt;&lt;R&gt;1&lt;/R&gt;&lt;C&gt;1&lt;/C&gt;&lt;D xsi:type="xsd:double"&gt;0.27&lt;/D&gt;&lt;/FQL&gt;&lt;FQL&gt;&lt;Q&gt;OCL-AU^FREF_SHARES_COMPANY(37256,,,,0,"LEGACY")&lt;/Q&gt;&lt;R&gt;1&lt;/R&gt;&lt;C&gt;1&lt;/C&gt;&lt;D xsi:type="xsd:double"&gt;134.834503173828&lt;/D&gt;&lt;/FQL&gt;&lt;FQL&gt;&lt;Q&gt;OCL-AU^FG_PRICE(37287)&lt;/Q&gt;&lt;R&gt;1&lt;/R&gt;&lt;C&gt;1&lt;/C&gt;&lt;D xsi:type="xsd:double"&gt;0.3&lt;/D&gt;&lt;/FQL&gt;&lt;FQL&gt;&lt;Q&gt;OCL-AU^FREF_SHARES_COMPANY(37287,,,,0,"LEGACY")&lt;/Q&gt;&lt;R&gt;1&lt;/R&gt;&lt;C&gt;1&lt;/C&gt;&lt;D xsi:type="xsd:double"&gt;134.834503173828&lt;/D&gt;&lt;/FQL&gt;&lt;FQL&gt;&lt;Q&gt;OCL-AU^FG_PRICE(37315)&lt;/Q&gt;&lt;R&gt;1&lt;/R&gt;&lt;C&gt;1&lt;/C&gt;&lt;D xsi:type="xsd:double"&gt;0.28&lt;/D&gt;&lt;/FQL&gt;&lt;FQL&gt;&lt;Q&gt;OCL-AU^FREF_SHARES_COMPANY(37315,,,,0,"LEGACY")&lt;/Q&gt;&lt;R&gt;1&lt;/R&gt;&lt;C&gt;1&lt;/C&gt;&lt;D xsi:type="xsd:double"&gt;134.834503173828&lt;/D&gt;&lt;/FQL&gt;&lt;FQL&gt;&lt;Q&gt;OCL-AU^FG_PRICE(37343)&lt;/Q&gt;&lt;R&gt;1&lt;/R&gt;&lt;C&gt;1&lt;/C&gt;&lt;D xsi:type="xsd:double"&gt;0.31&lt;/D&gt;&lt;/FQL&gt;&lt;FQL&gt;&lt;Q&gt;OCL-AU^FREF_SHARES_COMPANY(37343,,,,0,"LEGACY")&lt;/Q&gt;&lt;R&gt;1&lt;/R&gt;&lt;C&gt;1&lt;/C&gt;&lt;D xsi:type="xsd:double"&gt;134.834503173828&lt;/D&gt;&lt;/FQL&gt;&lt;FQL&gt;&lt;Q&gt;OCL-AU^FG_PRICE(37376)&lt;/Q&gt;&lt;R&gt;1&lt;/R&gt;&lt;C&gt;1&lt;/C&gt;&lt;D xsi:type="xsd:double"&gt;0.29&lt;/D&gt;&lt;/FQL&gt;&lt;FQL&gt;&lt;Q&gt;OCL-AU^FREF_SHARES_COMPANY(37376,,,,0,"LEGACY")&lt;/Q&gt;&lt;R&gt;1&lt;/R&gt;&lt;C&gt;1&lt;/C&gt;&lt;D xsi:type="xsd:double"&gt;134.834503173828&lt;/D&gt;&lt;/FQL&gt;&lt;FQL&gt;&lt;Q&gt;OCL-AU^FG_PRICE(37407)&lt;/Q&gt;&lt;R&gt;1&lt;/R&gt;&lt;C&gt;1&lt;/C&gt;&lt;D xsi:type="xsd:double"&gt;0.24&lt;/D&gt;&lt;/FQL&gt;&lt;FQL&gt;&lt;Q&gt;OCL-AU^FREF_SHARES_COMPANY(37407,,,,0,"LEGACY")&lt;/Q&gt;&lt;R&gt;1&lt;/R&gt;&lt;C&gt;1&lt;/C&gt;&lt;D xsi:type="xsd:double"&gt;134.834503173828&lt;/D&gt;&lt;/FQL&gt;&lt;FQL&gt;&lt;Q&gt;OCL-AU^FG_PRICE(37435)&lt;/Q&gt;&lt;R&gt;1&lt;/R&gt;&lt;C&gt;1&lt;/C&gt;&lt;D xsi:type="xsd:double"&gt;0.21&lt;/D&gt;&lt;/FQL&gt;&lt;FQL&gt;&lt;Q&gt;OCL-AU^FREF_SHARES_COMPANY(37435,,,,0,"LEGACY")&lt;/Q&gt;&lt;R&gt;1&lt;/R&gt;&lt;C&gt;1&lt;/C&gt;&lt;D xsi:type="xsd:double"&gt;134.834503173828&lt;/D&gt;&lt;/FQL&gt;&lt;FQL&gt;&lt;Q&gt;OCL-AU^FG_PRICE(37468)&lt;/Q&gt;&lt;R&gt;1&lt;/R&gt;&lt;C&gt;1&lt;/C&gt;&lt;D xsi:type="xsd:double"&gt;0.2&lt;/D&gt;&lt;/FQL&gt;&lt;FQL&gt;&lt;Q&gt;OCL-AU^FREF_SHARES_COMPANY(37468,,,,0,"LEGACY")&lt;/Q&gt;&lt;R&gt;1&lt;/R&gt;&lt;C&gt;1&lt;/C&gt;&lt;D xsi:type="xsd:double"&gt;134.834503173828&lt;/D&gt;&lt;/FQL&gt;&lt;FQL&gt;&lt;Q&gt;OCL-AU^FG_PRICE(37498)&lt;/Q&gt;&lt;R&gt;1&lt;/R&gt;&lt;C&gt;1&lt;/C&gt;&lt;D xsi:type="xsd:double"&gt;0.2&lt;/D&gt;&lt;/FQL&gt;&lt;FQL&gt;&lt;Q&gt;OCL-AU^FREF_SHARES_COMPANY(37498,,,,0,"LEGACY")&lt;/Q&gt;&lt;R&gt;1&lt;/R&gt;&lt;C&gt;1&lt;/C&gt;&lt;D xsi:type="xsd:double"&gt;134.834503173828&lt;/D&gt;&lt;/FQL&gt;&lt;FQL&gt;&lt;Q&gt;OCL-AU^FG_PRICE(37529)&lt;/Q&gt;&lt;R&gt;1&lt;/R&gt;&lt;C&gt;1&lt;/C&gt;&lt;D xsi:type="xsd:double"&gt;0.2&lt;/D&gt;&lt;/FQL&gt;&lt;FQL&gt;&lt;Q&gt;OCL-AU^FREF_SHARES_COMPANY(37529,,,,0,"LEGACY")&lt;/Q&gt;&lt;R&gt;1&lt;/R&gt;&lt;C&gt;1&lt;/C&gt;&lt;D xsi:type="xsd:double"&gt;134.834503173828&lt;/D&gt;&lt;/FQL&gt;&lt;FQL&gt;&lt;Q&gt;OCL-AU^FG_PRICE(37560)&lt;/Q&gt;&lt;R&gt;1&lt;/R&gt;&lt;C&gt;1&lt;/C&gt;&lt;D xsi:type="xsd:double"&gt;0.165&lt;/D&gt;&lt;/FQL&gt;&lt;FQL&gt;&lt;Q&gt;OCL-AU^FREF_SHARES_COMPANY(37560,,,,0,"LEGACY")&lt;/Q&gt;&lt;R&gt;1&lt;/R&gt;&lt;C&gt;1&lt;/C&gt;&lt;D xsi:type="xsd:double"&gt;134.834503173828&lt;/D&gt;&lt;/FQL&gt;&lt;FQL&gt;&lt;Q&gt;OCL-AU^FG_PRICE(37589)&lt;/Q&gt;&lt;R&gt;1&lt;/R&gt;&lt;C&gt;1&lt;/C&gt;&lt;D xsi:type="xsd:double"&gt;0.185&lt;/D&gt;&lt;/FQL&gt;&lt;FQL&gt;&lt;Q&gt;OCL-AU^FREF_SHARES_COMPANY(37589,,,,0,"LEGACY")&lt;/Q&gt;&lt;R&gt;1&lt;/R&gt;&lt;C&gt;1&lt;/C&gt;&lt;D xsi:type="xsd:double"&gt;134.834503173828&lt;/D&gt;&lt;/FQL&gt;&lt;FQL&gt;&lt;Q&gt;OCL-AU^FG_PRICE(37621)&lt;/Q&gt;&lt;R&gt;1&lt;/R&gt;&lt;C&gt;1&lt;/C&gt;&lt;D xsi:type="xsd:double"&gt;0.2&lt;/D&gt;&lt;/FQL&gt;&lt;FQL&gt;&lt;Q&gt;OCL-AU^FREF_SHARES_COMPANY(37621,,,,0,"LEGACY")&lt;/Q&gt;&lt;R&gt;1&lt;/R&gt;&lt;C&gt;1&lt;/C&gt;&lt;D xsi:type="xsd:double"&gt;134.834503173828&lt;/D&gt;&lt;/FQL&gt;&lt;FQL&gt;&lt;Q&gt;OCL-AU^FG_PRICE(37652)&lt;/Q&gt;&lt;R&gt;1&lt;/R&gt;&lt;C&gt;1&lt;/C&gt;&lt;D xsi:type="xsd:double"&gt;0.185&lt;/D&gt;&lt;/FQL&gt;&lt;FQL&gt;&lt;Q&gt;OCL-AU^FREF_SHARES_COMPANY(37652,,,,0,"LEGACY")&lt;/Q&gt;&lt;R&gt;1&lt;/R&gt;&lt;C&gt;1&lt;/C&gt;&lt;D xsi:type="xsd:double"&gt;134.834503173828&lt;/D&gt;&lt;/FQL&gt;&lt;FQL&gt;&lt;Q&gt;OCL-AU^FG_PRICE(37680)&lt;/Q&gt;&lt;R&gt;1&lt;/R&gt;&lt;C&gt;1&lt;/C&gt;&lt;D xsi:type="xsd:double"&gt;0.18&lt;/D&gt;&lt;/FQL&gt;&lt;FQL&gt;&lt;Q&gt;OCL-AU^FREF_SHARES_COMPANY(37680,,,,0,"LEGACY")&lt;/Q&gt;&lt;R&gt;1&lt;/R&gt;&lt;C&gt;1&lt;/C&gt;&lt;D xsi:type="xsd:double"&gt;134.834503173828&lt;/D&gt;&lt;/FQL&gt;&lt;FQL&gt;&lt;Q&gt;OCL-AU^FG_PRICE(37711)&lt;/Q&gt;&lt;R&gt;1&lt;/R&gt;&lt;C&gt;1&lt;/C&gt;&lt;D xsi:type="xsd:double"&gt;0.21&lt;/D&gt;&lt;/FQL&gt;&lt;FQL&gt;&lt;Q&gt;OCL-AU^FREF_SHARES_COMPANY(37711,,,,0,"LEGACY")&lt;/Q&gt;&lt;R&gt;1&lt;/R&gt;&lt;C&gt;1&lt;/C&gt;&lt;D xsi:type="xsd:double"&gt;134.834503173828&lt;/D&gt;&lt;/FQL&gt;&lt;FQL&gt;&lt;Q&gt;OCL-AU^FG_PRICE(37741)&lt;/Q&gt;&lt;R&gt;1&lt;/R&gt;&lt;C&gt;1&lt;/C&gt;&lt;D xsi:type="xsd:double"&gt;0.23&lt;/D&gt;&lt;/FQL&gt;&lt;FQL&gt;&lt;Q&gt;OCL-AU^FREF_SHARES_COMPANY(37741,,,,0,"LEGACY")&lt;/Q&gt;&lt;R&gt;1&lt;/R&gt;&lt;C&gt;1&lt;/C&gt;&lt;D xsi:type="xsd:double"&gt;134.834503173828&lt;/D&gt;&lt;/FQL&gt;&lt;FQL&gt;&lt;Q&gt;OCL-AU^FG_PRICE(37771)&lt;/Q&gt;&lt;R&gt;1&lt;/R&gt;&lt;C&gt;1&lt;/C&gt;&lt;D xsi:type="xsd:double"&gt;0.25&lt;/D&gt;&lt;/FQL&gt;&lt;FQL&gt;&lt;Q&gt;OCL-AU^FREF_SHARES_COMPANY(37771,,,,0,"LEGACY")&lt;/Q&gt;&lt;R&gt;1&lt;/R&gt;&lt;C&gt;1&lt;/C&gt;&lt;D xsi:type="xsd:double"&gt;134.834503173828&lt;/D&gt;&lt;/FQL&gt;&lt;FQL&gt;&lt;Q&gt;OCL-AU^FG_PRICE(37802)&lt;/Q&gt;&lt;R&gt;1&lt;/R&gt;&lt;C&gt;1&lt;/C&gt;&lt;D xsi:type="xsd:double"&gt;0.22&lt;/D&gt;&lt;/FQL&gt;&lt;FQL&gt;&lt;Q&gt;OCL-AU^FREF_SHARES_COMPANY(37802,,,,0,"LEGACY")&lt;/Q&gt;&lt;R&gt;1&lt;/R&gt;&lt;C&gt;1&lt;/C&gt;&lt;D xsi:type="xsd:double"&gt;134.834503173828&lt;/D&gt;&lt;/FQL&gt;&lt;FQL&gt;&lt;Q&gt;OCL-AU^FG_PRICE(37833)&lt;/Q&gt;&lt;R&gt;1&lt;/R&gt;&lt;C&gt;1&lt;/C&gt;&lt;D xsi:type="xsd:double"&gt;0.25&lt;/D&gt;&lt;/FQL&gt;&lt;FQL&gt;&lt;Q&gt;OCL-AU^FREF_SHARES_COMPANY(37833,,,,0,"LEGACY")&lt;/Q&gt;&lt;R&gt;1&lt;/R&gt;&lt;C&gt;1&lt;/C&gt;&lt;D xsi:type="xsd:double"&gt;134.834503173828&lt;/D&gt;&lt;/FQL&gt;&lt;FQL&gt;&lt;Q&gt;OCL-AU^FG_PRICE(37862)&lt;/Q&gt;&lt;R&gt;1&lt;/R&gt;&lt;C&gt;1&lt;/C&gt;&lt;D xsi:type="xsd:double"&gt;0.275&lt;/D&gt;&lt;/FQL&gt;&lt;FQL&gt;&lt;Q&gt;OCL-AU^FREF_SHARES_COMPANY(37862,,,,0,"LEGACY")&lt;/Q&gt;&lt;R&gt;1&lt;/R&gt;&lt;C&gt;1&lt;/C&gt;&lt;D xsi:type="xsd:double"&gt;134.834503173828&lt;/D&gt;&lt;/FQL&gt;&lt;FQL&gt;&lt;Q&gt;OCL-AU^FG_PRICE(37894)&lt;/Q&gt;&lt;R&gt;1&lt;/R&gt;&lt;C&gt;1&lt;/C&gt;&lt;D xsi:type="xsd:double"&gt;0.29&lt;/D&gt;&lt;/FQL&gt;&lt;FQL&gt;&lt;Q&gt;OCL-AU^FREF_SHARES_COMPANY(37894,,,,0,"LEGACY")&lt;/Q&gt;&lt;R&gt;1&lt;/R&gt;&lt;C&gt;1&lt;/C&gt;&lt;D xsi:type="xsd:double"&gt;134.834503173828&lt;/D&gt;&lt;/FQL&gt;&lt;FQL&gt;&lt;Q&gt;OCL-AU^FG_PRICE(37925)&lt;/Q&gt;&lt;R&gt;1&lt;/R&gt;&lt;C&gt;1&lt;/C&gt;&lt;D xsi:type="xsd:double"&gt;0.27&lt;/D&gt;&lt;/FQL&gt;&lt;FQL&gt;&lt;Q&gt;OCL-AU^FREF_SHARES_COMPANY(37925,,,,0,"LEGACY")&lt;/Q&gt;&lt;R&gt;1&lt;/R&gt;&lt;C&gt;1&lt;/C&gt;&lt;D xsi:type="xsd:double"&gt;134.834503173828&lt;/D&gt;&lt;/FQL&gt;&lt;FQL&gt;&lt;Q&gt;OCL-AU^FG_PRICE(37953)&lt;/Q&gt;&lt;R&gt;1&lt;/R&gt;&lt;C&gt;1&lt;/C&gt;&lt;D xsi:type="xsd:double"&gt;0.27&lt;/D&gt;&lt;/FQL&gt;&lt;FQL&gt;&lt;Q&gt;OCL-AU^FREF_SHARES_COMPANY(37953,,,,0,"LEGACY")&lt;/Q&gt;&lt;R&gt;1&lt;/R&gt;&lt;C&gt;1&lt;/C&gt;&lt;D xsi:type="xsd:double"&gt;134.834503173828&lt;/D&gt;&lt;/FQL&gt;&lt;FQL&gt;&lt;Q&gt;OCL-AU^FG_PRICE(37986)&lt;/Q&gt;&lt;R&gt;1&lt;/R&gt;&lt;C&gt;1&lt;/C&gt;&lt;D xsi:type="xsd:double"&gt;0.3&lt;/D&gt;&lt;/FQL&gt;&lt;FQL&gt;&lt;Q&gt;OCL-AU^FREF_SHARES_COMPANY(37986,,,,0,"LEGACY")&lt;/Q&gt;&lt;R&gt;1&lt;/R&gt;&lt;C&gt;1&lt;/C&gt;&lt;D xsi:type="xsd:double"&gt;134.834503173828&lt;/D&gt;&lt;/FQL&gt;&lt;FQL&gt;&lt;Q&gt;OCL-AU^FG_PRICE(38016)&lt;/Q&gt;&lt;R&gt;1&lt;/R&gt;&lt;C&gt;1&lt;/C&gt;&lt;D xsi:type="xsd:double"&gt;0.34&lt;/D&gt;&lt;/FQL&gt;&lt;FQL&gt;&lt;Q&gt;OCL-AU^FREF_SHARES_COMPANY(38016,,,,0,"LEGACY")&lt;/Q&gt;&lt;R&gt;1&lt;/R&gt;&lt;C&gt;1&lt;/C&gt;&lt;D xsi:type="xsd:double"&gt;134.834503173828&lt;/D&gt;&lt;/FQL&gt;&lt;FQL&gt;&lt;Q&gt;OCL-AU^FG_PRICE(38044)&lt;/Q&gt;&lt;R&gt;1&lt;/R&gt;&lt;C&gt;1&lt;/C&gt;&lt;D xsi:type="xsd:double"&gt;0.465&lt;/D&gt;&lt;/FQL&gt;&lt;FQL&gt;&lt;Q&gt;OCL-AU^FREF_SHARES_COMPANY(38044,,,,0,"LEGACY")&lt;/Q&gt;&lt;R&gt;1&lt;/R&gt;&lt;C&gt;1&lt;/C&gt;&lt;D xsi:type="xsd:double"&gt;134.834503173828&lt;/D&gt;&lt;/FQL&gt;&lt;FQL&gt;&lt;Q&gt;OCL-AU^FG_PRICE(38077)&lt;/Q&gt;&lt;R&gt;1&lt;/R&gt;&lt;C&gt;1&lt;/C&gt;&lt;D xsi:type="xsd:double"&gt;0.56&lt;/D&gt;&lt;/FQL&gt;&lt;FQL&gt;&lt;Q&gt;OCL-AU^FREF_SHARES_COMPANY(38077,,,,0,"LEGACY")&lt;/Q&gt;&lt;R&gt;1&lt;/R&gt;&lt;C&gt;1&lt;/C&gt;&lt;D xsi:type="xsd:double"&gt;134.834503173828&lt;/D&gt;&lt;/FQL&gt;&lt;FQL&gt;&lt;Q&gt;OCL-AU^FG_PRICE(38107)&lt;/Q&gt;&lt;R&gt;1&lt;/R&gt;&lt;C&gt;1&lt;/C&gt;&lt;D xsi:type="xsd:double"&gt;0.52&lt;/D&gt;&lt;/FQL&gt;&lt;FQL&gt;&lt;Q&gt;OCL-AU^FREF_SHARES_COMPANY(38107,,,,0,"LEGACY")&lt;/Q&gt;&lt;R&gt;1&lt;/R&gt;&lt;C&gt;1&lt;/C&gt;&lt;D xsi:type="xsd:double"&gt;134.834503173828&lt;/D&gt;&lt;/FQL&gt;&lt;FQL&gt;&lt;Q&gt;OCL-AU^FG_PRICE(38138)&lt;/Q&gt;&lt;R&gt;1&lt;/R&gt;&lt;C&gt;1&lt;/C&gt;&lt;D xsi:type="xsd:double"&gt;0.61&lt;/D&gt;&lt;/FQL&gt;&lt;FQL&gt;&lt;Q&gt;OCL-AU^FREF_SHARES_COMPANY(38138,,,,0,"LEGACY")&lt;/Q&gt;&lt;R&gt;1&lt;/R&gt;&lt;C&gt;1&lt;/C&gt;&lt;D xsi:type="xsd:double"&gt;134.834503173828&lt;/D&gt;&lt;/FQL&gt;&lt;FQL&gt;&lt;Q&gt;OCL-AU^FG_PRICE(38168)&lt;/Q&gt;&lt;R&gt;1&lt;/R&gt;&lt;C&gt;1&lt;/C&gt;&lt;D xsi:type="xsd:double"&gt;0.55&lt;/D&gt;&lt;/FQL&gt;&lt;FQL&gt;&lt;Q&gt;OCL-AU^FREF_SHARES_COMPANY(38168,,,,0,"LEGACY")&lt;/Q&gt;&lt;R&gt;1&lt;/R&gt;&lt;C&gt;1&lt;/C&gt;&lt;D xsi:type="xsd:double"&gt;134.834503173828&lt;/D&gt;&lt;/FQL&gt;&lt;FQL&gt;&lt;Q&gt;OCL-AU^FG_PRICE(38198)&lt;/Q&gt;&lt;R&gt;1&lt;/R&gt;&lt;C&gt;1&lt;/C&gt;&lt;D xsi:type="xsd:double"&gt;0.68&lt;/D&gt;&lt;/FQL&gt;&lt;FQL&gt;&lt;Q&gt;OCL-AU^FREF_SHARES_COMPANY(38198,,,,0,"LEGACY")&lt;/Q&gt;&lt;R&gt;1&lt;/R&gt;&lt;C&gt;1&lt;/C&gt;&lt;D xsi:type="xsd:double"&gt;134.834503173828&lt;/D&gt;&lt;/FQL&gt;&lt;FQL&gt;&lt;Q&gt;OCL-AU^FG_PRICE(38230)&lt;/Q&gt;&lt;R&gt;1&lt;/R&gt;&lt;C&gt;1&lt;/C&gt;&lt;D xsi:type="xsd:double"&gt;0.9&lt;/D&gt;&lt;/FQL&gt;&lt;FQL&gt;&lt;Q&gt;OCL-AU^FREF_SHARES_COMPANY(38230,,,,0,"LEGACY")&lt;/Q&gt;&lt;R&gt;1&lt;/R&gt;&lt;C&gt;1&lt;/C&gt;&lt;D xsi:type="xsd:double"&gt;134.834503173828&lt;/D&gt;&lt;/FQL&gt;&lt;FQL&gt;&lt;Q&gt;OCL-AU^FG_PRICE(38260)&lt;/Q&gt;&lt;R&gt;1&lt;/R&gt;&lt;C&gt;1&lt;/C&gt;&lt;D xsi:type="xsd:double"&gt;0.9&lt;/D&gt;&lt;/FQL&gt;&lt;FQL&gt;&lt;Q&gt;OCL-AU^FREF_SHARES_COMPANY(38260,,,,0,"LEGACY")&lt;/Q&gt;&lt;R&gt;1&lt;/R&gt;&lt;C&gt;1&lt;/C&gt;&lt;D xsi:type="xsd:double"&gt;135.03450012207&lt;/D&gt;&lt;/FQL&gt;&lt;FQL&gt;&lt;Q&gt;OCL-AU^FG_PRICE(38289)&lt;/Q&gt;&lt;R&gt;1&lt;/R&gt;&lt;C&gt;1&lt;/C&gt;&lt;D xsi:type="xsd:double"&gt;0.96&lt;/D&gt;&lt;/FQL&gt;&lt;FQL&gt;&lt;Q&gt;OCL-AU^FREF_SHARES_COMPANY(38289,,,,0,"LEGACY")&lt;/Q&gt;&lt;R&gt;1&lt;/R&gt;&lt;C&gt;1&lt;/C&gt;&lt;D xsi:type="xsd:double"&gt;135.058502197266&lt;/D&gt;&lt;/FQL&gt;&lt;FQL&gt;&lt;Q&gt;OCL-AU^FG_PRICE(38321)&lt;/Q&gt;&lt;R&gt;1&lt;/R&gt;&lt;C&gt;1&lt;/C&gt;&lt;D xsi:type="xsd:double"&gt;0.93&lt;/D&gt;&lt;/FQL&gt;&lt;FQL&gt;&lt;Q&gt;OCL-AU^FREF_SHARES_COMPANY(38321,,,,0,"LEGACY")&lt;/Q&gt;&lt;R&gt;1&lt;/R&gt;&lt;C&gt;1&lt;/C&gt;&lt;D xsi:type="xsd:double"&gt;135.174499511719&lt;/D&gt;&lt;/FQL&gt;&lt;FQL&gt;&lt;Q&gt;OCL-AU^FG_PRICE(38352)&lt;/Q&gt;&lt;R&gt;1&lt;/R&gt;&lt;C&gt;1&lt;/C&gt;&lt;D xsi:type="xsd:double"&gt;0.89&lt;/D&gt;&lt;/FQL&gt;&lt;FQL&gt;&lt;Q&gt;OCL-AU^FREF_SHARES_COMPANY(38352,,,,0,"LEGACY")&lt;/Q&gt;&lt;R&gt;1&lt;/R&gt;&lt;C&gt;1&lt;/C&gt;&lt;D xsi:type="xsd:double"&gt;135.300506591797&lt;/D&gt;&lt;/FQL&gt;&lt;FQL&gt;&lt;Q&gt;OCL-AU^FG_PRICE(38383)&lt;/Q&gt;&lt;R&gt;1&lt;/R&gt;&lt;C&gt;1&lt;/C&gt;&lt;D xsi:type="xsd:double"&gt;0.8&lt;/D&gt;&lt;/FQL&gt;&lt;FQL&gt;&lt;Q&gt;OCL-AU^FREF_SHARES_COMPANY(38383,,,,0,"LEGACY")&lt;/Q&gt;&lt;R&gt;1&lt;/R&gt;&lt;C&gt;1&lt;/C&gt;&lt;D xsi:type="xsd:double"&gt;135.300506591797&lt;/D&gt;&lt;/FQL&gt;&lt;FQL&gt;&lt;Q&gt;OCL-AU^FG_PRICE(38411)&lt;/Q&gt;&lt;R&gt;1&lt;/R&gt;&lt;C&gt;1&lt;/C&gt;&lt;D xsi:type="xsd:double"&gt;0.9&lt;/D&gt;&lt;/FQL&gt;&lt;FQL&gt;&lt;Q&gt;OCL-AU^FREF_SHARES_COMPANY(38411,,,,0,"LEGACY")&lt;/Q&gt;&lt;R&gt;1&lt;/R&gt;&lt;C&gt;1&lt;/C&gt;&lt;D xsi:type="xsd:double"&gt;135.326507568359&lt;/D&gt;&lt;/FQL&gt;&lt;FQL&gt;&lt;Q&gt;OCL-AU^FG_PRICE(38442)&lt;/Q&gt;&lt;R&gt;1&lt;/R&gt;&lt;C&gt;1&lt;/C&gt;&lt;D xsi:type="xsd:double"&gt;0.9&lt;/D&gt;&lt;/FQL&gt;&lt;FQL&gt;&lt;Q&gt;OCL-AU^FREF_SHARES_COMPANY(38442,,,,0,"LEGACY")&lt;/Q&gt;&lt;R&gt;1&lt;/R&gt;&lt;C&gt;1&lt;/C&gt;&lt;D xsi:type="xsd:double"&gt;135.326507568359&lt;/D&gt;&lt;/FQL&gt;&lt;FQL&gt;&lt;Q&gt;OCL-AU^FG_PRICE(38471)&lt;/Q&gt;&lt;R&gt;1&lt;/R&gt;&lt;C&gt;1&lt;/C&gt;&lt;D xsi:type="xsd:double"&gt;0.93&lt;/D&gt;&lt;/FQL&gt;&lt;FQL&gt;&lt;Q&gt;OCL-AU^FREF_SHARES_COMPANY(38471,,,,0,"LEGACY")&lt;/Q&gt;&lt;R&gt;1&lt;/R&gt;&lt;C&gt;1&lt;/C&gt;&lt;D xsi:type="xsd:double"&gt;135.446502685547&lt;/D&gt;&lt;/FQL&gt;&lt;FQL&gt;&lt;Q&gt;OCL-AU^FG_PRICE(38503)&lt;/Q&gt;&lt;R&gt;1&lt;/R&gt;&lt;C&gt;1&lt;/C&gt;&lt;D xsi:type="xsd:double"&gt;0.975&lt;/D&gt;&lt;/FQL&gt;&lt;FQL&gt;&lt;Q&gt;OCL-AU^FREF_SHARES_COMPANY(38503,,,,0,"LEGACY")&lt;/Q&gt;&lt;R&gt;1&lt;/R&gt;&lt;C&gt;1&lt;/C&gt;&lt;D xsi:type="xsd:double"&gt;135.449020385742&lt;/D&gt;&lt;/FQL&gt;&lt;FQL&gt;&lt;Q&gt;OCL-AU^FG_PRICE(38533)&lt;/Q&gt;&lt;R&gt;1&lt;/R&gt;&lt;C&gt;1&lt;/C&gt;&lt;D xsi:type="xsd:double"&gt;0.99&lt;/D&gt;&lt;/FQL&gt;&lt;FQL&gt;&lt;Q&gt;OCL-AU^FREF_SHARES_COMPANY(38533,,,,0,"LEGACY")&lt;/Q&gt;&lt;R&gt;1&lt;/R&gt;&lt;C&gt;1&lt;/C&gt;&lt;D xsi:type="xsd:double"&gt;135.449020385742&lt;/D&gt;&lt;/FQL&gt;&lt;FQL&gt;&lt;Q&gt;OCL-AU^FG_PRICE(38562)&lt;/Q&gt;&lt;R&gt;1&lt;/R&gt;&lt;C&gt;1&lt;/C&gt;&lt;D xsi:type="xsd:double"&gt;1.17&lt;/D&gt;&lt;/FQL&gt;&lt;FQL&gt;&lt;Q&gt;OCL-AU^FREF_SHARES_COMPANY(38562,,,,0,"LEGACY")&lt;/Q&gt;&lt;R&gt;1&lt;/R&gt;&lt;C&gt;1&lt;/C&gt;&lt;D xsi:type="xsd:double"&gt;135.449020385742&lt;/D&gt;&lt;/FQL&gt;&lt;FQL&gt;&lt;Q&gt;OCL-AU^FG_PRICE(38595)&lt;/Q&gt;&lt;R&gt;1&lt;/R&gt;&lt;C&gt;1&lt;/C&gt;&lt;D xsi:type="xsd:double"&gt;1.4300001&lt;/D&gt;&lt;/FQL&gt;&lt;FQL&gt;&lt;Q&gt;OCL-AU^FREF_SHARES_COMPANY(38595,,,,0,"LEGACY")&lt;/Q&gt;&lt;R&gt;1&lt;/R&gt;&lt;C&gt;1&lt;/C&gt;&lt;D xsi:type="xsd:double"&gt;135.473999023438&lt;/D&gt;&lt;/FQL&gt;&lt;FQL&gt;&lt;Q&gt;OCL-AU^FG_PRICE(38625)&lt;/Q&gt;&lt;R&gt;1&lt;/R&gt;&lt;C&gt;1&lt;/C&gt;&lt;D xsi:type="xsd:double"&gt;1.6800001&lt;/D&gt;&lt;/FQL&gt;&lt;FQL&gt;&lt;Q&gt;OCL-AU^FREF_SHARES_COMPANY(38625,,,,0,"LEGACY")&lt;/Q&gt;&lt;R&gt;1&lt;/R&gt;&lt;C&gt;1&lt;/C&gt;&lt;D xsi:type="xsd:double"&gt;135.473999023438&lt;/D&gt;&lt;/FQL&gt;&lt;FQL&gt;&lt;Q&gt;OCL-AU^FG_PRICE(38656)&lt;/Q&gt;&lt;R&gt;1&lt;/R&gt;&lt;C&gt;1&lt;/C&gt;&lt;D xsi:type="xsd:double"&gt;1.72&lt;/D&gt;&lt;/FQL&gt;&lt;FQL&gt;&lt;Q&gt;OCL-AU^FREF_SHARES_COMPANY(38656,,,,0,"LEGACY")&lt;/Q&gt;&lt;R&gt;1&lt;/R&gt;&lt;C&gt;1&lt;/C&gt;&lt;D xsi:</t>
        </r>
      </text>
    </comment>
    <comment ref="A2" authorId="0" shapeId="0" xr:uid="{BB1CD082-670B-4290-A5B8-C60A392F0645}">
      <text>
        <r>
          <rPr>
            <b/>
            <sz val="9"/>
            <color indexed="81"/>
            <rFont val="Tahoma"/>
            <charset val="1"/>
          </rPr>
          <t>type="xsd:double"&gt;135.571502685547&lt;/D&gt;&lt;/FQL&gt;&lt;FQL&gt;&lt;Q&gt;OCL-AU^FG_PRICE(38686)&lt;/Q&gt;&lt;R&gt;1&lt;/R&gt;&lt;C&gt;1&lt;/C&gt;&lt;D xsi:type="xsd:double"&gt;1.6&lt;/D&gt;&lt;/FQL&gt;&lt;FQL&gt;&lt;Q&gt;OCL-AU^FREF_SHARES_COMPANY(38686,,,,0,"LEGACY")&lt;/Q&gt;&lt;R&gt;1&lt;/R&gt;&lt;C&gt;1&lt;/C&gt;&lt;D xsi:type="xsd:double"&gt;135.571502685547&lt;/D&gt;&lt;/FQL&gt;&lt;FQL&gt;&lt;Q&gt;OCL-AU^FG_PRICE(38716)&lt;/Q&gt;&lt;R&gt;1&lt;/R&gt;&lt;C&gt;1&lt;/C&gt;&lt;D xsi:type="xsd:double"&gt;1.6&lt;/D&gt;&lt;/FQL&gt;&lt;FQL&gt;&lt;Q&gt;OCL-AU^FREF_SHARES_COMPANY(38716,,,,0,"LEGACY")&lt;/Q&gt;&lt;R&gt;1&lt;/R&gt;&lt;C&gt;1&lt;/C&gt;&lt;D xsi:type="xsd:double"&gt;135.595504760742&lt;/D&gt;&lt;/FQL&gt;&lt;FQL&gt;&lt;Q&gt;OCL-AU^FG_PRICE(38748)&lt;/Q&gt;&lt;R&gt;1&lt;/R&gt;&lt;C&gt;1&lt;/C&gt;&lt;D xsi:type="xsd:double"&gt;1.8000001&lt;/D&gt;&lt;/FQL&gt;&lt;FQL&gt;&lt;Q&gt;OCL-AU^FREF_SHARES_COMPANY(38748,,,,0,"LEGACY")&lt;/Q&gt;&lt;R&gt;1&lt;/R&gt;&lt;C&gt;1&lt;/C&gt;&lt;D xsi:type="xsd:double"&gt;135.595504760742&lt;/D&gt;&lt;/FQL&gt;&lt;FQL&gt;&lt;Q&gt;OCL-AU^FG_PRICE(38776)&lt;/Q&gt;&lt;R&gt;1&lt;/R&gt;&lt;C&gt;1&lt;/C&gt;&lt;D xsi:type="xsd:double"&gt;1.6&lt;/D&gt;&lt;/FQL&gt;&lt;FQL&gt;&lt;Q&gt;OCL-AU^FREF_SHARES_COMPANY(38776,,,,0,"LEGACY")&lt;/Q&gt;&lt;R&gt;1&lt;/R&gt;&lt;C&gt;1&lt;/C&gt;&lt;D xsi:type="xsd:double"&gt;135.595504760742&lt;/D&gt;&lt;/FQL&gt;&lt;FQL&gt;&lt;Q&gt;OCL-AU^FG_PRICE(38807)&lt;/Q&gt;&lt;R&gt;1&lt;/R&gt;&lt;C&gt;1&lt;/C&gt;&lt;D xsi:type="xsd:double"&gt;1.5&lt;/D&gt;&lt;/FQL&gt;&lt;FQL&gt;&lt;Q&gt;OCL-AU^FREF_SHARES_COMPANY(38807,,,,0,"LEGACY")&lt;/Q&gt;&lt;R&gt;1&lt;/R&gt;&lt;C&gt;1&lt;/C&gt;&lt;D xsi:type="xsd:double"&gt;135.595504760742&lt;/D&gt;&lt;/FQL&gt;&lt;FQL&gt;&lt;Q&gt;OCL-AU^FG_PRICE(38835)&lt;/Q&gt;&lt;R&gt;1&lt;/R&gt;&lt;C&gt;1&lt;/C&gt;&lt;D xsi:type="xsd:double"&gt;1.375&lt;/D&gt;&lt;/FQL&gt;&lt;FQL&gt;&lt;Q&gt;OCL-AU^FREF_SHARES_COMPANY(38835,,,,0,"LEGACY")&lt;/Q&gt;&lt;R&gt;1&lt;/R&gt;&lt;C&gt;1&lt;/C&gt;&lt;D xsi:type="xsd:double"&gt;135.595504760742&lt;/D&gt;&lt;/FQL&gt;&lt;FQL&gt;&lt;Q&gt;OCL-AU^FG_PRICE(38868)&lt;/Q&gt;&lt;R&gt;1&lt;/R&gt;&lt;C&gt;1&lt;/C&gt;&lt;D xsi:type="xsd:double"&gt;1.3000001&lt;/D&gt;&lt;/FQL&gt;&lt;FQL&gt;&lt;Q&gt;OCL-AU^FREF_SHARES_COMPANY(38868,,,,0,"LEGACY")&lt;/Q&gt;&lt;R&gt;1&lt;/R&gt;&lt;C&gt;1&lt;/C&gt;&lt;D xsi:type="xsd:double"&gt;135.615493774414&lt;/D&gt;&lt;/FQL&gt;&lt;FQL&gt;&lt;Q&gt;OCL-AU^FG_PRICE(38898)&lt;/Q&gt;&lt;R&gt;1&lt;/R&gt;&lt;C&gt;1&lt;/C&gt;&lt;D xsi:type="xsd:double"&gt;1.4&lt;/D&gt;&lt;/FQL&gt;&lt;FQL&gt;&lt;Q&gt;OCL-AU^FREF_SHARES_COMPANY(38898,,,,0,"LEGACY")&lt;/Q&gt;&lt;R&gt;1&lt;/R&gt;&lt;C&gt;1&lt;/C&gt;&lt;D xsi:type="xsd:double"&gt;135.615493774414&lt;/D&gt;&lt;/FQL&gt;&lt;FQL&gt;&lt;Q&gt;OCL-AU^FG_PRICE(38929)&lt;/Q&gt;&lt;R&gt;1&lt;/R&gt;&lt;C&gt;1&lt;/C&gt;&lt;D xsi:type="xsd:double"&gt;1.05&lt;/D&gt;&lt;/FQL&gt;&lt;FQL&gt;&lt;Q&gt;OCL-AU^FREF_SHARES_COMPANY(38929,,,,0,"LEGACY")&lt;/Q&gt;&lt;R&gt;1&lt;/R&gt;&lt;C&gt;1&lt;/C&gt;&lt;D xsi:type="xsd:double"&gt;135.615493774414&lt;/D&gt;&lt;/FQL&gt;&lt;FQL&gt;&lt;Q&gt;OCL-AU^FG_PRICE(38960)&lt;/Q&gt;&lt;R&gt;1&lt;/R&gt;&lt;C&gt;1&lt;/C&gt;&lt;D xsi:type="xsd:double"&gt;1.15&lt;/D&gt;&lt;/FQL&gt;&lt;FQL&gt;&lt;Q&gt;OCL-AU^FREF_SHARES_COMPANY(38960,,,,0,"LEGACY")&lt;/Q&gt;&lt;R&gt;1&lt;/R&gt;&lt;C&gt;1&lt;/C&gt;&lt;D xsi:type="xsd:double"&gt;135.710494995117&lt;/D&gt;&lt;/FQL&gt;&lt;FQL&gt;&lt;Q&gt;OCL-AU^FG_PRICE(38989)&lt;/Q&gt;&lt;R&gt;1&lt;/R&gt;&lt;C&gt;1&lt;/C&gt;&lt;D xsi:type="xsd:double"&gt;0.995&lt;/D&gt;&lt;/FQL&gt;&lt;FQL&gt;&lt;Q&gt;OCL-AU^FREF_SHARES_COMPANY(38989,,,,0,"LEGACY")&lt;/Q&gt;&lt;R&gt;1&lt;/R&gt;&lt;C&gt;1&lt;/C&gt;&lt;D xsi:type="xsd:double"&gt;135.710494995117&lt;/D&gt;&lt;/FQL&gt;&lt;FQL&gt;&lt;Q&gt;OCL-AU^FG_PRICE(39021)&lt;/Q&gt;&lt;R&gt;1&lt;/R&gt;&lt;C&gt;1&lt;/C&gt;&lt;D xsi:type="xsd:double"&gt;0.965&lt;/D&gt;&lt;/FQL&gt;&lt;FQL&gt;&lt;Q&gt;OCL-AU^FREF_SHARES_COMPANY(39021,,,,0,"LEGACY")&lt;/Q&gt;&lt;R&gt;1&lt;/R&gt;&lt;C&gt;1&lt;/C&gt;&lt;D xsi:type="xsd:double"&gt;135.723022460938&lt;/D&gt;&lt;/FQL&gt;&lt;FQL&gt;&lt;Q&gt;OCL-AU^FG_PRICE(39051)&lt;/Q&gt;&lt;R&gt;1&lt;/R&gt;&lt;C&gt;1&lt;/C&gt;&lt;D xsi:type="xsd:double"&gt;0.955&lt;/D&gt;&lt;/FQL&gt;&lt;FQL&gt;&lt;Q&gt;OCL-AU^FREF_SHARES_COMPANY(39051,,,,0,"LEGACY")&lt;/Q&gt;&lt;R&gt;1&lt;/R&gt;&lt;C&gt;1&lt;/C&gt;&lt;D xsi:type="xsd:double"&gt;135.733016967773&lt;/D&gt;&lt;/FQL&gt;&lt;FQL&gt;&lt;Q&gt;OCL-AU^FG_PRICE(39080)&lt;/Q&gt;&lt;R&gt;1&lt;/R&gt;&lt;C&gt;1&lt;/C&gt;&lt;D xsi:type="xsd:double"&gt;0.81&lt;/D&gt;&lt;/FQL&gt;&lt;FQL&gt;&lt;Q&gt;OCL-AU^FREF_SHARES_COMPANY(39080,,,,0,"LEGACY")&lt;/Q&gt;&lt;R&gt;1&lt;/R&gt;&lt;C&gt;1&lt;/C&gt;&lt;D xsi:type="xsd:double"&gt;135.733016967773&lt;/D&gt;&lt;/FQL&gt;&lt;FQL&gt;&lt;Q&gt;OCL-AU^FG_PRICE(39113)&lt;/Q&gt;&lt;R&gt;1&lt;/R&gt;&lt;C&gt;1&lt;/C&gt;&lt;D xsi:type="xsd:double"&gt;0.65&lt;/D&gt;&lt;/FQL&gt;&lt;FQL&gt;&lt;Q&gt;OCL-AU^FREF_SHARES_COMPANY(39113,,,,0,"LEGACY")&lt;/Q&gt;&lt;R&gt;1&lt;/R&gt;&lt;C&gt;1&lt;/C&gt;&lt;D xsi:type="xsd:double"&gt;135.733016967773&lt;/D&gt;&lt;/FQL&gt;&lt;FQL&gt;&lt;Q&gt;OCL-AU^FG_PRICE(39141)&lt;/Q&gt;&lt;R&gt;1&lt;/R&gt;&lt;C&gt;1&lt;/C&gt;&lt;D xsi:type="xsd:double"&gt;0.63&lt;/D&gt;&lt;/FQL&gt;&lt;FQL&gt;&lt;Q&gt;OCL-AU^FREF_SHARES_COMPANY(39141,,,,0,"LEGACY")&lt;/Q&gt;&lt;R&gt;1&lt;/R&gt;&lt;C&gt;1&lt;/C&gt;&lt;D xsi:type="xsd:double"&gt;135.733016967773&lt;/D&gt;&lt;/FQL&gt;&lt;FQL&gt;&lt;Q&gt;OCL-AU^FG_PRICE(39171)&lt;/Q&gt;&lt;R&gt;1&lt;/R&gt;&lt;C&gt;1&lt;/C&gt;&lt;D xsi:type="xsd:double"&gt;0.525&lt;/D&gt;&lt;/FQL&gt;&lt;FQL&gt;&lt;Q&gt;OCL-AU^FREF_SHARES_COMPANY(39171,,,,0,"LEGACY")&lt;/Q&gt;&lt;R&gt;1&lt;/R&gt;&lt;C&gt;1&lt;/C&gt;&lt;D xsi:type="xsd:double"&gt;135.733016967773&lt;/D&gt;&lt;/FQL&gt;&lt;FQL&gt;&lt;Q&gt;OCL-AU^FG_PRICE(39202)&lt;/Q&gt;&lt;R&gt;1&lt;/R&gt;&lt;C&gt;1&lt;/C&gt;&lt;D xsi:type="xsd:double"&gt;0.525&lt;/D&gt;&lt;/FQL&gt;&lt;FQL&gt;&lt;Q&gt;OCL-AU^FREF_SHARES_COMPANY(39202,,,,0,"LEGACY")&lt;/Q&gt;&lt;R&gt;1&lt;/R&gt;&lt;C&gt;1&lt;/C&gt;&lt;D xsi:type="xsd:double"&gt;135.733016967773&lt;/D&gt;&lt;/FQL&gt;&lt;FQL&gt;&lt;Q&gt;OCL-AU^FG_PRICE(39233)&lt;/Q&gt;&lt;R&gt;1&lt;/R&gt;&lt;C&gt;1&lt;/C&gt;&lt;D xsi:type="xsd:double"&gt;0.61&lt;/D&gt;&lt;/FQL&gt;&lt;FQL&gt;&lt;Q&gt;OCL-AU^FREF_SHARES_COMPANY(39233,,,,0,"LEGACY")&lt;/Q&gt;&lt;R&gt;1&lt;/R&gt;&lt;C&gt;1&lt;/C&gt;&lt;D xsi:type="xsd:double"&gt;135.733016967773&lt;/D&gt;&lt;/FQL&gt;&lt;FQL&gt;&lt;Q&gt;OCL-AU^FG_PRICE(39262)&lt;/Q&gt;&lt;R&gt;1&lt;/R&gt;&lt;C&gt;1&lt;/C&gt;&lt;D xsi:type="xsd:double"&gt;0.76&lt;/D&gt;&lt;/FQL&gt;&lt;FQL&gt;&lt;Q&gt;OCL-AU^FREF_SHARES_COMPANY(39262,,,,0,"LEGACY")&lt;/Q&gt;&lt;R&gt;1&lt;/R&gt;&lt;C&gt;1&lt;/C&gt;&lt;D xsi:type="xsd:double"&gt;135.733016967773&lt;/D&gt;&lt;/FQL&gt;&lt;FQL&gt;&lt;Q&gt;OCL-AU^FG_PRICE(39294)&lt;/Q&gt;&lt;R&gt;1&lt;/R&gt;&lt;C&gt;1&lt;/C&gt;&lt;D xsi:type="xsd:double"&gt;0.69&lt;/D&gt;&lt;/FQL&gt;&lt;FQL&gt;&lt;Q&gt;OCL-AU^FREF_SHARES_COMPANY(39294,,,,0,"LEGACY")&lt;/Q&gt;&lt;R&gt;1&lt;/R&gt;&lt;C&gt;1&lt;/C&gt;&lt;D xsi:type="xsd:double"&gt;135.733016967773&lt;/D&gt;&lt;/FQL&gt;&lt;FQL&gt;&lt;Q&gt;OCL-AU^FG_PRICE(39325)&lt;/Q&gt;&lt;R&gt;1&lt;/R&gt;&lt;C&gt;1&lt;/C&gt;&lt;D xsi:type="xsd:double"&gt;0.55&lt;/D&gt;&lt;/FQL&gt;&lt;FQL&gt;&lt;Q&gt;OCL-AU^FREF_SHARES_COMPANY(39325,,,,0,"LEGACY")&lt;/Q&gt;&lt;R&gt;1&lt;/R&gt;&lt;C&gt;1&lt;/C&gt;&lt;D xsi:type="xsd:double"&gt;135.732986450195&lt;/D&gt;&lt;/FQL&gt;&lt;FQL&gt;&lt;Q&gt;OCL-AU^FG_PRICE(39353)&lt;/Q&gt;&lt;R&gt;1&lt;/R&gt;&lt;C&gt;1&lt;/C&gt;&lt;D xsi:type="xsd:double"&gt;0.6&lt;/D&gt;&lt;/FQL&gt;&lt;FQL&gt;&lt;Q&gt;OCL-AU^FREF_SHARES_COMPANY(39353,,,,0,"LEGACY")&lt;/Q&gt;&lt;R&gt;1&lt;/R&gt;&lt;C&gt;1&lt;/C&gt;&lt;D xsi:type="xsd:double"&gt;135.732986450195&lt;/D&gt;&lt;/FQL&gt;&lt;FQL&gt;&lt;Q&gt;OCL-AU^FG_PRICE(39386)&lt;/Q&gt;&lt;R&gt;1&lt;/R&gt;&lt;C&gt;1&lt;/C&gt;&lt;D xsi:type="xsd:double"&gt;0.5&lt;/D&gt;&lt;/FQL&gt;&lt;FQL&gt;&lt;Q&gt;OCL-AU^FREF_SHARES_COMPANY(39386,,,,0,"LEGACY")&lt;/Q&gt;&lt;R&gt;1&lt;/R&gt;&lt;C&gt;1&lt;/C&gt;&lt;D xsi:type="xsd:double"&gt;135.732986450195&lt;/D&gt;&lt;/FQL&gt;&lt;FQL&gt;&lt;Q&gt;OCL-AU^FG_PRICE(39416)&lt;/Q&gt;&lt;R&gt;1&lt;/R&gt;&lt;C&gt;1&lt;/C&gt;&lt;D xsi:type="xsd:double"&gt;0.42&lt;/D&gt;&lt;/FQL&gt;&lt;FQL&gt;&lt;Q&gt;OCL-AU^FREF_SHARES_COMPANY(39416,,,,0,"LEGACY")&lt;/Q&gt;&lt;R&gt;1&lt;/R&gt;&lt;C&gt;1&lt;/C&gt;&lt;D xsi:type="xsd:double"&gt;135.732986450195&lt;/D&gt;&lt;/FQL&gt;&lt;FQL&gt;&lt;Q&gt;OCL-AU^FG_PRICE(39447)&lt;/Q&gt;&lt;R&gt;1&lt;/R&gt;&lt;C&gt;1&lt;/C&gt;&lt;D xsi:type="xsd:double"&gt;0.39&lt;/D&gt;&lt;/FQL&gt;&lt;FQL&gt;&lt;Q&gt;OCL-AU^FREF_SHARES_COMPANY(39447,,,,0,"LEGACY")&lt;/Q&gt;&lt;R&gt;1&lt;/R&gt;&lt;C&gt;1&lt;/C&gt;&lt;D xsi:type="xsd:double"&gt;135.983016967773&lt;/D&gt;&lt;/FQL&gt;&lt;FQL&gt;&lt;Q&gt;OCL-AU^FG_PRICE(39478)&lt;/Q&gt;&lt;R&gt;1&lt;/R&gt;&lt;C&gt;1&lt;/C&gt;&lt;D xsi:type="xsd:double"&gt;0.38&lt;/D&gt;&lt;/FQL&gt;&lt;FQL&gt;&lt;Q&gt;OCL-AU^FREF_SHARES_COMPANY(39478,,,,0,"LEGACY")&lt;/Q&gt;&lt;R&gt;1&lt;/R&gt;&lt;C&gt;1&lt;/C&gt;&lt;D xsi:type="xsd:double"&gt;135.983016967773&lt;/D&gt;&lt;/FQL&gt;&lt;FQL&gt;&lt;Q&gt;OCL-AU^FG_PRICE(39507)&lt;/Q&gt;&lt;R&gt;1&lt;/R&gt;&lt;C&gt;1&lt;/C&gt;&lt;D xsi:type="xsd:double"&gt;0.28&lt;/D&gt;&lt;/FQL&gt;&lt;FQL&gt;&lt;Q&gt;OCL-AU^FREF_SHARES_COMPANY(39507,,,,0,"LEGACY")&lt;/Q&gt;&lt;R&gt;1&lt;/R&gt;&lt;C&gt;1&lt;/C&gt;&lt;D xsi:type="xsd:double"&gt;135.983016967773&lt;/D&gt;&lt;/FQL&gt;&lt;FQL&gt;&lt;Q&gt;OCL-AU^FG_PRICE(39538)&lt;/Q&gt;&lt;R&gt;1&lt;/R&gt;&lt;C&gt;1&lt;/C&gt;&lt;D xsi:type="xsd:double"&gt;0.33&lt;/D&gt;&lt;/FQL&gt;&lt;FQL&gt;&lt;Q&gt;OCL-AU^FREF_SHARES_COMPANY(39538,,,,0,"LEGACY")&lt;/Q&gt;&lt;R&gt;1&lt;/R&gt;&lt;C&gt;1&lt;/C&gt;&lt;D xsi:type="xsd:double"&gt;135.732986450195&lt;/D&gt;&lt;/FQL&gt;&lt;FQL&gt;&lt;Q&gt;OCL-AU^FG_PRICE(39568)&lt;/Q&gt;&lt;R&gt;1&lt;/R&gt;&lt;C&gt;1&lt;/C&gt;&lt;D xsi:type="xsd:double"&gt;0.35&lt;/D&gt;&lt;/FQL&gt;&lt;FQL&gt;&lt;Q&gt;OCL-AU^FREF_SHARES_COMPANY(39568,,,,0,"LEGACY")&lt;/Q&gt;&lt;R&gt;1&lt;/R&gt;&lt;C&gt;1&lt;/C&gt;&lt;D xsi:type="xsd:double"&gt;135.732986450195&lt;/D&gt;&lt;/FQL&gt;&lt;FQL&gt;&lt;Q&gt;OCL-AU^FG_PRICE(39598)&lt;/Q&gt;&lt;R&gt;1&lt;/R&gt;&lt;C&gt;1&lt;/C&gt;&lt;D xsi:type="xsd:double"&gt;0.375&lt;/D&gt;&lt;/FQL&gt;&lt;FQL&gt;&lt;Q&gt;OCL-AU^FREF_SHARES_COMPANY(39598,,,,0,"LEGACY")&lt;/Q&gt;&lt;R&gt;1&lt;/R&gt;&lt;C&gt;1&lt;/C&gt;&lt;D xsi:type="xsd:double"&gt;135.732986450195&lt;/D&gt;&lt;/FQL&gt;&lt;FQL&gt;&lt;Q&gt;OCL-AU^FG_PRICE(39629)&lt;/Q&gt;&lt;R&gt;1&lt;/R&gt;&lt;C&gt;1&lt;/C&gt;&lt;D xsi:type="xsd:double"&gt;0.365&lt;/D&gt;&lt;/FQL&gt;&lt;FQL&gt;&lt;Q&gt;OCL-AU^FREF_SHARES_COMPANY(39629,,,,0,"LEGACY")&lt;/Q&gt;&lt;R&gt;1&lt;/R&gt;&lt;C&gt;1&lt;/C&gt;&lt;D xsi:type="xsd:double"&gt;135.732986450195&lt;/D&gt;&lt;/FQL&gt;&lt;FQL&gt;&lt;Q&gt;OCL-AU^FG_PRICE(39660)&lt;/Q&gt;&lt;R&gt;1&lt;/R&gt;&lt;C&gt;1&lt;/C&gt;&lt;D xsi:type="xsd:double"&gt;0.3&lt;/D&gt;&lt;/FQL&gt;&lt;FQL&gt;&lt;Q&gt;OCL-AU^FREF_SHARES_COMPANY(39660,,,,0,"LEGACY")&lt;/Q&gt;&lt;R&gt;1&lt;/R&gt;&lt;C&gt;1&lt;/C&gt;&lt;D xsi:type="xsd:double"&gt;135.732986450195&lt;/D&gt;&lt;/FQL&gt;&lt;FQL&gt;&lt;Q&gt;OCL-AU^FG_PRICE(39689)&lt;/Q&gt;&lt;R&gt;1&lt;/R&gt;&lt;C&gt;1&lt;/C&gt;&lt;D xsi:type="xsd:double"&gt;0.35&lt;/D&gt;&lt;/FQL&gt;&lt;FQL&gt;&lt;Q&gt;OCL-AU^FREF_SHARES_COMPANY(39689,,,,0,"LEGACY")&lt;/Q&gt;&lt;R&gt;1&lt;/R&gt;&lt;C&gt;1&lt;/C&gt;&lt;D xsi:type="xsd:double"&gt;135.732986450195&lt;/D&gt;&lt;/FQL&gt;&lt;FQL&gt;&lt;Q&gt;OCL-AU^FG_PRICE(39721)&lt;/Q&gt;&lt;R&gt;1&lt;/R&gt;&lt;C&gt;1&lt;/C&gt;&lt;D xsi:type="xsd:double"&gt;0.3&lt;/D&gt;&lt;/FQL&gt;&lt;FQL&gt;&lt;Q&gt;OCL-AU^FREF_SHARES_COMPANY(39721,,,,0,"LEGACY")&lt;/Q&gt;&lt;R&gt;1&lt;/R&gt;&lt;C&gt;1&lt;/C&gt;&lt;D xsi:type="xsd:double"&gt;135.732986450195&lt;/D&gt;&lt;/FQL&gt;&lt;FQL&gt;&lt;Q&gt;OCL-AU^FG_PRICE(39752)&lt;/Q&gt;&lt;R&gt;1&lt;/R&gt;&lt;C&gt;1&lt;/C&gt;&lt;D xsi:type="xsd:double"&gt;0.2&lt;/D&gt;&lt;/FQL&gt;&lt;FQL&gt;&lt;Q&gt;OCL-AU^FREF_SHARES_COMPANY(39752,,,,0,"LEGACY")&lt;/Q&gt;&lt;R&gt;1&lt;/R&gt;&lt;C&gt;1&lt;/C&gt;&lt;D xsi:type="xsd:double"&gt;135.732986450195&lt;/D&gt;&lt;/FQL&gt;&lt;FQL&gt;&lt;Q&gt;OCL-AU^FG_PRICE(39780)&lt;/Q&gt;&lt;R&gt;1&lt;/R&gt;&lt;C&gt;1&lt;/C&gt;&lt;D xsi:type="xsd:double"&gt;0.2&lt;/D&gt;&lt;/FQL&gt;&lt;FQL&gt;&lt;Q&gt;OCL-AU^FREF_SHARES_COMPANY(39780,,,,0,"LEGACY")&lt;/Q&gt;&lt;R&gt;1&lt;/R&gt;&lt;C&gt;1&lt;/C&gt;&lt;D xsi:type="xsd:double"&gt;134.455123901367&lt;/D&gt;&lt;/FQL&gt;&lt;FQL&gt;&lt;Q&gt;OCL-AU^FG_PRICE(39813)&lt;/Q&gt;&lt;R&gt;1&lt;/R&gt;&lt;C&gt;1&lt;/C&gt;&lt;D xsi:type="xsd:double"&gt;0.205&lt;/D&gt;&lt;/FQL&gt;&lt;FQL&gt;&lt;Q&gt;OCL-AU^FREF_SHARES_COMPANY(39813,,,,0,"LEGACY")&lt;/Q&gt;&lt;R&gt;1&lt;/R&gt;&lt;C&gt;1&lt;/C&gt;&lt;D xsi:type="xsd:double"&gt;134.330139160156&lt;/D&gt;&lt;/FQL&gt;&lt;FQL&gt;&lt;Q&gt;OCL-AU^FG_PRICE(39843)&lt;/Q&gt;&lt;R&gt;1&lt;/R&gt;&lt;C&gt;1&lt;/C&gt;&lt;D xsi:type="xsd:double"&gt;0.2&lt;/D&gt;&lt;/FQL&gt;&lt;FQL&gt;&lt;Q&gt;OCL-AU^FREF_SHARES_COMPANY(39843,,,,0,"LEGACY")&lt;/Q&gt;&lt;R&gt;1&lt;/R&gt;&lt;C&gt;1&lt;/C&gt;&lt;D xsi:type="xsd:double"&gt;134.330139160156&lt;/D&gt;&lt;/FQL&gt;&lt;FQL&gt;&lt;Q&gt;OCL-AU^FG_PRICE(39871)&lt;/Q&gt;&lt;R&gt;1&lt;/R&gt;&lt;C&gt;1&lt;/C&gt;&lt;D xsi:type="xsd:double"&gt;0.2&lt;/D&gt;&lt;/FQL&gt;&lt;FQL&gt;&lt;Q&gt;OCL-AU^FREF_SHARES_COMPANY(39871,,,,0,"LEGACY")&lt;/Q&gt;&lt;R&gt;1&lt;/R&gt;&lt;C&gt;1&lt;/C&gt;&lt;D xsi:type="xsd:double"&gt;134.330139160156&lt;/D&gt;&lt;/FQL&gt;&lt;FQL&gt;&lt;Q&gt;OCL-AU^FG_PRICE(39903)&lt;/Q&gt;&lt;R&gt;1&lt;/R&gt;&lt;C&gt;1&lt;/C&gt;&lt;D xsi:type="xsd:double"&gt;0.205&lt;/D&gt;&lt;/FQL&gt;&lt;FQL&gt;&lt;Q&gt;OCL-AU^FREF_SHARES_COMPANY(39903,,,,0,"LEGACY")&lt;/Q&gt;&lt;R&gt;1&lt;/R&gt;&lt;C&gt;1&lt;/C&gt;&lt;D xsi:type="xsd:double"&gt;134.330139160156&lt;/D&gt;&lt;/FQL&gt;&lt;FQL&gt;&lt;Q&gt;OCL-AU^FG_PRICE(39933)&lt;/Q&gt;&lt;R&gt;1&lt;/R&gt;&lt;C&gt;1&lt;/C&gt;&lt;D xsi:type="xsd:double"&gt;0.25&lt;/D&gt;&lt;/FQL&gt;&lt;FQL&gt;&lt;Q&gt;OCL-AU^FREF_SHARES_COMPANY(39933,,,,0,"LEGACY")&lt;/Q&gt;&lt;R&gt;1&lt;/R&gt;&lt;C&gt;1&lt;/C&gt;&lt;D xsi:type="xsd:double"&gt;125.753280639648&lt;/D&gt;&lt;/FQL&gt;&lt;FQL&gt;&lt;Q&gt;OCL-AU^FG_PRICE(39962)&lt;/Q&gt;&lt;R&gt;1&lt;/R&gt;&lt;C&gt;1&lt;/C&gt;&lt;D xsi:type="xsd:double"&gt;0.3&lt;/D&gt;&lt;/FQL&gt;&lt;FQL&gt;&lt;Q&gt;OCL-AU^FREF_SHARES_COMPANY(39962,,,,0,"LEGACY")&lt;/Q&gt;&lt;R&gt;1&lt;/R&gt;&lt;C&gt;1&lt;/C&gt;&lt;D xsi:type="xsd:double"&gt;125.753280639648&lt;/D&gt;&lt;/FQL&gt;&lt;FQL&gt;&lt;Q&gt;OCL-AU^FG_PRICE(39994)&lt;/Q&gt;&lt;R&gt;1&lt;/R&gt;&lt;C&gt;1&lt;/C&gt;&lt;D xsi:type="xsd:double"&gt;0.27&lt;/D&gt;&lt;/FQL&gt;&lt;FQL&gt;&lt;Q&gt;OCL-AU^FREF_SHARES_COMPANY(39994,,,,0,"LEGACY")&lt;/Q&gt;&lt;R&gt;1&lt;/R&gt;&lt;C&gt;1&lt;/C&gt;&lt;D xsi:type="xsd:double"&gt;125.753280639648&lt;/D&gt;&lt;/FQL&gt;&lt;FQL&gt;&lt;Q&gt;OCL-AU^FG_PRICE(40025)&lt;/Q&gt;&lt;R&gt;1&lt;/R&gt;&lt;C&gt;1&lt;/C&gt;&lt;D xsi:type="xsd:double"&gt;0.36&lt;/D&gt;&lt;/FQL&gt;&lt;FQL&gt;&lt;Q&gt;OCL-AU^FREF_SHARES_COMPANY(40025,,,,0,"LEGACY")&lt;/Q&gt;&lt;R&gt;1&lt;/R&gt;&lt;C&gt;1&lt;/C&gt;&lt;D xsi:type="xsd:double"&gt;125.753280639648&lt;/D&gt;&lt;/FQL&gt;&lt;FQL&gt;&lt;Q&gt;OCL-AU^FG_PRICE(40056)&lt;/Q&gt;&lt;R&gt;1&lt;/R&gt;&lt;C&gt;1&lt;/C&gt;&lt;D xsi:type="xsd:double"&gt;0.39&lt;/D&gt;&lt;/FQL&gt;&lt;FQL&gt;&lt;Q&gt;OCL-AU^FREF_SHARES_COMPANY(40056,,,,0,"LEGACY")&lt;/Q&gt;&lt;R&gt;1&lt;/R&gt;&lt;C&gt;1&lt;/C&gt;&lt;D xsi:type="xsd:double"&gt;120.753280639648&lt;/D&gt;&lt;/FQL&gt;&lt;FQL&gt;&lt;Q&gt;OCL-AU^FG_PRICE(40086)&lt;/Q&gt;&lt;R&gt;1&lt;/R&gt;&lt;C&gt;1&lt;/C&gt;&lt;D xsi:type="xsd:double"&gt;0.39&lt;/D&gt;&lt;/FQL&gt;&lt;FQL&gt;&lt;Q&gt;OCL-AU^FREF_SHARES_COMPANY(40086,,,,0,"LEGACY")&lt;/Q&gt;&lt;R&gt;1&lt;/R&gt;&lt;C&gt;1&lt;/C&gt;&lt;D xsi:type="xsd:double"&gt;120.753280639648&lt;/D&gt;&lt;/FQL&gt;&lt;FQL&gt;&lt;Q&gt;OCL-AU^FG_PRICE(40116)&lt;/Q&gt;&lt;R&gt;1&lt;/R&gt;&lt;C&gt;1&lt;/C&gt;&lt;D xsi:type="xsd:double"&gt;0.42&lt;/D&gt;&lt;/FQL&gt;&lt;FQL&gt;&lt;Q&gt;OCL-AU^FREF_SHARES_COMPANY(40116,,,,0,"LEGACY")&lt;/Q&gt;&lt;R&gt;1&lt;/R&gt;&lt;C&gt;1&lt;/C&gt;&lt;D xsi:type="xsd:double"&gt;120.753280639648&lt;/D&gt;&lt;/FQL&gt;&lt;FQL&gt;&lt;Q&gt;OCL-AU^FG_PRICE(40147)&lt;/Q&gt;&lt;R&gt;1&lt;/R&gt;&lt;C&gt;1&lt;/C&gt;&lt;D xsi:type="xsd:double"&gt;0.38&lt;/D&gt;&lt;/FQL&gt;&lt;FQL&gt;&lt;Q&gt;OCL-AU^FREF_SHARES_COMPANY(40147,,,,0,"LEGACY")&lt;/Q&gt;&lt;R&gt;1&lt;/R&gt;&lt;C&gt;1&lt;/C&gt;&lt;D xsi:type="xsd:double"&gt;120.753280639648&lt;/D&gt;&lt;/FQL&gt;&lt;FQL&gt;&lt;Q&gt;OCL-AU^FG_PRICE(40178)&lt;/Q&gt;&lt;R&gt;1&lt;/R&gt;&lt;C&gt;1&lt;/C&gt;&lt;D xsi:type="xsd:double"&gt;0.395&lt;/D&gt;&lt;/FQL&gt;&lt;FQL&gt;&lt;Q&gt;OCL-AU^FREF_SHARES_COMPANY(40178,,,,0,"LEGACY")&lt;/Q&gt;&lt;R&gt;1&lt;/R&gt;&lt;C&gt;1&lt;/C&gt;&lt;D xsi:type="xsd:double"&gt;120.753280639648&lt;/D&gt;&lt;/FQL&gt;&lt;FQL&gt;&lt;Q&gt;OCL-AU^FG_PRICE(40207)&lt;/Q&gt;&lt;R&gt;1&lt;/R&gt;&lt;C&gt;1&lt;/C&gt;&lt;D xsi:type="xsd:double"&gt;0.38&lt;/D&gt;&lt;/FQL&gt;&lt;FQL&gt;&lt;Q&gt;OCL-AU^FREF_SHARES_COMPANY(40207,,,,0,"LEGACY")&lt;/Q&gt;&lt;R&gt;1&lt;/R&gt;&lt;C&gt;1&lt;/C&gt;&lt;D xsi:type="xsd:double"&gt;120.753280639648&lt;/D&gt;&lt;/FQL&gt;&lt;FQL&gt;&lt;Q&gt;OCL-AU^FG_PRICE(40235)&lt;/Q&gt;&lt;R&gt;1&lt;/R&gt;&lt;C&gt;1&lt;/C&gt;&lt;D xsi:type="xsd:double"&gt;0.32&lt;/D&gt;&lt;/FQL&gt;&lt;FQL&gt;&lt;Q&gt;OCL-AU^FREF_SHARES_COMPANY(40235,,,,0,"LEGACY")&lt;/Q&gt;&lt;R&gt;1&lt;/R&gt;&lt;C&gt;1&lt;/C&gt;&lt;D xsi:type="xsd:double"&gt;120.753280639648&lt;/D&gt;&lt;/FQL&gt;&lt;FQL&gt;&lt;Q&gt;OCL-AU^FG_PRICE(40268)&lt;/Q&gt;&lt;R&gt;1&lt;/R&gt;&lt;C&gt;1&lt;/C&gt;&lt;D xsi:type="xsd:double"&gt;0.315&lt;/D&gt;&lt;/FQL&gt;&lt;FQL&gt;&lt;Q&gt;OCL-AU^FREF_SHARES_COMPANY(40268,,,,0,"LEGACY")&lt;/Q&gt;&lt;R&gt;1&lt;/R&gt;&lt;C&gt;1&lt;/C&gt;&lt;D xsi:type="xsd:double"&gt;120.753280639648&lt;/D&gt;&lt;/FQL&gt;&lt;FQL&gt;&lt;Q&gt;OCL-AU^FG_PRICE(40298)&lt;/Q&gt;&lt;R&gt;1&lt;/R&gt;&lt;C&gt;1&lt;/C&gt;&lt;D xsi:type="xsd:double"&gt;0.29&lt;/D&gt;&lt;/FQL&gt;&lt;FQL&gt;&lt;Q&gt;OCL-AU^FREF_SHARES_COMPANY(40298,,,,0,"LEGACY")&lt;/Q&gt;&lt;R&gt;1&lt;/R&gt;&lt;C&gt;1&lt;/C&gt;&lt;D xsi:type="xsd:double"&gt;120.753280639648&lt;/D&gt;&lt;/FQL&gt;&lt;FQL&gt;&lt;Q&gt;OCL-AU^FG_PRICE(40329)&lt;/Q&gt;&lt;R&gt;1&lt;/R&gt;&lt;C&gt;1&lt;/C&gt;&lt;D xsi:type="xsd:double"&gt;0.32&lt;/D&gt;&lt;/FQL&gt;&lt;FQL&gt;&lt;Q&gt;OCL-AU^FREF_SHARES_COMPANY(40329,,,,0,"LEGACY")&lt;/Q&gt;&lt;R&gt;1&lt;/R&gt;&lt;C&gt;1&lt;/C&gt;&lt;D xsi:type="xsd:double"&gt;120.753280639648&lt;/D&gt;&lt;/FQL&gt;&lt;FQL&gt;&lt;Q&gt;OCL-AU^FG_PRICE(40359)&lt;/Q&gt;&lt;R&gt;1&lt;/R&gt;&lt;C&gt;1&lt;/C&gt;&lt;D xsi:type="xsd:double"&gt;0.285&lt;/D&gt;&lt;/FQL&gt;&lt;FQL&gt;&lt;Q&gt;OCL-AU^FREF_SHARES_COMPANY(40359,,,,0,"LEGACY")&lt;/Q&gt;&lt;R&gt;1&lt;/R&gt;&lt;C&gt;1&lt;/C&gt;&lt;D xsi:type="xsd:double"&gt;120.753280639648&lt;/D&gt;&lt;/FQL&gt;&lt;FQL&gt;&lt;Q&gt;OCL-AU^FG_PRICE(40389)&lt;/Q&gt;&lt;R&gt;1&lt;/R&gt;&lt;C&gt;1&lt;/C&gt;&lt;D xsi:type="xsd:double"&gt;0.35&lt;/D&gt;&lt;/FQL&gt;&lt;FQL&gt;&lt;Q&gt;OCL-AU^FREF_SHARES_COMPANY(40389,,,,0,"LEGACY")&lt;/Q&gt;&lt;R&gt;1&lt;/R&gt;&lt;C&gt;1&lt;/C&gt;&lt;D xsi:type="xsd:double"&gt;120.753280639648&lt;/D&gt;&lt;/FQL&gt;&lt;FQL&gt;&lt;Q&gt;OCL-AU^FG_PRICE(40421)&lt;/Q&gt;&lt;R&gt;1&lt;/R&gt;&lt;C&gt;1&lt;/C&gt;&lt;D xsi:type="xsd:double"&gt;0.25&lt;/D&gt;&lt;/FQL&gt;&lt;FQL&gt;&lt;Q&gt;OCL-AU^FREF_SHARES_COMPANY(40421,,,,0,"LEGACY")&lt;/Q&gt;&lt;R&gt;1&lt;/R&gt;&lt;C&gt;1&lt;/C&gt;&lt;D xsi:type="xsd:double"&gt;120.753280639648&lt;/D&gt;&lt;/FQL&gt;&lt;FQL&gt;&lt;Q&gt;OCL-AU^FG_PRICE(40451)&lt;/Q&gt;&lt;R&gt;1&lt;/R&gt;&lt;C&gt;1&lt;/C&gt;&lt;D xsi:type="xsd:double"&gt;0.24&lt;/D&gt;&lt;/FQL&gt;&lt;FQL&gt;&lt;Q&gt;OCL-AU^FREF_SHARES_COMPANY(40451,,,,0,"LEGACY")&lt;/Q&gt;&lt;R&gt;1&lt;/R&gt;&lt;C&gt;1&lt;/C&gt;&lt;D xsi:type="xsd:double"&gt;120.753280639648&lt;/D&gt;&lt;/FQL&gt;&lt;FQL&gt;&lt;Q&gt;OCL-AU^FG_PRICE(40480)&lt;/Q&gt;&lt;R&gt;1&lt;/R&gt;&lt;C&gt;1&lt;/C&gt;&lt;D xsi:type="xsd:double"&gt;0.225&lt;/D&gt;&lt;/FQL&gt;&lt;FQL&gt;&lt;Q&gt;OCL-AU^FREF_SHARES_COMPANY(40480,,,,0,"LEGACY")&lt;/Q&gt;&lt;R&gt;1&lt;/R&gt;&lt;C&gt;1&lt;/C&gt;&lt;D xsi:type="xsd:double"&gt;120.753280639648&lt;/D&gt;&lt;/FQL&gt;&lt;FQL&gt;&lt;Q&gt;OCL-AU^FG_PRICE(40512)&lt;/Q&gt;&lt;R&gt;1&lt;/R&gt;&lt;C&gt;1&lt;/C&gt;&lt;D xsi:type="xsd:double"&gt;0.245&lt;/D&gt;&lt;/FQL&gt;&lt;FQL&gt;&lt;Q&gt;OCL-AU^FREF_SHARES_COMPANY(40512,,,,0,"LEGACY")&lt;/Q&gt;&lt;R&gt;1&lt;/R&gt;&lt;C&gt;1&lt;/C&gt;&lt;D xsi:type="xsd:double"&gt;120.753280639648&lt;/D&gt;&lt;/FQL&gt;&lt;FQL&gt;&lt;Q&gt;OCL-AU^FG_PRICE(40543)&lt;/Q&gt;&lt;R&gt;1&lt;/R&gt;&lt;C&gt;1&lt;/C&gt;&lt;D xsi:type="xsd:double"&gt;0.24&lt;/D&gt;&lt;/FQL&gt;&lt;FQL&gt;&lt;Q&gt;OCL-AU^FREF_SHARES_COMPANY(40543,,,,0,"LEGACY")&lt;/Q&gt;&lt;R&gt;1&lt;/R&gt;&lt;C&gt;1&lt;/C&gt;&lt;D xsi:type="xsd:double"&gt;120.753280639648&lt;/D&gt;&lt;/FQL&gt;&lt;FQL&gt;&lt;Q&gt;OCL-AU^FG_PRICE(40574)&lt;/Q&gt;&lt;R&gt;1&lt;/R&gt;&lt;C&gt;1&lt;/C&gt;&lt;D xsi:type="xsd:double"&gt;0.25&lt;/D&gt;&lt;/FQL&gt;&lt;FQL&gt;&lt;Q&gt;OCL-AU^FREF_SHARES_COMPANY(40574,,,,0,"LEGACY")&lt;/Q&gt;&lt;R&gt;1&lt;/R&gt;&lt;C&gt;1&lt;/C&gt;&lt;D xsi:type="xsd:double"&gt;120.753280639648&lt;/D&gt;&lt;/FQL&gt;&lt;FQL&gt;&lt;Q&gt;OCL-AU^FG_PRICE(40602)&lt;/Q&gt;&lt;R&gt;1&lt;/R&gt;&lt;C&gt;1&lt;/C&gt;&lt;D xsi:type="xsd:double"&gt;0.25&lt;/D&gt;&lt;/FQL&gt;&lt;FQL&gt;&lt;Q&gt;OCL-AU^FREF_SHARES_COMPANY(40602,,,,0,"LEGACY")&lt;/Q&gt;&lt;R&gt;1&lt;/R&gt;&lt;C&gt;1&lt;/C&gt;&lt;D xsi:type="xsd:double"&gt;120.753280639648&lt;/D&gt;&lt;/FQL&gt;&lt;FQL&gt;&lt;Q&gt;OCL-AU^FG_PRICE(40633)&lt;/Q&gt;&lt;R&gt;1&lt;/R&gt;&lt;C&gt;1&lt;/C&gt;&lt;D xsi:type="xsd:double"&gt;0.24&lt;/D&gt;&lt;/FQL&gt;&lt;FQL&gt;&lt;Q&gt;OCL-AU^FREF_SHARES_COMPANY(40633,,,,0,"LEGACY")&lt;/Q&gt;&lt;R&gt;1&lt;/R&gt;&lt;C&gt;1&lt;/C&gt;&lt;D xsi:type="xsd:double"&gt;120.753280639648&lt;/D&gt;&lt;/FQL&gt;&lt;FQL&gt;&lt;Q&gt;OCL-AU^FG_PRICE(40662)&lt;/Q&gt;&lt;R&gt;1&lt;/R&gt;&lt;C&gt;1&lt;/C&gt;&lt;D xsi:type="xsd:double"&gt;0.23&lt;/D&gt;&lt;/FQL&gt;&lt;FQL&gt;&lt;Q&gt;OCL-AU^FREF_SHARES_COMPANY(40662,,,,0,"LEGACY")&lt;/Q&gt;&lt;R&gt;1&lt;/R&gt;&lt;C&gt;1&lt;/C&gt;&lt;D xsi:type="xsd:double"&gt;120.753280639648&lt;/D&gt;&lt;/FQL&gt;&lt;FQL&gt;&lt;Q&gt;OCL-AU^FG_PRICE(40694)&lt;/Q&gt;&lt;R&gt;1&lt;/R&gt;&lt;C&gt;1&lt;/C&gt;&lt;D xsi:type="xsd:double"&gt;0.22&lt;/D&gt;&lt;/FQL&gt;&lt;FQL&gt;&lt;Q&gt;OCL-AU^FREF_SHARES_COMPANY(40694,,,,0,"LEGACY")&lt;/Q&gt;&lt;R&gt;1&lt;/R&gt;&lt;C&gt;1&lt;/C&gt;&lt;D xsi:type="xsd:double"&gt;120.753280639648&lt;/D&gt;&lt;/FQL&gt;&lt;FQL&gt;&lt;Q&gt;OCL-AU^FG_PRICE(40724)&lt;/Q&gt;&lt;R&gt;1&lt;/R&gt;&lt;C&gt;1&lt;/C&gt;&lt;D xsi:type="xsd:double"&gt;0.2&lt;/D&gt;&lt;/FQL&gt;&lt;FQL&gt;&lt;Q&gt;OCL-AU^FREF_SHARES_COMPANY(40724,,,,0,"LEGACY")&lt;/Q&gt;&lt;R&gt;1&lt;/R&gt;&lt;C&gt;1&lt;/C&gt;&lt;D xsi:type="xsd:double"&gt;120.753280639648&lt;/D&gt;&lt;/FQL&gt;&lt;FQL&gt;&lt;Q&gt;OCL-AU^FG_PRICE(40753)&lt;/Q&gt;&lt;R&gt;1&lt;/R&gt;&lt;C&gt;1&lt;/C&gt;&lt;D xsi:type="xsd:double"&gt;0.21&lt;/D&gt;&lt;/FQL&gt;&lt;FQL&gt;&lt;Q&gt;OCL-AU^FREF_SHARES_COMPANY(40753,,,,0,"LEGACY")&lt;/Q&gt;&lt;R&gt;1&lt;/R&gt;&lt;C&gt;1&lt;/C&gt;&lt;D xsi:type="xsd:double"&gt;120.753280639648&lt;/D&gt;&lt;/FQL&gt;&lt;FQL&gt;&lt;Q&gt;OCL-AU^FG_PRICE(40786)&lt;/Q&gt;&lt;R&gt;1&lt;/R&gt;&lt;C&gt;1&lt;/C&gt;&lt;D xsi:type="xsd:double"&gt;0.19&lt;/D&gt;&lt;/FQL&gt;&lt;FQL&gt;&lt;Q&gt;OCL-AU^FREF_SHARES_COMPANY(40786,,,,0,"LEGACY")&lt;/Q&gt;&lt;R&gt;1&lt;/R&gt;&lt;C&gt;1&lt;/C&gt;&lt;D xsi:type="xsd:double"&gt;120.753280639648&lt;/D&gt;&lt;/FQL&gt;&lt;FQL&gt;&lt;Q&gt;OCL-AU^FG_PRICE(40816)&lt;/Q&gt;&lt;R&gt;1&lt;/R&gt;&lt;C&gt;1&lt;/C&gt;&lt;D xsi:type="xsd:double"&gt;0.205&lt;/D&gt;&lt;/FQL&gt;&lt;FQL&gt;&lt;Q&gt;OCL-AU^FREF_SHARES_COMPANY(40816,,,,0,"LEGACY")&lt;/Q&gt;&lt;R&gt;1&lt;/R&gt;&lt;C&gt;1&lt;/C&gt;&lt;D xsi:type="xsd:double"&gt;120.753280639648&lt;/D&gt;&lt;/FQL&gt;&lt;FQL&gt;&lt;Q&gt;OCL-AU^FG_PRICE(40847)&lt;/Q&gt;&lt;R&gt;1&lt;/R&gt;&lt;C&gt;1&lt;/C&gt;&lt;D xsi:type="xsd:double"&gt;0.21&lt;/D&gt;&lt;/FQL&gt;&lt;FQL&gt;&lt;Q&gt;OCL-AU^FREF_SHARES_COMPANY(40847,,,,0,"LEGACY")&lt;/Q&gt;&lt;R&gt;1&lt;/R&gt;&lt;C&gt;1&lt;/C&gt;&lt;D xsi:type="xsd:double"&gt;120.753280639648&lt;/D&gt;&lt;/FQL&gt;&lt;FQL&gt;&lt;Q&gt;OCL-AU^FG_PRICE(40877)&lt;/Q&gt;&lt;R&gt;1&lt;/R&gt;&lt;C&gt;1&lt;/C&gt;&lt;D xsi:type="xsd:double"&gt;0.24&lt;/D&gt;&lt;/FQL&gt;&lt;FQL&gt;&lt;Q&gt;OCL-AU^FREF_SHARES_COMPANY(40877,,,,0,"LEGACY")&lt;/Q&gt;&lt;R&gt;1&lt;/R&gt;&lt;C&gt;1&lt;/C&gt;&lt;D xsi:type="xsd:double"&gt;120.753280639648&lt;/D&gt;&lt;/FQL&gt;&lt;FQL&gt;&lt;Q&gt;OCL-AU^FG_PRICE(40907)&lt;/Q&gt;&lt;R&gt;1&lt;/R&gt;&lt;C&gt;1&lt;/C&gt;&lt;D xsi:type="xsd:double"&gt;0.22&lt;/D&gt;&lt;/FQL&gt;&lt;FQL&gt;&lt;Q&gt;OCL-AU^FREF_SHARES_COMPANY(40907,,,,0,"LEGACY")&lt;/Q&gt;&lt;R&gt;1&lt;/R&gt;&lt;C&gt;1&lt;/C&gt;&lt;D xsi:type="xsd:double"&gt;100.753280639648&lt;/D&gt;&lt;/FQL&gt;&lt;FQL&gt;&lt;Q&gt;OCL-AU^FG_PRICE(40939)&lt;/Q&gt;&lt;R&gt;1&lt;/R&gt;&lt;C&gt;1&lt;/C&gt;&lt;D xsi:type="xsd:double"&gt;0.22&lt;/D&gt;&lt;/FQL&gt;&lt;FQL&gt;&lt;Q&gt;OCL-AU^FREF_SHARES_COMPANY(40939,,,,0,"LEGACY")&lt;/Q&gt;&lt;R&gt;1&lt;/R&gt;&lt;C&gt;1&lt;/C&gt;&lt;D xsi:type="xsd:double"&gt;100.753280639648&lt;/D&gt;&lt;/FQL&gt;&lt;FQL&gt;&lt;Q&gt;OCL-AU^FG_PRICE(40968)&lt;/Q&gt;&lt;R&gt;1&lt;/R&gt;&lt;C&gt;1&lt;/C&gt;&lt;D xsi:type="xsd:double"&gt;0.3&lt;/D&gt;&lt;/FQL&gt;&lt;FQL&gt;&lt;Q&gt;OCL-AU^FREF_SHARES_COMPANY(40968,,,,0,"LEGACY")&lt;/Q&gt;&lt;R&gt;1&lt;/R&gt;&lt;C&gt;1&lt;/C&gt;&lt;D xsi:type="xsd:double"&gt;100.753280639648&lt;/D&gt;&lt;/FQL&gt;&lt;FQL&gt;&lt;Q&gt;OCL-AU^FG_PRICE(40998)&lt;/Q&gt;&lt;R&gt;1&lt;/R&gt;&lt;C&gt;1&lt;/C&gt;&lt;D xsi:type="xsd:double"&gt;0.33&lt;/D&gt;&lt;/FQL&gt;&lt;FQL&gt;&lt;Q&gt;OCL-AU^FREF_SHARES_COMPANY(40998,,,,0,"LEGACY")&lt;/Q&gt;&lt;R&gt;1&lt;/R&gt;&lt;C&gt;1&lt;/C&gt;&lt;D xsi:type="xsd:double"&gt;100.753280639648&lt;/D&gt;&lt;/FQL&gt;&lt;FQL&gt;&lt;Q&gt;OCL-AU^FG_PRICE(41029)&lt;/Q&gt;&lt;R&gt;1&lt;/R&gt;&lt;C&gt;1&lt;/C&gt;&lt;D xsi:type="xsd:double"&gt;0.35&lt;/D&gt;&lt;/FQL&gt;&lt;FQL&gt;&lt;Q&gt;OCL-AU^FREF_SHARES_COMPANY(41029,,,,0,"LEGACY")&lt;/Q&gt;&lt;R&gt;1&lt;/R&gt;&lt;C&gt;1&lt;/C&gt;&lt;D xsi:type="xsd:double"&gt;100.753280639648&lt;/D&gt;&lt;/FQL&gt;&lt;FQL&gt;&lt;Q&gt;OCL-AU^FG_PRICE(41060)&lt;/Q&gt;&lt;R&gt;1&lt;/R&gt;&lt;C&gt;1&lt;/C&gt;&lt;D xsi:type="xsd:double"&gt;0.325&lt;/D&gt;&lt;/FQL&gt;&lt;FQL&gt;&lt;Q&gt;OCL-AU^FREF_SHARES_COMPANY(41060,,,,0,"LEGACY")&lt;/Q&gt;&lt;R&gt;1&lt;/R&gt;&lt;C&gt;1&lt;/C&gt;&lt;D xsi:type="xsd:double"&gt;100.753280639648&lt;/D&gt;&lt;/FQL&gt;&lt;FQL&gt;&lt;Q&gt;OCL-AU^FG_PRICE(41089)&lt;/Q&gt;&lt;R&gt;1&lt;/R&gt;&lt;C&gt;1&lt;/C&gt;&lt;D xsi:type="xsd:double"&gt;0.36&lt;/D&gt;&lt;/FQL&gt;&lt;FQL&gt;&lt;Q&gt;OCL-AU^FREF_SHARES_COMPANY(41089,,,,0,"LEGACY")&lt;/Q&gt;&lt;R&gt;1&lt;/R&gt;&lt;C&gt;1&lt;/C&gt;&lt;D xsi:type="xsd:double"&gt;100.753280639648&lt;/D&gt;&lt;/FQL&gt;&lt;FQL&gt;&lt;Q&gt;OCL-AU^FG_PRICE(41121)&lt;/Q&gt;&lt;R&gt;1&lt;/R&gt;&lt;C&gt;1&lt;/C&gt;&lt;D xsi:type="xsd:double"&gt;0.38&lt;/D&gt;&lt;/FQL&gt;&lt;FQL&gt;&lt;Q&gt;OCL-AU^FREF_SHARES_COMPANY(41121,,,,0,"LEGACY")&lt;/Q&gt;&lt;R&gt;1&lt;/R&gt;&lt;C&gt;1&lt;/C&gt;&lt;D xsi:type="xsd:double"&gt;100.753280639648&lt;/D&gt;&lt;/FQL&gt;&lt;FQL&gt;&lt;Q&gt;OCL-AU^FG_PRICE(41152)&lt;/Q&gt;&lt;R&gt;1&lt;/R&gt;&lt;C&gt;1&lt;/C&gt;&lt;D xsi:type="xsd:double"&gt;0.42&lt;/D&gt;&lt;/FQL&gt;&lt;FQL&gt;&lt;Q&gt;OCL-AU^FREF_SHARES_COMPANY(41152,,,,0,"LEGACY")&lt;/Q&gt;&lt;R&gt;1&lt;/R&gt;&lt;C&gt;1&lt;/C&gt;&lt;D xsi:type="xsd:double"&gt;100.753280639648&lt;/D&gt;&lt;/FQL&gt;&lt;FQL&gt;&lt;Q&gt;OCL-AU^FG_PRICE(41180)&lt;/Q&gt;&lt;R&gt;1&lt;/R&gt;&lt;C&gt;1&lt;/C&gt;&lt;D xsi:type="xsd:double"&gt;0.5&lt;/D&gt;&lt;/FQL&gt;&lt;FQL&gt;&lt;Q&gt;OCL-AU^FREF_SHARES_COMPANY(41180,,,,0,"LEGACY")&lt;/Q&gt;&lt;R&gt;1&lt;/R&gt;&lt;C&gt;1&lt;/C&gt;&lt;D xsi:type="xsd:double"&gt;100.753280639648&lt;/D&gt;&lt;/FQL&gt;&lt;FQL&gt;&lt;Q&gt;OCL-AU^FG_PRICE(41213)&lt;/Q&gt;&lt;R&gt;1&lt;/R&gt;&lt;C&gt;1&lt;/C&gt;&lt;D xsi:type="xsd:double"&gt;0.55&lt;/D&gt;&lt;/FQL&gt;&lt;FQL&gt;&lt;Q&gt;OCL-AU^FREF_SHARES_COMPANY(41213,,,,0,"LEGACY")&lt;/Q&gt;&lt;R&gt;1&lt;/R&gt;&lt;C&gt;1&lt;/C&gt;&lt;D xsi:type="xsd:double"&gt;100.753280639648&lt;/D&gt;&lt;/FQL&gt;&lt;FQL&gt;&lt;Q&gt;OCL-AU^FG_PRICE(41243)&lt;/Q&gt;&lt;R&gt;1&lt;/R&gt;&lt;C&gt;1&lt;/C&gt;&lt;D xsi:type="xsd:double"&gt;0.525&lt;/D&gt;&lt;/FQL&gt;&lt;FQL&gt;&lt;Q&gt;OCL-AU^FREF_SHARES_COMPANY(41243,,,,0,"LEGACY")&lt;/Q&gt;&lt;R&gt;1&lt;/R&gt;&lt;C&gt;1&lt;/C&gt;&lt;D xsi:type="xsd:double"&gt;100.753280639648&lt;/D&gt;&lt;/FQL&gt;&lt;FQL&gt;&lt;Q&gt;OCL-AU^FG_PRICE(41274)&lt;/Q&gt;&lt;R&gt;1&lt;/R&gt;&lt;C&gt;1&lt;/C&gt;&lt;D xsi:type="xsd:double"&gt;0.65&lt;/D&gt;&lt;/FQL&gt;&lt;FQL&gt;&lt;Q&gt;OCL-AU^FREF_SHARES_COMPANY(41274,,,,0,"LEGACY")&lt;/Q&gt;&lt;R&gt;1&lt;/R&gt;&lt;C&gt;1&lt;/C&gt;&lt;D xsi:type="xsd:double"&gt;100.753280639648&lt;/D&gt;&lt;/FQL&gt;&lt;FQL&gt;&lt;Q&gt;OCL-AU^FG_PRICE(41305)&lt;/Q&gt;&lt;R&gt;1&lt;/R&gt;&lt;C&gt;1&lt;/C&gt;&lt;D xsi:type="xsd:double"&gt;0.57&lt;/D&gt;&lt;/FQL&gt;&lt;FQL&gt;&lt;Q&gt;OCL-AU^FREF_SHARES_COMPANY(41305,,,,0,"LEGACY")&lt;/Q&gt;&lt;R&gt;1&lt;/R&gt;&lt;C&gt;1&lt;/C&gt;&lt;D xsi:type="xsd:double"&gt;100.753280639648&lt;/D&gt;&lt;/FQL&gt;&lt;FQL&gt;&lt;Q&gt;OCL-AU^FG_PRICE(41333)&lt;/Q&gt;&lt;R&gt;1&lt;/R&gt;&lt;C&gt;1&lt;/C&gt;&lt;D xsi:type="xsd:double"&gt;0.55&lt;/D&gt;&lt;/FQL&gt;&lt;FQL&gt;&lt;Q&gt;OCL-AU^FREF_SHARES_COMPANY(41333,,,,0,"LEGACY")&lt;/Q&gt;&lt;R&gt;1&lt;/R&gt;&lt;C&gt;1&lt;/C&gt;&lt;D xsi:type="xsd:double"&gt;100.753280639648&lt;/D&gt;&lt;/FQL&gt;&lt;FQL&gt;&lt;Q&gt;OCL-AU^FG_PRICE(41361)&lt;/Q&gt;&lt;R&gt;1&lt;/R&gt;&lt;C&gt;1&lt;/C&gt;&lt;D xsi:type="xsd:double"&gt;0.58&lt;/D&gt;&lt;/FQL&gt;&lt;FQL&gt;&lt;Q&gt;OCL-AU^FREF_SHARES_COMPANY(41361,,,,0,"LEGACY")&lt;/Q&gt;&lt;R&gt;1&lt;/R&gt;&lt;C&gt;1&lt;/C&gt;&lt;D xsi:type="xsd:double"&gt;100.753280639648&lt;/D&gt;&lt;/FQL&gt;&lt;FQL&gt;&lt;Q&gt;OCL-AU^FG_PRICE(41394)&lt;/Q&gt;&lt;R&gt;1&lt;/R&gt;&lt;C&gt;1&lt;/C&gt;&lt;D xsi:type="xsd:double"&gt;0.53&lt;/D&gt;&lt;/FQL&gt;&lt;FQL&gt;&lt;Q&gt;OCL-AU^FREF_SHARES_COMPANY(41394,,,,0,"LEGACY")&lt;/Q&gt;&lt;R&gt;1&lt;/R&gt;&lt;C&gt;1&lt;/C&gt;&lt;D xsi:type="xsd:double"&gt;100.753280639648&lt;/D&gt;&lt;/FQL&gt;&lt;FQL&gt;&lt;Q&gt;OCL-AU^FG_PRICE(41425)&lt;/Q&gt;&lt;R&gt;1&lt;/R&gt;&lt;C&gt;1&lt;/C&gt;&lt;D xsi:type="xsd:double"&gt;0.39&lt;/D&gt;&lt;/FQL&gt;&lt;FQL&gt;&lt;Q&gt;OCL-AU^FREF_SHARES_COMPANY(41425,,,,0,"LEGACY")&lt;/Q&gt;&lt;R&gt;1&lt;/R&gt;&lt;C&gt;1&lt;/C&gt;&lt;D xsi:type="xsd:double"&gt;100.753280639648&lt;/D&gt;&lt;/FQL&gt;&lt;FQL&gt;&lt;Q&gt;OCL-AU^FG_PRICE(41453)&lt;/Q&gt;&lt;R&gt;1&lt;/R&gt;&lt;C&gt;1&lt;/C&gt;&lt;D xsi:type="xsd:double"&gt;0.39&lt;/D&gt;&lt;/FQL&gt;&lt;FQL&gt;&lt;Q&gt;OCL-AU^FREF_SHARES_COMPANY(41453,,,,0,"LEGACY")&lt;/Q&gt;&lt;R&gt;1&lt;/R&gt;&lt;C&gt;1&lt;/C&gt;&lt;D xsi:type="xsd:double"&gt;100.753280639648&lt;/D&gt;&lt;/FQL&gt;&lt;FQL&gt;&lt;Q&gt;OCL-AU^FG_PRICE(41486)&lt;/Q&gt;&lt;R&gt;1&lt;/R&gt;&lt;C&gt;1&lt;/C&gt;&lt;D xsi:type="xsd:double"&gt;0.5&lt;/D&gt;&lt;/FQL&gt;&lt;FQL&gt;&lt;Q&gt;OCL-AU^FREF_SHARES_COMPANY(41486,,,,0,"LEGACY")&lt;/Q&gt;&lt;R&gt;1&lt;/R&gt;&lt;C&gt;1&lt;/C&gt;&lt;D xsi:type="xsd:double"&gt;100.753280639648&lt;/D&gt;&lt;/FQL&gt;&lt;FQL&gt;&lt;Q&gt;OCL-AU^FG_PRICE(41516)&lt;/Q&gt;&lt;R&gt;1&lt;/R&gt;&lt;C&gt;1&lt;/C&gt;&lt;D xsi:type="xsd:double"&gt;0.525&lt;/D&gt;&lt;/FQL&gt;&lt;FQL&gt;&lt;Q&gt;OCL-AU^FREF_SHARES_COMPANY(41516,,,,0,"LEGACY")&lt;/Q&gt;&lt;R&gt;1&lt;/R&gt;&lt;C&gt;1&lt;/C&gt;&lt;D xsi:type="xsd:double"&gt;100.753280639648&lt;/D&gt;&lt;/FQL&gt;&lt;FQL&gt;&lt;Q&gt;OCL-AU^FG_PRICE(41547)&lt;/Q&gt;&lt;R&gt;1&lt;/R&gt;&lt;C&gt;1&lt;/C&gt;&lt;D xsi:type="xsd:double"&gt;0.525&lt;/D&gt;&lt;/FQL&gt;&lt;FQL&gt;&lt;Q&gt;OCL-AU^FREF_SHARES_COMPANY(41547,,,,0,"LEGACY")&lt;/Q&gt;&lt;R&gt;1&lt;/R&gt;&lt;C&gt;1&lt;/C&gt;&lt;D xsi:type="xsd:double"&gt;100.753280639648&lt;/D&gt;&lt;/FQL&gt;&lt;FQL&gt;&lt;Q&gt;OCL-AU^FG_PRICE(41578)&lt;/Q&gt;&lt;R&gt;1&lt;/R&gt;&lt;C&gt;1&lt;/C&gt;&lt;D xsi:type="xsd:double"&gt;0.56&lt;/D&gt;&lt;/FQL&gt;&lt;FQL&gt;&lt;Q&gt;OCL-AU^FREF_SHARES_COMPANY(41578,,,,0,"LEGACY")&lt;/Q&gt;&lt;R&gt;1&lt;/R&gt;&lt;C&gt;1&lt;/C&gt;&lt;D xsi:type="xsd:double"&gt;100.753280639648&lt;/D&gt;&lt;/FQL&gt;&lt;FQL&gt;&lt;Q&gt;OCL-AU^FG_PRICE(41607)&lt;/Q&gt;&lt;R&gt;1&lt;/R&gt;&lt;C&gt;1&lt;/C&gt;&lt;D xsi:type="xsd:double"&gt;0.54&lt;/D&gt;&lt;/FQL&gt;&lt;FQL&gt;&lt;Q&gt;OCL-AU^FREF_SHARES_COMPANY(41607,,,,0,"LEGACY")&lt;/Q&gt;&lt;R&gt;1&lt;/R&gt;&lt;C&gt;1&lt;/C&gt;&lt;D xsi:type="xsd:double"&gt;100.753280639648&lt;/D&gt;&lt;/FQL&gt;&lt;FQL&gt;&lt;Q&gt;OCL-AU^FG_PRICE(41639)&lt;/Q&gt;&lt;R&gt;1&lt;/R&gt;&lt;C&gt;1&lt;/C&gt;&lt;D xsi:type="xsd:double"&gt;0.58&lt;/D&gt;&lt;/FQL&gt;&lt;FQL&gt;&lt;Q&gt;OCL-AU^FREF_SHARES_COMPANY(41639,,,,0,"LEGACY")&lt;/Q&gt;&lt;R&gt;1&lt;/R&gt;&lt;C&gt;1&lt;/C&gt;&lt;D xsi:type="xsd:double"&gt;88.2532806396484&lt;/D&gt;&lt;/FQL&gt;&lt;FQL&gt;&lt;Q&gt;OCL-AU^FG_PRICE(41670)&lt;/Q&gt;&lt;R&gt;1&lt;/R&gt;&lt;C&gt;1&lt;/C&gt;&lt;D xsi:type="xsd:double"&gt;0.68&lt;/D&gt;&lt;/FQL&gt;&lt;FQL&gt;&lt;Q&gt;OCL-AU^FREF_SHARES_COMPANY(41670,,,,0,"LEGACY")&lt;/Q&gt;&lt;R&gt;1&lt;/R&gt;&lt;C&gt;1&lt;/C&gt;&lt;D xsi:type="xsd:double"&gt;88.2532806396484&lt;/D&gt;&lt;/FQL&gt;&lt;FQL&gt;&lt;Q&gt;OCL-AU^FG_PRICE(41698)&lt;/Q&gt;&lt;R&gt;1&lt;/R&gt;&lt;C&gt;1&lt;/C&gt;&lt;D xsi:type="xsd:double"&gt;0.75&lt;/D&gt;&lt;/FQL&gt;&lt;FQL&gt;&lt;Q&gt;OCL-AU^FREF_SHARES_COMPANY(41698,,,,0,"LEGACY")&lt;/Q&gt;&lt;R&gt;1&lt;/R&gt;&lt;C&gt;1&lt;/C&gt;&lt;D xsi:type="xsd:double"&gt;88.2532806396484&lt;/D&gt;&lt;/FQL&gt;&lt;FQL&gt;&lt;Q&gt;OCL-AU^FG_PRICE(41729)&lt;/Q&gt;&lt;R&gt;1&lt;/R&gt;&lt;C&gt;1&lt;/C&gt;&lt;D xsi:type="xsd:double"&gt;0.8&lt;/D&gt;&lt;/FQL&gt;&lt;FQL&gt;&lt;Q&gt;OCL-AU^FREF_SHARES_COMPANY(41729,,,,0,"LEGACY")&lt;/Q&gt;&lt;R&gt;1&lt;/R&gt;&lt;C&gt;1&lt;/C&gt;&lt;D xsi:type="xsd:double"&gt;88.2532806396484&lt;/D&gt;&lt;/FQL&gt;&lt;FQL&gt;&lt;Q&gt;OCL-AU^FG_PRICE(41759)&lt;/Q&gt;&lt;R&gt;1&lt;/R&gt;&lt;C&gt;1&lt;/C&gt;&lt;D xsi:type="xsd:double"&gt;0.86&lt;/D&gt;&lt;/FQL&gt;&lt;FQL&gt;&lt;Q&gt;OCL-AU^FREF_SHARES_COMPANY(41759,,,,0,"LEGACY")&lt;/Q&gt;&lt;R&gt;1&lt;/R&gt;&lt;C&gt;1&lt;/C&gt;&lt;D xsi:type="xsd:double"&gt;88.2532806396484&lt;/D&gt;&lt;/FQL&gt;&lt;FQL&gt;&lt;Q&gt;OCL-AU^FG_PRICE(41789)&lt;/Q&gt;&lt;R&gt;1&lt;/R&gt;&lt;C&gt;1&lt;/C&gt;&lt;D xsi:type="xsd:double"&gt;1.11&lt;/D&gt;&lt;/FQL&gt;&lt;FQL&gt;&lt;Q&gt;OCL-AU^FREF_SHARES_COMPANY(41789,,,,0,"LEGACY")&lt;/Q&gt;&lt;R&gt;1&lt;/R&gt;&lt;C&gt;1&lt;/C&gt;&lt;D xsi:type="xsd:double"&gt;88.2532806396484&lt;/D&gt;&lt;/FQL&gt;&lt;FQL&gt;&lt;Q&gt;OCL-AU^FG_PRICE(41820)&lt;/Q&gt;&lt;R&gt;1&lt;/R&gt;&lt;C&gt;1&lt;/C&gt;&lt;D xsi:type="xsd:double"&gt;1.21&lt;/D&gt;&lt;/FQL&gt;&lt;FQL&gt;&lt;Q&gt;OCL-AU^FREF_SHARES_COMPANY(41820,,,,0,"LEGACY")&lt;/Q&gt;&lt;R&gt;1&lt;/R&gt;&lt;C&gt;1&lt;/C&gt;&lt;D xsi:type="xsd:double"&gt;88.2532806396484&lt;/D&gt;&lt;/FQL&gt;&lt;FQL&gt;&lt;Q&gt;OCL-AU^FG_PRICE(41851)&lt;/Q&gt;&lt;R&gt;1&lt;/R&gt;&lt;C&gt;1&lt;/C&gt;&lt;D xsi:type="xsd:double"&gt;1.54&lt;/D&gt;&lt;/FQL&gt;&lt;FQL&gt;&lt;Q&gt;OCL-AU^FREF_SHARES_COMPANY(41851,,,,0,"LEGACY")&lt;/Q&gt;&lt;R&gt;1&lt;/R&gt;&lt;C&gt;1&lt;/C&gt;&lt;D xsi:type="xsd:double"&gt;88.2532806396484&lt;/D&gt;&lt;/FQL&gt;&lt;FQL&gt;&lt;Q&gt;OCL-AU^FG_PRICE(41880)&lt;/Q&gt;&lt;R&gt;1&lt;/R&gt;&lt;C&gt;1&lt;/C&gt;&lt;D xsi:type="xsd:double"&gt;1.49&lt;/D&gt;&lt;/FQL&gt;&lt;FQL&gt;&lt;Q&gt;OCL-AU^FREF_SHARES_COMPANY(41880,,,,0,"LEGACY")&lt;/Q&gt;&lt;R&gt;1&lt;/R&gt;&lt;C&gt;1&lt;/C&gt;&lt;D xsi:type="xsd:double"&gt;88.2532806396484&lt;/D&gt;&lt;/FQL&gt;&lt;FQL&gt;&lt;Q&gt;OCL-AU^FG_PRICE(41912)&lt;/Q&gt;&lt;R&gt;1&lt;/R&gt;&lt;C&gt;1&lt;/C&gt;&lt;D xsi:type="xsd:double"&gt;1.3&lt;/D&gt;&lt;/FQL&gt;&lt;FQL&gt;&lt;Q&gt;OCL-AU^FREF_SHARES_COMPANY(41912,,,,0,"LEGACY")&lt;/Q&gt;&lt;R&gt;1&lt;/R&gt;&lt;C&gt;1&lt;/C&gt;&lt;D xsi:type="xsd:double"&gt;88.3532791137695&lt;/D&gt;&lt;/FQL&gt;&lt;FQL&gt;&lt;Q&gt;OCL-AU^FG_PRICE(41943)&lt;/Q&gt;&lt;R&gt;1&lt;/R&gt;&lt;C&gt;1&lt;/C&gt;&lt;D xsi:type="xsd:double"&gt;1.34&lt;/D&gt;&lt;/FQL&gt;&lt;FQL&gt;&lt;Q&gt;OCL-AU^FREF_SHARES_COMPANY(41943,,,,0,"LEGACY")&lt;/Q&gt;&lt;R&gt;1&lt;/R&gt;&lt;C&gt;1&lt;/C&gt;&lt;D xsi:type="xsd:double"&gt;90.2032775878906&lt;/D&gt;&lt;/FQL&gt;&lt;FQL&gt;&lt;Q&gt;OCL-AU^FG_PRICE(41971)&lt;/Q&gt;&lt;R&gt;1&lt;/R&gt;&lt;C&gt;1&lt;/C&gt;&lt;D xsi:type="xsd:double"&gt;1.36&lt;/D&gt;&lt;/FQL&gt;&lt;FQL&gt;&lt;Q&gt;OCL-AU^FREF_SHARES_COMPANY(41971,,,,0,"LEGACY")&lt;/Q&gt;&lt;R&gt;1&lt;/R&gt;&lt;C&gt;1&lt;/C&gt;&lt;D xsi:type="xsd:double"&gt;90.2032775878906&lt;/D&gt;&lt;/FQL&gt;&lt;FQL&gt;&lt;Q&gt;OCL-AU^FG_PRICE(42004)&lt;/Q&gt;&lt;R&gt;1&lt;/R&gt;&lt;C&gt;1&lt;/C&gt;&lt;D xsi:type="xsd:double"&gt;1.37&lt;/D&gt;&lt;/FQL&gt;&lt;FQL&gt;&lt;Q&gt;OCL-AU^FREF_SHARES_COMPANY(42004,,,,0,"LEGACY")&lt;/Q&gt;&lt;R&gt;1&lt;/R&gt;&lt;C&gt;1&lt;/C&gt;&lt;D xsi:type="xsd:double"&gt;90.2752838134766&lt;/D&gt;&lt;/FQL&gt;&lt;FQL&gt;&lt;Q&gt;OCL-AU^FG_PRICE(42034)&lt;/Q&gt;&lt;R&gt;1&lt;/R&gt;&lt;C&gt;1&lt;/C&gt;&lt;D xsi:type="xsd:double"&gt;1.5&lt;/D&gt;&lt;/FQL&gt;&lt;FQL&gt;&lt;Q&gt;OCL-AU^FREF_SHARES_COMPANY(42034,,,,0,"LEGACY")&lt;/Q&gt;&lt;R&gt;1&lt;/R&gt;&lt;C&gt;1&lt;/C&gt;&lt;D xsi:type="xsd:double"&gt;90.2752838134766&lt;/D&gt;&lt;/FQL&gt;&lt;FQL&gt;&lt;Q&gt;OCL-AU^FG_PRICE(42062)&lt;/Q&gt;&lt;R&gt;1&lt;/R&gt;&lt;C&gt;1&lt;/C&gt;&lt;D xsi:type="xsd:double"&gt;1.3&lt;/D&gt;&lt;/FQL&gt;&lt;FQL&gt;&lt;Q&gt;OCL-AU^FREF_SHARES_COMPANY(42062,,,,0,"LEGACY")&lt;/Q&gt;&lt;R&gt;1&lt;/R&gt;&lt;C&gt;1&lt;/C&gt;&lt;D xsi:type="xsd:double"&gt;90.2752838134766&lt;/D&gt;&lt;/FQL&gt;&lt;FQL&gt;&lt;Q&gt;OCL-AU^FG_PRICE(42094)&lt;/Q&gt;&lt;R&gt;1&lt;/R&gt;&lt;C&gt;1&lt;/C&gt;&lt;D xsi:type="xsd:double"&gt;1.63&lt;/D&gt;&lt;/FQL&gt;&lt;FQL&gt;&lt;Q&gt;OCL-AU^FREF_SHARES_COMPANY(42094,,,,0,"LEGACY")&lt;/Q&gt;&lt;R&gt;1&lt;/R&gt;&lt;C&gt;1&lt;/C&gt;&lt;D xsi:type="xsd:double"&gt;90.4972839355469&lt;/D&gt;&lt;/FQL&gt;&lt;FQL&gt;&lt;Q&gt;OCL-AU^FG_PRICE(42124)&lt;/Q&gt;&lt;R&gt;1&lt;/R&gt;&lt;C&gt;1&lt;/C&gt;&lt;D xsi:type="xsd:double"&gt;1.63&lt;/D&gt;&lt;/FQL&gt;&lt;FQL&gt;&lt;Q&gt;OCL-AU^FREF_SHARES_COMPANY(42124,,,,0,"LEGACY")&lt;/Q&gt;&lt;R&gt;1&lt;/R&gt;&lt;C&gt;1&lt;/C&gt;&lt;D xsi:type="xsd:double"&gt;90.4972839355469&lt;/D&gt;&lt;/FQL&gt;&lt;FQL&gt;&lt;Q&gt;OCL-AU^FG_PRICE(42153)&lt;/Q&gt;&lt;R&gt;1&lt;/R&gt;&lt;C&gt;1&lt;/C&gt;&lt;D xsi:type="xsd:double"&gt;1.88&lt;/D&gt;&lt;/FQL&gt;&lt;FQL&gt;&lt;Q&gt;OCL-AU^FREF_SHARES_COMPANY(42153,,,,0,"LEGACY")&lt;/Q&gt;&lt;R&gt;1&lt;/R&gt;&lt;C&gt;1&lt;/C&gt;&lt;D xsi:type="xsd:double"&gt;90.7972793579102&lt;/D&gt;&lt;/FQL&gt;&lt;FQL&gt;&lt;Q&gt;OCL-AU^FG_PRICE(42185)&lt;/Q&gt;&lt;R&gt;1&lt;/R&gt;&lt;C&gt;1&lt;/C&gt;&lt;D xsi:type="xsd:double"&gt;2.08&lt;/D&gt;&lt;/FQL&gt;&lt;FQL&gt;&lt;Q&gt;OCL-AU^FREF_SHARES_COMPANY(42185,,,,0,"LEGACY")&lt;/Q&gt;&lt;R&gt;1&lt;/R&gt;&lt;C&gt;1&lt;/C&gt;&lt;D xsi:type="xsd:double"&gt;90.7972793579102&lt;/D&gt;&lt;/FQL&gt;&lt;FQL&gt;&lt;Q&gt;OCL-AU^FG_PRICE(42216)&lt;/Q&gt;&lt;R&gt;1&lt;/R&gt;&lt;C&gt;1&lt;/C&gt;&lt;D xsi:type="xsd:double"&gt;1.9200001&lt;/D&gt;&lt;/FQL&gt;&lt;FQL&gt;&lt;Q&gt;OCL-AU^FREF_SHARES_COMPANY(42216,,,,0,"LEGACY")&lt;/Q&gt;&lt;R&gt;1&lt;/R&gt;&lt;C&gt;1&lt;/C&gt;&lt;D xsi:type="xsd:double"&gt;90.7972793579102&lt;/D&gt;&lt;/FQL&gt;&lt;FQL&gt;&lt;Q&gt;OCL-AU^FG_PRICE(42247)&lt;/Q&gt;&lt;R&gt;1&lt;/R&gt;&lt;C&gt;1&lt;/C&gt;&lt;D xsi:type="xsd:double"&gt;1.61&lt;/D&gt;&lt;/FQL&gt;&lt;FQL&gt;&lt;Q&gt;OCL-AU^FREF_SHARES_COMPANY(42247,,,,0,"LEGACY")&lt;/Q&gt;&lt;R&gt;1&lt;/R&gt;&lt;C&gt;1&lt;/C&gt;&lt;D xsi:type="xsd:double"&gt;90.9072799682617&lt;/D&gt;&lt;/FQL&gt;&lt;FQL&gt;&lt;Q&gt;OCL-AU^FG_PRICE(42277)&lt;/Q&gt;&lt;R&gt;1&lt;/R&gt;&lt;C&gt;1&lt;/C&gt;&lt;D xsi:type="xsd:double"&gt;1.8&lt;/D&gt;&lt;/FQL&gt;&lt;FQL&gt;&lt;Q&gt;OCL-AU^FREF_SHARES_COMPANY(42277,,,,0,"LEGACY")&lt;/Q&gt;&lt;R&gt;1&lt;/R&gt;&lt;C&gt;1&lt;/C&gt;&lt;D xsi:type="xsd:double"&gt;90.9072799682617&lt;/D&gt;&lt;/FQL&gt;&lt;FQL&gt;&lt;Q&gt;OCL-AU^FG_PRICE(42307)&lt;/Q&gt;&lt;R&gt;1&lt;/R&gt;&lt;C&gt;1&lt;/C&gt;&lt;D xsi:type="xsd:double"&gt;1.6&lt;/D&gt;&lt;/FQL&gt;&lt;FQL&gt;&lt;Q&gt;OCL-AU^FREF_SHARES_COMPANY(42307,,,,0,"LEGACY")&lt;/Q&gt;&lt;R&gt;1&lt;/R&gt;&lt;C&gt;1&lt;/C&gt;&lt;D xsi:type="xsd:double"&gt;91.0272827148438&lt;/D&gt;&lt;/FQL&gt;&lt;FQL&gt;&lt;Q&gt;OCL-AU^FG_PRICE(42338)&lt;/Q&gt;&lt;R&gt;1&lt;/R&gt;&lt;C&gt;1&lt;/C&gt;&lt;D xsi:type="xsd:double"&gt;1.85&lt;/D&gt;&lt;/FQL&gt;&lt;FQL&gt;&lt;Q&gt;OCL-AU^FREF_SHARES_COMPANY(42338,,,,0,"LEGACY")&lt;/Q&gt;&lt;R&gt;1&lt;/R&gt;&lt;C&gt;1&lt;/C&gt;&lt;D xsi:type="xsd:double"&gt;91.0272827148438&lt;/D&gt;&lt;/FQL&gt;&lt;FQL&gt;&lt;Q&gt;OCL-AU^FG_PRICE(42369)&lt;/Q&gt;&lt;R&gt;1&lt;/R&gt;&lt;C&gt;1&lt;/C&gt;&lt;D xsi:type="xsd:double"&gt;1.9&lt;/D&gt;&lt;/FQL&gt;&lt;FQL&gt;&lt;Q&gt;OCL-AU^FREF_SHARES_COMPANY(42369,,,,0,"LEGACY")&lt;/Q&gt;&lt;R&gt;1&lt;/R&gt;&lt;C&gt;1&lt;/C&gt;&lt;D xsi:type="xsd:double"&gt;91.0272827148438&lt;/D&gt;&lt;/FQL&gt;&lt;FQL&gt;&lt;Q&gt;OCL-AU^FG_PRICE(42398)&lt;/Q&gt;&lt;R&gt;1&lt;/R&gt;&lt;C&gt;1&lt;/C&gt;&lt;D xsi:type="xsd:double"&gt;1.845&lt;/D&gt;&lt;/FQL&gt;&lt;FQL&gt;&lt;Q&gt;OCL-AU^FREF_SHARES_COMPANY(42398,,,,0,"LEGACY")&lt;/Q&gt;&lt;R&gt;1&lt;/R&gt;&lt;C&gt;1&lt;/C&gt;&lt;D xsi:type="xsd:double"&gt;91.1272811889648&lt;/D&gt;&lt;/FQL&gt;&lt;FQL&gt;&lt;Q&gt;OCL-AU^FG_PRICE(42429)&lt;/Q&gt;&lt;R&gt;1&lt;/R&gt;&lt;C&gt;1&lt;/C&gt;&lt;D xsi:type="xsd:double"&gt;1.4&lt;/D&gt;&lt;/FQL&gt;&lt;FQL&gt;&lt;Q&gt;OCL-AU^FREF_SHARES_COMPANY(42429,,,,0,"LEGACY")&lt;/Q&gt;&lt;R&gt;1&lt;/R&gt;&lt;C&gt;1&lt;/C&gt;&lt;D xsi:type="xsd:double"&gt;91.1272811889648&lt;/D&gt;&lt;/FQL&gt;&lt;FQL&gt;&lt;Q&gt;OCL-AU^FG_PRICE(42460)&lt;/Q&gt;&lt;R&gt;1&lt;/R&gt;&lt;C&gt;1&lt;/C&gt;&lt;D xsi:type="xsd:double"&gt;1.6700001&lt;/D&gt;&lt;/FQL&gt;&lt;FQL&gt;&lt;Q&gt;OCL-AU^FREF_SHARES_COMPANY(42460,,,,0,"LEGACY")&lt;/Q&gt;&lt;R&gt;1&lt;/R&gt;&lt;C&gt;1&lt;/C&gt;&lt;D xsi:type="xsd:double"&gt;91.327278137207&lt;/D&gt;&lt;/FQL&gt;&lt;FQL&gt;&lt;Q&gt;OCL-AU^FG_PRICE(42489)&lt;/Q&gt;&lt;R&gt;1&lt;/R&gt;&lt;C&gt;1&lt;/C&gt;&lt;D xsi:type="xsd:double"&gt;1.86&lt;/D&gt;&lt;/FQL&gt;&lt;FQL&gt;&lt;Q&gt;OCL-AU^FREF_SHARES_COMPANY(42489,,,,0,"LEGACY")&lt;/Q&gt;&lt;R&gt;1&lt;/R&gt;&lt;C&gt;1&lt;/C&gt;&lt;D xsi:type="xsd:double"&gt;91.327278137207&lt;/D&gt;&lt;/FQL&gt;&lt;FQL&gt;&lt;Q&gt;OCL-AU^FG_PRICE(42521)&lt;/Q&gt;&lt;R&gt;1&lt;/R&gt;&lt;C&gt;1&lt;/C&gt;&lt;D xsi:type="xsd:double"&gt;1.89&lt;/D&gt;&lt;/FQL&gt;&lt;FQL&gt;&lt;Q&gt;OCL-AU^FREF_SHARES_COMPANY(42521,,,,0,"LEGACY")&lt;/Q&gt;&lt;R&gt;1&lt;/R&gt;&lt;C&gt;1&lt;/C&gt;&lt;D xsi:type="xsd:double"&gt;91.327278137207&lt;/D&gt;&lt;/FQL&gt;&lt;FQL&gt;&lt;Q&gt;OCL-AU^FG_PRICE(42551)&lt;/Q&gt;&lt;R&gt;1&lt;/R&gt;&lt;C&gt;1&lt;/C&gt;&lt;D xsi:type="xsd:double"&gt;1.79&lt;/D&gt;&lt;/FQL&gt;&lt;FQL&gt;&lt;Q&gt;OCL-AU^FREF_SHARES_COMPANY(42551,,,,0,"LEGACY")&lt;/Q&gt;&lt;R&gt;1&lt;/R&gt;&lt;C&gt;1&lt;/C&gt;&lt;D xsi:type="xsd:double"&gt;91.327278137207&lt;/D&gt;&lt;/FQL&gt;&lt;FQL&gt;&lt;Q&gt;OCL-AU^FG_PRICE(42580)&lt;/Q&gt;&lt;R&gt;1&lt;/R&gt;&lt;C&gt;1&lt;/C&gt;&lt;D xsi:type="xsd:double"&gt;1.5550001&lt;/D&gt;&lt;/FQL&gt;&lt;FQL&gt;&lt;Q&gt;OCL-AU^FREF_SHARES_COMPANY(42580,,,,0,"LEGACY")&lt;/Q&gt;&lt;R&gt;1&lt;/R&gt;&lt;C&gt;1&lt;/C&gt;&lt;D xsi:type="xsd:double"&gt;91.327278137207&lt;/D&gt;&lt;/FQL&gt;&lt;FQL&gt;&lt;Q&gt;OCL-AU^FG_PRICE(42613)&lt;/Q&gt;&lt;R&gt;1&lt;/R&gt;&lt;C&gt;1&lt;/C&gt;&lt;D xsi:type="xsd:double"&gt;1.9&lt;/D&gt;&lt;/FQL&gt;&lt;FQL&gt;&lt;Q&gt;OCL-AU^FREF_SHARES_COMPANY(42613,,,,0,"LEGACY")&lt;/Q&gt;&lt;R&gt;1&lt;/R&gt;&lt;C&gt;1&lt;/C&gt;&lt;D xsi:type="xsd:double"&gt;91.327278137207&lt;/D&gt;&lt;/FQL&gt;&lt;FQL&gt;&lt;Q&gt;OCL-AU^FG_PRICE(42643)&lt;/Q&gt;&lt;R&gt;1&lt;/R&gt;&lt;C&gt;1&lt;/C&gt;&lt;D xsi:type="xsd:double"&gt;1.7950001&lt;/D&gt;&lt;/FQL&gt;&lt;FQL&gt;&lt;Q&gt;OCL-AU^FREF_SHARES_COMPANY(42643,,,,0,"LEGACY")&lt;/Q&gt;&lt;R&gt;1&lt;/R&gt;&lt;C&gt;1&lt;/C&gt;&lt;D xsi:type="xsd:double"&gt;91.8691711425781&lt;/D&gt;&lt;/FQL&gt;&lt;FQL&gt;&lt;Q&gt;OCL-AU^FG_PRICE(42674)&lt;/Q&gt;&lt;R&gt;1&lt;/R&gt;&lt;C&gt;1&lt;/C&gt;&lt;D xsi:type="xsd:double"&gt;1.71&lt;/D&gt;&lt;/FQL&gt;&lt;FQL&gt;&lt;Q&gt;OCL-AU^FREF_SHARES_COMPANY(42674,,,,0,"LEGACY")&lt;/Q&gt;&lt;R&gt;1&lt;/R&gt;&lt;C&gt;1&lt;/C&gt;&lt;D xsi:type="xsd:double"&gt;91.8691711425781&lt;/D&gt;&lt;/FQL&gt;&lt;FQL&gt;&lt;Q&gt;OCL-AU^FG_PRICE(42704)&lt;/Q&gt;&lt;R&gt;1&lt;/R&gt;&lt;C&gt;1&lt;/C&gt;&lt;D xsi:type="xsd:double"&gt;1.79&lt;/D&gt;&lt;/FQL&gt;&lt;FQL&gt;&lt;Q&gt;OCL-AU^FREF_SHARES_COMPANY(42704,,,,0,"LEGACY")&lt;/Q&gt;&lt;R&gt;1&lt;/R&gt;&lt;C&gt;1&lt;/C&gt;&lt;D xsi:type="xsd:double"&gt;91.8691711425781&lt;/D&gt;&lt;/FQL&gt;&lt;FQL&gt;&lt;Q&gt;OCL-AU^FG_PRICE(42734)&lt;/Q&gt;&lt;R&gt;1&lt;/R&gt;&lt;C&gt;1&lt;/C&gt;&lt;D xsi:type="xsd:double"&gt;1.8&lt;/D&gt;&lt;/FQL&gt;&lt;FQL&gt;&lt;Q&gt;OCL-AU^FREF_SHARES_COMPANY(42734,,,,0,"LEGACY")&lt;/Q&gt;&lt;R&gt;1&lt;/R&gt;&lt;C&gt;1&lt;/C&gt;&lt;D xsi:type="xsd:double"&gt;91.8691711425781&lt;/D&gt;&lt;/FQL&gt;&lt;FQL&gt;&lt;Q&gt;OCL-AU^FG_PRICE(42766)&lt;/Q&gt;&lt;R&gt;1&lt;/R&gt;&lt;C&gt;1&lt;/C&gt;&lt;D xsi:type="xsd:double"&gt;2.33&lt;/D&gt;&lt;/FQL&gt;&lt;FQL&gt;&lt;Q&gt;OCL-AU^FREF_SHARES_COMPANY(42766,,,,0,"LEGACY")&lt;/Q&gt;&lt;R&gt;1&lt;/R&gt;&lt;C&gt;1&lt;/C&gt;&lt;D xsi:type="xsd:double"&gt;91.2180404663086&lt;/D&gt;&lt;/FQL&gt;&lt;FQL&gt;&lt;Q&gt;OCL-AU^FG_PRICE(42794)&lt;/Q&gt;&lt;R&gt;1&lt;/R&gt;&lt;C&gt;1&lt;/C&gt;&lt;D xsi:type="xsd:double"&gt;2.25&lt;/D&gt;&lt;/FQL&gt;&lt;FQL&gt;&lt;Q&gt;OCL-AU^FREF_SHARES_COMPANY(42794,,,,0,"LEGACY")&lt;/Q&gt;&lt;R&gt;1&lt;/R&gt;&lt;C&gt;1&lt;/C&gt;&lt;D xsi:type="xsd:double"&gt;91.6430358886719&lt;/D&gt;&lt;/FQL&gt;&lt;FQL&gt;&lt;Q&gt;OCL-AU^FG_PRICE(42825)&lt;/Q&gt;&lt;R&gt;1&lt;/R&gt;&lt;C&gt;1&lt;/C&gt;&lt;D xsi:type="xsd:double"&gt;2.18&lt;/D&gt;&lt;/FQL&gt;&lt;FQL&gt;&lt;Q&gt;OCL-AU^FREF_SHARES_COMPANY(42825,,,,0,"LEGACY")&lt;/Q&gt;&lt;R&gt;1&lt;/R&gt;&lt;C&gt;1&lt;/C&gt;&lt;D xsi:type="xsd:double"&gt;91.6430358886719&lt;/D&gt;&lt;/FQL&gt;&lt;FQL&gt;&lt;Q&gt;OCL-AU^FG_PRICE(42853)&lt;/Q&gt;&lt;R&gt;1&lt;/R&gt;&lt;C&gt;1&lt;/C&gt;&lt;D xsi:type="xsd:double"&gt;2.215&lt;/D&gt;&lt;/FQL&gt;&lt;FQL&gt;&lt;Q&gt;OCL-AU^FREF_SHARES_COMPANY(42853,,,,0,"LEGACY")&lt;/Q&gt;&lt;R&gt;1&lt;/R&gt;&lt;C&gt;1&lt;/C&gt;&lt;D xsi:type="xsd:double"&gt;91.6430358886719&lt;/D&gt;&lt;/FQL&gt;&lt;FQL&gt;&lt;Q&gt;OCL-AU^FG_PRICE(42886)&lt;/Q&gt;&lt;R&gt;1&lt;/R&gt;&lt;C&gt;1&lt;/C&gt;&lt;D xsi:type="xsd:double"&gt;2.17&lt;/D&gt;&lt;/FQL&gt;&lt;FQL&gt;&lt;Q&gt;OCL-AU^FREF_SHARES_COMPANY(42886,,,,0,"LEGACY")&lt;/Q&gt;&lt;R&gt;1&lt;/R&gt;&lt;C&gt;1&lt;/C&gt;&lt;D xsi:type="xsd:double"&gt;91.6430358886719&lt;/D&gt;&lt;/FQL&gt;&lt;FQL&gt;&lt;Q&gt;OCL-AU^FG_PRICE(42916)&lt;/Q&gt;&lt;R&gt;1&lt;/R&gt;&lt;C&gt;1&lt;/C&gt;&lt;D xsi:type="xsd:double"&gt;2.21&lt;/D&gt;&lt;/FQL&gt;&lt;FQL&gt;&lt;Q&gt;OCL-AU^FREF_SHARES_COMPANY(42916,,,,0,"LEGACY")&lt;/Q&gt;&lt;R&gt;1&lt;/R&gt;&lt;C&gt;1&lt;/C&gt;&lt;D xsi:type="xsd:double"&gt;91.6430358886719&lt;/D&gt;&lt;/FQL&gt;&lt;FQL&gt;&lt;Q&gt;OCL-AU^FG_PRICE(42947)&lt;/Q&gt;&lt;R&gt;1&lt;/R&gt;&lt;C&gt;1&lt;/C&gt;&lt;D xsi:type="xsd:double"&gt;2.3600001&lt;/D&gt;&lt;/FQL&gt;&lt;FQL&gt;&lt;Q&gt;OCL-AU^FREF_SHARES_COMPANY(42947,,,,0,"LEGACY")&lt;/Q&gt;&lt;R&gt;1&lt;/R&gt;&lt;C&gt;1&lt;/C&gt;&lt;D xsi:type="xsd:double"&gt;91.7680358886719&lt;/D&gt;&lt;/FQL&gt;&lt;FQL&gt;&lt;Q&gt;OCL-AU^FG_PRICE(42978)&lt;/Q&gt;&lt;R&gt;1&lt;/R&gt;&lt;C&gt;1&lt;/C&gt;&lt;D xsi:type="xsd:double"&gt;2.22&lt;/D&gt;&lt;/FQL&gt;&lt;FQL&gt;&lt;Q&gt;OCL-AU^FREF_SHARES_COMPANY(42978,,,,0,"LEGACY")&lt;/Q&gt;&lt;R&gt;1&lt;/R&gt;&lt;C&gt;1&lt;/C&gt;&lt;D xsi:type="xsd:double"&gt;91.7680358886719&lt;/D&gt;&lt;/FQL&gt;&lt;FQL&gt;&lt;Q&gt;OCL-AU^FG_PRICE(43007)&lt;/Q&gt;&lt;R&gt;1&lt;/R&gt;&lt;C&gt;1&lt;/C&gt;&lt;D xsi:type="xsd:double"&gt;2.5&lt;/D&gt;&lt;/FQL&gt;&lt;FQL&gt;&lt;Q&gt;OCL-AU^FREF_SHARES_COMPANY(43007,,,,0,"LEGACY")&lt;/Q&gt;&lt;R&gt;1&lt;/R&gt;&lt;C&gt;1&lt;/C&gt;&lt;D xsi:type="xsd:double"&gt;91.7680358886719&lt;/D&gt;&lt;/FQL&gt;&lt;FQL&gt;&lt;Q&gt;OCL-AU^FG_PRICE(43039)&lt;/Q&gt;&lt;R&gt;1&lt;/R&gt;&lt;C&gt;1&lt;/C&gt;&lt;D xsi:type="xsd:double"&gt;2.75&lt;/D&gt;&lt;/FQL&gt;&lt;FQL&gt;&lt;Q&gt;OCL-AU^FREF_SHARES_COMPANY(43039,,,,0,"LEGACY")&lt;/Q&gt;&lt;R&gt;1&lt;/R&gt;&lt;C&gt;1&lt;/C&gt;&lt;D xsi:type="xsd:double"&gt;91.8680419921875&lt;/D&gt;&lt;/FQL&gt;&lt;FQL&gt;&lt;Q&gt;OCL-AU^FG_PRICE(43069)&lt;/Q&gt;&lt;R&gt;1&lt;/R&gt;&lt;C&gt;1&lt;/C&gt;&lt;D xsi:type="xsd:double"&gt;2.91&lt;/D&gt;&lt;/FQL&gt;&lt;FQL&gt;&lt;Q&gt;OCL-AU^FREF_SHARES_COMPANY(43069,,,,0,"LEGACY")&lt;/Q&gt;&lt;R&gt;1&lt;/R&gt;&lt;C&gt;1&lt;/C&gt;&lt;D xsi:type="xsd:double"&gt;91.8680419921875&lt;/D&gt;&lt;/FQL&gt;&lt;FQL&gt;&lt;Q&gt;OCL-AU^FG_PRICE(43098)&lt;/Q&gt;&lt;R&gt;1&lt;/R&gt;&lt;C&gt;1&lt;/C&gt;&lt;D xsi:type="xsd:double"&gt;3.3&lt;/D&gt;&lt;/FQL&gt;&lt;FQL&gt;&lt;Q&gt;OCL-AU^FREF_SHARES_COMPANY(43098,,,,0,"LEGACY")&lt;/Q&gt;&lt;R&gt;1&lt;/R&gt;&lt;C&gt;1&lt;/C&gt;&lt;D xsi:type="xsd:double"&gt;91.8680419921875&lt;/D&gt;&lt;/FQL&gt;&lt;FQL&gt;&lt;Q&gt;OCL-AU^FG_PRICE(43131)&lt;/Q&gt;&lt;R&gt;1&lt;/R&gt;&lt;C&gt;1&lt;/C&gt;&lt;D xsi:type="xsd:double"&gt;3.34&lt;/D&gt;&lt;/FQL&gt;&lt;FQL&gt;&lt;Q&gt;OCL-AU^FREF_SHARES_COMPANY(43131,,,,0,"LEGACY")&lt;/Q&gt;&lt;R&gt;1&lt;/R&gt;&lt;C&gt;1&lt;/C&gt;&lt;D xsi:type="xsd:double"&gt;92.3430404663086&lt;/D&gt;&lt;/FQL&gt;&lt;FQL&gt;&lt;Q&gt;OCL-AU^FG_PRICE(43159)&lt;/Q&gt;&lt;R&gt;1&lt;/R&gt;&lt;C&gt;1&lt;/C&gt;&lt;D xsi:type="xsd:double"&gt;2.8899999&lt;/D&gt;&lt;/FQL&gt;&lt;FQL&gt;&lt;Q&gt;OCL-AU^FREF_SHARES_COMPANY(43159,,,,0,"LEGACY")&lt;/Q&gt;&lt;R&gt;1&lt;/R&gt;&lt;C&gt;1&lt;/C&gt;&lt;D xsi:type="xsd:double"&gt;92.3430404663086&lt;/D&gt;&lt;/FQL&gt;&lt;FQL&gt;&lt;Q&gt;OCL-AU^FG_PRICE(43188)&lt;/Q&gt;&lt;R&gt;1&lt;/R&gt;&lt;C&gt;1&lt;/C&gt;&lt;D xsi:type="xsd:double"&gt;3.1&lt;/D&gt;&lt;/FQL&gt;&lt;FQL&gt;&lt;Q&gt;OCL-AU^FREF_SHARES_COMPANY(43188,,,,0,"LEGACY")&lt;/Q&gt;&lt;R&gt;1&lt;/R&gt;&lt;C&gt;1&lt;/C&gt;&lt;D xsi:type="xsd:double"&gt;92.3430404663086&lt;/D&gt;&lt;/FQL&gt;&lt;FQL&gt;&lt;Q&gt;OCL-AU^FG_PRICE(43220)&lt;/Q&gt;&lt;R&gt;1&lt;/R&gt;&lt;C&gt;1&lt;/C&gt;&lt;D xsi:type="xsd:double"&gt;3.05&lt;/D&gt;&lt;/FQL&gt;&lt;FQL&gt;&lt;Q&gt;OCL-AU^FREF_SHARES_COMPANY(43220,,,,0,"LEGACY")&lt;/Q&gt;&lt;R&gt;1&lt;/R&gt;&lt;C&gt;1&lt;/C&gt;&lt;D xsi:type="xsd:double"&gt;92.3430404663086&lt;/D&gt;&lt;/FQL&gt;&lt;FQL&gt;&lt;Q&gt;OCL-AU^FG_PRICE(43251)&lt;/Q&gt;&lt;R&gt;1&lt;/R&gt;&lt;C&gt;1&lt;/C&gt;&lt;D xsi:type="xsd:double"&gt;3.26&lt;/D&gt;&lt;/FQL&gt;&lt;FQL&gt;&lt;Q&gt;OCL-AU^FREF_SHARES_COMPANY(43251,,,,0,"LEGACY")&lt;/Q&gt;&lt;R&gt;1&lt;/R&gt;&lt;C&gt;1&lt;/C&gt;&lt;D xsi:type="xsd:double"&gt;92.3430404663086&lt;/D&gt;&lt;/FQL&gt;&lt;FQL&gt;&lt;Q&gt;OCL-AU^FG_PRICE(43280)&lt;/Q&gt;&lt;R&gt;1&lt;/R&gt;&lt;C&gt;1&lt;/C&gt;&lt;D xsi:type="xsd:double"&gt;3.5&lt;/D&gt;&lt;/FQL&gt;&lt;FQL&gt;&lt;Q&gt;OCL-AU^FREF_SHARES_COMPANY(43280,,,,0,"LEGACY")&lt;/Q&gt;&lt;R&gt;1&lt;/R&gt;&lt;C&gt;1&lt;/C&gt;&lt;D xsi:type="xsd:double"&gt;92.4430389404297&lt;/D&gt;&lt;/FQL&gt;&lt;FQL&gt;&lt;Q&gt;OCL-AU^FG_</t>
        </r>
      </text>
    </comment>
    <comment ref="A3" authorId="0" shapeId="0" xr:uid="{EE5054A7-351B-4028-86C5-7CCD045ADFCC}">
      <text>
        <r>
          <rPr>
            <b/>
            <sz val="9"/>
            <color indexed="81"/>
            <rFont val="Tahoma"/>
            <charset val="1"/>
          </rPr>
          <t>PRICE(43312)&lt;/Q&gt;&lt;R&gt;1&lt;/R&gt;&lt;C&gt;1&lt;/C&gt;&lt;D xsi:type="xsd:double"&gt;2.9&lt;/D&gt;&lt;/FQL&gt;&lt;FQL&gt;&lt;Q&gt;OCL-AU^FREF_SHARES_COMPANY(43312,,,,0,"LEGACY")&lt;/Q&gt;&lt;R&gt;1&lt;/R&gt;&lt;C&gt;1&lt;/C&gt;&lt;D xsi:type="xsd:double"&gt;92.6930389404297&lt;/D&gt;&lt;/FQL&gt;&lt;FQL&gt;&lt;Q&gt;OCL-AU^FG_PRICE(43343)&lt;/Q&gt;&lt;R&gt;1&lt;/R&gt;&lt;C&gt;1&lt;/C&gt;&lt;D xsi:type="xsd:double"&gt;3.12&lt;/D&gt;&lt;/FQL&gt;&lt;FQL&gt;&lt;Q&gt;OCL-AU^FREF_SHARES_COMPANY(43343,,,,0,"LEGACY")&lt;/Q&gt;&lt;R&gt;1&lt;/R&gt;&lt;C&gt;1&lt;/C&gt;&lt;D xsi:type="xsd:double"&gt;92.6930389404297&lt;/D&gt;&lt;/FQL&gt;&lt;FQL&gt;&lt;Q&gt;OCL-AU^FG_PRICE(43371)&lt;/Q&gt;&lt;R&gt;1&lt;/R&gt;&lt;C&gt;1&lt;/C&gt;&lt;D xsi:type="xsd:double"&gt;2.81&lt;/D&gt;&lt;/FQL&gt;&lt;FQL&gt;&lt;Q&gt;OCL-AU^FREF_SHARES_COMPANY(43371,,,,0,"LEGACY")&lt;/Q&gt;&lt;R&gt;1&lt;/R&gt;&lt;C&gt;1&lt;/C&gt;&lt;D xsi:type="xsd:double"&gt;92.6930389404297&lt;/D&gt;&lt;/FQL&gt;&lt;FQL&gt;&lt;Q&gt;OCL-AU^FG_PRICE(43404)&lt;/Q&gt;&lt;R&gt;1&lt;/R&gt;&lt;C&gt;1&lt;/C&gt;&lt;D xsi:type="xsd:double"&gt;2.79&lt;/D&gt;&lt;/FQL&gt;&lt;FQL&gt;&lt;Q&gt;OCL-AU^FREF_SHARES_COMPANY(43404,,,,0,"LEGACY")&lt;/Q&gt;&lt;R&gt;1&lt;/R&gt;&lt;C&gt;1&lt;/C&gt;&lt;D xsi:type="xsd:double"&gt;92.6930389404297&lt;/D&gt;&lt;/FQL&gt;&lt;FQL&gt;&lt;Q&gt;OCL-AU^FG_PRICE(43434)&lt;/Q&gt;&lt;R&gt;1&lt;/R&gt;&lt;C&gt;1&lt;/C&gt;&lt;D xsi:type="xsd:double"&gt;2.5&lt;/D&gt;&lt;/FQL&gt;&lt;FQL&gt;&lt;Q&gt;OCL-AU^FREF_SHARES_COMPANY(43434,,,,0,"LEGACY")&lt;/Q&gt;&lt;R&gt;1&lt;/R&gt;&lt;C&gt;1&lt;/C&gt;&lt;D xsi:type="xsd:double"&gt;92.6930389404297&lt;/D&gt;&lt;/FQL&gt;&lt;FQL&gt;&lt;Q&gt;OCL-AU^FG_PRICE(43465)&lt;/Q&gt;&lt;R&gt;1&lt;/R&gt;&lt;C&gt;1&lt;/C&gt;&lt;D xsi:type="xsd:double"&gt;2.6&lt;/D&gt;&lt;/FQL&gt;&lt;FQL&gt;&lt;Q&gt;OCL-AU^FREF_SHARES_COMPANY(43465,,,,0,"LEGACY")&lt;/Q&gt;&lt;R&gt;1&lt;/R&gt;&lt;C&gt;1&lt;/C&gt;&lt;D xsi:type="xsd:double"&gt;92.6930389404297&lt;/D&gt;&lt;/FQL&gt;&lt;FQL&gt;&lt;Q&gt;OCL-AU^FG_PRICE(43496)&lt;/Q&gt;&lt;R&gt;1&lt;/R&gt;&lt;C&gt;1&lt;/C&gt;&lt;D xsi:type="xsd:double"&gt;2.59&lt;/D&gt;&lt;/FQL&gt;&lt;FQL&gt;&lt;Q&gt;OCL-AU^FREF_SHARES_COMPANY(43496,,,,0,"LEGACY")&lt;/Q&gt;&lt;R&gt;1&lt;/R&gt;&lt;C&gt;1&lt;/C&gt;&lt;D xsi:type="xsd:double"&gt;92.6930389404297&lt;/D&gt;&lt;/FQL&gt;&lt;FQL&gt;&lt;Q&gt;OCL-AU^FG_PRICE(43524)&lt;/Q&gt;&lt;R&gt;1&lt;/R&gt;&lt;C&gt;1&lt;/C&gt;&lt;D xsi:type="xsd:double"&gt;2.76&lt;/D&gt;&lt;/FQL&gt;&lt;FQL&gt;&lt;Q&gt;OCL-AU^FREF_SHARES_COMPANY(43524,,,,0,"LEGACY")&lt;/Q&gt;&lt;R&gt;1&lt;/R&gt;&lt;C&gt;1&lt;/C&gt;&lt;D xsi:type="xsd:double"&gt;92.6930389404297&lt;/D&gt;&lt;/FQL&gt;&lt;FQL&gt;&lt;Q&gt;OCL-AU^FG_PRICE(43553)&lt;/Q&gt;&lt;R&gt;1&lt;/R&gt;&lt;C&gt;1&lt;/C&gt;&lt;D xsi:type="xsd:double"&gt;2.8&lt;/D&gt;&lt;/FQL&gt;&lt;FQL&gt;&lt;Q&gt;OCL-AU^FREF_SHARES_COMPANY(43553,,,,0,"LEGACY")&lt;/Q&gt;&lt;R&gt;1&lt;/R&gt;&lt;C&gt;1&lt;/C&gt;&lt;D xsi:type="xsd:double"&gt;92.6930389404297&lt;/D&gt;&lt;/FQL&gt;&lt;FQL&gt;&lt;Q&gt;OCL-AU^FG_PRICE(43585)&lt;/Q&gt;&lt;R&gt;1&lt;/R&gt;&lt;C&gt;1&lt;/C&gt;&lt;D xsi:type="xsd:double"&gt;2.85&lt;/D&gt;&lt;/FQL&gt;&lt;FQL&gt;&lt;Q&gt;OCL-AU^FREF_SHARES_COMPANY(43585,,,,0,"LEGACY")&lt;/Q&gt;&lt;R&gt;1&lt;/R&gt;&lt;C&gt;1&lt;/C&gt;&lt;D xsi:type="xsd:double"&gt;92.6791076660156&lt;/D&gt;&lt;/FQL&gt;&lt;FQL&gt;&lt;Q&gt;OCL-AU^FG_PRICE(43616)&lt;/Q&gt;&lt;R&gt;1&lt;/R&gt;&lt;C&gt;1&lt;/C&gt;&lt;D xsi:type="xsd:double"&gt;2.8&lt;/D&gt;&lt;/FQL&gt;&lt;FQL&gt;&lt;Q&gt;OCL-AU^FREF_SHARES_COMPANY(43616,,,,0,"LEGACY")&lt;/Q&gt;&lt;R&gt;1&lt;/R&gt;&lt;C&gt;1&lt;/C&gt;&lt;D xsi:type="xsd:double"&gt;92.8791122436523&lt;/D&gt;&lt;/FQL&gt;&lt;FQL&gt;&lt;Q&gt;OCL-AU^FG_PRICE(43644)&lt;/Q&gt;&lt;R&gt;1&lt;/R&gt;&lt;C&gt;1&lt;/C&gt;&lt;D xsi:type="xsd:double"&gt;2.8&lt;/D&gt;&lt;/FQL&gt;&lt;FQL&gt;&lt;Q&gt;OCL-AU^FREF_SHARES_COMPANY(43644,,,,0,"LEGACY")&lt;/Q&gt;&lt;R&gt;1&lt;/R&gt;&lt;C&gt;1&lt;/C&gt;&lt;D xsi:type="xsd:double"&gt;92.8791122436523&lt;/D&gt;&lt;/FQL&gt;&lt;FQL&gt;&lt;Q&gt;OCL-AU^FG_PRICE(43677)&lt;/Q&gt;&lt;R&gt;1&lt;/R&gt;&lt;C&gt;1&lt;/C&gt;&lt;D xsi:type="xsd:double"&gt;3.56&lt;/D&gt;&lt;/FQL&gt;&lt;FQL&gt;&lt;Q&gt;OCL-AU^FREF_SHARES_COMPANY(43677,,,,0,"LEGACY")&lt;/Q&gt;&lt;R&gt;1&lt;/R&gt;&lt;C&gt;1&lt;/C&gt;&lt;D xsi:type="xsd:double"&gt;92.8791122436523&lt;/D&gt;&lt;/FQL&gt;&lt;FQL&gt;&lt;Q&gt;OCL-AU^FG_PRICE(43707)&lt;/Q&gt;&lt;R&gt;1&lt;/R&gt;&lt;C&gt;1&lt;/C&gt;&lt;D xsi:type="xsd:double"&gt;3.8&lt;/D&gt;&lt;/FQL&gt;&lt;FQL&gt;&lt;Q&gt;OCL-AU^FREF_SHARES_COMPANY(43707,,,,0,"LEGACY")&lt;/Q&gt;&lt;R&gt;1&lt;/R&gt;&lt;C&gt;1&lt;/C&gt;&lt;D xsi:type="xsd:double"&gt;92.7778778076172&lt;/D&gt;&lt;/FQL&gt;&lt;FQL&gt;&lt;Q&gt;OCL-AU^FG_PRICE(43738)&lt;/Q&gt;&lt;R&gt;1&lt;/R&gt;&lt;C&gt;1&lt;/C&gt;&lt;D xsi:type="xsd:double"&gt;4.18&lt;/D&gt;&lt;/FQL&gt;&lt;FQL&gt;&lt;Q&gt;OCL-AU^FREF_SHARES_COMPANY(43738,,,,0,"LEGACY")&lt;/Q&gt;&lt;R&gt;1&lt;/R&gt;&lt;C&gt;1&lt;/C&gt;&lt;D xsi:type="xsd:double"&gt;92.7778778076172&lt;/D&gt;&lt;/FQL&gt;&lt;FQL&gt;&lt;Q&gt;OCL-AU^FG_PRICE(43769)&lt;/Q&gt;&lt;R&gt;1&lt;/R&gt;&lt;C&gt;1&lt;/C&gt;&lt;D xsi:type="xsd:double"&gt;4.5&lt;/D&gt;&lt;/FQL&gt;&lt;FQL&gt;&lt;Q&gt;OCL-AU^FREF_SHARES_COMPANY(43769,,,,0,"LEGACY")&lt;/Q&gt;&lt;R&gt;1&lt;/R&gt;&lt;C&gt;1&lt;/C&gt;&lt;D xsi:type="xsd:double"&gt;92.7778778076172&lt;/D&gt;&lt;/FQL&gt;&lt;FQL&gt;&lt;Q&gt;OCL-AU^FG_PRICE(43798)&lt;/Q&gt;&lt;R&gt;1&lt;/R&gt;&lt;C&gt;1&lt;/C&gt;&lt;D xsi:type="xsd:double"&gt;5.96&lt;/D&gt;&lt;/FQL&gt;&lt;FQL&gt;&lt;Q&gt;OCL-AU^FREF_SHARES_COMPANY(43798,,,,0,"LEGACY")&lt;/Q&gt;&lt;R&gt;1&lt;/R&gt;&lt;C&gt;1&lt;/C&gt;&lt;D xsi:type="xsd:double"&gt;92.7778778076172&lt;/D&gt;&lt;/FQL&gt;&lt;FQL&gt;&lt;Q&gt;OCL-AU^FG_PRICE(43830)&lt;/Q&gt;&lt;R&gt;1&lt;/R&gt;&lt;C&gt;1&lt;/C&gt;&lt;D xsi:type="xsd:double"&gt;5.99&lt;/D&gt;&lt;/FQL&gt;&lt;FQL&gt;&lt;Q&gt;OCL-AU^FREF_SHARES_COMPANY(43830,,,,0,"LEGACY")&lt;/Q&gt;&lt;R&gt;1&lt;/R&gt;&lt;C&gt;1&lt;/C&gt;&lt;D xsi:type="xsd:double"&gt;92.7778778076172&lt;/D&gt;&lt;/FQL&gt;&lt;FQL&gt;&lt;Q&gt;OCL-AU^FG_PRICE(43861)&lt;/Q&gt;&lt;R&gt;1&lt;/R&gt;&lt;C&gt;1&lt;/C&gt;&lt;D xsi:type="xsd:double"&gt;6.5&lt;/D&gt;&lt;/FQL&gt;&lt;FQL&gt;&lt;Q&gt;OCL-AU^FREF_SHARES_COMPANY(43861,,,,0,"LEGACY")&lt;/Q&gt;&lt;R&gt;1&lt;/R&gt;&lt;C&gt;1&lt;/C&gt;&lt;D xsi:type="xsd:double"&gt;93.1653671264648&lt;/D&gt;&lt;/FQL&gt;&lt;FQL&gt;&lt;Q&gt;OCL-AU^FG_PRICE(43889)&lt;/Q&gt;&lt;R&gt;1&lt;/R&gt;&lt;C&gt;1&lt;/C&gt;&lt;D xsi:type="xsd:double"&gt;5.45&lt;/D&gt;&lt;/FQL&gt;&lt;FQL&gt;&lt;Q&gt;OCL-AU^FREF_SHARES_COMPANY(43889,,,,0,"LEGACY")&lt;/Q&gt;&lt;R&gt;1&lt;/R&gt;&lt;C&gt;1&lt;/C&gt;&lt;D xsi:type="xsd:double"&gt;93.1653671264648&lt;/D&gt;&lt;/FQL&gt;&lt;FQL&gt;&lt;Q&gt;OCL-AU^FG_PRICE(43921)&lt;/Q&gt;&lt;R&gt;1&lt;/R&gt;&lt;C&gt;1&lt;/C&gt;&lt;D xsi:type="xsd:double"&gt;5.31&lt;/D&gt;&lt;/FQL&gt;&lt;FQL&gt;&lt;Q&gt;OCL-AU^FREF_SHARES_COMPANY(43921,,,,0,"LEGACY")&lt;/Q&gt;&lt;R&gt;1&lt;/R&gt;&lt;C&gt;1&lt;/C&gt;&lt;D xsi:type="xsd:double"&gt;93.1653671264648&lt;/D&gt;&lt;/FQL&gt;&lt;FQL&gt;&lt;Q&gt;OCL-AU^FG_PRICE(43951)&lt;/Q&gt;&lt;R&gt;1&lt;/R&gt;&lt;C&gt;1&lt;/C&gt;&lt;D xsi:type="xsd:double"&gt;6.1&lt;/D&gt;&lt;/FQL&gt;&lt;FQL&gt;&lt;Q&gt;OCL-AU^FREF_SHARES_COMPANY(43951,,,,0,"LEGACY")&lt;/Q&gt;&lt;R&gt;1&lt;/R&gt;&lt;C&gt;1&lt;/C&gt;&lt;D xsi:type="xsd:double"&gt;93.3278732299805&lt;/D&gt;&lt;/FQL&gt;&lt;FQL&gt;&lt;Q&gt;OCL-AU^FG_PRICE(43980)&lt;/Q&gt;&lt;R&gt;1&lt;/R&gt;&lt;C&gt;1&lt;/C&gt;&lt;D xsi:type="xsd:double"&gt;7.19&lt;/D&gt;&lt;/FQL&gt;&lt;FQL&gt;&lt;Q&gt;OCL-AU^FREF_SHARES_COMPANY(43980,,,,0,"LEGACY")&lt;/Q&gt;&lt;R&gt;1&lt;/R&gt;&lt;C&gt;1&lt;/C&gt;&lt;D xsi:type="xsd:double"&gt;93.3278732299805&lt;/D&gt;&lt;/FQL&gt;&lt;FQL&gt;&lt;Q&gt;OCL-AU^FG_PRICE(44012)&lt;/Q&gt;&lt;R&gt;1&lt;/R&gt;&lt;C&gt;1&lt;/C&gt;&lt;D xsi:type="xsd:double"&gt;7.38&lt;/D&gt;&lt;/FQL&gt;&lt;FQL&gt;&lt;Q&gt;OCL-AU^FREF_SHARES_COMPANY(44012,,,,0,"LEGACY")&lt;/Q&gt;&lt;R&gt;1&lt;/R&gt;&lt;C&gt;1&lt;/C&gt;&lt;D xsi:type="xsd:double"&gt;93.3278732299805&lt;/D&gt;&lt;/FQL&gt;&lt;FQL&gt;&lt;Q&gt;OCL-AU^FG_PRICE(44043)&lt;/Q&gt;&lt;R&gt;1&lt;/R&gt;&lt;C&gt;1&lt;/C&gt;&lt;D xsi:type="xsd:double"&gt;10.6&lt;/D&gt;&lt;/FQL&gt;&lt;FQL&gt;&lt;Q&gt;OCL-AU^FREF_SHARES_COMPANY(44043,,,,0,"LEGACY")&lt;/Q&gt;&lt;R&gt;1&lt;/R&gt;&lt;C&gt;1&lt;/C&gt;&lt;D xsi:type="xsd:double"&gt;93.5803680419922&lt;/D&gt;&lt;/FQL&gt;&lt;FQL&gt;&lt;Q&gt;OCL-AU^FG_PRICE(44074)&lt;/Q&gt;&lt;R&gt;1&lt;/R&gt;&lt;C&gt;1&lt;/C&gt;&lt;D xsi:type="xsd:double"&gt;12.01&lt;/D&gt;&lt;/FQL&gt;&lt;FQL&gt;&lt;Q&gt;OCL-AU^FREF_SHARES_COMPANY(44074,,,,0,"LEGACY")&lt;/Q&gt;&lt;R&gt;1&lt;/R&gt;&lt;C&gt;1&lt;/C&gt;&lt;D xsi:type="xsd:double"&gt;93.5803680419922&lt;/D&gt;&lt;/FQL&gt;&lt;FQL&gt;&lt;Q&gt;OCL-AU^FG_PRICE(44104)&lt;/Q&gt;&lt;R&gt;1&lt;/R&gt;&lt;C&gt;1&lt;/C&gt;&lt;D xsi:type="xsd:double"&gt;12.51&lt;/D&gt;&lt;/FQL&gt;&lt;FQL&gt;&lt;Q&gt;OCL-AU^FREF_SHARES_COMPANY(44104,,,,0,"LEGACY")&lt;/Q&gt;&lt;R&gt;1&lt;/R&gt;&lt;C&gt;1&lt;/C&gt;&lt;D xsi:type="xsd:double"&gt;93.5803680419922&lt;/D&gt;&lt;/FQL&gt;&lt;FQL&gt;&lt;Q&gt;OCL-AU^FG_PRICE(44134)&lt;/Q&gt;&lt;R&gt;1&lt;/R&gt;&lt;C&gt;1&lt;/C&gt;&lt;D xsi:type="xsd:double"&gt;13.01&lt;/D&gt;&lt;/FQL&gt;&lt;FQL&gt;&lt;Q&gt;OCL-AU^FREF_SHARES_COMPANY(44134,,,,0,"LEGACY")&lt;/Q&gt;&lt;R&gt;1&lt;/R&gt;&lt;C&gt;1&lt;/C&gt;&lt;D xsi:type="xsd:double"&gt;93.6253662109375&lt;/D&gt;&lt;/FQL&gt;&lt;FQL&gt;&lt;Q&gt;OCL-AU^FG_PRICE(44165)&lt;/Q&gt;&lt;R&gt;1&lt;/R&gt;&lt;C&gt;1&lt;/C&gt;&lt;D xsi:type="xsd:double"&gt;12.9&lt;/D&gt;&lt;/FQL&gt;&lt;FQL&gt;&lt;Q&gt;OCL-AU^FREF_SHARES_COMPANY(44165,,,,0,"LEGACY")&lt;/Q&gt;&lt;R&gt;1&lt;/R&gt;&lt;C&gt;1&lt;/C&gt;&lt;D xsi:type="xsd:double"&gt;93.6253662109375&lt;/D&gt;&lt;/FQL&gt;&lt;FQL&gt;&lt;Q&gt;OCL-AU^FG_PRICE(44196)&lt;/Q&gt;&lt;R&gt;1&lt;/R&gt;&lt;C&gt;1&lt;/C&gt;&lt;D xsi:type="xsd:double"&gt;11.86&lt;/D&gt;&lt;/FQL&gt;&lt;FQL&gt;&lt;Q&gt;OCL-AU^FREF_SHARES_COMPANY(44196,,,,0,"LEGACY")&lt;/Q&gt;&lt;R&gt;1&lt;/R&gt;&lt;C&gt;1&lt;/C&gt;&lt;D xsi:type="xsd:double"&gt;93.6253662109375&lt;/D&gt;&lt;/FQL&gt;&lt;FQL&gt;&lt;Q&gt;OCL-AU^FG_PRICE(44225)&lt;/Q&gt;&lt;R&gt;1&lt;/R&gt;&lt;C&gt;1&lt;/C&gt;&lt;D xsi:type="xsd:double"&gt;13.65&lt;/D&gt;&lt;/FQL&gt;&lt;FQL&gt;&lt;Q&gt;OCL-AU^FREF_SHARES_COMPANY(44225,,,,0,"LEGACY")&lt;/Q&gt;&lt;R&gt;1&lt;/R&gt;&lt;C&gt;1&lt;/C&gt;&lt;D xsi:type="xsd:double"&gt;93.7378692626953&lt;/D&gt;&lt;/FQL&gt;&lt;FQL&gt;&lt;Q&gt;OCL-AU^FG_PRICE(44253)&lt;/Q&gt;&lt;R&gt;1&lt;/R&gt;&lt;C&gt;1&lt;/C&gt;&lt;D xsi:type="xsd:double"&gt;13&lt;/D&gt;&lt;/FQL&gt;&lt;FQL&gt;&lt;Q&gt;OCL-AU^FREF_SHARES_COMPANY(44253,,,,0,"LEGACY")&lt;/Q&gt;&lt;R&gt;1&lt;/R&gt;&lt;C&gt;1&lt;/C&gt;&lt;D xsi:type="xsd:double"&gt;93.8628692626953&lt;/D&gt;&lt;/FQL&gt;&lt;FQL&gt;&lt;Q&gt;OCL-AU^FG_PRICE(44286)&lt;/Q&gt;&lt;R&gt;1&lt;/R&gt;&lt;C&gt;1&lt;/C&gt;&lt;D xsi:type="xsd:double"&gt;12.75&lt;/D&gt;&lt;/FQL&gt;&lt;FQL&gt;&lt;Q&gt;OCL-AU^FREF_SHARES_COMPANY(44286,,,,0,"LEGACY")&lt;/Q&gt;&lt;R&gt;1&lt;/R&gt;&lt;C&gt;1&lt;/C&gt;&lt;D xsi:type="xsd:double"&gt;93.9128646850586&lt;/D&gt;&lt;/FQL&gt;&lt;FQL&gt;&lt;Q&gt;OCL-AU^FG_PRICE(44316)&lt;/Q&gt;&lt;R&gt;1&lt;/R&gt;&lt;C&gt;1&lt;/C&gt;&lt;D xsi:type="xsd:double"&gt;13.19&lt;/D&gt;&lt;/FQL&gt;&lt;FQL&gt;&lt;Q&gt;OCL-AU^FREF_SHARES_COMPANY(44316,,,,0,"LEGACY")&lt;/Q&gt;&lt;R&gt;1&lt;/R&gt;&lt;C&gt;1&lt;/C&gt;&lt;D xsi:type="xsd:double"&gt;93.9128646850586&lt;/D&gt;&lt;/FQL&gt;&lt;FQL&gt;&lt;Q&gt;OCL-AU^FG_PRICE(44347)&lt;/Q&gt;&lt;R&gt;1&lt;/R&gt;&lt;C&gt;1&lt;/C&gt;&lt;D xsi:type="xsd:double"&gt;15.18&lt;/D&gt;&lt;/FQL&gt;&lt;FQL&gt;&lt;Q&gt;OCL-AU^FREF_SHARES_COMPANY(44347,,,,0,"LEGACY")&lt;/Q&gt;&lt;R&gt;1&lt;/R&gt;&lt;C&gt;1&lt;/C&gt;&lt;D xsi:type="xsd:double"&gt;93.9128646850586&lt;/D&gt;&lt;/FQL&gt;&lt;FQL&gt;&lt;Q&gt;OCL-AU^FG_PRICE(44377)&lt;/Q&gt;&lt;R&gt;1&lt;/R&gt;&lt;C&gt;1&lt;/C&gt;&lt;D xsi:type="xsd:double"&gt;17.47&lt;/D&gt;&lt;/FQL&gt;&lt;FQL&gt;&lt;Q&gt;OCL-AU^FREF_SHARES_COMPANY(44377,,,,0,"LEGACY")&lt;/Q&gt;&lt;R&gt;1&lt;/R&gt;&lt;C&gt;1&lt;/C&gt;&lt;D xsi:type="xsd:double"&gt;94.010368347168&lt;/D&gt;&lt;/FQL&gt;&lt;FQL&gt;&lt;Q&gt;OCL-AU^FG_PRICE(44407)&lt;/Q&gt;&lt;R&gt;1&lt;/R&gt;&lt;C&gt;1&lt;/C&gt;&lt;D xsi:type="xsd:double"&gt;16.88&lt;/D&gt;&lt;/FQL&gt;&lt;FQL&gt;&lt;Q&gt;OCL-AU^FREF_SHARES_COMPANY(44407,,,,0,"LEGACY")&lt;/Q&gt;&lt;R&gt;1&lt;/R&gt;&lt;C&gt;1&lt;/C&gt;&lt;D xsi:type="xsd:double"&gt;94.1578674316406&lt;/D&gt;&lt;/FQL&gt;&lt;FQL&gt;&lt;Q&gt;OCL-AU^FG_PRICE(44439)&lt;/Q&gt;&lt;R&gt;1&lt;/R&gt;&lt;C&gt;1&lt;/C&gt;&lt;D xsi:type="xsd:double"&gt;19.95&lt;/D&gt;&lt;/FQL&gt;&lt;FQL&gt;&lt;Q&gt;OCL-AU^FREF_SHARES_COMPANY(44439,,,,0,"LEGACY")&lt;/Q&gt;&lt;R&gt;1&lt;/R&gt;&lt;C&gt;1&lt;/C&gt;&lt;D xsi:type="xsd:double"&gt;94.2541198730469&lt;/D&gt;&lt;/FQL&gt;&lt;FQL&gt;&lt;Q&gt;OCL-AU^FG_PRICE(44469)&lt;/Q&gt;&lt;R&gt;1&lt;/R&gt;&lt;C&gt;1&lt;/C&gt;&lt;D xsi:type="xsd:double"&gt;18.44&lt;/D&gt;&lt;/FQL&gt;&lt;FQL&gt;&lt;Q&gt;OCL-AU^FREF_SHARES_COMPANY(44469,,,,0,"LEGACY")&lt;/Q&gt;&lt;R&gt;1&lt;/R&gt;&lt;C&gt;1&lt;/C&gt;&lt;D xsi:type="xsd:double"&gt;94.4176177978516&lt;/D&gt;&lt;/FQL&gt;&lt;FQL&gt;&lt;Q&gt;OCL-AU^FG_PRICE(44498)&lt;/Q&gt;&lt;R&gt;1&lt;/R&gt;&lt;C&gt;1&lt;/C&gt;&lt;D xsi:type="xsd:double"&gt;20.9&lt;/D&gt;&lt;/FQL&gt;&lt;FQL&gt;&lt;Q&gt;OCL-AU^FREF_SHARES_COMPANY(44498,,,,0,"LEGACY")&lt;/Q&gt;&lt;R&gt;1&lt;/R&gt;&lt;C&gt;1&lt;/C&gt;&lt;D xsi:type="xsd:double"&gt;94.4176177978516&lt;/D&gt;&lt;/FQL&gt;&lt;FQL&gt;&lt;Q&gt;OCL-AU^FG_PRICE(44530)&lt;/Q&gt;&lt;R&gt;1&lt;/R&gt;&lt;C&gt;1&lt;/C&gt;&lt;D xsi:type="xsd:double"&gt;20.21&lt;/D&gt;&lt;/FQL&gt;&lt;FQL&gt;&lt;Q&gt;OCL-AU^FREF_SHARES_COMPANY(44530,,,,0,"LEGACY")&lt;/Q&gt;&lt;R&gt;1&lt;/R&gt;&lt;C&gt;1&lt;/C&gt;&lt;D xsi:type="xsd:double"&gt;94.4926147460938&lt;/D&gt;&lt;/FQL&gt;&lt;FQL&gt;&lt;Q&gt;OCL-AU^FG_PRICE(44561)&lt;/Q&gt;&lt;R&gt;1&lt;/R&gt;&lt;C&gt;1&lt;/C&gt;&lt;D xsi:type="xsd:double"&gt;19.9&lt;/D&gt;&lt;/FQL&gt;&lt;FQL&gt;&lt;Q&gt;OCL-AU^FREF_SHARES_COMPANY(44561,,,,0,"LEGACY")&lt;/Q&gt;&lt;R&gt;1&lt;/R&gt;&lt;C&gt;1&lt;/C&gt;&lt;D xsi:type="xsd:double"&gt;94.5026168823242&lt;/D&gt;&lt;/FQL&gt;&lt;FQL&gt;&lt;Q&gt;OCL-AU^FG_PRICE(44592)&lt;/Q&gt;&lt;R&gt;1&lt;/R&gt;&lt;C&gt;1&lt;/C&gt;&lt;D xsi:type="xsd:double"&gt;16&lt;/D&gt;&lt;/FQL&gt;&lt;FQL&gt;&lt;Q&gt;OCL-AU^FREF_SHARES_COMPANY(44592,,,,0,"LEGACY")&lt;/Q&gt;&lt;R&gt;1&lt;/R&gt;&lt;C&gt;1&lt;/C&gt;&lt;D xsi:type="xsd:double"&gt;94.5026168823242&lt;/D&gt;&lt;/FQL&gt;&lt;FQL&gt;&lt;Q&gt;OCL-AU^FG_PRICE(44620)&lt;/Q&gt;&lt;R&gt;1&lt;/R&gt;&lt;C&gt;1&lt;/C&gt;&lt;D xsi:type="xsd:double"&gt;15.89&lt;/D&gt;&lt;/FQL&gt;&lt;FQL&gt;&lt;Q&gt;OCL-AU^FREF_SHARES_COMPANY(44620,,,,0,"LEGACY")&lt;/Q&gt;&lt;R&gt;1&lt;/R&gt;&lt;C&gt;1&lt;/C&gt;&lt;D xsi:type="xsd:double"&gt;94.562614440918&lt;/D&gt;&lt;/FQL&gt;&lt;FQL&gt;&lt;Q&gt;OCL-AU^FG_PRICE(44651)&lt;/Q&gt;&lt;R&gt;1&lt;/R&gt;&lt;C&gt;1&lt;/C&gt;&lt;D xsi:type="xsd:double"&gt;19&lt;/D&gt;&lt;/FQL&gt;&lt;FQL&gt;&lt;Q&gt;OCL-AU^FREF_SHARES_COMPANY(44651,,,,0,"LEGACY")&lt;/Q&gt;&lt;R&gt;1&lt;/R&gt;&lt;C&gt;1&lt;/C&gt;&lt;D xsi:type="xsd:double"&gt;94.7946166992188&lt;/D&gt;&lt;/FQL&gt;&lt;FQL&gt;&lt;Q&gt;OCL-AU^FG_PRICE(44680)&lt;/Q&gt;&lt;R&gt;1&lt;/R&gt;&lt;C&gt;1&lt;/C&gt;&lt;D xsi:type="xsd:double"&gt;16.98&lt;/D&gt;&lt;/FQL&gt;&lt;FQL&gt;&lt;Q&gt;OCL-AU^FREF_SHARES_COMPANY(44680,,,,0,"LEGACY")&lt;/Q&gt;&lt;R&gt;1&lt;/R&gt;&lt;C&gt;1&lt;/C&gt;&lt;D xsi:type="xsd:double"&gt;94.7946166992188&lt;/D&gt;&lt;/FQL&gt;&lt;FQL&gt;&lt;Q&gt;OCL-AU^FG_PRICE(44712)&lt;/Q&gt;&lt;R&gt;1&lt;/R&gt;&lt;C&gt;1&lt;/C&gt;&lt;D xsi:type="xsd:double"&gt;15.77&lt;/D&gt;&lt;/FQL&gt;&lt;FQL&gt;&lt;Q&gt;OCL-AU^FREF_SHARES_COMPANY(44712,,,,0,"LEGACY")&lt;/Q&gt;&lt;R&gt;1&lt;/R&gt;&lt;C&gt;1&lt;/C&gt;&lt;D xsi:type="xsd:double"&gt;94.8071136474609&lt;/D&gt;&lt;/FQL&gt;&lt;FQL&gt;&lt;Q&gt;RDY-AU^FG_PRICE(43651)&lt;/Q&gt;&lt;R&gt;1&lt;/R&gt;&lt;C&gt;1&lt;/C&gt;&lt;D xsi:type="xsd:double"&gt;1.5699999&lt;/D&gt;&lt;/FQL&gt;&lt;FQL&gt;&lt;Q&gt;RDY-AU^FG_PRICE(43658)&lt;/Q&gt;&lt;R&gt;1&lt;/R&gt;&lt;C&gt;1&lt;/C&gt;&lt;D xsi:type="xsd:double"&gt;1.6&lt;/D&gt;&lt;/FQL&gt;&lt;FQL&gt;&lt;Q&gt;RDY-AU^FG_PRICE(43665)&lt;/Q&gt;&lt;R&gt;1&lt;/R&gt;&lt;C&gt;1&lt;/C&gt;&lt;D xsi:type="xsd:double"&gt;1.595&lt;/D&gt;&lt;/FQL&gt;&lt;FQL&gt;&lt;Q&gt;RDY-AU^FG_PRICE(43672)&lt;/Q&gt;&lt;R&gt;1&lt;/R&gt;&lt;C&gt;1&lt;/C&gt;&lt;D xsi:type="xsd:double"&gt;1.615&lt;/D&gt;&lt;/FQL&gt;&lt;FQL&gt;&lt;Q&gt;RDY-AU^FG_PRICE(43679)&lt;/Q&gt;&lt;R&gt;1&lt;/R&gt;&lt;C&gt;1&lt;/C&gt;&lt;D xsi:type="xsd:double"&gt;1.585&lt;/D&gt;&lt;/FQL&gt;&lt;FQL&gt;&lt;Q&gt;RDY-AU^FG_PRICE(43686)&lt;/Q&gt;&lt;R&gt;1&lt;/R&gt;&lt;C&gt;1&lt;/C&gt;&lt;D xsi:type="xsd:double"&gt;1.75&lt;/D&gt;&lt;/FQL&gt;&lt;FQL&gt;&lt;Q&gt;RDY-AU^FG_PRICE(43693)&lt;/Q&gt;&lt;R&gt;1&lt;/R&gt;&lt;C&gt;1&lt;/C&gt;&lt;D xsi:type="xsd:double"&gt;1.615&lt;/D&gt;&lt;/FQL&gt;&lt;FQL&gt;&lt;Q&gt;RDY-AU^FG_PRICE(43700)&lt;/Q&gt;&lt;R&gt;1&lt;/R&gt;&lt;C&gt;1&lt;/C&gt;&lt;D xsi:type="xsd:double"&gt;1.74&lt;/D&gt;&lt;/FQL&gt;&lt;FQL&gt;&lt;Q&gt;RDY-AU^FG_PRICE(43707)&lt;/Q&gt;&lt;R&gt;1&lt;/R&gt;&lt;C&gt;1&lt;/C&gt;&lt;D xsi:type="xsd:double"&gt;1.665&lt;/D&gt;&lt;/FQL&gt;&lt;FQL&gt;&lt;Q&gt;RDY-AU^FG_PRICE(43714)&lt;/Q&gt;&lt;R&gt;1&lt;/R&gt;&lt;C&gt;1&lt;/C&gt;&lt;D xsi:type="xsd:double"&gt;1.6600001&lt;/D&gt;&lt;/FQL&gt;&lt;FQL&gt;&lt;Q&gt;RDY-AU^FG_PRICE(43721)&lt;/Q&gt;&lt;R&gt;1&lt;/R&gt;&lt;C&gt;1&lt;/C&gt;&lt;D xsi:type="xsd:double"&gt;1.71&lt;/D&gt;&lt;/FQL&gt;&lt;FQL&gt;&lt;Q&gt;RDY-AU^FG_PRICE(43728)&lt;/Q&gt;&lt;R&gt;1&lt;/R&gt;&lt;C&gt;1&lt;/C&gt;&lt;D xsi:type="xsd:double"&gt;1.76&lt;/D&gt;&lt;/FQL&gt;&lt;FQL&gt;&lt;Q&gt;RDY-AU^FG_PRICE(43735)&lt;/Q&gt;&lt;R&gt;1&lt;/R&gt;&lt;C&gt;1&lt;/C&gt;&lt;D xsi:type="xsd:double"&gt;1.8199999&lt;/D&gt;&lt;/FQL&gt;&lt;FQL&gt;&lt;Q&gt;RDY-AU^FG_PRICE(43742)&lt;/Q&gt;&lt;R&gt;1&lt;/R&gt;&lt;C&gt;1&lt;/C&gt;&lt;D xsi:type="xsd:double"&gt;1.78&lt;/D&gt;&lt;/FQL&gt;&lt;FQL&gt;&lt;Q&gt;RDY-AU^FG_PRICE(43749)&lt;/Q&gt;&lt;R&gt;1&lt;/R&gt;&lt;C&gt;1&lt;/C&gt;&lt;D xsi:type="xsd:double"&gt;1.9300001&lt;/D&gt;&lt;/FQL&gt;&lt;FQL&gt;&lt;Q&gt;RDY-AU^FG_PRICE(43756)&lt;/Q&gt;&lt;R&gt;1&lt;/R&gt;&lt;C&gt;1&lt;/C&gt;&lt;D xsi:type="xsd:double"&gt;1.935&lt;/D&gt;&lt;/FQL&gt;&lt;FQL&gt;&lt;Q&gt;RDY-AU^FG_PRICE(43763)&lt;/Q&gt;&lt;R&gt;1&lt;/R&gt;&lt;C&gt;1&lt;/C&gt;&lt;D xsi:type="xsd:double"&gt;1.9449999&lt;/D&gt;&lt;/FQL&gt;&lt;FQL&gt;&lt;Q&gt;RDY-AU^FG_PRICE(43770)&lt;/Q&gt;&lt;R&gt;1&lt;/R&gt;&lt;C&gt;1&lt;/C&gt;&lt;D xsi:type="xsd:double"&gt;1.8399999&lt;/D&gt;&lt;/FQL&gt;&lt;FQL&gt;&lt;Q&gt;RDY-AU^FG_PRICE(43777)&lt;/Q&gt;&lt;R&gt;1&lt;/R&gt;&lt;C&gt;1&lt;/C&gt;&lt;D xsi:type="xsd:double"&gt;1.8299999&lt;/D&gt;&lt;/FQL&gt;&lt;FQL&gt;&lt;Q&gt;RDY-AU^FG_PRICE(43784)&lt;/Q&gt;&lt;R&gt;1&lt;/R&gt;&lt;C&gt;1&lt;/C&gt;&lt;D xsi:type="xsd:double"&gt;1.81&lt;/D&gt;&lt;/FQL&gt;&lt;FQL&gt;&lt;Q&gt;RDY-AU^FG_PRICE(43791)&lt;/Q&gt;&lt;R&gt;1&lt;/R&gt;&lt;C&gt;1&lt;/C&gt;&lt;D xsi:type="xsd:double"&gt;1.65&lt;/D&gt;&lt;/FQL&gt;&lt;FQL&gt;&lt;Q&gt;RDY-AU^FG_PRICE(43798)&lt;/Q&gt;&lt;R&gt;1&lt;/R&gt;&lt;C&gt;1&lt;/C&gt;&lt;D xsi:type="xsd:double"&gt;1.735&lt;/D&gt;&lt;/FQL&gt;&lt;FQL&gt;&lt;Q&gt;RDY-AU^FG_PRICE(43805)&lt;/Q&gt;&lt;R&gt;1&lt;/R&gt;&lt;C&gt;1&lt;/C&gt;&lt;D xsi:type="xsd:double"&gt;1.6700001&lt;/D&gt;&lt;/FQL&gt;&lt;FQL&gt;&lt;Q&gt;RDY-AU^FG_PRICE(43812)&lt;/Q&gt;&lt;R&gt;1&lt;/R&gt;&lt;C&gt;1&lt;/C&gt;&lt;D xsi:type="xsd:double"&gt;1.73&lt;/D&gt;&lt;/FQL&gt;&lt;FQL&gt;&lt;Q&gt;RDY-AU^FG_PRICE(43819)&lt;/Q&gt;&lt;R&gt;1&lt;/R&gt;&lt;C&gt;1&lt;/C&gt;&lt;D xsi:type="xsd:double"&gt;1.6949999&lt;/D&gt;&lt;/FQL&gt;&lt;FQL&gt;&lt;Q&gt;RDY-AU^FG_PRICE(43826)&lt;/Q&gt;&lt;R&gt;1&lt;/R&gt;&lt;C&gt;1&lt;/C&gt;&lt;D xsi:type="xsd:double"&gt;1.7&lt;/D&gt;&lt;/FQL&gt;&lt;FQL&gt;&lt;Q&gt;RDY-AU^FG_PRICE(43833)&lt;/Q&gt;&lt;R&gt;1&lt;/R&gt;&lt;C&gt;1&lt;/C&gt;&lt;D xsi:type="xsd:double"&gt;1.79&lt;/D&gt;&lt;/FQL&gt;&lt;FQL&gt;&lt;Q&gt;RDY-AU^FG_PRICE(43840)&lt;/Q&gt;&lt;R&gt;1&lt;/R&gt;&lt;C&gt;1&lt;/C&gt;&lt;D xsi:type="xsd:double"&gt;1.74&lt;/D&gt;&lt;/FQL&gt;&lt;FQL&gt;&lt;Q&gt;RDY-AU^FG_PRICE(43847)&lt;/Q&gt;&lt;R&gt;1&lt;/R&gt;&lt;C&gt;1&lt;/C&gt;&lt;D xsi:type="xsd:double"&gt;1.95&lt;/D&gt;&lt;/FQL&gt;&lt;FQL&gt;&lt;Q&gt;RDY-AU^FG_PRICE(43854)&lt;/Q&gt;&lt;R&gt;1&lt;/R&gt;&lt;C&gt;1&lt;/C&gt;&lt;D xsi:type="xsd:double"&gt;2.25&lt;/D&gt;&lt;/FQL&gt;&lt;FQL&gt;&lt;Q&gt;RDY-AU^FG_PRICE(43861)&lt;/Q&gt;&lt;R&gt;1&lt;/R&gt;&lt;C&gt;1&lt;/C&gt;&lt;D xsi:type="xsd:double"&gt;2.16&lt;/D&gt;&lt;/FQL&gt;&lt;FQL&gt;&lt;Q&gt;RDY-AU^FG_PRICE(43868)&lt;/Q&gt;&lt;R&gt;1&lt;/R&gt;&lt;C&gt;1&lt;/C&gt;&lt;D xsi:type="xsd:double"&gt;2.15&lt;/D&gt;&lt;/FQL&gt;&lt;FQL&gt;&lt;Q&gt;RDY-AU^FG_PRICE(43875)&lt;/Q&gt;&lt;R&gt;1&lt;/R&gt;&lt;C&gt;1&lt;/C&gt;&lt;D xsi:type="xsd:double"&gt;2&lt;/D&gt;&lt;/FQL&gt;&lt;FQL&gt;&lt;Q&gt;RDY-AU^FG_PRICE(43882)&lt;/Q&gt;&lt;R&gt;1&lt;/R&gt;&lt;C&gt;1&lt;/C&gt;&lt;D xsi:type="xsd:double"&gt;2.16&lt;/D&gt;&lt;/FQL&gt;&lt;FQL&gt;&lt;Q&gt;RDY-AU^FG_PRICE(43889)&lt;/Q&gt;&lt;R&gt;1&lt;/R&gt;&lt;C&gt;1&lt;/C&gt;&lt;D xsi:type="xsd:double"&gt;1.7049999&lt;/D&gt;&lt;/FQL&gt;&lt;FQL&gt;&lt;Q&gt;RDY-AU^FG_PRICE(43896)&lt;/Q&gt;&lt;R&gt;1&lt;/R&gt;&lt;C&gt;1&lt;/C&gt;&lt;D xsi:type="xsd:double"&gt;1.75&lt;/D&gt;&lt;/FQL&gt;&lt;FQL&gt;&lt;Q&gt;RDY-AU^FG_PRICE(43903)&lt;/Q&gt;&lt;R&gt;1&lt;/R&gt;&lt;C&gt;1&lt;/C&gt;&lt;D xsi:type="xsd:double"&gt;1.3&lt;/D&gt;&lt;/FQL&gt;&lt;FQL&gt;&lt;Q&gt;RDY-AU^FG_PRICE(43910)&lt;/Q&gt;&lt;R&gt;1&lt;/R&gt;&lt;C&gt;1&lt;/C&gt;&lt;D xsi:type="xsd:double"&gt;1.24&lt;/D&gt;&lt;/FQL&gt;&lt;FQL&gt;&lt;Q&gt;RDY-AU^FG_PRICE(43917)&lt;/Q&gt;&lt;R&gt;1&lt;/R&gt;&lt;C&gt;1&lt;/C&gt;&lt;D xsi:type="xsd:double"&gt;1.03&lt;/D&gt;&lt;/FQL&gt;&lt;FQL&gt;&lt;Q&gt;RDY-AU^FG_PRICE(43924)&lt;/Q&gt;&lt;R&gt;1&lt;/R&gt;&lt;C&gt;1&lt;/C&gt;&lt;D xsi:type="xsd:double"&gt;0.985&lt;/D&gt;&lt;/FQL&gt;&lt;FQL&gt;&lt;Q&gt;RDY-AU^FG_PRICE(43930)&lt;/Q&gt;&lt;R&gt;1&lt;/R&gt;&lt;C&gt;1&lt;/C&gt;&lt;D xsi:type="xsd:double"&gt;1.3&lt;/D&gt;&lt;/FQL&gt;&lt;FQL&gt;&lt;Q&gt;RDY-AU^FG_PRICE(43938)&lt;/Q&gt;&lt;R&gt;1&lt;/R&gt;&lt;C&gt;1&lt;/C&gt;&lt;D xsi:type="xsd:double"&gt;1.405&lt;/D&gt;&lt;/FQL&gt;&lt;FQL&gt;&lt;Q&gt;RDY-AU^FG_PRICE(43945)&lt;/Q&gt;&lt;R&gt;1&lt;/R&gt;&lt;C&gt;1&lt;/C&gt;&lt;D xsi:type="xsd:double"&gt;1.41&lt;/D&gt;&lt;/FQL&gt;&lt;FQL&gt;&lt;Q&gt;RDY-AU^FG_PRICE(43952)&lt;/Q&gt;&lt;R&gt;1&lt;/R&gt;&lt;C&gt;1&lt;/C&gt;&lt;D xsi:type="xsd:double"&gt;1.455&lt;/D&gt;&lt;/FQL&gt;&lt;FQL&gt;&lt;Q&gt;RDY-AU^FG_PRICE(43959)&lt;/Q&gt;&lt;R&gt;1&lt;/R&gt;&lt;C&gt;1&lt;/C&gt;&lt;D xsi:type="xsd:double"&gt;1.53&lt;/D&gt;&lt;/FQL&gt;&lt;FQL&gt;&lt;Q&gt;RDY-AU^FG_PRICE(43966)&lt;/Q&gt;&lt;R&gt;1&lt;/R&gt;&lt;C&gt;1&lt;/C&gt;&lt;D xsi:type="xsd:double"&gt;1.36&lt;/D&gt;&lt;/FQL&gt;&lt;FQL&gt;&lt;Q&gt;RDY-AU^FG_PRICE(43973)&lt;/Q&gt;&lt;R&gt;1&lt;/R&gt;&lt;C&gt;1&lt;/C&gt;&lt;D xsi:type="xsd:double"&gt;1.405&lt;/D&gt;&lt;/FQL&gt;&lt;FQL&gt;&lt;Q&gt;RDY-AU^FG_PRICE(43980)&lt;/Q&gt;&lt;R&gt;1&lt;/R&gt;&lt;C&gt;1&lt;/C&gt;&lt;D xsi:type="xsd:double"&gt;1.54&lt;/D&gt;&lt;/FQL&gt;&lt;FQL&gt;&lt;Q&gt;RDY-AU^FG_PRICE(43987)&lt;/Q&gt;&lt;R&gt;1&lt;/R&gt;&lt;C&gt;1&lt;/C&gt;&lt;D xsi:type="xsd:double"&gt;1.465&lt;/D&gt;&lt;/FQL&gt;&lt;FQL&gt;&lt;Q&gt;RDY-AU^FG_PRICE(43994)&lt;/Q&gt;&lt;R&gt;1&lt;/R&gt;&lt;C&gt;1&lt;/C&gt;&lt;D xsi:type="xsd:double"&gt;1.465&lt;/D&gt;&lt;/FQL&gt;&lt;FQL&gt;&lt;Q&gt;RDY-AU^FG_PRICE(44001)&lt;/Q&gt;&lt;R&gt;1&lt;/R&gt;&lt;C&gt;1&lt;/C&gt;&lt;D xsi:type="xsd:double"&gt;1.42&lt;/D&gt;&lt;/FQL&gt;&lt;FQL&gt;&lt;Q&gt;RDY-AU^FG_PRICE(44008)&lt;/Q&gt;&lt;R&gt;1&lt;/R&gt;&lt;C&gt;1&lt;/C&gt;&lt;D xsi:type="xsd:double"&gt;1.395&lt;/D&gt;&lt;/FQL&gt;&lt;FQL&gt;&lt;Q&gt;RDY-AU^FG_PRICE(44015)&lt;/Q&gt;&lt;R&gt;1&lt;/R&gt;&lt;C&gt;1&lt;/C&gt;&lt;D xsi:type="xsd:double"&gt;1.4449999&lt;/D&gt;&lt;/FQL&gt;&lt;FQL&gt;&lt;Q&gt;RDY-AU^FG_PRICE(44022)&lt;/Q&gt;&lt;R&gt;1&lt;/R&gt;&lt;C&gt;1&lt;/C&gt;&lt;D xsi:type="xsd:double"&gt;1.365&lt;/D&gt;&lt;/FQL&gt;&lt;FQL&gt;&lt;Q&gt;RDY-AU^FG_PRICE(44029)&lt;/Q&gt;&lt;R&gt;1&lt;/R&gt;&lt;C&gt;1&lt;/C&gt;&lt;D xsi:type="xsd:double"&gt;1.42&lt;/D&gt;&lt;/FQL&gt;&lt;FQL&gt;&lt;Q&gt;RDY-AU^FG_PRICE(44036)&lt;/Q&gt;&lt;R&gt;1&lt;/R&gt;&lt;C&gt;1&lt;/C&gt;&lt;D xsi:type="xsd:double"&gt;1.405&lt;/D&gt;&lt;/FQL&gt;&lt;FQL&gt;&lt;Q&gt;RDY-AU^FG_PRICE(44043)&lt;/Q&gt;&lt;R&gt;1&lt;/R&gt;&lt;C&gt;1&lt;/C&gt;&lt;D xsi:type="xsd:double"&gt;1.5550001&lt;/D&gt;&lt;/FQL&gt;&lt;FQL&gt;&lt;Q&gt;RDY-AU^FG_PRICE(44050)&lt;/Q&gt;&lt;R&gt;1&lt;/R&gt;&lt;C&gt;1&lt;/C&gt;&lt;D xsi:type="xsd:double"&gt;1.495&lt;/D&gt;&lt;/FQL&gt;&lt;FQL&gt;&lt;Q&gt;RDY-AU^FG_PRICE(44057)&lt;/Q&gt;&lt;R&gt;1&lt;/R&gt;&lt;C&gt;1&lt;/C&gt;&lt;D xsi:type="xsd:double"&gt;1.64&lt;/D&gt;&lt;/FQL&gt;&lt;FQL&gt;&lt;Q&gt;RDY-AU^FG_PRICE(44064)&lt;/Q&gt;&lt;R&gt;1&lt;/R&gt;&lt;C&gt;1&lt;/C&gt;&lt;D xsi:type="xsd:double"&gt;1.6424999&lt;/D&gt;&lt;/FQL&gt;&lt;FQL&gt;&lt;Q&gt;RDY-AU^FG_PRICE(44071)&lt;/Q&gt;&lt;R&gt;1&lt;/R&gt;&lt;C&gt;1&lt;/C&gt;&lt;D xsi:type="xsd:double"&gt;1.8&lt;/D&gt;&lt;/FQL&gt;&lt;FQL&gt;&lt;Q&gt;RDY-AU^FG_PRICE(44078)&lt;/Q&gt;&lt;R&gt;1&lt;/R&gt;&lt;C&gt;1&lt;/C&gt;&lt;D xsi:type="xsd:double"&gt;1.9&lt;/D&gt;&lt;/FQL&gt;&lt;FQL&gt;&lt;Q&gt;RDY-AU^FG_PRICE(44085)&lt;/Q&gt;&lt;R&gt;1&lt;/R&gt;&lt;C&gt;1&lt;/C&gt;&lt;D xsi:type="xsd:double"&gt;1.885&lt;/D&gt;&lt;/FQL&gt;&lt;FQL&gt;&lt;Q&gt;RDY-AU^FG_PRICE(44092)&lt;/Q&gt;&lt;R&gt;1&lt;/R&gt;&lt;C&gt;1&lt;/C&gt;&lt;D xsi:type="xsd:double"&gt;1.8&lt;/D&gt;&lt;/FQL&gt;&lt;FQL&gt;&lt;Q&gt;RDY-AU^FG_PRICE(44099)&lt;/Q&gt;&lt;R&gt;1&lt;/R&gt;&lt;C&gt;1&lt;/C&gt;&lt;D xsi:type="xsd:double"&gt;1.8199999&lt;/D&gt;&lt;/FQL&gt;&lt;FQL&gt;&lt;Q&gt;RDY-AU^FG_PRICE(44106)&lt;/Q&gt;&lt;R&gt;1&lt;/R&gt;&lt;C&gt;1&lt;/C&gt;&lt;D xsi:type="xsd:double"&gt;1.885&lt;/D&gt;&lt;/FQL&gt;&lt;FQL&gt;&lt;Q&gt;RDY-AU^FG_PRICE(44113)&lt;/Q&gt;&lt;R&gt;1&lt;/R&gt;&lt;C&gt;1&lt;/C&gt;&lt;D xsi:type="xsd:double"&gt;2.05&lt;/D&gt;&lt;/FQL&gt;&lt;FQL&gt;&lt;Q&gt;RDY-AU^FG_PRICE(44120)&lt;/Q&gt;&lt;R&gt;1&lt;/R&gt;&lt;C&gt;1&lt;/C&gt;&lt;D xsi:type="xsd:double"&gt;2.03&lt;/D&gt;&lt;/FQL&gt;&lt;FQL&gt;&lt;Q&gt;RDY-AU^FG_PRICE(44127)&lt;/Q&gt;&lt;R&gt;1&lt;/R&gt;&lt;C&gt;1&lt;/C&gt;&lt;D xsi:type="xsd:double"&gt;2.01&lt;/D&gt;&lt;/FQL&gt;&lt;FQL&gt;&lt;Q&gt;RDY-AU^FG_PRICE(44134)&lt;/Q&gt;&lt;R&gt;1&lt;/R&gt;&lt;C&gt;1&lt;/C&gt;&lt;D xsi:type="xsd:double"&gt;2.08&lt;/D&gt;&lt;/FQL&gt;&lt;FQL&gt;&lt;Q&gt;RDY-AU^FG_PRICE(44141)&lt;/Q&gt;&lt;R&gt;1&lt;/R&gt;&lt;C&gt;1&lt;/C&gt;&lt;D xsi:type="xsd:double"&gt;2&lt;/D&gt;&lt;/FQL&gt;&lt;FQL&gt;&lt;Q&gt;RDY-AU^FG_PRICE(44148)&lt;/Q&gt;&lt;R&gt;1&lt;/R&gt;&lt;C&gt;1&lt;/C&gt;&lt;D xsi:type="xsd:double"&gt;1.855&lt;/D&gt;&lt;/FQL&gt;&lt;FQL&gt;&lt;Q&gt;RDY-AU^FG_PRICE(44155)&lt;/Q&gt;&lt;R&gt;1&lt;/R&gt;&lt;C&gt;1&lt;/C&gt;&lt;D xsi:type="xsd:double"&gt;1.865&lt;/D&gt;&lt;/FQL&gt;&lt;FQL&gt;&lt;Q&gt;RDY-AU^FG_PRICE(44162)&lt;/Q&gt;&lt;R&gt;1&lt;/R&gt;&lt;C&gt;1&lt;/C&gt;&lt;D xsi:type="xsd:double"&gt;2.04&lt;/D&gt;&lt;/FQL&gt;&lt;FQL&gt;&lt;Q&gt;RDY-AU^FG_PRICE(44169)&lt;/Q&gt;&lt;R&gt;1&lt;/R&gt;&lt;C&gt;1&lt;/C&gt;&lt;D xsi:type="xsd:double"&gt;2.15&lt;/D&gt;&lt;/FQL&gt;&lt;FQL&gt;&lt;Q&gt;RDY-AU^FG_PRICE(44176)&lt;/Q&gt;&lt;R&gt;1&lt;/R&gt;&lt;C&gt;1&lt;/C&gt;&lt;D xsi:type="xsd:double"&gt;2.04&lt;/D&gt;&lt;/FQL&gt;&lt;FQL&gt;&lt;Q&gt;RDY-AU^FG_PRICE(44183)&lt;/Q&gt;&lt;R&gt;1&lt;/R&gt;&lt;C&gt;1&lt;/C&gt;&lt;D xsi:type="xsd:double"&gt;2.05&lt;/D&gt;&lt;/FQL&gt;&lt;FQL&gt;&lt;Q&gt;RDY-AU^FG_PRICE(44189)&lt;/Q&gt;&lt;R&gt;1&lt;/R&gt;&lt;C&gt;1&lt;/C&gt;&lt;D xsi:type="xsd:double"&gt;2.03&lt;/D&gt;&lt;/FQL&gt;&lt;FQL&gt;&lt;Q&gt;RDY-AU^FG_PRICE(44196)&lt;/Q&gt;&lt;R&gt;1&lt;/R&gt;&lt;C&gt;1&lt;/C&gt;&lt;D xsi:type="xsd:double"&gt;2.09&lt;/D&gt;&lt;/FQL&gt;&lt;FQL&gt;&lt;Q&gt;RDY-AU^FG_PRICE(44204)&lt;/Q&gt;&lt;R&gt;1&lt;/R&gt;&lt;C&gt;1&lt;/C&gt;&lt;D xsi:type="xsd:double"&gt;2&lt;/D&gt;&lt;/FQL&gt;&lt;FQL&gt;&lt;Q&gt;RDY-AU^FG_PRICE(44211)&lt;/Q&gt;&lt;R&gt;1&lt;/R&gt;&lt;C&gt;1&lt;/C&gt;&lt;D xsi:type="xsd:double"&gt;2.05&lt;/D&gt;&lt;/FQL&gt;&lt;FQL&gt;&lt;Q&gt;RDY-AU^FG_PRICE(44218)&lt;/Q&gt;&lt;R&gt;1&lt;/R&gt;&lt;C&gt;1&lt;/C&gt;&lt;D xsi:type="xsd:double"&gt;2.08&lt;/D&gt;&lt;/FQL&gt;&lt;FQL&gt;&lt;Q&gt;RDY-AU^FG_PRICE(44225)&lt;/Q&gt;&lt;R&gt;1&lt;/R&gt;&lt;C&gt;1&lt;/C&gt;&lt;D xsi:type="xsd:double"&gt;2.08&lt;/D&gt;&lt;/FQL&gt;&lt;FQL&gt;&lt;Q&gt;RDY-AU^FG_PRICE(44232)&lt;/Q&gt;&lt;R&gt;1&lt;/R&gt;&lt;C&gt;1&lt;/C&gt;&lt;D xsi:type="xsd:double"&gt;2.07&lt;/D&gt;&lt;/FQL&gt;&lt;FQL&gt;&lt;Q&gt;RDY-AU^FG_PRICE(44239)&lt;/Q&gt;&lt;R&gt;1&lt;/R&gt;&lt;C&gt;1&lt;/C&gt;&lt;D xsi:type="xsd:double"&gt;2&lt;/D&gt;&lt;/FQL&gt;&lt;FQL&gt;&lt;Q&gt;RDY-AU^FG_PRICE(44246)&lt;/Q&gt;&lt;R&gt;1&lt;/R&gt;&lt;C&gt;1&lt;/C&gt;&lt;D xsi:type="xsd:double"&gt;1.86&lt;/D&gt;&lt;/FQL&gt;&lt;FQL&gt;&lt;Q&gt;RDY-AU^FG_PRICE(44253)&lt;/Q&gt;&lt;R&gt;1&lt;/R&gt;&lt;C&gt;1&lt;/C&gt;&lt;D xsi:type="xsd:double"&gt;1.8199999&lt;/D&gt;&lt;/FQL&gt;&lt;FQL&gt;&lt;Q&gt;RDY-AU^FG_PRICE(44260)&lt;/Q&gt;&lt;R&gt;1&lt;/R&gt;&lt;C&gt;1&lt;/C&gt;&lt;D xsi:type="xsd:double"&gt;1.765&lt;/D&gt;&lt;/FQL&gt;&lt;FQL&gt;&lt;Q&gt;RDY-AU^FG_PRICE(44267)&lt;/Q&gt;&lt;R&gt;1&lt;/R&gt;&lt;C&gt;1&lt;/C&gt;&lt;D xsi:type="xsd:double"&gt;1.72&lt;/D&gt;&lt;/FQL&gt;&lt;FQL&gt;&lt;Q&gt;RDY-AU^FG_PRICE(44274)&lt;/Q&gt;&lt;R&gt;1&lt;/R&gt;&lt;C&gt;1&lt;/C&gt;&lt;D xsi:type="xsd:double"&gt;1.745&lt;/D&gt;&lt;/FQL&gt;&lt;FQL&gt;&lt;Q&gt;RDY-AU^FG_PRICE(44281)&lt;/Q&gt;&lt;R&gt;1&lt;/R&gt;&lt;C&gt;1&lt;/C&gt;&lt;D xsi:type="xsd:double"&gt;1.85&lt;/D&gt;&lt;/FQL&gt;&lt;FQL&gt;&lt;Q&gt;RDY-AU^FG_PRICE(44287)&lt;/Q&gt;&lt;R&gt;1&lt;/R&gt;&lt;C&gt;1&lt;/C&gt;&lt;D xsi:type="xsd:double"&gt;1.895&lt;/D&gt;&lt;/FQL&gt;&lt;FQL&gt;&lt;Q&gt;RDY-AU^FG_PRICE(44295)&lt;/Q&gt;&lt;R&gt;1&lt;/R&gt;&lt;C&gt;1&lt;/C&gt;&lt;D xsi:type="xsd:double"&gt;2.01&lt;/D&gt;&lt;/FQL&gt;&lt;FQL&gt;&lt;Q&gt;RDY-AU^FG_PRICE(44302)&lt;/Q&gt;&lt;R&gt;1&lt;/R&gt;&lt;C&gt;1&lt;/C&gt;&lt;D xsi:type="xsd:double"&gt;1.97&lt;/D&gt;&lt;/FQL&gt;&lt;FQL&gt;&lt;Q&gt;RDY-AU^FG_PRICE(44309)&lt;/Q&gt;&lt;R&gt;1&lt;/R&gt;&lt;C&gt;1&lt;/C&gt;&lt;D xsi:type="xsd:double"&gt;1.9&lt;/D&gt;&lt;/FQL&gt;&lt;FQL&gt;&lt;Q&gt;RDY-AU^FG_PRICE(44316)&lt;/Q&gt;&lt;R&gt;1&lt;/R&gt;&lt;C&gt;1&lt;/C&gt;&lt;D xsi:type="xsd:double"&gt;2.08&lt;/D&gt;&lt;/FQL&gt;&lt;FQL&gt;&lt;Q&gt;RDY-AU^FG_PRICE(44323)&lt;/Q&gt;&lt;R&gt;1&lt;/R&gt;&lt;C&gt;1&lt;/C&gt;&lt;D xsi:type="xsd:double"&gt;2.08&lt;/D&gt;&lt;/FQL&gt;&lt;FQL&gt;&lt;Q&gt;RDY-AU^FG_PRICE(44330)&lt;/Q&gt;&lt;R&gt;1&lt;/R&gt;&lt;C&gt;1&lt;/C&gt;&lt;D xsi:type="xsd:double"&gt;2.06&lt;/D&gt;&lt;/FQL&gt;&lt;FQL&gt;&lt;Q&gt;RDY-AU^FG_PRICE(44337)&lt;/Q&gt;&lt;R&gt;1&lt;/R&gt;&lt;C&gt;1&lt;/C&gt;&lt;D xsi:type="xsd:double"&gt;1.98&lt;/D&gt;&lt;/FQL&gt;&lt;FQL&gt;&lt;Q&gt;RDY-AU^FG_PRICE(44344)&lt;/Q&gt;&lt;R&gt;1&lt;/R&gt;&lt;C&gt;1&lt;/C&gt;&lt;D xsi:type="xsd:double"&gt;2.04&lt;/D&gt;&lt;/FQL&gt;&lt;FQL&gt;&lt;Q&gt;RDY-AU^FG_PRICE(44351)&lt;/Q&gt;&lt;R&gt;1&lt;/R&gt;&lt;C&gt;1&lt;/C&gt;&lt;D xsi:type="xsd:double"&gt;2.08&lt;/D&gt;&lt;/FQL&gt;&lt;FQL&gt;&lt;Q&gt;RDY-AU^FG_PRICE(44358)&lt;/Q&gt;&lt;R&gt;1&lt;/R&gt;&lt;C&gt;1&lt;/C&gt;&lt;D xsi:type="xsd:double"&gt;2.14&lt;/D&gt;&lt;/FQL&gt;&lt;FQL&gt;&lt;Q&gt;RDY-AU^FG_PRICE(44365)&lt;/Q&gt;&lt;R&gt;1&lt;/R&gt;&lt;C&gt;1&lt;/C&gt;&lt;D xsi:type="xsd:double"&gt;2.15&lt;/D&gt;&lt;/FQL&gt;&lt;FQL&gt;&lt;Q&gt;RDY-AU^FG_PRICE(44372)&lt;/Q&gt;&lt;R&gt;1&lt;/R&gt;&lt;C&gt;1&lt;/C&gt;&lt;D xsi:type="xsd:double"&gt;2.47&lt;/D&gt;&lt;/FQL&gt;&lt;FQL&gt;&lt;Q&gt;RDY-AU^FG_PRICE(44379)&lt;/Q&gt;&lt;R&gt;1&lt;/R&gt;&lt;C&gt;1&lt;/C&gt;&lt;D xsi:type="xsd:double"&gt;2.3600001&lt;/D&gt;&lt;/FQL&gt;&lt;FQL&gt;&lt;Q&gt;RDY-AU^FG_PRICE(44386)&lt;/Q&gt;&lt;R&gt;1&lt;/R&gt;&lt;C&gt;1&lt;/C&gt;&lt;D xsi:type="xsd:double"&gt;2.3600001&lt;/D&gt;&lt;/FQL&gt;&lt;FQL&gt;&lt;Q&gt;RDY-AU^FG_PRICE(44393)&lt;/Q&gt;&lt;R&gt;1&lt;/R&gt;&lt;C&gt;1&lt;/C&gt;&lt;D xsi:type="xsd:double"&gt;2.5&lt;/D&gt;&lt;/FQL&gt;&lt;FQL&gt;&lt;Q&gt;RDY-AU^FG_PRICE(44400)&lt;/Q&gt;&lt;R&gt;1&lt;/R&gt;&lt;C&gt;1&lt;/C&gt;&lt;D xsi:type="xsd:double"&gt;2.37&lt;/D&gt;&lt;/FQL&gt;&lt;FQL&gt;&lt;Q&gt;RDY-AU^FG_PRICE(44407)&lt;/Q&gt;&lt;R&gt;1&lt;/R&gt;&lt;C&gt;1&lt;/C&gt;&lt;D xsi:type="xsd:double"&gt;2.33&lt;/D&gt;&lt;/FQL&gt;&lt;FQL&gt;&lt;Q&gt;RDY-AU^FG_PRICE(44414)&lt;/Q&gt;&lt;R&gt;1&lt;/R&gt;&lt;C&gt;1&lt;/C&gt;&lt;D xsi:type="xsd:double"&gt;2.73&lt;/D&gt;&lt;/FQL&gt;&lt;FQL&gt;&lt;Q&gt;RDY-AU^FG_PRICE(44421)&lt;/Q&gt;&lt;R&gt;1&lt;/R&gt;&lt;C&gt;1&lt;/C&gt;&lt;D xsi:type="xsd:double"&gt;2.6&lt;/D&gt;&lt;/FQL&gt;&lt;FQL&gt;&lt;Q&gt;RDY-AU^FG_PRICE(44428)&lt;/Q&gt;&lt;R&gt;1&lt;/R&gt;&lt;C&gt;1&lt;/C&gt;&lt;D xsi:type="xsd:double"&gt;2.53&lt;/D&gt;&lt;/FQL&gt;&lt;FQL&gt;&lt;Q&gt;RDY-AU^FG_PRICE(44435)&lt;/Q&gt;&lt;R&gt;1&lt;/R&gt;&lt;C&gt;1&lt;/C&gt;&lt;D xsi:type="xsd:double"&gt;3.07&lt;/D&gt;&lt;/FQL&gt;&lt;FQL&gt;&lt;Q&gt;RDY-AU^FG_PRICE(44442)&lt;/Q&gt;&lt;R&gt;1&lt;/R&gt;&lt;C&gt;1&lt;/C&gt;&lt;D xsi:type="xsd:double"&gt;3.13&lt;/D&gt;&lt;/FQL&gt;&lt;FQL&gt;&lt;Q&gt;RDY-AU^FG_PRICE(44449)&lt;/Q&gt;&lt;R&gt;1&lt;/R&gt;&lt;C&gt;1&lt;/C&gt;&lt;D xsi:type="xsd:double"&gt;3.08&lt;/D&gt;&lt;/FQL&gt;&lt;FQL&gt;&lt;Q&gt;RDY-AU^FG_PRICE(44456)&lt;/Q&gt;&lt;R&gt;1&lt;/R&gt;&lt;C&gt;1&lt;/C&gt;&lt;D xsi:type="xsd:double"&gt;3.18&lt;/D&gt;&lt;/FQL&gt;&lt;FQL&gt;&lt;Q&gt;RDY-AU^FG_PRICE(44463)&lt;/Q&gt;&lt;R&gt;1&lt;/R&gt;&lt;C&gt;1&lt;/C&gt;&lt;D xsi:type="xsd:double"&gt;3.3899999&lt;/D&gt;&lt;/FQL&gt;&lt;FQL&gt;&lt;Q&gt;RDY-AU^FG_PRICE(44470)&lt;/Q&gt;&lt;R&gt;1&lt;/R&gt;&lt;C&gt;1&lt;/C&gt;&lt;D xsi:type="xsd:double"&gt;3.55&lt;/D&gt;&lt;/FQL&gt;&lt;FQL&gt;&lt;Q&gt;RDY-AU^FG_PRICE(44477)&lt;/Q&gt;&lt;R&gt;1&lt;/R&gt;&lt;C&gt;1&lt;/C&gt;&lt;D xsi:type="xsd:double"&gt;3.45&lt;/D&gt;&lt;/FQL&gt;&lt;FQL&gt;&lt;Q&gt;RDY-AU^FG_PRICE(44484)&lt;/Q&gt;&lt;R&gt;1&lt;/R&gt;&lt;C&gt;1&lt;/C&gt;&lt;D xsi:type="xsd:double"&gt;3.77&lt;/D&gt;&lt;/FQL&gt;&lt;FQL&gt;&lt;Q&gt;RDY-AU^FG_PRICE(44491)&lt;/Q&gt;&lt;R&gt;1&lt;/R&gt;&lt;C&gt;1&lt;/C&gt;&lt;D xsi:type="xsd:double"&gt;3.75&lt;/D&gt;&lt;/FQL&gt;&lt;FQL&gt;&lt;Q&gt;RDY-AU^FG_PRICE(44498)&lt;/Q&gt;&lt;R&gt;1&lt;/R&gt;&lt;C&gt;1&lt;/C&gt;&lt;D xsi:type="xsd:double"&gt;3.78&lt;/D&gt;&lt;/FQL&gt;&lt;FQL&gt;&lt;Q&gt;RDY-AU^FG_PRICE(44505)&lt;/Q&gt;&lt;R&gt;1&lt;/R&gt;&lt;C&gt;1&lt;/C&gt;&lt;D xsi:type="xsd:double"&gt;4.08&lt;/D&gt;&lt;/FQL&gt;&lt;FQL&gt;&lt;Q&gt;RDY-AU^FG_PRICE(44512)&lt;/Q&gt;&lt;R&gt;1&lt;/R&gt;&lt;C&gt;1&lt;/C&gt;&lt;D xsi:type="xsd:double"&gt;3.88&lt;/D&gt;&lt;/FQL&gt;&lt;FQL&gt;&lt;Q&gt;RDY-AU^FG_PRICE(44519)&lt;/Q&gt;&lt;R&gt;1&lt;/R&gt;&lt;C&gt;1&lt;/C&gt;&lt;D xsi:type="xsd:double"&gt;3.93&lt;/D&gt;&lt;/FQL&gt;&lt;FQL&gt;&lt;Q&gt;RDY-AU^FG_PRICE(44526)&lt;/Q&gt;&lt;R&gt;1&lt;/R&gt;&lt;C&gt;1&lt;/C&gt;&lt;D xsi:type="xsd:double"&gt;3.6&lt;/D&gt;&lt;/FQL&gt;&lt;FQL&gt;&lt;Q&gt;RDY-AU^FG_PRICE(44533)&lt;/Q&gt;&lt;R&gt;1&lt;/R&gt;&lt;C&gt;1&lt;/C&gt;&lt;D xsi:type="xsd:double"&gt;3.72&lt;/D&gt;&lt;/FQL&gt;&lt;FQL&gt;&lt;Q&gt;RDY-AU^FG_PRICE(44540)&lt;/Q&gt;&lt;R&gt;1&lt;/R&gt;&lt;C&gt;1&lt;/C&gt;&lt;D xsi:type="xsd:double"&gt;3.62&lt;/D&gt;&lt;/FQL&gt;&lt;FQL&gt;&lt;Q&gt;RDY-AU^FG_PRICE(44547)&lt;/Q&gt;&lt;R&gt;1&lt;/R&gt;&lt;C&gt;1&lt;/C&gt;&lt;D xsi:type="xsd:double"&gt;3.96&lt;/D&gt;&lt;/FQL&gt;&lt;FQL&gt;&lt;Q&gt;RDY-AU^FG_PRICE(44554)&lt;/Q&gt;&lt;R&gt;1&lt;/R&gt;&lt;C&gt;1&lt;/C&gt;&lt;D xsi:type="xsd:double"&gt;3.82&lt;/D&gt;&lt;/FQL&gt;&lt;FQL&gt;&lt;Q&gt;RDY-AU^FG_PRICE(44561)&lt;/Q&gt;&lt;R&gt;1&lt;/R&gt;&lt;C&gt;1&lt;/C&gt;&lt;D xsi:type="xsd:double"&gt;3.9&lt;/D&gt;&lt;/FQL&gt;&lt;FQL&gt;&lt;Q&gt;RDY-AU^FG_PRICE(44568)&lt;/Q&gt;&lt;R&gt;1&lt;/R&gt;&lt;C&gt;1&lt;/C&gt;&lt;D xsi:type="xsd:double"&gt;3.6&lt;/D&gt;&lt;/FQL&gt;&lt;FQL&gt;&lt;Q&gt;RDY-AU^FG_PRICE(44575)&lt;/Q&gt;&lt;R&gt;1&lt;/R&gt;&lt;C&gt;1&lt;/C&gt;&lt;D xsi:type="xsd:double"&gt;3.2&lt;/D&gt;&lt;/FQL&gt;&lt;FQL&gt;&lt;Q&gt;RDY-AU^FG_PRICE(44582)&lt;/Q&gt;&lt;R&gt;1&lt;/R&gt;&lt;C&gt;1&lt;/C&gt;&lt;D xsi:type="xsd:double"&gt;3.12&lt;/D&gt;&lt;/FQL&gt;&lt;FQL&gt;&lt;Q&gt;RDY-AU^FG_PRICE(44589)&lt;/Q&gt;&lt;R&gt;1&lt;/R&gt;&lt;C&gt;1&lt;/C&gt;&lt;D xsi:type="xsd:double"&gt;3.24&lt;/D&gt;&lt;/FQL&gt;&lt;FQL&gt;&lt;Q&gt;RDY-AU^FG_PRICE(44596)&lt;/Q&gt;&lt;R&gt;1&lt;/R&gt;&lt;C&gt;1&lt;/C&gt;&lt;D xsi:type="xsd:double"&gt;3.31&lt;/D&gt;&lt;/FQL&gt;&lt;FQL&gt;&lt;Q&gt;RDY-AU^FG_PRICE(44603)&lt;/Q&gt;&lt;R&gt;1&lt;/R&gt;&lt;C&gt;1&lt;/C&gt;&lt;D xsi:type="xsd:double"&gt;3.25&lt;/D&gt;&lt;/FQL&gt;&lt;FQL&gt;&lt;Q&gt;RDY-AU^FG_PRICE(44610)&lt;/Q&gt;&lt;R&gt;1&lt;/R&gt;&lt;C&gt;1&lt;/C&gt;&lt;D xsi:type="xsd:double"&gt;3.25&lt;/D&gt;&lt;/FQL&gt;&lt;FQL&gt;&lt;Q&gt;RDY-AU^FG_PRICE(44617)&lt;/Q&gt;&lt;R&gt;1&lt;/R&gt;&lt;C&gt;1&lt;/C&gt;&lt;D xsi:type="xsd:double"&gt;3.09&lt;/D&gt;&lt;/FQL&gt;&lt;FQL&gt;&lt;Q&gt;RDY-AU^FG_PRICE(44624)&lt;/Q&gt;&lt;R&gt;1&lt;/R&gt;&lt;C&gt;1&lt;/C&gt;&lt;D xsi:type="xsd:double"&gt;3.03&lt;/D&gt;&lt;/FQL&gt;&lt;FQL&gt;&lt;Q&gt;RDY-AU^FG_PRICE(44631)&lt;/Q&gt;&lt;R&gt;1&lt;/R&gt;&lt;C&gt;1&lt;/C&gt;&lt;D xsi:type="xsd:double"&gt;2.9&lt;/D&gt;&lt;/FQL&gt;&lt;FQL&gt;&lt;Q&gt;RDY-AU^FG_PRICE(44638)&lt;/Q&gt;&lt;R&gt;1&lt;/R&gt;&lt;C&gt;1&lt;/C&gt;&lt;D xsi:type="xsd:double"&gt;3.03&lt;/D&gt;&lt;/FQL&gt;&lt;FQL&gt;&lt;Q&gt;RDY-AU^FG_PRICE(44645)&lt;/Q&gt;&lt;R&gt;1&lt;/R&gt;&lt;C&gt;1&lt;/C&gt;&lt;D xsi:type="xsd:double"&gt;3.13&lt;/D&gt;&lt;/FQL&gt;&lt;FQL&gt;&lt;Q&gt;RDY-AU^FE_ESTIMATE(EPS,MEAN,NTMA,,43651,,,'')&lt;/Q&gt;&lt;R&gt;1&lt;/R&gt;&lt;C&gt;1&lt;/C&gt;&lt;D xsi:type="xsd:double"&gt;0.07070548&lt;/D&gt;&lt;/FQL&gt;&lt;FQL&gt;&lt;Q&gt;RDY-AU^FE_ESTIMATE(EPS,MEAN,NTMA,,43658,,,'')&lt;/Q&gt;&lt;R&gt;1&lt;/R&gt;&lt;C&gt;1&lt;/C&gt;&lt;D xsi:type="xsd:double"&gt;0.07099315&lt;/D&gt;&lt;/FQL&gt;&lt;FQL&gt;&lt;Q&gt;RDY-AU^FE_ESTIMATE(EPS,MEAN,NTMA,,43665,,,'')&lt;/Q&gt;&lt;R&gt;1&lt;/R&gt;&lt;C&gt;1&lt;/C&gt;&lt;D xsi:type="xsd:double"&gt;0.07128082&lt;/D&gt;&lt;/FQL&gt;&lt;FQL&gt;&lt;Q&gt;RDY-AU^FE_ESTIMATE(EPS,MEAN,NTMA,,43672,,,'')&lt;/Q&gt;&lt;R&gt;1&lt;/R&gt;&lt;C&gt;1&lt;/C&gt;&lt;D xsi:type="xsd:double"&gt;0.0715685&lt;/D&gt;&lt;/FQL&gt;&lt;FQL&gt;&lt;Q&gt;RDY-AU^FE_ESTIMATE(EPS,MEAN,NTMA,,43679,,,'')&lt;/Q&gt;&lt;R&gt;1&lt;/R&gt;&lt;C&gt;1&lt;/C&gt;&lt;D xsi:type="xsd:double"&gt;0.07185616&lt;/D&gt;&lt;/FQL&gt;&lt;FQL&gt;&lt;Q&gt;RDY-AU^FE_ESTIMATE(EPS,MEAN,NTMA,,43686,,,'')&lt;/Q&gt;&lt;R&gt;1&lt;/R&gt;&lt;C&gt;1&lt;/C&gt;&lt;D xsi:type="xsd:double"&gt;0.07214384&lt;/D&gt;&lt;/FQL&gt;&lt;FQL&gt;&lt;Q&gt;RDY-AU^FE_ESTIMATE(EPS,MEAN,NTMA,,43693,,,'')&lt;/Q&gt;&lt;R&gt;1&lt;/R&gt;&lt;C&gt;1&lt;/C&gt;&lt;D xsi:type="xsd:double"&gt;0.072431505&lt;/D&gt;&lt;/FQL&gt;&lt;FQL&gt;&lt;Q&gt;RDY-AU^FE_ESTIMATE(EPS,MEAN,NTMA,,43700,,,'')&lt;/Q&gt;&lt;R&gt;1&lt;/R&gt;&lt;C&gt;1&lt;/C&gt;&lt;D xsi:type="xsd:double"&gt;0.09394109&lt;/D&gt;&lt;/FQL&gt;&lt;FQL&gt;&lt;Q&gt;RDY-AU^FE_ESTIMATE(EPS,MEAN,NTMA,,43707,,,'')&lt;/Q&gt;&lt;R&gt;1&lt;/R&gt;&lt;C&gt;1&lt;/C&gt;&lt;D xsi:type="xsd:double"&gt;0.09425753&lt;/D&gt;&lt;/FQL&gt;&lt;FQL&gt;&lt;Q&gt;RDY-AU^FE_ESTIMATE(EPS,MEAN,NTMA,,43714,,,'')&lt;/Q&gt;&lt;R&gt;1&lt;/R&gt;&lt;C&gt;1&lt;/C&gt;&lt;D xsi:type="xsd:double"&gt;0.094573975&lt;/D&gt;&lt;/FQL&gt;&lt;FQL&gt;&lt;Q&gt;RDY-AU^FE_ESTIMATE(EPS,MEAN,NTMA,,43721,,,'')&lt;/Q&gt;&lt;R&gt;1&lt;/R&gt;&lt;C&gt;1&lt;/C&gt;&lt;D xsi:type="xsd:double"&gt;0.09489041&lt;/D&gt;&lt;/FQL&gt;&lt;FQL&gt;&lt;Q&gt;RDY-AU^FE_ESTIMATE(EPS,MEAN,NTMA,,43728,,,'')&lt;/Q&gt;&lt;R&gt;1&lt;/R&gt;&lt;C&gt;1&lt;/C&gt;&lt;D xsi:type="xsd:double"&gt;0.09520685&lt;/D&gt;&lt;/FQL&gt;&lt;FQL&gt;&lt;Q&gt;RDY-AU^FE_ESTIMATE(EPS,MEAN,NTMA,,43735,,,'')&lt;/Q&gt;&lt;R&gt;1&lt;/R&gt;&lt;C&gt;1&lt;/C&gt;&lt;D xsi:type="xsd:double"&gt;0.09552329&lt;/D&gt;&lt;/FQL&gt;&lt;FQL&gt;&lt;Q&gt;RDY-AU^FE_ESTIMATE(EPS,MEAN,NTMA,,43742,,,'')&lt;/Q&gt;&lt;R&gt;1&lt;/R&gt;&lt;C&gt;1&lt;/C&gt;&lt;D xsi:type="xsd:double"&gt;0.095839724&lt;/D&gt;&lt;/FQL&gt;&lt;FQL&gt;&lt;Q&gt;RDY-AU^FE_ESTIMATE(EPS,MEAN,NTMA,,43749,,,'')&lt;/Q&gt;&lt;R&gt;1&lt;/R&gt;&lt;C&gt;1&lt;/C&gt;&lt;D xsi:type="xsd:double"&gt;0.1054137&lt;/D&gt;&lt;/FQL&gt;&lt;FQL&gt;&lt;Q&gt;RDY-AU^FE_ESTIMATE(EPS,MEAN,NTMA,,43756,,,'')&lt;/Q&gt;&lt;R&gt;1&lt;/R&gt;&lt;C&gt;1&lt;/C&gt;&lt;D xsi:type="xsd:double"&gt;0.10588356&lt;/D&gt;&lt;/FQL&gt;&lt;FQL&gt;&lt;Q&gt;RDY-AU^FE_ESTIMATE(EPS,MEAN,NTMA,,43763,,,'')&lt;/Q&gt;&lt;R&gt;1&lt;/R&gt;&lt;C&gt;1&lt;/C&gt;&lt;D xsi:type="xsd:double"&gt;0.106353424&lt;/D&gt;&lt;/FQL&gt;&lt;FQL&gt;&lt;Q&gt;RDY-AU^FE_ESTIMATE(EPS,MEAN,NTMA,,43770,,,'')&lt;/Q&gt;&lt;R&gt;1&lt;/R&gt;&lt;C&gt;1&lt;/C&gt;&lt;D xsi:type="xsd:double"&gt;0.10682329&lt;/D&gt;&lt;/FQL&gt;&lt;FQL&gt;&lt;Q&gt;RDY-AU^FE_ESTIMATE(EPS,MEAN,NTMA,,43777,,,'')&lt;/Q&gt;&lt;R&gt;1&lt;/R&gt;&lt;C&gt;1&lt;/C&gt;&lt;D xsi:type="xsd:double"&gt;0.10729315&lt;/D&gt;&lt;/FQL&gt;&lt;FQL&gt;&lt;Q&gt;RDY-AU^FE_ESTIMATE(EPS,MEAN,NTMA,,43784,,,'')&lt;/Q&gt;&lt;R&gt;1&lt;/R&gt;&lt;C&gt;1&lt;/C&gt;&lt;D xsi:type="xsd:double"&gt;0.107763015&lt;/D&gt;&lt;/FQL&gt;&lt;FQL&gt;&lt;Q&gt;RDY-AU^FE_ESTIMATE(EPS,MEAN,NTMA,,43791,,,'')&lt;/Q&gt;&lt;R&gt;1&lt;/R&gt;&lt;C&gt;1&lt;/C&gt;&lt;D xsi:type="xsd:double"&gt;0.10823288&lt;/D&gt;&lt;/FQL&gt;&lt;FQL&gt;&lt;Q&gt;RDY-AU^FE_ESTIMATE(EPS,MEAN,NTMA,,43798,,,'')&lt;/Q&gt;&lt;R&gt;1&lt;/R&gt;&lt;C&gt;1&lt;/C&gt;&lt;D xsi:type="xsd:double"&gt;0.10870274&lt;/D&gt;&lt;/FQL&gt;&lt;FQL&gt;&lt;Q&gt;RDY-AU^FE_ESTIMATE(EPS,MEAN,NTMA,,43805,,,'')&lt;/Q&gt;&lt;R&gt;1&lt;/R&gt;&lt;C&gt;1&lt;/C&gt;&lt;D xsi:type="xsd:double"&gt;0.109172605&lt;/D&gt;&lt;/FQL&gt;&lt;FQL&gt;&lt;Q&gt;RDY-AU^FE_ESTIMATE(EPS,MEAN,NTMA,,43812,,,'')&lt;/Q&gt;&lt;R&gt;1&lt;/R&gt;&lt;C&gt;1&lt;/C&gt;&lt;D xsi:type="xsd:double"&gt;0.10964247&lt;/D&gt;&lt;/FQL&gt;&lt;FQL&gt;&lt;Q&gt;RDY-AU^FE_ESTIMATE(EPS,MEAN,NTMA,,43819,,,'')&lt;/Q&gt;&lt;R&gt;1&lt;/R&gt;&lt;C&gt;1&lt;/C&gt;&lt;D xsi:type="xsd:double"&gt;0.11011233&lt;/D&gt;&lt;/FQL&gt;&lt;FQL&gt;&lt;Q&gt;RDY-AU^FE_ESTIMATE(EPS,MEAN,NTMA,,43826,,,'')&lt;/Q&gt;&lt;R&gt;1&lt;/R&gt;&lt;C&gt;1&lt;/C&gt;&lt;D xsi:type="xsd:double"&gt;0.110582195&lt;/D&gt;&lt;/FQL&gt;&lt;FQL&gt;&lt;Q&gt;RDY-AU^FE_ESTIMATE(EPS,MEAN,NTMA,,43833,,,'')&lt;/Q&gt;&lt;R&gt;1&lt;/R&gt;&lt;C&gt;1&lt;/C&gt;&lt;D xsi:type="xsd:double"&gt;0.11105205&lt;/D&gt;&lt;/FQL&gt;&lt;FQL&gt;&lt;Q&gt;RDY-AU^FE_ESTIMATE(EPS,MEAN,NTMA,,43840,,,'')&lt;/Q&gt;&lt;R&gt;1&lt;/R&gt;&lt;C&gt;1&lt;/C&gt;&lt;D xsi:type="xsd:double"&gt;0.111521915&lt;/D&gt;&lt;/FQL&gt;&lt;FQL&gt;&lt;Q&gt;RDY-AU^FE_ESTIMATE(EPS,MEAN,NTMA,,43847,,,'')&lt;/Q&gt;&lt;R&gt;1&lt;/R&gt;&lt;C&gt;1&lt;/C&gt;&lt;D xsi:type="xsd:double"&gt;0.11309315&lt;/D&gt;&lt;/FQL&gt;&lt;FQL&gt;&lt;Q&gt;RDY-AU^FE_ESTIMATE(EPS,MEAN,NTMA,,43854,,,'')&lt;/Q&gt;&lt;R&gt;1&lt;/R&gt;&lt;C&gt;1&lt;/C&gt;&lt;D xsi:type="xsd:double"&gt;0.11445616&lt;/D&gt;&lt;/FQL&gt;&lt;FQL&gt;&lt;Q&gt;RDY-AU^FE_ESTIMATE(EPS,MEAN,NTMA,,43861,,,'')&lt;/Q&gt;&lt;R&gt;1&lt;/R&gt;&lt;C&gt;1&lt;/C&gt;&lt;D xsi:type="xsd:double"&gt;0.11499315&lt;/D&gt;&lt;/FQL&gt;&lt;FQL&gt;&lt;Q&gt;RDY-AU^FE_ESTIMATE(EPS,MEAN,NTMA,,43868,,,'')&lt;/Q&gt;&lt;R&gt;1&lt;/R&gt;&lt;C&gt;1&lt;/C&gt;&lt;D xsi:type="xsd:double"&gt;0.11553014&lt;/D&gt;&lt;/FQL&gt;&lt;FQL&gt;&lt;Q&gt;RDY-AU^FE_ESTIMATE(EPS,MEAN,NTMA,,43875,,,'')&lt;/Q&gt;&lt;R&gt;1&lt;/R&gt;&lt;C&gt;1&lt;/C&gt;&lt;D xsi:type="xsd:double"&gt;0.11606713&lt;/D&gt;&lt;/FQL&gt;&lt;FQL&gt;&lt;Q&gt;RDY-AU^FE_ESTIMATE(EPS,MEAN,NTMA,,43882,,,'')&lt;/Q&gt;&lt;R&gt;1&lt;/R&gt;&lt;C&gt;1&lt;/C&gt;&lt;D xsi:type="xsd:double"&gt;0.11810411&lt;/D&gt;&lt;/FQL&gt;&lt;FQL&gt;&lt;Q&gt;RDY-AU^FE_ESTIMATE(EPS,MEAN,NTMA,,43889,,,'')&lt;/Q&gt;&lt;R&gt;1&lt;/R&gt;&lt;C&gt;1&lt;/C&gt;&lt;D xsi:type="xsd:double"&gt;0.11864109&lt;/D&gt;&lt;/FQL&gt;&lt;FQL&gt;&lt;Q&gt;RDY-AU^FE_ESTIMATE(EPS,MEAN,NTMA,,43896,,,'')&lt;/Q&gt;&lt;R&gt;1&lt;/R&gt;&lt;C&gt;1&lt;/C&gt;&lt;D xsi:type="xsd:double"&gt;0.11744247&lt;/D&gt;&lt;/FQL&gt;&lt;FQL&gt;&lt;Q&gt;RDY-AU^FE_ESTIMATE(EPS,MEAN,NTMA,,43903,,,'')&lt;/Q&gt;&lt;R&gt;1&lt;/R&gt;&lt;C&gt;1&lt;/C&gt;&lt;D xsi:type="xsd:double"&gt;0.11798904&lt;/D&gt;&lt;/FQL&gt;&lt;FQL&gt;&lt;Q&gt;RDY-AU^FE_ESTIMATE(EPS,MEAN,NTMA,,43910,,,'')&lt;/Q&gt;&lt;R&gt;1&lt;/R&gt;&lt;C&gt;1&lt;/C&gt;&lt;D xsi:type="xsd:double"&gt;0.118535616&lt;/D&gt;&lt;/FQL&gt;&lt;FQL&gt;&lt;Q&gt;RDY-AU^FE_ESTIMATE(EPS,MEAN,NTMA,,43917,,,'')&lt;/Q&gt;&lt;R&gt;1&lt;/R&gt;&lt;C&gt;1&lt;/C&gt;&lt;D xsi:type="xsd:double"&gt;0.11908219&lt;/D&gt;&lt;/FQL&gt;&lt;FQL&gt;&lt;Q&gt;RDY-AU^FE_ESTIMATE(EPS,MEAN,NTMA,,43924,,,'')&lt;/Q&gt;&lt;R&gt;1&lt;/R&gt;&lt;C&gt;1&lt;/C&gt;&lt;D xsi:type="xsd:double"&gt;0.119628765&lt;/D&gt;&lt;/FQL&gt;&lt;FQL&gt;&lt;Q&gt;RDY-AU^FE_ESTIMATE(EPS,MEAN,NTMA,,43930,,,'')&lt;/Q&gt;&lt;R&gt;1&lt;/R&gt;&lt;C&gt;1&lt;/C&gt;&lt;D xsi:type="xsd:double"&gt;0.113832876&lt;/D&gt;&lt;/FQL&gt;&lt;FQL&gt;&lt;Q&gt;RDY-AU^FE_ESTIMATE(EPS,MEAN,NTMA,,43938,,,'')&lt;/Q&gt;&lt;R&gt;1&lt;/R&gt;&lt;C&gt;1&lt;/C&gt;&lt;D xsi:type="xsd:double"&gt;0.11433699&lt;/D&gt;&lt;/FQL&gt;&lt;FQL&gt;&lt;Q&gt;RDY-AU^FE_ESTIMATE(EPS,MEAN,NTMA,,43945,,,'')&lt;/Q&gt;&lt;R&gt;1&lt;/R&gt;&lt;C&gt;1&lt;/C&gt;&lt;D xsi:type="xsd:double"&gt;0.11477808&lt;/D&gt;&lt;/FQL&gt;&lt;FQL&gt;&lt;Q&gt;RDY-AU^FE_ESTIMATE(EPS,MEAN,NTMA,,43952,,,'')&lt;/Q&gt;&lt;R&gt;1&lt;/R&gt;&lt;C&gt;1&lt;/C&gt;&lt;D xsi:type="xsd:double"&gt;0.115219176&lt;/D&gt;&lt;/FQL&gt;&lt;FQL&gt;&lt;Q&gt;RDY-AU^FE_ESTIMATE(EPS,MEAN,NTMA,,43959,,,'')&lt;/Q&gt;&lt;R&gt;1&lt;/R&gt;&lt;C&gt;1&lt;/C&gt;&lt;D xsi:type="xsd:double"&gt;0.11566027&lt;/D&gt;&lt;/FQL&gt;&lt;FQL&gt;&lt;Q&gt;RDY-AU^FE_ESTIMATE(EPS,MEAN,NTMA,,43966,,,'')&lt;/Q&gt;&lt;R&gt;1&lt;/R&gt;&lt;C&gt;1&lt;/C&gt;&lt;D xsi:type="xsd:double"&gt;0.11610137&lt;/D&gt;&lt;/FQL&gt;&lt;FQL&gt;&lt;Q&gt;RDY-AU^FE_ESTIMATE(EPS,MEAN,NTMA,,43973,,,'')&lt;/Q&gt;&lt;R&gt;1&lt;/R&gt;&lt;C&gt;1&lt;/C&gt;&lt;D xsi:type="xsd:double"&gt;0.116542466&lt;/D&gt;&lt;/FQL&gt;&lt;FQL&gt;&lt;Q&gt;RDY-AU^FE_ESTIMATE(EPS,MEAN,NTMA,,43980,,,'')&lt;/Q&gt;&lt;R&gt;1&lt;/R&gt;&lt;C&gt;1&lt;/C&gt;&lt;D xsi:type="xsd:double"&gt;0.11698356&lt;/D&gt;&lt;/FQL&gt;&lt;FQL&gt;&lt;Q&gt;RDY-AU^FE_ESTIMATE(EPS,MEAN,NTMA,,43987,,,'')&lt;/Q&gt;&lt;R&gt;1&lt;/R&gt;&lt;C&gt;1&lt;/C&gt;&lt;D xsi:type="xsd:double"&gt;0.11742466&lt;/D&gt;&lt;/FQL&gt;&lt;FQL&gt;&lt;Q&gt;RDY-AU^FE_ESTIMATE(EPS,MEAN,NTMA,,43994,,,'')&lt;/Q&gt;&lt;R&gt;1&lt;/R&gt;&lt;C&gt;1&lt;/C&gt;&lt;D xsi:type="xsd:double"&gt;0.117865756&lt;/D&gt;&lt;/FQL&gt;&lt;FQL&gt;&lt;Q&gt;RDY-AU^FE_ESTIMATE(EPS,MEAN,NTMA,,44001,,,'')&lt;/Q&gt;&lt;R&gt;1&lt;/R&gt;&lt;C&gt;1&lt;/C&gt;&lt;D xsi:type="xsd:double"&gt;0.11830685&lt;/D&gt;&lt;/FQL&gt;&lt;FQL&gt;&lt;Q&gt;RDY-AU^FE_ESTIMATE(EPS,MEAN,NTMA,,44008,,,'')&lt;/Q&gt;&lt;R&gt;1&lt;/R&gt;&lt;C&gt;1&lt;/C&gt;&lt;D xsi:type="xsd:double"&gt;0.11874794&lt;/D&gt;&lt;/FQL&gt;&lt;FQL&gt;&lt;Q&gt;RDY-AU^FE_ESTIMATE(EPS,MEAN,NTMA,,44015,,,'')&lt;/Q&gt;&lt;R&gt;1&lt;/R&gt;&lt;C&gt;1&lt;/C&gt;&lt;D xsi:type="xsd:double"&gt;0.11915617&lt;/D&gt;&lt;/FQL&gt;&lt;FQL&gt;&lt;Q&gt;RDY-AU^FE_ESTIMATE(EPS,MEAN,NTMA,,44022,,,'')&lt;/Q&gt;&lt;R&gt;1&lt;/R&gt;&lt;C&gt;1&lt;/C&gt;&lt;D xsi:type="xsd:double"&gt;0.119520545&lt;/D&gt;&lt;/FQL&gt;&lt;FQL&gt;&lt;Q&gt;RDY-AU^FE_ESTIMATE(EPS,MEAN,NTMA,,44029,,,'')&lt;/Q&gt;&lt;R&gt;1&lt;/R&gt;&lt;C&gt;1&lt;/C&gt;&lt;D xsi:type="xsd:double"&gt;0.11188493&lt;/D&gt;&lt;/FQL&gt;&lt;FQL&gt;&lt;Q&gt;RDY-AU^FE_ESTIMATE(EPS,MEAN,NTMA,,44036,,,'')&lt;/Q&gt;&lt;R&gt;1&lt;/R&gt;&lt;C&gt;1&lt;/C&gt;&lt;D xsi:type="xsd:double"&gt;0.112249315&lt;/D&gt;&lt;/FQL&gt;&lt;FQL&gt;&lt;Q&gt;RDY-AU^FE_ESTIMATE(EPS,MEAN,NTMA,,44043,,,'')&lt;/Q&gt;&lt;R&gt;1&lt;/R&gt;&lt;C&gt;1&lt;/C&gt;&lt;D xsi:type="xsd:double"&gt;0.1126137&lt;/D&gt;&lt;/FQL&gt;&lt;FQL&gt;&lt;Q&gt;RDY-AU^FE_ESTIMATE(EPS,MEAN,NTMA,,44050,,,'')&lt;/Q&gt;&lt;R&gt;1&lt;/R&gt;&lt;C&gt;1&lt;/C&gt;&lt;D xsi:type="xsd:double"&gt;0.112978086&lt;/D&gt;&lt;/FQL&gt;&lt;FQL&gt;&lt;Q&gt;RDY-AU^FE_ESTIMATE(EPS,MEAN,NTMA,,44057,,,'')&lt;/Q&gt;&lt;R&gt;1&lt;/R&gt;&lt;C&gt;1&lt;/C&gt;&lt;D xsi:type="xsd:double"&gt;0.113342464&lt;/D&gt;&lt;/FQL&gt;&lt;FQL&gt;&lt;Q&gt;RDY-AU^FE_ESTIMATE(EPS,MEAN,NTMA,,44064,,,'')&lt;/Q&gt;&lt;R&gt;0&lt;/R&gt;&lt;C&gt;0&lt;/C&gt;&lt;/FQL&gt;&lt;FQL&gt;&lt;Q&gt;RDY-AU^FE_ESTIMATE(EPS,MEAN,NTMA,,44071,,,'')&lt;/Q&gt;&lt;R&gt;1&lt;/R&gt;&lt;C&gt;1&lt;/C&gt;&lt;D xsi:type="xsd:double"&gt;0.10592466&lt;/D&gt;&lt;/FQL&gt;&lt;FQL&gt;&lt;Q&gt;RDY-AU^FE_ESTIMATE(EPS,MEAN,NTMA,,44078,,,'')&lt;/Q&gt;&lt;R&gt;1&lt;/R&gt;&lt;C&gt;1&lt;/C&gt;&lt;D xsi:type="xsd:double"&gt;0.106212325&lt;/D&gt;&lt;/FQL&gt;&lt;FQL&gt;&lt;Q&gt;RDY-AU^FE_ESTIMATE(EPS,MEAN,NTMA,,44085,,,'')&lt;/Q&gt;&lt;R&gt;1&lt;/R&gt;&lt;C&gt;1&lt;/C&gt;&lt;D xsi:type="xsd:double"&gt;0.1065&lt;/D&gt;&lt;/FQL&gt;&lt;FQL&gt;&lt;Q&gt;RDY-AU^FE_ESTIMATE(EPS,MEAN,NTMA,,44092,,,'')&lt;/Q&gt;&lt;R&gt;1&lt;/R&gt;&lt;C&gt;1&lt;/C&gt;&lt;D xsi:type="xsd:double"&gt;0.106787674&lt;/D&gt;&lt;/FQL&gt;&lt;FQL&gt;&lt;Q&gt;RDY-AU^FE_ESTIMATE(EPS,MEAN,NTMA,,44099,,,'')&lt;/Q&gt;&lt;R&gt;1&lt;/R&gt;&lt;C&gt;1&lt;/C&gt;&lt;D xsi:type="xsd:double"&gt;0.10707534&lt;/D&gt;&lt;/FQL&gt;&lt;FQL&gt;&lt;Q&gt;RDY-AU^FE_ESTIMATE(EPS,MEAN,NTMA,,44106,,,'')&lt;/Q&gt;&lt;R&gt;1&lt;/R&gt;&lt;C&gt;1&lt;/C&gt;&lt;D xsi:type="xsd:double"&gt;0.107363015&lt;/D&gt;&lt;/FQL&gt;&lt;FQL&gt;&lt;Q&gt;RDY-AU^FE_ESTIMATE(EPS,MEAN,NTMA,,44113,,,'')&lt;/Q&gt;&lt;R&gt;1&lt;/R&gt;&lt;C&gt;1&lt;/C&gt;&lt;D xsi:type="xsd:double"&gt;0.10765068&lt;/D&gt;&lt;/FQL&gt;&lt;FQL&gt;&lt;Q&gt;RDY-AU^FE_ESTIMATE(EPS,MEAN,NTMA,,44120,,,'')&lt;/Q&gt;&lt;R&gt;1&lt;/R&gt;&lt;C&gt;1&lt;/C&gt;&lt;D xsi:type="xsd:double"&gt;0.10793836&lt;/D&gt;&lt;/FQL&gt;&lt;FQL&gt;&lt;Q&gt;RDY-AU^FE_ESTIMATE(EPS,MEAN,NTMA,,44127,,,'')&lt;/Q&gt;&lt;R&gt;1&lt;/R&gt;&lt;C&gt;1&lt;/C&gt;&lt;D xsi:type="xsd:double"&gt;0.10822603&lt;/D&gt;&lt;/FQL&gt;&lt;FQL&gt;&lt;Q&gt;RDY-AU^FE_ESTIMATE(EPS,MEAN,NTMA,,44134,,,'')&lt;/Q&gt;&lt;R&gt;1&lt;/R&gt;&lt;C&gt;1&lt;/C&gt;&lt;D xsi:type="xsd:double"&gt;0.1085137&lt;/D&gt;&lt;/FQL&gt;&lt;FQL&gt;&lt;Q&gt;RDY-AU^FE_ESTIMATE(EPS,MEAN,NTMA,,44141,,,'')&lt;/Q&gt;&lt;R&gt;1&lt;/R&gt;&lt;C&gt;1&lt;/C&gt;&lt;D xsi:type="xsd:double"&gt;0.10880137&lt;/D&gt;&lt;/FQL&gt;&lt;FQL&gt;&lt;Q&gt;RDY-AU^FE_ESTIMATE(EPS,MEAN,NTMA,,44148,,,'')&lt;/Q&gt;&lt;R&gt;1&lt;/R&gt;&lt;C&gt;1&lt;/C&gt;&lt;D xsi:type="xsd:double"&gt;0.11000137&lt;/D&gt;&lt;/FQL&gt;&lt;FQL&gt;&lt;Q&gt;RDY-AU^FE_ESTIMATE(EPS,MEAN,NTMA,,44155,,,'')&lt;/Q&gt;&lt;R&gt;1&lt;/R&gt;&lt;C&gt;1&lt;/C&gt;&lt;D xsi:type="xsd:double"&gt;0.11049041&lt;/D&gt;&lt;/FQL&gt;&lt;FQL&gt;&lt;Q&gt;RDY-AU^FE_ESTIMATE(EPS,MEAN,NTMA,,44162,,,'')&lt;/Q&gt;&lt;R&gt;1&lt;/R&gt;&lt;C&gt;1&lt;/C&gt;&lt;D xsi:type="xsd:double"&gt;0.11097945&lt;/D&gt;&lt;/FQL&gt;&lt;FQL&gt;&lt;Q&gt;RDY-AU^FE_ESTIMATE(EPS,MEAN,NTMA,,44169,,,'')&lt;/Q&gt;&lt;R&gt;1&lt;/R&gt;&lt;C&gt;1&lt;/C&gt;&lt;D xsi:type="xsd:double"&gt;0.111468494&lt;/D&gt;&lt;/FQL&gt;&lt;FQL&gt;&lt;Q&gt;RDY-AU^FE_ESTIMATE(EPS,MEAN,NTMA,,44176,,,'')&lt;/Q&gt;&lt;R&gt;1&lt;/R&gt;&lt;C&gt;1&lt;/C&gt;&lt;D xsi:type="xsd:double"&gt;0.111957535&lt;/D&gt;&lt;/FQL&gt;&lt;FQL&gt;&lt;Q&gt;RDY-AU^FE_ESTIMATE(EPS,MEAN,NTMA,,44183,,,'')&lt;/Q&gt;&lt;R&gt;1&lt;/R&gt;&lt;C&gt;1&lt;/C&gt;&lt;D xsi:type="xsd:double"&gt;0.11244658&lt;/D&gt;&lt;/FQL&gt;&lt;FQL&gt;&lt;Q&gt;RDY-AU^FE_ESTIMATE(EPS,MEAN,NTMA,,44189,,,'')&lt;/Q&gt;&lt;R&gt;1&lt;/R&gt;&lt;C&gt;1&lt;/C&gt;&lt;D xsi:type="xsd:double"&gt;0.11286575&lt;/D&gt;&lt;/FQL&gt;&lt;FQL&gt;&lt;Q&gt;RDY-AU^FE_ESTIMATE(EPS,MEAN,NTMA,,44196,,,'')&lt;/Q&gt;&lt;R&gt;1&lt;/R&gt;&lt;C&gt;1&lt;/C&gt;&lt;D xsi:type="xsd:double"&gt;0.113354795&lt;/D&gt;&lt;/FQL&gt;&lt;FQL&gt;&lt;Q&gt;RDY-AU^FE_ESTIMATE(EPS,MEAN,NTMA,,44204,,,'')&lt;/Q&gt;&lt;R&gt;1&lt;/R&gt;&lt;C&gt;1&lt;/C&gt;&lt;D xsi:type="xsd:double"&gt;0.1139137&lt;/D&gt;&lt;/FQL&gt;&lt;FQL&gt;&lt;Q&gt;RDY-AU^FE_ESTIMATE(EPS,MEAN,NTMA,,44211,,,'')&lt;/Q&gt;&lt;R&gt;1&lt;/R&gt;&lt;C&gt;1&lt;/C&gt;&lt;D xsi:type="xsd:double"&gt;0.116673976&lt;/D&gt;&lt;/FQL&gt;&lt;FQL&gt;&lt;Q&gt;RDY-AU^FE_ESTIMATE(EPS,MEAN,NTMA,,44218,,,'')&lt;/Q&gt;&lt;R&gt;1&lt;/R&gt;&lt;C&gt;1&lt;/C&gt;&lt;D xsi:type="xsd:double"&gt;0.117278084&lt;/D&gt;&lt;/FQL&gt;&lt;FQL&gt;&lt;Q&gt;RDY-AU^FE_ESTIMATE(EPS,MEAN,NTMA,,44225,,,'')&lt;/Q&gt;&lt;R&gt;1&lt;/R&gt;&lt;C&gt;1&lt;/C&gt;&lt;D xsi:type="xsd:double"&gt;0.11663288&lt;/D&gt;&lt;/FQL&gt;&lt;FQL&gt;&lt;Q&gt;RDY-AU^FE_ESTIMATE(EPS,MEAN,NTMA,,44232,,,'')&lt;/Q&gt;&lt;R&gt;1&lt;/R&gt;&lt;C&gt;1&lt;/C&gt;&lt;D xsi:type="xsd:doubl</t>
        </r>
      </text>
    </comment>
    <comment ref="A4" authorId="0" shapeId="0" xr:uid="{F2971DEB-3B1D-470B-A23E-6F98178C646A}">
      <text>
        <r>
          <rPr>
            <b/>
            <sz val="9"/>
            <color indexed="81"/>
            <rFont val="Tahoma"/>
            <charset val="1"/>
          </rPr>
          <t>e"&gt;0.104034245&lt;/D&gt;&lt;/FQL&gt;&lt;FQL&gt;&lt;Q&gt;RDY-AU^FE_ESTIMATE(EPS,MEAN,NTMA,,44239,,,'')&lt;/Q&gt;&lt;R&gt;1&lt;/R&gt;&lt;C&gt;1&lt;/C&gt;&lt;D xsi:type="xsd:double"&gt;0.104273975&lt;/D&gt;&lt;/FQL&gt;&lt;FQL&gt;&lt;Q&gt;RDY-AU^FE_ESTIMATE(EPS,MEAN,NTMA,,44246,,,'')&lt;/Q&gt;&lt;R&gt;1&lt;/R&gt;&lt;C&gt;1&lt;/C&gt;&lt;D xsi:type="xsd:double"&gt;0.120476715&lt;/D&gt;&lt;/FQL&gt;&lt;FQL&gt;&lt;Q&gt;RDY-AU^FE_ESTIMATE(EPS,MEAN,NTMA,,44253,,,'')&lt;/Q&gt;&lt;R&gt;1&lt;/R&gt;&lt;C&gt;1&lt;/C&gt;&lt;D xsi:type="xsd:double"&gt;0.12111918&lt;/D&gt;&lt;/FQL&gt;&lt;FQL&gt;&lt;Q&gt;RDY-AU^FE_ESTIMATE(EPS,MEAN,NTMA,,44260,,,'')&lt;/Q&gt;&lt;R&gt;1&lt;/R&gt;&lt;C&gt;1&lt;/C&gt;&lt;D xsi:type="xsd:double"&gt;0.12176164&lt;/D&gt;&lt;/FQL&gt;&lt;FQL&gt;&lt;Q&gt;RDY-AU^FE_ESTIMATE(EPS,MEAN,NTMA,,44267,,,'')&lt;/Q&gt;&lt;R&gt;1&lt;/R&gt;&lt;C&gt;1&lt;/C&gt;&lt;D xsi:type="xsd:double"&gt;0.122404106&lt;/D&gt;&lt;/FQL&gt;&lt;FQL&gt;&lt;Q&gt;RDY-AU^FE_ESTIMATE(EPS,MEAN,NTMA,,44274,,,'')&lt;/Q&gt;&lt;R&gt;1&lt;/R&gt;&lt;C&gt;1&lt;/C&gt;&lt;D xsi:type="xsd:double"&gt;0.12304658&lt;/D&gt;&lt;/FQL&gt;&lt;FQL&gt;&lt;Q&gt;RDY-AU^FE_ESTIMATE(EPS,MEAN,NTMA,,44281,,,'')&lt;/Q&gt;&lt;R&gt;1&lt;/R&gt;&lt;C&gt;1&lt;/C&gt;&lt;D xsi:type="xsd:double"&gt;0.1177193&lt;/D&gt;&lt;/FQL&gt;&lt;FQL&gt;&lt;Q&gt;RDY-AU^FE_ESTIMATE(EPS,MEAN,NTMA,,44287,,,'')&lt;/Q&gt;&lt;R&gt;1&lt;/R&gt;&lt;C&gt;1&lt;/C&gt;&lt;D xsi:type="xsd:double"&gt;0.118265346&lt;/D&gt;&lt;/FQL&gt;&lt;FQL&gt;&lt;Q&gt;RDY-AU^FE_ESTIMATE(EPS,MEAN,NTMA,,44295,,,'')&lt;/Q&gt;&lt;R&gt;1&lt;/R&gt;&lt;C&gt;1&lt;/C&gt;&lt;D xsi:type="xsd:double"&gt;0.1189934&lt;/D&gt;&lt;/FQL&gt;&lt;FQL&gt;&lt;Q&gt;RDY-AU^FE_ESTIMATE(EPS,MEAN,NTMA,,44302,,,'')&lt;/Q&gt;&lt;R&gt;1&lt;/R&gt;&lt;C&gt;1&lt;/C&gt;&lt;D xsi:type="xsd:double"&gt;0.11963045&lt;/D&gt;&lt;/FQL&gt;&lt;FQL&gt;&lt;Q&gt;RDY-AU^FE_ESTIMATE(EPS,MEAN,NTMA,,44309,,,'')&lt;/Q&gt;&lt;R&gt;1&lt;/R&gt;&lt;C&gt;1&lt;/C&gt;&lt;D xsi:type="xsd:double"&gt;0.1202675&lt;/D&gt;&lt;/FQL&gt;&lt;FQL&gt;&lt;Q&gt;RDY-AU^FE_ESTIMATE(EPS,MEAN,NTMA,,44316,,,'')&lt;/Q&gt;&lt;R&gt;1&lt;/R&gt;&lt;C&gt;1&lt;/C&gt;&lt;D xsi:type="xsd:double"&gt;0.12090456&lt;/D&gt;&lt;/FQL&gt;&lt;FQL&gt;&lt;Q&gt;RDY-AU^FE_ESTIMATE(EPS,MEAN,NTMA,,44323,,,'')&lt;/Q&gt;&lt;R&gt;1&lt;/R&gt;&lt;C&gt;1&lt;/C&gt;&lt;D xsi:type="xsd:double"&gt;0.121541604&lt;/D&gt;&lt;/FQL&gt;&lt;FQL&gt;&lt;Q&gt;RDY-AU^FE_ESTIMATE(EPS,MEAN,NTMA,,44330,,,'')&lt;/Q&gt;&lt;R&gt;1&lt;/R&gt;&lt;C&gt;1&lt;/C&gt;&lt;D xsi:type="xsd:double"&gt;0.12217866&lt;/D&gt;&lt;/FQL&gt;&lt;FQL&gt;&lt;Q&gt;RDY-AU^FE_ESTIMATE(EPS,MEAN,NTMA,,44337,,,'')&lt;/Q&gt;&lt;R&gt;1&lt;/R&gt;&lt;C&gt;1&lt;/C&gt;&lt;D xsi:type="xsd:double"&gt;0.122815706&lt;/D&gt;&lt;/FQL&gt;&lt;FQL&gt;&lt;Q&gt;RDY-AU^FE_ESTIMATE(EPS,MEAN,NTMA,,44344,,,'')&lt;/Q&gt;&lt;R&gt;1&lt;/R&gt;&lt;C&gt;1&lt;/C&gt;&lt;D xsi:type="xsd:double"&gt;0.12345276&lt;/D&gt;&lt;/FQL&gt;&lt;FQL&gt;&lt;Q&gt;RDY-AU^FE_ESTIMATE(EPS,MEAN,NTMA,,44351,,,'')&lt;/Q&gt;&lt;R&gt;1&lt;/R&gt;&lt;C&gt;1&lt;/C&gt;&lt;D xsi:type="xsd:double"&gt;0.12406074&lt;/D&gt;&lt;/FQL&gt;&lt;FQL&gt;&lt;Q&gt;RDY-AU^FE_ESTIMATE(EPS,MEAN,NTMA,,44358,,,'')&lt;/Q&gt;&lt;R&gt;1&lt;/R&gt;&lt;C&gt;1&lt;/C&gt;&lt;D xsi:type="xsd:double"&gt;0.12537618&lt;/D&gt;&lt;/FQL&gt;&lt;FQL&gt;&lt;Q&gt;RDY-AU^FE_ESTIMATE(EPS,MEAN,NTMA,,44365,,,'')&lt;/Q&gt;&lt;R&gt;1&lt;/R&gt;&lt;C&gt;1&lt;/C&gt;&lt;D xsi:type="xsd:double"&gt;0.12601963&lt;/D&gt;&lt;/FQL&gt;&lt;FQL&gt;&lt;Q&gt;RDY-AU^FE_ESTIMATE(EPS,MEAN,NTMA,,44372,,,'')&lt;/Q&gt;&lt;R&gt;1&lt;/R&gt;&lt;C&gt;1&lt;/C&gt;&lt;D xsi:type="xsd:double"&gt;0.12666306&lt;/D&gt;&lt;/FQL&gt;&lt;FQL&gt;&lt;Q&gt;RDY-AU^FE_ESTIMATE(EPS,MEAN,NTMA,,44379,,,'')&lt;/Q&gt;&lt;R&gt;1&lt;/R&gt;&lt;C&gt;1&lt;/C&gt;&lt;D xsi:type="xsd:double"&gt;0.1271963&lt;/D&gt;&lt;/FQL&gt;&lt;FQL&gt;&lt;Q&gt;RDY-AU^FE_ESTIMATE(EPS,MEAN,NTMA,,44386,,,'')&lt;/Q&gt;&lt;R&gt;1&lt;/R&gt;&lt;C&gt;1&lt;/C&gt;&lt;D xsi:type="xsd:double"&gt;0.12745403&lt;/D&gt;&lt;/FQL&gt;&lt;FQL&gt;&lt;Q&gt;RDY-AU^FE_ESTIMATE(EPS,MEAN,NTMA,,44393,,,'')&lt;/Q&gt;&lt;R&gt;1&lt;/R&gt;&lt;C&gt;1&lt;/C&gt;&lt;D xsi:type="xsd:double"&gt;0.11551394&lt;/D&gt;&lt;/FQL&gt;&lt;FQL&gt;&lt;Q&gt;RDY-AU^FE_ESTIMATE(EPS,MEAN,NTMA,,44400,,,'')&lt;/Q&gt;&lt;R&gt;1&lt;/R&gt;&lt;C&gt;1&lt;/C&gt;&lt;D xsi:type="xsd:double"&gt;0.11580792&lt;/D&gt;&lt;/FQL&gt;&lt;FQL&gt;&lt;Q&gt;RDY-AU^FE_ESTIMATE(EPS,MEAN,NTMA,,44407,,,'')&lt;/Q&gt;&lt;R&gt;1&lt;/R&gt;&lt;C&gt;1&lt;/C&gt;&lt;D xsi:type="xsd:double"&gt;0.1161019&lt;/D&gt;&lt;/FQL&gt;&lt;FQL&gt;&lt;Q&gt;RDY-AU^FE_ESTIMATE(EPS,MEAN,NTMA,,44414,,,'')&lt;/Q&gt;&lt;R&gt;1&lt;/R&gt;&lt;C&gt;1&lt;/C&gt;&lt;D xsi:type="xsd:double"&gt;0.11618669&lt;/D&gt;&lt;/FQL&gt;&lt;FQL&gt;&lt;Q&gt;RDY-AU^FE_ESTIMATE(EPS,MEAN,NTMA,,44421,,,'')&lt;/Q&gt;&lt;R&gt;1&lt;/R&gt;&lt;C&gt;1&lt;/C&gt;&lt;D xsi:type="xsd:double"&gt;0.116471455&lt;/D&gt;&lt;/FQL&gt;&lt;FQL&gt;&lt;Q&gt;RDY-AU^FE_ESTIMATE(EPS,MEAN,NTMA,,44428,,,'')&lt;/Q&gt;&lt;R&gt;1&lt;/R&gt;&lt;C&gt;1&lt;/C&gt;&lt;D xsi:type="xsd:double"&gt;0.13050622&lt;/D&gt;&lt;/FQL&gt;&lt;FQL&gt;&lt;Q&gt;RDY-AU^FE_ESTIMATE(EPS,MEAN,NTMA,,44435,,,'')&lt;/Q&gt;&lt;R&gt;1&lt;/R&gt;&lt;C&gt;1&lt;/C&gt;&lt;D xsi:type="xsd:double"&gt;0.13841087&lt;/D&gt;&lt;/FQL&gt;&lt;FQL&gt;&lt;Q&gt;RDY-AU^FE_ESTIMATE(EPS,MEAN,NTMA,,44442,,,'')&lt;/Q&gt;&lt;R&gt;1&lt;/R&gt;&lt;C&gt;1&lt;/C&gt;&lt;D xsi:type="xsd:double"&gt;0.13884129&lt;/D&gt;&lt;/FQL&gt;&lt;FQL&gt;&lt;Q&gt;RDY-AU^FE_ESTIMATE(EPS,MEAN,NTMA,,44449,,,'')&lt;/Q&gt;&lt;R&gt;1&lt;/R&gt;&lt;C&gt;1&lt;/C&gt;&lt;D xsi:type="xsd:double"&gt;0.1392717&lt;/D&gt;&lt;/FQL&gt;&lt;FQL&gt;&lt;Q&gt;RDY-AU^FE_ESTIMATE(EPS,MEAN,NTMA,,44456,,,'')&lt;/Q&gt;&lt;R&gt;1&lt;/R&gt;&lt;C&gt;1&lt;/C&gt;&lt;D xsi:type="xsd:double"&gt;0.13970214&lt;/D&gt;&lt;/FQL&gt;&lt;FQL&gt;&lt;Q&gt;RDY-AU^FE_ESTIMATE(EPS,MEAN,NTMA,,44463,,,'')&lt;/Q&gt;&lt;R&gt;1&lt;/R&gt;&lt;C&gt;1&lt;/C&gt;&lt;D xsi:type="xsd:double"&gt;0.14049247&lt;/D&gt;&lt;/FQL&gt;&lt;FQL&gt;&lt;Q&gt;RDY-AU^FE_ESTIMATE(EPS,MEAN,NTMA,,44470,,,'')&lt;/Q&gt;&lt;R&gt;1&lt;/R&gt;&lt;C&gt;1&lt;/C&gt;&lt;D xsi:type="xsd:double"&gt;0.14123288&lt;/D&gt;&lt;/FQL&gt;&lt;FQL&gt;&lt;Q&gt;RDY-AU^FE_ESTIMATE(EPS,MEAN,NTMA,,44477,,,'')&lt;/Q&gt;&lt;R&gt;1&lt;/R&gt;&lt;C&gt;1&lt;/C&gt;&lt;D xsi:type="xsd:double"&gt;0.14166439&lt;/D&gt;&lt;/FQL&gt;&lt;FQL&gt;&lt;Q&gt;RDY-AU^FE_ESTIMATE(EPS,MEAN,NTMA,,44484,,,'')&lt;/Q&gt;&lt;R&gt;1&lt;/R&gt;&lt;C&gt;1&lt;/C&gt;&lt;D xsi:type="xsd:double"&gt;0.1420959&lt;/D&gt;&lt;/FQL&gt;&lt;FQL&gt;&lt;Q&gt;RDY-AU^FE_ESTIMATE(EPS,MEAN,NTMA,,44491,,,'')&lt;/Q&gt;&lt;R&gt;1&lt;/R&gt;&lt;C&gt;1&lt;/C&gt;&lt;D xsi:type="xsd:double"&gt;0.1425274&lt;/D&gt;&lt;/FQL&gt;&lt;FQL&gt;&lt;Q&gt;RDY-AU^FE_ESTIMATE(EPS,MEAN,NTMA,,44498,,,'')&lt;/Q&gt;&lt;R&gt;1&lt;/R&gt;&lt;C&gt;1&lt;/C&gt;&lt;D xsi:type="xsd:double"&gt;0.14295891&lt;/D&gt;&lt;/FQL&gt;&lt;FQL&gt;&lt;Q&gt;RDY-AU^FE_ESTIMATE(EPS,MEAN,NTMA,,44505,,,'')&lt;/Q&gt;&lt;R&gt;1&lt;/R&gt;&lt;C&gt;1&lt;/C&gt;&lt;D xsi:type="xsd:double"&gt;0.14339042&lt;/D&gt;&lt;/FQL&gt;&lt;FQL&gt;&lt;Q&gt;RDY-AU^FE_ESTIMATE(EPS,MEAN,NTMA,,44512,,,'')&lt;/Q&gt;&lt;R&gt;1&lt;/R&gt;&lt;C&gt;1&lt;/C&gt;&lt;D xsi:type="xsd:double"&gt;0.14382192&lt;/D&gt;&lt;/FQL&gt;&lt;FQL&gt;&lt;Q&gt;RDY-AU^FE_ESTIMATE(EPS,MEAN,NTMA,,44519,,,'')&lt;/Q&gt;&lt;R&gt;1&lt;/R&gt;&lt;C&gt;1&lt;/C&gt;&lt;D xsi:type="xsd:double"&gt;0.14371452&lt;/D&gt;&lt;/FQL&gt;&lt;FQL&gt;&lt;Q&gt;RDY-AU^FE_ESTIMATE(EPS,MEAN,NTMA,,44526,,,'')&lt;/Q&gt;&lt;R&gt;1&lt;/R&gt;&lt;C&gt;1&lt;/C&gt;&lt;D xsi:type="xsd:double"&gt;0.1441441&lt;/D&gt;&lt;/FQL&gt;&lt;FQL&gt;&lt;Q&gt;RDY-AU^FE_ESTIMATE(EPS,MEAN,NTMA,,44533,,,'')&lt;/Q&gt;&lt;R&gt;1&lt;/R&gt;&lt;C&gt;1&lt;/C&gt;&lt;D xsi:type="xsd:double"&gt;0.14208218&lt;/D&gt;&lt;/FQL&gt;&lt;FQL&gt;&lt;Q&gt;RDY-AU^FE_ESTIMATE(EPS,MEAN,NTMA,,44540,,,'')&lt;/Q&gt;&lt;R&gt;1&lt;/R&gt;&lt;C&gt;1&lt;/C&gt;&lt;D xsi:type="xsd:double"&gt;0.14248973&lt;/D&gt;&lt;/FQL&gt;&lt;FQL&gt;&lt;Q&gt;RDY-AU^FE_ESTIMATE(EPS,MEAN,NTMA,,44547,,,'')&lt;/Q&gt;&lt;R&gt;1&lt;/R&gt;&lt;C&gt;1&lt;/C&gt;&lt;D xsi:type="xsd:double"&gt;0.14374657&lt;/D&gt;&lt;/FQL&gt;&lt;FQL&gt;&lt;Q&gt;RDY-AU^FE_ESTIMATE(EPS,MEAN,NTMA,,44554,,,'')&lt;/Q&gt;&lt;R&gt;1&lt;/R&gt;&lt;C&gt;1&lt;/C&gt;&lt;D xsi:type="xsd:double"&gt;0.14466096&lt;/D&gt;&lt;/FQL&gt;&lt;FQL&gt;&lt;Q&gt;RDY-AU^FE_ESTIMATE(EPS,MEAN,NTMA,,44561,,,'')&lt;/Q&gt;&lt;R&gt;1&lt;/R&gt;&lt;C&gt;1&lt;/C&gt;&lt;D xsi:type="xsd:double"&gt;0.14509247&lt;/D&gt;&lt;/FQL&gt;&lt;FQL&gt;&lt;Q&gt;RDY-AU^FE_ESTIMATE(EPS,MEAN,NTMA,,44568,,,'')&lt;/Q&gt;&lt;R&gt;1&lt;/R&gt;&lt;C&gt;1&lt;/C&gt;&lt;D xsi:type="xsd:double"&gt;0.14552397&lt;/D&gt;&lt;/FQL&gt;&lt;FQL&gt;&lt;Q&gt;RDY-AU^FE_ESTIMATE(EPS,MEAN,NTMA,,44575,,,'')&lt;/Q&gt;&lt;R&gt;1&lt;/R&gt;&lt;C&gt;1&lt;/C&gt;&lt;D xsi:type="xsd:double"&gt;0.14595547&lt;/D&gt;&lt;/FQL&gt;&lt;FQL&gt;&lt;Q&gt;RDY-AU^FE_ESTIMATE(EPS,MEAN,NTMA,,44582,,,'')&lt;/Q&gt;&lt;R&gt;1&lt;/R&gt;&lt;C&gt;1&lt;/C&gt;&lt;D xsi:type="xsd:double"&gt;0.14638698&lt;/D&gt;&lt;/FQL&gt;&lt;FQL&gt;&lt;Q&gt;RDY-AU^FE_ESTIMATE(EPS,MEAN,NTMA,,44589,,,'')&lt;/Q&gt;&lt;R&gt;1&lt;/R&gt;&lt;C&gt;1&lt;/C&gt;&lt;D xsi:type="xsd:double"&gt;0.14919123&lt;/D&gt;&lt;/FQL&gt;&lt;FQL&gt;&lt;Q&gt;RDY-AU^FE_ESTIMATE(EPS,MEAN,NTMA,,44596,,,'')&lt;/Q&gt;&lt;R&gt;1&lt;/R&gt;&lt;C&gt;1&lt;/C&gt;&lt;D xsi:type="xsd:double"&gt;0.14964&lt;/D&gt;&lt;/FQL&gt;&lt;FQL&gt;&lt;Q&gt;RDY-AU^FE_ESTIMATE(EPS,MEAN,NTMA,,44603,,,'')&lt;/Q&gt;&lt;R&gt;1&lt;/R&gt;&lt;C&gt;1&lt;/C&gt;&lt;D xsi:type="xsd:double"&gt;0.15008877&lt;/D&gt;&lt;/FQL&gt;&lt;FQL&gt;&lt;Q&gt;RDY-AU^FE_ESTIMATE(EPS,MEAN,NTMA,,44610,,,'')&lt;/Q&gt;&lt;R&gt;1&lt;/R&gt;&lt;C&gt;1&lt;/C&gt;&lt;D xsi:type="xsd:double"&gt;0.14607112&lt;/D&gt;&lt;/FQL&gt;&lt;FQL&gt;&lt;Q&gt;RDY-AU^FE_ESTIMATE(EPS,MEAN,NTMA,,44617,,,'')&lt;/Q&gt;&lt;R&gt;1&lt;/R&gt;&lt;C&gt;1&lt;/C&gt;&lt;D xsi:type="xsd:double"&gt;0.14664084&lt;/D&gt;&lt;/FQL&gt;&lt;FQL&gt;&lt;Q&gt;RDY-AU^FE_ESTIMATE(EPS,MEAN,NTMA,,44624,,,'')&lt;/Q&gt;&lt;R&gt;1&lt;/R&gt;&lt;C&gt;1&lt;/C&gt;&lt;D xsi:type="xsd:double"&gt;0.14721055&lt;/D&gt;&lt;/FQL&gt;&lt;FQL&gt;&lt;Q&gt;RDY-AU^FE_ESTIMATE(EPS,MEAN,NTMA,,44631,,,'')&lt;/Q&gt;&lt;R&gt;1&lt;/R&gt;&lt;C&gt;1&lt;/C&gt;&lt;D xsi:type="xsd:double"&gt;0.14778028&lt;/D&gt;&lt;/FQL&gt;&lt;FQL&gt;&lt;Q&gt;RDY-AU^FE_ESTIMATE(EPS,MEAN,NTMA,,44638,,,'')&lt;/Q&gt;&lt;R&gt;1&lt;/R&gt;&lt;C&gt;1&lt;/C&gt;&lt;D xsi:type="xsd:double"&gt;0.14979857&lt;/D&gt;&lt;/FQL&gt;&lt;FQL&gt;&lt;Q&gt;RDY-AU^FE_ESTIMATE(EPS,MEAN,NTMA,,44645,,,'')&lt;/Q&gt;&lt;R&gt;1&lt;/R&gt;&lt;C&gt;1&lt;/C&gt;&lt;D xsi:type="xsd:double"&gt;0.1503607&lt;/D&gt;&lt;/FQL&gt;&lt;/Schema&gt;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<sst xmlns="http://schemas.openxmlformats.org/spreadsheetml/2006/main" count="3324" uniqueCount="2064">
  <si>
    <t>Capex expansion</t>
  </si>
  <si>
    <t>CAPEX_EXPANSION</t>
  </si>
  <si>
    <t>Non-PP&amp;E capex</t>
  </si>
  <si>
    <t>NONPPE_CAPEX</t>
  </si>
  <si>
    <t>Dividends paid to minorities</t>
  </si>
  <si>
    <t>DIVDS_PD_MINORITIES</t>
  </si>
  <si>
    <t>Other Items</t>
  </si>
  <si>
    <t>Number of employees</t>
  </si>
  <si>
    <t>EMPLOYEES</t>
  </si>
  <si>
    <t>BETA_ANALYST</t>
  </si>
  <si>
    <t>Market equity risk premium</t>
  </si>
  <si>
    <t>MKT_EQ_RISK_PREM</t>
  </si>
  <si>
    <t>RISK_FR_RATE</t>
  </si>
  <si>
    <t>ANZ Other Items</t>
  </si>
  <si>
    <t>BAL_OF_FRANK_CREDITS</t>
  </si>
  <si>
    <t>BENEFITS_TAX_LOSSES</t>
  </si>
  <si>
    <t>Market Value of Net Other Stake Holders</t>
  </si>
  <si>
    <t>MV_NET_OTHER_STAKEHOLDERS</t>
  </si>
  <si>
    <t>Market Value of Convertible Notes</t>
  </si>
  <si>
    <t>MV_CONVERTIBLE_NOTES</t>
  </si>
  <si>
    <t>TV_LICENCES_MASTERHEADS</t>
  </si>
  <si>
    <t>Tax Rate</t>
  </si>
  <si>
    <t>TAX_RATE_DCF</t>
  </si>
  <si>
    <t>Cost of Debt</t>
  </si>
  <si>
    <t>COST_OF_DEBT_DCF</t>
  </si>
  <si>
    <t>Debt to Equity (Market Values)</t>
  </si>
  <si>
    <t>DEBT_TO_EQUITY_MKT_VALUES_DCF</t>
  </si>
  <si>
    <t>WACC_DCF</t>
  </si>
  <si>
    <t>STD_FREE_OP_CASH_FLOW_DCF</t>
  </si>
  <si>
    <t>Capital at End of Year - Adjusted total capital employed</t>
  </si>
  <si>
    <t>TOTAL_CAPITAL_EMPLOYED_ADJ</t>
  </si>
  <si>
    <t>AVG_CAPITAL_EMPLOYED_ADJ</t>
  </si>
  <si>
    <t>ROCE_ANZ</t>
  </si>
  <si>
    <t>Geographical Breakdown</t>
  </si>
  <si>
    <t>SALES_TOT_AM</t>
  </si>
  <si>
    <t>Sales - % United States</t>
  </si>
  <si>
    <t>SALES_US</t>
  </si>
  <si>
    <t>Sales - % Canada</t>
  </si>
  <si>
    <t>SALES_CANADA</t>
  </si>
  <si>
    <t>Sales - % Brazil</t>
  </si>
  <si>
    <t>SALES_BRAZIL</t>
  </si>
  <si>
    <t>Sales - % Other Americas</t>
  </si>
  <si>
    <t>SALES_OTH_AM</t>
  </si>
  <si>
    <t>Sales - Total % EMEA</t>
  </si>
  <si>
    <t>SALES_TOT_EMEA</t>
  </si>
  <si>
    <t>Sales - % UK</t>
  </si>
  <si>
    <t>SALES_UK</t>
  </si>
  <si>
    <t>SALES_EU_EX_UK</t>
  </si>
  <si>
    <t>Sales - % Austria</t>
  </si>
  <si>
    <t>SALES_AUSTRIA</t>
  </si>
  <si>
    <t>Sales - % Belgium</t>
  </si>
  <si>
    <t>SALES_BEL</t>
  </si>
  <si>
    <t>Sales - % France</t>
  </si>
  <si>
    <t>SALES_FRA</t>
  </si>
  <si>
    <t>Sales - % Germany</t>
  </si>
  <si>
    <t>SALES_GER</t>
  </si>
  <si>
    <t>Sales - % Greece</t>
  </si>
  <si>
    <t>SALES_GRE</t>
  </si>
  <si>
    <t>Sales - % Ireland</t>
  </si>
  <si>
    <t>SALES_IRE</t>
  </si>
  <si>
    <t>Sales - % Italy</t>
  </si>
  <si>
    <t>SALES_ITA</t>
  </si>
  <si>
    <t>Sales - % Netherlands</t>
  </si>
  <si>
    <t>SALES_NETH</t>
  </si>
  <si>
    <t>Sales - % Norway</t>
  </si>
  <si>
    <t>SALES_NOR</t>
  </si>
  <si>
    <t>Sales - % Portugal</t>
  </si>
  <si>
    <t>SALES_POR</t>
  </si>
  <si>
    <t>Sales - % Spain</t>
  </si>
  <si>
    <t>SALES_SPA</t>
  </si>
  <si>
    <t>Sales - % Sweden</t>
  </si>
  <si>
    <t>SALES_SWE</t>
  </si>
  <si>
    <t>Sales - % Switzerland</t>
  </si>
  <si>
    <t>SALES_SWIT</t>
  </si>
  <si>
    <t>Sales - % Central &amp; Eastern Europe</t>
  </si>
  <si>
    <t>SALES_CEE</t>
  </si>
  <si>
    <t>Sales - % Middle East</t>
  </si>
  <si>
    <t>SALES_ME</t>
  </si>
  <si>
    <t>Sales - % Russia</t>
  </si>
  <si>
    <t>SALES_RUSSIA</t>
  </si>
  <si>
    <t>Sales - % Other EMEA</t>
  </si>
  <si>
    <t>SALES_OTH_EMEA</t>
  </si>
  <si>
    <t>Sales - Total % Asia (incl Australia &amp; New Zealand)</t>
  </si>
  <si>
    <t>SALES_TOT_ASIA</t>
  </si>
  <si>
    <t>Sales - % Japan</t>
  </si>
  <si>
    <t>SALES_JAPAN</t>
  </si>
  <si>
    <t>SALES_CHINA</t>
  </si>
  <si>
    <t>Sales - % India</t>
  </si>
  <si>
    <t>SALES_INDIA</t>
  </si>
  <si>
    <t>Sales - % South Korea</t>
  </si>
  <si>
    <t>SALES_SK</t>
  </si>
  <si>
    <t>Sales - % Australia</t>
  </si>
  <si>
    <t>SALES_AUSTRA</t>
  </si>
  <si>
    <t>Sales - % New Zealand</t>
  </si>
  <si>
    <t>SALES_NZ</t>
  </si>
  <si>
    <t>SALES_OTH_AEJ</t>
  </si>
  <si>
    <t>Sales - % Others</t>
  </si>
  <si>
    <t>SALES_OTHER</t>
  </si>
  <si>
    <t>Sales -% Consumer (C)</t>
  </si>
  <si>
    <t>SALES_CONS</t>
  </si>
  <si>
    <t>Sales -% Industry (I)</t>
  </si>
  <si>
    <t>SALES_IND</t>
  </si>
  <si>
    <t>Sales -% Government (G)</t>
  </si>
  <si>
    <t>SALES_GOV</t>
  </si>
  <si>
    <t>Actual</t>
  </si>
  <si>
    <t>Estimate</t>
  </si>
  <si>
    <t>Defined Benefit Surplus</t>
  </si>
  <si>
    <t>Defined Benefit Obligation</t>
  </si>
  <si>
    <t>RISK_TO_EARNINGS</t>
  </si>
  <si>
    <t>EPS_REPORTED</t>
  </si>
  <si>
    <t>MARKETING_ADVERTISNIG</t>
  </si>
  <si>
    <t>LABOUR</t>
  </si>
  <si>
    <t>ACCESS_CONNECTION</t>
  </si>
  <si>
    <t>SHARE_BASED_PAYMENTS</t>
  </si>
  <si>
    <t>PROFIT_DEFBEN_PLAN_PRE_TAX</t>
  </si>
  <si>
    <t>GWILL_ASSET_IMPAIR_CHG_PRE_TAX</t>
  </si>
  <si>
    <t>OTHER_ASSET_IMPAIR_CHG_PRE_TAX</t>
  </si>
  <si>
    <t>FIN_INSTRUMENT_HEDGE_PRE_TAX</t>
  </si>
  <si>
    <t>OTHER_IFRS_ADJUST_PRE_TAX</t>
  </si>
  <si>
    <t>TOTAL_IFRS_ADJUST_PRE_TAX</t>
  </si>
  <si>
    <t>PROFIT_DEFBEN_PLAN_POST_TAX</t>
  </si>
  <si>
    <t>GWILL_ASSET_IMP_CHG_POST_TAX</t>
  </si>
  <si>
    <t>OTH_ASSET_IMPAIR_CHG_POST_TAX</t>
  </si>
  <si>
    <t>FIN_INSTRUMENT_HEDGE_POST_TAX</t>
  </si>
  <si>
    <t>OTHER_IFRS_ADJUST_POST_TAX</t>
  </si>
  <si>
    <t>TOTAL_IFRS_ADJUST_POST_TAX</t>
  </si>
  <si>
    <t>FOREIGN_EXCHANGE_GAIN_LOSS</t>
  </si>
  <si>
    <t>ASSET_SALES_GAIN_LOSS</t>
  </si>
  <si>
    <t>RESTRUC_COSTS</t>
  </si>
  <si>
    <t>OTHER_ABNORMAL_ITEMS</t>
  </si>
  <si>
    <t>FIN_INSTR_HEDGE_CURRENT</t>
  </si>
  <si>
    <t>R_AND_D_CAP</t>
  </si>
  <si>
    <t>OTHER_INTANGIBLES_DEPREC</t>
  </si>
  <si>
    <t>OTHER_INTANGIBLES_NON_DEPREC</t>
  </si>
  <si>
    <t>DEFINED_BENEFIT_SURPLUS</t>
  </si>
  <si>
    <t>FIN_INSTR_HEDGE_NON_CURRENT</t>
  </si>
  <si>
    <t>FIN_INSTR_HEDGE_CURR_LIABILITY</t>
  </si>
  <si>
    <t>DEFINED_BENEFIT_OBLIGATION</t>
  </si>
  <si>
    <t>FIN_INSTR_HEDGE_NON_CURR_LIAB</t>
  </si>
  <si>
    <t>PROCEEDS_SALE_EQUITY_INV</t>
  </si>
  <si>
    <t>PROCEEDS_SALE_OPER_BUS</t>
  </si>
  <si>
    <t>PROCEEDS_PURCH_OPER_BUS</t>
  </si>
  <si>
    <t>Tax (paid)</t>
  </si>
  <si>
    <t>Total EBITDA</t>
  </si>
  <si>
    <t>Investments - Total</t>
  </si>
  <si>
    <t>Add depreciation and non goodwill amortisation</t>
  </si>
  <si>
    <t>Cash flow (for CFPS - profit based)</t>
  </si>
  <si>
    <t>Cash flow for CFPS calculations</t>
  </si>
  <si>
    <t>Fully diluted CFPS</t>
  </si>
  <si>
    <t>CFPS (profit based)</t>
  </si>
  <si>
    <t>NPAT (for fully diluted EPS pre goodwill amortisation)</t>
  </si>
  <si>
    <t>CFPS (free cash flow based)</t>
  </si>
  <si>
    <t>CFPS CALCULATION</t>
  </si>
  <si>
    <t>DPS (Interim and final) - ordinary</t>
  </si>
  <si>
    <t>DPS &amp; FRANKING</t>
  </si>
  <si>
    <t>Gearing - Net debt/(Net debt +Equity)</t>
  </si>
  <si>
    <t>Gearing - Net debt/Equity</t>
  </si>
  <si>
    <t>Risk-free rate</t>
  </si>
  <si>
    <t>BOOK VALUE</t>
  </si>
  <si>
    <t>Goodwill and other intangibles</t>
  </si>
  <si>
    <t>Net assets (Book value)</t>
  </si>
  <si>
    <t>Net tangible assets</t>
  </si>
  <si>
    <t>NTA per share</t>
  </si>
  <si>
    <t>Book value per share</t>
  </si>
  <si>
    <t>EFPOWA (fully diluted - incl CPS)</t>
  </si>
  <si>
    <t>Security Name</t>
  </si>
  <si>
    <t>Next Interim Dividend Amount</t>
  </si>
  <si>
    <t>Next Interim Dividend Ex-date</t>
  </si>
  <si>
    <t>Next Interim Dividend Franking</t>
  </si>
  <si>
    <t>Next Int. Div. Frank Tax Rate</t>
  </si>
  <si>
    <t>H</t>
  </si>
  <si>
    <t>Next Final Dividend Amount</t>
  </si>
  <si>
    <t>Next Final Dividend Ex-date</t>
  </si>
  <si>
    <t>Next Final Dividend Franking</t>
  </si>
  <si>
    <t>Next Final Div. Frank Tax Rate</t>
  </si>
  <si>
    <t>Franking</t>
  </si>
  <si>
    <t>EFPOWA</t>
  </si>
  <si>
    <t>Sales</t>
  </si>
  <si>
    <t>EBITDA</t>
  </si>
  <si>
    <t>Proceeds arising from the sale of non-current assets</t>
  </si>
  <si>
    <t>Other Revenue</t>
  </si>
  <si>
    <t>Amortisation of Intangibles</t>
  </si>
  <si>
    <t>Amortisation of Goodwill</t>
  </si>
  <si>
    <t>Total Depreciation/Amortisation</t>
  </si>
  <si>
    <t>EBIT</t>
  </si>
  <si>
    <t>Profit or loss before tax on abnormal items</t>
  </si>
  <si>
    <t>Income tax attributable to profit or loss on abnormal items</t>
  </si>
  <si>
    <t>Operating profit or loss before tax (post abnormals)</t>
  </si>
  <si>
    <t>Income tax attributable to operating profit or loss (post abnormals)</t>
  </si>
  <si>
    <t>Operating profit or loss after income tax (post abnormals)</t>
  </si>
  <si>
    <t>Franking Tax Rate</t>
  </si>
  <si>
    <t>Profit Adjustment for EPS</t>
  </si>
  <si>
    <t>Other receivables</t>
  </si>
  <si>
    <t>Inventories</t>
  </si>
  <si>
    <t>Other</t>
  </si>
  <si>
    <t>Trade debtors</t>
  </si>
  <si>
    <t>Goodwill</t>
  </si>
  <si>
    <t>Total Non Current Assets</t>
  </si>
  <si>
    <t>Bank Overdraft</t>
  </si>
  <si>
    <t>Borrowings</t>
  </si>
  <si>
    <t>Provisions</t>
  </si>
  <si>
    <t>Net Assets</t>
  </si>
  <si>
    <t>Net Tangible Assets</t>
  </si>
  <si>
    <t>Ordinary Capital</t>
  </si>
  <si>
    <t>Reserves</t>
  </si>
  <si>
    <t>Retained profits or accumulated losses</t>
  </si>
  <si>
    <t>Shareholders' equity attributable to members of the chief entity</t>
  </si>
  <si>
    <t>Balance Of Franking Credits</t>
  </si>
  <si>
    <t>Present Value Of Benefits From Tax Losses</t>
  </si>
  <si>
    <t>Receipts from customers</t>
  </si>
  <si>
    <t>Payments to suppliers and employees</t>
  </si>
  <si>
    <t>Dividends received</t>
  </si>
  <si>
    <t>Interest and other items of similar nature received</t>
  </si>
  <si>
    <t>Proceeds from the sale of property, plant and equipment</t>
  </si>
  <si>
    <t>Payment for purchases of equity investments</t>
  </si>
  <si>
    <t>Loans to other entities</t>
  </si>
  <si>
    <t>Loans repaid by other entities</t>
  </si>
  <si>
    <t>Proceeds from borrowings</t>
  </si>
  <si>
    <t>Repayment of borrowings</t>
  </si>
  <si>
    <t>Dividends paid</t>
  </si>
  <si>
    <t>NTA Per Share</t>
  </si>
  <si>
    <t>INT_DIV_AMOUNT</t>
  </si>
  <si>
    <t>INT_DIV_EXDATE</t>
  </si>
  <si>
    <t>INT_DIV_FRANK</t>
  </si>
  <si>
    <t>INT_DIV_TAXRATE</t>
  </si>
  <si>
    <t>FINAL_DIV_AMOUNT</t>
  </si>
  <si>
    <t>FINAL_DIV_EXDATE</t>
  </si>
  <si>
    <t>FINAL_DIV_FRANK</t>
  </si>
  <si>
    <t>FINAL_DIV_TAXRATE</t>
  </si>
  <si>
    <t>FREE_FLOAT</t>
  </si>
  <si>
    <t>NET_PROFIT</t>
  </si>
  <si>
    <t>Asset sales - operating businesses</t>
  </si>
  <si>
    <t>Asset sales - equity investments</t>
  </si>
  <si>
    <t>Acquisitions - operating businesses</t>
  </si>
  <si>
    <t>Acquisitions - equity interests</t>
  </si>
  <si>
    <t>Asset sales - pp&amp;e</t>
  </si>
  <si>
    <t>Acquisitions - total</t>
  </si>
  <si>
    <t>Asset sales - total</t>
  </si>
  <si>
    <t>EPS_PRE_GWILL</t>
  </si>
  <si>
    <t>DPS</t>
  </si>
  <si>
    <t>FRANKING</t>
  </si>
  <si>
    <t>DEBT_EQUITY</t>
  </si>
  <si>
    <t>NTA_PER_SHARE</t>
  </si>
  <si>
    <t>EFPO</t>
  </si>
  <si>
    <t>NET_DEBT</t>
  </si>
  <si>
    <t>DIVIDENDS_RECEIVED</t>
  </si>
  <si>
    <t>PROCEEDS_NCASSET</t>
  </si>
  <si>
    <t>OTHER_REVENUE</t>
  </si>
  <si>
    <t>TOTAL_OPR_REVENUE</t>
  </si>
  <si>
    <t>AMORT_OF_INTANGIBLES</t>
  </si>
  <si>
    <t>TOTAL_DEPREC_AMORT</t>
  </si>
  <si>
    <t>OPPL_ATAX_PRE_AB</t>
  </si>
  <si>
    <t>PL_BTAX_ON_AB</t>
  </si>
  <si>
    <t>INCTAX_PL_ON_AB</t>
  </si>
  <si>
    <t>OPPL_BTAX_POST_AB</t>
  </si>
  <si>
    <t>INCTAX_PL_POST_AB</t>
  </si>
  <si>
    <t>OPPL_ATAX_POST_AB</t>
  </si>
  <si>
    <t>DCF</t>
  </si>
  <si>
    <t>FRANK_TAX_RATE</t>
  </si>
  <si>
    <t>PROF_ADJUST_EPS</t>
  </si>
  <si>
    <t>OTHER_RECEIVABLES</t>
  </si>
  <si>
    <t>INVESTMENTS</t>
  </si>
  <si>
    <t>NCASSET_TRADE_DEBTORS</t>
  </si>
  <si>
    <t>NCASSET_RECEIVABLES</t>
  </si>
  <si>
    <t>NCASSET_INVESTMENT</t>
  </si>
  <si>
    <t>NCASSET_INVENTORIES</t>
  </si>
  <si>
    <t>LAND_BUILDINGS</t>
  </si>
  <si>
    <t>PLANT_EQUIP</t>
  </si>
  <si>
    <t>TOTAL_NONCURR_ASSETS</t>
  </si>
  <si>
    <t>BANK_ODRAFT</t>
  </si>
  <si>
    <t>OTHER_CREDITORS</t>
  </si>
  <si>
    <t>BORROWINGS</t>
  </si>
  <si>
    <t>PROVISIONS</t>
  </si>
  <si>
    <t>NCLIAB_TRADE_CREDITORS</t>
  </si>
  <si>
    <t>NCLIAB_OTHER_CREDITORS</t>
  </si>
  <si>
    <t>NCLIAB_PROVISIONS</t>
  </si>
  <si>
    <t>NET_ASSETS</t>
  </si>
  <si>
    <t>NET_TANGIBLE_ASSETS</t>
  </si>
  <si>
    <t>ORD_SHARE_CAPITAL</t>
  </si>
  <si>
    <t>RESERVES</t>
  </si>
  <si>
    <t>RETAIN_PROFIT_LOSS</t>
  </si>
  <si>
    <t>SHOLDERS_EQUITY_MBRS</t>
  </si>
  <si>
    <t>CONVERTIBLE_NOTES</t>
  </si>
  <si>
    <t>PREFERENCE_SHARES</t>
  </si>
  <si>
    <t>OPTIONS</t>
  </si>
  <si>
    <t>CUSTOMER_RECEIPTS</t>
  </si>
  <si>
    <t>SUPPLIER_EMPLOYEE_PAYS</t>
  </si>
  <si>
    <t>INT_OTHERS_RECEIVED</t>
  </si>
  <si>
    <t>SALE_PROP_PLANT_EQUIP</t>
  </si>
  <si>
    <t>PURCH_EQUITY_INVESTS</t>
  </si>
  <si>
    <t>LOANS_OTHER_ENTITIES</t>
  </si>
  <si>
    <t>LOAN_REPAID_OTHER_ENTS</t>
  </si>
  <si>
    <t>PROCEEDS_BORROWINGS</t>
  </si>
  <si>
    <t>REPAY_BORROWINGS</t>
  </si>
  <si>
    <t>SALES</t>
  </si>
  <si>
    <t>PROFIT SUMMARY</t>
  </si>
  <si>
    <t>Income tax expense</t>
  </si>
  <si>
    <t>NET PROFIT (pre abnormals)</t>
  </si>
  <si>
    <t>Abnormal items (after tax)</t>
  </si>
  <si>
    <t>Net profit (after abnormals)</t>
  </si>
  <si>
    <t>Dividends</t>
  </si>
  <si>
    <t>Interim (¢ps)</t>
  </si>
  <si>
    <t>Final (¢ps)</t>
  </si>
  <si>
    <t>Tax rate</t>
  </si>
  <si>
    <t>CASHFLOW SUMMARY</t>
  </si>
  <si>
    <t>Net operating cashflow</t>
  </si>
  <si>
    <t>Capital expenditure - maintenance</t>
  </si>
  <si>
    <t>Capital expenditure - expansion</t>
  </si>
  <si>
    <t>Borrowings incurred/(repaid)</t>
  </si>
  <si>
    <t>Average net debt</t>
  </si>
  <si>
    <t>Average interest rate</t>
  </si>
  <si>
    <t>Net interest cover</t>
  </si>
  <si>
    <t>BALANCE SHEET SUMMARY</t>
  </si>
  <si>
    <t>Current assets</t>
  </si>
  <si>
    <t>Cash</t>
  </si>
  <si>
    <t>Total current assets</t>
  </si>
  <si>
    <t>Non-current assets</t>
  </si>
  <si>
    <t>Accumulated depreciation</t>
  </si>
  <si>
    <t>Accumulated amortisation</t>
  </si>
  <si>
    <t>Net goodwill</t>
  </si>
  <si>
    <t>Other intangibles</t>
  </si>
  <si>
    <t>FITB</t>
  </si>
  <si>
    <t>Total non-current assets</t>
  </si>
  <si>
    <t>Total assets</t>
  </si>
  <si>
    <t>Current liabilities</t>
  </si>
  <si>
    <t>Trade creditors</t>
  </si>
  <si>
    <t>Other liabilities</t>
  </si>
  <si>
    <t>Total current liabilities</t>
  </si>
  <si>
    <t>Non-current liabilities</t>
  </si>
  <si>
    <t>Deferred income taxes</t>
  </si>
  <si>
    <t>Total non-current liabilities</t>
  </si>
  <si>
    <t>Total liabilities</t>
  </si>
  <si>
    <t>Shareholders' equity</t>
  </si>
  <si>
    <t>Retained profits</t>
  </si>
  <si>
    <t>Minorities</t>
  </si>
  <si>
    <t>Total equity</t>
  </si>
  <si>
    <t>Working capital</t>
  </si>
  <si>
    <t>(Increase)/decrease in working capital</t>
  </si>
  <si>
    <t>Funds employed</t>
  </si>
  <si>
    <t>Average funds employed</t>
  </si>
  <si>
    <t>ROFE</t>
  </si>
  <si>
    <t>EPS (post goodwill amortisation) (¢)</t>
  </si>
  <si>
    <t>Franking (%)</t>
  </si>
  <si>
    <t>WACC</t>
  </si>
  <si>
    <t>Net Operating Profit After Tax (NOPAT)</t>
  </si>
  <si>
    <t>Capital at End of Year</t>
  </si>
  <si>
    <t>Average Capital Employed</t>
  </si>
  <si>
    <t>Return on Capital Employed (ROCE)</t>
  </si>
  <si>
    <t>NET INTEREST EXPENSE</t>
  </si>
  <si>
    <t>Gross interest expense</t>
  </si>
  <si>
    <t>Interest income</t>
  </si>
  <si>
    <t>Calculated net interest expense</t>
  </si>
  <si>
    <t>NOPAT</t>
  </si>
  <si>
    <t>Net debt</t>
  </si>
  <si>
    <t>Beta</t>
  </si>
  <si>
    <t>Standard Free Operating Cash Flow</t>
  </si>
  <si>
    <t>Present Value of Cash Flow</t>
  </si>
  <si>
    <t>Cumulative Present Value of Cash Flows</t>
  </si>
  <si>
    <t>Equity Value</t>
  </si>
  <si>
    <t>Intrinsic per Share Value (pre Imputation Credits)</t>
  </si>
  <si>
    <t>Value of Imputation Credits per Share</t>
  </si>
  <si>
    <t>Total Revenue</t>
  </si>
  <si>
    <t>Property, plant &amp; equipment</t>
  </si>
  <si>
    <t>Net property, plant &amp; equipment</t>
  </si>
  <si>
    <t>Total sales</t>
  </si>
  <si>
    <t>Converting preference dividends</t>
  </si>
  <si>
    <t>Sales revenue</t>
  </si>
  <si>
    <t>SHARE BASE SUMMARY</t>
  </si>
  <si>
    <t>Issued shares</t>
  </si>
  <si>
    <t>Opening issued shares</t>
  </si>
  <si>
    <t>Options exercised</t>
  </si>
  <si>
    <t>Closing issued shares</t>
  </si>
  <si>
    <t>EFPOWA (basic)</t>
  </si>
  <si>
    <t>EPS CALCULATION</t>
  </si>
  <si>
    <t>Fully diluted EPS</t>
  </si>
  <si>
    <t>Basic EPS</t>
  </si>
  <si>
    <t>EPS (reported - post abnormals) (¢)</t>
  </si>
  <si>
    <t>Total payout - ordinary shares ($m)</t>
  </si>
  <si>
    <t>Revenue</t>
  </si>
  <si>
    <t>Working capital/Sales</t>
  </si>
  <si>
    <t>CAPITAL INTENSITY</t>
  </si>
  <si>
    <t>Capex/Sales (%)</t>
  </si>
  <si>
    <t>Consolidated pre tax profit</t>
  </si>
  <si>
    <t>Equity accounted profits/(losses)</t>
  </si>
  <si>
    <t>Proceeds from the sale of equity investments</t>
  </si>
  <si>
    <t>Payment for the purchase of operating businesses</t>
  </si>
  <si>
    <t>Proceeds from the sale of operating businesses</t>
  </si>
  <si>
    <t>Trade debtors turnover (Days)</t>
  </si>
  <si>
    <t>Trade creditors turnover (Days)</t>
  </si>
  <si>
    <t>Inventory turnover (Days)</t>
  </si>
  <si>
    <t>Check</t>
  </si>
  <si>
    <t>Gross operating cashflow (CBIT)</t>
  </si>
  <si>
    <t>QUALITY OF EARNINGS</t>
  </si>
  <si>
    <t>CBIT/EBITDA</t>
  </si>
  <si>
    <t>Other investing cashflows</t>
  </si>
  <si>
    <t>Variation explained by:</t>
  </si>
  <si>
    <t xml:space="preserve">   Working capital</t>
  </si>
  <si>
    <t>Net interest expense/(income)</t>
  </si>
  <si>
    <t>Net interest (paid)/received</t>
  </si>
  <si>
    <t xml:space="preserve">   Other</t>
  </si>
  <si>
    <t>NPAT (for reported EPS)</t>
  </si>
  <si>
    <t>NPAT for EPS calculations ($m)</t>
  </si>
  <si>
    <t>NPAT (pre abnormals)</t>
  </si>
  <si>
    <t>Add consolidated goodwill amortisation</t>
  </si>
  <si>
    <t>Add associated goodwill amortisation</t>
  </si>
  <si>
    <t>NPAT (for basic EPS)</t>
  </si>
  <si>
    <t>Growth rates</t>
  </si>
  <si>
    <t>NPAT (Consolidated)</t>
  </si>
  <si>
    <t>Tax paid/Tax expense</t>
  </si>
  <si>
    <t>Investments - Associates</t>
  </si>
  <si>
    <t>Investments - Other</t>
  </si>
  <si>
    <t>Capex/Depreciation (Current)</t>
  </si>
  <si>
    <t>Capex/Depreciation (3 year rolling)</t>
  </si>
  <si>
    <t>Capex/EBITDA (%)</t>
  </si>
  <si>
    <t>Net investments (expansionary)</t>
  </si>
  <si>
    <t>(Increase)/decrease in net debt</t>
  </si>
  <si>
    <t>Net increase/(decrease) in cash</t>
  </si>
  <si>
    <t>Shares issued/(repurchased)</t>
  </si>
  <si>
    <t>Dividend income - associates</t>
  </si>
  <si>
    <t>Dividend income - other investments</t>
  </si>
  <si>
    <t>Other inflows/(outflows)</t>
  </si>
  <si>
    <t>Payout ratio (ordinary dividends)</t>
  </si>
  <si>
    <t>Free cashflow (post dividends)</t>
  </si>
  <si>
    <t>Cashflow/earnings</t>
  </si>
  <si>
    <t>Receivables</t>
  </si>
  <si>
    <t>Television licences &amp; mastheads</t>
  </si>
  <si>
    <t>Share capital</t>
  </si>
  <si>
    <t>Gearing - Net debt/EBITDA</t>
  </si>
  <si>
    <t>Depreciation/Gross pty, plant &amp; eqpmt</t>
  </si>
  <si>
    <t>EFPOWA (fully diluted - incl options)</t>
  </si>
  <si>
    <t>Free cashflow (FCF)</t>
  </si>
  <si>
    <t>Total</t>
  </si>
  <si>
    <t>Net other intangibles</t>
  </si>
  <si>
    <t>Adjustments for asset revaluations</t>
  </si>
  <si>
    <t>Adjusted funds employed</t>
  </si>
  <si>
    <t>Average adjusted funds employed</t>
  </si>
  <si>
    <t>RETURN ON CAPITAL ANALYSIS</t>
  </si>
  <si>
    <t>EBITDA/Funds employed</t>
  </si>
  <si>
    <t>EBITDA/Adjusted funds employed</t>
  </si>
  <si>
    <t>Mastheads &amp; tradenames</t>
  </si>
  <si>
    <t>Minority share of profits/(losses)</t>
  </si>
  <si>
    <t>FCF (for CFPS - free cashflow based)</t>
  </si>
  <si>
    <t>Add abnormal items after tax</t>
  </si>
  <si>
    <t>EPS growth</t>
  </si>
  <si>
    <t>Dilution for Options in the money</t>
  </si>
  <si>
    <t>EPS (¢)</t>
  </si>
  <si>
    <t>EPS</t>
  </si>
  <si>
    <t>EPS (reported - post abnormals)</t>
  </si>
  <si>
    <t>H2</t>
  </si>
  <si>
    <t>H1</t>
  </si>
  <si>
    <t>Risk to Earnings (+,0,-)</t>
  </si>
  <si>
    <t>Net Profit - Reported</t>
  </si>
  <si>
    <t>EPS - Reported</t>
  </si>
  <si>
    <t>Total IFRS Adjustments (Pre Tax)</t>
  </si>
  <si>
    <t>Total IFRS Adjustments (Post Tax)</t>
  </si>
  <si>
    <t>Ticker</t>
  </si>
  <si>
    <t>General Information</t>
  </si>
  <si>
    <t>ANZ_LIST</t>
  </si>
  <si>
    <t>Legal rating</t>
  </si>
  <si>
    <t>LEGAL_RATING</t>
  </si>
  <si>
    <t>Target price</t>
  </si>
  <si>
    <t>TARGET_PRICE</t>
  </si>
  <si>
    <t>Target price period</t>
  </si>
  <si>
    <t>TP_PERIOD</t>
  </si>
  <si>
    <t>Current shares outstanding (mn)</t>
  </si>
  <si>
    <t>Free float</t>
  </si>
  <si>
    <t>Foreign ownership</t>
  </si>
  <si>
    <t>FOREIGN_HOLDNG</t>
  </si>
  <si>
    <t>Catalyst 1 date</t>
  </si>
  <si>
    <t>CATALYST1_DATE</t>
  </si>
  <si>
    <t>Catalyst 1 description</t>
  </si>
  <si>
    <t>CATALYST1_EVENT</t>
  </si>
  <si>
    <t>Catalyst 2 date</t>
  </si>
  <si>
    <t>CATALYST2_DATE</t>
  </si>
  <si>
    <t>Catalyst 2 description</t>
  </si>
  <si>
    <t>CATALYST2_EVENT</t>
  </si>
  <si>
    <t>Catalyst 3 date</t>
  </si>
  <si>
    <t>CATALYST3_DATE</t>
  </si>
  <si>
    <t>Catalyst 3 description</t>
  </si>
  <si>
    <t>CATALYST3_EVENT</t>
  </si>
  <si>
    <t>Catalyst 4 date</t>
  </si>
  <si>
    <t>CATALYST4_DATE</t>
  </si>
  <si>
    <t>Catalyst 4 description</t>
  </si>
  <si>
    <t>CATALYST4_EVENT</t>
  </si>
  <si>
    <t>Catalyst 5 date</t>
  </si>
  <si>
    <t>CATALYST5_DATE</t>
  </si>
  <si>
    <t>Catalyst 5 description</t>
  </si>
  <si>
    <t>CATALYST5_EVENT</t>
  </si>
  <si>
    <t>Target price multiple</t>
  </si>
  <si>
    <t>PRI_TARG_MULT</t>
  </si>
  <si>
    <t>Target price methodology</t>
  </si>
  <si>
    <t>PRI_TARG_METH</t>
  </si>
  <si>
    <t>Publishing Items</t>
  </si>
  <si>
    <t>Book value per share, BVPS (Pub)</t>
  </si>
  <si>
    <t>BVPS_PUB</t>
  </si>
  <si>
    <t>DPS, dividend per share (Pub)</t>
  </si>
  <si>
    <t>DPS_PUB</t>
  </si>
  <si>
    <t>EBITDA (Pub)</t>
  </si>
  <si>
    <t>EBITDA_PUB</t>
  </si>
  <si>
    <t>EPS (Pub)</t>
  </si>
  <si>
    <t>EPS_PUB</t>
  </si>
  <si>
    <t>EV adjustment (Pub)</t>
  </si>
  <si>
    <t>EV_ADJ_PUB</t>
  </si>
  <si>
    <t>Net debt (Pub)</t>
  </si>
  <si>
    <t>NET_DEBT_PUB</t>
  </si>
  <si>
    <t>Net income (Pub)</t>
  </si>
  <si>
    <t>NI_PUB</t>
  </si>
  <si>
    <t>EBIT, operating profit (Pub)</t>
  </si>
  <si>
    <t>EBIT_PUB</t>
  </si>
  <si>
    <t>Pre-tax profit (Pub)</t>
  </si>
  <si>
    <t>PTP_PUB</t>
  </si>
  <si>
    <t>Sales, revenue (Pub)</t>
  </si>
  <si>
    <t>REVS_PUB</t>
  </si>
  <si>
    <t>Total shareholders' equity (Pub)</t>
  </si>
  <si>
    <t>EQ_PUB</t>
  </si>
  <si>
    <t>EPS (consensus)</t>
  </si>
  <si>
    <t>EPS_CONS_PUB</t>
  </si>
  <si>
    <t>ANZ Publishing Items</t>
  </si>
  <si>
    <t>DCF_CASH_FLOW</t>
  </si>
  <si>
    <t>Cost of equity</t>
  </si>
  <si>
    <t>COST_OF_EQUITY_DCF</t>
  </si>
  <si>
    <t>Risk Margin of Debt</t>
  </si>
  <si>
    <t>DEBT_RISK_MARGIN_DCF</t>
  </si>
  <si>
    <t>Perpetuity Growth Rate</t>
  </si>
  <si>
    <t>PERPETUITY_GROWTH_RATE_DCF</t>
  </si>
  <si>
    <t>Discount Factor</t>
  </si>
  <si>
    <t>DISCOUNT_FACTOR_DCF</t>
  </si>
  <si>
    <t>PRESENT_VALUE_OF_CASH_FLOW_DCF</t>
  </si>
  <si>
    <t>CUM_PRESENT_VAL_CASH_FLOWS_DCF</t>
  </si>
  <si>
    <t>Terminal Year</t>
  </si>
  <si>
    <t>TERMINAL_YEAR_DCF</t>
  </si>
  <si>
    <t>Market Value of Investments</t>
  </si>
  <si>
    <t>MARKET_VALUE_OF_INVESTMENTS_DCF</t>
  </si>
  <si>
    <t>Net debt/(net cash) including options in the money</t>
  </si>
  <si>
    <t>NET_DEBT_NET_CASH_DCF</t>
  </si>
  <si>
    <t>EQUITY_VALUE_DCF</t>
  </si>
  <si>
    <t>IMP_CREDITS_PER_SHARE_DCF</t>
  </si>
  <si>
    <t>Base case valuation</t>
  </si>
  <si>
    <t>BASE_CASE_VAL_DCF</t>
  </si>
  <si>
    <t>Risk adjusted option value</t>
  </si>
  <si>
    <t>RISK_ADJ_OPTION_VALUE_DCF</t>
  </si>
  <si>
    <t>INTRINSIC_PER_SHARE_VALUE_DCF</t>
  </si>
  <si>
    <t>YEAR_END_CAPITAL_EVA</t>
  </si>
  <si>
    <t>NI_REPT_PUB</t>
  </si>
  <si>
    <t>Franking (Pub)</t>
  </si>
  <si>
    <t>FRANKING_ANZPUB</t>
  </si>
  <si>
    <t>Debt to equity</t>
  </si>
  <si>
    <t>Income Statement</t>
  </si>
  <si>
    <t>Sales, net revenue</t>
  </si>
  <si>
    <t>Compensation &amp; benfits expense</t>
  </si>
  <si>
    <t>PERSONNEL</t>
  </si>
  <si>
    <t>Cost of goods sold, COGS</t>
  </si>
  <si>
    <t>COST_GD_SD</t>
  </si>
  <si>
    <t>SG&amp;A, selling, general and admin. expense</t>
  </si>
  <si>
    <t>SEL_GL_AD</t>
  </si>
  <si>
    <t>Total operating expense</t>
  </si>
  <si>
    <t>OP_COST</t>
  </si>
  <si>
    <t>R&amp;D expense</t>
  </si>
  <si>
    <t>RD_EXP</t>
  </si>
  <si>
    <t>Other operating income/(expense) (incl. leases)</t>
  </si>
  <si>
    <t>OTH_OP_INC_EXP</t>
  </si>
  <si>
    <t>Total operating expense (incl. D&amp;A)</t>
  </si>
  <si>
    <t>TOT_OPS_EXP_DDA</t>
  </si>
  <si>
    <t>Total operating expense (excl. D&amp;A)</t>
  </si>
  <si>
    <t>TOT_OPS_EXP</t>
  </si>
  <si>
    <t>EBITDA_CALC</t>
  </si>
  <si>
    <t>Depreciation</t>
  </si>
  <si>
    <t>DEPREC</t>
  </si>
  <si>
    <t>Amortization</t>
  </si>
  <si>
    <t>GOODWILL_AMORT</t>
  </si>
  <si>
    <t>EBIT, operating profit</t>
  </si>
  <si>
    <t>INT_INC_IND</t>
  </si>
  <si>
    <t>Interest expense</t>
  </si>
  <si>
    <t>INT_EXP_IND</t>
  </si>
  <si>
    <t>Net interest income/(expense)</t>
  </si>
  <si>
    <t>NET_INT_EXP</t>
  </si>
  <si>
    <t>Income/(loss) from unconsolidated subs &amp; associates</t>
  </si>
  <si>
    <t>ASSOCIATE</t>
  </si>
  <si>
    <t>Profit/(loss) on disposals of assets, pre-tax</t>
  </si>
  <si>
    <t>PROFIT_ON_DISP</t>
  </si>
  <si>
    <t>Other non-ops income/(expense)</t>
  </si>
  <si>
    <t>OTH_COST_INC</t>
  </si>
  <si>
    <t>Pre-tax profit</t>
  </si>
  <si>
    <t>PT_PROF</t>
  </si>
  <si>
    <t>Provision for income tax</t>
  </si>
  <si>
    <t>PROV_INC_TAX</t>
  </si>
  <si>
    <t>Minority interest</t>
  </si>
  <si>
    <t>INC_MINORITY</t>
  </si>
  <si>
    <t>Net income (pre-preferred dividends)</t>
  </si>
  <si>
    <t>NI_PRE_PREF</t>
  </si>
  <si>
    <t>Preferred dividends</t>
  </si>
  <si>
    <t>PREF_DIV</t>
  </si>
  <si>
    <t>Net income (pre-exceptionals)</t>
  </si>
  <si>
    <t>NET_EARNING</t>
  </si>
  <si>
    <t>Post-tax exceptionals</t>
  </si>
  <si>
    <t>TAX_EXC</t>
  </si>
  <si>
    <t>Net income (post-exceptionals)</t>
  </si>
  <si>
    <t>NET_INC</t>
  </si>
  <si>
    <t>EPS (pre-exceptionals, basic)</t>
  </si>
  <si>
    <t>EPS (pre-exceptionals, diluted)</t>
  </si>
  <si>
    <t>EPS_FUL_DIL</t>
  </si>
  <si>
    <t>EPS (post-exceptionals, basic)</t>
  </si>
  <si>
    <t>EPS_POST_BASIC</t>
  </si>
  <si>
    <t>EPS (post-exceptionals, diluted)</t>
  </si>
  <si>
    <t>FULLY_DIL_EPS</t>
  </si>
  <si>
    <t>Common dividends paid</t>
  </si>
  <si>
    <t>COMMON_DIV_PAID</t>
  </si>
  <si>
    <t>DPS, dividend per share</t>
  </si>
  <si>
    <t>Weighted average shares outstanding, basic</t>
  </si>
  <si>
    <t>Diluted average shares outstanding (mn)</t>
  </si>
  <si>
    <t>DILUTE_SHARES</t>
  </si>
  <si>
    <t>Period-end shares outstanding</t>
  </si>
  <si>
    <t>NON_OP_ADD</t>
  </si>
  <si>
    <t>ANZ Income Statement</t>
  </si>
  <si>
    <t>Total Operating Revenue</t>
  </si>
  <si>
    <t>Marketing/Advertising</t>
  </si>
  <si>
    <t>Access and Connection</t>
  </si>
  <si>
    <t>Selling, General &amp; Admin</t>
  </si>
  <si>
    <t>SEL_GL_AD_OTHER</t>
  </si>
  <si>
    <t>Labour</t>
  </si>
  <si>
    <t>Share Based Payments</t>
  </si>
  <si>
    <t>EBITDA (incl Assoc post tax (where possible) and non-operating profit)</t>
  </si>
  <si>
    <t>EBITDA_CONSOLIDATED</t>
  </si>
  <si>
    <t>AMORT_OF_INTANGIBLES_ADJ</t>
  </si>
  <si>
    <t>Consolidated EBIT (pre associates)</t>
  </si>
  <si>
    <t>EBIT_CONSOLIDATED_PRE_ASSOC</t>
  </si>
  <si>
    <t>EBIT (incl Assoc post tax (where possible) and non-operating profit)</t>
  </si>
  <si>
    <t>EBIT_CONSOLIDATED</t>
  </si>
  <si>
    <t>Earnings before taxes (pre associates)</t>
  </si>
  <si>
    <t>OPPL_BTAX_EX_ASSOC</t>
  </si>
  <si>
    <t>Operating profit or loss after income tax (pre abnormals) - Incl Assoc</t>
  </si>
  <si>
    <t>Profit/Loss on defined benefit plan contribution (Pre Tax)</t>
  </si>
  <si>
    <t>Goodwill Asset impairment Charge (Pre Tax)</t>
  </si>
  <si>
    <t>Other Asset impairment Charge (Pre Tax)</t>
  </si>
  <si>
    <t>Financial instruments/hedging (Pre Tax)</t>
  </si>
  <si>
    <t>Other IFRS adjustments (Pre Tax)</t>
  </si>
  <si>
    <t>Profit/Loss on defined benefit plan contribution (Post Tax)</t>
  </si>
  <si>
    <t>Goodwill Asset impairment Charge (Post Tax)</t>
  </si>
  <si>
    <t>Other Asset impairment Charge (Post Tax)</t>
  </si>
  <si>
    <t>Financial instruments/hedging (Post Tax)</t>
  </si>
  <si>
    <t>Other IFRS adjustments (Post Tax)</t>
  </si>
  <si>
    <t>Net Profit - GS&amp;PA (NPAT after pref dividends, but before Abnormals, and Goodwill Amortisation)</t>
  </si>
  <si>
    <t>Foreign Exchange (gains/losses)</t>
  </si>
  <si>
    <t>Asset Sales (gains/losses)</t>
  </si>
  <si>
    <t>Restructuring Costs</t>
  </si>
  <si>
    <t>Other Abnormal Items</t>
  </si>
  <si>
    <t>EBITDAF (Financial Instruments)</t>
  </si>
  <si>
    <t>EBITDAF</t>
  </si>
  <si>
    <t>EPS - GS&amp;PA</t>
  </si>
  <si>
    <t>NZ Imputation level</t>
  </si>
  <si>
    <t>NZ_FRANKING</t>
  </si>
  <si>
    <t>Convertible Notes  at End of year</t>
  </si>
  <si>
    <t>Preference Shares at End of year</t>
  </si>
  <si>
    <t>Partly Paid Shares at End of year</t>
  </si>
  <si>
    <t>PARTLY_PAID_SHARES</t>
  </si>
  <si>
    <t>Options at End of year</t>
  </si>
  <si>
    <t>Other at End of year</t>
  </si>
  <si>
    <t>OTHER_CAPITAL</t>
  </si>
  <si>
    <t>Total Capital at End of year</t>
  </si>
  <si>
    <t>TOTAL_CAPITAL</t>
  </si>
  <si>
    <t>Ordinary Shares (diluted for convertibles/options in the money) on issue at end of period ; Share Base For NTA Calculation</t>
  </si>
  <si>
    <t>Weighted average ordinary shares (diluted for convertibles/options in the money) on issue at end of period</t>
  </si>
  <si>
    <t>Additional Income Statement Items</t>
  </si>
  <si>
    <t>LEASE_PAY</t>
  </si>
  <si>
    <t>Lease payments (deemed interest portion)</t>
  </si>
  <si>
    <t>LEASE_DEEM_INT</t>
  </si>
  <si>
    <t>Lease payments (deemed depreciation portion)</t>
  </si>
  <si>
    <t>LEASE_DEEM_DEPR</t>
  </si>
  <si>
    <t>Gross interest charge</t>
  </si>
  <si>
    <t>NET_INT_CH</t>
  </si>
  <si>
    <t>Income from associates (operating)</t>
  </si>
  <si>
    <t>ASSOCIATE_OP</t>
  </si>
  <si>
    <t>Marginal tax rate</t>
  </si>
  <si>
    <t>MARGIN_TAX_RATE</t>
  </si>
  <si>
    <t>Net income (consensus) (Pub)</t>
  </si>
  <si>
    <t>NI_CONS</t>
  </si>
  <si>
    <t>Balance Sheet</t>
  </si>
  <si>
    <t>Cash &amp; cash equivalents</t>
  </si>
  <si>
    <t>CASH_EQ</t>
  </si>
  <si>
    <t>Accounts receivable</t>
  </si>
  <si>
    <t>DEBTORS</t>
  </si>
  <si>
    <t>Inventory</t>
  </si>
  <si>
    <t>STOCKS</t>
  </si>
  <si>
    <t>Other current assets</t>
  </si>
  <si>
    <t>OTH_CUR_ASS</t>
  </si>
  <si>
    <t>CUR_ASS</t>
  </si>
  <si>
    <t>Gross fixed assets, PP&amp;E</t>
  </si>
  <si>
    <t>GR_FIX_ASS</t>
  </si>
  <si>
    <t>ACC_DDA</t>
  </si>
  <si>
    <t>Net PP&amp;E</t>
  </si>
  <si>
    <t>NET_FIX_ASS</t>
  </si>
  <si>
    <t>Gross intangibles</t>
  </si>
  <si>
    <t>GR_INTANG</t>
  </si>
  <si>
    <t>Accumulated amortization</t>
  </si>
  <si>
    <t>ACC_AMORT</t>
  </si>
  <si>
    <t>Net intangible assets</t>
  </si>
  <si>
    <t>NET_INTANG</t>
  </si>
  <si>
    <t>Equity method investments</t>
  </si>
  <si>
    <t>FIX_ASS_INV</t>
  </si>
  <si>
    <t>Investments in securities</t>
  </si>
  <si>
    <t>INV_SECUR</t>
  </si>
  <si>
    <t>Other long-term assets</t>
  </si>
  <si>
    <t>OTH_LT_ASS</t>
  </si>
  <si>
    <t>TOT_ASSET</t>
  </si>
  <si>
    <t>Accounts payable</t>
  </si>
  <si>
    <t>ACC_PAY_GQ</t>
  </si>
  <si>
    <t>Short-term debt</t>
  </si>
  <si>
    <t>SHORT_T_DEBT</t>
  </si>
  <si>
    <t>Other current liabilities</t>
  </si>
  <si>
    <t>OTH_CUR_LIABS</t>
  </si>
  <si>
    <t>SHORT_TERM_LIABS</t>
  </si>
  <si>
    <t>Long-term  debt</t>
  </si>
  <si>
    <t>LT_DEBT</t>
  </si>
  <si>
    <t>Other long-term liabilities</t>
  </si>
  <si>
    <t>OTH_LT_CRED_GQ</t>
  </si>
  <si>
    <t>Total long-term liabilities</t>
  </si>
  <si>
    <t>TOT_LT_LIAB</t>
  </si>
  <si>
    <t>TOT_LIAB</t>
  </si>
  <si>
    <t>Preferred shares</t>
  </si>
  <si>
    <t>PREF_SH</t>
  </si>
  <si>
    <t>Total common equity</t>
  </si>
  <si>
    <t>ORD_SH_FUND</t>
  </si>
  <si>
    <t>MINORITIES</t>
  </si>
  <si>
    <t>Total shareholders' equity</t>
  </si>
  <si>
    <t>EQ</t>
  </si>
  <si>
    <t>Total liabilities and equity</t>
  </si>
  <si>
    <t>TOT_LIAB_EQ</t>
  </si>
  <si>
    <t>BVPS, book value per share</t>
  </si>
  <si>
    <t>BVPS</t>
  </si>
  <si>
    <t>ANZ Balance Sheet</t>
  </si>
  <si>
    <t>Other receivables (Current assets)</t>
  </si>
  <si>
    <t>Investments (Current assets)</t>
  </si>
  <si>
    <t>Financial Instruments/Hedging (Current assets)</t>
  </si>
  <si>
    <t>Other (Misc. Current assets)</t>
  </si>
  <si>
    <t>CUR_ASS_MISC</t>
  </si>
  <si>
    <t>Trade debtors (Non current assets)</t>
  </si>
  <si>
    <t>Other receivables (Non current assets)</t>
  </si>
  <si>
    <t>Investments (Non current assets)</t>
  </si>
  <si>
    <t>Land &amp; Buildings (Net of Dep'n)</t>
  </si>
  <si>
    <t>Plant And Equipment (Net of Dep'n)</t>
  </si>
  <si>
    <t>Research &amp; Development - Capitalised (Net of Amort)</t>
  </si>
  <si>
    <t>Goodwill (Net of Amort)</t>
  </si>
  <si>
    <t>GOODWILL_NET_AMNT</t>
  </si>
  <si>
    <t>Other Intangibles - Depreciable (Net of Amort)</t>
  </si>
  <si>
    <t>Other Intangibles - Non-Depreciable (Net of Amort)</t>
  </si>
  <si>
    <t>Financial Instruments/Hedging (Non current assets)</t>
  </si>
  <si>
    <t>Other (Misc. non current assets)</t>
  </si>
  <si>
    <t>NCASSET_MISC</t>
  </si>
  <si>
    <t>Other Creditors (Current liabilities)</t>
  </si>
  <si>
    <t>Provisions (Current liabilities)</t>
  </si>
  <si>
    <t>Financial Instruments/Hedging (Current liab)</t>
  </si>
  <si>
    <t>Other (Misc. current liabilities)</t>
  </si>
  <si>
    <t>CUR_LIABS_MISC</t>
  </si>
  <si>
    <t>Trade Creditors (Non current liabilities)</t>
  </si>
  <si>
    <t>Other Creditors (Non current liabilities)</t>
  </si>
  <si>
    <t>Provisions (Non current liabilities)</t>
  </si>
  <si>
    <t>Financial Instruments/Hedging (Non current liab)</t>
  </si>
  <si>
    <t>Other (Misc. non current liabilities)</t>
  </si>
  <si>
    <t>NCLIAB_MISC</t>
  </si>
  <si>
    <t>Adjusted Net Tangible Assets (NZ)</t>
  </si>
  <si>
    <t>NET_TANGIBLE_ASSETS_ADJUSTED_NZ</t>
  </si>
  <si>
    <t>Additional Balance Sheet Items</t>
  </si>
  <si>
    <t>CAP_LEASES</t>
  </si>
  <si>
    <t>DEF_INC_TAX</t>
  </si>
  <si>
    <t>Associates (mkt value) used in EV calculation</t>
  </si>
  <si>
    <t>MV_ASSOCIATES</t>
  </si>
  <si>
    <t>Net debt adjustment</t>
  </si>
  <si>
    <t>NET_DEBT_ADJ</t>
  </si>
  <si>
    <t>Company borrowing margin</t>
  </si>
  <si>
    <t>CO_BOR_MARGIN</t>
  </si>
  <si>
    <t>Unfunded pensions &amp; other provisions</t>
  </si>
  <si>
    <t>UNF_PENS</t>
  </si>
  <si>
    <t>Unfunded pension liabilities (off balance sheet)</t>
  </si>
  <si>
    <t>UNF_PENS_OFF</t>
  </si>
  <si>
    <t>Unfunded pension liabilities &amp; other, used in EV</t>
  </si>
  <si>
    <t>UNF_PENS_LIAB_OTH</t>
  </si>
  <si>
    <t>Adjustment for unfunded pensions &amp; goodwill</t>
  </si>
  <si>
    <t>ADJ_UNF_PENS_GOOD</t>
  </si>
  <si>
    <t>Other GCI adjustments</t>
  </si>
  <si>
    <t>OTH_GCI_ADJ</t>
  </si>
  <si>
    <t>GCI inflator</t>
  </si>
  <si>
    <t>GCI_INFL</t>
  </si>
  <si>
    <t>BAL_MINO_INT</t>
  </si>
  <si>
    <t>Cash Flow Statement</t>
  </si>
  <si>
    <t>CF_NI_PRE_PREF</t>
  </si>
  <si>
    <t>Minority interest add-back</t>
  </si>
  <si>
    <t>CF_INC_MINORITY</t>
  </si>
  <si>
    <t>Depreciation &amp; amortization add-back</t>
  </si>
  <si>
    <t>DEPR_AMORT</t>
  </si>
  <si>
    <t>WORK_CAP</t>
  </si>
  <si>
    <t>Other operating cash flow items</t>
  </si>
  <si>
    <t>OTH_OP_CF</t>
  </si>
  <si>
    <t>Cash flow from operating activities</t>
  </si>
  <si>
    <t>CF_OPS</t>
  </si>
  <si>
    <t>Capital expenditures, Capex</t>
  </si>
  <si>
    <t>CAPEX</t>
  </si>
  <si>
    <t>Acquisitions</t>
  </si>
  <si>
    <t>ACQ</t>
  </si>
  <si>
    <t>Divestitures</t>
  </si>
  <si>
    <t>DIVEST</t>
  </si>
  <si>
    <t>Other investing cash flow items</t>
  </si>
  <si>
    <t>OTH_INV_CF</t>
  </si>
  <si>
    <t>Cash flow from investing</t>
  </si>
  <si>
    <t>CF_INV</t>
  </si>
  <si>
    <t>DIV_PAID</t>
  </si>
  <si>
    <t>Common stock issuance/(repurchase)</t>
  </si>
  <si>
    <t>SH_REPUR</t>
  </si>
  <si>
    <t>Increase/(decrease) in total debt</t>
  </si>
  <si>
    <t>CHG_LT_DEBT</t>
  </si>
  <si>
    <t>Other financing cash flow items</t>
  </si>
  <si>
    <t>OTH_FIN_CF</t>
  </si>
  <si>
    <t>Cash flow from financing</t>
  </si>
  <si>
    <t>CF_FIN</t>
  </si>
  <si>
    <t>Total cash flow</t>
  </si>
  <si>
    <t>TOT_CF</t>
  </si>
  <si>
    <t>ANZ Cash Flow Statement</t>
  </si>
  <si>
    <t>Other (Misc. operating cash flow items)</t>
  </si>
  <si>
    <t>CF_OPS_MISC</t>
  </si>
  <si>
    <t>Operating Cash Flow Per Share (NZ)</t>
  </si>
  <si>
    <t>CF_OPS_SHARE_NZ</t>
  </si>
  <si>
    <t>Other Investing CFs</t>
  </si>
  <si>
    <t>CF_INV_MISC</t>
  </si>
  <si>
    <t>Additional Cash Flow Items</t>
  </si>
  <si>
    <t>Associate and JV add-back</t>
  </si>
  <si>
    <t>ASSOC_JV_ADDBK</t>
  </si>
  <si>
    <t>Profit/(loss) on sale of assets</t>
  </si>
  <si>
    <t>PL_SALE_ASSETS</t>
  </si>
  <si>
    <t>Other non-cash adjustments</t>
  </si>
  <si>
    <t>OTH_NONCASH_ADJ</t>
  </si>
  <si>
    <t>Other DACF adjustments</t>
  </si>
  <si>
    <t>OTH_DACF_ADJ</t>
  </si>
  <si>
    <t>Cash interest expense</t>
  </si>
  <si>
    <t>CASH_INT_EXP</t>
  </si>
  <si>
    <t>Cash tax expense</t>
  </si>
  <si>
    <t>CASH_TAX_EXP</t>
  </si>
  <si>
    <t>Dividends received from associates/JVs</t>
  </si>
  <si>
    <t>DIVDS_ASSOC_JV</t>
  </si>
  <si>
    <t>Capex maintenance</t>
  </si>
  <si>
    <t>CAPEX_MAINTENANCE</t>
  </si>
  <si>
    <t>CURRENCY_ISO</t>
  </si>
  <si>
    <t>PRICE_CURRENCY_ISO</t>
  </si>
  <si>
    <t>PUB_CURRENCY_ISO</t>
  </si>
  <si>
    <t>AUD</t>
  </si>
  <si>
    <t>Australia/NZ Investment List</t>
  </si>
  <si>
    <t>Australia/NZ Conviction List</t>
  </si>
  <si>
    <t>CF_FX</t>
  </si>
  <si>
    <t>Effective Foreign Exchange Impact</t>
  </si>
  <si>
    <t>Reference Data</t>
  </si>
  <si>
    <t>Issuer Name</t>
  </si>
  <si>
    <t>Reporting Currency</t>
  </si>
  <si>
    <t>Interim Type</t>
  </si>
  <si>
    <t>Publishing Currency</t>
  </si>
  <si>
    <t>Pricing Currency</t>
  </si>
  <si>
    <t>NUM_SH</t>
  </si>
  <si>
    <t>SH</t>
  </si>
  <si>
    <t>Effects of exchange rate changes</t>
  </si>
  <si>
    <t>Commodities Exposure - Expense</t>
  </si>
  <si>
    <t>FX Exposure - Sales</t>
  </si>
  <si>
    <t>Sales - % FX: British Pounds/Pence</t>
  </si>
  <si>
    <t>SALES_FX_GPB</t>
  </si>
  <si>
    <t>Sales - % FX: Euro</t>
  </si>
  <si>
    <t>SALES_FX_EUR</t>
  </si>
  <si>
    <t>Sales - % Total Africa</t>
  </si>
  <si>
    <t>SALES_TOT_AFRICA</t>
  </si>
  <si>
    <t>Sales - % FX: New Russian Ruble</t>
  </si>
  <si>
    <t>SALES_FX_RUB</t>
  </si>
  <si>
    <t>Sales - % FX: U.S. Dollar</t>
  </si>
  <si>
    <t>SALES_FX_USD</t>
  </si>
  <si>
    <t>Sales - % FX: Brazilian Real</t>
  </si>
  <si>
    <t>SALES_FX_BRL</t>
  </si>
  <si>
    <t>Sales - % FX: Japanese Yen</t>
  </si>
  <si>
    <t>SALES_FX_YEN</t>
  </si>
  <si>
    <t>Sales - % FX: Chinese Renminbi</t>
  </si>
  <si>
    <t>SALES_FX_CNY</t>
  </si>
  <si>
    <t>Sales - % FX: Indian Rupee</t>
  </si>
  <si>
    <t>SALES_FX_INR</t>
  </si>
  <si>
    <t>Sales - % Industry Sub-Segment: Financial Services</t>
  </si>
  <si>
    <t>SALES_FINAN</t>
  </si>
  <si>
    <t>Sales - % FX: Australian Dollar</t>
  </si>
  <si>
    <t>SALES_FX_AUD</t>
  </si>
  <si>
    <t>Sales - % FX: New Zealand Dollar</t>
  </si>
  <si>
    <t>SALES_FX_NZD</t>
  </si>
  <si>
    <t>Sales - Total % Americas</t>
  </si>
  <si>
    <t>Sales - % Western Europe-Ex UK</t>
  </si>
  <si>
    <t>Sales - % China</t>
  </si>
  <si>
    <t>Sales - % Other Asia</t>
  </si>
  <si>
    <t>Sales - % FX: Other Currency</t>
  </si>
  <si>
    <t>SALES_FX_OTH</t>
  </si>
  <si>
    <t>Special dividend per share</t>
  </si>
  <si>
    <t>DPS_SPECIAL_PUB</t>
  </si>
  <si>
    <t>Franking for special dividends</t>
  </si>
  <si>
    <t>FRANKING_SPECIAL_ANZPUB</t>
  </si>
  <si>
    <t>2015 H1</t>
  </si>
  <si>
    <t>2015 H2</t>
  </si>
  <si>
    <t>Total (¢ps)</t>
  </si>
  <si>
    <t>EPS (pre abnormals)</t>
  </si>
  <si>
    <t>Value</t>
  </si>
  <si>
    <t>2025E</t>
  </si>
  <si>
    <t>2026E</t>
  </si>
  <si>
    <t>2027E</t>
  </si>
  <si>
    <t>2016 H1</t>
  </si>
  <si>
    <t>2016 H2</t>
  </si>
  <si>
    <t>MA_PROB</t>
  </si>
  <si>
    <t>Old</t>
  </si>
  <si>
    <t>New</t>
  </si>
  <si>
    <t>% chg</t>
  </si>
  <si>
    <t>FY18E</t>
  </si>
  <si>
    <t>FY19E</t>
  </si>
  <si>
    <t>GQ live</t>
  </si>
  <si>
    <t>Model</t>
  </si>
  <si>
    <t>Items to be removed</t>
  </si>
  <si>
    <t>Expense - % Oil/Petrol/Fuel</t>
  </si>
  <si>
    <t>EXP_OIL_PETRO_FUEL</t>
  </si>
  <si>
    <t>Sales - % Other North Americas</t>
  </si>
  <si>
    <t>SALES_OTH_NO_AMER</t>
  </si>
  <si>
    <t>Sales - % Argentina</t>
  </si>
  <si>
    <t>SALES_ARGENTINA</t>
  </si>
  <si>
    <t>Sales - % Chile</t>
  </si>
  <si>
    <t>SALES_CHILE</t>
  </si>
  <si>
    <t>Sales - % Colombia</t>
  </si>
  <si>
    <t>SALES_COLOMBIA</t>
  </si>
  <si>
    <t>Sales - % Mexico</t>
  </si>
  <si>
    <t>SALES_MEXICO</t>
  </si>
  <si>
    <t>Sales - % Venezuela</t>
  </si>
  <si>
    <t>SALES_VENEZUELA</t>
  </si>
  <si>
    <t>Sales - % Other Latin Americas</t>
  </si>
  <si>
    <t>SALES_OTH_LATAM</t>
  </si>
  <si>
    <t>Sales - % Other Western Europe</t>
  </si>
  <si>
    <t>SALES_OTH_WEST_EURO</t>
  </si>
  <si>
    <t>Sales - % Poland</t>
  </si>
  <si>
    <t>SALES_POLAND</t>
  </si>
  <si>
    <t>Sales - % Turkey</t>
  </si>
  <si>
    <t>SALES_TURKEY</t>
  </si>
  <si>
    <t>Sales - % Other CEE</t>
  </si>
  <si>
    <t>SALES_OTH_CEE</t>
  </si>
  <si>
    <t>Sales - % Saudi Arabia</t>
  </si>
  <si>
    <t>SALES_SAUDI_ARABIA</t>
  </si>
  <si>
    <t>Sales - % United Arab Emirates</t>
  </si>
  <si>
    <t>SALES_UAE</t>
  </si>
  <si>
    <t>Sales - % Other Middle East</t>
  </si>
  <si>
    <t>SALES_OTH_ME</t>
  </si>
  <si>
    <t>Sales - % Nigeria</t>
  </si>
  <si>
    <t>SALES_NIGERIA</t>
  </si>
  <si>
    <t>Sales - % South Africa</t>
  </si>
  <si>
    <t>SALES_SO_AFRICA</t>
  </si>
  <si>
    <t>Sales - % Other Africa</t>
  </si>
  <si>
    <t>SALES_OTH_AFRICA</t>
  </si>
  <si>
    <t>Sales - % Hong Kong</t>
  </si>
  <si>
    <t>SALES_HONG_KONG</t>
  </si>
  <si>
    <t>Sales - % Singapore</t>
  </si>
  <si>
    <t>SALES_SINGAPORE</t>
  </si>
  <si>
    <t>Sales - % Taiwan</t>
  </si>
  <si>
    <t>SALES_TAIWAN</t>
  </si>
  <si>
    <t>Sales - % Other Developed Asia</t>
  </si>
  <si>
    <t>SALES_OTH_DEV_ASIA</t>
  </si>
  <si>
    <t>Sales - % Indonesia</t>
  </si>
  <si>
    <t>SALES_INDONESIA</t>
  </si>
  <si>
    <t>Sales - % Thailand</t>
  </si>
  <si>
    <t>SALES_THAILAND</t>
  </si>
  <si>
    <t>Sales - % Other Emerging Asia</t>
  </si>
  <si>
    <t>SALES_OTH_EMERG_ASIA</t>
  </si>
  <si>
    <t>Sales - % Industry Sub-Segment: Oil &amp; Gas</t>
  </si>
  <si>
    <t>SALES_OIL_GAS</t>
  </si>
  <si>
    <t>Expense - % Oil derivatives/NGLs/plastics</t>
  </si>
  <si>
    <t>EXP_OIL_DERIV_NGLS_PLASTICS</t>
  </si>
  <si>
    <t>2017 H1</t>
  </si>
  <si>
    <t>2017 H2</t>
  </si>
  <si>
    <t>Growth %</t>
  </si>
  <si>
    <t>Total US$ debt (in US$)</t>
  </si>
  <si>
    <t>TOT_USD_DEBT</t>
  </si>
  <si>
    <t>% US$ debt hedged (principal)</t>
  </si>
  <si>
    <t>TOT_PCT_USD_DEBT_HEDGED</t>
  </si>
  <si>
    <t>% Floating debt (local currency debt)</t>
  </si>
  <si>
    <t>FLOATING_PCT_LOCAL_DEBT</t>
  </si>
  <si>
    <t>% floating debt hedged (rates)</t>
  </si>
  <si>
    <t>FLOATING_PCT_LOCAL_DEBT_HEDGED</t>
  </si>
  <si>
    <t>% of CoGS from U.S. (GS estimate)</t>
  </si>
  <si>
    <t>COGS_PCT_US</t>
  </si>
  <si>
    <t>% of CoGS from non-U.S. (GS estimate)</t>
  </si>
  <si>
    <t>COGS_PCT_ROW</t>
  </si>
  <si>
    <t>% of SG&amp;A from U.S. (GS estimate)</t>
  </si>
  <si>
    <t>SGA_PCT_US</t>
  </si>
  <si>
    <t>% of SG&amp;A from non-U.S. (GS estimate)</t>
  </si>
  <si>
    <t>SGA_PCT_ROW</t>
  </si>
  <si>
    <t>Amortisation</t>
  </si>
  <si>
    <t>Core NPAT (pre abnormals)</t>
  </si>
  <si>
    <t>Analyst USD rate assumption vs reporting currency</t>
  </si>
  <si>
    <t>FX_USD_ASSUMPTION</t>
  </si>
  <si>
    <t>Analyst EUR rate assumption vs reporting currency</t>
  </si>
  <si>
    <t>FX_EUR_ASSUMPTION</t>
  </si>
  <si>
    <t>Analyst AUD rate assumption vs reporting currency</t>
  </si>
  <si>
    <t>FX_AUD_ASSUMPTION</t>
  </si>
  <si>
    <t>FX_USD_NI_SENSITIVITY</t>
  </si>
  <si>
    <t>FX_EUR_NI_SENSITIVITY</t>
  </si>
  <si>
    <t>FX_AUD_NI_SENSITIVITY</t>
  </si>
  <si>
    <t>FY20E</t>
  </si>
  <si>
    <t>Price Target (A$)</t>
  </si>
  <si>
    <t>M&amp;A probability (1 = high, 3 = low)</t>
  </si>
  <si>
    <t>NI impact from a 10% reporting currency depreciation vs USD</t>
  </si>
  <si>
    <t>NI impact from a 10% reporting currency depreciation vs EUR</t>
  </si>
  <si>
    <t>NI impact from a 10% reporting currency depreciation vs AUD</t>
  </si>
  <si>
    <t>Equity Valuation</t>
  </si>
  <si>
    <t xml:space="preserve">Multiple </t>
  </si>
  <si>
    <t>(X)</t>
  </si>
  <si>
    <t>DHG.AX</t>
  </si>
  <si>
    <t>TARGET_PRICE_FUNDAMENTAL</t>
  </si>
  <si>
    <t>TARGET_PRICE_MA</t>
  </si>
  <si>
    <t>Fundamental value</t>
  </si>
  <si>
    <t>M&amp;A value</t>
  </si>
  <si>
    <t>2019 H1</t>
  </si>
  <si>
    <t>2019 H2</t>
  </si>
  <si>
    <t>Right-of-use assets (op lease assets under US GAAP)</t>
  </si>
  <si>
    <t>ROU_ASSET</t>
  </si>
  <si>
    <t>Lease principal payments  (applicable to IFRS cos.)</t>
  </si>
  <si>
    <t>LEASE_PRINCIPAL_CASH</t>
  </si>
  <si>
    <t>Current lease liabilities (op lease: US GAAP)</t>
  </si>
  <si>
    <t>ST_LEASE_LIAB</t>
  </si>
  <si>
    <t>Non-current lease liabilities (op lease: US GAAP)</t>
  </si>
  <si>
    <t>LT_LEASE_LIAB</t>
  </si>
  <si>
    <t>Depreciation ROU assets   (applicable to IFRS cos.)</t>
  </si>
  <si>
    <t>DEPR_ROU_ASSETS</t>
  </si>
  <si>
    <t>Lease interest charge  (applicable to IFRS cos.)</t>
  </si>
  <si>
    <t>LEASE_INT_CHG</t>
  </si>
  <si>
    <t>Lease standard adopted (US GAAP ASC 842/ IFRS 16)</t>
  </si>
  <si>
    <t>LEASE_ADOPT</t>
  </si>
  <si>
    <t>Operating lease cost</t>
  </si>
  <si>
    <t>Capitalized operating leases (off-balance sheet)</t>
  </si>
  <si>
    <t>NET_DEBT_EX_LEASES_PUB</t>
  </si>
  <si>
    <t>Consensus equivalent net debt</t>
  </si>
  <si>
    <t>CEEE_NDEBT</t>
  </si>
  <si>
    <t>Net Debt (ex leases) (Pub)</t>
  </si>
  <si>
    <t>FY21E</t>
  </si>
  <si>
    <t>FY18-FY21E CAGR</t>
  </si>
  <si>
    <t>2020 H1</t>
  </si>
  <si>
    <t>2020 H2</t>
  </si>
  <si>
    <t>FY22E</t>
  </si>
  <si>
    <t>FY23E</t>
  </si>
  <si>
    <t>GOCF</t>
  </si>
  <si>
    <t>2021 H1</t>
  </si>
  <si>
    <t>2021 H2</t>
  </si>
  <si>
    <t>4 to -on c.2</t>
  </si>
  <si>
    <t>2022 H1</t>
  </si>
  <si>
    <t>2022 H2</t>
  </si>
  <si>
    <t>1H21</t>
  </si>
  <si>
    <t>Australia Technology</t>
  </si>
  <si>
    <t>Gross Profit</t>
  </si>
  <si>
    <t>Cost of Goods Sold</t>
  </si>
  <si>
    <t>% of Sales</t>
  </si>
  <si>
    <t>Current Tax Receivables</t>
  </si>
  <si>
    <t>Capex</t>
  </si>
  <si>
    <t>Payments for intangible assets</t>
  </si>
  <si>
    <t>Purchase of PP&amp;E</t>
  </si>
  <si>
    <t>Total Capex</t>
  </si>
  <si>
    <t>R&amp;D Spend</t>
  </si>
  <si>
    <t>Capex % Revenue</t>
  </si>
  <si>
    <t>Capitalised Intangibles</t>
  </si>
  <si>
    <t>Total Software Investment</t>
  </si>
  <si>
    <t>% Capitalised</t>
  </si>
  <si>
    <t>D&amp;A % Capex</t>
  </si>
  <si>
    <t>Total D&amp;A</t>
  </si>
  <si>
    <t>Total_Sales</t>
  </si>
  <si>
    <t>Total_COGS</t>
  </si>
  <si>
    <t>Growth_Sales</t>
  </si>
  <si>
    <t>Total_GP</t>
  </si>
  <si>
    <t>Growth_GP</t>
  </si>
  <si>
    <t>Costs_R&amp;D</t>
  </si>
  <si>
    <t>Costs_Marketing</t>
  </si>
  <si>
    <t>Costs_G&amp;A</t>
  </si>
  <si>
    <t>Total_OpCosts</t>
  </si>
  <si>
    <t>Total_EBITDA</t>
  </si>
  <si>
    <t>Total_EBIT</t>
  </si>
  <si>
    <t>Total_D&amp;A</t>
  </si>
  <si>
    <t>NPATA</t>
  </si>
  <si>
    <t>Growth_EBITDA</t>
  </si>
  <si>
    <t>Growth_EPS</t>
  </si>
  <si>
    <t>Margin_GP</t>
  </si>
  <si>
    <t>Margin_EBITDA</t>
  </si>
  <si>
    <t>R&amp;D_%_Sales</t>
  </si>
  <si>
    <t>Marketing_%_Sales</t>
  </si>
  <si>
    <t>G&amp;A_%_Sales</t>
  </si>
  <si>
    <t>Capex_%_Sales</t>
  </si>
  <si>
    <t>Total_Capex</t>
  </si>
  <si>
    <t>FCF</t>
  </si>
  <si>
    <t>Gross_Debt_Closing</t>
  </si>
  <si>
    <t>Net_Debt_Closing</t>
  </si>
  <si>
    <t>Closing_Shares</t>
  </si>
  <si>
    <t>Weighted_Shares</t>
  </si>
  <si>
    <t>R&amp;D_%_Capitalised</t>
  </si>
  <si>
    <t>Capex_Software</t>
  </si>
  <si>
    <t>Capex_PPE</t>
  </si>
  <si>
    <t>Investment_acq</t>
  </si>
  <si>
    <t>Chris Gawler, CFA</t>
  </si>
  <si>
    <t>chris.gawler@gs.com</t>
  </si>
  <si>
    <t>EPS (US¢ ps)</t>
  </si>
  <si>
    <t>GP/Sales %</t>
  </si>
  <si>
    <t>EBITDA/Sales %</t>
  </si>
  <si>
    <t>EBIT/Sales %</t>
  </si>
  <si>
    <t>FX (losses)/gains and other</t>
  </si>
  <si>
    <t>Operating Costs</t>
  </si>
  <si>
    <t>Other P&amp;L inputs</t>
  </si>
  <si>
    <t>Revenue Summary</t>
  </si>
  <si>
    <t>Growth - pcp %</t>
  </si>
  <si>
    <t>Growth - sequential %</t>
  </si>
  <si>
    <t>Unit</t>
  </si>
  <si>
    <t>%</t>
  </si>
  <si>
    <t>ARR</t>
  </si>
  <si>
    <t>Annualised Recurring Revenue</t>
  </si>
  <si>
    <t>Gross Profit Summary</t>
  </si>
  <si>
    <t>Total Gross Profit</t>
  </si>
  <si>
    <t>Incremental ARR - sequential</t>
  </si>
  <si>
    <t>Incremental ARR - pcp</t>
  </si>
  <si>
    <t>x</t>
  </si>
  <si>
    <t>Foreign Exchange Costs</t>
  </si>
  <si>
    <t>Operating EBITDA</t>
  </si>
  <si>
    <t>Other Costs</t>
  </si>
  <si>
    <t>Deferred revenue</t>
  </si>
  <si>
    <t>R&amp;D</t>
  </si>
  <si>
    <t>1H22</t>
  </si>
  <si>
    <t>2H22</t>
  </si>
  <si>
    <t>This sheet contains FactSet XML data for use with this workbook's =FDS codes.  Modifying the worksheet's contents may damage the workbook's =FDS functionality.</t>
  </si>
  <si>
    <t>Last Price</t>
  </si>
  <si>
    <t>Upside / Downside (%)</t>
  </si>
  <si>
    <t>FCF margin (%)</t>
  </si>
  <si>
    <t>2023 H1</t>
  </si>
  <si>
    <t>2023 H2</t>
  </si>
  <si>
    <t>Lease Liabilities</t>
  </si>
  <si>
    <t>Y</t>
  </si>
  <si>
    <t xml:space="preserve">Year to 30 June </t>
  </si>
  <si>
    <t>Gross debt as at 1 July</t>
  </si>
  <si>
    <t>Gross debt as at 30 June</t>
  </si>
  <si>
    <t>Net debt as at 1 July</t>
  </si>
  <si>
    <t>Cash as at 1 July</t>
  </si>
  <si>
    <t>Cash as at 30 June</t>
  </si>
  <si>
    <t>Net debt as at 30 June</t>
  </si>
  <si>
    <t>Year to 30 June</t>
  </si>
  <si>
    <t>Revenues (€mn)</t>
  </si>
  <si>
    <t>EBITDA (€mn)</t>
  </si>
  <si>
    <t>NPAT (€mn)</t>
  </si>
  <si>
    <t>2H21</t>
  </si>
  <si>
    <t>Revenue by Geography</t>
  </si>
  <si>
    <t>Annual Recurring Revenue (ARR)</t>
  </si>
  <si>
    <t>12m Target Price (Rounded)</t>
  </si>
  <si>
    <t>Underlying EBITDA</t>
  </si>
  <si>
    <t>M&amp;A &amp; Other</t>
  </si>
  <si>
    <t>Total R&amp;D % of sales</t>
  </si>
  <si>
    <t>PPE % of sales</t>
  </si>
  <si>
    <t>Shares Outstanding (Diluted, mn)</t>
  </si>
  <si>
    <t>Objective Corp</t>
  </si>
  <si>
    <t>Objective Corp Group</t>
  </si>
  <si>
    <t>GS Objective Corp Valuation</t>
  </si>
  <si>
    <t>Objective Corp - MODEL</t>
  </si>
  <si>
    <t>Objective Corp (OCL.AX)</t>
  </si>
  <si>
    <t>A$m</t>
  </si>
  <si>
    <t>A$mn</t>
  </si>
  <si>
    <t>Content &amp; Processes</t>
  </si>
  <si>
    <t>Planning &amp; Building</t>
  </si>
  <si>
    <t>RegTech</t>
  </si>
  <si>
    <t>Revenue segments</t>
  </si>
  <si>
    <t>Mix - Revenue Segment</t>
  </si>
  <si>
    <t>Total revenue</t>
  </si>
  <si>
    <t>Cost of revenue</t>
  </si>
  <si>
    <t>Australia</t>
  </si>
  <si>
    <t>United Kingdom</t>
  </si>
  <si>
    <t>New Zealand</t>
  </si>
  <si>
    <t>Rest of the world</t>
  </si>
  <si>
    <t>Recurring revenue</t>
  </si>
  <si>
    <t>Non-recurring revenue</t>
  </si>
  <si>
    <t>Other revenue</t>
  </si>
  <si>
    <t>% recurring</t>
  </si>
  <si>
    <t>Recurring Revenue Growth</t>
  </si>
  <si>
    <t>ECM as a Service</t>
  </si>
  <si>
    <t>Connect</t>
  </si>
  <si>
    <t>Trapeze</t>
  </si>
  <si>
    <t>Regworks</t>
  </si>
  <si>
    <t>Distribution Expenses</t>
  </si>
  <si>
    <t>Research &amp; Development Expenses</t>
  </si>
  <si>
    <t>Administration and Other Operating Expenses</t>
  </si>
  <si>
    <t>Underlying EBITDA/Sales %</t>
  </si>
  <si>
    <t>Contract liabilitity % of annualised sales (%)</t>
  </si>
  <si>
    <t>AUD/AUD Assumption</t>
  </si>
  <si>
    <t>ROE</t>
  </si>
  <si>
    <t>Equity</t>
  </si>
  <si>
    <t>Average equity</t>
  </si>
  <si>
    <t>Net profit</t>
  </si>
  <si>
    <t>GS Valuation (A$/share)</t>
  </si>
  <si>
    <t>Non-recurring</t>
  </si>
  <si>
    <t>Objective Corp.</t>
  </si>
  <si>
    <t>Issuer: Objective Corp.</t>
  </si>
  <si>
    <t>OCL.AX</t>
  </si>
  <si>
    <t>Security: Objective Corp.</t>
  </si>
  <si>
    <t>2018 H1</t>
  </si>
  <si>
    <t>2018 H2</t>
  </si>
  <si>
    <t>12 months</t>
  </si>
  <si>
    <t>Fundamental Valuation</t>
  </si>
  <si>
    <t>FY24 growth-adjusted EV/EBITDA</t>
  </si>
  <si>
    <t>Recurring revenue % opening ARR</t>
  </si>
  <si>
    <t>2024 H1</t>
  </si>
  <si>
    <t>2024 H2</t>
  </si>
  <si>
    <t>1H23</t>
  </si>
  <si>
    <t>Analyst Defined Items</t>
  </si>
  <si>
    <t>Currency contribution to % sales growth</t>
  </si>
  <si>
    <t>SALES_FX</t>
  </si>
  <si>
    <t>Inorganic sales contribution to % sales growth</t>
  </si>
  <si>
    <t>SALES_INORGANIC</t>
  </si>
  <si>
    <t>Pricing contribution to % sales growth</t>
  </si>
  <si>
    <t>SALES_PRICE</t>
  </si>
  <si>
    <t>Volume contribution to % sales growth</t>
  </si>
  <si>
    <t>SALES_VOLUME</t>
  </si>
  <si>
    <t>2H23</t>
  </si>
  <si>
    <t>SaaS</t>
  </si>
  <si>
    <t>USP</t>
  </si>
  <si>
    <t>Non-recurring revenue (GSe)</t>
  </si>
  <si>
    <t>Recurring revenue (GSe)</t>
  </si>
  <si>
    <t>Underlying EBITDA (fully expensed)</t>
  </si>
  <si>
    <t>Underlying EBITDA (post capitalisation)</t>
  </si>
  <si>
    <t>Opening Intangibles</t>
  </si>
  <si>
    <t>Closing Intangibles</t>
  </si>
  <si>
    <t>NPAT (pre capitalisation)</t>
  </si>
  <si>
    <t>Pre Cap EPS</t>
  </si>
  <si>
    <t>Payout ratio (incl special dividends) - on old EPS</t>
  </si>
  <si>
    <t>NOT IN USE</t>
  </si>
  <si>
    <t>1H25E</t>
  </si>
  <si>
    <t>2H25E</t>
  </si>
  <si>
    <t>2025 H1</t>
  </si>
  <si>
    <t>2025 H2</t>
  </si>
  <si>
    <t>Scalar|||208017981|||ISSR|||CURRENCY_ISO|||False|||</t>
  </si>
  <si>
    <t>V_KEYWORD_ISSR_208017981_CURRENCY_ISO</t>
  </si>
  <si>
    <t>Scalar|||208017981|||ISSR|||MA_PROB|||False|||</t>
  </si>
  <si>
    <t>V_KEYWORD_ISSR_208017981_MA_PROB</t>
  </si>
  <si>
    <t>Scalar|||208017981|||ISSR|||FX_USD_ASSUMPTION|||False|||</t>
  </si>
  <si>
    <t>V_KEYWORD_ISSR_208017981_FX_USD_ASSUMPTION</t>
  </si>
  <si>
    <t>Scalar|||208017981|||ISSR|||FX_EUR_ASSUMPTION|||False|||</t>
  </si>
  <si>
    <t>V_KEYWORD_ISSR_208017981_FX_EUR_ASSUMPTION</t>
  </si>
  <si>
    <t>Scalar|||208017981|||ISSR|||FX_AUD_ASSUMPTION|||False|||</t>
  </si>
  <si>
    <t>V_KEYWORD_ISSR_208017981_FX_AUD_ASSUMPTION</t>
  </si>
  <si>
    <t>Vector|||208017981|||ISSR|||SALES|||False|||</t>
  </si>
  <si>
    <t>V_KEYWORD_ISSR_208017981_SALES</t>
  </si>
  <si>
    <t>Vector|||208017981|||ISSR|||PERSONNEL|||False|||</t>
  </si>
  <si>
    <t>V_KEYWORD_ISSR_208017981_PERSONNEL</t>
  </si>
  <si>
    <t>Vector|||208017981|||ISSR|||COST_GD_SD|||False|||</t>
  </si>
  <si>
    <t>V_KEYWORD_ISSR_208017981_COST_GD_SD</t>
  </si>
  <si>
    <t>Vector|||208017981|||ISSR|||SEL_GL_AD|||False|||</t>
  </si>
  <si>
    <t>V_KEYWORD_ISSR_208017981_SEL_GL_AD</t>
  </si>
  <si>
    <t>Vector|||208017981|||ISSR|||OP_COST|||False|||</t>
  </si>
  <si>
    <t>V_KEYWORD_ISSR_208017981_OP_COST</t>
  </si>
  <si>
    <t>Vector|||208017981|||ISSR|||RD_EXP|||False|||</t>
  </si>
  <si>
    <t>V_KEYWORD_ISSR_208017981_RD_EXP</t>
  </si>
  <si>
    <t>Vector|||208017981|||ISSR|||OTH_OP_INC_EXP|||False|||</t>
  </si>
  <si>
    <t>V_KEYWORD_ISSR_208017981_OTH_OP_INC_EXP</t>
  </si>
  <si>
    <t>Vector|||208017981|||ISSR|||TOT_OPS_EXP_DDA|||False|||</t>
  </si>
  <si>
    <t>V_KEYWORD_ISSR_208017981_TOT_OPS_EXP_DDA</t>
  </si>
  <si>
    <t>Vector|||208017981|||ISSR|||TOT_OPS_EXP|||False|||</t>
  </si>
  <si>
    <t>V_KEYWORD_ISSR_208017981_TOT_OPS_EXP</t>
  </si>
  <si>
    <t>Vector|||208017981|||ISSR|||EBITDA_CALC|||False|||</t>
  </si>
  <si>
    <t>V_KEYWORD_ISSR_208017981_EBITDA_CALC</t>
  </si>
  <si>
    <t>Vector|||208017981|||ISSR|||DEPREC|||False|||</t>
  </si>
  <si>
    <t>V_KEYWORD_ISSR_208017981_DEPREC</t>
  </si>
  <si>
    <t>Vector|||208017981|||ISSR|||GOODWILL_AMORT|||False|||</t>
  </si>
  <si>
    <t>V_KEYWORD_ISSR_208017981_GOODWILL_AMORT</t>
  </si>
  <si>
    <t>Vector|||208017981|||ISSR|||EBIT|||False|||</t>
  </si>
  <si>
    <t>V_KEYWORD_ISSR_208017981_EBIT</t>
  </si>
  <si>
    <t>Vector|||208017981|||ISSR|||INT_INC_IND|||False|||</t>
  </si>
  <si>
    <t>V_KEYWORD_ISSR_208017981_INT_INC_IND</t>
  </si>
  <si>
    <t>Vector|||208017981|||ISSR|||INT_EXP_IND|||False|||</t>
  </si>
  <si>
    <t>V_KEYWORD_ISSR_208017981_INT_EXP_IND</t>
  </si>
  <si>
    <t>Vector|||208017981|||ISSR|||NET_INT_EXP|||False|||</t>
  </si>
  <si>
    <t>V_KEYWORD_ISSR_208017981_NET_INT_EXP</t>
  </si>
  <si>
    <t>Vector|||208017981|||ISSR|||ASSOCIATE|||False|||</t>
  </si>
  <si>
    <t>V_KEYWORD_ISSR_208017981_ASSOCIATE</t>
  </si>
  <si>
    <t>Vector|||208017981|||ISSR|||PROFIT_ON_DISP|||False|||</t>
  </si>
  <si>
    <t>V_KEYWORD_ISSR_208017981_PROFIT_ON_DISP</t>
  </si>
  <si>
    <t>Vector|||208017981|||ISSR|||OTH_COST_INC|||False|||</t>
  </si>
  <si>
    <t>V_KEYWORD_ISSR_208017981_OTH_COST_INC</t>
  </si>
  <si>
    <t>Vector|||208017981|||ISSR|||PT_PROF|||False|||</t>
  </si>
  <si>
    <t>V_KEYWORD_ISSR_208017981_PT_PROF</t>
  </si>
  <si>
    <t>Vector|||208017981|||ISSR|||DIVIDENDS_RECEIVED|||False|||</t>
  </si>
  <si>
    <t>V_KEYWORD_ISSR_208017981_DIVIDENDS_RECEIVED</t>
  </si>
  <si>
    <t>Vector|||208017981|||ISSR|||PROCEEDS_NCASSET|||False|||</t>
  </si>
  <si>
    <t>V_KEYWORD_ISSR_208017981_PROCEEDS_NCASSET</t>
  </si>
  <si>
    <t>Vector|||208017981|||ISSR|||TOTAL_OPR_REVENUE|||False|||</t>
  </si>
  <si>
    <t>V_KEYWORD_ISSR_208017981_TOTAL_OPR_REVENUE</t>
  </si>
  <si>
    <t>Vector|||208017981|||ISSR|||MARKETING_ADVERTISNIG|||False|||</t>
  </si>
  <si>
    <t>V_KEYWORD_ISSR_208017981_MARKETING_ADVERTISNIG</t>
  </si>
  <si>
    <t>Vector|||208017981|||ISSR|||ACCESS_CONNECTION|||False|||</t>
  </si>
  <si>
    <t>V_KEYWORD_ISSR_208017981_ACCESS_CONNECTION</t>
  </si>
  <si>
    <t>Vector|||208017981|||ISSR|||SEL_GL_AD_OTHER|||False|||</t>
  </si>
  <si>
    <t>V_KEYWORD_ISSR_208017981_SEL_GL_AD_OTHER</t>
  </si>
  <si>
    <t>Vector|||208017981|||ISSR|||LABOUR|||False|||</t>
  </si>
  <si>
    <t>V_KEYWORD_ISSR_208017981_LABOUR</t>
  </si>
  <si>
    <t>Vector|||208017981|||ISSR|||SHARE_BASED_PAYMENTS|||False|||</t>
  </si>
  <si>
    <t>V_KEYWORD_ISSR_208017981_SHARE_BASED_PAYMENTS</t>
  </si>
  <si>
    <t>Vector|||208017981|||ISSR|||EBITDA_CONSOLIDATED|||False|||</t>
  </si>
  <si>
    <t>V_KEYWORD_ISSR_208017981_EBITDA_CONSOLIDATED</t>
  </si>
  <si>
    <t>Vector|||208017981|||ISSR|||AMORT_OF_INTANGIBLES|||False|||</t>
  </si>
  <si>
    <t>V_KEYWORD_ISSR_208017981_AMORT_OF_INTANGIBLES</t>
  </si>
  <si>
    <t>Vector|||208017981|||ISSR|||AMORT_OF_INTANGIBLES_ADJ|||False|||</t>
  </si>
  <si>
    <t>V_KEYWORD_ISSR_208017981_AMORT_OF_INTANGIBLES_ADJ</t>
  </si>
  <si>
    <t>Vector|||208017981|||ISSR|||TOTAL_DEPREC_AMORT|||False|||</t>
  </si>
  <si>
    <t>V_KEYWORD_ISSR_208017981_TOTAL_DEPREC_AMORT</t>
  </si>
  <si>
    <t>Vector|||208017981|||ISSR|||EBIT_CONSOLIDATED_PRE_ASSOC|||False|||</t>
  </si>
  <si>
    <t>V_KEYWORD_ISSR_208017981_EBIT_CONSOLIDATED_PRE_ASSOC</t>
  </si>
  <si>
    <t>Vector|||208017981|||ISSR|||EBIT_CONSOLIDATED|||False|||</t>
  </si>
  <si>
    <t>V_KEYWORD_ISSR_208017981_EBIT_CONSOLIDATED</t>
  </si>
  <si>
    <t>Vector|||208017981|||ISSR|||OPPL_BTAX_EX_ASSOC|||False|||</t>
  </si>
  <si>
    <t>V_KEYWORD_ISSR_208017981_OPPL_BTAX_EX_ASSOC</t>
  </si>
  <si>
    <t>Vector|||208017981|||ISSR|||PL_BTAX_ON_AB|||False|||</t>
  </si>
  <si>
    <t>V_KEYWORD_ISSR_208017981_PL_BTAX_ON_AB</t>
  </si>
  <si>
    <t>Vector|||208017981|||ISSR|||PROFIT_DEFBEN_PLAN_PRE_TAX|||False|||</t>
  </si>
  <si>
    <t>V_KEYWORD_ISSR_208017981_PROFIT_DEFBEN_PLAN_PRE_TAX</t>
  </si>
  <si>
    <t>Vector|||208017981|||ISSR|||GWILL_ASSET_IMPAIR_CHG_PRE_TAX|||False|||</t>
  </si>
  <si>
    <t>V_KEYWORD_ISSR_208017981_GWILL_ASSET_IMPAIR_CHG_PRE_TAX</t>
  </si>
  <si>
    <t>Vector|||208017981|||ISSR|||OTHER_ASSET_IMPAIR_CHG_PRE_TAX|||False|||</t>
  </si>
  <si>
    <t>V_KEYWORD_ISSR_208017981_OTHER_ASSET_IMPAIR_CHG_PRE_TAX</t>
  </si>
  <si>
    <t>Vector|||208017981|||ISSR|||FIN_INSTRUMENT_HEDGE_PRE_TAX|||False|||</t>
  </si>
  <si>
    <t>V_KEYWORD_ISSR_208017981_FIN_INSTRUMENT_HEDGE_PRE_TAX</t>
  </si>
  <si>
    <t>Vector|||208017981|||ISSR|||OTHER_IFRS_ADJUST_PRE_TAX|||False|||</t>
  </si>
  <si>
    <t>V_KEYWORD_ISSR_208017981_OTHER_IFRS_ADJUST_PRE_TAX</t>
  </si>
  <si>
    <t>Vector|||208017981|||ISSR|||TOTAL_IFRS_ADJUST_PRE_TAX|||False|||</t>
  </si>
  <si>
    <t>V_KEYWORD_ISSR_208017981_TOTAL_IFRS_ADJUST_PRE_TAX</t>
  </si>
  <si>
    <t>Vector|||208017981|||ISSR|||PROFIT_DEFBEN_PLAN_POST_TAX|||False|||</t>
  </si>
  <si>
    <t>V_KEYWORD_ISSR_208017981_PROFIT_DEFBEN_PLAN_POST_TAX</t>
  </si>
  <si>
    <t>Vector|||208017981|||ISSR|||OPPL_BTAX_POST_AB|||False|||</t>
  </si>
  <si>
    <t>V_KEYWORD_ISSR_208017981_OPPL_BTAX_POST_AB</t>
  </si>
  <si>
    <t>Vector|||208017981|||ISSR|||LEASE_PAY|||False|||</t>
  </si>
  <si>
    <t>V_KEYWORD_ISSR_208017981_LEASE_PAY</t>
  </si>
  <si>
    <t>Vector|||208017981|||ISSR|||LEASE_DEEM_INT|||False|||</t>
  </si>
  <si>
    <t>V_KEYWORD_ISSR_208017981_LEASE_DEEM_INT</t>
  </si>
  <si>
    <t>Vector|||208017981|||ISSR|||LEASE_DEEM_DEPR|||False|||</t>
  </si>
  <si>
    <t>V_KEYWORD_ISSR_208017981_LEASE_DEEM_DEPR</t>
  </si>
  <si>
    <t>Vector|||208017981|||ISSR|||NET_INT_CH|||False|||</t>
  </si>
  <si>
    <t>V_KEYWORD_ISSR_208017981_NET_INT_CH</t>
  </si>
  <si>
    <t>Vector|||208017981|||ISSR|||ASSOCIATE_OP|||False|||</t>
  </si>
  <si>
    <t>V_KEYWORD_ISSR_208017981_ASSOCIATE_OP</t>
  </si>
  <si>
    <t>Vector|||208017981|||ISSR|||OTHER_REVENUE|||False|||</t>
  </si>
  <si>
    <t>V_KEYWORD_ISSR_208017981_OTHER_REVENUE</t>
  </si>
  <si>
    <t>Vector|||208017981|||ISSR|||FX_USD_NI_SENSITIVITY|||False|||</t>
  </si>
  <si>
    <t>V_KEYWORD_ISSR_208017981_FX_USD_NI_SENSITIVITY</t>
  </si>
  <si>
    <t>Vector|||208017981|||ISSR|||FX_EUR_NI_SENSITIVITY|||False|||</t>
  </si>
  <si>
    <t>V_KEYWORD_ISSR_208017981_FX_EUR_NI_SENSITIVITY</t>
  </si>
  <si>
    <t>Vector|||208017981|||ISSR|||FX_AUD_NI_SENSITIVITY|||False|||</t>
  </si>
  <si>
    <t>V_KEYWORD_ISSR_208017981_FX_AUD_NI_SENSITIVITY</t>
  </si>
  <si>
    <t>Vector|||208017981|||ISSR|||DEPR_ROU_ASSETS|||False|||</t>
  </si>
  <si>
    <t>V_KEYWORD_ISSR_208017981_DEPR_ROU_ASSETS</t>
  </si>
  <si>
    <t>Vector|||208017981|||ISSR|||LEASE_INT_CHG|||False|||</t>
  </si>
  <si>
    <t>V_KEYWORD_ISSR_208017981_LEASE_INT_CHG</t>
  </si>
  <si>
    <t>Scalar|||208017981|||ISSR|||LEASE_ADOPT|||False|||</t>
  </si>
  <si>
    <t>V_KEYWORD_ISSR_208017981_LEASE_ADOPT</t>
  </si>
  <si>
    <t>Vector|||208017981|||ISSR|||CASH_EQ|||False|||</t>
  </si>
  <si>
    <t>V_KEYWORD_ISSR_208017981_CASH_EQ</t>
  </si>
  <si>
    <t>Vector|||208017981|||ISSR|||DEBTORS|||False|||</t>
  </si>
  <si>
    <t>V_KEYWORD_ISSR_208017981_DEBTORS</t>
  </si>
  <si>
    <t>Vector|||208017981|||ISSR|||STOCKS|||False|||</t>
  </si>
  <si>
    <t>V_KEYWORD_ISSR_208017981_STOCKS</t>
  </si>
  <si>
    <t>Vector|||208017981|||ISSR|||OTH_CUR_ASS|||False|||</t>
  </si>
  <si>
    <t>V_KEYWORD_ISSR_208017981_OTH_CUR_ASS</t>
  </si>
  <si>
    <t>Vector|||208017981|||ISSR|||CUR_ASS|||False|||</t>
  </si>
  <si>
    <t>V_KEYWORD_ISSR_208017981_CUR_ASS</t>
  </si>
  <si>
    <t>Vector|||208017981|||ISSR|||GR_FIX_ASS|||False|||</t>
  </si>
  <si>
    <t>V_KEYWORD_ISSR_208017981_GR_FIX_ASS</t>
  </si>
  <si>
    <t>Vector|||208017981|||ISSR|||ACC_DDA|||False|||</t>
  </si>
  <si>
    <t>V_KEYWORD_ISSR_208017981_ACC_DDA</t>
  </si>
  <si>
    <t>Vector|||208017981|||ISSR|||NET_FIX_ASS|||False|||</t>
  </si>
  <si>
    <t>V_KEYWORD_ISSR_208017981_NET_FIX_ASS</t>
  </si>
  <si>
    <t>Vector|||208017981|||ISSR|||GR_INTANG|||False|||</t>
  </si>
  <si>
    <t>V_KEYWORD_ISSR_208017981_GR_INTANG</t>
  </si>
  <si>
    <t>Vector|||208017981|||ISSR|||ACC_AMORT|||False|||</t>
  </si>
  <si>
    <t>V_KEYWORD_ISSR_208017981_ACC_AMORT</t>
  </si>
  <si>
    <t>Vector|||208017981|||ISSR|||NET_INTANG|||False|||</t>
  </si>
  <si>
    <t>V_KEYWORD_ISSR_208017981_NET_INTANG</t>
  </si>
  <si>
    <t>Vector|||208017981|||ISSR|||FIX_ASS_INV|||False|||</t>
  </si>
  <si>
    <t>V_KEYWORD_ISSR_208017981_FIX_ASS_INV</t>
  </si>
  <si>
    <t>Vector|||208017981|||ISSR|||INV_SECUR|||False|||</t>
  </si>
  <si>
    <t>V_KEYWORD_ISSR_208017981_INV_SECUR</t>
  </si>
  <si>
    <t>Vector|||208017981|||ISSR|||OTH_LT_ASS|||False|||</t>
  </si>
  <si>
    <t>V_KEYWORD_ISSR_208017981_OTH_LT_ASS</t>
  </si>
  <si>
    <t>Vector|||208017981|||ISSR|||TOT_ASSET|||False|||</t>
  </si>
  <si>
    <t>V_KEYWORD_ISSR_208017981_TOT_ASSET</t>
  </si>
  <si>
    <t>Vector|||208017981|||ISSR|||ACC_PAY_GQ|||False|||</t>
  </si>
  <si>
    <t>V_KEYWORD_ISSR_208017981_ACC_PAY_GQ</t>
  </si>
  <si>
    <t>Vector|||208017981|||ISSR|||SHORT_T_DEBT|||False|||</t>
  </si>
  <si>
    <t>V_KEYWORD_ISSR_208017981_SHORT_T_DEBT</t>
  </si>
  <si>
    <t>Vector|||208017981|||ISSR|||ST_LEASE_LIAB|||False|||</t>
  </si>
  <si>
    <t>V_KEYWORD_ISSR_208017981_ST_LEASE_LIAB</t>
  </si>
  <si>
    <t>Vector|||208017981|||ISSR|||OTH_CUR_LIABS|||False|||</t>
  </si>
  <si>
    <t>V_KEYWORD_ISSR_208017981_OTH_CUR_LIABS</t>
  </si>
  <si>
    <t>Vector|||208017981|||ISSR|||SHORT_TERM_LIABS|||False|||</t>
  </si>
  <si>
    <t>V_KEYWORD_ISSR_208017981_SHORT_TERM_LIABS</t>
  </si>
  <si>
    <t>Vector|||208017981|||ISSR|||LT_DEBT|||False|||</t>
  </si>
  <si>
    <t>V_KEYWORD_ISSR_208017981_LT_DEBT</t>
  </si>
  <si>
    <t>Vector|||208017981|||ISSR|||LT_LEASE_LIAB|||False|||</t>
  </si>
  <si>
    <t>V_KEYWORD_ISSR_208017981_LT_LEASE_LIAB</t>
  </si>
  <si>
    <t>Vector|||208017981|||ISSR|||OTH_LT_CRED_GQ|||False|||</t>
  </si>
  <si>
    <t>V_KEYWORD_ISSR_208017981_OTH_LT_CRED_GQ</t>
  </si>
  <si>
    <t>Vector|||208017981|||ISSR|||TOT_LT_LIAB|||False|||</t>
  </si>
  <si>
    <t>V_KEYWORD_ISSR_208017981_TOT_LT_LIAB</t>
  </si>
  <si>
    <t>Vector|||208017981|||ISSR|||TOT_LIAB|||False|||</t>
  </si>
  <si>
    <t>V_KEYWORD_ISSR_208017981_TOT_LIAB</t>
  </si>
  <si>
    <t>Vector|||208017981|||ISSR|||PREF_SH|||False|||</t>
  </si>
  <si>
    <t>V_KEYWORD_ISSR_208017981_PREF_SH</t>
  </si>
  <si>
    <t>Vector|||208017981|||ISSR|||ORD_SH_FUND|||False|||</t>
  </si>
  <si>
    <t>V_KEYWORD_ISSR_208017981_ORD_SH_FUND</t>
  </si>
  <si>
    <t>Vector|||208017981|||ISSR|||MINORITIES|||False|||</t>
  </si>
  <si>
    <t>V_KEYWORD_ISSR_208017981_MINORITIES</t>
  </si>
  <si>
    <t>Vector|||208017981|||ISSR|||EQ|||False|||</t>
  </si>
  <si>
    <t>V_KEYWORD_ISSR_208017981_EQ</t>
  </si>
  <si>
    <t>Vector|||208017981|||ISSR|||TOT_LIAB_EQ|||False|||</t>
  </si>
  <si>
    <t>V_KEYWORD_ISSR_208017981_TOT_LIAB_EQ</t>
  </si>
  <si>
    <t>Vector|||208017981|||ISSR|||RESERVES|||False|||</t>
  </si>
  <si>
    <t>V_KEYWORD_ISSR_208017981_RESERVES</t>
  </si>
  <si>
    <t>Vector|||208017981|||ISSR|||RETAIN_PROFIT_LOSS|||False|||</t>
  </si>
  <si>
    <t>V_KEYWORD_ISSR_208017981_RETAIN_PROFIT_LOSS</t>
  </si>
  <si>
    <t>Vector|||208017981|||ISSR|||OTHER_RECEIVABLES|||False|||</t>
  </si>
  <si>
    <t>V_KEYWORD_ISSR_208017981_OTHER_RECEIVABLES</t>
  </si>
  <si>
    <t>Vector|||208017981|||ISSR|||INVESTMENTS|||False|||</t>
  </si>
  <si>
    <t>V_KEYWORD_ISSR_208017981_INVESTMENTS</t>
  </si>
  <si>
    <t>Vector|||208017981|||ISSR|||FIN_INSTR_HEDGE_CURRENT|||False|||</t>
  </si>
  <si>
    <t>V_KEYWORD_ISSR_208017981_FIN_INSTR_HEDGE_CURRENT</t>
  </si>
  <si>
    <t>Vector|||208017981|||ISSR|||CUR_ASS_MISC|||False|||</t>
  </si>
  <si>
    <t>V_KEYWORD_ISSR_208017981_CUR_ASS_MISC</t>
  </si>
  <si>
    <t>Vector|||208017981|||ISSR|||NCASSET_TRADE_DEBTORS|||False|||</t>
  </si>
  <si>
    <t>V_KEYWORD_ISSR_208017981_NCASSET_TRADE_DEBTORS</t>
  </si>
  <si>
    <t>Vector|||208017981|||ISSR|||NCASSET_RECEIVABLES|||False|||</t>
  </si>
  <si>
    <t>V_KEYWORD_ISSR_208017981_NCASSET_RECEIVABLES</t>
  </si>
  <si>
    <t>Vector|||208017981|||ISSR|||NCASSET_INVESTMENT|||False|||</t>
  </si>
  <si>
    <t>V_KEYWORD_ISSR_208017981_NCASSET_INVESTMENT</t>
  </si>
  <si>
    <t>Vector|||208017981|||ISSR|||NCASSET_INVENTORIES|||False|||</t>
  </si>
  <si>
    <t>V_KEYWORD_ISSR_208017981_NCASSET_INVENTORIES</t>
  </si>
  <si>
    <t>Vector|||208017981|||ISSR|||LAND_BUILDINGS|||False|||</t>
  </si>
  <si>
    <t>V_KEYWORD_ISSR_208017981_LAND_BUILDINGS</t>
  </si>
  <si>
    <t>Vector|||208017981|||ISSR|||PLANT_EQUIP|||False|||</t>
  </si>
  <si>
    <t>V_KEYWORD_ISSR_208017981_PLANT_EQUIP</t>
  </si>
  <si>
    <t>Vector|||208017981|||ISSR|||R_AND_D_CAP|||False|||</t>
  </si>
  <si>
    <t>V_KEYWORD_ISSR_208017981_R_AND_D_CAP</t>
  </si>
  <si>
    <t>Vector|||208017981|||ISSR|||GOODWILL_NET_AMNT|||False|||</t>
  </si>
  <si>
    <t>V_KEYWORD_ISSR_208017981_GOODWILL_NET_AMNT</t>
  </si>
  <si>
    <t>Vector|||208017981|||ISSR|||OTHER_INTANGIBLES_DEPREC|||False|||</t>
  </si>
  <si>
    <t>V_KEYWORD_ISSR_208017981_OTHER_INTANGIBLES_DEPREC</t>
  </si>
  <si>
    <t>Vector|||208017981|||ISSR|||OTHER_INTANGIBLES_NON_DEPREC|||False|||</t>
  </si>
  <si>
    <t>V_KEYWORD_ISSR_208017981_OTHER_INTANGIBLES_NON_DEPREC</t>
  </si>
  <si>
    <t>Vector|||208017981|||ISSR|||DEFINED_BENEFIT_SURPLUS|||False|||</t>
  </si>
  <si>
    <t>V_KEYWORD_ISSR_208017981_DEFINED_BENEFIT_SURPLUS</t>
  </si>
  <si>
    <t>Vector|||208017981|||ISSR|||FIN_INSTR_HEDGE_NON_CURRENT|||False|||</t>
  </si>
  <si>
    <t>V_KEYWORD_ISSR_208017981_FIN_INSTR_HEDGE_NON_CURRENT</t>
  </si>
  <si>
    <t>Vector|||208017981|||ISSR|||NCASSET_MISC|||False|||</t>
  </si>
  <si>
    <t>V_KEYWORD_ISSR_208017981_NCASSET_MISC</t>
  </si>
  <si>
    <t>Vector|||208017981|||ISSR|||TOTAL_NONCURR_ASSETS|||False|||</t>
  </si>
  <si>
    <t>V_KEYWORD_ISSR_208017981_TOTAL_NONCURR_ASSETS</t>
  </si>
  <si>
    <t>Vector|||208017981|||ISSR|||OTHER_CREDITORS|||False|||</t>
  </si>
  <si>
    <t>V_KEYWORD_ISSR_208017981_OTHER_CREDITORS</t>
  </si>
  <si>
    <t>Vector|||208017981|||ISSR|||BANK_ODRAFT|||False|||</t>
  </si>
  <si>
    <t>V_KEYWORD_ISSR_208017981_BANK_ODRAFT</t>
  </si>
  <si>
    <t>Vector|||208017981|||ISSR|||BORROWINGS|||False|||</t>
  </si>
  <si>
    <t>V_KEYWORD_ISSR_208017981_BORROWINGS</t>
  </si>
  <si>
    <t>Vector|||208017981|||ISSR|||PROVISIONS|||False|||</t>
  </si>
  <si>
    <t>V_KEYWORD_ISSR_208017981_PROVISIONS</t>
  </si>
  <si>
    <t>Vector|||208017981|||ISSR|||FIN_INSTR_HEDGE_CURR_LIABILITY|||False|||</t>
  </si>
  <si>
    <t>V_KEYWORD_ISSR_208017981_FIN_INSTR_HEDGE_CURR_LIABILITY</t>
  </si>
  <si>
    <t>Vector|||208017981|||ISSR|||CUR_LIABS_MISC|||False|||</t>
  </si>
  <si>
    <t>V_KEYWORD_ISSR_208017981_CUR_LIABS_MISC</t>
  </si>
  <si>
    <t>Vector|||208017981|||ISSR|||NCLIAB_TRADE_CREDITORS|||False|||</t>
  </si>
  <si>
    <t>V_KEYWORD_ISSR_208017981_NCLIAB_TRADE_CREDITORS</t>
  </si>
  <si>
    <t>Vector|||208017981|||ISSR|||NCLIAB_OTHER_CREDITORS|||False|||</t>
  </si>
  <si>
    <t>V_KEYWORD_ISSR_208017981_NCLIAB_OTHER_CREDITORS</t>
  </si>
  <si>
    <t>Vector|||208017981|||ISSR|||NCLIAB_PROVISIONS|||False|||</t>
  </si>
  <si>
    <t>V_KEYWORD_ISSR_208017981_NCLIAB_PROVISIONS</t>
  </si>
  <si>
    <t>Vector|||208017981|||ISSR|||DEFINED_BENEFIT_OBLIGATION|||False|||</t>
  </si>
  <si>
    <t>V_KEYWORD_ISSR_208017981_DEFINED_BENEFIT_OBLIGATION</t>
  </si>
  <si>
    <t>Vector|||208017981|||ISSR|||FIN_INSTR_HEDGE_NON_CURR_LIAB|||False|||</t>
  </si>
  <si>
    <t>V_KEYWORD_ISSR_208017981_FIN_INSTR_HEDGE_NON_CURR_LIAB</t>
  </si>
  <si>
    <t>Vector|||208017981|||ISSR|||NCLIAB_MISC|||False|||</t>
  </si>
  <si>
    <t>V_KEYWORD_ISSR_208017981_NCLIAB_MISC</t>
  </si>
  <si>
    <t>Vector|||208017981|||ISSR|||ORD_SHARE_CAPITAL|||False|||</t>
  </si>
  <si>
    <t>V_KEYWORD_ISSR_208017981_ORD_SHARE_CAPITAL</t>
  </si>
  <si>
    <t>Vector|||208017981|||ISSR|||NET_ASSETS|||False|||</t>
  </si>
  <si>
    <t>V_KEYWORD_ISSR_208017981_NET_ASSETS</t>
  </si>
  <si>
    <t>Vector|||208017981|||ISSR|||NET_TANGIBLE_ASSETS|||False|||</t>
  </si>
  <si>
    <t>V_KEYWORD_ISSR_208017981_NET_TANGIBLE_ASSETS</t>
  </si>
  <si>
    <t>Vector|||208017981|||ISSR|||TOT_USD_DEBT|||False|||</t>
  </si>
  <si>
    <t>V_KEYWORD_ISSR_208017981_TOT_USD_DEBT</t>
  </si>
  <si>
    <t>Vector|||208017981|||ISSR|||TOT_PCT_USD_DEBT_HEDGED|||False|||</t>
  </si>
  <si>
    <t>V_KEYWORD_ISSR_208017981_TOT_PCT_USD_DEBT_HEDGED</t>
  </si>
  <si>
    <t>Vector|||208017981|||ISSR|||FLOATING_PCT_LOCAL_DEBT|||False|||</t>
  </si>
  <si>
    <t>V_KEYWORD_ISSR_208017981_FLOATING_PCT_LOCAL_DEBT</t>
  </si>
  <si>
    <t>Vector|||208017981|||ISSR|||FLOATING_PCT_LOCAL_DEBT_HEDGED|||False|||</t>
  </si>
  <si>
    <t>V_KEYWORD_ISSR_208017981_FLOATING_PCT_LOCAL_DEBT_HEDGED</t>
  </si>
  <si>
    <t>Vector|||208017981|||ISSR|||NET_DEBT|||False|||</t>
  </si>
  <si>
    <t>V_KEYWORD_ISSR_208017981_NET_DEBT</t>
  </si>
  <si>
    <t>Vector|||208017981|||ISSR|||CAP_LEASES|||False|||</t>
  </si>
  <si>
    <t>V_KEYWORD_ISSR_208017981_CAP_LEASES</t>
  </si>
  <si>
    <t>Vector|||208017981|||ISSR|||DEF_INC_TAX|||False|||</t>
  </si>
  <si>
    <t>V_KEYWORD_ISSR_208017981_DEF_INC_TAX</t>
  </si>
  <si>
    <t>Vector|||208017981|||ISSR|||MV_ASSOCIATES|||False|||</t>
  </si>
  <si>
    <t>V_KEYWORD_ISSR_208017981_MV_ASSOCIATES</t>
  </si>
  <si>
    <t>Vector|||208017981|||ISSR|||NET_DEBT_ADJ|||False|||</t>
  </si>
  <si>
    <t>V_KEYWORD_ISSR_208017981_NET_DEBT_ADJ</t>
  </si>
  <si>
    <t>Vector|||208017981|||ISSR|||CO_BOR_MARGIN|||False|||</t>
  </si>
  <si>
    <t>V_KEYWORD_ISSR_208017981_CO_BOR_MARGIN</t>
  </si>
  <si>
    <t>Vector|||208017981|||ISSR|||UNF_PENS|||False|||</t>
  </si>
  <si>
    <t>V_KEYWORD_ISSR_208017981_UNF_PENS</t>
  </si>
  <si>
    <t>Vector|||208017981|||ISSR|||UNF_PENS_OFF|||False|||</t>
  </si>
  <si>
    <t>V_KEYWORD_ISSR_208017981_UNF_PENS_OFF</t>
  </si>
  <si>
    <t>Vector|||208017981|||ISSR|||UNF_PENS_LIAB_OTH|||False|||</t>
  </si>
  <si>
    <t>V_KEYWORD_ISSR_208017981_UNF_PENS_LIAB_OTH</t>
  </si>
  <si>
    <t>Vector|||208017981|||ISSR|||ADJ_UNF_PENS_GOOD|||False|||</t>
  </si>
  <si>
    <t>V_KEYWORD_ISSR_208017981_ADJ_UNF_PENS_GOOD</t>
  </si>
  <si>
    <t>Vector|||208017981|||ISSR|||OTH_GCI_ADJ|||False|||</t>
  </si>
  <si>
    <t>V_KEYWORD_ISSR_208017981_OTH_GCI_ADJ</t>
  </si>
  <si>
    <t>Vector|||208017981|||ISSR|||GCI_INFL|||False|||</t>
  </si>
  <si>
    <t>V_KEYWORD_ISSR_208017981_GCI_INFL</t>
  </si>
  <si>
    <t>Vector|||208017981|||ISSR|||BAL_MINO_INT|||False|||</t>
  </si>
  <si>
    <t>V_KEYWORD_ISSR_208017981_BAL_MINO_INT</t>
  </si>
  <si>
    <t>Vector|||208017981|||ISSR|||ROU_ASSET|||False|||</t>
  </si>
  <si>
    <t>V_KEYWORD_ISSR_208017981_ROU_ASSET</t>
  </si>
  <si>
    <t>Vector|||208017981|||ISSR|||CF_INC_MINORITY|||False|||</t>
  </si>
  <si>
    <t>V_KEYWORD_ISSR_208017981_CF_INC_MINORITY</t>
  </si>
  <si>
    <t>Vector|||208017981|||ISSR|||DEPR_AMORT|||False|||</t>
  </si>
  <si>
    <t>V_KEYWORD_ISSR_208017981_DEPR_AMORT</t>
  </si>
  <si>
    <t>Vector|||208017981|||ISSR|||WORK_CAP|||False|||</t>
  </si>
  <si>
    <t>V_KEYWORD_ISSR_208017981_WORK_CAP</t>
  </si>
  <si>
    <t>Vector|||208017981|||ISSR|||OTH_OP_CF|||False|||</t>
  </si>
  <si>
    <t>V_KEYWORD_ISSR_208017981_OTH_OP_CF</t>
  </si>
  <si>
    <t>Vector|||208017981|||ISSR|||CF_OPS|||False|||</t>
  </si>
  <si>
    <t>V_KEYWORD_ISSR_208017981_CF_OPS</t>
  </si>
  <si>
    <t>Vector|||208017981|||ISSR|||CAPEX|||False|||</t>
  </si>
  <si>
    <t>V_KEYWORD_ISSR_208017981_CAPEX</t>
  </si>
  <si>
    <t>Vector|||208017981|||ISSR|||ACQ|||False|||</t>
  </si>
  <si>
    <t>V_KEYWORD_ISSR_208017981_ACQ</t>
  </si>
  <si>
    <t>Vector|||208017981|||ISSR|||DIVEST|||False|||</t>
  </si>
  <si>
    <t>V_KEYWORD_ISSR_208017981_DIVEST</t>
  </si>
  <si>
    <t>Vector|||208017981|||ISSR|||OTH_INV_CF|||False|||</t>
  </si>
  <si>
    <t>V_KEYWORD_ISSR_208017981_OTH_INV_CF</t>
  </si>
  <si>
    <t>Vector|||208017981|||ISSR|||CF_INV|||False|||</t>
  </si>
  <si>
    <t>V_KEYWORD_ISSR_208017981_CF_INV</t>
  </si>
  <si>
    <t>Vector|||208017981|||ISSR|||DIV_PAID|||False|||</t>
  </si>
  <si>
    <t>V_KEYWORD_ISSR_208017981_DIV_PAID</t>
  </si>
  <si>
    <t>Vector|||208017981|||ISSR|||SH_REPUR|||False|||</t>
  </si>
  <si>
    <t>V_KEYWORD_ISSR_208017981_SH_REPUR</t>
  </si>
  <si>
    <t>Vector|||208017981|||ISSR|||CHG_LT_DEBT|||False|||</t>
  </si>
  <si>
    <t>V_KEYWORD_ISSR_208017981_CHG_LT_DEBT</t>
  </si>
  <si>
    <t>Vector|||208017981|||ISSR|||LEASE_PRINCIPAL_CASH|||False|||</t>
  </si>
  <si>
    <t>V_KEYWORD_ISSR_208017981_LEASE_PRINCIPAL_CASH</t>
  </si>
  <si>
    <t>Vector|||208017981|||ISSR|||OTH_FIN_CF|||False|||</t>
  </si>
  <si>
    <t>V_KEYWORD_ISSR_208017981_OTH_FIN_CF</t>
  </si>
  <si>
    <t>Vector|||208017981|||ISSR|||CF_FIN|||False|||</t>
  </si>
  <si>
    <t>V_KEYWORD_ISSR_208017981_CF_FIN</t>
  </si>
  <si>
    <t>Vector|||208017981|||ISSR|||CF_FX|||False|||</t>
  </si>
  <si>
    <t>V_KEYWORD_ISSR_208017981_CF_FX</t>
  </si>
  <si>
    <t>Vector|||208017981|||ISSR|||TOT_CF|||False|||</t>
  </si>
  <si>
    <t>V_KEYWORD_ISSR_208017981_TOT_CF</t>
  </si>
  <si>
    <t>Vector|||208017981|||ISSR|||CUSTOMER_RECEIPTS|||False|||</t>
  </si>
  <si>
    <t>V_KEYWORD_ISSR_208017981_CUSTOMER_RECEIPTS</t>
  </si>
  <si>
    <t>Vector|||208017981|||ISSR|||SUPPLIER_EMPLOYEE_PAYS|||False|||</t>
  </si>
  <si>
    <t>V_KEYWORD_ISSR_208017981_SUPPLIER_EMPLOYEE_PAYS</t>
  </si>
  <si>
    <t>Vector|||208017981|||ISSR|||INT_OTHERS_RECEIVED|||False|||</t>
  </si>
  <si>
    <t>V_KEYWORD_ISSR_208017981_INT_OTHERS_RECEIVED</t>
  </si>
  <si>
    <t>Vector|||208017981|||ISSR|||CF_OPS_MISC|||False|||</t>
  </si>
  <si>
    <t>V_KEYWORD_ISSR_208017981_CF_OPS_MISC</t>
  </si>
  <si>
    <t>Vector|||208017981|||ISSR|||PROCEEDS_PURCH_OPER_BUS|||False|||</t>
  </si>
  <si>
    <t>V_KEYWORD_ISSR_208017981_PROCEEDS_PURCH_OPER_BUS</t>
  </si>
  <si>
    <t>Vector|||208017981|||ISSR|||PURCH_EQUITY_INVESTS|||False|||</t>
  </si>
  <si>
    <t>V_KEYWORD_ISSR_208017981_PURCH_EQUITY_INVESTS</t>
  </si>
  <si>
    <t>Vector|||208017981|||ISSR|||SALE_PROP_PLANT_EQUIP|||False|||</t>
  </si>
  <si>
    <t>V_KEYWORD_ISSR_208017981_SALE_PROP_PLANT_EQUIP</t>
  </si>
  <si>
    <t>Vector|||208017981|||ISSR|||PROCEEDS_SALE_EQUITY_INV|||False|||</t>
  </si>
  <si>
    <t>V_KEYWORD_ISSR_208017981_PROCEEDS_SALE_EQUITY_INV</t>
  </si>
  <si>
    <t>Vector|||208017981|||ISSR|||PROCEEDS_SALE_OPER_BUS|||False|||</t>
  </si>
  <si>
    <t>V_KEYWORD_ISSR_208017981_PROCEEDS_SALE_OPER_BUS</t>
  </si>
  <si>
    <t>Vector|||208017981|||ISSR|||LOANS_OTHER_ENTITIES|||False|||</t>
  </si>
  <si>
    <t>V_KEYWORD_ISSR_208017981_LOANS_OTHER_ENTITIES</t>
  </si>
  <si>
    <t>Vector|||208017981|||ISSR|||LOAN_REPAID_OTHER_ENTS|||False|||</t>
  </si>
  <si>
    <t>V_KEYWORD_ISSR_208017981_LOAN_REPAID_OTHER_ENTS</t>
  </si>
  <si>
    <t>Vector|||208017981|||ISSR|||CF_INV_MISC|||False|||</t>
  </si>
  <si>
    <t>V_KEYWORD_ISSR_208017981_CF_INV_MISC</t>
  </si>
  <si>
    <t>Vector|||208017981|||ISSR|||PROCEEDS_BORROWINGS|||False|||</t>
  </si>
  <si>
    <t>V_KEYWORD_ISSR_208017981_PROCEEDS_BORROWINGS</t>
  </si>
  <si>
    <t>Vector|||208017981|||ISSR|||REPAY_BORROWINGS|||False|||</t>
  </si>
  <si>
    <t>V_KEYWORD_ISSR_208017981_REPAY_BORROWINGS</t>
  </si>
  <si>
    <t>Vector|||208017981|||ISSR|||ASSOC_JV_ADDBK|||False|||</t>
  </si>
  <si>
    <t>V_KEYWORD_ISSR_208017981_ASSOC_JV_ADDBK</t>
  </si>
  <si>
    <t>Vector|||208017981|||ISSR|||PL_SALE_ASSETS|||False|||</t>
  </si>
  <si>
    <t>V_KEYWORD_ISSR_208017981_PL_SALE_ASSETS</t>
  </si>
  <si>
    <t>Vector|||208017981|||ISSR|||OTH_NONCASH_ADJ|||False|||</t>
  </si>
  <si>
    <t>V_KEYWORD_ISSR_208017981_OTH_NONCASH_ADJ</t>
  </si>
  <si>
    <t>Vector|||208017981|||ISSR|||OTH_DACF_ADJ|||False|||</t>
  </si>
  <si>
    <t>V_KEYWORD_ISSR_208017981_OTH_DACF_ADJ</t>
  </si>
  <si>
    <t>Vector|||208017981|||ISSR|||CASH_INT_EXP|||False|||</t>
  </si>
  <si>
    <t>V_KEYWORD_ISSR_208017981_CASH_INT_EXP</t>
  </si>
  <si>
    <t>Vector|||208017981|||ISSR|||CASH_TAX_EXP|||False|||</t>
  </si>
  <si>
    <t>V_KEYWORD_ISSR_208017981_CASH_TAX_EXP</t>
  </si>
  <si>
    <t>Vector|||208017981|||ISSR|||DIVDS_ASSOC_JV|||False|||</t>
  </si>
  <si>
    <t>V_KEYWORD_ISSR_208017981_DIVDS_ASSOC_JV</t>
  </si>
  <si>
    <t>Vector|||208017981|||ISSR|||CAPEX_MAINTENANCE|||False|||</t>
  </si>
  <si>
    <t>V_KEYWORD_ISSR_208017981_CAPEX_MAINTENANCE</t>
  </si>
  <si>
    <t>Vector|||208017981|||ISSR|||CAPEX_EXPANSION|||False|||</t>
  </si>
  <si>
    <t>V_KEYWORD_ISSR_208017981_CAPEX_EXPANSION</t>
  </si>
  <si>
    <t>Vector|||208017981|||ISSR|||NONPPE_CAPEX|||False|||</t>
  </si>
  <si>
    <t>V_KEYWORD_ISSR_208017981_NONPPE_CAPEX</t>
  </si>
  <si>
    <t>Vector|||208017981|||ISSR|||DIVDS_PD_MINORITIES|||False|||</t>
  </si>
  <si>
    <t>V_KEYWORD_ISSR_208017981_DIVDS_PD_MINORITIES</t>
  </si>
  <si>
    <t>Vector|||208017981|||ISSR|||EMPLOYEES|||False|||</t>
  </si>
  <si>
    <t>V_KEYWORD_ISSR_208017981_EMPLOYEES</t>
  </si>
  <si>
    <t>Vector|||208017981|||ISSR|||BAL_OF_FRANK_CREDITS|||False|||</t>
  </si>
  <si>
    <t>V_KEYWORD_ISSR_208017981_BAL_OF_FRANK_CREDITS</t>
  </si>
  <si>
    <t>Vector|||208017981|||ISSR|||MV_NET_OTHER_STAKEHOLDERS|||False|||</t>
  </si>
  <si>
    <t>V_KEYWORD_ISSR_208017981_MV_NET_OTHER_STAKEHOLDERS</t>
  </si>
  <si>
    <t>Vector|||208017981|||ISSR|||MV_CONVERTIBLE_NOTES|||False|||</t>
  </si>
  <si>
    <t>V_KEYWORD_ISSR_208017981_MV_CONVERTIBLE_NOTES</t>
  </si>
  <si>
    <t>Vector|||208017981|||ISSR|||TV_LICENCES_MASTERHEADS|||False|||</t>
  </si>
  <si>
    <t>V_KEYWORD_ISSR_208017981_TV_LICENCES_MASTERHEADS</t>
  </si>
  <si>
    <t>Scalar|||208017981|||ISSR|||COST_OF_DEBT_DCF|||False|||</t>
  </si>
  <si>
    <t>V_KEYWORD_ISSR_208017981_COST_OF_DEBT_DCF</t>
  </si>
  <si>
    <t>Scalar|||208017981|||ISSR|||DEBT_TO_EQUITY_MKT_VALUES_DCF|||False|||</t>
  </si>
  <si>
    <t>V_KEYWORD_ISSR_208017981_DEBT_TO_EQUITY_MKT_VALUES_DCF</t>
  </si>
  <si>
    <t>Vector|||208017981|||ISSR|||TOTAL_CAPITAL_EMPLOYED_ADJ|||False|||</t>
  </si>
  <si>
    <t>V_KEYWORD_ISSR_208017981_TOTAL_CAPITAL_EMPLOYED_ADJ</t>
  </si>
  <si>
    <t>Vector|||208017981|||ISSR|||AVG_CAPITAL_EMPLOYED_ADJ|||False|||</t>
  </si>
  <si>
    <t>V_KEYWORD_ISSR_208017981_AVG_CAPITAL_EMPLOYED_ADJ</t>
  </si>
  <si>
    <t>Vector|||208017981|||ISSR|||SALES_CANADA|||False|||</t>
  </si>
  <si>
    <t>V_KEYWORD_ISSR_208017981_SALES_CANADA</t>
  </si>
  <si>
    <t>Vector|||208017981|||ISSR|||SALES_US|||False|||</t>
  </si>
  <si>
    <t>V_KEYWORD_ISSR_208017981_SALES_US</t>
  </si>
  <si>
    <t>Vector|||208017981|||ISSR|||SALES_OTH_NO_AMER|||False|||</t>
  </si>
  <si>
    <t>V_KEYWORD_ISSR_208017981_SALES_OTH_NO_AMER</t>
  </si>
  <si>
    <t>Vector|||208017981|||ISSR|||SALES_ARGENTINA|||False|||</t>
  </si>
  <si>
    <t>V_KEYWORD_ISSR_208017981_SALES_ARGENTINA</t>
  </si>
  <si>
    <t>Vector|||208017981|||ISSR|||SALES_BRAZIL|||False|||</t>
  </si>
  <si>
    <t>V_KEYWORD_ISSR_208017981_SALES_BRAZIL</t>
  </si>
  <si>
    <t>Vector|||208017981|||ISSR|||SALES_CHILE|||False|||</t>
  </si>
  <si>
    <t>V_KEYWORD_ISSR_208017981_SALES_CHILE</t>
  </si>
  <si>
    <t>Vector|||208017981|||ISSR|||SALES_COLOMBIA|||False|||</t>
  </si>
  <si>
    <t>V_KEYWORD_ISSR_208017981_SALES_COLOMBIA</t>
  </si>
  <si>
    <t>Vector|||208017981|||ISSR|||SALES_MEXICO|||False|||</t>
  </si>
  <si>
    <t>V_KEYWORD_ISSR_208017981_SALES_MEXICO</t>
  </si>
  <si>
    <t>Vector|||208017981|||ISSR|||SALES_VENEZUELA|||False|||</t>
  </si>
  <si>
    <t>V_KEYWORD_ISSR_208017981_SALES_VENEZUELA</t>
  </si>
  <si>
    <t>Vector|||208017981|||ISSR|||SALES_OTH_LATAM|||False|||</t>
  </si>
  <si>
    <t>V_KEYWORD_ISSR_208017981_SALES_OTH_LATAM</t>
  </si>
  <si>
    <t>Vector|||208017981|||ISSR|||SALES_AUSTRIA|||False|||</t>
  </si>
  <si>
    <t>V_KEYWORD_ISSR_208017981_SALES_AUSTRIA</t>
  </si>
  <si>
    <t>Vector|||208017981|||ISSR|||SALES_BEL|||False|||</t>
  </si>
  <si>
    <t>V_KEYWORD_ISSR_208017981_SALES_BEL</t>
  </si>
  <si>
    <t>Vector|||208017981|||ISSR|||SALES_FRA|||False|||</t>
  </si>
  <si>
    <t>V_KEYWORD_ISSR_208017981_SALES_FRA</t>
  </si>
  <si>
    <t>Vector|||208017981|||ISSR|||SALES_GER|||False|||</t>
  </si>
  <si>
    <t>V_KEYWORD_ISSR_208017981_SALES_GER</t>
  </si>
  <si>
    <t>Vector|||208017981|||ISSR|||SALES_GRE|||False|||</t>
  </si>
  <si>
    <t>V_KEYWORD_ISSR_208017981_SALES_GRE</t>
  </si>
  <si>
    <t>Vector|||208017981|||ISSR|||SALES_IRE|||False|||</t>
  </si>
  <si>
    <t>V_KEYWORD_ISSR_208017981_SALES_IRE</t>
  </si>
  <si>
    <t>Vector|||208017981|||ISSR|||SALES_ITA|||False|||</t>
  </si>
  <si>
    <t>V_KEYWORD_ISSR_208017981_SALES_ITA</t>
  </si>
  <si>
    <t>Vector|||208017981|||ISSR|||SALES_NETH|||False|||</t>
  </si>
  <si>
    <t>V_KEYWORD_ISSR_208017981_SALES_NETH</t>
  </si>
  <si>
    <t>Vector|||208017981|||ISSR|||SALES_NOR|||False|||</t>
  </si>
  <si>
    <t>V_KEYWORD_ISSR_208017981_SALES_NOR</t>
  </si>
  <si>
    <t>Vector|||208017981|||ISSR|||SALES_POR|||False|||</t>
  </si>
  <si>
    <t>V_KEYWORD_ISSR_208017981_SALES_POR</t>
  </si>
  <si>
    <t>Vector|||208017981|||ISSR|||SALES_SPA|||False|||</t>
  </si>
  <si>
    <t>V_KEYWORD_ISSR_208017981_SALES_SPA</t>
  </si>
  <si>
    <t>Vector|||208017981|||ISSR|||SALES_SWE|||False|||</t>
  </si>
  <si>
    <t>V_KEYWORD_ISSR_208017981_SALES_SWE</t>
  </si>
  <si>
    <t>Vector|||208017981|||ISSR|||SALES_SWIT|||False|||</t>
  </si>
  <si>
    <t>V_KEYWORD_ISSR_208017981_SALES_SWIT</t>
  </si>
  <si>
    <t>Vector|||208017981|||ISSR|||SALES_UK|||False|||</t>
  </si>
  <si>
    <t>V_KEYWORD_ISSR_208017981_SALES_UK</t>
  </si>
  <si>
    <t>Vector|||208017981|||ISSR|||SALES_OTH_WEST_EURO|||False|||</t>
  </si>
  <si>
    <t>V_KEYWORD_ISSR_208017981_SALES_OTH_WEST_EURO</t>
  </si>
  <si>
    <t>Vector|||208017981|||ISSR|||SALES_POLAND|||False|||</t>
  </si>
  <si>
    <t>V_KEYWORD_ISSR_208017981_SALES_POLAND</t>
  </si>
  <si>
    <t>Vector|||208017981|||ISSR|||SALES_RUSSIA|||False|||</t>
  </si>
  <si>
    <t>V_KEYWORD_ISSR_208017981_SALES_RUSSIA</t>
  </si>
  <si>
    <t>Vector|||208017981|||ISSR|||SALES_TURKEY|||False|||</t>
  </si>
  <si>
    <t>V_KEYWORD_ISSR_208017981_SALES_TURKEY</t>
  </si>
  <si>
    <t>Vector|||208017981|||ISSR|||SALES_OTH_CEE|||False|||</t>
  </si>
  <si>
    <t>V_KEYWORD_ISSR_208017981_SALES_OTH_CEE</t>
  </si>
  <si>
    <t>Vector|||208017981|||ISSR|||SALES_SAUDI_ARABIA|||False|||</t>
  </si>
  <si>
    <t>V_KEYWORD_ISSR_208017981_SALES_SAUDI_ARABIA</t>
  </si>
  <si>
    <t>Vector|||208017981|||ISSR|||SALES_UAE|||False|||</t>
  </si>
  <si>
    <t>V_KEYWORD_ISSR_208017981_SALES_UAE</t>
  </si>
  <si>
    <t>Vector|||208017981|||ISSR|||SALES_OTH_ME|||False|||</t>
  </si>
  <si>
    <t>V_KEYWORD_ISSR_208017981_SALES_OTH_ME</t>
  </si>
  <si>
    <t>Vector|||208017981|||ISSR|||SALES_NIGERIA|||False|||</t>
  </si>
  <si>
    <t>V_KEYWORD_ISSR_208017981_SALES_NIGERIA</t>
  </si>
  <si>
    <t>Vector|||208017981|||ISSR|||SALES_SO_AFRICA|||False|||</t>
  </si>
  <si>
    <t>V_KEYWORD_ISSR_208017981_SALES_SO_AFRICA</t>
  </si>
  <si>
    <t>Vector|||208017981|||ISSR|||SALES_OTH_AFRICA|||False|||</t>
  </si>
  <si>
    <t>V_KEYWORD_ISSR_208017981_SALES_OTH_AFRICA</t>
  </si>
  <si>
    <t>Vector|||208017981|||ISSR|||SALES_HONG_KONG|||False|||</t>
  </si>
  <si>
    <t>V_KEYWORD_ISSR_208017981_SALES_HONG_KONG</t>
  </si>
  <si>
    <t>Vector|||208017981|||ISSR|||SALES_JAPAN|||False|||</t>
  </si>
  <si>
    <t>V_KEYWORD_ISSR_208017981_SALES_JAPAN</t>
  </si>
  <si>
    <t>Vector|||208017981|||ISSR|||SALES_SINGAPORE|||False|||</t>
  </si>
  <si>
    <t>V_KEYWORD_ISSR_208017981_SALES_SINGAPORE</t>
  </si>
  <si>
    <t>Vector|||208017981|||ISSR|||SALES_SK|||False|||</t>
  </si>
  <si>
    <t>V_KEYWORD_ISSR_208017981_SALES_SK</t>
  </si>
  <si>
    <t>Vector|||208017981|||ISSR|||SALES_TAIWAN|||False|||</t>
  </si>
  <si>
    <t>V_KEYWORD_ISSR_208017981_SALES_TAIWAN</t>
  </si>
  <si>
    <t>Vector|||208017981|||ISSR|||SALES_OTH_DEV_ASIA|||False|||</t>
  </si>
  <si>
    <t>V_KEYWORD_ISSR_208017981_SALES_OTH_DEV_ASIA</t>
  </si>
  <si>
    <t>Vector|||208017981|||ISSR|||SALES_CHINA|||False|||</t>
  </si>
  <si>
    <t>V_KEYWORD_ISSR_208017981_SALES_CHINA</t>
  </si>
  <si>
    <t>Vector|||208017981|||ISSR|||SALES_INDIA|||False|||</t>
  </si>
  <si>
    <t>V_KEYWORD_ISSR_208017981_SALES_INDIA</t>
  </si>
  <si>
    <t>Vector|||208017981|||ISSR|||SALES_INDONESIA|||False|||</t>
  </si>
  <si>
    <t>V_KEYWORD_ISSR_208017981_SALES_INDONESIA</t>
  </si>
  <si>
    <t>Vector|||208017981|||ISSR|||SALES_THAILAND|||False|||</t>
  </si>
  <si>
    <t>V_KEYWORD_ISSR_208017981_SALES_THAILAND</t>
  </si>
  <si>
    <t>Vector|||208017981|||ISSR|||SALES_OTH_EMERG_ASIA|||False|||</t>
  </si>
  <si>
    <t>V_KEYWORD_ISSR_208017981_SALES_OTH_EMERG_ASIA</t>
  </si>
  <si>
    <t>Vector|||208017981|||ISSR|||SALES_AUSTRA|||False|||</t>
  </si>
  <si>
    <t>V_KEYWORD_ISSR_208017981_SALES_AUSTRA</t>
  </si>
  <si>
    <t>Vector|||208017981|||ISSR|||SALES_NZ|||False|||</t>
  </si>
  <si>
    <t>V_KEYWORD_ISSR_208017981_SALES_NZ</t>
  </si>
  <si>
    <t>Vector|||208017981|||ISSR|||SALES_OTHER|||False|||</t>
  </si>
  <si>
    <t>V_KEYWORD_ISSR_208017981_SALES_OTHER</t>
  </si>
  <si>
    <t>Vector|||208017981|||ISSR|||COGS_PCT_US|||False|||</t>
  </si>
  <si>
    <t>V_KEYWORD_ISSR_208017981_COGS_PCT_US</t>
  </si>
  <si>
    <t>Vector|||208017981|||ISSR|||COGS_PCT_ROW|||False|||</t>
  </si>
  <si>
    <t>V_KEYWORD_ISSR_208017981_COGS_PCT_ROW</t>
  </si>
  <si>
    <t>Vector|||208017981|||ISSR|||SGA_PCT_US|||False|||</t>
  </si>
  <si>
    <t>V_KEYWORD_ISSR_208017981_SGA_PCT_US</t>
  </si>
  <si>
    <t>Vector|||208017981|||ISSR|||SGA_PCT_ROW|||False|||</t>
  </si>
  <si>
    <t>V_KEYWORD_ISSR_208017981_SGA_PCT_ROW</t>
  </si>
  <si>
    <t>Vector|||208017981|||ISSR|||SALES_CONS|||False|||</t>
  </si>
  <si>
    <t>V_KEYWORD_ISSR_208017981_SALES_CONS</t>
  </si>
  <si>
    <t>Vector|||208017981|||ISSR|||SALES_IND|||False|||</t>
  </si>
  <si>
    <t>V_KEYWORD_ISSR_208017981_SALES_IND</t>
  </si>
  <si>
    <t>Vector|||208017981|||ISSR|||SALES_GOV|||False|||</t>
  </si>
  <si>
    <t>V_KEYWORD_ISSR_208017981_SALES_GOV</t>
  </si>
  <si>
    <t>Vector|||208017981|||ISSR|||SALES_FINAN|||False|||</t>
  </si>
  <si>
    <t>V_KEYWORD_ISSR_208017981_SALES_FINAN</t>
  </si>
  <si>
    <t>Vector|||208017981|||ISSR|||SALES_OIL_GAS|||False|||</t>
  </si>
  <si>
    <t>V_KEYWORD_ISSR_208017981_SALES_OIL_GAS</t>
  </si>
  <si>
    <t>Vector|||208017981|||ISSR|||EXP_OIL_PETRO_FUEL|||False|||</t>
  </si>
  <si>
    <t>V_KEYWORD_ISSR_208017981_EXP_OIL_PETRO_FUEL</t>
  </si>
  <si>
    <t>Vector|||208017981|||ISSR|||EXP_OIL_DERIV_NGLS_PLASTICS|||False|||</t>
  </si>
  <si>
    <t>V_KEYWORD_ISSR_208017981_EXP_OIL_DERIV_NGLS_PLASTICS</t>
  </si>
  <si>
    <t>Vector|||208017981|||ISSR|||SALES_FX_GPB|||False|||</t>
  </si>
  <si>
    <t>V_KEYWORD_ISSR_208017981_SALES_FX_GPB</t>
  </si>
  <si>
    <t>Vector|||208017981|||ISSR|||SALES_FX_EUR|||False|||</t>
  </si>
  <si>
    <t>V_KEYWORD_ISSR_208017981_SALES_FX_EUR</t>
  </si>
  <si>
    <t>Vector|||208017981|||ISSR|||SALES_FX_RUB|||False|||</t>
  </si>
  <si>
    <t>V_KEYWORD_ISSR_208017981_SALES_FX_RUB</t>
  </si>
  <si>
    <t>Vector|||208017981|||ISSR|||SALES_FX_USD|||False|||</t>
  </si>
  <si>
    <t>V_KEYWORD_ISSR_208017981_SALES_FX_USD</t>
  </si>
  <si>
    <t>Vector|||208017981|||ISSR|||SALES_FX_BRL|||False|||</t>
  </si>
  <si>
    <t>V_KEYWORD_ISSR_208017981_SALES_FX_BRL</t>
  </si>
  <si>
    <t>Vector|||208017981|||ISSR|||SALES_FX_YEN|||False|||</t>
  </si>
  <si>
    <t>V_KEYWORD_ISSR_208017981_SALES_FX_YEN</t>
  </si>
  <si>
    <t>Vector|||208017981|||ISSR|||SALES_FX_CNY|||False|||</t>
  </si>
  <si>
    <t>V_KEYWORD_ISSR_208017981_SALES_FX_CNY</t>
  </si>
  <si>
    <t>Vector|||208017981|||ISSR|||SALES_FX_INR|||False|||</t>
  </si>
  <si>
    <t>V_KEYWORD_ISSR_208017981_SALES_FX_INR</t>
  </si>
  <si>
    <t>Vector|||208017981|||ISSR|||SALES_FX_AUD|||False|||</t>
  </si>
  <si>
    <t>V_KEYWORD_ISSR_208017981_SALES_FX_AUD</t>
  </si>
  <si>
    <t>Vector|||208017981|||ISSR|||SALES_FX_NZD|||False|||</t>
  </si>
  <si>
    <t>V_KEYWORD_ISSR_208017981_SALES_FX_NZD</t>
  </si>
  <si>
    <t>Vector|||208017981|||ISSR|||SALES_FX_OTH|||False|||</t>
  </si>
  <si>
    <t>V_KEYWORD_ISSR_208017981_SALES_FX_OTH</t>
  </si>
  <si>
    <t>Vector|||208017981|||ISSR|||SALES_TOT_AM|||False|||</t>
  </si>
  <si>
    <t>V_KEYWORD_ISSR_208017981_SALES_TOT_AM</t>
  </si>
  <si>
    <t>Vector|||208017981|||ISSR|||SALES_OTH_AM|||False|||</t>
  </si>
  <si>
    <t>V_KEYWORD_ISSR_208017981_SALES_OTH_AM</t>
  </si>
  <si>
    <t>Vector|||208017981|||ISSR|||SALES_TOT_EMEA|||False|||</t>
  </si>
  <si>
    <t>V_KEYWORD_ISSR_208017981_SALES_TOT_EMEA</t>
  </si>
  <si>
    <t>Vector|||208017981|||ISSR|||SALES_EU_EX_UK|||False|||</t>
  </si>
  <si>
    <t>V_KEYWORD_ISSR_208017981_SALES_EU_EX_UK</t>
  </si>
  <si>
    <t>Vector|||208017981|||ISSR|||SALES_CEE|||False|||</t>
  </si>
  <si>
    <t>V_KEYWORD_ISSR_208017981_SALES_CEE</t>
  </si>
  <si>
    <t>Vector|||208017981|||ISSR|||SALES_ME|||False|||</t>
  </si>
  <si>
    <t>V_KEYWORD_ISSR_208017981_SALES_ME</t>
  </si>
  <si>
    <t>Vector|||208017981|||ISSR|||SALES_TOT_AFRICA|||False|||</t>
  </si>
  <si>
    <t>V_KEYWORD_ISSR_208017981_SALES_TOT_AFRICA</t>
  </si>
  <si>
    <t>Vector|||208017981|||ISSR|||SALES_OTH_EMEA|||False|||</t>
  </si>
  <si>
    <t>V_KEYWORD_ISSR_208017981_SALES_OTH_EMEA</t>
  </si>
  <si>
    <t>Vector|||208017981|||ISSR|||SALES_TOT_ASIA|||False|||</t>
  </si>
  <si>
    <t>V_KEYWORD_ISSR_208017981_SALES_TOT_ASIA</t>
  </si>
  <si>
    <t>Vector|||208017981|||ISSR|||SALES_OTH_AEJ|||False|||</t>
  </si>
  <si>
    <t>V_KEYWORD_ISSR_208017981_SALES_OTH_AEJ</t>
  </si>
  <si>
    <t>Vector|||208017981|||ISSR|||SALES_FX|||False|||</t>
  </si>
  <si>
    <t>V_KEYWORD_ISSR_208017981_SALES_FX</t>
  </si>
  <si>
    <t>Vector|||208017981|||ISSR|||SALES_INORGANIC|||False|||</t>
  </si>
  <si>
    <t>V_KEYWORD_ISSR_208017981_SALES_INORGANIC</t>
  </si>
  <si>
    <t>Vector|||208017981|||ISSR|||SALES_PRICE|||False|||</t>
  </si>
  <si>
    <t>V_KEYWORD_ISSR_208017981_SALES_PRICE</t>
  </si>
  <si>
    <t>Vector|||208017981|||ISSR|||SALES_VOLUME|||False|||</t>
  </si>
  <si>
    <t>V_KEYWORD_ISSR_208017981_SALES_VOLUME</t>
  </si>
  <si>
    <t>Scalar|||200019506|||EQTY|||PUB_CURRENCY_ISO|||False|||</t>
  </si>
  <si>
    <t>V_KEYWORD_EQTY_200019506_PUB_CURRENCY_ISO</t>
  </si>
  <si>
    <t>Scalar|||200019506|||EQTY|||PRICE_CURRENCY_ISO|||False|||</t>
  </si>
  <si>
    <t>V_KEYWORD_EQTY_200019506_PRICE_CURRENCY_ISO</t>
  </si>
  <si>
    <t>Scalar|||200019506|||EQTY|||CURRENCY_ISO|||False|||</t>
  </si>
  <si>
    <t>V_KEYWORD_EQTY_200019506_CURRENCY_ISO</t>
  </si>
  <si>
    <t>Scalar|||200019506|||EQTY|||ANZ_LIST|||False|||</t>
  </si>
  <si>
    <t>V_KEYWORD_EQTY_200019506_ANZ_LIST</t>
  </si>
  <si>
    <t>Scalar|||200019506|||EQTY|||NOT IN USE|||False|||</t>
  </si>
  <si>
    <t>V_KEYWORD_EQTY_200019506_NOT_IN_USE</t>
  </si>
  <si>
    <t>Scalar|||200019506|||EQTY|||LEGAL_RATING|||False|||</t>
  </si>
  <si>
    <t>V_KEYWORD_EQTY_200019506_LEGAL_RATING</t>
  </si>
  <si>
    <t>Scalar|||200019506|||EQTY|||TARGET_PRICE|||False|||</t>
  </si>
  <si>
    <t>V_KEYWORD_EQTY_200019506_TARGET_PRICE</t>
  </si>
  <si>
    <t>Scalar|||200019506|||EQTY|||TP_PERIOD|||False|||</t>
  </si>
  <si>
    <t>V_KEYWORD_EQTY_200019506_TP_PERIOD</t>
  </si>
  <si>
    <t>Scalar|||200019506|||EQTY|||TARGET_PRICE_FUNDAMENTAL|||False|||</t>
  </si>
  <si>
    <t>V_KEYWORD_EQTY_200019506_TARGET_PRICE_FUNDAMENTAL</t>
  </si>
  <si>
    <t>Scalar|||200019506|||EQTY|||TARGET_PRICE_MA|||False|||</t>
  </si>
  <si>
    <t>V_KEYWORD_EQTY_200019506_TARGET_PRICE_MA</t>
  </si>
  <si>
    <t>Scalar|||200019506|||EQTY|||NUM_SH|||False|||</t>
  </si>
  <si>
    <t>V_KEYWORD_EQTY_200019506_NUM_SH</t>
  </si>
  <si>
    <t>Scalar|||200019506|||EQTY|||FREE_FLOAT|||False|||</t>
  </si>
  <si>
    <t>V_KEYWORD_EQTY_200019506_FREE_FLOAT</t>
  </si>
  <si>
    <t>Scalar|||200019506|||EQTY|||FOREIGN_HOLDNG|||False|||</t>
  </si>
  <si>
    <t>V_KEYWORD_EQTY_200019506_FOREIGN_HOLDNG</t>
  </si>
  <si>
    <t>Scalar|||200019506|||EQTY|||CATALYST1_DATE|||True|||</t>
  </si>
  <si>
    <t>V_KEYWORD_EQTY_200019506_CATALYST1_DATE</t>
  </si>
  <si>
    <t>Scalar|||200019506|||EQTY|||CATALYST1_EVENT|||False|||</t>
  </si>
  <si>
    <t>V_KEYWORD_EQTY_200019506_CATALYST1_EVENT</t>
  </si>
  <si>
    <t>Scalar|||200019506|||EQTY|||CATALYST2_DATE|||True|||</t>
  </si>
  <si>
    <t>V_KEYWORD_EQTY_200019506_CATALYST2_DATE</t>
  </si>
  <si>
    <t>Scalar|||200019506|||EQTY|||CATALYST2_EVENT|||False|||</t>
  </si>
  <si>
    <t>V_KEYWORD_EQTY_200019506_CATALYST2_EVENT</t>
  </si>
  <si>
    <t>Scalar|||200019506|||EQTY|||CATALYST3_DATE|||True|||</t>
  </si>
  <si>
    <t>V_KEYWORD_EQTY_200019506_CATALYST3_DATE</t>
  </si>
  <si>
    <t>Scalar|||200019506|||EQTY|||CATALYST3_EVENT|||False|||</t>
  </si>
  <si>
    <t>V_KEYWORD_EQTY_200019506_CATALYST3_EVENT</t>
  </si>
  <si>
    <t>Scalar|||200019506|||EQTY|||CATALYST4_DATE|||True|||</t>
  </si>
  <si>
    <t>V_KEYWORD_EQTY_200019506_CATALYST4_DATE</t>
  </si>
  <si>
    <t>Scalar|||200019506|||EQTY|||CATALYST4_EVENT|||False|||</t>
  </si>
  <si>
    <t>V_KEYWORD_EQTY_200019506_CATALYST4_EVENT</t>
  </si>
  <si>
    <t>Scalar|||200019506|||EQTY|||CATALYST5_DATE|||True|||</t>
  </si>
  <si>
    <t>V_KEYWORD_EQTY_200019506_CATALYST5_DATE</t>
  </si>
  <si>
    <t>Scalar|||200019506|||EQTY|||CATALYST5_EVENT|||False|||</t>
  </si>
  <si>
    <t>V_KEYWORD_EQTY_200019506_CATALYST5_EVENT</t>
  </si>
  <si>
    <t>Scalar|||200019506|||EQTY|||PRI_TARG_MULT|||False|||</t>
  </si>
  <si>
    <t>V_KEYWORD_EQTY_200019506_PRI_TARG_MULT</t>
  </si>
  <si>
    <t>Scalar|||200019506|||EQTY|||PRI_TARG_METH|||False|||</t>
  </si>
  <si>
    <t>V_KEYWORD_EQTY_200019506_PRI_TARG_METH</t>
  </si>
  <si>
    <t>Vector|||200019506|||EQTY|||BVPS_PUB|||False|||</t>
  </si>
  <si>
    <t>V_KEYWORD_EQTY_200019506_BVPS_PUB</t>
  </si>
  <si>
    <t>Vector|||200019506|||EQTY|||DPS_PUB|||False|||</t>
  </si>
  <si>
    <t>V_KEYWORD_EQTY_200019506_DPS_PUB</t>
  </si>
  <si>
    <t>Vector|||200019506|||EQTY|||DPS_SPECIAL_PUB|||False|||</t>
  </si>
  <si>
    <t>V_KEYWORD_EQTY_200019506_DPS_SPECIAL_PUB</t>
  </si>
  <si>
    <t>Vector|||200019506|||EQTY|||EBITDA_PUB|||False|||</t>
  </si>
  <si>
    <t>V_KEYWORD_EQTY_200019506_EBITDA_PUB</t>
  </si>
  <si>
    <t>Vector|||200019506|||EQTY|||EPS_PUB|||False|||</t>
  </si>
  <si>
    <t>V_KEYWORD_EQTY_200019506_EPS_PUB</t>
  </si>
  <si>
    <t>Vector|||200019506|||EQTY|||EV_ADJ_PUB|||False|||</t>
  </si>
  <si>
    <t>V_KEYWORD_EQTY_200019506_EV_ADJ_PUB</t>
  </si>
  <si>
    <t>Vector|||200019506|||EQTY|||NET_DEBT_PUB|||False|||</t>
  </si>
  <si>
    <t>V_KEYWORD_EQTY_200019506_NET_DEBT_PUB</t>
  </si>
  <si>
    <t>Vector|||200019506|||EQTY|||NET_DEBT_EX_LEASES_PUB|||False|||</t>
  </si>
  <si>
    <t>V_KEYWORD_EQTY_200019506_NET_DEBT_EX_LEASES_PUB</t>
  </si>
  <si>
    <t>Vector|||200019506|||EQTY|||CEEE_NDEBT|||False|||</t>
  </si>
  <si>
    <t>V_KEYWORD_EQTY_200019506_CEEE_NDEBT</t>
  </si>
  <si>
    <t>Vector|||200019506|||EQTY|||NI_PUB|||False|||</t>
  </si>
  <si>
    <t>V_KEYWORD_EQTY_200019506_NI_PUB</t>
  </si>
  <si>
    <t>Vector|||200019506|||EQTY|||EBIT_PUB|||False|||</t>
  </si>
  <si>
    <t>V_KEYWORD_EQTY_200019506_EBIT_PUB</t>
  </si>
  <si>
    <t>Vector|||200019506|||EQTY|||PTP_PUB|||False|||</t>
  </si>
  <si>
    <t>V_KEYWORD_EQTY_200019506_PTP_PUB</t>
  </si>
  <si>
    <t>Vector|||200019506|||EQTY|||REVS_PUB|||False|||</t>
  </si>
  <si>
    <t>V_KEYWORD_EQTY_200019506_REVS_PUB</t>
  </si>
  <si>
    <t>Vector|||200019506|||EQTY|||EQ_PUB|||False|||</t>
  </si>
  <si>
    <t>V_KEYWORD_EQTY_200019506_EQ_PUB</t>
  </si>
  <si>
    <t>Vector|||200019506|||EQTY|||EPS_CONS_PUB|||False|||</t>
  </si>
  <si>
    <t>V_KEYWORD_EQTY_200019506_EPS_CONS_PUB</t>
  </si>
  <si>
    <t>Vector|||200019506|||EQTY|||NTA_PER_SHARE|||False|||</t>
  </si>
  <si>
    <t>V_KEYWORD_EQTY_200019506_NTA_PER_SHARE</t>
  </si>
  <si>
    <t>Scalar|||200019506|||EQTY|||RISK_TO_EARNINGS|||False|||</t>
  </si>
  <si>
    <t>V_KEYWORD_EQTY_200019506_RISK_TO_EARNINGS</t>
  </si>
  <si>
    <t>Scalar|||200019506|||EQTY|||COST_OF_EQUITY_DCF|||False|||</t>
  </si>
  <si>
    <t>V_KEYWORD_EQTY_200019506_COST_OF_EQUITY_DCF</t>
  </si>
  <si>
    <t>Scalar|||200019506|||EQTY|||DEBT_RISK_MARGIN_DCF|||False|||</t>
  </si>
  <si>
    <t>V_KEYWORD_EQTY_200019506_DEBT_RISK_MARGIN_DCF</t>
  </si>
  <si>
    <t>Scalar|||200019506|||EQTY|||PERPETUITY_GROWTH_RATE_DCF|||False|||</t>
  </si>
  <si>
    <t>V_KEYWORD_EQTY_200019506_PERPETUITY_GROWTH_RATE_DCF</t>
  </si>
  <si>
    <t>Vector|||200019506|||EQTY|||DISCOUNT_FACTOR_DCF|||False|||</t>
  </si>
  <si>
    <t>V_KEYWORD_EQTY_200019506_DISCOUNT_FACTOR_DCF</t>
  </si>
  <si>
    <t>Vector|||200019506|||EQTY|||PRESENT_VALUE_OF_CASH_FLOW_DCF|||False|||</t>
  </si>
  <si>
    <t>V_KEYWORD_EQTY_200019506_PRESENT_VALUE_OF_CASH_FLOW_DCF</t>
  </si>
  <si>
    <t>Scalar|||200019506|||EQTY|||CUM_PRESENT_VAL_CASH_FLOWS_DCF|||False|||</t>
  </si>
  <si>
    <t>V_KEYWORD_EQTY_200019506_CUM_PRESENT_VAL_CASH_FLOWS_DCF</t>
  </si>
  <si>
    <t>Scalar|||200019506|||EQTY|||TERMINAL_YEAR_DCF|||False|||</t>
  </si>
  <si>
    <t>V_KEYWORD_EQTY_200019506_TERMINAL_YEAR_DCF</t>
  </si>
  <si>
    <t>Scalar|||200019506|||EQTY|||MARKET_VALUE_OF_INVESTMENTS_DCF|||False|||</t>
  </si>
  <si>
    <t>V_KEYWORD_EQTY_200019506_MARKET_VALUE_OF_INVESTMENTS_DCF</t>
  </si>
  <si>
    <t>Scalar|||200019506|||EQTY|||NET_DEBT_NET_CASH_DCF|||False|||</t>
  </si>
  <si>
    <t>V_KEYWORD_EQTY_200019506_NET_DEBT_NET_CASH_DCF</t>
  </si>
  <si>
    <t>Scalar|||200019506|||EQTY|||EQUITY_VALUE_DCF|||False|||</t>
  </si>
  <si>
    <t>V_KEYWORD_EQTY_200019506_EQUITY_VALUE_DCF</t>
  </si>
  <si>
    <t>Scalar|||200019506|||EQTY|||IMP_CREDITS_PER_SHARE_DCF|||False|||</t>
  </si>
  <si>
    <t>V_KEYWORD_EQTY_200019506_IMP_CREDITS_PER_SHARE_DCF</t>
  </si>
  <si>
    <t>Scalar|||200019506|||EQTY|||BASE_CASE_VAL_DCF|||False|||</t>
  </si>
  <si>
    <t>V_KEYWORD_EQTY_200019506_BASE_CASE_VAL_DCF</t>
  </si>
  <si>
    <t>Scalar|||200019506|||EQTY|||RISK_ADJ_OPTION_VALUE_DCF|||False|||</t>
  </si>
  <si>
    <t>V_KEYWORD_EQTY_200019506_RISK_ADJ_OPTION_VALUE_DCF</t>
  </si>
  <si>
    <t>Scalar|||200019506|||EQTY|||INTRINSIC_PER_SHARE_VALUE_DCF|||False|||</t>
  </si>
  <si>
    <t>V_KEYWORD_EQTY_200019506_INTRINSIC_PER_SHARE_VALUE_DCF</t>
  </si>
  <si>
    <t>Vector|||200019506|||EQTY|||YEAR_END_CAPITAL_EVA|||False|||</t>
  </si>
  <si>
    <t>V_KEYWORD_EQTY_200019506_YEAR_END_CAPITAL_EVA</t>
  </si>
  <si>
    <t>Vector|||200019506|||EQTY|||NI_REPT_PUB|||False|||</t>
  </si>
  <si>
    <t>V_KEYWORD_EQTY_200019506_NI_REPT_PUB</t>
  </si>
  <si>
    <t>Vector|||200019506|||EQTY|||FRANKING_ANZPUB|||False|||</t>
  </si>
  <si>
    <t>V_KEYWORD_EQTY_200019506_FRANKING_ANZPUB</t>
  </si>
  <si>
    <t>Vector|||200019506|||EQTY|||FRANKING_SPECIAL_ANZPUB|||False|||</t>
  </si>
  <si>
    <t>V_KEYWORD_EQTY_200019506_FRANKING_SPECIAL_ANZPUB</t>
  </si>
  <si>
    <t>Vector|||200019506|||EQTY|||DEBT_EQUITY|||False|||</t>
  </si>
  <si>
    <t>V_KEYWORD_EQTY_200019506_DEBT_EQUITY</t>
  </si>
  <si>
    <t>Vector|||200019506|||EQTY|||PROV_INC_TAX|||False|||</t>
  </si>
  <si>
    <t>V_KEYWORD_EQTY_200019506_PROV_INC_TAX</t>
  </si>
  <si>
    <t>Vector|||200019506|||EQTY|||INC_MINORITY|||False|||</t>
  </si>
  <si>
    <t>V_KEYWORD_EQTY_200019506_INC_MINORITY</t>
  </si>
  <si>
    <t>Vector|||200019506|||EQTY|||NI_PRE_PREF|||False|||</t>
  </si>
  <si>
    <t>V_KEYWORD_EQTY_200019506_NI_PRE_PREF</t>
  </si>
  <si>
    <t>Vector|||200019506|||EQTY|||PREF_DIV|||False|||</t>
  </si>
  <si>
    <t>V_KEYWORD_EQTY_200019506_PREF_DIV</t>
  </si>
  <si>
    <t>Vector|||200019506|||EQTY|||NET_EARNING|||False|||</t>
  </si>
  <si>
    <t>V_KEYWORD_EQTY_200019506_NET_EARNING</t>
  </si>
  <si>
    <t>Vector|||200019506|||EQTY|||TAX_EXC|||False|||</t>
  </si>
  <si>
    <t>V_KEYWORD_EQTY_200019506_TAX_EXC</t>
  </si>
  <si>
    <t>Vector|||200019506|||EQTY|||NET_INC|||False|||</t>
  </si>
  <si>
    <t>V_KEYWORD_EQTY_200019506_NET_INC</t>
  </si>
  <si>
    <t>Vector|||200019506|||EQTY|||EPS|||False|||</t>
  </si>
  <si>
    <t>V_KEYWORD_EQTY_200019506_EPS</t>
  </si>
  <si>
    <t>Vector|||200019506|||EQTY|||EPS_FUL_DIL|||False|||</t>
  </si>
  <si>
    <t>V_KEYWORD_EQTY_200019506_EPS_FUL_DIL</t>
  </si>
  <si>
    <t>Vector|||200019506|||EQTY|||EPS_POST_BASIC|||False|||</t>
  </si>
  <si>
    <t>V_KEYWORD_EQTY_200019506_EPS_POST_BASIC</t>
  </si>
  <si>
    <t>Vector|||200019506|||EQTY|||FULLY_DIL_EPS|||False|||</t>
  </si>
  <si>
    <t>V_KEYWORD_EQTY_200019506_FULLY_DIL_EPS</t>
  </si>
  <si>
    <t>Vector|||200019506|||EQTY|||COMMON_DIV_PAID|||False|||</t>
  </si>
  <si>
    <t>V_KEYWORD_EQTY_200019506_COMMON_DIV_PAID</t>
  </si>
  <si>
    <t>Vector|||200019506|||EQTY|||DPS|||False|||</t>
  </si>
  <si>
    <t>V_KEYWORD_EQTY_200019506_DPS</t>
  </si>
  <si>
    <t>Vector|||200019506|||EQTY|||SH|||False|||</t>
  </si>
  <si>
    <t>V_KEYWORD_EQTY_200019506_SH</t>
  </si>
  <si>
    <t>Vector|||200019506|||EQTY|||DILUTE_SHARES|||False|||</t>
  </si>
  <si>
    <t>V_KEYWORD_EQTY_200019506_DILUTE_SHARES</t>
  </si>
  <si>
    <t>Vector|||200019506|||EQTY|||NON_OP_ADD|||False|||</t>
  </si>
  <si>
    <t>V_KEYWORD_EQTY_200019506_NON_OP_ADD</t>
  </si>
  <si>
    <t>Vector|||200019506|||EQTY|||FRANKING|||False|||</t>
  </si>
  <si>
    <t>V_KEYWORD_EQTY_200019506_FRANKING</t>
  </si>
  <si>
    <t>Vector|||200019506|||EQTY|||OPPL_ATAX_PRE_AB|||False|||</t>
  </si>
  <si>
    <t>V_KEYWORD_EQTY_200019506_OPPL_ATAX_PRE_AB</t>
  </si>
  <si>
    <t>Vector|||200019506|||EQTY|||INCTAX_PL_ON_AB|||False|||</t>
  </si>
  <si>
    <t>V_KEYWORD_EQTY_200019506_INCTAX_PL_ON_AB</t>
  </si>
  <si>
    <t>Vector|||200019506|||EQTY|||GWILL_ASSET_IMP_CHG_POST_TAX|||False|||</t>
  </si>
  <si>
    <t>V_KEYWORD_EQTY_200019506_GWILL_ASSET_IMP_CHG_POST_TAX</t>
  </si>
  <si>
    <t>Vector|||200019506|||EQTY|||OTH_ASSET_IMPAIR_CHG_POST_TAX|||False|||</t>
  </si>
  <si>
    <t>V_KEYWORD_EQTY_200019506_OTH_ASSET_IMPAIR_CHG_POST_TAX</t>
  </si>
  <si>
    <t>Vector|||200019506|||EQTY|||FIN_INSTRUMENT_HEDGE_POST_TAX|||False|||</t>
  </si>
  <si>
    <t>V_KEYWORD_EQTY_200019506_FIN_INSTRUMENT_HEDGE_POST_TAX</t>
  </si>
  <si>
    <t>Vector|||200019506|||EQTY|||OTHER_IFRS_ADJUST_POST_TAX|||False|||</t>
  </si>
  <si>
    <t>V_KEYWORD_EQTY_200019506_OTHER_IFRS_ADJUST_POST_TAX</t>
  </si>
  <si>
    <t>Vector|||200019506|||EQTY|||TOTAL_IFRS_ADJUST_POST_TAX|||False|||</t>
  </si>
  <si>
    <t>V_KEYWORD_EQTY_200019506_TOTAL_IFRS_ADJUST_POST_TAX</t>
  </si>
  <si>
    <t>Vector|||200019506|||EQTY|||INCTAX_PL_POST_AB|||False|||</t>
  </si>
  <si>
    <t>V_KEYWORD_EQTY_200019506_INCTAX_PL_POST_AB</t>
  </si>
  <si>
    <t>Vector|||200019506|||EQTY|||OPPL_ATAX_POST_AB|||False|||</t>
  </si>
  <si>
    <t>V_KEYWORD_EQTY_200019506_OPPL_ATAX_POST_AB</t>
  </si>
  <si>
    <t>Vector|||200019506|||EQTY|||NET_PROFIT|||False|||</t>
  </si>
  <si>
    <t>V_KEYWORD_EQTY_200019506_NET_PROFIT</t>
  </si>
  <si>
    <t>Vector|||200019506|||EQTY|||FOREIGN_EXCHANGE_GAIN_LOSS|||False|||</t>
  </si>
  <si>
    <t>V_KEYWORD_EQTY_200019506_FOREIGN_EXCHANGE_GAIN_LOSS</t>
  </si>
  <si>
    <t>Vector|||200019506|||EQTY|||ASSET_SALES_GAIN_LOSS|||False|||</t>
  </si>
  <si>
    <t>V_KEYWORD_EQTY_200019506_ASSET_SALES_GAIN_LOSS</t>
  </si>
  <si>
    <t>Vector|||200019506|||EQTY|||RESTRUC_COSTS|||False|||</t>
  </si>
  <si>
    <t>V_KEYWORD_EQTY_200019506_RESTRUC_COSTS</t>
  </si>
  <si>
    <t>Vector|||200019506|||EQTY|||OTHER_ABNORMAL_ITEMS|||False|||</t>
  </si>
  <si>
    <t>V_KEYWORD_EQTY_200019506_OTHER_ABNORMAL_ITEMS</t>
  </si>
  <si>
    <t>Vector|||200019506|||EQTY|||EBITDAF|||False|||</t>
  </si>
  <si>
    <t>V_KEYWORD_EQTY_200019506_EBITDAF</t>
  </si>
  <si>
    <t>Vector|||200019506|||EQTY|||PROF_ADJUST_EPS|||False|||</t>
  </si>
  <si>
    <t>V_KEYWORD_EQTY_200019506_PROF_ADJUST_EPS</t>
  </si>
  <si>
    <t>Vector|||200019506|||EQTY|||EPS_PRE_GWILL|||False|||</t>
  </si>
  <si>
    <t>V_KEYWORD_EQTY_200019506_EPS_PRE_GWILL</t>
  </si>
  <si>
    <t>Vector|||200019506|||EQTY|||EPS_REPORTED|||False|||</t>
  </si>
  <si>
    <t>V_KEYWORD_EQTY_200019506_EPS_REPORTED</t>
  </si>
  <si>
    <t>Vector|||200019506|||EQTY|||FRANK_TAX_RATE|||False|||</t>
  </si>
  <si>
    <t>V_KEYWORD_EQTY_200019506_FRANK_TAX_RATE</t>
  </si>
  <si>
    <t>Vector|||200019506|||EQTY|||NZ_FRANKING|||False|||</t>
  </si>
  <si>
    <t>V_KEYWORD_EQTY_200019506_NZ_FRANKING</t>
  </si>
  <si>
    <t>Scalar|||200019506|||EQTY|||INT_DIV_AMOUNT|||False|||</t>
  </si>
  <si>
    <t>V_KEYWORD_EQTY_200019506_INT_DIV_AMOUNT</t>
  </si>
  <si>
    <t>Scalar|||200019506|||EQTY|||INT_DIV_EXDATE|||True|||</t>
  </si>
  <si>
    <t>V_KEYWORD_EQTY_200019506_INT_DIV_EXDATE</t>
  </si>
  <si>
    <t>Scalar|||200019506|||EQTY|||INT_DIV_FRANK|||False|||</t>
  </si>
  <si>
    <t>V_KEYWORD_EQTY_200019506_INT_DIV_FRANK</t>
  </si>
  <si>
    <t>Scalar|||200019506|||EQTY|||INT_DIV_TAXRATE|||False|||</t>
  </si>
  <si>
    <t>V_KEYWORD_EQTY_200019506_INT_DIV_TAXRATE</t>
  </si>
  <si>
    <t>Scalar|||200019506|||EQTY|||FINAL_DIV_AMOUNT|||False|||</t>
  </si>
  <si>
    <t>V_KEYWORD_EQTY_200019506_FINAL_DIV_AMOUNT</t>
  </si>
  <si>
    <t>Scalar|||200019506|||EQTY|||FINAL_DIV_EXDATE|||True|||</t>
  </si>
  <si>
    <t>V_KEYWORD_EQTY_200019506_FINAL_DIV_EXDATE</t>
  </si>
  <si>
    <t>Scalar|||200019506|||EQTY|||FINAL_DIV_FRANK|||False|||</t>
  </si>
  <si>
    <t>V_KEYWORD_EQTY_200019506_FINAL_DIV_FRANK</t>
  </si>
  <si>
    <t>Scalar|||200019506|||EQTY|||FINAL_DIV_TAXRATE|||False|||</t>
  </si>
  <si>
    <t>V_KEYWORD_EQTY_200019506_FINAL_DIV_TAXRATE</t>
  </si>
  <si>
    <t>Vector|||200019506|||EQTY|||CONVERTIBLE_NOTES|||False|||</t>
  </si>
  <si>
    <t>V_KEYWORD_EQTY_200019506_CONVERTIBLE_NOTES</t>
  </si>
  <si>
    <t>Vector|||200019506|||EQTY|||PREFERENCE_SHARES|||False|||</t>
  </si>
  <si>
    <t>V_KEYWORD_EQTY_200019506_PREFERENCE_SHARES</t>
  </si>
  <si>
    <t>Vector|||200019506|||EQTY|||PARTLY_PAID_SHARES|||False|||</t>
  </si>
  <si>
    <t>V_KEYWORD_EQTY_200019506_PARTLY_PAID_SHARES</t>
  </si>
  <si>
    <t>Vector|||200019506|||EQTY|||OPTIONS|||False|||</t>
  </si>
  <si>
    <t>V_KEYWORD_EQTY_200019506_OPTIONS</t>
  </si>
  <si>
    <t>Vector|||200019506|||EQTY|||OTHER_CAPITAL|||False|||</t>
  </si>
  <si>
    <t>V_KEYWORD_EQTY_200019506_OTHER_CAPITAL</t>
  </si>
  <si>
    <t>Vector|||200019506|||EQTY|||TOTAL_CAPITAL|||False|||</t>
  </si>
  <si>
    <t>V_KEYWORD_EQTY_200019506_TOTAL_CAPITAL</t>
  </si>
  <si>
    <t>Vector|||200019506|||EQTY|||EFPO|||False|||</t>
  </si>
  <si>
    <t>V_KEYWORD_EQTY_200019506_EFPO</t>
  </si>
  <si>
    <t>Vector|||200019506|||EQTY|||EFPOWA|||False|||</t>
  </si>
  <si>
    <t>V_KEYWORD_EQTY_200019506_EFPOWA</t>
  </si>
  <si>
    <t>Vector|||200019506|||EQTY|||MARGIN_TAX_RATE|||False|||</t>
  </si>
  <si>
    <t>V_KEYWORD_EQTY_200019506_MARGIN_TAX_RATE</t>
  </si>
  <si>
    <t>Vector|||200019506|||EQTY|||NI_CONS|||False|||</t>
  </si>
  <si>
    <t>V_KEYWORD_EQTY_200019506_NI_CONS</t>
  </si>
  <si>
    <t>Vector|||200019506|||EQTY|||BVPS|||False|||</t>
  </si>
  <si>
    <t>V_KEYWORD_EQTY_200019506_BVPS</t>
  </si>
  <si>
    <t>Vector|||200019506|||EQTY|||SHOLDERS_EQUITY_MBRS|||False|||</t>
  </si>
  <si>
    <t>V_KEYWORD_EQTY_200019506_SHOLDERS_EQUITY_MBRS</t>
  </si>
  <si>
    <t>Vector|||200019506|||EQTY|||NET_TANGIBLE_ASSETS_ADJUSTED_NZ|||False|||</t>
  </si>
  <si>
    <t>V_KEYWORD_EQTY_200019506_NET_TANGIBLE_ASSETS_ADJUSTED_NZ</t>
  </si>
  <si>
    <t>Vector|||200019506|||EQTY|||CF_NI_PRE_PREF|||False|||</t>
  </si>
  <si>
    <t>V_KEYWORD_EQTY_200019506_CF_NI_PRE_PREF</t>
  </si>
  <si>
    <t>Vector|||200019506|||EQTY|||CF_OPS_SHARE_NZ|||False|||</t>
  </si>
  <si>
    <t>V_KEYWORD_EQTY_200019506_CF_OPS_SHARE_NZ</t>
  </si>
  <si>
    <t>Scalar|||200019506|||EQTY|||DCF_CASH_FLOW|||False|||</t>
  </si>
  <si>
    <t>V_KEYWORD_EQTY_200019506_DCF_CASH_FLOW</t>
  </si>
  <si>
    <t>Scalar|||200019506|||EQTY|||BETA_ANALYST|||False|||</t>
  </si>
  <si>
    <t>V_KEYWORD_EQTY_200019506_BETA_ANALYST</t>
  </si>
  <si>
    <t>Scalar|||200019506|||EQTY|||MKT_EQ_RISK_PREM|||False|||</t>
  </si>
  <si>
    <t>V_KEYWORD_EQTY_200019506_MKT_EQ_RISK_PREM</t>
  </si>
  <si>
    <t>Scalar|||200019506|||EQTY|||RISK_FR_RATE|||False|||</t>
  </si>
  <si>
    <t>V_KEYWORD_EQTY_200019506_RISK_FR_RATE</t>
  </si>
  <si>
    <t>Vector|||200019506|||EQTY|||BENEFITS_TAX_LOSSES|||False|||</t>
  </si>
  <si>
    <t>V_KEYWORD_EQTY_200019506_BENEFITS_TAX_LOSSES</t>
  </si>
  <si>
    <t>Scalar|||200019506|||EQTY|||TAX_RATE_DCF|||False|||</t>
  </si>
  <si>
    <t>V_KEYWORD_EQTY_200019506_TAX_RATE_DCF</t>
  </si>
  <si>
    <t>Scalar|||200019506|||EQTY|||WACC_DCF|||False|||</t>
  </si>
  <si>
    <t>V_KEYWORD_EQTY_200019506_WACC_DCF</t>
  </si>
  <si>
    <t>Vector|||200019506|||EQTY|||STD_FREE_OP_CASH_FLOW_DCF|||False|||</t>
  </si>
  <si>
    <t>V_KEYWORD_EQTY_200019506_STD_FREE_OP_CASH_FLOW_DCF</t>
  </si>
  <si>
    <t>Vector|||200019506|||EQTY|||NOPAT|||False|||</t>
  </si>
  <si>
    <t>V_KEYWORD_EQTY_200019506_NOPAT</t>
  </si>
  <si>
    <t>Vector|||200019506|||EQTY|||ROCE_ANZ|||False|||</t>
  </si>
  <si>
    <t>V_KEYWORD_EQTY_200019506_ROCE_ANZ</t>
  </si>
  <si>
    <t>1332M2</t>
  </si>
  <si>
    <t>Elise Bailey</t>
  </si>
  <si>
    <t>elise.bailey@gs.com</t>
  </si>
  <si>
    <t>+61 3 9679 1344</t>
  </si>
  <si>
    <t>+61 3 9679 1077</t>
  </si>
  <si>
    <t>1H24</t>
  </si>
  <si>
    <t>ERROR</t>
  </si>
  <si>
    <t>13342F</t>
  </si>
  <si>
    <t>2H24</t>
  </si>
  <si>
    <t>FY26E EBITDA</t>
  </si>
  <si>
    <t>Net Cash (Jun-24)</t>
  </si>
  <si>
    <t>3ea9bc7e-034e-4e20-b6e2-6e14bde7521e</t>
  </si>
  <si>
    <t>Elijah Mayr</t>
  </si>
  <si>
    <t>elijah.mayr@gs.com</t>
  </si>
  <si>
    <t>+61 2 9321 8995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</si>
</sst>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3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_-* #,##0_-;\-* #,##0_-;_-* &quot;-&quot;_-;_-@_-"/>
    <numFmt numFmtId="166" formatCode="_-* #,##0.00_-;\-* #,##0.00_-;_-* &quot;-&quot;??_-;_-@_-"/>
    <numFmt numFmtId="167" formatCode="0.0%&quot; &quot;;\(0.0%\)"/>
    <numFmt numFmtId="168" formatCode="#,##0.0&quot; &quot;;\(#,##0.0\)"/>
    <numFmt numFmtId="169" formatCode="&quot;$&quot;#,##0.00"/>
    <numFmt numFmtId="170" formatCode="#,##0.0"/>
    <numFmt numFmtId="171" formatCode="0.0"/>
    <numFmt numFmtId="172" formatCode="0%&quot; &quot;;\(0%\)"/>
    <numFmt numFmtId="173" formatCode="#,##0.00&quot; &quot;;\(#,##0.00\)"/>
    <numFmt numFmtId="174" formatCode="#,##0.000&quot; &quot;;\(#,##0.000\)"/>
    <numFmt numFmtId="175" formatCode="0.0%"/>
    <numFmt numFmtId="176" formatCode="#,##0&quot; &quot;;\(#,##0\)"/>
    <numFmt numFmtId="177" formatCode="&quot;$&quot;#,##0.0"/>
    <numFmt numFmtId="178" formatCode="0&quot; &quot;;\(0.0\)"/>
    <numFmt numFmtId="179" formatCode="0.0&quot; &quot;;\(0.00\)"/>
    <numFmt numFmtId="180" formatCode="0.000%"/>
    <numFmt numFmtId="181" formatCode="0.000"/>
    <numFmt numFmtId="182" formatCode="#,##0.0_);\(#,##0.0\)"/>
    <numFmt numFmtId="183" formatCode="[&gt;0.5]#,##0;[&lt;-0.5]\-#,##0;\-"/>
    <numFmt numFmtId="184" formatCode="##0.00"/>
    <numFmt numFmtId="185" formatCode="0.00_)"/>
    <numFmt numFmtId="186" formatCode="#,##0.000_);[Red]\(#,##0.000\)"/>
    <numFmt numFmtId="187" formatCode="#,##0.0_);[Red]\(#,##0.0\)"/>
    <numFmt numFmtId="188" formatCode="_ #,###_-;\-\(#,##0\)\-;_-* &quot;0,000&quot;?;_-@_-"/>
    <numFmt numFmtId="189" formatCode="_ #,###_-;\(#,##0\);_-* &quot;–&quot;?;_-@_-"/>
    <numFmt numFmtId="190" formatCode="_ #,###.0_-;\(#,###.0\);_-* &quot;–&quot;?;_-@_-"/>
    <numFmt numFmtId="191" formatCode="#,##0;\(#,##0\)"/>
    <numFmt numFmtId="192" formatCode="#,##0.0;[Red]\(#,##0.0\)"/>
    <numFmt numFmtId="193" formatCode="\Ç\ \´\´\´\´\ \»\»\»\»"/>
    <numFmt numFmtId="194" formatCode="#,##0.000000000;[Red]\-#,##0.000000000"/>
    <numFmt numFmtId="195" formatCode="&quot;£&quot;#,##0;[Red]\-&quot;£&quot;#,##0"/>
    <numFmt numFmtId="196" formatCode="0.0%;\(0.0%\)"/>
    <numFmt numFmtId="197" formatCode="&quot;US$&quot;&quot;$&quot;#,##0.00_);\(&quot;$&quot;#,##0.00\)"/>
    <numFmt numFmtId="198" formatCode="\$#,##0_);\(\$#,##0\)"/>
    <numFmt numFmtId="199" formatCode="#,##0.00;[Red]\(#,##0.00\)"/>
    <numFmt numFmtId="200" formatCode="&quot;£&quot;#,##0.00;\-&quot;£&quot;#,##0.00"/>
    <numFmt numFmtId="201" formatCode="&quot;£&quot;#,##0.00;[Red]\-&quot;£&quot;#,##0.00"/>
    <numFmt numFmtId="202" formatCode="_-&quot;£&quot;* #,##0_-;\-&quot;£&quot;* #,##0_-;_-&quot;£&quot;* &quot;-&quot;_-;_-@_-"/>
    <numFmt numFmtId="203" formatCode="0.00_);\(0.00\)"/>
    <numFmt numFmtId="204" formatCode="#,##0.000_);\(#,##0.000\)"/>
    <numFmt numFmtId="205" formatCode="0\A"/>
    <numFmt numFmtId="206" formatCode="0."/>
    <numFmt numFmtId="207" formatCode="0.0&quot;  &quot;"/>
    <numFmt numFmtId="208" formatCode="_-* #,##0_-;\(#,##0\);_-* &quot;–&quot;_-;_-@_-"/>
    <numFmt numFmtId="209" formatCode="#,##0;\(#,##0\);\–;@"/>
    <numFmt numFmtId="210" formatCode=";;;"/>
    <numFmt numFmtId="211" formatCode="0.0_)\%;\(0.0\)\%;0.0_)\%;@_)_%"/>
    <numFmt numFmtId="212" formatCode="#,##0.0_)_%;\(#,##0.0\)_%;0.0_)_%;@_)_%"/>
    <numFmt numFmtId="213" formatCode="#,##0.0_);\(#,##0.0\);#,##0.0_);@_)"/>
    <numFmt numFmtId="214" formatCode="&quot;$&quot;_(#,##0.00_);&quot;$&quot;\(#,##0.00\);&quot;$&quot;_(0.00_);@_)"/>
    <numFmt numFmtId="215" formatCode="&quot;$&quot;_(#,##0.00_);&quot;$&quot;\(#,##0.00\)"/>
    <numFmt numFmtId="216" formatCode="#,##0.00_);\(#,##0.00\);0.00_);@_)"/>
    <numFmt numFmtId="217" formatCode="\€_(#,##0.00_);\€\(#,##0.00\);\€_(0.00_);@_)"/>
    <numFmt numFmtId="218" formatCode="#,##0_)\x;\(#,##0\)\x;0_)\x;@_)_x"/>
    <numFmt numFmtId="219" formatCode="#,##0.0_)\x;\(#,##0.0\)\x"/>
    <numFmt numFmtId="220" formatCode="#,##0.0_)\x;\(#,##0.0\)\x;0.0_)\x;@_)_x"/>
    <numFmt numFmtId="221" formatCode="#,##0_)_x;\(#,##0\)_x;0_)_x;@_)_x"/>
    <numFmt numFmtId="222" formatCode="#,##0.0_)_x;\(#,##0.0\)_x"/>
    <numFmt numFmtId="223" formatCode="#,##0.0_)_x;\(#,##0.0\)_x;0.0_)_x;@_)_x"/>
    <numFmt numFmtId="224" formatCode="0\p"/>
    <numFmt numFmtId="225" formatCode="#,##0.00;;;[White]General"/>
    <numFmt numFmtId="226" formatCode="_(* #,##0.00000_);_(* \(#,##0.00000\);_(* &quot;-&quot;??_);_(@_)"/>
    <numFmt numFmtId="227" formatCode="&quot;$&quot;0.0"/>
    <numFmt numFmtId="228" formatCode="_(&quot;CHF&quot;* #,##0.0_);_(&quot;CHF&quot;* \(#,##0.0\);_(&quot;CHF&quot;* &quot;-&quot;??_);_(@_)"/>
    <numFmt numFmtId="229" formatCode="dd\-mmm\-yyyy"/>
    <numFmt numFmtId="230" formatCode="&quot;$&quot;#,##0.0_);\(&quot;$&quot;#,##0.0\)"/>
    <numFmt numFmtId="231" formatCode="0_);\(0\)"/>
    <numFmt numFmtId="232" formatCode="_(&quot;$&quot;#,##0_)&quot;millions&quot;;\(&quot;$&quot;#,##0\)&quot; millions&quot;"/>
    <numFmt numFmtId="233" formatCode="&quot;$&quot;#,##0.00_)\ \ \ ;\(&quot;$&quot;#,##0.00\)\ \ \ "/>
    <numFmt numFmtId="234" formatCode="&quot;$&quot;#,##0.00&quot;*&quot;\ \ ;\(&quot;$&quot;#,##0.00\)&quot;*&quot;\ \ "/>
    <numFmt numFmtId="235" formatCode="&quot;$&quot;#,##0.00\A_)\ ;\(&quot;$&quot;#,##0.00\A\)\ \ "/>
    <numFmt numFmtId="236" formatCode="&quot;$&quot;@\ "/>
    <numFmt numFmtId="237" formatCode="0\ %"/>
    <numFmt numFmtId="238" formatCode="0.0%_);\(0.0%\)"/>
    <numFmt numFmtId="239" formatCode="\£\ #,##0_);[Red]\(\£\ #,##0\)"/>
    <numFmt numFmtId="240" formatCode="\¥\ #,##0_);[Red]\(\¥\ #,##0\)"/>
    <numFmt numFmtId="241" formatCode="#,##0.0&quot;*&quot;_);\(#,##0.0\)"/>
    <numFmt numFmtId="242" formatCode="#,##0\ ;\(#,##0\);\-\ \ \ \ \ "/>
    <numFmt numFmtId="243" formatCode="#,##0\ ;\(#,##0\);\–\ \ \ \ \ "/>
    <numFmt numFmtId="244" formatCode="\•\ \ @"/>
    <numFmt numFmtId="245" formatCode="\ \ &quot;$&quot;#,##0_);\ \ \(&quot;$&quot;#,##0\)"/>
    <numFmt numFmtId="246" formatCode="0.000_)"/>
    <numFmt numFmtId="247" formatCode="#,##0\ ;\(#,##0.0\)"/>
    <numFmt numFmtId="248" formatCode="&quot;$&quot;0.00_)"/>
    <numFmt numFmtId="249" formatCode="_(&quot;$&quot;* #,##0.0_);_(&quot;$&quot;* \(#,##0.0\);_(&quot;$&quot;* &quot;-&quot;_);_(@_)"/>
    <numFmt numFmtId="250" formatCode="@\ \ \ \ \ "/>
    <numFmt numFmtId="251" formatCode="\ \ _•\–\ \ \ \ @"/>
    <numFmt numFmtId="252" formatCode="0.00%_);[Red]\(0.00%\)"/>
    <numFmt numFmtId="253" formatCode="#,##0.00_)\ \ \ \ \ ;\(#,##0.00\)\ \ \ \ \ "/>
    <numFmt numFmtId="254" formatCode="&quot;$&quot;#,##0.00_)\ \ \ \ \ ;\(&quot;$&quot;#,##0.00\)\ \ \ \ \ "/>
    <numFmt numFmtId="255" formatCode="&quot;$&quot;#,##0.00\A\ \ \ \ ;\(&quot;$&quot;#,##0.00\A\)\ \ \ \ "/>
    <numFmt numFmtId="256" formatCode="&quot;$&quot;#,##0.00&quot;E&quot;\ \ \ \ ;\(&quot;$&quot;#,##0.00&quot;E&quot;\)\ \ \ \ "/>
    <numFmt numFmtId="257" formatCode="#,##0.00\A\ \ \ \ ;\(#,##0.00\A\)\ \ \ \ "/>
    <numFmt numFmtId="258" formatCode="#,##0.00&quot;E&quot;\ \ \ \ ;\(#,##0.00&quot;E&quot;\)\ \ \ \ "/>
    <numFmt numFmtId="259" formatCode="\€#,##0_);\(\€#,##0\)"/>
    <numFmt numFmtId="260" formatCode="&quot;$&quot;#,##0;[Red]&quot;$&quot;#,##0"/>
    <numFmt numFmtId="261" formatCode="0%\ \ \ \ \ \ \ "/>
    <numFmt numFmtId="262" formatCode="#,##0.00\x_);[Red]\(#,##0.00\x\)"/>
    <numFmt numFmtId="263" formatCode="0.00\%;\-0.00\%;0.00\%"/>
    <numFmt numFmtId="264" formatCode="_(&quot;$&quot;* #,##0_)\ &quot;millions&quot;;_(&quot;$&quot;* \(#,##0\)&quot; millions&quot;"/>
    <numFmt numFmtId="265" formatCode="&quot;$&quot;#,##0\ &quot;MM&quot;;\(&quot;$&quot;#,##0.00\ &quot;MM&quot;\)"/>
    <numFmt numFmtId="266" formatCode="_-* #,##0\ _k_r_-;\-* #,##0\ _k_r_-;_-* &quot;-&quot;\ _k_r_-;_-@_-"/>
    <numFmt numFmtId="267" formatCode="_-* #,##0.00\ _k_r_-;\-* #,##0.00\ _k_r_-;_-* &quot;-&quot;??\ _k_r_-;_-@_-"/>
    <numFmt numFmtId="268" formatCode="#,##0\ &quot;MM&quot;"/>
    <numFmt numFmtId="269" formatCode="_-* #,##0\ &quot;kr&quot;_-;\-* #,##0\ &quot;kr&quot;_-;_-* &quot;-&quot;\ &quot;kr&quot;_-;_-@_-"/>
    <numFmt numFmtId="270" formatCode="_-* #,##0.00\ &quot;kr&quot;_-;\-* #,##0.00\ &quot;kr&quot;_-;_-* &quot;-&quot;??\ &quot;kr&quot;_-;_-@_-"/>
    <numFmt numFmtId="271" formatCode="&quot;$&quot;#,##0.000;\(&quot;$&quot;#,##0.000\)"/>
    <numFmt numFmtId="272" formatCode="#,##0.0\ ;\(#,##0.0\)"/>
    <numFmt numFmtId="273" formatCode="0.0_);\(0.0\)"/>
    <numFmt numFmtId="274" formatCode="#,##0___);\(#,##0.00\)"/>
    <numFmt numFmtId="275" formatCode="&quot;$&quot;#,##0.00&quot;E&quot;;[Red]\(&quot;$&quot;#,##0.00\)&quot;E&quot;"/>
    <numFmt numFmtId="276" formatCode="0.0\ \ \ \ \ \ "/>
    <numFmt numFmtId="277" formatCode="0.0%\ \ \ \ \ "/>
    <numFmt numFmtId="278" formatCode="#,##0&quot;%&quot;"/>
    <numFmt numFmtId="279" formatCode="0.00_);\(0.00\);0.00"/>
    <numFmt numFmtId="280" formatCode="_(#,##0.000_);_(\-#,##0.000_)"/>
    <numFmt numFmtId="281" formatCode="0.00\ \ \ \ "/>
    <numFmt numFmtId="282" formatCode="&quot;$&quot;@"/>
    <numFmt numFmtId="283" formatCode="&quot;$&quot;#,##0.00&quot;A&quot;;[Red]\(&quot;$&quot;#,##0.00\)&quot;A&quot;"/>
    <numFmt numFmtId="284" formatCode="_(* #,##0_);_(* \(#,##0\)"/>
    <numFmt numFmtId="285" formatCode="_(#,##0_);_(\-#,##0_)"/>
    <numFmt numFmtId="286" formatCode="_(#,##0.00_);_(\-#,##0.00_)"/>
    <numFmt numFmtId="287" formatCode="_(#,##0.0_);_(\-#,##0.0_)"/>
    <numFmt numFmtId="288" formatCode="0.0000"/>
    <numFmt numFmtId="289" formatCode="mmm\ yy"/>
    <numFmt numFmtId="290" formatCode="00000"/>
    <numFmt numFmtId="291" formatCode="_(* #,##0.0_);_(* \(#,##0.0\);_(* &quot;-&quot;?_);_(@_)"/>
    <numFmt numFmtId="292" formatCode="_-&quot;£&quot;* #,##0.00_-;\-&quot;£&quot;* #,##0.00_-;_-&quot;£&quot;* &quot;-&quot;??_-;_-@_-"/>
    <numFmt numFmtId="293" formatCode="&quot;$&quot;0,000"/>
    <numFmt numFmtId="294" formatCode="_(* #,##0_);_(* \(#,##0\);_(* &quot;-&quot;??_);_(@_)"/>
    <numFmt numFmtId="295" formatCode="#,###_);\(#,###\)"/>
    <numFmt numFmtId="296" formatCode="&quot;£&quot;#,##0_);[Red]\(&quot;£&quot;#,##0\)"/>
    <numFmt numFmtId="297" formatCode="#,###\—_);\(#,###\—\)"/>
    <numFmt numFmtId="298" formatCode="0.0%;[Red]\(0.0\)%"/>
    <numFmt numFmtId="299" formatCode="&quot;£&quot;#,##0.00_);\(&quot;£&quot;#,##0.00\)"/>
    <numFmt numFmtId="300" formatCode="&quot;£&quot;#,##0.00_);[Red]\(&quot;£&quot;#,##0.00\)"/>
    <numFmt numFmtId="301" formatCode="_(&quot;£&quot;* #,##0_);_(&quot;£&quot;* \(#,##0\);_(&quot;£&quot;* &quot;-&quot;_);_(@_)"/>
    <numFmt numFmtId="302" formatCode="0.0%;\(0.0\)%"/>
    <numFmt numFmtId="303" formatCode="#,##0.0&quot;¢&quot;;\-#,##0.0&quot;¢&quot;"/>
    <numFmt numFmtId="304" formatCode="#,##0.0&quot;x&quot;;\-#,##0.0&quot;x&quot;"/>
    <numFmt numFmtId="305" formatCode="#,##0.0;\(#,##0.0\)"/>
    <numFmt numFmtId="306" formatCode="#,##0.00;\(#,##0.00\)"/>
    <numFmt numFmtId="307" formatCode="#,##0_%_);\(#,##0\)_%;#,##0_%_);@_%_)"/>
    <numFmt numFmtId="308" formatCode="&quot;$&quot;#,##0_%_);\(&quot;$&quot;#,##0\)_%;&quot;$&quot;#,##0_%_);@_%_)"/>
    <numFmt numFmtId="309" formatCode="m/d/yy_%_)"/>
    <numFmt numFmtId="310" formatCode="###0;\(###0\)"/>
    <numFmt numFmtId="311" formatCode="0_%_);\(0\)_%;0_%_);@_%_)"/>
    <numFmt numFmtId="312" formatCode="#,##0.0000000"/>
    <numFmt numFmtId="313" formatCode="0.00%;\(0.00%\)"/>
    <numFmt numFmtId="314" formatCode="0.0\%_);\(0.0\%\);0.0\%_);@_%_)"/>
    <numFmt numFmtId="315" formatCode="#,##0&quot;m&quot;;\-#,##0&quot;m&quot;"/>
    <numFmt numFmtId="316" formatCode="&quot;$&quot;#,##0.00_%_);\(&quot;$&quot;#,##0.00\)_%;&quot;$&quot;\ \ \-\-\ \ \ \ \ \ ;@_%_)"/>
    <numFmt numFmtId="317" formatCode="###0.0_x;\(###0.0\)_x"/>
    <numFmt numFmtId="318" formatCode="\$\ #,##0;&quot;£&quot;\ \-#,##0"/>
    <numFmt numFmtId="319" formatCode="#,##0.00_)\ \x;\(#,##0.00\)\ \x"/>
    <numFmt numFmtId="320" formatCode="&quot;$&quot;#,##0.0,,&quot;m&quot;;\-&quot;$&quot;#,##0.0,,&quot;m&quot;"/>
    <numFmt numFmtId="321" formatCode="#,##0.0,,;\-#,##0.0,,"/>
    <numFmt numFmtId="322" formatCode="&quot;$&quot;#,##0.0,,&quot;k&quot;;\-&quot;$&quot;#,##0.0,,&quot;k&quot;"/>
    <numFmt numFmtId="323" formatCode="#,##0.0,;\-#,##0.0,"/>
    <numFmt numFmtId="324" formatCode="_(* #,##0.00_);_(* &quot;\&quot;&quot;\&quot;\(#,##0.00&quot;\&quot;&quot;\&quot;\);_(* &quot;-&quot;??_);_(@_)"/>
    <numFmt numFmtId="329" formatCode="0.00%&quot; &quot;;\(0.00%\)"/>
    <numFmt numFmtId="330" formatCode="0.0000%"/>
    <numFmt numFmtId="331" formatCode="[$-409]d\-mmm\-yy;@"/>
    <numFmt numFmtId="332" formatCode="mm/dd/yy;@"/>
    <numFmt numFmtId="339" formatCode="#,##0.0000&quot; &quot;;\(#,##0.0000\)"/>
  </numFmts>
  <fonts count="265">
    <font>
      <sz val="10"/>
      <name val="Helvetica"/>
      <family val="2"/>
    </font>
    <font>
      <sz val="11"/>
      <color theme="1"/>
      <name val="Univers LT Std 55"/>
      <family val="2"/>
      <scheme val="minor"/>
    </font>
    <font>
      <sz val="11"/>
      <color theme="1"/>
      <name val="Univers LT Std 55"/>
      <family val="2"/>
      <scheme val="minor"/>
    </font>
    <font>
      <sz val="11"/>
      <color theme="1"/>
      <name val="Univers LT Std 55"/>
      <family val="2"/>
      <scheme val="minor"/>
    </font>
    <font>
      <sz val="11"/>
      <color theme="1"/>
      <name val="Univers LT Std 55"/>
      <family val="2"/>
      <scheme val="minor"/>
    </font>
    <font>
      <sz val="11"/>
      <color theme="1"/>
      <name val="Univers LT Std 55"/>
      <family val="2"/>
      <scheme val="minor"/>
    </font>
    <font>
      <sz val="11"/>
      <color theme="1"/>
      <name val="Univers LT Std 55"/>
      <family val="2"/>
      <scheme val="minor"/>
    </font>
    <font>
      <sz val="10"/>
      <name val="MS Sans Serif"/>
      <family val="2"/>
    </font>
    <font>
      <sz val="10"/>
      <name val="Helvetica"/>
      <family val="2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color indexed="8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6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0"/>
      <color indexed="10"/>
      <name val="Verdana"/>
      <family val="2"/>
    </font>
    <font>
      <sz val="10"/>
      <color indexed="12"/>
      <name val="Verdana"/>
      <family val="2"/>
    </font>
    <font>
      <sz val="10"/>
      <color indexed="8"/>
      <name val="Verdana"/>
      <family val="2"/>
    </font>
    <font>
      <i/>
      <sz val="10"/>
      <name val="Verdana"/>
      <family val="2"/>
    </font>
    <font>
      <sz val="10"/>
      <name val="Verdana"/>
      <family val="2"/>
    </font>
    <font>
      <sz val="10"/>
      <color indexed="40"/>
      <name val="Verdana"/>
      <family val="2"/>
    </font>
    <font>
      <b/>
      <sz val="9"/>
      <name val="Arial"/>
      <family val="2"/>
    </font>
    <font>
      <b/>
      <u/>
      <sz val="9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Verdana"/>
      <family val="2"/>
    </font>
    <font>
      <sz val="10"/>
      <name val="Helv"/>
    </font>
    <font>
      <sz val="10"/>
      <name val="Helvetica"/>
      <family val="2"/>
    </font>
    <font>
      <sz val="8"/>
      <name val="Helv"/>
    </font>
    <font>
      <sz val="10"/>
      <name val="Tms Rmn"/>
    </font>
    <font>
      <sz val="10"/>
      <name val="Palatino"/>
      <family val="1"/>
    </font>
    <font>
      <sz val="10"/>
      <name val="Courier"/>
      <family val="3"/>
    </font>
    <font>
      <b/>
      <sz val="10"/>
      <color indexed="17"/>
      <name val="MS Sans Serif"/>
      <family val="2"/>
    </font>
    <font>
      <sz val="9"/>
      <color indexed="8"/>
      <name val="Times New Roman"/>
      <family val="1"/>
    </font>
    <font>
      <b/>
      <sz val="10"/>
      <color indexed="8"/>
      <name val="Times New Roman"/>
      <family val="1"/>
    </font>
    <font>
      <sz val="8"/>
      <name val="Arial"/>
      <family val="2"/>
    </font>
    <font>
      <sz val="8"/>
      <color indexed="12"/>
      <name val="Arial"/>
      <family val="2"/>
    </font>
    <font>
      <sz val="9"/>
      <color indexed="9"/>
      <name val="Times New Roman"/>
      <family val="1"/>
    </font>
    <font>
      <i/>
      <sz val="8"/>
      <color indexed="18"/>
      <name val="MS Sans Serif"/>
      <family val="2"/>
    </font>
    <font>
      <sz val="9"/>
      <name val="Helv"/>
    </font>
    <font>
      <sz val="9"/>
      <name val="Times New Roman"/>
      <family val="1"/>
    </font>
    <font>
      <b/>
      <sz val="7"/>
      <name val="TarzanaNarrow"/>
    </font>
    <font>
      <sz val="7"/>
      <name val="TarzanaNarrow"/>
    </font>
    <font>
      <b/>
      <sz val="24"/>
      <name val="Times New Roman"/>
      <family val="1"/>
    </font>
    <font>
      <sz val="10"/>
      <name val="TarzanaNarrow"/>
    </font>
    <font>
      <sz val="8"/>
      <color indexed="10"/>
      <name val="Arial"/>
      <family val="2"/>
    </font>
    <font>
      <sz val="10"/>
      <color indexed="12"/>
      <name val="MS Sans Serif"/>
      <family val="2"/>
    </font>
    <font>
      <b/>
      <sz val="10"/>
      <name val="Times New Roman"/>
      <family val="1"/>
    </font>
    <font>
      <b/>
      <sz val="8.5"/>
      <color indexed="17"/>
      <name val="Arial"/>
      <family val="2"/>
    </font>
    <font>
      <sz val="9"/>
      <name val="Tms Rmn"/>
    </font>
    <font>
      <sz val="7"/>
      <name val="Arial"/>
      <family val="2"/>
    </font>
    <font>
      <b/>
      <sz val="7"/>
      <color indexed="17"/>
      <name val="Arial"/>
      <family val="2"/>
    </font>
    <font>
      <sz val="8.5"/>
      <color indexed="8"/>
      <name val="Arial"/>
      <family val="2"/>
    </font>
    <font>
      <i/>
      <sz val="8"/>
      <name val="MS Sans Serif"/>
      <family val="2"/>
    </font>
    <font>
      <b/>
      <sz val="12"/>
      <name val="Times New Roman"/>
      <family val="1"/>
    </font>
    <font>
      <b/>
      <i/>
      <sz val="10"/>
      <name val="Times New Roman"/>
      <family val="1"/>
    </font>
    <font>
      <i/>
      <sz val="10"/>
      <name val="Times New Roman"/>
      <family val="1"/>
    </font>
    <font>
      <b/>
      <i/>
      <sz val="12"/>
      <color indexed="3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b/>
      <sz val="10"/>
      <name val="Arial"/>
      <family val="2"/>
    </font>
    <font>
      <b/>
      <sz val="8"/>
      <color indexed="9"/>
      <name val="Arial"/>
      <family val="2"/>
    </font>
    <font>
      <b/>
      <sz val="8"/>
      <color indexed="8"/>
      <name val="Arial"/>
      <family val="2"/>
    </font>
    <font>
      <b/>
      <sz val="9"/>
      <name val="Helv"/>
    </font>
    <font>
      <sz val="10"/>
      <color indexed="62"/>
      <name val="Arial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b/>
      <i/>
      <sz val="8"/>
      <name val="Helvetica"/>
      <family val="2"/>
    </font>
    <font>
      <sz val="10"/>
      <color indexed="9"/>
      <name val="Arial"/>
      <family val="2"/>
    </font>
    <font>
      <i/>
      <sz val="8"/>
      <color indexed="14"/>
      <name val="MS Sans Serif"/>
      <family val="2"/>
    </font>
    <font>
      <b/>
      <sz val="14"/>
      <name val="Arial"/>
      <family val="2"/>
    </font>
    <font>
      <b/>
      <sz val="10"/>
      <color indexed="17"/>
      <name val="Arial"/>
      <family val="2"/>
    </font>
    <font>
      <sz val="16"/>
      <name val="MS Sans Serif"/>
      <family val="2"/>
    </font>
    <font>
      <sz val="10"/>
      <name val="Times New Roman"/>
      <family val="1"/>
    </font>
    <font>
      <sz val="7"/>
      <name val="Small Fonts"/>
      <family val="2"/>
    </font>
    <font>
      <b/>
      <i/>
      <sz val="16"/>
      <name val="Helv"/>
    </font>
    <font>
      <i/>
      <sz val="10"/>
      <name val="Helv"/>
    </font>
    <font>
      <b/>
      <sz val="9"/>
      <name val="TarzanaNarrow"/>
    </font>
    <font>
      <b/>
      <sz val="10"/>
      <name val="TarzanaNarrow"/>
    </font>
    <font>
      <sz val="9"/>
      <name val="Geneva"/>
      <family val="2"/>
    </font>
    <font>
      <b/>
      <sz val="14.5"/>
      <name val="TarzanaNarrow"/>
    </font>
    <font>
      <b/>
      <sz val="14"/>
      <name val="Times New Roman"/>
      <family val="1"/>
    </font>
    <font>
      <sz val="10"/>
      <name val="Geneva"/>
      <family val="2"/>
    </font>
    <font>
      <sz val="12"/>
      <name val="Helvetica"/>
      <family val="2"/>
    </font>
    <font>
      <b/>
      <sz val="8"/>
      <name val="HelveticaNeue Condensed"/>
    </font>
    <font>
      <sz val="8"/>
      <name val="HelveticaNeue LightCond"/>
      <family val="2"/>
    </font>
    <font>
      <b/>
      <sz val="7"/>
      <name val="HelveticaNeue Condensed"/>
      <family val="2"/>
    </font>
    <font>
      <b/>
      <sz val="9"/>
      <name val="Times New Roman"/>
      <family val="1"/>
    </font>
    <font>
      <sz val="8"/>
      <name val="Helv"/>
      <family val="2"/>
    </font>
    <font>
      <b/>
      <sz val="11"/>
      <name val="Times New Roman"/>
      <family val="1"/>
    </font>
    <font>
      <b/>
      <sz val="8.5"/>
      <color indexed="8"/>
      <name val="Arial"/>
      <family val="2"/>
    </font>
    <font>
      <b/>
      <sz val="8.5"/>
      <color indexed="17"/>
      <name val="Arial"/>
      <family val="2"/>
    </font>
    <font>
      <b/>
      <u/>
      <sz val="10"/>
      <name val="Arial"/>
      <family val="2"/>
    </font>
    <font>
      <sz val="9.5"/>
      <name val="TarzanaNarrow"/>
    </font>
    <font>
      <sz val="10"/>
      <name val="MS Serif"/>
      <family val="1"/>
    </font>
    <font>
      <b/>
      <sz val="10"/>
      <color indexed="50"/>
      <name val="Arial"/>
      <family val="2"/>
    </font>
    <font>
      <sz val="10"/>
      <name val="MS Sans Serif"/>
      <family val="2"/>
    </font>
    <font>
      <sz val="10"/>
      <color indexed="14"/>
      <name val="Verdana"/>
      <family val="2"/>
    </font>
    <font>
      <sz val="10"/>
      <color indexed="20"/>
      <name val="Arial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i/>
      <sz val="10"/>
      <color indexed="23"/>
      <name val="Arial"/>
      <family val="2"/>
    </font>
    <font>
      <b/>
      <sz val="11"/>
      <color indexed="62"/>
      <name val="Arial"/>
      <family val="2"/>
    </font>
    <font>
      <sz val="10"/>
      <color indexed="52"/>
      <name val="Arial"/>
      <family val="2"/>
    </font>
    <font>
      <sz val="10"/>
      <color indexed="60"/>
      <name val="Arial"/>
      <family val="2"/>
    </font>
    <font>
      <b/>
      <sz val="10"/>
      <color indexed="34"/>
      <name val="Arial"/>
      <family val="2"/>
    </font>
    <font>
      <b/>
      <sz val="18"/>
      <color indexed="62"/>
      <name val="Cambria"/>
      <family val="2"/>
    </font>
    <font>
      <sz val="10"/>
      <color indexed="10"/>
      <name val="Arial"/>
      <family val="2"/>
    </font>
    <font>
      <b/>
      <sz val="12"/>
      <color indexed="9"/>
      <name val="Arial"/>
      <family val="2"/>
    </font>
    <font>
      <sz val="10"/>
      <name val="Univers LT Std 55"/>
      <family val="2"/>
      <scheme val="minor"/>
    </font>
    <font>
      <i/>
      <sz val="10"/>
      <name val="Univers LT Std 55"/>
      <family val="2"/>
      <scheme val="minor"/>
    </font>
    <font>
      <sz val="10"/>
      <color rgb="FFFF0000"/>
      <name val="Verdana"/>
      <family val="2"/>
    </font>
    <font>
      <sz val="11"/>
      <color rgb="FF006100"/>
      <name val="Univers LT Std 55"/>
      <family val="2"/>
      <scheme val="minor"/>
    </font>
    <font>
      <sz val="11"/>
      <color rgb="FF9C6500"/>
      <name val="Univers LT Std 55"/>
      <family val="2"/>
      <scheme val="minor"/>
    </font>
    <font>
      <sz val="11"/>
      <color rgb="FF9C0006"/>
      <name val="Univers LT Std 55"/>
      <family val="2"/>
      <scheme val="minor"/>
    </font>
    <font>
      <b/>
      <sz val="11"/>
      <color rgb="FF3F3F3F"/>
      <name val="Univers LT Std 55"/>
      <family val="2"/>
      <scheme val="minor"/>
    </font>
    <font>
      <sz val="10"/>
      <name val="GS TheSans"/>
      <family val="2"/>
    </font>
    <font>
      <sz val="8"/>
      <name val="Tahoma"/>
      <family val="2"/>
    </font>
    <font>
      <b/>
      <sz val="10"/>
      <name val="MS Sans Serif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8"/>
      <name val="Times"/>
      <family val="1"/>
    </font>
    <font>
      <sz val="8"/>
      <name val="Helvetica"/>
      <family val="2"/>
    </font>
    <font>
      <b/>
      <sz val="12"/>
      <name val="Tms Rmn"/>
    </font>
    <font>
      <b/>
      <i/>
      <sz val="8"/>
      <name val="Arial"/>
      <family val="2"/>
    </font>
    <font>
      <b/>
      <sz val="10"/>
      <name val="Bookman"/>
      <family val="1"/>
    </font>
    <font>
      <b/>
      <sz val="14"/>
      <name val="Book Antiqua"/>
      <family val="1"/>
    </font>
    <font>
      <sz val="11"/>
      <color indexed="12"/>
      <name val="Book Antiqua"/>
      <family val="1"/>
    </font>
    <font>
      <b/>
      <u/>
      <sz val="7"/>
      <name val="Helvetica"/>
      <family val="2"/>
    </font>
    <font>
      <sz val="10"/>
      <name val="Book Antiqua"/>
      <family val="1"/>
    </font>
    <font>
      <b/>
      <sz val="10"/>
      <name val="Palatino"/>
      <family val="1"/>
    </font>
    <font>
      <sz val="8"/>
      <name val="Book Antiqua"/>
      <family val="1"/>
    </font>
    <font>
      <i/>
      <sz val="7"/>
      <name val="Book Antiqua"/>
      <family val="1"/>
    </font>
    <font>
      <sz val="8"/>
      <color indexed="9"/>
      <name val="Arial"/>
      <family val="2"/>
    </font>
    <font>
      <sz val="10"/>
      <color indexed="72"/>
      <name val="System"/>
      <family val="2"/>
    </font>
    <font>
      <b/>
      <sz val="14"/>
      <name val="Bookman"/>
      <family val="1"/>
    </font>
    <font>
      <b/>
      <sz val="12"/>
      <color indexed="16"/>
      <name val="Arial"/>
      <family val="2"/>
    </font>
    <font>
      <sz val="7"/>
      <name val="Times New Roman"/>
      <family val="1"/>
    </font>
    <font>
      <b/>
      <u/>
      <sz val="14"/>
      <name val="Book Antiqua"/>
      <family val="1"/>
    </font>
    <font>
      <b/>
      <sz val="10"/>
      <name val="Book Antiqua"/>
      <family val="1"/>
    </font>
    <font>
      <b/>
      <sz val="7"/>
      <name val="Arial"/>
      <family val="2"/>
    </font>
    <font>
      <i/>
      <sz val="10"/>
      <color rgb="FFFF0000"/>
      <name val="Verdana"/>
      <family val="2"/>
    </font>
    <font>
      <b/>
      <sz val="10"/>
      <color rgb="FFFF0000"/>
      <name val="Verdana"/>
      <family val="2"/>
    </font>
    <font>
      <sz val="10"/>
      <name val="Helv"/>
      <family val="2"/>
    </font>
    <font>
      <sz val="10"/>
      <name val="GillSans"/>
      <family val="2"/>
    </font>
    <font>
      <sz val="8"/>
      <color indexed="49"/>
      <name val="Times New Roman"/>
      <family val="1"/>
    </font>
    <font>
      <sz val="9"/>
      <name val="Helvetica 45"/>
    </font>
    <font>
      <sz val="10"/>
      <color indexed="8"/>
      <name val="MS Sans Serif"/>
      <family val="2"/>
    </font>
    <font>
      <sz val="12"/>
      <name val="Times New Roman"/>
      <family val="1"/>
    </font>
    <font>
      <sz val="8"/>
      <name val="Times New Roman"/>
      <family val="1"/>
    </font>
    <font>
      <b/>
      <sz val="9"/>
      <color indexed="0"/>
      <name val="Arial"/>
      <family val="2"/>
    </font>
    <font>
      <sz val="9"/>
      <color indexed="0"/>
      <name val="Arial"/>
      <family val="2"/>
    </font>
    <font>
      <b/>
      <sz val="12"/>
      <name val="Times"/>
      <family val="1"/>
    </font>
    <font>
      <b/>
      <i/>
      <sz val="12"/>
      <name val="Times"/>
      <family val="1"/>
    </font>
    <font>
      <sz val="11"/>
      <name val="Times New Roman"/>
      <family val="1"/>
    </font>
    <font>
      <b/>
      <sz val="8"/>
      <name val="Times New Roman"/>
      <family val="1"/>
    </font>
    <font>
      <sz val="10"/>
      <color indexed="18"/>
      <name val="Times New Roman"/>
      <family val="1"/>
    </font>
    <font>
      <b/>
      <sz val="7"/>
      <name val="Helvetica-Narrow"/>
      <family val="2"/>
    </font>
    <font>
      <b/>
      <sz val="7"/>
      <name val="GillSans"/>
      <family val="2"/>
    </font>
    <font>
      <sz val="11"/>
      <name val="Times"/>
      <family val="1"/>
    </font>
    <font>
      <sz val="11"/>
      <name val="Helvetica-Narrow"/>
      <family val="2"/>
    </font>
    <font>
      <sz val="10"/>
      <color indexed="12"/>
      <name val="Helv"/>
    </font>
    <font>
      <b/>
      <sz val="9"/>
      <color indexed="2"/>
      <name val="Arial"/>
      <family val="2"/>
    </font>
    <font>
      <sz val="9"/>
      <color indexed="2"/>
      <name val="Arial"/>
      <family val="2"/>
    </font>
    <font>
      <b/>
      <i/>
      <sz val="9"/>
      <color indexed="12"/>
      <name val="Arial Narrow"/>
      <family val="2"/>
    </font>
    <font>
      <b/>
      <i/>
      <sz val="8"/>
      <color indexed="12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9"/>
      <name val="GillSans Light"/>
      <family val="2"/>
    </font>
    <font>
      <sz val="8"/>
      <color indexed="17"/>
      <name val="Times New Roman"/>
      <family val="1"/>
    </font>
    <font>
      <b/>
      <sz val="10"/>
      <color indexed="9"/>
      <name val="GillSans"/>
      <family val="2"/>
    </font>
    <font>
      <b/>
      <sz val="10"/>
      <color indexed="8"/>
      <name val="GillSans"/>
      <family val="2"/>
    </font>
    <font>
      <sz val="10"/>
      <name val="GillSans Light"/>
      <family val="2"/>
    </font>
    <font>
      <sz val="8"/>
      <color indexed="18"/>
      <name val="Times New Roman"/>
      <family val="1"/>
    </font>
    <font>
      <sz val="8"/>
      <color indexed="8"/>
      <name val="Times New Roman"/>
      <family val="1"/>
    </font>
    <font>
      <sz val="10"/>
      <color indexed="8"/>
      <name val="Helv"/>
      <family val="2"/>
    </font>
    <font>
      <sz val="10"/>
      <name val="Times"/>
      <family val="1"/>
    </font>
    <font>
      <sz val="9"/>
      <color indexed="12"/>
      <name val="Swis721 Cn BT"/>
    </font>
    <font>
      <b/>
      <sz val="12"/>
      <color indexed="10"/>
      <name val="Swis721 Cn BT"/>
    </font>
    <font>
      <sz val="12"/>
      <name val="Arial"/>
      <family val="2"/>
    </font>
    <font>
      <b/>
      <sz val="14"/>
      <color indexed="9"/>
      <name val="Arial"/>
      <family val="2"/>
    </font>
    <font>
      <b/>
      <sz val="11"/>
      <color indexed="9"/>
      <name val="Arial"/>
      <family val="2"/>
    </font>
    <font>
      <b/>
      <i/>
      <sz val="8"/>
      <color indexed="9"/>
      <name val="Arial"/>
      <family val="2"/>
    </font>
    <font>
      <b/>
      <sz val="10"/>
      <name val="GillSans"/>
      <family val="2"/>
    </font>
    <font>
      <b/>
      <sz val="10"/>
      <color indexed="12"/>
      <name val="MS Sans Serif"/>
      <family val="2"/>
    </font>
    <font>
      <b/>
      <sz val="12"/>
      <color indexed="60"/>
      <name val="Swis721 Cn BT"/>
    </font>
    <font>
      <b/>
      <sz val="12"/>
      <name val="GillSans"/>
      <family val="2"/>
    </font>
    <font>
      <b/>
      <sz val="8"/>
      <color indexed="18"/>
      <name val="Times New Roman"/>
      <family val="1"/>
    </font>
    <font>
      <u/>
      <sz val="11"/>
      <name val="GillSans"/>
      <family val="2"/>
    </font>
    <font>
      <b/>
      <sz val="10"/>
      <color indexed="16"/>
      <name val="GillSans"/>
      <family val="2"/>
    </font>
    <font>
      <u/>
      <sz val="10"/>
      <name val="Helv"/>
    </font>
    <font>
      <sz val="11"/>
      <name val="ZapfCalligr BT"/>
      <family val="1"/>
    </font>
    <font>
      <sz val="12"/>
      <name val="Weiss"/>
    </font>
    <font>
      <sz val="10"/>
      <color indexed="18"/>
      <name val="GS TheSans"/>
      <family val="2"/>
    </font>
    <font>
      <b/>
      <sz val="8"/>
      <color indexed="32"/>
      <name val="Arial"/>
      <family val="2"/>
    </font>
    <font>
      <outline/>
      <sz val="14"/>
      <name val="N Helvetica Narrow"/>
    </font>
    <font>
      <sz val="8"/>
      <name val="Palatino"/>
      <family val="1"/>
    </font>
    <font>
      <sz val="10"/>
      <color indexed="22"/>
      <name val="Arial"/>
      <family val="2"/>
      <charset val="238"/>
    </font>
    <font>
      <sz val="8"/>
      <color indexed="10"/>
      <name val="Helv"/>
    </font>
    <font>
      <b/>
      <sz val="10"/>
      <color indexed="10"/>
      <name val="Helv"/>
    </font>
    <font>
      <i/>
      <sz val="8"/>
      <color indexed="10"/>
      <name val="Helv"/>
    </font>
    <font>
      <sz val="18"/>
      <name val="Helvetica-Black"/>
    </font>
    <font>
      <i/>
      <sz val="14"/>
      <name val="Palatino"/>
      <family val="1"/>
    </font>
    <font>
      <sz val="10"/>
      <color indexed="10"/>
      <name val="Times New Roman"/>
      <family val="1"/>
    </font>
    <font>
      <sz val="10"/>
      <color indexed="10"/>
      <name val="Helv"/>
    </font>
    <font>
      <b/>
      <i/>
      <sz val="8"/>
      <color indexed="10"/>
      <name val="Helvetica"/>
      <family val="2"/>
    </font>
    <font>
      <sz val="5"/>
      <name val="Arial"/>
      <family val="2"/>
    </font>
    <font>
      <sz val="10"/>
      <name val="Arial CE"/>
      <family val="2"/>
      <charset val="238"/>
    </font>
    <font>
      <sz val="8"/>
      <color indexed="12"/>
      <name val="Helv"/>
    </font>
    <font>
      <sz val="10"/>
      <color indexed="16"/>
      <name val="Helvetica-Black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b/>
      <sz val="10"/>
      <name val="Helv"/>
    </font>
    <font>
      <i/>
      <sz val="7"/>
      <color indexed="12"/>
      <name val="Times New Roman"/>
      <family val="1"/>
    </font>
    <font>
      <b/>
      <sz val="9"/>
      <name val="Palatino"/>
      <family val="1"/>
    </font>
    <font>
      <sz val="9"/>
      <color indexed="21"/>
      <name val="Helvetica-Black"/>
    </font>
    <font>
      <b/>
      <sz val="9"/>
      <color indexed="8"/>
      <name val="Helv"/>
    </font>
    <font>
      <sz val="12"/>
      <color indexed="9"/>
      <name val="Weiss"/>
    </font>
    <font>
      <sz val="12"/>
      <name val="Helv"/>
    </font>
    <font>
      <sz val="10"/>
      <name val="Univers LT Std 65 Bold"/>
      <family val="2"/>
      <scheme val="major"/>
    </font>
    <font>
      <sz val="11"/>
      <name val="Univers LT Std 55"/>
      <family val="2"/>
      <scheme val="minor"/>
    </font>
    <font>
      <sz val="10"/>
      <color rgb="FFFF0000"/>
      <name val="Univers LT Std 55"/>
      <family val="2"/>
      <scheme val="minor"/>
    </font>
    <font>
      <sz val="10"/>
      <color theme="0"/>
      <name val="arial"/>
      <family val="2"/>
    </font>
    <font>
      <b/>
      <sz val="10"/>
      <color rgb="FF0000FF"/>
      <name val="Arial"/>
      <family val="2"/>
    </font>
    <font>
      <sz val="10"/>
      <color rgb="FF000000"/>
      <name val="Helvetica"/>
    </font>
    <font>
      <sz val="12"/>
      <color theme="0"/>
      <name val="Arial"/>
      <family val="2"/>
    </font>
    <font>
      <sz val="11"/>
      <name val="Arial"/>
      <family val="2"/>
    </font>
    <font>
      <b/>
      <sz val="10"/>
      <name val="Univers LT Std 55"/>
      <family val="2"/>
      <scheme val="minor"/>
    </font>
    <font>
      <b/>
      <sz val="22"/>
      <name val="Arial"/>
      <family val="2"/>
    </font>
    <font>
      <u/>
      <sz val="10"/>
      <color indexed="12"/>
      <name val="Arial"/>
      <family val="2"/>
    </font>
    <font>
      <u/>
      <sz val="10"/>
      <color theme="6"/>
      <name val="Arial"/>
      <family val="2"/>
    </font>
    <font>
      <i/>
      <sz val="9"/>
      <name val="Arial"/>
      <family val="2"/>
    </font>
    <font>
      <b/>
      <sz val="10"/>
      <color theme="0"/>
      <name val="Verdana"/>
      <family val="2"/>
    </font>
    <font>
      <sz val="10"/>
      <color theme="0"/>
      <name val="Verdana"/>
      <family val="2"/>
    </font>
    <font>
      <sz val="10"/>
      <color rgb="FF0000FF"/>
      <name val="Verdana"/>
      <family val="2"/>
    </font>
    <font>
      <sz val="10"/>
      <color rgb="FF0000FF"/>
      <name val="Helvetica"/>
      <family val="2"/>
    </font>
    <font>
      <sz val="10"/>
      <color theme="6"/>
      <name val="Verdana"/>
      <family val="2"/>
    </font>
    <font>
      <sz val="10"/>
      <color rgb="FF008000"/>
      <name val="Verdana"/>
      <family val="2"/>
    </font>
    <font>
      <sz val="8"/>
      <name val="Verdana"/>
      <family val="2"/>
    </font>
    <font>
      <b/>
      <u/>
      <sz val="10"/>
      <name val="Verdana"/>
      <family val="2"/>
    </font>
    <font>
      <i/>
      <sz val="10"/>
      <color rgb="FF0000FF"/>
      <name val="Verdana"/>
      <family val="2"/>
    </font>
    <font>
      <b/>
      <sz val="10"/>
      <color rgb="FF0000FF"/>
      <name val="Verdana"/>
      <family val="2"/>
    </font>
    <font>
      <b/>
      <sz val="10"/>
      <color rgb="FF008000"/>
      <name val="Verdana"/>
      <family val="2"/>
    </font>
    <font>
      <b/>
      <sz val="8"/>
      <color rgb="FFC00000"/>
      <name val="Verdana"/>
      <family val="2"/>
    </font>
    <font>
      <sz val="10"/>
      <color rgb="FF000000"/>
      <name val="Segoe UI"/>
      <family val="2"/>
    </font>
    <font>
      <sz val="8"/>
      <color rgb="FF6E6E73"/>
      <name val="Segoe UI"/>
      <family val="2"/>
    </font>
    <font>
      <sz val="10"/>
      <name val="Calibri"/>
      <family val="2"/>
    </font>
    <font>
      <sz val="10"/>
      <color rgb="FF000000"/>
      <name val="Verdana"/>
      <family val="2"/>
    </font>
    <font>
      <b/>
      <i/>
      <sz val="10"/>
      <name val="Arial"/>
      <family val="2"/>
    </font>
    <font>
      <i/>
      <sz val="10"/>
      <color rgb="FF000000"/>
      <name val="Verdana"/>
      <family val="2"/>
    </font>
    <font>
      <b/>
      <sz val="10"/>
      <color theme="6"/>
      <name val="Verdana"/>
      <family val="2"/>
    </font>
    <font>
      <i/>
      <sz val="10"/>
      <color theme="6"/>
      <name val="Verdana"/>
      <family val="2"/>
    </font>
    <font>
      <b/>
      <sz val="10"/>
      <color rgb="FF000000"/>
      <name val="Verdana"/>
      <family val="2"/>
    </font>
    <font>
      <b/>
      <sz val="9"/>
      <color indexed="81"/>
      <name val="Tahoma"/>
      <charset val="1"/>
    </font>
  </fonts>
  <fills count="75">
    <fill>
      <patternFill patternType="none"/>
    </fill>
    <fill>
      <patternFill patternType="gray125"/>
    </fill>
    <fill>
      <patternFill patternType="solid">
        <fgColor indexed="30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38"/>
      </patternFill>
    </fill>
    <fill>
      <patternFill patternType="solid">
        <fgColor indexed="28"/>
      </patternFill>
    </fill>
    <fill>
      <patternFill patternType="solid">
        <fgColor indexed="26"/>
      </patternFill>
    </fill>
    <fill>
      <patternFill patternType="solid">
        <fgColor indexed="33"/>
      </patternFill>
    </fill>
    <fill>
      <patternFill patternType="solid">
        <fgColor indexed="24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gray0625">
        <fgColor indexed="10"/>
        <bgColor indexed="9"/>
      </patternFill>
    </fill>
    <fill>
      <patternFill patternType="solid">
        <fgColor indexed="45"/>
      </patternFill>
    </fill>
    <fill>
      <patternFill patternType="lightGray">
        <fgColor indexed="14"/>
        <bgColor indexed="9"/>
      </patternFill>
    </fill>
    <fill>
      <patternFill patternType="solid">
        <fgColor indexed="27"/>
      </patternFill>
    </fill>
    <fill>
      <patternFill patternType="solid">
        <fgColor indexed="22"/>
        <bgColor indexed="64"/>
      </patternFill>
    </fill>
    <fill>
      <patternFill patternType="lightGray">
        <fgColor indexed="12"/>
        <bgColor indexed="9"/>
      </patternFill>
    </fill>
    <fill>
      <patternFill patternType="solid">
        <fgColor indexed="42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1"/>
        <bgColor indexed="9"/>
      </patternFill>
    </fill>
    <fill>
      <patternFill patternType="solid">
        <fgColor indexed="29"/>
        <bgColor indexed="64"/>
      </patternFill>
    </fill>
    <fill>
      <patternFill patternType="solid">
        <fgColor indexed="15"/>
      </patternFill>
    </fill>
    <fill>
      <patternFill patternType="lightGray">
        <fgColor indexed="22"/>
        <bgColor indexed="9"/>
      </patternFill>
    </fill>
    <fill>
      <patternFill patternType="mediumGray"/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lightGray">
        <fgColor indexed="15"/>
      </patternFill>
    </fill>
    <fill>
      <patternFill patternType="solid">
        <fgColor indexed="8"/>
        <bgColor indexed="64"/>
      </patternFill>
    </fill>
    <fill>
      <patternFill patternType="solid">
        <fgColor rgb="FFCFD6E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indexed="12"/>
      </patternFill>
    </fill>
    <fill>
      <patternFill patternType="solid">
        <fgColor indexed="44"/>
        <bgColor indexed="64"/>
      </patternFill>
    </fill>
    <fill>
      <patternFill patternType="gray125">
        <fgColor indexed="26"/>
        <bgColor indexed="9"/>
      </patternFill>
    </fill>
    <fill>
      <patternFill patternType="gray0625">
        <fgColor indexed="22"/>
      </patternFill>
    </fill>
    <fill>
      <patternFill patternType="solid">
        <fgColor indexed="13"/>
      </patternFill>
    </fill>
    <fill>
      <patternFill patternType="solid">
        <fgColor indexed="41"/>
        <bgColor indexed="64"/>
      </patternFill>
    </fill>
    <fill>
      <patternFill patternType="mediumGray">
        <fgColor indexed="22"/>
      </patternFill>
    </fill>
    <fill>
      <patternFill patternType="solid">
        <fgColor indexed="6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2"/>
      </patternFill>
    </fill>
    <fill>
      <patternFill patternType="gray0625"/>
    </fill>
    <fill>
      <patternFill patternType="solid">
        <fgColor indexed="29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355F"/>
        <bgColor indexed="64"/>
      </patternFill>
    </fill>
    <fill>
      <patternFill patternType="solid">
        <fgColor theme="4" tint="0.8999908444471571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</fills>
  <borders count="8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34"/>
      </left>
      <right style="double">
        <color indexed="34"/>
      </right>
      <top style="double">
        <color indexed="34"/>
      </top>
      <bottom style="double">
        <color indexed="3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2"/>
      </left>
      <right style="medium">
        <color indexed="62"/>
      </right>
      <top style="medium">
        <color indexed="62"/>
      </top>
      <bottom style="medium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double">
        <color indexed="5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33"/>
      </left>
      <right style="thin">
        <color indexed="33"/>
      </right>
      <top style="thin">
        <color indexed="33"/>
      </top>
      <bottom style="thin">
        <color indexed="33"/>
      </bottom>
      <diagonal/>
    </border>
    <border>
      <left style="thin">
        <color indexed="34"/>
      </left>
      <right style="thin">
        <color indexed="34"/>
      </right>
      <top style="thin">
        <color indexed="34"/>
      </top>
      <bottom style="thin">
        <color indexed="3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23"/>
      </bottom>
      <diagonal/>
    </border>
    <border>
      <left style="thin">
        <color indexed="23"/>
      </left>
      <right style="dashed">
        <color indexed="9"/>
      </right>
      <top/>
      <bottom style="dashed">
        <color indexed="9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57"/>
      </left>
      <right style="medium">
        <color indexed="57"/>
      </right>
      <top style="medium">
        <color indexed="57"/>
      </top>
      <bottom style="medium">
        <color indexed="57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18"/>
      </bottom>
      <diagonal/>
    </border>
    <border>
      <left style="medium">
        <color indexed="9"/>
      </left>
      <right style="medium">
        <color indexed="9"/>
      </right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ck">
        <color indexed="9"/>
      </left>
      <right style="thick">
        <color indexed="9"/>
      </right>
      <top/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indexed="8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 diagonalDown="1">
      <left/>
      <right/>
      <top/>
      <bottom/>
      <diagonal/>
    </border>
    <border>
      <left style="dotted">
        <color indexed="12"/>
      </left>
      <right style="dotted">
        <color indexed="12"/>
      </right>
      <top style="dotted">
        <color indexed="12"/>
      </top>
      <bottom style="dotted">
        <color indexed="12"/>
      </bottom>
      <diagonal/>
    </border>
    <border>
      <left style="medium">
        <color indexed="51"/>
      </left>
      <right style="medium">
        <color indexed="51"/>
      </right>
      <top style="medium">
        <color indexed="51"/>
      </top>
      <bottom style="medium">
        <color indexed="51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/>
      <bottom style="thick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23"/>
      </top>
      <bottom/>
      <diagonal/>
    </border>
    <border>
      <left/>
      <right/>
      <top/>
      <bottom style="medium">
        <color indexed="45"/>
      </bottom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 style="dotted">
        <color indexed="12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/>
      <top style="thin">
        <color indexed="22"/>
      </top>
      <bottom/>
      <diagonal/>
    </border>
    <border>
      <left style="thick">
        <color indexed="12"/>
      </left>
      <right style="thick">
        <color indexed="12"/>
      </right>
      <top style="thick">
        <color indexed="12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32"/>
      </top>
      <bottom style="medium">
        <color indexed="32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88">
    <xf numFmtId="0" fontId="0" fillId="0" borderId="0" applyFont="0"/>
    <xf numFmtId="0" fontId="9" fillId="0" borderId="0"/>
    <xf numFmtId="37" fontId="8" fillId="0" borderId="0"/>
    <xf numFmtId="0" fontId="9" fillId="0" borderId="0"/>
    <xf numFmtId="0" fontId="9" fillId="0" borderId="0" applyFont="0" applyFill="0" applyBorder="0" applyAlignment="0" applyProtection="0"/>
    <xf numFmtId="0" fontId="9" fillId="0" borderId="0"/>
    <xf numFmtId="0" fontId="9" fillId="0" borderId="0"/>
    <xf numFmtId="192" fontId="9" fillId="0" borderId="0"/>
    <xf numFmtId="192" fontId="9" fillId="0" borderId="0"/>
    <xf numFmtId="0" fontId="9" fillId="0" borderId="0"/>
    <xf numFmtId="193" fontId="31" fillId="0" borderId="0"/>
    <xf numFmtId="0" fontId="31" fillId="0" borderId="0"/>
    <xf numFmtId="194" fontId="9" fillId="0" borderId="0"/>
    <xf numFmtId="182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95" fontId="11" fillId="0" borderId="0" applyFont="0" applyFill="0" applyBorder="0" applyAlignment="0" applyProtection="0"/>
    <xf numFmtId="0" fontId="13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31" fillId="0" borderId="0"/>
    <xf numFmtId="0" fontId="31" fillId="0" borderId="0"/>
    <xf numFmtId="0" fontId="31" fillId="0" borderId="0"/>
    <xf numFmtId="196" fontId="31" fillId="0" borderId="0"/>
    <xf numFmtId="0" fontId="31" fillId="0" borderId="0"/>
    <xf numFmtId="197" fontId="13" fillId="0" borderId="0"/>
    <xf numFmtId="0" fontId="13" fillId="0" borderId="0"/>
    <xf numFmtId="0" fontId="31" fillId="0" borderId="0"/>
    <xf numFmtId="0" fontId="9" fillId="0" borderId="0"/>
    <xf numFmtId="0" fontId="9" fillId="0" borderId="0"/>
    <xf numFmtId="0" fontId="13" fillId="0" borderId="0"/>
    <xf numFmtId="0" fontId="9" fillId="0" borderId="0"/>
    <xf numFmtId="0" fontId="31" fillId="0" borderId="0"/>
    <xf numFmtId="0" fontId="31" fillId="0" borderId="0"/>
    <xf numFmtId="196" fontId="31" fillId="0" borderId="0"/>
    <xf numFmtId="0" fontId="31" fillId="0" borderId="0"/>
    <xf numFmtId="197" fontId="13" fillId="0" borderId="0"/>
    <xf numFmtId="0" fontId="9" fillId="0" borderId="0"/>
    <xf numFmtId="0" fontId="13" fillId="0" borderId="0"/>
    <xf numFmtId="0" fontId="13" fillId="0" borderId="0"/>
    <xf numFmtId="0" fontId="9" fillId="0" borderId="0"/>
    <xf numFmtId="0" fontId="9" fillId="0" borderId="0"/>
    <xf numFmtId="0" fontId="9" fillId="0" borderId="0"/>
    <xf numFmtId="198" fontId="9" fillId="0" borderId="0"/>
    <xf numFmtId="193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198" fontId="9" fillId="0" borderId="0"/>
    <xf numFmtId="198" fontId="9" fillId="0" borderId="0"/>
    <xf numFmtId="193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198" fontId="9" fillId="0" borderId="0"/>
    <xf numFmtId="198" fontId="9" fillId="0" borderId="0"/>
    <xf numFmtId="198" fontId="9" fillId="0" borderId="0"/>
    <xf numFmtId="193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198" fontId="9" fillId="0" borderId="0"/>
    <xf numFmtId="193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198" fontId="9" fillId="0" borderId="0"/>
    <xf numFmtId="198" fontId="9" fillId="0" borderId="0"/>
    <xf numFmtId="193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198" fontId="9" fillId="0" borderId="0"/>
    <xf numFmtId="198" fontId="9" fillId="0" borderId="0"/>
    <xf numFmtId="193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198" fontId="9" fillId="0" borderId="0"/>
    <xf numFmtId="0" fontId="9" fillId="0" borderId="0"/>
    <xf numFmtId="0" fontId="9" fillId="0" borderId="0"/>
    <xf numFmtId="0" fontId="9" fillId="0" borderId="0" applyFont="0" applyFill="0" applyBorder="0" applyAlignment="0" applyProtection="0"/>
    <xf numFmtId="0" fontId="9" fillId="0" borderId="0"/>
    <xf numFmtId="0" fontId="31" fillId="0" borderId="0"/>
    <xf numFmtId="0" fontId="9" fillId="0" borderId="0"/>
    <xf numFmtId="0" fontId="9" fillId="0" borderId="0"/>
    <xf numFmtId="0" fontId="9" fillId="0" borderId="0"/>
    <xf numFmtId="0" fontId="9" fillId="0" borderId="0"/>
    <xf numFmtId="199" fontId="9" fillId="0" borderId="0"/>
    <xf numFmtId="199" fontId="9" fillId="0" borderId="0"/>
    <xf numFmtId="0" fontId="9" fillId="0" borderId="0"/>
    <xf numFmtId="0" fontId="9" fillId="0" borderId="0"/>
    <xf numFmtId="0" fontId="9" fillId="0" borderId="0" applyFont="0" applyFill="0" applyBorder="0" applyAlignment="0" applyProtection="0"/>
    <xf numFmtId="0" fontId="31" fillId="0" borderId="0"/>
    <xf numFmtId="194" fontId="9" fillId="0" borderId="0"/>
    <xf numFmtId="0" fontId="9" fillId="0" borderId="0"/>
    <xf numFmtId="0" fontId="9" fillId="0" borderId="0" applyFont="0" applyFill="0" applyBorder="0" applyAlignment="0" applyProtection="0"/>
    <xf numFmtId="200" fontId="11" fillId="0" borderId="0" applyFont="0" applyFill="0" applyBorder="0" applyAlignment="0" applyProtection="0"/>
    <xf numFmtId="0" fontId="13" fillId="0" borderId="0" applyFont="0" applyFill="0" applyBorder="0" applyAlignment="0" applyProtection="0"/>
    <xf numFmtId="201" fontId="11" fillId="0" borderId="0" applyFont="0" applyFill="0" applyBorder="0" applyAlignment="0" applyProtection="0"/>
    <xf numFmtId="0" fontId="13" fillId="0" borderId="0" applyFont="0" applyFill="0" applyBorder="0" applyAlignment="0" applyProtection="0"/>
    <xf numFmtId="202" fontId="11" fillId="0" borderId="0" applyFont="0" applyFill="0" applyBorder="0" applyAlignment="0" applyProtection="0"/>
    <xf numFmtId="0" fontId="13" fillId="0" borderId="0" applyFont="0" applyFill="0" applyBorder="0" applyAlignment="0" applyProtection="0"/>
    <xf numFmtId="165" fontId="11" fillId="0" borderId="0" applyFont="0" applyFill="0" applyBorder="0" applyAlignment="0" applyProtection="0"/>
    <xf numFmtId="0" fontId="13" fillId="0" borderId="0" applyFont="0" applyFill="0" applyBorder="0" applyAlignment="0" applyProtection="0"/>
    <xf numFmtId="198" fontId="9" fillId="0" borderId="0"/>
    <xf numFmtId="180" fontId="31" fillId="0" borderId="0"/>
    <xf numFmtId="0" fontId="9" fillId="0" borderId="0"/>
    <xf numFmtId="187" fontId="31" fillId="0" borderId="0"/>
    <xf numFmtId="203" fontId="31" fillId="0" borderId="0"/>
    <xf numFmtId="203" fontId="31" fillId="0" borderId="0"/>
    <xf numFmtId="198" fontId="9" fillId="0" borderId="0"/>
    <xf numFmtId="0" fontId="31" fillId="0" borderId="0"/>
    <xf numFmtId="0" fontId="31" fillId="0" borderId="0"/>
    <xf numFmtId="198" fontId="9" fillId="0" borderId="0"/>
    <xf numFmtId="0" fontId="9" fillId="0" borderId="0"/>
    <xf numFmtId="0" fontId="9" fillId="0" borderId="0"/>
    <xf numFmtId="0" fontId="31" fillId="0" borderId="0"/>
    <xf numFmtId="0" fontId="9" fillId="0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9" fontId="32" fillId="0" borderId="0" applyFont="0" applyFill="0" applyBorder="0" applyAlignment="0" applyProtection="0"/>
    <xf numFmtId="171" fontId="30" fillId="0" borderId="0" applyFont="0" applyFill="0" applyBorder="0" applyAlignment="0" applyProtection="0">
      <alignment horizontal="right"/>
    </xf>
    <xf numFmtId="175" fontId="33" fillId="0" borderId="0"/>
    <xf numFmtId="10" fontId="32" fillId="0" borderId="0" applyFont="0" applyFill="0" applyBorder="0" applyAlignment="0" applyProtection="0"/>
    <xf numFmtId="0" fontId="34" fillId="0" borderId="0" applyNumberFormat="0" applyBorder="0" applyAlignment="0"/>
    <xf numFmtId="0" fontId="32" fillId="0" borderId="0" applyFont="0" applyFill="0" applyBorder="0" applyAlignment="0" applyProtection="0"/>
    <xf numFmtId="3" fontId="8" fillId="0" borderId="0"/>
    <xf numFmtId="0" fontId="9" fillId="0" borderId="0" applyBorder="0"/>
    <xf numFmtId="39" fontId="35" fillId="0" borderId="0" applyFont="0" applyFill="0" applyBorder="0" applyAlignment="0" applyProtection="0"/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5" borderId="0" applyNumberFormat="0" applyBorder="0" applyAlignment="0" applyProtection="0"/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204" fontId="35" fillId="0" borderId="0" applyFont="0" applyFill="0" applyBorder="0" applyAlignment="0" applyProtection="0"/>
    <xf numFmtId="0" fontId="28" fillId="6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3" borderId="0" applyNumberFormat="0" applyBorder="0" applyAlignment="0" applyProtection="0"/>
    <xf numFmtId="0" fontId="73" fillId="7" borderId="0" applyNumberFormat="0" applyBorder="0" applyAlignment="0" applyProtection="0"/>
    <xf numFmtId="0" fontId="73" fillId="3" borderId="0" applyNumberFormat="0" applyBorder="0" applyAlignment="0" applyProtection="0"/>
    <xf numFmtId="0" fontId="73" fillId="4" borderId="0" applyNumberFormat="0" applyBorder="0" applyAlignment="0" applyProtection="0"/>
    <xf numFmtId="0" fontId="73" fillId="8" borderId="0" applyNumberFormat="0" applyBorder="0" applyAlignment="0" applyProtection="0"/>
    <xf numFmtId="0" fontId="73" fillId="7" borderId="0" applyNumberFormat="0" applyBorder="0" applyAlignment="0" applyProtection="0"/>
    <xf numFmtId="0" fontId="73" fillId="3" borderId="0" applyNumberFormat="0" applyBorder="0" applyAlignment="0" applyProtection="0"/>
    <xf numFmtId="182" fontId="36" fillId="0" borderId="1">
      <alignment horizontal="right"/>
    </xf>
    <xf numFmtId="0" fontId="73" fillId="9" borderId="0" applyNumberFormat="0" applyBorder="0" applyAlignment="0" applyProtection="0"/>
    <xf numFmtId="0" fontId="73" fillId="10" borderId="0" applyNumberFormat="0" applyBorder="0" applyAlignment="0" applyProtection="0"/>
    <xf numFmtId="0" fontId="73" fillId="11" borderId="0" applyNumberFormat="0" applyBorder="0" applyAlignment="0" applyProtection="0"/>
    <xf numFmtId="0" fontId="73" fillId="12" borderId="0" applyNumberFormat="0" applyBorder="0" applyAlignment="0" applyProtection="0"/>
    <xf numFmtId="0" fontId="73" fillId="13" borderId="0" applyNumberFormat="0" applyBorder="0" applyAlignment="0" applyProtection="0"/>
    <xf numFmtId="0" fontId="73" fillId="14" borderId="0" applyNumberFormat="0" applyBorder="0" applyAlignment="0" applyProtection="0"/>
    <xf numFmtId="191" fontId="37" fillId="15" borderId="0" applyNumberFormat="0" applyFont="0" applyBorder="0" applyAlignment="0">
      <alignment horizontal="right"/>
    </xf>
    <xf numFmtId="205" fontId="38" fillId="15" borderId="2" applyFont="0">
      <alignment horizontal="right"/>
    </xf>
    <xf numFmtId="0" fontId="39" fillId="0" borderId="0" applyNumberFormat="0" applyFill="0" applyBorder="0" applyAlignment="0" applyProtection="0"/>
    <xf numFmtId="0" fontId="40" fillId="0" borderId="0">
      <protection locked="0"/>
    </xf>
    <xf numFmtId="0" fontId="9" fillId="0" borderId="0"/>
    <xf numFmtId="0" fontId="103" fillId="16" borderId="0" applyNumberFormat="0" applyBorder="0" applyAlignment="0" applyProtection="0"/>
    <xf numFmtId="38" fontId="39" fillId="0" borderId="0"/>
    <xf numFmtId="0" fontId="41" fillId="0" borderId="0" applyNumberFormat="0" applyFill="0" applyBorder="0" applyAlignment="0"/>
    <xf numFmtId="38" fontId="42" fillId="0" borderId="0" applyNumberFormat="0" applyBorder="0" applyAlignment="0" applyProtection="0"/>
    <xf numFmtId="177" fontId="9" fillId="0" borderId="0" applyFont="0" applyFill="0" applyBorder="0" applyAlignment="0" applyProtection="0"/>
    <xf numFmtId="2" fontId="39" fillId="17" borderId="0" applyNumberFormat="0" applyFont="0" applyBorder="0" applyAlignment="0" applyProtection="0"/>
    <xf numFmtId="0" fontId="43" fillId="0" borderId="0" applyFill="0" applyBorder="0" applyAlignment="0"/>
    <xf numFmtId="0" fontId="43" fillId="0" borderId="0" applyFill="0" applyBorder="0" applyAlignment="0"/>
    <xf numFmtId="0" fontId="44" fillId="0" borderId="0" applyFill="0" applyBorder="0" applyAlignment="0"/>
    <xf numFmtId="0" fontId="43" fillId="0" borderId="0" applyFill="0" applyBorder="0" applyAlignment="0"/>
    <xf numFmtId="0" fontId="43" fillId="0" borderId="0" applyFill="0" applyBorder="0" applyAlignment="0"/>
    <xf numFmtId="0" fontId="43" fillId="0" borderId="0" applyFill="0" applyBorder="0" applyAlignment="0"/>
    <xf numFmtId="0" fontId="43" fillId="0" borderId="0" applyFill="0" applyBorder="0" applyAlignment="0"/>
    <xf numFmtId="0" fontId="43" fillId="0" borderId="0" applyFill="0" applyBorder="0" applyAlignment="0"/>
    <xf numFmtId="0" fontId="104" fillId="18" borderId="3" applyNumberFormat="0" applyAlignment="0" applyProtection="0"/>
    <xf numFmtId="0" fontId="105" fillId="8" borderId="4" applyNumberFormat="0" applyAlignment="0" applyProtection="0"/>
    <xf numFmtId="49" fontId="45" fillId="0" borderId="0">
      <alignment horizontal="right" vertical="center"/>
    </xf>
    <xf numFmtId="49" fontId="46" fillId="0" borderId="0">
      <alignment horizontal="right" vertical="center"/>
    </xf>
    <xf numFmtId="0" fontId="27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27" fillId="0" borderId="2" applyNumberFormat="0" applyFill="0" applyProtection="0">
      <alignment horizontal="right"/>
    </xf>
    <xf numFmtId="0" fontId="43" fillId="0" borderId="0" applyFont="0" applyFill="0" applyBorder="0" applyAlignment="0" applyProtection="0"/>
    <xf numFmtId="38" fontId="31" fillId="0" borderId="0">
      <alignment horizontal="center"/>
      <protection locked="0"/>
    </xf>
    <xf numFmtId="177" fontId="9" fillId="0" borderId="5" applyFill="0" applyBorder="0" applyProtection="0"/>
    <xf numFmtId="166" fontId="22" fillId="0" borderId="0" applyFont="0" applyFill="0" applyBorder="0" applyAlignment="0" applyProtection="0"/>
    <xf numFmtId="0" fontId="47" fillId="0" borderId="0" applyNumberFormat="0" applyFill="0" applyBorder="0">
      <alignment horizontal="right"/>
    </xf>
    <xf numFmtId="0" fontId="43" fillId="0" borderId="0" applyFont="0" applyFill="0" applyBorder="0" applyAlignment="0" applyProtection="0"/>
    <xf numFmtId="38" fontId="39" fillId="0" borderId="6" applyBorder="0"/>
    <xf numFmtId="206" fontId="9" fillId="19" borderId="0" applyFont="0" applyBorder="0"/>
    <xf numFmtId="0" fontId="48" fillId="0" borderId="0"/>
    <xf numFmtId="14" fontId="28" fillId="0" borderId="0" applyFill="0" applyBorder="0" applyAlignment="0"/>
    <xf numFmtId="38" fontId="7" fillId="0" borderId="7">
      <alignment vertical="center"/>
    </xf>
    <xf numFmtId="0" fontId="32" fillId="0" borderId="0"/>
    <xf numFmtId="0" fontId="43" fillId="0" borderId="0" applyFill="0" applyBorder="0" applyAlignment="0"/>
    <xf numFmtId="0" fontId="43" fillId="0" borderId="0" applyFill="0" applyBorder="0" applyAlignment="0"/>
    <xf numFmtId="0" fontId="43" fillId="0" borderId="0" applyFill="0" applyBorder="0" applyAlignment="0"/>
    <xf numFmtId="0" fontId="43" fillId="0" borderId="0" applyFill="0" applyBorder="0" applyAlignment="0"/>
    <xf numFmtId="0" fontId="43" fillId="0" borderId="0" applyFill="0" applyBorder="0" applyAlignment="0"/>
    <xf numFmtId="0" fontId="14" fillId="0" borderId="0" applyNumberFormat="0" applyFont="0" applyFill="0" applyBorder="0" applyAlignment="0" applyProtection="0"/>
    <xf numFmtId="38" fontId="27" fillId="0" borderId="2" applyBorder="0" applyAlignment="0" applyProtection="0"/>
    <xf numFmtId="0" fontId="106" fillId="0" borderId="0" applyNumberFormat="0" applyFill="0" applyBorder="0" applyAlignment="0" applyProtection="0"/>
    <xf numFmtId="207" fontId="39" fillId="20" borderId="8" applyNumberFormat="0" applyFont="0" applyBorder="0" applyAlignment="0" applyProtection="0">
      <alignment horizontal="right"/>
    </xf>
    <xf numFmtId="49" fontId="45" fillId="0" borderId="0"/>
    <xf numFmtId="170" fontId="49" fillId="0" borderId="0" applyNumberFormat="0" applyFill="0" applyBorder="0" applyAlignment="0" applyProtection="0"/>
    <xf numFmtId="1" fontId="39" fillId="0" borderId="0" applyNumberFormat="0" applyBorder="0" applyAlignment="0" applyProtection="0"/>
    <xf numFmtId="12" fontId="30" fillId="0" borderId="0">
      <alignment horizontal="center"/>
    </xf>
    <xf numFmtId="38" fontId="50" fillId="0" borderId="0" applyBorder="0"/>
    <xf numFmtId="0" fontId="51" fillId="0" borderId="9" applyProtection="0">
      <alignment horizontal="center"/>
    </xf>
    <xf numFmtId="208" fontId="52" fillId="0" borderId="0">
      <alignment vertical="center"/>
    </xf>
    <xf numFmtId="0" fontId="53" fillId="0" borderId="0"/>
    <xf numFmtId="0" fontId="71" fillId="21" borderId="0" applyNumberFormat="0" applyBorder="0" applyAlignment="0" applyProtection="0"/>
    <xf numFmtId="38" fontId="10" fillId="19" borderId="0" applyNumberFormat="0" applyBorder="0" applyAlignment="0" applyProtection="0"/>
    <xf numFmtId="49" fontId="54" fillId="0" borderId="0">
      <alignment horizontal="right"/>
    </xf>
    <xf numFmtId="49" fontId="55" fillId="0" borderId="0">
      <alignment horizontal="right"/>
    </xf>
    <xf numFmtId="208" fontId="56" fillId="0" borderId="0">
      <alignment vertical="center"/>
    </xf>
    <xf numFmtId="38" fontId="57" fillId="0" borderId="0" applyBorder="0" applyAlignment="0">
      <alignment horizontal="center"/>
    </xf>
    <xf numFmtId="0" fontId="58" fillId="0" borderId="0" applyAlignment="0" applyProtection="0"/>
    <xf numFmtId="0" fontId="59" fillId="0" borderId="0" applyAlignment="0" applyProtection="0"/>
    <xf numFmtId="0" fontId="60" fillId="0" borderId="0" applyAlignment="0" applyProtection="0"/>
    <xf numFmtId="0" fontId="61" fillId="19" borderId="0"/>
    <xf numFmtId="0" fontId="62" fillId="0" borderId="10" applyNumberFormat="0" applyAlignment="0" applyProtection="0">
      <alignment horizontal="left" vertical="center"/>
    </xf>
    <xf numFmtId="0" fontId="62" fillId="0" borderId="2">
      <alignment horizontal="left" vertical="center"/>
    </xf>
    <xf numFmtId="183" fontId="63" fillId="0" borderId="0">
      <alignment horizontal="left" vertical="center"/>
    </xf>
    <xf numFmtId="0" fontId="64" fillId="0" borderId="0"/>
    <xf numFmtId="0" fontId="62" fillId="0" borderId="0"/>
    <xf numFmtId="0" fontId="65" fillId="0" borderId="0"/>
    <xf numFmtId="0" fontId="107" fillId="0" borderId="0" applyNumberFormat="0" applyFill="0" applyBorder="0" applyAlignment="0" applyProtection="0"/>
    <xf numFmtId="170" fontId="66" fillId="0" borderId="0" applyNumberFormat="0" applyFill="0" applyBorder="0" applyAlignment="0" applyProtection="0"/>
    <xf numFmtId="170" fontId="67" fillId="0" borderId="0" applyNumberFormat="0" applyFill="0" applyBorder="0" applyAlignment="0" applyProtection="0"/>
    <xf numFmtId="170" fontId="68" fillId="0" borderId="0" applyNumberFormat="0" applyFont="0" applyFill="0" applyBorder="0" applyAlignment="0">
      <alignment horizontal="left"/>
    </xf>
    <xf numFmtId="4" fontId="69" fillId="22" borderId="11"/>
    <xf numFmtId="0" fontId="70" fillId="19" borderId="12">
      <protection locked="0"/>
    </xf>
    <xf numFmtId="10" fontId="10" fillId="23" borderId="13" applyNumberFormat="0" applyBorder="0" applyAlignment="0" applyProtection="0"/>
    <xf numFmtId="0" fontId="7" fillId="24" borderId="0" applyNumberFormat="0" applyFont="0" applyBorder="0" applyAlignment="0" applyProtection="0"/>
    <xf numFmtId="184" fontId="71" fillId="0" borderId="14" applyBorder="0">
      <protection locked="0"/>
    </xf>
    <xf numFmtId="3" fontId="72" fillId="0" borderId="15" applyNumberFormat="0" applyBorder="0" applyAlignment="0"/>
    <xf numFmtId="10" fontId="73" fillId="25" borderId="16" applyNumberFormat="0"/>
    <xf numFmtId="0" fontId="43" fillId="0" borderId="0" applyFill="0" applyBorder="0" applyAlignment="0"/>
    <xf numFmtId="0" fontId="43" fillId="0" borderId="0" applyFill="0" applyBorder="0" applyAlignment="0"/>
    <xf numFmtId="0" fontId="43" fillId="0" borderId="0" applyFill="0" applyBorder="0" applyAlignment="0"/>
    <xf numFmtId="0" fontId="43" fillId="0" borderId="0" applyFill="0" applyBorder="0" applyAlignment="0"/>
    <xf numFmtId="0" fontId="43" fillId="0" borderId="0" applyFill="0" applyBorder="0" applyAlignment="0"/>
    <xf numFmtId="0" fontId="108" fillId="0" borderId="17" applyNumberFormat="0" applyFill="0" applyAlignment="0" applyProtection="0"/>
    <xf numFmtId="0" fontId="74" fillId="0" borderId="0" applyNumberFormat="0" applyBorder="0" applyAlignment="0" applyProtection="0"/>
    <xf numFmtId="0" fontId="75" fillId="0" borderId="0"/>
    <xf numFmtId="0" fontId="76" fillId="0" borderId="0">
      <alignment horizontal="right"/>
    </xf>
    <xf numFmtId="0" fontId="109" fillId="4" borderId="0" applyNumberFormat="0" applyBorder="0" applyAlignment="0" applyProtection="0"/>
    <xf numFmtId="0" fontId="77" fillId="26" borderId="0" applyNumberFormat="0" applyFont="0" applyBorder="0" applyAlignment="0">
      <protection hidden="1"/>
    </xf>
    <xf numFmtId="0" fontId="71" fillId="0" borderId="18" applyNumberFormat="0" applyAlignment="0"/>
    <xf numFmtId="1" fontId="78" fillId="0" borderId="0"/>
    <xf numFmtId="37" fontId="79" fillId="0" borderId="0"/>
    <xf numFmtId="0" fontId="31" fillId="0" borderId="0" applyFont="0" applyFill="0" applyBorder="0" applyAlignment="0" applyProtection="0"/>
    <xf numFmtId="4" fontId="12" fillId="0" borderId="0"/>
    <xf numFmtId="182" fontId="7" fillId="0" borderId="1">
      <alignment horizontal="right"/>
    </xf>
    <xf numFmtId="185" fontId="80" fillId="0" borderId="0"/>
    <xf numFmtId="38" fontId="32" fillId="0" borderId="6" applyBorder="0"/>
    <xf numFmtId="2" fontId="7" fillId="0" borderId="0" applyBorder="0" applyProtection="0"/>
    <xf numFmtId="0" fontId="9" fillId="0" borderId="0"/>
    <xf numFmtId="0" fontId="22" fillId="0" borderId="0"/>
    <xf numFmtId="178" fontId="22" fillId="0" borderId="0"/>
    <xf numFmtId="0" fontId="28" fillId="4" borderId="19" applyNumberFormat="0" applyFont="0" applyAlignment="0" applyProtection="0"/>
    <xf numFmtId="0" fontId="81" fillId="0" borderId="6"/>
    <xf numFmtId="14" fontId="10" fillId="0" borderId="0" applyFont="0" applyFill="0" applyBorder="0" applyAlignment="0" applyProtection="0"/>
    <xf numFmtId="0" fontId="32" fillId="0" borderId="0"/>
    <xf numFmtId="189" fontId="82" fillId="0" borderId="0" applyFill="0" applyBorder="0">
      <alignment horizontal="right" vertical="center"/>
    </xf>
    <xf numFmtId="188" fontId="83" fillId="0" borderId="0">
      <alignment horizontal="right"/>
    </xf>
    <xf numFmtId="0" fontId="84" fillId="0" borderId="0" applyNumberFormat="0" applyFont="0" applyAlignment="0"/>
    <xf numFmtId="190" fontId="48" fillId="0" borderId="0" applyFill="0" applyBorder="0" applyProtection="0">
      <alignment horizontal="right" vertical="center"/>
    </xf>
    <xf numFmtId="0" fontId="110" fillId="18" borderId="20" applyNumberFormat="0" applyAlignment="0" applyProtection="0"/>
    <xf numFmtId="0" fontId="85" fillId="0" borderId="0"/>
    <xf numFmtId="0" fontId="86" fillId="0" borderId="0" applyNumberFormat="0" applyFill="0" applyBorder="0">
      <alignment horizontal="left"/>
    </xf>
    <xf numFmtId="171" fontId="9" fillId="0" borderId="0" applyFill="0"/>
    <xf numFmtId="9" fontId="7" fillId="0" borderId="0" applyFont="0" applyFill="0" applyBorder="0" applyAlignment="0" applyProtection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38" fontId="32" fillId="0" borderId="6" applyBorder="0"/>
    <xf numFmtId="175" fontId="13" fillId="0" borderId="5" applyFill="0" applyBorder="0" applyProtection="0"/>
    <xf numFmtId="38" fontId="10" fillId="0" borderId="0" applyFill="0" applyBorder="0" applyAlignment="0" applyProtection="0">
      <alignment horizontal="right"/>
    </xf>
    <xf numFmtId="0" fontId="87" fillId="0" borderId="0"/>
    <xf numFmtId="0" fontId="43" fillId="0" borderId="0" applyFill="0" applyBorder="0" applyAlignment="0"/>
    <xf numFmtId="0" fontId="43" fillId="0" borderId="0" applyFill="0" applyBorder="0" applyAlignment="0"/>
    <xf numFmtId="0" fontId="43" fillId="0" borderId="0" applyFill="0" applyBorder="0" applyAlignment="0"/>
    <xf numFmtId="0" fontId="43" fillId="0" borderId="0" applyFill="0" applyBorder="0" applyAlignment="0"/>
    <xf numFmtId="0" fontId="43" fillId="0" borderId="0" applyFill="0" applyBorder="0" applyAlignment="0"/>
    <xf numFmtId="0" fontId="88" fillId="0" borderId="0"/>
    <xf numFmtId="183" fontId="78" fillId="0" borderId="0" applyFill="0" applyBorder="0" applyAlignment="0" applyProtection="0"/>
    <xf numFmtId="38" fontId="9" fillId="0" borderId="0" applyNumberFormat="0" applyBorder="0" applyAlignment="0" applyProtection="0"/>
    <xf numFmtId="171" fontId="7" fillId="10" borderId="21" applyNumberFormat="0" applyFont="0" applyBorder="0" applyAlignment="0" applyProtection="0">
      <alignment horizontal="center"/>
    </xf>
    <xf numFmtId="38" fontId="9" fillId="1" borderId="0">
      <alignment horizontal="right"/>
    </xf>
    <xf numFmtId="38" fontId="9" fillId="1" borderId="0">
      <alignment horizontal="right"/>
    </xf>
    <xf numFmtId="38" fontId="9" fillId="1" borderId="0">
      <alignment horizontal="right"/>
    </xf>
    <xf numFmtId="1" fontId="88" fillId="27" borderId="0" applyNumberFormat="0" applyFont="0" applyBorder="0" applyAlignment="0">
      <alignment horizontal="left"/>
    </xf>
    <xf numFmtId="0" fontId="30" fillId="28" borderId="0" applyNumberFormat="0" applyFont="0" applyBorder="0" applyAlignment="0" applyProtection="0"/>
    <xf numFmtId="3" fontId="27" fillId="19" borderId="22" applyFont="0" applyFill="0" applyBorder="0" applyAlignment="0" applyProtection="0"/>
    <xf numFmtId="4" fontId="27" fillId="19" borderId="22" applyFont="0" applyFill="0" applyBorder="0" applyAlignment="0" applyProtection="0"/>
    <xf numFmtId="186" fontId="27" fillId="19" borderId="22" applyFont="0" applyFill="0" applyBorder="0" applyAlignment="0" applyProtection="0"/>
    <xf numFmtId="187" fontId="27" fillId="19" borderId="23" applyFont="0" applyFill="0" applyBorder="0" applyAlignment="0" applyProtection="0"/>
    <xf numFmtId="10" fontId="27" fillId="19" borderId="22" applyFont="0" applyFill="0" applyBorder="0" applyAlignment="0" applyProtection="0"/>
    <xf numFmtId="9" fontId="27" fillId="19" borderId="22" applyFont="0" applyFill="0" applyBorder="0" applyAlignment="0" applyProtection="0"/>
    <xf numFmtId="2" fontId="27" fillId="19" borderId="22" applyFont="0" applyFill="0" applyBorder="0" applyAlignment="0" applyProtection="0"/>
    <xf numFmtId="0" fontId="9" fillId="0" borderId="0" applyFont="0" applyFill="0" applyBorder="0" applyAlignment="0" applyProtection="0"/>
    <xf numFmtId="209" fontId="89" fillId="0" borderId="0" applyNumberFormat="0" applyFill="0" applyBorder="0" applyAlignment="0" applyProtection="0">
      <alignment horizontal="right" vertical="center" wrapText="1"/>
    </xf>
    <xf numFmtId="0" fontId="90" fillId="0" borderId="0" applyNumberFormat="0" applyFill="0" applyBorder="0" applyAlignment="0" applyProtection="0"/>
    <xf numFmtId="0" fontId="91" fillId="0" borderId="0" applyNumberFormat="0" applyFill="0" applyBorder="0" applyAlignment="0" applyProtection="0">
      <protection locked="0"/>
    </xf>
    <xf numFmtId="0" fontId="92" fillId="0" borderId="8" applyNumberFormat="0" applyFill="0" applyProtection="0">
      <alignment horizontal="right"/>
    </xf>
    <xf numFmtId="3" fontId="93" fillId="0" borderId="0"/>
    <xf numFmtId="0" fontId="92" fillId="0" borderId="24" applyNumberFormat="0" applyProtection="0">
      <alignment horizontal="right"/>
    </xf>
    <xf numFmtId="0" fontId="94" fillId="0" borderId="9" applyNumberFormat="0" applyFill="0" applyProtection="0"/>
    <xf numFmtId="0" fontId="95" fillId="0" borderId="0">
      <alignment vertical="center"/>
    </xf>
    <xf numFmtId="0" fontId="96" fillId="0" borderId="0">
      <alignment vertical="center"/>
    </xf>
    <xf numFmtId="0" fontId="56" fillId="0" borderId="0">
      <alignment vertical="center"/>
    </xf>
    <xf numFmtId="0" fontId="97" fillId="0" borderId="0" applyNumberFormat="0" applyFont="0" applyFill="0" applyBorder="0" applyAlignment="0" applyProtection="0"/>
    <xf numFmtId="0" fontId="83" fillId="0" borderId="0" applyFill="0" applyBorder="0">
      <alignment vertical="center"/>
    </xf>
    <xf numFmtId="49" fontId="28" fillId="0" borderId="0" applyFill="0" applyBorder="0" applyAlignment="0"/>
    <xf numFmtId="0" fontId="43" fillId="0" borderId="0" applyFill="0" applyBorder="0" applyAlignment="0"/>
    <xf numFmtId="0" fontId="43" fillId="0" borderId="0" applyFill="0" applyBorder="0" applyAlignment="0"/>
    <xf numFmtId="0" fontId="48" fillId="0" borderId="0">
      <alignment vertical="center"/>
    </xf>
    <xf numFmtId="0" fontId="13" fillId="0" borderId="0" applyNumberFormat="0" applyProtection="0"/>
    <xf numFmtId="0" fontId="98" fillId="0" borderId="9" applyAlignment="0"/>
    <xf numFmtId="0" fontId="48" fillId="0" borderId="25" applyAlignment="0"/>
    <xf numFmtId="3" fontId="43" fillId="0" borderId="0" applyFill="0" applyBorder="0" applyAlignment="0" applyProtection="0"/>
    <xf numFmtId="0" fontId="111" fillId="0" borderId="0" applyNumberFormat="0" applyFill="0" applyBorder="0" applyAlignment="0" applyProtection="0"/>
    <xf numFmtId="0" fontId="32" fillId="0" borderId="26" applyNumberFormat="0" applyFont="0" applyFill="0" applyAlignment="0" applyProtection="0"/>
    <xf numFmtId="0" fontId="13" fillId="0" borderId="0"/>
    <xf numFmtId="0" fontId="99" fillId="0" borderId="9" applyNumberFormat="0" applyFill="0" applyProtection="0"/>
    <xf numFmtId="4" fontId="100" fillId="29" borderId="27"/>
    <xf numFmtId="181" fontId="78" fillId="0" borderId="0" applyFont="0" applyFill="0" applyBorder="0" applyAlignment="0" applyProtection="0"/>
    <xf numFmtId="37" fontId="78" fillId="0" borderId="0" applyFont="0" applyFill="0" applyBorder="0" applyAlignment="0" applyProtection="0"/>
    <xf numFmtId="0" fontId="112" fillId="0" borderId="0" applyNumberFormat="0" applyFill="0" applyBorder="0" applyAlignment="0" applyProtection="0"/>
    <xf numFmtId="1" fontId="51" fillId="0" borderId="2" applyFill="0" applyProtection="0">
      <alignment horizontal="right"/>
    </xf>
    <xf numFmtId="0" fontId="101" fillId="0" borderId="0">
      <protection hidden="1"/>
    </xf>
    <xf numFmtId="0" fontId="6" fillId="0" borderId="0"/>
    <xf numFmtId="0" fontId="117" fillId="35" borderId="0" applyNumberFormat="0" applyBorder="0" applyAlignment="0" applyProtection="0"/>
    <xf numFmtId="0" fontId="118" fillId="36" borderId="0" applyNumberFormat="0" applyBorder="0" applyAlignment="0" applyProtection="0"/>
    <xf numFmtId="0" fontId="119" fillId="37" borderId="0" applyNumberFormat="0" applyBorder="0" applyAlignment="0" applyProtection="0"/>
    <xf numFmtId="0" fontId="120" fillId="38" borderId="34" applyNumberFormat="0" applyAlignment="0" applyProtection="0"/>
    <xf numFmtId="211" fontId="121" fillId="0" borderId="0" applyFont="0" applyFill="0" applyBorder="0" applyAlignment="0" applyProtection="0"/>
    <xf numFmtId="212" fontId="121" fillId="0" borderId="0" applyFont="0" applyFill="0" applyBorder="0" applyAlignment="0" applyProtection="0"/>
    <xf numFmtId="213" fontId="9" fillId="0" borderId="0" applyFont="0" applyFill="0" applyBorder="0" applyAlignment="0" applyProtection="0"/>
    <xf numFmtId="213" fontId="9" fillId="0" borderId="0" applyFont="0" applyFill="0" applyBorder="0" applyAlignment="0" applyProtection="0"/>
    <xf numFmtId="213" fontId="121" fillId="0" borderId="0" applyFont="0" applyFill="0" applyBorder="0" applyAlignment="0" applyProtection="0"/>
    <xf numFmtId="213" fontId="121" fillId="0" borderId="0" applyFont="0" applyFill="0" applyBorder="0" applyAlignment="0" applyProtection="0"/>
    <xf numFmtId="213" fontId="121" fillId="0" borderId="0" applyFont="0" applyFill="0" applyBorder="0" applyAlignment="0" applyProtection="0"/>
    <xf numFmtId="213" fontId="122" fillId="0" borderId="0" applyFont="0" applyFill="0" applyBorder="0" applyAlignment="0" applyProtection="0"/>
    <xf numFmtId="213" fontId="9" fillId="0" borderId="0" applyFont="0" applyFill="0" applyBorder="0" applyAlignment="0" applyProtection="0"/>
    <xf numFmtId="213" fontId="9" fillId="0" borderId="0" applyFont="0" applyFill="0" applyBorder="0" applyAlignment="0" applyProtection="0"/>
    <xf numFmtId="182" fontId="9" fillId="0" borderId="0" applyFont="0" applyFill="0" applyBorder="0" applyAlignment="0" applyProtection="0"/>
    <xf numFmtId="182" fontId="9" fillId="0" borderId="0" applyFont="0" applyFill="0" applyBorder="0" applyAlignment="0" applyProtection="0"/>
    <xf numFmtId="213" fontId="9" fillId="0" borderId="0" applyFont="0" applyFill="0" applyBorder="0" applyAlignment="0" applyProtection="0"/>
    <xf numFmtId="213" fontId="123" fillId="0" borderId="0" applyFont="0" applyFill="0" applyBorder="0" applyAlignment="0" applyProtection="0"/>
    <xf numFmtId="213" fontId="9" fillId="0" borderId="0" applyFont="0" applyFill="0" applyBorder="0" applyAlignment="0" applyProtection="0"/>
    <xf numFmtId="213" fontId="9" fillId="0" borderId="0" applyFont="0" applyFill="0" applyBorder="0" applyAlignment="0" applyProtection="0"/>
    <xf numFmtId="213" fontId="9" fillId="0" borderId="0" applyFont="0" applyFill="0" applyBorder="0" applyAlignment="0" applyProtection="0"/>
    <xf numFmtId="213" fontId="121" fillId="0" borderId="0" applyFont="0" applyFill="0" applyBorder="0" applyAlignment="0" applyProtection="0"/>
    <xf numFmtId="182" fontId="9" fillId="0" borderId="0" applyFont="0" applyFill="0" applyBorder="0" applyAlignment="0" applyProtection="0"/>
    <xf numFmtId="182" fontId="9" fillId="0" borderId="0" applyFont="0" applyFill="0" applyBorder="0" applyAlignment="0" applyProtection="0"/>
    <xf numFmtId="182" fontId="9" fillId="0" borderId="0" applyFont="0" applyFill="0" applyBorder="0" applyAlignment="0" applyProtection="0"/>
    <xf numFmtId="213" fontId="121" fillId="0" borderId="0" applyFont="0" applyFill="0" applyBorder="0" applyAlignment="0" applyProtection="0"/>
    <xf numFmtId="213" fontId="9" fillId="0" borderId="0" applyFont="0" applyFill="0" applyBorder="0" applyAlignment="0" applyProtection="0"/>
    <xf numFmtId="213" fontId="9" fillId="0" borderId="0" applyFont="0" applyFill="0" applyBorder="0" applyAlignment="0" applyProtection="0"/>
    <xf numFmtId="213" fontId="121" fillId="0" borderId="0" applyFont="0" applyFill="0" applyBorder="0" applyAlignment="0" applyProtection="0"/>
    <xf numFmtId="182" fontId="9" fillId="0" borderId="0" applyFont="0" applyFill="0" applyBorder="0" applyAlignment="0" applyProtection="0"/>
    <xf numFmtId="182" fontId="9" fillId="0" borderId="0" applyFont="0" applyFill="0" applyBorder="0" applyAlignment="0" applyProtection="0"/>
    <xf numFmtId="182" fontId="9" fillId="0" borderId="0" applyFont="0" applyFill="0" applyBorder="0" applyAlignment="0" applyProtection="0"/>
    <xf numFmtId="213" fontId="121" fillId="0" borderId="0" applyFont="0" applyFill="0" applyBorder="0" applyAlignment="0" applyProtection="0"/>
    <xf numFmtId="213" fontId="9" fillId="0" borderId="0" applyFont="0" applyFill="0" applyBorder="0" applyAlignment="0" applyProtection="0"/>
    <xf numFmtId="213" fontId="9" fillId="0" borderId="0" applyFont="0" applyFill="0" applyBorder="0" applyAlignment="0" applyProtection="0"/>
    <xf numFmtId="213" fontId="9" fillId="0" borderId="0" applyFont="0" applyFill="0" applyBorder="0" applyAlignment="0" applyProtection="0"/>
    <xf numFmtId="214" fontId="9" fillId="0" borderId="0" applyFont="0" applyFill="0" applyBorder="0" applyAlignment="0" applyProtection="0"/>
    <xf numFmtId="214" fontId="9" fillId="0" borderId="0" applyFont="0" applyFill="0" applyBorder="0" applyAlignment="0" applyProtection="0"/>
    <xf numFmtId="215" fontId="9" fillId="0" borderId="0" applyFont="0" applyFill="0" applyBorder="0" applyAlignment="0" applyProtection="0"/>
    <xf numFmtId="215" fontId="9" fillId="0" borderId="0" applyFont="0" applyFill="0" applyBorder="0" applyAlignment="0" applyProtection="0"/>
    <xf numFmtId="214" fontId="122" fillId="0" borderId="0" applyFont="0" applyFill="0" applyBorder="0" applyAlignment="0" applyProtection="0"/>
    <xf numFmtId="215" fontId="9" fillId="0" borderId="0" applyFont="0" applyFill="0" applyBorder="0" applyAlignment="0" applyProtection="0"/>
    <xf numFmtId="214" fontId="9" fillId="0" borderId="0" applyFont="0" applyFill="0" applyBorder="0" applyAlignment="0" applyProtection="0"/>
    <xf numFmtId="215" fontId="9" fillId="0" borderId="0" applyFont="0" applyFill="0" applyBorder="0" applyAlignment="0" applyProtection="0"/>
    <xf numFmtId="214" fontId="9" fillId="0" borderId="0" applyFont="0" applyFill="0" applyBorder="0" applyAlignment="0" applyProtection="0"/>
    <xf numFmtId="215" fontId="9" fillId="0" borderId="0" applyFont="0" applyFill="0" applyBorder="0" applyAlignment="0" applyProtection="0"/>
    <xf numFmtId="215" fontId="9" fillId="0" borderId="0" applyFont="0" applyFill="0" applyBorder="0" applyAlignment="0" applyProtection="0"/>
    <xf numFmtId="214" fontId="9" fillId="0" borderId="0" applyFont="0" applyFill="0" applyBorder="0" applyAlignment="0" applyProtection="0"/>
    <xf numFmtId="214" fontId="123" fillId="0" borderId="0" applyFont="0" applyFill="0" applyBorder="0" applyAlignment="0" applyProtection="0"/>
    <xf numFmtId="214" fontId="9" fillId="0" borderId="0" applyFont="0" applyFill="0" applyBorder="0" applyAlignment="0" applyProtection="0"/>
    <xf numFmtId="214" fontId="9" fillId="0" borderId="0" applyFont="0" applyFill="0" applyBorder="0" applyAlignment="0" applyProtection="0"/>
    <xf numFmtId="214" fontId="9" fillId="0" borderId="0" applyFont="0" applyFill="0" applyBorder="0" applyAlignment="0" applyProtection="0"/>
    <xf numFmtId="215" fontId="9" fillId="0" borderId="0" applyFont="0" applyFill="0" applyBorder="0" applyAlignment="0" applyProtection="0"/>
    <xf numFmtId="215" fontId="9" fillId="0" borderId="0" applyFont="0" applyFill="0" applyBorder="0" applyAlignment="0" applyProtection="0"/>
    <xf numFmtId="215" fontId="9" fillId="0" borderId="0" applyFont="0" applyFill="0" applyBorder="0" applyAlignment="0" applyProtection="0"/>
    <xf numFmtId="215" fontId="9" fillId="0" borderId="0" applyFont="0" applyFill="0" applyBorder="0" applyAlignment="0" applyProtection="0"/>
    <xf numFmtId="215" fontId="9" fillId="0" borderId="0" applyFont="0" applyFill="0" applyBorder="0" applyAlignment="0" applyProtection="0"/>
    <xf numFmtId="214" fontId="121" fillId="0" borderId="0" applyFont="0" applyFill="0" applyBorder="0" applyAlignment="0" applyProtection="0"/>
    <xf numFmtId="215" fontId="9" fillId="0" borderId="0" applyFont="0" applyFill="0" applyBorder="0" applyAlignment="0" applyProtection="0"/>
    <xf numFmtId="214" fontId="9" fillId="0" borderId="0" applyFont="0" applyFill="0" applyBorder="0" applyAlignment="0" applyProtection="0"/>
    <xf numFmtId="214" fontId="9" fillId="0" borderId="0" applyFont="0" applyFill="0" applyBorder="0" applyAlignment="0" applyProtection="0"/>
    <xf numFmtId="214" fontId="121" fillId="0" borderId="0" applyFont="0" applyFill="0" applyBorder="0" applyAlignment="0" applyProtection="0"/>
    <xf numFmtId="214" fontId="121" fillId="0" borderId="0" applyFont="0" applyFill="0" applyBorder="0" applyAlignment="0" applyProtection="0"/>
    <xf numFmtId="214" fontId="121" fillId="0" borderId="0" applyFont="0" applyFill="0" applyBorder="0" applyAlignment="0" applyProtection="0"/>
    <xf numFmtId="215" fontId="9" fillId="0" borderId="0" applyFont="0" applyFill="0" applyBorder="0" applyAlignment="0" applyProtection="0"/>
    <xf numFmtId="214" fontId="121" fillId="0" borderId="0" applyFont="0" applyFill="0" applyBorder="0" applyAlignment="0" applyProtection="0"/>
    <xf numFmtId="215" fontId="9" fillId="0" borderId="0" applyFont="0" applyFill="0" applyBorder="0" applyAlignment="0" applyProtection="0"/>
    <xf numFmtId="214" fontId="121" fillId="0" borderId="0" applyFont="0" applyFill="0" applyBorder="0" applyAlignment="0" applyProtection="0"/>
    <xf numFmtId="215" fontId="9" fillId="0" borderId="0" applyFont="0" applyFill="0" applyBorder="0" applyAlignment="0" applyProtection="0"/>
    <xf numFmtId="214" fontId="9" fillId="0" borderId="0" applyFont="0" applyFill="0" applyBorder="0" applyAlignment="0" applyProtection="0"/>
    <xf numFmtId="214" fontId="9" fillId="0" borderId="0" applyFont="0" applyFill="0" applyBorder="0" applyAlignment="0" applyProtection="0"/>
    <xf numFmtId="214" fontId="9" fillId="0" borderId="0" applyFont="0" applyFill="0" applyBorder="0" applyAlignment="0" applyProtection="0"/>
    <xf numFmtId="216" fontId="9" fillId="0" borderId="0" applyFont="0" applyFill="0" applyBorder="0" applyAlignment="0" applyProtection="0"/>
    <xf numFmtId="216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216" fontId="122" fillId="0" borderId="0" applyFont="0" applyFill="0" applyBorder="0" applyAlignment="0" applyProtection="0"/>
    <xf numFmtId="39" fontId="9" fillId="0" borderId="0" applyFont="0" applyFill="0" applyBorder="0" applyAlignment="0" applyProtection="0"/>
    <xf numFmtId="216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216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216" fontId="9" fillId="0" borderId="0" applyFont="0" applyFill="0" applyBorder="0" applyAlignment="0" applyProtection="0"/>
    <xf numFmtId="216" fontId="123" fillId="0" borderId="0" applyFont="0" applyFill="0" applyBorder="0" applyAlignment="0" applyProtection="0"/>
    <xf numFmtId="216" fontId="9" fillId="0" borderId="0" applyFont="0" applyFill="0" applyBorder="0" applyAlignment="0" applyProtection="0"/>
    <xf numFmtId="216" fontId="9" fillId="0" borderId="0" applyFont="0" applyFill="0" applyBorder="0" applyAlignment="0" applyProtection="0"/>
    <xf numFmtId="216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216" fontId="121" fillId="0" borderId="0" applyFont="0" applyFill="0" applyBorder="0" applyAlignment="0" applyProtection="0"/>
    <xf numFmtId="39" fontId="9" fillId="0" borderId="0" applyFont="0" applyFill="0" applyBorder="0" applyAlignment="0" applyProtection="0"/>
    <xf numFmtId="216" fontId="9" fillId="0" borderId="0" applyFont="0" applyFill="0" applyBorder="0" applyAlignment="0" applyProtection="0"/>
    <xf numFmtId="216" fontId="9" fillId="0" borderId="0" applyFont="0" applyFill="0" applyBorder="0" applyAlignment="0" applyProtection="0"/>
    <xf numFmtId="216" fontId="121" fillId="0" borderId="0" applyFont="0" applyFill="0" applyBorder="0" applyAlignment="0" applyProtection="0"/>
    <xf numFmtId="216" fontId="121" fillId="0" borderId="0" applyFont="0" applyFill="0" applyBorder="0" applyAlignment="0" applyProtection="0"/>
    <xf numFmtId="216" fontId="121" fillId="0" borderId="0" applyFont="0" applyFill="0" applyBorder="0" applyAlignment="0" applyProtection="0"/>
    <xf numFmtId="39" fontId="9" fillId="0" borderId="0" applyFont="0" applyFill="0" applyBorder="0" applyAlignment="0" applyProtection="0"/>
    <xf numFmtId="216" fontId="121" fillId="0" borderId="0" applyFont="0" applyFill="0" applyBorder="0" applyAlignment="0" applyProtection="0"/>
    <xf numFmtId="39" fontId="9" fillId="0" borderId="0" applyFont="0" applyFill="0" applyBorder="0" applyAlignment="0" applyProtection="0"/>
    <xf numFmtId="216" fontId="121" fillId="0" borderId="0" applyFont="0" applyFill="0" applyBorder="0" applyAlignment="0" applyProtection="0"/>
    <xf numFmtId="39" fontId="9" fillId="0" borderId="0" applyFont="0" applyFill="0" applyBorder="0" applyAlignment="0" applyProtection="0"/>
    <xf numFmtId="216" fontId="9" fillId="0" borderId="0" applyFont="0" applyFill="0" applyBorder="0" applyAlignment="0" applyProtection="0"/>
    <xf numFmtId="216" fontId="9" fillId="0" borderId="0" applyFont="0" applyFill="0" applyBorder="0" applyAlignment="0" applyProtection="0"/>
    <xf numFmtId="216" fontId="9" fillId="0" borderId="0" applyFont="0" applyFill="0" applyBorder="0" applyAlignment="0" applyProtection="0"/>
    <xf numFmtId="215" fontId="9" fillId="0" borderId="0" applyFont="0" applyFill="0" applyBorder="0" applyAlignment="0" applyProtection="0"/>
    <xf numFmtId="217" fontId="121" fillId="0" borderId="0" applyFont="0" applyFill="0" applyBorder="0" applyAlignment="0" applyProtection="0"/>
    <xf numFmtId="0" fontId="124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1" fillId="4" borderId="0" applyNumberFormat="0" applyFont="0" applyAlignment="0" applyProtection="0"/>
    <xf numFmtId="218" fontId="9" fillId="0" borderId="0" applyFont="0" applyFill="0" applyBorder="0" applyAlignment="0" applyProtection="0"/>
    <xf numFmtId="218" fontId="9" fillId="0" borderId="0" applyFont="0" applyFill="0" applyBorder="0" applyAlignment="0" applyProtection="0"/>
    <xf numFmtId="219" fontId="9" fillId="0" borderId="0" applyFont="0" applyFill="0" applyBorder="0" applyAlignment="0" applyProtection="0"/>
    <xf numFmtId="219" fontId="9" fillId="0" borderId="0" applyFont="0" applyFill="0" applyBorder="0" applyAlignment="0" applyProtection="0"/>
    <xf numFmtId="218" fontId="122" fillId="0" borderId="0" applyFont="0" applyFill="0" applyBorder="0" applyAlignment="0" applyProtection="0"/>
    <xf numFmtId="219" fontId="9" fillId="0" borderId="0" applyFont="0" applyFill="0" applyBorder="0" applyAlignment="0" applyProtection="0"/>
    <xf numFmtId="218" fontId="9" fillId="0" borderId="0" applyFont="0" applyFill="0" applyBorder="0" applyAlignment="0" applyProtection="0"/>
    <xf numFmtId="219" fontId="9" fillId="0" borderId="0" applyFont="0" applyFill="0" applyBorder="0" applyAlignment="0" applyProtection="0"/>
    <xf numFmtId="218" fontId="9" fillId="0" borderId="0" applyFont="0" applyFill="0" applyBorder="0" applyAlignment="0" applyProtection="0"/>
    <xf numFmtId="219" fontId="9" fillId="0" borderId="0" applyFont="0" applyFill="0" applyBorder="0" applyAlignment="0" applyProtection="0"/>
    <xf numFmtId="219" fontId="9" fillId="0" borderId="0" applyFont="0" applyFill="0" applyBorder="0" applyAlignment="0" applyProtection="0"/>
    <xf numFmtId="218" fontId="9" fillId="0" borderId="0" applyFont="0" applyFill="0" applyBorder="0" applyAlignment="0" applyProtection="0"/>
    <xf numFmtId="218" fontId="123" fillId="0" borderId="0" applyFont="0" applyFill="0" applyBorder="0" applyAlignment="0" applyProtection="0"/>
    <xf numFmtId="220" fontId="9" fillId="0" borderId="0" applyFont="0" applyFill="0" applyBorder="0" applyAlignment="0" applyProtection="0"/>
    <xf numFmtId="220" fontId="9" fillId="0" borderId="0" applyFont="0" applyFill="0" applyBorder="0" applyAlignment="0" applyProtection="0"/>
    <xf numFmtId="220" fontId="9" fillId="0" borderId="0" applyFont="0" applyFill="0" applyBorder="0" applyAlignment="0" applyProtection="0"/>
    <xf numFmtId="219" fontId="9" fillId="0" borderId="0" applyFont="0" applyFill="0" applyBorder="0" applyAlignment="0" applyProtection="0"/>
    <xf numFmtId="219" fontId="9" fillId="0" borderId="0" applyFont="0" applyFill="0" applyBorder="0" applyAlignment="0" applyProtection="0"/>
    <xf numFmtId="219" fontId="9" fillId="0" borderId="0" applyFont="0" applyFill="0" applyBorder="0" applyAlignment="0" applyProtection="0"/>
    <xf numFmtId="219" fontId="9" fillId="0" borderId="0" applyFont="0" applyFill="0" applyBorder="0" applyAlignment="0" applyProtection="0"/>
    <xf numFmtId="219" fontId="9" fillId="0" borderId="0" applyFont="0" applyFill="0" applyBorder="0" applyAlignment="0" applyProtection="0"/>
    <xf numFmtId="218" fontId="121" fillId="0" borderId="0" applyFont="0" applyFill="0" applyBorder="0" applyAlignment="0" applyProtection="0"/>
    <xf numFmtId="219" fontId="9" fillId="0" borderId="0" applyFont="0" applyFill="0" applyBorder="0" applyAlignment="0" applyProtection="0"/>
    <xf numFmtId="218" fontId="9" fillId="0" borderId="0" applyFont="0" applyFill="0" applyBorder="0" applyAlignment="0" applyProtection="0"/>
    <xf numFmtId="218" fontId="9" fillId="0" borderId="0" applyFont="0" applyFill="0" applyBorder="0" applyAlignment="0" applyProtection="0"/>
    <xf numFmtId="218" fontId="121" fillId="0" borderId="0" applyFont="0" applyFill="0" applyBorder="0" applyAlignment="0" applyProtection="0"/>
    <xf numFmtId="218" fontId="121" fillId="0" borderId="0" applyFont="0" applyFill="0" applyBorder="0" applyAlignment="0" applyProtection="0"/>
    <xf numFmtId="218" fontId="121" fillId="0" borderId="0" applyFont="0" applyFill="0" applyBorder="0" applyAlignment="0" applyProtection="0"/>
    <xf numFmtId="219" fontId="9" fillId="0" borderId="0" applyFont="0" applyFill="0" applyBorder="0" applyAlignment="0" applyProtection="0"/>
    <xf numFmtId="218" fontId="121" fillId="0" borderId="0" applyFont="0" applyFill="0" applyBorder="0" applyAlignment="0" applyProtection="0"/>
    <xf numFmtId="219" fontId="9" fillId="0" borderId="0" applyFont="0" applyFill="0" applyBorder="0" applyAlignment="0" applyProtection="0"/>
    <xf numFmtId="218" fontId="121" fillId="0" borderId="0" applyFont="0" applyFill="0" applyBorder="0" applyAlignment="0" applyProtection="0"/>
    <xf numFmtId="219" fontId="9" fillId="0" borderId="0" applyFont="0" applyFill="0" applyBorder="0" applyAlignment="0" applyProtection="0"/>
    <xf numFmtId="218" fontId="9" fillId="0" borderId="0" applyFont="0" applyFill="0" applyBorder="0" applyAlignment="0" applyProtection="0"/>
    <xf numFmtId="218" fontId="9" fillId="0" borderId="0" applyFont="0" applyFill="0" applyBorder="0" applyAlignment="0" applyProtection="0"/>
    <xf numFmtId="218" fontId="9" fillId="0" borderId="0" applyFont="0" applyFill="0" applyBorder="0" applyAlignment="0" applyProtection="0"/>
    <xf numFmtId="221" fontId="9" fillId="0" borderId="0" applyFont="0" applyFill="0" applyBorder="0" applyProtection="0">
      <alignment horizontal="right"/>
    </xf>
    <xf numFmtId="221" fontId="9" fillId="0" borderId="0" applyFont="0" applyFill="0" applyBorder="0" applyProtection="0">
      <alignment horizontal="right"/>
    </xf>
    <xf numFmtId="222" fontId="9" fillId="0" borderId="0" applyFont="0" applyFill="0" applyBorder="0" applyAlignment="0" applyProtection="0"/>
    <xf numFmtId="222" fontId="9" fillId="0" borderId="0" applyFont="0" applyFill="0" applyBorder="0" applyAlignment="0" applyProtection="0"/>
    <xf numFmtId="221" fontId="122" fillId="0" borderId="0" applyFont="0" applyFill="0" applyBorder="0" applyProtection="0">
      <alignment horizontal="right"/>
    </xf>
    <xf numFmtId="222" fontId="9" fillId="0" borderId="0" applyFont="0" applyFill="0" applyBorder="0" applyAlignment="0" applyProtection="0"/>
    <xf numFmtId="221" fontId="9" fillId="0" borderId="0" applyFont="0" applyFill="0" applyBorder="0" applyProtection="0">
      <alignment horizontal="right"/>
    </xf>
    <xf numFmtId="222" fontId="9" fillId="0" borderId="0" applyFont="0" applyFill="0" applyBorder="0" applyAlignment="0" applyProtection="0"/>
    <xf numFmtId="221" fontId="9" fillId="0" borderId="0" applyFont="0" applyFill="0" applyBorder="0" applyProtection="0">
      <alignment horizontal="right"/>
    </xf>
    <xf numFmtId="222" fontId="9" fillId="0" borderId="0" applyFont="0" applyFill="0" applyBorder="0" applyAlignment="0" applyProtection="0"/>
    <xf numFmtId="222" fontId="9" fillId="0" borderId="0" applyFont="0" applyFill="0" applyBorder="0" applyAlignment="0" applyProtection="0"/>
    <xf numFmtId="221" fontId="9" fillId="0" borderId="0" applyFont="0" applyFill="0" applyBorder="0" applyProtection="0">
      <alignment horizontal="right"/>
    </xf>
    <xf numFmtId="221" fontId="123" fillId="0" borderId="0" applyFont="0" applyFill="0" applyBorder="0" applyProtection="0">
      <alignment horizontal="right"/>
    </xf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2" fontId="9" fillId="0" borderId="0" applyFont="0" applyFill="0" applyBorder="0" applyAlignment="0" applyProtection="0"/>
    <xf numFmtId="222" fontId="9" fillId="0" borderId="0" applyFont="0" applyFill="0" applyBorder="0" applyAlignment="0" applyProtection="0"/>
    <xf numFmtId="222" fontId="9" fillId="0" borderId="0" applyFont="0" applyFill="0" applyBorder="0" applyAlignment="0" applyProtection="0"/>
    <xf numFmtId="222" fontId="9" fillId="0" borderId="0" applyFont="0" applyFill="0" applyBorder="0" applyAlignment="0" applyProtection="0"/>
    <xf numFmtId="222" fontId="9" fillId="0" borderId="0" applyFont="0" applyFill="0" applyBorder="0" applyAlignment="0" applyProtection="0"/>
    <xf numFmtId="221" fontId="121" fillId="0" borderId="0" applyFont="0" applyFill="0" applyBorder="0" applyProtection="0">
      <alignment horizontal="right"/>
    </xf>
    <xf numFmtId="222" fontId="9" fillId="0" borderId="0" applyFont="0" applyFill="0" applyBorder="0" applyAlignment="0" applyProtection="0"/>
    <xf numFmtId="221" fontId="9" fillId="0" borderId="0" applyFont="0" applyFill="0" applyBorder="0" applyProtection="0">
      <alignment horizontal="right"/>
    </xf>
    <xf numFmtId="221" fontId="9" fillId="0" borderId="0" applyFont="0" applyFill="0" applyBorder="0" applyProtection="0">
      <alignment horizontal="right"/>
    </xf>
    <xf numFmtId="221" fontId="121" fillId="0" borderId="0" applyFont="0" applyFill="0" applyBorder="0" applyProtection="0">
      <alignment horizontal="right"/>
    </xf>
    <xf numFmtId="221" fontId="121" fillId="0" borderId="0" applyFont="0" applyFill="0" applyBorder="0" applyProtection="0">
      <alignment horizontal="right"/>
    </xf>
    <xf numFmtId="221" fontId="121" fillId="0" borderId="0" applyFont="0" applyFill="0" applyBorder="0" applyProtection="0">
      <alignment horizontal="right"/>
    </xf>
    <xf numFmtId="222" fontId="9" fillId="0" borderId="0" applyFont="0" applyFill="0" applyBorder="0" applyAlignment="0" applyProtection="0"/>
    <xf numFmtId="221" fontId="121" fillId="0" borderId="0" applyFont="0" applyFill="0" applyBorder="0" applyProtection="0">
      <alignment horizontal="right"/>
    </xf>
    <xf numFmtId="222" fontId="9" fillId="0" borderId="0" applyFont="0" applyFill="0" applyBorder="0" applyAlignment="0" applyProtection="0"/>
    <xf numFmtId="221" fontId="121" fillId="0" borderId="0" applyFont="0" applyFill="0" applyBorder="0" applyProtection="0">
      <alignment horizontal="right"/>
    </xf>
    <xf numFmtId="222" fontId="9" fillId="0" borderId="0" applyFont="0" applyFill="0" applyBorder="0" applyAlignment="0" applyProtection="0"/>
    <xf numFmtId="221" fontId="9" fillId="0" borderId="0" applyFont="0" applyFill="0" applyBorder="0" applyProtection="0">
      <alignment horizontal="right"/>
    </xf>
    <xf numFmtId="221" fontId="9" fillId="0" borderId="0" applyFont="0" applyFill="0" applyBorder="0" applyProtection="0">
      <alignment horizontal="right"/>
    </xf>
    <xf numFmtId="221" fontId="9" fillId="0" borderId="0" applyFont="0" applyFill="0" applyBorder="0" applyProtection="0">
      <alignment horizontal="right"/>
    </xf>
    <xf numFmtId="211" fontId="9" fillId="0" borderId="0" applyFont="0" applyFill="0" applyBorder="0" applyProtection="0">
      <alignment horizontal="right"/>
    </xf>
    <xf numFmtId="211" fontId="9" fillId="0" borderId="0" applyFont="0" applyFill="0" applyBorder="0" applyAlignment="0" applyProtection="0"/>
    <xf numFmtId="211" fontId="9" fillId="0" borderId="0" applyFont="0" applyFill="0" applyBorder="0" applyAlignment="0" applyProtection="0"/>
    <xf numFmtId="211" fontId="9" fillId="0" borderId="0" applyFont="0" applyFill="0" applyBorder="0" applyAlignment="0" applyProtection="0"/>
    <xf numFmtId="212" fontId="9" fillId="0" borderId="0" applyFont="0" applyFill="0" applyBorder="0" applyProtection="0">
      <alignment horizontal="right"/>
    </xf>
    <xf numFmtId="212" fontId="9" fillId="0" borderId="0" applyFont="0" applyFill="0" applyBorder="0" applyProtection="0">
      <alignment horizontal="right"/>
    </xf>
    <xf numFmtId="212" fontId="9" fillId="0" borderId="0" applyFont="0" applyFill="0" applyBorder="0" applyAlignment="0" applyProtection="0"/>
    <xf numFmtId="212" fontId="9" fillId="0" borderId="0" applyFont="0" applyFill="0" applyBorder="0" applyAlignment="0" applyProtection="0"/>
    <xf numFmtId="212" fontId="9" fillId="0" borderId="0" applyFont="0" applyFill="0" applyBorder="0" applyAlignment="0" applyProtection="0"/>
    <xf numFmtId="0" fontId="125" fillId="0" borderId="0" applyNumberFormat="0" applyFill="0" applyBorder="0" applyProtection="0">
      <alignment vertical="top"/>
    </xf>
    <xf numFmtId="0" fontId="125" fillId="0" borderId="0" applyNumberFormat="0" applyFill="0" applyBorder="0" applyProtection="0">
      <alignment vertical="top"/>
    </xf>
    <xf numFmtId="0" fontId="125" fillId="0" borderId="0" applyNumberFormat="0" applyFill="0" applyBorder="0" applyAlignment="0" applyProtection="0">
      <alignment vertical="top"/>
    </xf>
    <xf numFmtId="0" fontId="125" fillId="0" borderId="0" applyNumberFormat="0" applyFill="0" applyBorder="0" applyProtection="0">
      <alignment vertical="top"/>
    </xf>
    <xf numFmtId="0" fontId="125" fillId="0" borderId="0" applyNumberFormat="0" applyFill="0" applyBorder="0" applyProtection="0">
      <alignment vertical="top"/>
    </xf>
    <xf numFmtId="0" fontId="125" fillId="0" borderId="0" applyNumberFormat="0" applyFill="0" applyBorder="0" applyProtection="0">
      <alignment vertical="top"/>
    </xf>
    <xf numFmtId="0" fontId="125" fillId="0" borderId="0" applyNumberFormat="0" applyFill="0" applyBorder="0" applyProtection="0">
      <alignment vertical="top"/>
    </xf>
    <xf numFmtId="0" fontId="125" fillId="0" borderId="0" applyNumberFormat="0" applyFill="0" applyBorder="0" applyProtection="0">
      <alignment vertical="top"/>
    </xf>
    <xf numFmtId="0" fontId="125" fillId="0" borderId="0" applyNumberFormat="0" applyFill="0" applyBorder="0" applyProtection="0">
      <alignment vertical="top"/>
    </xf>
    <xf numFmtId="0" fontId="125" fillId="0" borderId="0" applyNumberFormat="0" applyFill="0" applyBorder="0" applyProtection="0">
      <alignment vertical="top"/>
    </xf>
    <xf numFmtId="0" fontId="125" fillId="0" borderId="0" applyNumberFormat="0" applyFill="0" applyBorder="0" applyProtection="0">
      <alignment vertical="top"/>
    </xf>
    <xf numFmtId="0" fontId="125" fillId="0" borderId="0" applyNumberFormat="0" applyFill="0" applyBorder="0" applyProtection="0">
      <alignment vertical="top"/>
    </xf>
    <xf numFmtId="0" fontId="126" fillId="0" borderId="35" applyNumberFormat="0" applyFill="0" applyAlignment="0" applyProtection="0"/>
    <xf numFmtId="0" fontId="126" fillId="0" borderId="35" applyNumberFormat="0" applyFill="0" applyAlignment="0" applyProtection="0"/>
    <xf numFmtId="0" fontId="126" fillId="0" borderId="36" applyNumberFormat="0" applyFill="0" applyAlignment="0" applyProtection="0"/>
    <xf numFmtId="0" fontId="126" fillId="0" borderId="35" applyNumberFormat="0" applyFill="0" applyAlignment="0" applyProtection="0"/>
    <xf numFmtId="0" fontId="126" fillId="0" borderId="35" applyNumberFormat="0" applyFill="0" applyAlignment="0" applyProtection="0"/>
    <xf numFmtId="0" fontId="127" fillId="0" borderId="37" applyNumberFormat="0" applyFill="0" applyProtection="0">
      <alignment horizontal="center"/>
    </xf>
    <xf numFmtId="0" fontId="127" fillId="0" borderId="0" applyNumberFormat="0" applyFill="0" applyBorder="0" applyProtection="0">
      <alignment horizontal="left"/>
    </xf>
    <xf numFmtId="0" fontId="128" fillId="0" borderId="0" applyNumberFormat="0" applyFill="0" applyBorder="0" applyProtection="0">
      <alignment horizontal="centerContinuous"/>
    </xf>
    <xf numFmtId="0" fontId="128" fillId="0" borderId="0" applyNumberFormat="0" applyFill="0" applyBorder="0" applyProtection="0">
      <alignment horizontal="centerContinuous"/>
    </xf>
    <xf numFmtId="0" fontId="128" fillId="0" borderId="0" applyNumberFormat="0" applyFill="0" applyProtection="0">
      <alignment horizontal="centerContinuous"/>
    </xf>
    <xf numFmtId="0" fontId="128" fillId="0" borderId="0" applyNumberFormat="0" applyFill="0" applyBorder="0" applyProtection="0">
      <alignment horizontal="centerContinuous"/>
    </xf>
    <xf numFmtId="0" fontId="128" fillId="0" borderId="0" applyNumberFormat="0" applyFill="0" applyBorder="0" applyProtection="0">
      <alignment horizontal="centerContinuous"/>
    </xf>
    <xf numFmtId="0" fontId="129" fillId="0" borderId="0"/>
    <xf numFmtId="2" fontId="130" fillId="0" borderId="0" applyNumberFormat="0" applyBorder="0" applyAlignment="0"/>
    <xf numFmtId="170" fontId="131" fillId="0" borderId="0"/>
    <xf numFmtId="0" fontId="105" fillId="33" borderId="38">
      <alignment horizontal="center"/>
    </xf>
    <xf numFmtId="185" fontId="10" fillId="39" borderId="0" applyNumberFormat="0" applyFont="0" applyBorder="0" applyAlignment="0">
      <protection locked="0"/>
    </xf>
    <xf numFmtId="0" fontId="10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185" fontId="133" fillId="0" borderId="0" applyNumberFormat="0" applyFill="0" applyBorder="0" applyProtection="0">
      <alignment horizontal="right"/>
    </xf>
    <xf numFmtId="224" fontId="9" fillId="0" borderId="0">
      <protection locked="0"/>
    </xf>
    <xf numFmtId="38" fontId="134" fillId="0" borderId="0" applyNumberFormat="0" applyFill="0" applyBorder="0">
      <alignment vertical="center"/>
    </xf>
    <xf numFmtId="8" fontId="135" fillId="0" borderId="39">
      <protection locked="0"/>
    </xf>
    <xf numFmtId="224" fontId="9" fillId="0" borderId="0">
      <protection locked="0"/>
    </xf>
    <xf numFmtId="14" fontId="136" fillId="0" borderId="0">
      <alignment horizontal="right"/>
    </xf>
    <xf numFmtId="0" fontId="11" fillId="0" borderId="0"/>
    <xf numFmtId="0" fontId="130" fillId="0" borderId="0" applyNumberFormat="0" applyAlignment="0"/>
    <xf numFmtId="175" fontId="137" fillId="0" borderId="0" applyNumberFormat="0" applyFont="0" applyAlignment="0">
      <alignment vertical="center"/>
    </xf>
    <xf numFmtId="224" fontId="9" fillId="0" borderId="0">
      <protection locked="0"/>
    </xf>
    <xf numFmtId="0" fontId="54" fillId="0" borderId="0" applyNumberFormat="0" applyFill="0" applyBorder="0" applyAlignment="0" applyProtection="0"/>
    <xf numFmtId="225" fontId="9" fillId="0" borderId="0" applyNumberFormat="0" applyFill="0" applyBorder="0" applyAlignment="0" applyProtection="0"/>
    <xf numFmtId="0" fontId="138" fillId="0" borderId="0"/>
    <xf numFmtId="38" fontId="139" fillId="0" borderId="0" applyNumberFormat="0" applyFill="0" applyBorder="0">
      <alignment horizontal="left" vertical="center"/>
    </xf>
    <xf numFmtId="175" fontId="140" fillId="0" borderId="0" applyFill="0" applyBorder="0">
      <alignment vertical="center"/>
    </xf>
    <xf numFmtId="0" fontId="141" fillId="40" borderId="0"/>
    <xf numFmtId="226" fontId="9" fillId="0" borderId="0" applyFont="0" applyFill="0" applyBorder="0" applyAlignment="0" applyProtection="0"/>
    <xf numFmtId="0" fontId="6" fillId="0" borderId="0"/>
    <xf numFmtId="0" fontId="10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225" fontId="9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3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42" fillId="0" borderId="0">
      <alignment horizontal="left" vertical="top"/>
      <protection locked="0"/>
    </xf>
    <xf numFmtId="186" fontId="9" fillId="0" borderId="0" applyFill="0">
      <alignment horizontal="center" vertical="center"/>
    </xf>
    <xf numFmtId="227" fontId="9" fillId="0" borderId="0"/>
    <xf numFmtId="0" fontId="93" fillId="0" borderId="0" applyNumberFormat="0" applyAlignment="0"/>
    <xf numFmtId="170" fontId="9" fillId="0" borderId="0" applyFill="0" applyBorder="0" applyAlignment="0" applyProtection="0"/>
    <xf numFmtId="182" fontId="78" fillId="0" borderId="0">
      <alignment vertical="top"/>
    </xf>
    <xf numFmtId="37" fontId="32" fillId="1" borderId="0">
      <alignment horizontal="right"/>
    </xf>
    <xf numFmtId="2" fontId="143" fillId="0" borderId="0"/>
    <xf numFmtId="1" fontId="9" fillId="0" borderId="0"/>
    <xf numFmtId="0" fontId="9" fillId="0" borderId="0">
      <alignment vertical="top"/>
    </xf>
    <xf numFmtId="0" fontId="9" fillId="0" borderId="0">
      <alignment vertical="top"/>
    </xf>
    <xf numFmtId="6" fontId="139" fillId="0" borderId="40" applyFill="0">
      <alignment vertical="center"/>
    </xf>
    <xf numFmtId="228" fontId="10" fillId="0" borderId="0"/>
    <xf numFmtId="39" fontId="14" fillId="0" borderId="2" applyNumberFormat="0" applyBorder="0">
      <alignment horizontal="right"/>
    </xf>
    <xf numFmtId="0" fontId="144" fillId="0" borderId="0" applyNumberFormat="0">
      <alignment horizontal="left"/>
    </xf>
    <xf numFmtId="0" fontId="145" fillId="0" borderId="0" applyFill="0" applyBorder="0" applyProtection="0">
      <alignment horizontal="left" vertical="top"/>
    </xf>
    <xf numFmtId="14" fontId="9" fillId="0" borderId="0" applyFill="0" applyBorder="0">
      <alignment vertical="center"/>
    </xf>
    <xf numFmtId="0" fontId="62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38" fontId="146" fillId="0" borderId="0" applyNumberFormat="0" applyFill="0" applyBorder="0">
      <alignment horizontal="left" vertical="center"/>
    </xf>
    <xf numFmtId="38" fontId="147" fillId="0" borderId="0" applyNumberFormat="0" applyFill="0" applyBorder="0">
      <alignment horizontal="centerContinuous" vertical="center"/>
    </xf>
    <xf numFmtId="0" fontId="148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71" fontId="130" fillId="0" borderId="0" applyNumberFormat="0" applyBorder="0" applyAlignment="0"/>
    <xf numFmtId="169" fontId="9" fillId="0" borderId="0" applyFill="0" applyBorder="0">
      <alignment vertical="center"/>
    </xf>
    <xf numFmtId="0" fontId="16" fillId="0" borderId="0"/>
    <xf numFmtId="0" fontId="8" fillId="0" borderId="0" applyFont="0"/>
    <xf numFmtId="9" fontId="7" fillId="0" borderId="0" applyFont="0" applyFill="0" applyBorder="0" applyAlignment="0" applyProtection="0"/>
    <xf numFmtId="40" fontId="7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9" fillId="0" borderId="0"/>
    <xf numFmtId="0" fontId="9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9" fillId="0" borderId="0" applyFont="0" applyFill="0" applyBorder="0" applyAlignment="0" applyProtection="0"/>
    <xf numFmtId="231" fontId="112" fillId="0" borderId="0"/>
    <xf numFmtId="0" fontId="152" fillId="0" borderId="0"/>
    <xf numFmtId="232" fontId="152" fillId="0" borderId="0">
      <alignment horizontal="right"/>
    </xf>
    <xf numFmtId="233" fontId="152" fillId="19" borderId="0"/>
    <xf numFmtId="234" fontId="152" fillId="19" borderId="0"/>
    <xf numFmtId="235" fontId="152" fillId="19" borderId="0"/>
    <xf numFmtId="236" fontId="152" fillId="19" borderId="0">
      <alignment horizontal="right"/>
    </xf>
    <xf numFmtId="0" fontId="9" fillId="0" borderId="0"/>
    <xf numFmtId="237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/>
    <xf numFmtId="238" fontId="153" fillId="0" borderId="0" applyFont="0" applyFill="0" applyBorder="0" applyAlignment="0" applyProtection="0"/>
    <xf numFmtId="0" fontId="9" fillId="0" borderId="0"/>
    <xf numFmtId="0" fontId="154" fillId="0" borderId="0"/>
    <xf numFmtId="0" fontId="155" fillId="0" borderId="0" applyNumberFormat="0" applyFont="0" applyFill="0" applyBorder="0" applyAlignment="0" applyProtection="0"/>
    <xf numFmtId="210" fontId="9" fillId="0" borderId="0" applyFont="0" applyFill="0" applyBorder="0" applyAlignment="0"/>
    <xf numFmtId="14" fontId="7" fillId="0" borderId="0"/>
    <xf numFmtId="0" fontId="9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37" applyNumberFormat="0" applyFill="0" applyProtection="0">
      <alignment horizontal="center"/>
    </xf>
    <xf numFmtId="0" fontId="9" fillId="0" borderId="37" applyNumberFormat="0" applyFill="0" applyProtection="0">
      <alignment horizontal="center"/>
    </xf>
    <xf numFmtId="0" fontId="9" fillId="0" borderId="42" applyNumberFormat="0" applyFont="0" applyFill="0" applyAlignment="0" applyProtection="0"/>
    <xf numFmtId="0" fontId="9" fillId="0" borderId="0" applyNumberFormat="0" applyFill="0" applyBorder="0" applyProtection="0">
      <alignment horizontal="left"/>
    </xf>
    <xf numFmtId="0" fontId="9" fillId="0" borderId="0" applyNumberFormat="0" applyFill="0" applyBorder="0" applyProtection="0">
      <alignment horizontal="left"/>
    </xf>
    <xf numFmtId="0" fontId="9" fillId="0" borderId="0" applyNumberFormat="0" applyFill="0" applyBorder="0" applyProtection="0">
      <alignment horizontal="centerContinuous"/>
    </xf>
    <xf numFmtId="0" fontId="9" fillId="0" borderId="0" applyNumberFormat="0" applyFill="0" applyBorder="0" applyProtection="0">
      <alignment horizontal="centerContinuous"/>
    </xf>
    <xf numFmtId="239" fontId="156" fillId="0" borderId="0" applyFont="0" applyFill="0" applyBorder="0" applyAlignment="0" applyProtection="0"/>
    <xf numFmtId="240" fontId="156" fillId="0" borderId="0" applyFont="0" applyFill="0" applyBorder="0" applyAlignment="0" applyProtection="0"/>
    <xf numFmtId="0" fontId="78" fillId="0" borderId="0"/>
    <xf numFmtId="0" fontId="10" fillId="0" borderId="43" applyNumberFormat="0" applyFill="0" applyAlignment="0" applyProtection="0"/>
    <xf numFmtId="241" fontId="157" fillId="0" borderId="0" applyFont="0" applyFill="0" applyBorder="0" applyAlignment="0" applyProtection="0"/>
    <xf numFmtId="0" fontId="158" fillId="0" borderId="44">
      <alignment horizontal="left"/>
    </xf>
    <xf numFmtId="0" fontId="159" fillId="0" borderId="44">
      <alignment horizontal="left" wrapText="1"/>
    </xf>
    <xf numFmtId="0" fontId="105" fillId="33" borderId="38">
      <alignment horizontal="center"/>
    </xf>
    <xf numFmtId="0" fontId="105" fillId="33" borderId="38">
      <alignment horizontal="center"/>
    </xf>
    <xf numFmtId="182" fontId="26" fillId="0" borderId="0"/>
    <xf numFmtId="0" fontId="58" fillId="0" borderId="9" applyNumberFormat="0" applyFill="0" applyAlignment="0" applyProtection="0"/>
    <xf numFmtId="0" fontId="58" fillId="0" borderId="9" applyNumberFormat="0" applyFill="0" applyAlignment="0" applyProtection="0"/>
    <xf numFmtId="37" fontId="160" fillId="0" borderId="0"/>
    <xf numFmtId="37" fontId="161" fillId="0" borderId="0"/>
    <xf numFmtId="242" fontId="162" fillId="0" borderId="28" applyNumberFormat="0" applyFill="0" applyAlignment="0" applyProtection="0">
      <alignment horizontal="center"/>
    </xf>
    <xf numFmtId="242" fontId="162" fillId="0" borderId="28" applyNumberFormat="0" applyFill="0" applyAlignment="0" applyProtection="0">
      <alignment horizontal="center"/>
    </xf>
    <xf numFmtId="7" fontId="35" fillId="0" borderId="42"/>
    <xf numFmtId="243" fontId="162" fillId="0" borderId="9" applyFill="0" applyAlignment="0" applyProtection="0">
      <alignment horizontal="center"/>
    </xf>
    <xf numFmtId="243" fontId="162" fillId="0" borderId="9" applyFill="0" applyAlignment="0" applyProtection="0">
      <alignment horizontal="center"/>
    </xf>
    <xf numFmtId="7" fontId="9" fillId="0" borderId="0"/>
    <xf numFmtId="244" fontId="156" fillId="0" borderId="0" applyFont="0" applyFill="0" applyBorder="0" applyAlignment="0" applyProtection="0"/>
    <xf numFmtId="241" fontId="163" fillId="0" borderId="0" applyFont="0" applyFill="0" applyBorder="0" applyAlignment="0" applyProtection="0"/>
    <xf numFmtId="0" fontId="159" fillId="0" borderId="0">
      <alignment horizontal="right" vertical="center"/>
    </xf>
    <xf numFmtId="0" fontId="158" fillId="0" borderId="0">
      <alignment horizontal="center" vertical="center" wrapText="1"/>
    </xf>
    <xf numFmtId="1" fontId="164" fillId="0" borderId="0"/>
    <xf numFmtId="0" fontId="9" fillId="0" borderId="9" applyNumberFormat="0" applyFill="0" applyBorder="0" applyAlignment="0" applyProtection="0">
      <alignment horizontal="center"/>
    </xf>
    <xf numFmtId="0" fontId="9" fillId="0" borderId="9" applyNumberFormat="0" applyFill="0" applyBorder="0" applyAlignment="0" applyProtection="0">
      <alignment horizontal="center"/>
    </xf>
    <xf numFmtId="245" fontId="9" fillId="0" borderId="9">
      <alignment horizontal="right"/>
    </xf>
    <xf numFmtId="245" fontId="9" fillId="0" borderId="9">
      <alignment horizontal="right"/>
    </xf>
    <xf numFmtId="0" fontId="7" fillId="0" borderId="0">
      <alignment horizontal="center" wrapText="1"/>
      <protection hidden="1"/>
    </xf>
    <xf numFmtId="0" fontId="165" fillId="0" borderId="25" applyNumberFormat="0" applyFill="0" applyProtection="0">
      <alignment horizontal="center" vertical="center"/>
    </xf>
    <xf numFmtId="0" fontId="166" fillId="0" borderId="9" applyNumberFormat="0" applyFill="0" applyBorder="0" applyProtection="0">
      <alignment horizontal="right" vertical="center"/>
    </xf>
    <xf numFmtId="0" fontId="166" fillId="0" borderId="9" applyNumberFormat="0" applyFill="0" applyBorder="0" applyProtection="0">
      <alignment horizontal="right" vertical="center"/>
    </xf>
    <xf numFmtId="0" fontId="151" fillId="0" borderId="0"/>
    <xf numFmtId="246" fontId="167" fillId="0" borderId="0"/>
    <xf numFmtId="246" fontId="167" fillId="0" borderId="0"/>
    <xf numFmtId="246" fontId="167" fillId="0" borderId="0"/>
    <xf numFmtId="246" fontId="167" fillId="0" borderId="0"/>
    <xf numFmtId="246" fontId="167" fillId="0" borderId="0"/>
    <xf numFmtId="246" fontId="167" fillId="0" borderId="0"/>
    <xf numFmtId="246" fontId="167" fillId="0" borderId="0"/>
    <xf numFmtId="246" fontId="167" fillId="0" borderId="0"/>
    <xf numFmtId="247" fontId="151" fillId="0" borderId="9"/>
    <xf numFmtId="247" fontId="151" fillId="0" borderId="9"/>
    <xf numFmtId="241" fontId="7" fillId="0" borderId="0" applyFont="0" applyFill="0" applyBorder="0" applyAlignment="0" applyProtection="0"/>
    <xf numFmtId="182" fontId="7" fillId="0" borderId="0" applyFont="0" applyFill="0" applyBorder="0" applyAlignment="0" applyProtection="0"/>
    <xf numFmtId="39" fontId="7" fillId="0" borderId="0" applyFont="0" applyFill="0" applyBorder="0" applyAlignment="0" applyProtection="0"/>
    <xf numFmtId="0" fontId="9" fillId="43" borderId="0">
      <alignment horizontal="center" vertical="center" wrapText="1"/>
    </xf>
    <xf numFmtId="248" fontId="169" fillId="0" borderId="28">
      <protection hidden="1"/>
    </xf>
    <xf numFmtId="248" fontId="169" fillId="0" borderId="28">
      <protection hidden="1"/>
    </xf>
    <xf numFmtId="186" fontId="7" fillId="0" borderId="0" applyFill="0" applyBorder="0">
      <alignment horizontal="right"/>
      <protection locked="0"/>
    </xf>
    <xf numFmtId="249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250" fontId="152" fillId="19" borderId="32">
      <alignment horizontal="right"/>
    </xf>
    <xf numFmtId="250" fontId="152" fillId="19" borderId="32">
      <alignment horizontal="right"/>
    </xf>
    <xf numFmtId="250" fontId="152" fillId="19" borderId="32">
      <alignment horizontal="right"/>
    </xf>
    <xf numFmtId="0" fontId="170" fillId="0" borderId="44">
      <alignment horizontal="left"/>
    </xf>
    <xf numFmtId="0" fontId="171" fillId="0" borderId="44">
      <alignment horizontal="left" wrapText="1"/>
    </xf>
    <xf numFmtId="251" fontId="156" fillId="0" borderId="0" applyFont="0" applyFill="0" applyBorder="0" applyAlignment="0" applyProtection="0"/>
    <xf numFmtId="14" fontId="163" fillId="0" borderId="0" applyFont="0" applyFill="0" applyBorder="0" applyAlignment="0" applyProtection="0">
      <alignment horizontal="center"/>
    </xf>
    <xf numFmtId="252" fontId="163" fillId="0" borderId="0" applyFont="0" applyFill="0" applyBorder="0" applyAlignment="0" applyProtection="0">
      <alignment horizontal="center"/>
    </xf>
    <xf numFmtId="187" fontId="34" fillId="0" borderId="0" applyFont="0" applyFill="0" applyBorder="0" applyAlignment="0" applyProtection="0">
      <alignment horizontal="center"/>
    </xf>
    <xf numFmtId="170" fontId="9" fillId="0" borderId="0" applyFont="0" applyFill="0" applyBorder="0" applyAlignment="0" applyProtection="0"/>
    <xf numFmtId="37" fontId="35" fillId="0" borderId="36"/>
    <xf numFmtId="0" fontId="9" fillId="0" borderId="0"/>
    <xf numFmtId="169" fontId="9" fillId="0" borderId="0" applyFont="0" applyFill="0" applyBorder="0" applyAlignment="0" applyProtection="0"/>
    <xf numFmtId="6" fontId="157" fillId="0" borderId="0" applyFont="0" applyFill="0" applyBorder="0" applyAlignment="0" applyProtection="0"/>
    <xf numFmtId="175" fontId="172" fillId="44" borderId="45" applyNumberFormat="0" applyAlignment="0" applyProtection="0">
      <alignment vertical="top"/>
    </xf>
    <xf numFmtId="0" fontId="10" fillId="32" borderId="0" applyNumberFormat="0" applyFont="0" applyBorder="0" applyAlignment="0" applyProtection="0"/>
    <xf numFmtId="175" fontId="173" fillId="45" borderId="46" applyNumberFormat="0" applyAlignment="0" applyProtection="0">
      <alignment vertical="top"/>
    </xf>
    <xf numFmtId="253" fontId="152" fillId="0" borderId="0"/>
    <xf numFmtId="254" fontId="152" fillId="0" borderId="0"/>
    <xf numFmtId="255" fontId="152" fillId="0" borderId="0"/>
    <xf numFmtId="256" fontId="152" fillId="0" borderId="0"/>
    <xf numFmtId="8" fontId="157" fillId="0" borderId="0" applyFont="0" applyFill="0" applyBorder="0" applyAlignment="0" applyProtection="0">
      <alignment horizontal="right"/>
    </xf>
    <xf numFmtId="257" fontId="152" fillId="0" borderId="0"/>
    <xf numFmtId="0" fontId="78" fillId="0" borderId="0" applyFont="0" applyFill="0" applyBorder="0" applyProtection="0">
      <alignment horizontal="left"/>
      <protection locked="0"/>
    </xf>
    <xf numFmtId="258" fontId="152" fillId="0" borderId="0"/>
    <xf numFmtId="0" fontId="78" fillId="0" borderId="0" applyFont="0" applyFill="0" applyBorder="0" applyProtection="0">
      <alignment horizontal="left"/>
      <protection locked="0"/>
    </xf>
    <xf numFmtId="259" fontId="11" fillId="0" borderId="0"/>
    <xf numFmtId="0" fontId="9" fillId="0" borderId="0"/>
    <xf numFmtId="43" fontId="9" fillId="0" borderId="0" applyBorder="0"/>
    <xf numFmtId="41" fontId="9" fillId="0" borderId="0" applyBorder="0"/>
    <xf numFmtId="44" fontId="9" fillId="0" borderId="0" applyBorder="0"/>
    <xf numFmtId="42" fontId="9" fillId="0" borderId="0" applyBorder="0"/>
    <xf numFmtId="0" fontId="174" fillId="0" borderId="0" applyNumberFormat="0" applyBorder="0"/>
    <xf numFmtId="0" fontId="175" fillId="0" borderId="0" applyNumberFormat="0" applyBorder="0"/>
    <xf numFmtId="9" fontId="9" fillId="0" borderId="0" applyBorder="0"/>
    <xf numFmtId="0" fontId="174" fillId="0" borderId="0" applyNumberFormat="0" applyBorder="0"/>
    <xf numFmtId="0" fontId="175" fillId="0" borderId="0" applyNumberFormat="0" applyBorder="0"/>
    <xf numFmtId="9" fontId="9" fillId="0" borderId="0" applyBorder="0"/>
    <xf numFmtId="260" fontId="9" fillId="0" borderId="0" applyFill="0" applyBorder="0" applyAlignment="0" applyProtection="0"/>
    <xf numFmtId="0" fontId="176" fillId="0" borderId="0" applyNumberFormat="0" applyFill="0" applyBorder="0" applyProtection="0">
      <alignment horizontal="left" vertical="center"/>
    </xf>
    <xf numFmtId="254" fontId="152" fillId="0" borderId="47"/>
    <xf numFmtId="261" fontId="152" fillId="19" borderId="32">
      <alignment horizontal="right"/>
    </xf>
    <xf numFmtId="261" fontId="152" fillId="19" borderId="32">
      <alignment horizontal="right"/>
    </xf>
    <xf numFmtId="261" fontId="152" fillId="19" borderId="32">
      <alignment horizontal="right"/>
    </xf>
    <xf numFmtId="2" fontId="87" fillId="0" borderId="0">
      <alignment horizontal="left"/>
    </xf>
    <xf numFmtId="262" fontId="177" fillId="0" borderId="0" applyFill="0" applyBorder="0" applyAlignment="0" applyProtection="0"/>
    <xf numFmtId="0" fontId="9" fillId="0" borderId="0" applyAlignment="0">
      <alignment horizontal="left"/>
      <protection locked="0"/>
    </xf>
    <xf numFmtId="0" fontId="178" fillId="28" borderId="0" applyNumberFormat="0" applyBorder="0" applyProtection="0">
      <alignment horizontal="left" vertical="center"/>
    </xf>
    <xf numFmtId="0" fontId="179" fillId="1" borderId="0" applyNumberFormat="0" applyBorder="0" applyProtection="0">
      <alignment horizontal="left" vertical="center"/>
    </xf>
    <xf numFmtId="0" fontId="9" fillId="0" borderId="0" applyNumberFormat="0" applyFill="0" applyBorder="0" applyProtection="0">
      <alignment wrapText="1"/>
    </xf>
    <xf numFmtId="0" fontId="9" fillId="0" borderId="0" applyNumberFormat="0" applyFill="0" applyBorder="0" applyProtection="0">
      <alignment horizontal="justify" vertical="top" wrapText="1"/>
    </xf>
    <xf numFmtId="0" fontId="35" fillId="0" borderId="48" applyNumberFormat="0" applyFont="0" applyFill="0" applyAlignment="0" applyProtection="0"/>
    <xf numFmtId="241" fontId="157" fillId="0" borderId="0" applyFont="0" applyFill="0" applyBorder="0" applyAlignment="0" applyProtection="0"/>
    <xf numFmtId="0" fontId="7" fillId="0" borderId="0" applyFill="0" applyBorder="0">
      <alignment horizontal="right"/>
      <protection locked="0"/>
    </xf>
    <xf numFmtId="263" fontId="7" fillId="0" borderId="0" applyFill="0" applyBorder="0">
      <alignment horizontal="right"/>
      <protection locked="0"/>
    </xf>
    <xf numFmtId="0" fontId="9" fillId="46" borderId="0" applyBorder="0"/>
    <xf numFmtId="0" fontId="123" fillId="47" borderId="49">
      <alignment horizontal="left" vertical="center" wrapText="1"/>
    </xf>
    <xf numFmtId="0" fontId="180" fillId="0" borderId="0" applyNumberFormat="0" applyFill="0" applyBorder="0" applyProtection="0">
      <alignment horizontal="left" vertical="center"/>
    </xf>
    <xf numFmtId="264" fontId="152" fillId="0" borderId="0">
      <alignment horizontal="right"/>
    </xf>
    <xf numFmtId="265" fontId="152" fillId="0" borderId="0">
      <alignment horizontal="right"/>
    </xf>
    <xf numFmtId="0" fontId="75" fillId="0" borderId="0">
      <alignment horizontal="left"/>
    </xf>
    <xf numFmtId="0" fontId="9" fillId="46" borderId="0" applyBorder="0" applyAlignment="0">
      <alignment horizontal="right"/>
    </xf>
    <xf numFmtId="262" fontId="181" fillId="0" borderId="0" applyFill="0" applyBorder="0" applyAlignment="0" applyProtection="0"/>
    <xf numFmtId="266" fontId="9" fillId="0" borderId="0" applyFont="0" applyFill="0" applyBorder="0" applyAlignment="0" applyProtection="0"/>
    <xf numFmtId="267" fontId="9" fillId="0" borderId="0" applyFont="0" applyFill="0" applyBorder="0" applyAlignment="0" applyProtection="0"/>
    <xf numFmtId="268" fontId="152" fillId="0" borderId="0">
      <alignment horizontal="right"/>
    </xf>
    <xf numFmtId="269" fontId="9" fillId="0" borderId="0" applyFont="0" applyFill="0" applyBorder="0" applyAlignment="0" applyProtection="0"/>
    <xf numFmtId="270" fontId="9" fillId="0" borderId="0" applyFont="0" applyFill="0" applyBorder="0" applyAlignment="0" applyProtection="0"/>
    <xf numFmtId="171" fontId="34" fillId="0" borderId="0" applyFont="0" applyFill="0" applyBorder="0" applyAlignment="0" applyProtection="0"/>
    <xf numFmtId="271" fontId="34" fillId="0" borderId="0" applyFont="0" applyFill="0" applyBorder="0" applyAlignment="0" applyProtection="0"/>
    <xf numFmtId="230" fontId="9" fillId="0" borderId="0" applyFill="0" applyBorder="0"/>
    <xf numFmtId="182" fontId="32" fillId="0" borderId="9"/>
    <xf numFmtId="182" fontId="32" fillId="0" borderId="9"/>
    <xf numFmtId="37" fontId="9" fillId="0" borderId="0"/>
    <xf numFmtId="37" fontId="112" fillId="0" borderId="0"/>
    <xf numFmtId="0" fontId="162" fillId="0" borderId="0" applyNumberFormat="0" applyFill="0" applyAlignment="0" applyProtection="0"/>
    <xf numFmtId="272" fontId="151" fillId="0" borderId="0"/>
    <xf numFmtId="1" fontId="34" fillId="0" borderId="0" applyFont="0" applyFill="0" applyBorder="0" applyAlignment="0" applyProtection="0">
      <alignment horizontal="center"/>
    </xf>
    <xf numFmtId="38" fontId="30" fillId="0" borderId="0"/>
    <xf numFmtId="273" fontId="182" fillId="0" borderId="0">
      <alignment horizontal="right"/>
    </xf>
    <xf numFmtId="43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0" fontId="159" fillId="0" borderId="50">
      <alignment horizontal="left" vertical="center" wrapText="1"/>
    </xf>
    <xf numFmtId="274" fontId="7" fillId="0" borderId="0"/>
    <xf numFmtId="275" fontId="157" fillId="0" borderId="0"/>
    <xf numFmtId="0" fontId="51" fillId="0" borderId="51" applyNumberFormat="0" applyAlignment="0" applyProtection="0"/>
    <xf numFmtId="0" fontId="78" fillId="29" borderId="0" applyNumberFormat="0" applyFont="0" applyBorder="0" applyAlignment="0" applyProtection="0"/>
    <xf numFmtId="0" fontId="10" fillId="48" borderId="6" applyNumberFormat="0" applyFont="0" applyBorder="0" applyAlignment="0" applyProtection="0">
      <alignment horizontal="center"/>
    </xf>
    <xf numFmtId="0" fontId="10" fillId="44" borderId="6" applyNumberFormat="0" applyFont="0" applyBorder="0" applyAlignment="0" applyProtection="0">
      <alignment horizontal="center"/>
    </xf>
    <xf numFmtId="0" fontId="78" fillId="0" borderId="52" applyNumberFormat="0" applyAlignment="0" applyProtection="0"/>
    <xf numFmtId="0" fontId="78" fillId="0" borderId="53" applyNumberFormat="0" applyAlignment="0" applyProtection="0"/>
    <xf numFmtId="0" fontId="78" fillId="0" borderId="53" applyNumberFormat="0" applyAlignment="0" applyProtection="0"/>
    <xf numFmtId="0" fontId="78" fillId="0" borderId="53" applyNumberFormat="0" applyAlignment="0" applyProtection="0"/>
    <xf numFmtId="0" fontId="78" fillId="0" borderId="53" applyNumberFormat="0" applyAlignment="0" applyProtection="0"/>
    <xf numFmtId="0" fontId="78" fillId="0" borderId="53" applyNumberFormat="0" applyAlignment="0" applyProtection="0"/>
    <xf numFmtId="0" fontId="78" fillId="0" borderId="53" applyNumberFormat="0" applyAlignment="0" applyProtection="0"/>
    <xf numFmtId="0" fontId="78" fillId="0" borderId="53" applyNumberFormat="0" applyAlignment="0" applyProtection="0"/>
    <xf numFmtId="0" fontId="78" fillId="0" borderId="53" applyNumberFormat="0" applyAlignment="0" applyProtection="0"/>
    <xf numFmtId="0" fontId="78" fillId="0" borderId="53" applyNumberFormat="0" applyAlignment="0" applyProtection="0"/>
    <xf numFmtId="0" fontId="78" fillId="0" borderId="53" applyNumberFormat="0" applyAlignment="0" applyProtection="0"/>
    <xf numFmtId="0" fontId="51" fillId="0" borderId="54" applyNumberFormat="0" applyAlignment="0" applyProtection="0"/>
    <xf numFmtId="276" fontId="152" fillId="0" borderId="0"/>
    <xf numFmtId="277" fontId="152" fillId="0" borderId="0"/>
    <xf numFmtId="278" fontId="169" fillId="0" borderId="0">
      <protection hidden="1"/>
    </xf>
    <xf numFmtId="175" fontId="183" fillId="0" borderId="0" applyBorder="0"/>
    <xf numFmtId="279" fontId="7" fillId="0" borderId="0" applyFill="0" applyBorder="0">
      <alignment horizontal="right"/>
      <protection locked="0"/>
    </xf>
    <xf numFmtId="280" fontId="157" fillId="0" borderId="0" applyFont="0" applyFill="0" applyBorder="0" applyAlignment="0" applyProtection="0"/>
    <xf numFmtId="8" fontId="157" fillId="0" borderId="0" applyFont="0" applyFill="0" applyBorder="0" applyAlignment="0" applyProtection="0"/>
    <xf numFmtId="241" fontId="157" fillId="0" borderId="0" applyFont="0" applyFill="0" applyBorder="0" applyAlignment="0" applyProtection="0">
      <protection locked="0"/>
    </xf>
    <xf numFmtId="182" fontId="32" fillId="0" borderId="0"/>
    <xf numFmtId="241" fontId="157" fillId="0" borderId="0" applyFill="0" applyBorder="0" applyAlignment="0" applyProtection="0"/>
    <xf numFmtId="38" fontId="157" fillId="0" borderId="0" applyFont="0" applyFill="0" applyBorder="0" applyAlignment="0" applyProtection="0"/>
    <xf numFmtId="0" fontId="7" fillId="0" borderId="0" applyNumberFormat="0" applyFont="0" applyFill="0" applyBorder="0" applyAlignment="0" applyProtection="0">
      <alignment horizontal="left"/>
    </xf>
    <xf numFmtId="15" fontId="7" fillId="0" borderId="0" applyFont="0" applyFill="0" applyBorder="0" applyAlignment="0" applyProtection="0"/>
    <xf numFmtId="4" fontId="7" fillId="0" borderId="0" applyFont="0" applyFill="0" applyBorder="0" applyAlignment="0" applyProtection="0"/>
    <xf numFmtId="0" fontId="123" fillId="0" borderId="28">
      <alignment horizontal="center"/>
    </xf>
    <xf numFmtId="0" fontId="123" fillId="0" borderId="28">
      <alignment horizontal="center"/>
    </xf>
    <xf numFmtId="3" fontId="7" fillId="0" borderId="0" applyFont="0" applyFill="0" applyBorder="0" applyAlignment="0" applyProtection="0"/>
    <xf numFmtId="0" fontId="7" fillId="49" borderId="0" applyNumberFormat="0" applyFont="0" applyBorder="0" applyAlignment="0" applyProtection="0"/>
    <xf numFmtId="281" fontId="152" fillId="19" borderId="0"/>
    <xf numFmtId="282" fontId="152" fillId="19" borderId="32">
      <alignment horizontal="right"/>
    </xf>
    <xf numFmtId="0" fontId="50" fillId="0" borderId="55"/>
    <xf numFmtId="283" fontId="7" fillId="0" borderId="0">
      <alignment horizontal="right"/>
      <protection locked="0"/>
    </xf>
    <xf numFmtId="241" fontId="163" fillId="0" borderId="0" applyFont="0" applyFill="0" applyBorder="0" applyAlignment="0" applyProtection="0"/>
    <xf numFmtId="0" fontId="159" fillId="0" borderId="0">
      <alignment horizontal="left" vertical="center" wrapText="1"/>
    </xf>
    <xf numFmtId="0" fontId="180" fillId="0" borderId="0" applyNumberFormat="0" applyFill="0" applyBorder="0" applyProtection="0">
      <alignment horizontal="right" vertical="center"/>
    </xf>
    <xf numFmtId="0" fontId="9" fillId="0" borderId="0" applyFill="0" applyBorder="0">
      <alignment horizontal="right"/>
      <protection hidden="1"/>
    </xf>
    <xf numFmtId="0" fontId="9" fillId="43" borderId="13">
      <alignment horizontal="center" vertical="center" wrapText="1"/>
      <protection hidden="1"/>
    </xf>
    <xf numFmtId="241" fontId="157" fillId="0" borderId="0" applyFont="0" applyFill="0" applyBorder="0" applyAlignment="0" applyProtection="0"/>
    <xf numFmtId="0" fontId="162" fillId="0" borderId="9" applyNumberFormat="0" applyFill="0" applyAlignment="0" applyProtection="0"/>
    <xf numFmtId="0" fontId="162" fillId="0" borderId="9" applyNumberFormat="0" applyFill="0" applyAlignment="0" applyProtection="0"/>
    <xf numFmtId="37" fontId="184" fillId="0" borderId="26"/>
    <xf numFmtId="0" fontId="158" fillId="0" borderId="0">
      <alignment horizontal="left" vertical="center" wrapText="1"/>
    </xf>
    <xf numFmtId="182" fontId="35" fillId="0" borderId="0" applyFill="0" applyBorder="0" applyProtection="0">
      <alignment horizontal="right"/>
    </xf>
    <xf numFmtId="0" fontId="185" fillId="26" borderId="0"/>
    <xf numFmtId="0" fontId="62" fillId="26" borderId="0"/>
    <xf numFmtId="0" fontId="186" fillId="26" borderId="0"/>
    <xf numFmtId="0" fontId="187" fillId="26" borderId="0"/>
    <xf numFmtId="0" fontId="187" fillId="0" borderId="0"/>
    <xf numFmtId="0" fontId="9" fillId="30" borderId="56" applyNumberFormat="0" applyProtection="0">
      <alignment horizontal="center" vertical="center"/>
    </xf>
    <xf numFmtId="0" fontId="9" fillId="50" borderId="56" applyNumberFormat="0" applyProtection="0">
      <alignment horizontal="center" vertical="center"/>
    </xf>
    <xf numFmtId="0" fontId="9" fillId="30" borderId="57" applyNumberFormat="0"/>
    <xf numFmtId="0" fontId="9" fillId="30" borderId="58" applyNumberFormat="0"/>
    <xf numFmtId="0" fontId="9" fillId="30" borderId="59" applyNumberFormat="0"/>
    <xf numFmtId="0" fontId="9" fillId="30" borderId="60" applyNumberFormat="0"/>
    <xf numFmtId="0" fontId="9" fillId="30" borderId="61" applyNumberFormat="0"/>
    <xf numFmtId="0" fontId="9" fillId="30" borderId="62" applyNumberFormat="0"/>
    <xf numFmtId="0" fontId="9" fillId="30" borderId="63" applyNumberFormat="0"/>
    <xf numFmtId="0" fontId="188" fillId="50" borderId="0" applyNumberFormat="0" applyBorder="0" applyAlignment="0" applyProtection="0"/>
    <xf numFmtId="284" fontId="9" fillId="30" borderId="57" applyFont="0" applyAlignment="0" applyProtection="0"/>
    <xf numFmtId="285" fontId="9" fillId="22" borderId="57" applyFont="0" applyAlignment="0" applyProtection="0"/>
    <xf numFmtId="0" fontId="75" fillId="0" borderId="0" applyNumberFormat="0" applyFill="0" applyBorder="0" applyAlignment="0" applyProtection="0"/>
    <xf numFmtId="0" fontId="9" fillId="0" borderId="0" applyNumberFormat="0" applyBorder="0"/>
    <xf numFmtId="0" fontId="189" fillId="50" borderId="64" applyNumberFormat="0"/>
    <xf numFmtId="0" fontId="14" fillId="0" borderId="58" applyNumberFormat="0">
      <alignment horizontal="right"/>
    </xf>
    <xf numFmtId="0" fontId="113" fillId="50" borderId="0" applyNumberFormat="0" applyBorder="0" applyAlignment="0" applyProtection="0"/>
    <xf numFmtId="0" fontId="14" fillId="0" borderId="59" applyNumberFormat="0">
      <alignment horizontal="right"/>
    </xf>
    <xf numFmtId="0" fontId="14" fillId="0" borderId="65" applyNumberFormat="0">
      <alignment horizontal="right"/>
    </xf>
    <xf numFmtId="285" fontId="9" fillId="0" borderId="57"/>
    <xf numFmtId="285" fontId="9" fillId="0" borderId="0" applyBorder="0"/>
    <xf numFmtId="285" fontId="9" fillId="0" borderId="63"/>
    <xf numFmtId="285" fontId="9" fillId="22" borderId="57"/>
    <xf numFmtId="285" fontId="9" fillId="22" borderId="0" applyBorder="0"/>
    <xf numFmtId="285" fontId="9" fillId="22" borderId="63"/>
    <xf numFmtId="286" fontId="9" fillId="0" borderId="63"/>
    <xf numFmtId="286" fontId="9" fillId="0" borderId="0" applyBorder="0"/>
    <xf numFmtId="0" fontId="62" fillId="0" borderId="0" applyNumberFormat="0" applyFill="0" applyBorder="0" applyAlignment="0" applyProtection="0"/>
    <xf numFmtId="286" fontId="9" fillId="22" borderId="0" applyBorder="0"/>
    <xf numFmtId="286" fontId="9" fillId="22" borderId="63"/>
    <xf numFmtId="286" fontId="9" fillId="22" borderId="57"/>
    <xf numFmtId="286" fontId="9" fillId="0" borderId="57"/>
    <xf numFmtId="287" fontId="9" fillId="0" borderId="63"/>
    <xf numFmtId="287" fontId="9" fillId="0" borderId="0" applyBorder="0"/>
    <xf numFmtId="287" fontId="9" fillId="22" borderId="0" applyBorder="0"/>
    <xf numFmtId="287" fontId="9" fillId="22" borderId="63"/>
    <xf numFmtId="287" fontId="9" fillId="22" borderId="57"/>
    <xf numFmtId="287" fontId="9" fillId="0" borderId="57"/>
    <xf numFmtId="0" fontId="14" fillId="0" borderId="0" applyNumberFormat="0" applyFill="0" applyBorder="0" applyAlignment="0" applyProtection="0"/>
    <xf numFmtId="0" fontId="14" fillId="0" borderId="57" applyNumberFormat="0">
      <alignment horizontal="right"/>
    </xf>
    <xf numFmtId="0" fontId="14" fillId="22" borderId="57" applyNumberFormat="0">
      <alignment horizontal="right"/>
    </xf>
    <xf numFmtId="285" fontId="9" fillId="0" borderId="58"/>
    <xf numFmtId="285" fontId="9" fillId="0" borderId="59"/>
    <xf numFmtId="285" fontId="9" fillId="0" borderId="65"/>
    <xf numFmtId="286" fontId="9" fillId="0" borderId="58"/>
    <xf numFmtId="286" fontId="9" fillId="0" borderId="59"/>
    <xf numFmtId="286" fontId="9" fillId="0" borderId="65"/>
    <xf numFmtId="287" fontId="9" fillId="0" borderId="58"/>
    <xf numFmtId="287" fontId="9" fillId="0" borderId="59"/>
    <xf numFmtId="0" fontId="105" fillId="40" borderId="0" applyNumberFormat="0" applyBorder="0" applyAlignment="0" applyProtection="0"/>
    <xf numFmtId="287" fontId="9" fillId="0" borderId="65"/>
    <xf numFmtId="0" fontId="105" fillId="40" borderId="0" applyNumberFormat="0" applyBorder="0" applyProtection="0">
      <alignment horizontal="center"/>
    </xf>
    <xf numFmtId="0" fontId="190" fillId="40" borderId="0" applyNumberFormat="0" applyBorder="0" applyAlignment="0" applyProtection="0"/>
    <xf numFmtId="0" fontId="9" fillId="0" borderId="0" applyNumberFormat="0" applyFont="0" applyFill="0" applyBorder="0" applyProtection="0">
      <alignment horizontal="right"/>
    </xf>
    <xf numFmtId="0" fontId="9" fillId="0" borderId="0" applyNumberFormat="0" applyFont="0" applyFill="0" applyBorder="0" applyProtection="0">
      <alignment horizontal="left"/>
    </xf>
    <xf numFmtId="0" fontId="9" fillId="0" borderId="0" applyNumberFormat="0" applyBorder="0"/>
    <xf numFmtId="0" fontId="189" fillId="50" borderId="64" applyNumberFormat="0"/>
    <xf numFmtId="0" fontId="14" fillId="0" borderId="58" applyNumberFormat="0">
      <alignment horizontal="right"/>
    </xf>
    <xf numFmtId="0" fontId="10" fillId="0" borderId="0" applyNumberFormat="0" applyFill="0" applyBorder="0" applyAlignment="0" applyProtection="0"/>
    <xf numFmtId="0" fontId="14" fillId="0" borderId="59" applyNumberFormat="0">
      <alignment horizontal="right"/>
    </xf>
    <xf numFmtId="0" fontId="14" fillId="0" borderId="65" applyNumberFormat="0">
      <alignment horizontal="right"/>
    </xf>
    <xf numFmtId="287" fontId="9" fillId="0" borderId="63"/>
    <xf numFmtId="287" fontId="9" fillId="0" borderId="0" applyBorder="0"/>
    <xf numFmtId="287" fontId="9" fillId="22" borderId="0" applyBorder="0"/>
    <xf numFmtId="287" fontId="9" fillId="22" borderId="63"/>
    <xf numFmtId="287" fontId="9" fillId="22" borderId="57"/>
    <xf numFmtId="287" fontId="9" fillId="0" borderId="57"/>
    <xf numFmtId="0" fontId="14" fillId="0" borderId="57" applyNumberFormat="0">
      <alignment horizontal="right"/>
    </xf>
    <xf numFmtId="0" fontId="14" fillId="22" borderId="57" applyNumberFormat="0">
      <alignment horizontal="right"/>
    </xf>
    <xf numFmtId="0" fontId="26" fillId="0" borderId="0" applyNumberFormat="0" applyFill="0" applyBorder="0" applyAlignment="0" applyProtection="0"/>
    <xf numFmtId="287" fontId="9" fillId="0" borderId="58"/>
    <xf numFmtId="287" fontId="9" fillId="0" borderId="59"/>
    <xf numFmtId="287" fontId="9" fillId="0" borderId="65"/>
    <xf numFmtId="0" fontId="9" fillId="51" borderId="0" applyNumberFormat="0" applyFont="0" applyBorder="0" applyAlignment="0" applyProtection="0"/>
    <xf numFmtId="288" fontId="9" fillId="0" borderId="0" applyFont="0" applyFill="0" applyBorder="0" applyAlignment="0" applyProtection="0"/>
    <xf numFmtId="2" fontId="9" fillId="0" borderId="0" applyFont="0" applyFill="0" applyBorder="0" applyAlignment="0" applyProtection="0"/>
    <xf numFmtId="0" fontId="9" fillId="0" borderId="0" applyNumberFormat="0" applyBorder="0"/>
    <xf numFmtId="0" fontId="189" fillId="50" borderId="58" applyNumberFormat="0">
      <alignment horizontal="right"/>
    </xf>
    <xf numFmtId="0" fontId="189" fillId="50" borderId="59" applyNumberFormat="0">
      <alignment horizontal="right"/>
    </xf>
    <xf numFmtId="0" fontId="189" fillId="50" borderId="65" applyNumberFormat="0">
      <alignment horizontal="right"/>
    </xf>
    <xf numFmtId="0" fontId="189" fillId="50" borderId="64" applyNumberFormat="0"/>
    <xf numFmtId="287" fontId="9" fillId="0" borderId="63"/>
    <xf numFmtId="287" fontId="9" fillId="0" borderId="0" applyBorder="0"/>
    <xf numFmtId="0" fontId="9" fillId="0" borderId="0" applyNumberFormat="0" applyFont="0" applyFill="0" applyBorder="0" applyAlignment="0" applyProtection="0"/>
    <xf numFmtId="0" fontId="189" fillId="50" borderId="64" applyNumberFormat="0" applyAlignment="0" applyProtection="0"/>
    <xf numFmtId="171" fontId="9" fillId="0" borderId="0" applyFont="0" applyFill="0" applyBorder="0" applyAlignment="0" applyProtection="0"/>
    <xf numFmtId="0" fontId="14" fillId="0" borderId="58" applyNumberFormat="0" applyFill="0" applyProtection="0">
      <alignment horizontal="right"/>
    </xf>
    <xf numFmtId="0" fontId="14" fillId="0" borderId="59" applyNumberFormat="0" applyFill="0" applyProtection="0">
      <alignment horizontal="right"/>
    </xf>
    <xf numFmtId="0" fontId="14" fillId="0" borderId="65" applyNumberFormat="0" applyFill="0" applyProtection="0">
      <alignment horizontal="right"/>
    </xf>
    <xf numFmtId="285" fontId="9" fillId="0" borderId="57" applyFont="0" applyFill="0" applyAlignment="0" applyProtection="0"/>
    <xf numFmtId="285" fontId="9" fillId="0" borderId="0" applyFont="0" applyFill="0" applyBorder="0" applyAlignment="0" applyProtection="0"/>
    <xf numFmtId="285" fontId="9" fillId="0" borderId="63" applyFont="0" applyFill="0" applyAlignment="0" applyProtection="0"/>
    <xf numFmtId="285" fontId="9" fillId="22" borderId="57" applyFont="0" applyAlignment="0" applyProtection="0"/>
    <xf numFmtId="285" fontId="9" fillId="22" borderId="0" applyFont="0" applyBorder="0" applyAlignment="0" applyProtection="0"/>
    <xf numFmtId="285" fontId="9" fillId="22" borderId="63" applyFont="0" applyAlignment="0" applyProtection="0"/>
    <xf numFmtId="286" fontId="9" fillId="0" borderId="63" applyFont="0" applyFill="0" applyAlignment="0" applyProtection="0"/>
    <xf numFmtId="286" fontId="9" fillId="0" borderId="0" applyFont="0" applyFill="0" applyBorder="0" applyAlignment="0" applyProtection="0"/>
    <xf numFmtId="286" fontId="9" fillId="22" borderId="0" applyFont="0" applyBorder="0" applyAlignment="0" applyProtection="0"/>
    <xf numFmtId="286" fontId="9" fillId="22" borderId="63" applyFont="0" applyAlignment="0" applyProtection="0"/>
    <xf numFmtId="286" fontId="9" fillId="22" borderId="57" applyFont="0" applyAlignment="0" applyProtection="0"/>
    <xf numFmtId="286" fontId="9" fillId="0" borderId="57" applyFont="0" applyFill="0" applyAlignment="0" applyProtection="0"/>
    <xf numFmtId="287" fontId="9" fillId="0" borderId="63" applyFont="0" applyFill="0" applyAlignment="0" applyProtection="0"/>
    <xf numFmtId="287" fontId="9" fillId="0" borderId="0" applyFont="0" applyFill="0" applyBorder="0" applyAlignment="0" applyProtection="0"/>
    <xf numFmtId="287" fontId="9" fillId="22" borderId="0" applyFont="0" applyBorder="0" applyAlignment="0" applyProtection="0"/>
    <xf numFmtId="287" fontId="9" fillId="22" borderId="63" applyFont="0" applyAlignment="0" applyProtection="0"/>
    <xf numFmtId="287" fontId="9" fillId="22" borderId="57" applyFont="0" applyAlignment="0" applyProtection="0"/>
    <xf numFmtId="287" fontId="9" fillId="0" borderId="57" applyFont="0" applyFill="0" applyAlignment="0" applyProtection="0"/>
    <xf numFmtId="0" fontId="14" fillId="0" borderId="57" applyNumberFormat="0" applyFill="0" applyProtection="0">
      <alignment horizontal="right"/>
    </xf>
    <xf numFmtId="0" fontId="14" fillId="22" borderId="57" applyNumberFormat="0" applyProtection="0">
      <alignment horizontal="right"/>
    </xf>
    <xf numFmtId="285" fontId="9" fillId="0" borderId="58" applyFill="0" applyAlignment="0" applyProtection="0"/>
    <xf numFmtId="285" fontId="9" fillId="0" borderId="59" applyFont="0" applyFill="0" applyAlignment="0" applyProtection="0"/>
    <xf numFmtId="285" fontId="9" fillId="0" borderId="65" applyFont="0" applyFill="0" applyAlignment="0" applyProtection="0"/>
    <xf numFmtId="286" fontId="9" fillId="0" borderId="58" applyFill="0" applyAlignment="0" applyProtection="0"/>
    <xf numFmtId="286" fontId="9" fillId="0" borderId="59" applyFont="0" applyFill="0" applyAlignment="0" applyProtection="0"/>
    <xf numFmtId="286" fontId="9" fillId="0" borderId="65" applyFont="0" applyFill="0" applyAlignment="0" applyProtection="0"/>
    <xf numFmtId="287" fontId="9" fillId="0" borderId="58" applyFill="0" applyAlignment="0" applyProtection="0"/>
    <xf numFmtId="0" fontId="9" fillId="0" borderId="28" applyNumberFormat="0" applyFont="0" applyFill="0" applyAlignment="0" applyProtection="0"/>
    <xf numFmtId="0" fontId="9" fillId="0" borderId="28" applyNumberFormat="0" applyFont="0" applyFill="0" applyAlignment="0" applyProtection="0"/>
    <xf numFmtId="287" fontId="9" fillId="0" borderId="59" applyFont="0" applyFill="0" applyAlignment="0" applyProtection="0"/>
    <xf numFmtId="287" fontId="9" fillId="0" borderId="65" applyFont="0" applyFill="0" applyAlignment="0" applyProtection="0"/>
    <xf numFmtId="0" fontId="189" fillId="50" borderId="64" applyNumberFormat="0"/>
    <xf numFmtId="0" fontId="14" fillId="0" borderId="58" applyNumberFormat="0">
      <alignment horizontal="right"/>
    </xf>
    <xf numFmtId="0" fontId="9" fillId="0" borderId="60" applyNumberFormat="0"/>
    <xf numFmtId="0" fontId="9" fillId="0" borderId="62" applyNumberFormat="0"/>
    <xf numFmtId="0" fontId="9" fillId="0" borderId="57" applyNumberFormat="0"/>
    <xf numFmtId="0" fontId="9" fillId="0" borderId="63" applyNumberFormat="0"/>
    <xf numFmtId="0" fontId="9" fillId="0" borderId="61" applyNumberFormat="0"/>
    <xf numFmtId="0" fontId="9" fillId="0" borderId="66" applyNumberFormat="0"/>
    <xf numFmtId="286" fontId="9" fillId="0" borderId="63"/>
    <xf numFmtId="286" fontId="9" fillId="0" borderId="0" applyBorder="0"/>
    <xf numFmtId="286" fontId="9" fillId="22" borderId="0" applyBorder="0"/>
    <xf numFmtId="286" fontId="9" fillId="22" borderId="63"/>
    <xf numFmtId="287" fontId="9" fillId="0" borderId="63"/>
    <xf numFmtId="287" fontId="9" fillId="0" borderId="0" applyBorder="0"/>
    <xf numFmtId="287" fontId="9" fillId="22" borderId="0" applyBorder="0"/>
    <xf numFmtId="287" fontId="9" fillId="22" borderId="63"/>
    <xf numFmtId="0" fontId="14" fillId="0" borderId="57" applyNumberFormat="0">
      <alignment horizontal="right"/>
    </xf>
    <xf numFmtId="0" fontId="14" fillId="22" borderId="57" applyNumberFormat="0">
      <alignment horizontal="right"/>
    </xf>
    <xf numFmtId="0" fontId="9" fillId="0" borderId="67" applyNumberFormat="0"/>
    <xf numFmtId="0" fontId="9" fillId="52" borderId="0" applyNumberFormat="0" applyBorder="0"/>
    <xf numFmtId="0" fontId="9" fillId="0" borderId="0" applyNumberFormat="0" applyFont="0" applyFill="0" applyBorder="0" applyAlignment="0" applyProtection="0"/>
    <xf numFmtId="0" fontId="189" fillId="50" borderId="64" applyNumberFormat="0" applyAlignment="0" applyProtection="0"/>
    <xf numFmtId="0" fontId="14" fillId="0" borderId="58" applyNumberFormat="0" applyFill="0" applyProtection="0">
      <alignment horizontal="right"/>
    </xf>
    <xf numFmtId="0" fontId="14" fillId="0" borderId="59" applyNumberFormat="0" applyFill="0" applyProtection="0">
      <alignment horizontal="right"/>
    </xf>
    <xf numFmtId="0" fontId="14" fillId="0" borderId="65" applyNumberFormat="0" applyFill="0" applyProtection="0">
      <alignment horizontal="right"/>
    </xf>
    <xf numFmtId="287" fontId="9" fillId="0" borderId="63" applyFont="0" applyFill="0" applyAlignment="0" applyProtection="0"/>
    <xf numFmtId="287" fontId="9" fillId="0" borderId="0" applyFont="0" applyFill="0" applyBorder="0" applyAlignment="0" applyProtection="0"/>
    <xf numFmtId="287" fontId="9" fillId="22" borderId="0" applyFont="0" applyBorder="0" applyAlignment="0" applyProtection="0"/>
    <xf numFmtId="287" fontId="9" fillId="22" borderId="63" applyFont="0" applyAlignment="0" applyProtection="0"/>
    <xf numFmtId="287" fontId="9" fillId="22" borderId="57" applyFont="0" applyAlignment="0" applyProtection="0"/>
    <xf numFmtId="287" fontId="9" fillId="0" borderId="57" applyFont="0" applyFill="0" applyAlignment="0" applyProtection="0"/>
    <xf numFmtId="0" fontId="14" fillId="0" borderId="57" applyNumberFormat="0" applyFill="0" applyProtection="0">
      <alignment horizontal="right"/>
    </xf>
    <xf numFmtId="0" fontId="14" fillId="22" borderId="57" applyNumberFormat="0" applyProtection="0">
      <alignment horizontal="right"/>
    </xf>
    <xf numFmtId="287" fontId="9" fillId="0" borderId="58" applyFill="0" applyAlignment="0" applyProtection="0"/>
    <xf numFmtId="287" fontId="9" fillId="0" borderId="59" applyFont="0" applyFill="0" applyAlignment="0" applyProtection="0"/>
    <xf numFmtId="287" fontId="9" fillId="0" borderId="65" applyFont="0" applyFill="0" applyAlignment="0" applyProtection="0"/>
    <xf numFmtId="287" fontId="9" fillId="0" borderId="65" applyFont="0" applyFill="0" applyAlignment="0" applyProtection="0"/>
    <xf numFmtId="289" fontId="14" fillId="0" borderId="57">
      <alignment horizontal="right"/>
    </xf>
    <xf numFmtId="289" fontId="14" fillId="22" borderId="57">
      <alignment horizontal="right"/>
    </xf>
    <xf numFmtId="286" fontId="9" fillId="0" borderId="57"/>
    <xf numFmtId="286" fontId="9" fillId="22" borderId="57"/>
    <xf numFmtId="287" fontId="9" fillId="0" borderId="63"/>
    <xf numFmtId="287" fontId="9" fillId="22" borderId="63"/>
    <xf numFmtId="284" fontId="9" fillId="0" borderId="57"/>
    <xf numFmtId="285" fontId="9" fillId="22" borderId="57"/>
    <xf numFmtId="284" fontId="9" fillId="0" borderId="63"/>
    <xf numFmtId="284" fontId="9" fillId="22" borderId="63"/>
    <xf numFmtId="0" fontId="9" fillId="0" borderId="67" applyNumberFormat="0"/>
    <xf numFmtId="287" fontId="9" fillId="0" borderId="57"/>
    <xf numFmtId="287" fontId="9" fillId="22" borderId="57"/>
    <xf numFmtId="0" fontId="9" fillId="0" borderId="0" applyNumberFormat="0" applyFont="0" applyFill="0" applyBorder="0" applyAlignment="0" applyProtection="0"/>
    <xf numFmtId="0" fontId="189" fillId="50" borderId="58" applyNumberFormat="0" applyProtection="0">
      <alignment horizontal="right"/>
    </xf>
    <xf numFmtId="0" fontId="189" fillId="50" borderId="59" applyNumberFormat="0" applyProtection="0">
      <alignment horizontal="right"/>
    </xf>
    <xf numFmtId="0" fontId="189" fillId="50" borderId="65" applyNumberFormat="0" applyProtection="0">
      <alignment horizontal="right"/>
    </xf>
    <xf numFmtId="0" fontId="189" fillId="50" borderId="64" applyNumberFormat="0" applyAlignment="0" applyProtection="0"/>
    <xf numFmtId="287" fontId="9" fillId="0" borderId="63" applyFont="0" applyFill="0" applyAlignment="0" applyProtection="0"/>
    <xf numFmtId="287" fontId="9" fillId="0" borderId="0" applyFont="0" applyFill="0" applyBorder="0" applyAlignment="0" applyProtection="0"/>
    <xf numFmtId="287" fontId="9" fillId="22" borderId="0" applyFont="0" applyBorder="0" applyAlignment="0" applyProtection="0"/>
    <xf numFmtId="287" fontId="9" fillId="22" borderId="63" applyFont="0" applyAlignment="0" applyProtection="0"/>
    <xf numFmtId="287" fontId="9" fillId="22" borderId="57" applyFont="0" applyAlignment="0" applyProtection="0"/>
    <xf numFmtId="287" fontId="9" fillId="0" borderId="57" applyFont="0" applyFill="0" applyAlignment="0" applyProtection="0"/>
    <xf numFmtId="0" fontId="14" fillId="0" borderId="57" applyNumberFormat="0" applyFill="0" applyProtection="0">
      <alignment horizontal="right"/>
    </xf>
    <xf numFmtId="0" fontId="14" fillId="22" borderId="57" applyNumberFormat="0" applyProtection="0">
      <alignment horizontal="right"/>
    </xf>
    <xf numFmtId="0" fontId="9" fillId="0" borderId="67" applyNumberFormat="0" applyFont="0" applyFill="0" applyAlignment="0" applyProtection="0"/>
    <xf numFmtId="0" fontId="9" fillId="0" borderId="67" applyNumberFormat="0"/>
    <xf numFmtId="287" fontId="9" fillId="0" borderId="57"/>
    <xf numFmtId="287" fontId="9" fillId="22" borderId="57"/>
    <xf numFmtId="287" fontId="73" fillId="52" borderId="57"/>
    <xf numFmtId="287" fontId="73" fillId="52" borderId="63"/>
    <xf numFmtId="286" fontId="73" fillId="52" borderId="57"/>
    <xf numFmtId="285" fontId="73" fillId="52" borderId="57"/>
    <xf numFmtId="285" fontId="73" fillId="52" borderId="63"/>
    <xf numFmtId="0" fontId="73" fillId="52" borderId="57" applyNumberFormat="0">
      <alignment horizontal="right"/>
    </xf>
    <xf numFmtId="0" fontId="9" fillId="0" borderId="0" applyNumberFormat="0" applyBorder="0"/>
    <xf numFmtId="0" fontId="9" fillId="0" borderId="13" applyNumberFormat="0">
      <alignment horizontal="center"/>
    </xf>
    <xf numFmtId="0" fontId="189" fillId="50" borderId="64" applyNumberFormat="0"/>
    <xf numFmtId="0" fontId="14" fillId="0" borderId="58" applyNumberFormat="0">
      <alignment horizontal="right"/>
    </xf>
    <xf numFmtId="0" fontId="14" fillId="0" borderId="59" applyNumberFormat="0">
      <alignment horizontal="right"/>
    </xf>
    <xf numFmtId="0" fontId="14" fillId="0" borderId="65" applyNumberFormat="0">
      <alignment horizontal="right"/>
    </xf>
    <xf numFmtId="285" fontId="9" fillId="0" borderId="0" applyBorder="0"/>
    <xf numFmtId="285" fontId="9" fillId="0" borderId="63"/>
    <xf numFmtId="285" fontId="9" fillId="50" borderId="0" applyBorder="0"/>
    <xf numFmtId="285" fontId="9" fillId="50" borderId="63"/>
    <xf numFmtId="286" fontId="9" fillId="0" borderId="63"/>
    <xf numFmtId="0" fontId="9" fillId="30" borderId="57" applyNumberFormat="0">
      <alignment horizontal="left"/>
    </xf>
    <xf numFmtId="0" fontId="9" fillId="22" borderId="57" applyNumberFormat="0">
      <alignment horizontal="left"/>
    </xf>
    <xf numFmtId="0" fontId="9" fillId="30" borderId="57" applyNumberFormat="0">
      <alignment horizontal="right"/>
    </xf>
    <xf numFmtId="0" fontId="9" fillId="22" borderId="57" applyNumberFormat="0">
      <alignment horizontal="right"/>
    </xf>
    <xf numFmtId="0" fontId="9" fillId="30" borderId="57" applyNumberFormat="0">
      <alignment horizontal="center"/>
    </xf>
    <xf numFmtId="0" fontId="9" fillId="22" borderId="57" applyNumberFormat="0">
      <alignment horizontal="center"/>
    </xf>
    <xf numFmtId="0" fontId="9" fillId="0" borderId="67" applyNumberFormat="0"/>
    <xf numFmtId="0" fontId="9" fillId="0" borderId="57" applyNumberFormat="0"/>
    <xf numFmtId="0" fontId="9" fillId="0" borderId="58" applyNumberFormat="0"/>
    <xf numFmtId="0" fontId="9" fillId="0" borderId="59" applyNumberFormat="0"/>
    <xf numFmtId="290" fontId="9" fillId="22" borderId="57">
      <alignment horizontal="left"/>
    </xf>
    <xf numFmtId="290" fontId="9" fillId="30" borderId="57">
      <alignment horizontal="left"/>
    </xf>
    <xf numFmtId="285" fontId="9" fillId="50" borderId="57" applyAlignment="0" applyProtection="0"/>
    <xf numFmtId="0" fontId="189" fillId="53" borderId="64" applyNumberFormat="0"/>
    <xf numFmtId="285" fontId="9" fillId="50" borderId="63" applyAlignment="0" applyProtection="0"/>
    <xf numFmtId="0" fontId="14" fillId="30" borderId="57" applyNumberFormat="0" applyProtection="0">
      <alignment horizontal="right"/>
    </xf>
    <xf numFmtId="287" fontId="9" fillId="30" borderId="57" applyAlignment="0" applyProtection="0"/>
    <xf numFmtId="287" fontId="9" fillId="30" borderId="63" applyAlignment="0" applyProtection="0"/>
    <xf numFmtId="0" fontId="9" fillId="0" borderId="0" applyNumberFormat="0" applyFont="0" applyFill="0" applyBorder="0" applyAlignment="0" applyProtection="0"/>
    <xf numFmtId="0" fontId="9" fillId="0" borderId="13" applyNumberFormat="0" applyFont="0" applyFill="0" applyProtection="0">
      <alignment horizontal="center"/>
    </xf>
    <xf numFmtId="0" fontId="189" fillId="50" borderId="64" applyNumberFormat="0" applyAlignment="0" applyProtection="0"/>
    <xf numFmtId="0" fontId="14" fillId="0" borderId="58" applyNumberFormat="0" applyFill="0" applyProtection="0">
      <alignment horizontal="right"/>
    </xf>
    <xf numFmtId="0" fontId="14" fillId="0" borderId="59" applyNumberFormat="0" applyFill="0" applyProtection="0">
      <alignment horizontal="right"/>
    </xf>
    <xf numFmtId="0" fontId="14" fillId="0" borderId="65" applyNumberFormat="0" applyFill="0" applyProtection="0">
      <alignment horizontal="right"/>
    </xf>
    <xf numFmtId="285" fontId="9" fillId="0" borderId="0" applyFont="0" applyFill="0" applyBorder="0" applyAlignment="0" applyProtection="0"/>
    <xf numFmtId="285" fontId="9" fillId="0" borderId="63" applyFont="0" applyFill="0" applyAlignment="0" applyProtection="0"/>
    <xf numFmtId="285" fontId="9" fillId="22" borderId="0" applyBorder="0" applyAlignment="0" applyProtection="0"/>
    <xf numFmtId="285" fontId="9" fillId="22" borderId="63" applyFont="0" applyAlignment="0" applyProtection="0"/>
    <xf numFmtId="286" fontId="9" fillId="0" borderId="63" applyFont="0" applyFill="0" applyAlignment="0" applyProtection="0"/>
    <xf numFmtId="286" fontId="9" fillId="0" borderId="0" applyFont="0" applyFill="0" applyBorder="0" applyAlignment="0" applyProtection="0"/>
    <xf numFmtId="286" fontId="9" fillId="22" borderId="0" applyBorder="0" applyAlignment="0" applyProtection="0"/>
    <xf numFmtId="286" fontId="9" fillId="22" borderId="63" applyFont="0" applyAlignment="0" applyProtection="0"/>
    <xf numFmtId="287" fontId="9" fillId="0" borderId="63" applyFont="0" applyFill="0" applyAlignment="0" applyProtection="0"/>
    <xf numFmtId="287" fontId="9" fillId="0" borderId="0" applyFill="0" applyBorder="0" applyAlignment="0" applyProtection="0"/>
    <xf numFmtId="287" fontId="9" fillId="22" borderId="0" applyBorder="0" applyAlignment="0" applyProtection="0"/>
    <xf numFmtId="287" fontId="9" fillId="22" borderId="63" applyFont="0" applyAlignment="0" applyProtection="0"/>
    <xf numFmtId="0" fontId="14" fillId="0" borderId="57" applyNumberFormat="0" applyFill="0" applyProtection="0">
      <alignment horizontal="right"/>
    </xf>
    <xf numFmtId="0" fontId="14" fillId="22" borderId="57" applyNumberFormat="0" applyProtection="0">
      <alignment horizontal="right"/>
    </xf>
    <xf numFmtId="0" fontId="9" fillId="0" borderId="67" applyNumberFormat="0" applyFont="0" applyFill="0" applyAlignment="0" applyProtection="0"/>
    <xf numFmtId="0" fontId="14" fillId="0" borderId="57" applyNumberFormat="0" applyFill="0" applyProtection="0">
      <alignment horizontal="right"/>
    </xf>
    <xf numFmtId="0" fontId="14" fillId="22" borderId="57" applyNumberFormat="0" applyProtection="0">
      <alignment horizontal="right"/>
    </xf>
    <xf numFmtId="0" fontId="9" fillId="0" borderId="67" applyNumberFormat="0" applyFont="0" applyFill="0" applyAlignment="0" applyProtection="0"/>
    <xf numFmtId="289" fontId="14" fillId="0" borderId="57">
      <alignment horizontal="right"/>
    </xf>
    <xf numFmtId="285" fontId="9" fillId="50" borderId="0"/>
    <xf numFmtId="285" fontId="9" fillId="50" borderId="63"/>
    <xf numFmtId="285" fontId="9" fillId="50" borderId="57"/>
    <xf numFmtId="285" fontId="9" fillId="30" borderId="0"/>
    <xf numFmtId="285" fontId="9" fillId="30" borderId="63"/>
    <xf numFmtId="285" fontId="9" fillId="30" borderId="57"/>
    <xf numFmtId="285" fontId="9" fillId="30" borderId="58"/>
    <xf numFmtId="285" fontId="9" fillId="30" borderId="59"/>
    <xf numFmtId="285" fontId="9" fillId="30" borderId="65"/>
    <xf numFmtId="0" fontId="9" fillId="0" borderId="67" applyNumberFormat="0"/>
    <xf numFmtId="0" fontId="9" fillId="0" borderId="0" applyNumberFormat="0"/>
    <xf numFmtId="0" fontId="9" fillId="0" borderId="60" applyNumberFormat="0"/>
    <xf numFmtId="0" fontId="9" fillId="0" borderId="62" applyNumberFormat="0"/>
    <xf numFmtId="0" fontId="9" fillId="0" borderId="57" applyNumberFormat="0"/>
    <xf numFmtId="0" fontId="9" fillId="0" borderId="63" applyNumberFormat="0"/>
    <xf numFmtId="0" fontId="9" fillId="0" borderId="61" applyNumberFormat="0"/>
    <xf numFmtId="0" fontId="9" fillId="0" borderId="66" applyNumberFormat="0"/>
    <xf numFmtId="0" fontId="14" fillId="0" borderId="57" applyNumberFormat="0">
      <alignment horizontal="right"/>
    </xf>
    <xf numFmtId="0" fontId="14" fillId="50" borderId="57" applyNumberFormat="0">
      <alignment horizontal="right"/>
    </xf>
    <xf numFmtId="286" fontId="9" fillId="0" borderId="57"/>
    <xf numFmtId="286" fontId="9" fillId="50" borderId="57"/>
    <xf numFmtId="287" fontId="9" fillId="0" borderId="63"/>
    <xf numFmtId="287" fontId="9" fillId="50" borderId="63"/>
    <xf numFmtId="284" fontId="9" fillId="0" borderId="57"/>
    <xf numFmtId="289" fontId="14" fillId="0" borderId="57" applyFill="0" applyProtection="0">
      <alignment horizontal="right"/>
    </xf>
    <xf numFmtId="289" fontId="14" fillId="22" borderId="57" applyProtection="0">
      <alignment horizontal="right"/>
    </xf>
    <xf numFmtId="286" fontId="9" fillId="0" borderId="57" applyFont="0" applyFill="0" applyAlignment="0" applyProtection="0"/>
    <xf numFmtId="286" fontId="9" fillId="22" borderId="57" applyFont="0" applyAlignment="0" applyProtection="0"/>
    <xf numFmtId="287" fontId="9" fillId="0" borderId="63" applyFont="0" applyFill="0" applyAlignment="0" applyProtection="0"/>
    <xf numFmtId="287" fontId="9" fillId="22" borderId="63" applyFont="0" applyAlignment="0" applyProtection="0"/>
    <xf numFmtId="284" fontId="9" fillId="0" borderId="57" applyFont="0" applyFill="0" applyAlignment="0" applyProtection="0"/>
    <xf numFmtId="285" fontId="9" fillId="22" borderId="57" applyFont="0" applyAlignment="0" applyProtection="0"/>
    <xf numFmtId="284" fontId="9" fillId="0" borderId="63" applyFont="0" applyFill="0" applyAlignment="0" applyProtection="0"/>
    <xf numFmtId="284" fontId="9" fillId="22" borderId="63" applyFont="0" applyAlignment="0" applyProtection="0"/>
    <xf numFmtId="0" fontId="9" fillId="0" borderId="67" applyNumberFormat="0" applyFont="0" applyFill="0" applyAlignment="0" applyProtection="0"/>
    <xf numFmtId="287" fontId="9" fillId="0" borderId="57" applyFont="0" applyFill="0" applyAlignment="0" applyProtection="0"/>
    <xf numFmtId="287" fontId="9" fillId="22" borderId="57" applyFont="0" applyAlignment="0" applyProtection="0"/>
    <xf numFmtId="0" fontId="9" fillId="0" borderId="67" applyNumberFormat="0" applyFont="0" applyFill="0" applyAlignment="0" applyProtection="0"/>
    <xf numFmtId="287" fontId="9" fillId="0" borderId="57" applyFont="0" applyFill="0" applyAlignment="0" applyProtection="0"/>
    <xf numFmtId="287" fontId="9" fillId="22" borderId="57" applyFont="0" applyAlignment="0" applyProtection="0"/>
    <xf numFmtId="0" fontId="14" fillId="0" borderId="57" applyNumberFormat="0" applyFill="0" applyProtection="0">
      <alignment horizontal="right"/>
    </xf>
    <xf numFmtId="0" fontId="14" fillId="22" borderId="57" applyNumberFormat="0" applyProtection="0">
      <alignment horizontal="right"/>
    </xf>
    <xf numFmtId="286" fontId="9" fillId="0" borderId="57" applyFont="0" applyFill="0" applyAlignment="0" applyProtection="0"/>
    <xf numFmtId="286" fontId="9" fillId="22" borderId="57" applyFont="0" applyAlignment="0" applyProtection="0"/>
    <xf numFmtId="287" fontId="9" fillId="0" borderId="63" applyFont="0" applyFill="0" applyAlignment="0" applyProtection="0"/>
    <xf numFmtId="287" fontId="9" fillId="22" borderId="63" applyFont="0" applyAlignment="0" applyProtection="0"/>
    <xf numFmtId="284" fontId="9" fillId="0" borderId="57" applyFont="0" applyFill="0" applyAlignment="0" applyProtection="0"/>
    <xf numFmtId="285" fontId="9" fillId="22" borderId="57" applyFont="0" applyAlignment="0" applyProtection="0"/>
    <xf numFmtId="284" fontId="9" fillId="0" borderId="63" applyFont="0" applyFill="0" applyAlignment="0" applyProtection="0"/>
    <xf numFmtId="284" fontId="9" fillId="22" borderId="63" applyFont="0" applyAlignment="0" applyProtection="0"/>
    <xf numFmtId="0" fontId="9" fillId="0" borderId="67" applyNumberFormat="0" applyFont="0" applyFill="0" applyAlignment="0" applyProtection="0"/>
    <xf numFmtId="287" fontId="9" fillId="0" borderId="57" applyFont="0" applyFill="0" applyAlignment="0" applyProtection="0"/>
    <xf numFmtId="287" fontId="9" fillId="22" borderId="57" applyFont="0" applyAlignment="0" applyProtection="0"/>
    <xf numFmtId="287" fontId="73" fillId="52" borderId="57" applyAlignment="0" applyProtection="0"/>
    <xf numFmtId="287" fontId="73" fillId="52" borderId="63" applyAlignment="0" applyProtection="0"/>
    <xf numFmtId="286" fontId="73" fillId="52" borderId="57" applyAlignment="0" applyProtection="0"/>
    <xf numFmtId="285" fontId="73" fillId="52" borderId="57" applyAlignment="0" applyProtection="0"/>
    <xf numFmtId="285" fontId="73" fillId="52" borderId="63" applyAlignment="0" applyProtection="0"/>
    <xf numFmtId="0" fontId="73" fillId="52" borderId="57" applyNumberFormat="0" applyProtection="0">
      <alignment horizontal="right"/>
    </xf>
    <xf numFmtId="285" fontId="73" fillId="52" borderId="57" applyAlignment="0" applyProtection="0"/>
    <xf numFmtId="285" fontId="73" fillId="52" borderId="63" applyAlignment="0" applyProtection="0"/>
    <xf numFmtId="0" fontId="73" fillId="52" borderId="57" applyNumberFormat="0" applyProtection="0">
      <alignment horizontal="right"/>
    </xf>
    <xf numFmtId="0" fontId="9" fillId="0" borderId="64" applyNumberFormat="0">
      <alignment horizontal="center"/>
    </xf>
    <xf numFmtId="0" fontId="73" fillId="52" borderId="57" applyNumberFormat="0">
      <alignment horizontal="right"/>
    </xf>
    <xf numFmtId="287" fontId="73" fillId="52" borderId="57">
      <alignment horizontal="right"/>
    </xf>
    <xf numFmtId="287" fontId="73" fillId="52" borderId="63">
      <alignment horizontal="right"/>
    </xf>
    <xf numFmtId="286" fontId="73" fillId="52" borderId="57">
      <alignment horizontal="right"/>
    </xf>
    <xf numFmtId="287" fontId="9" fillId="50" borderId="0" applyAlignment="0" applyProtection="0"/>
    <xf numFmtId="287" fontId="9" fillId="50" borderId="63" applyAlignment="0" applyProtection="0"/>
    <xf numFmtId="287" fontId="9" fillId="50" borderId="57" applyAlignment="0" applyProtection="0"/>
    <xf numFmtId="287" fontId="9" fillId="30" borderId="0" applyAlignment="0" applyProtection="0"/>
    <xf numFmtId="287" fontId="9" fillId="30" borderId="63" applyAlignment="0" applyProtection="0"/>
    <xf numFmtId="287" fontId="9" fillId="30" borderId="57" applyAlignment="0" applyProtection="0"/>
    <xf numFmtId="287" fontId="9" fillId="30" borderId="58" applyAlignment="0" applyProtection="0"/>
    <xf numFmtId="287" fontId="9" fillId="30" borderId="59" applyAlignment="0" applyProtection="0"/>
    <xf numFmtId="287" fontId="9" fillId="30" borderId="65" applyAlignment="0" applyProtection="0"/>
    <xf numFmtId="0" fontId="189" fillId="53" borderId="64" applyNumberFormat="0" applyAlignment="0" applyProtection="0"/>
    <xf numFmtId="0" fontId="9" fillId="0" borderId="57" applyNumberFormat="0"/>
    <xf numFmtId="0" fontId="9" fillId="50" borderId="57" applyNumberFormat="0">
      <alignment horizontal="right"/>
    </xf>
    <xf numFmtId="0" fontId="14" fillId="30" borderId="58" applyNumberFormat="0" applyProtection="0">
      <alignment horizontal="right"/>
    </xf>
    <xf numFmtId="0" fontId="9" fillId="0" borderId="66" applyNumberFormat="0"/>
    <xf numFmtId="0" fontId="14" fillId="30" borderId="59" applyNumberFormat="0" applyProtection="0">
      <alignment horizontal="right"/>
    </xf>
    <xf numFmtId="0" fontId="9" fillId="30" borderId="57" applyNumberFormat="0">
      <alignment horizontal="center"/>
    </xf>
    <xf numFmtId="0" fontId="14" fillId="30" borderId="65" applyNumberFormat="0" applyProtection="0">
      <alignment horizontal="right"/>
    </xf>
    <xf numFmtId="0" fontId="9" fillId="30" borderId="57" applyNumberFormat="0">
      <alignment horizontal="left"/>
    </xf>
    <xf numFmtId="0" fontId="14" fillId="50" borderId="57" applyNumberFormat="0" applyProtection="0">
      <alignment horizontal="right"/>
    </xf>
    <xf numFmtId="290" fontId="9" fillId="30" borderId="57">
      <alignment horizontal="left"/>
    </xf>
    <xf numFmtId="0" fontId="9" fillId="30" borderId="57" applyNumberFormat="0">
      <alignment horizontal="right"/>
    </xf>
    <xf numFmtId="0" fontId="14" fillId="30" borderId="57" applyNumberFormat="0" applyProtection="0">
      <alignment horizontal="right"/>
    </xf>
    <xf numFmtId="286" fontId="9" fillId="50" borderId="0" applyAlignment="0" applyProtection="0"/>
    <xf numFmtId="286" fontId="9" fillId="50" borderId="63" applyAlignment="0" applyProtection="0"/>
    <xf numFmtId="286" fontId="9" fillId="50" borderId="57" applyAlignment="0" applyProtection="0"/>
    <xf numFmtId="286" fontId="9" fillId="30" borderId="0" applyAlignment="0" applyProtection="0"/>
    <xf numFmtId="286" fontId="9" fillId="30" borderId="63" applyAlignment="0" applyProtection="0"/>
    <xf numFmtId="286" fontId="9" fillId="30" borderId="57" applyAlignment="0" applyProtection="0"/>
    <xf numFmtId="286" fontId="9" fillId="30" borderId="58" applyAlignment="0" applyProtection="0"/>
    <xf numFmtId="286" fontId="9" fillId="30" borderId="59" applyAlignment="0" applyProtection="0"/>
    <xf numFmtId="286" fontId="9" fillId="30" borderId="65" applyAlignment="0" applyProtection="0"/>
    <xf numFmtId="285" fontId="9" fillId="50" borderId="0" applyAlignment="0" applyProtection="0"/>
    <xf numFmtId="285" fontId="9" fillId="50" borderId="63" applyAlignment="0" applyProtection="0"/>
    <xf numFmtId="285" fontId="9" fillId="50" borderId="57" applyAlignment="0" applyProtection="0"/>
    <xf numFmtId="285" fontId="9" fillId="30" borderId="0" applyAlignment="0" applyProtection="0"/>
    <xf numFmtId="285" fontId="9" fillId="30" borderId="63" applyAlignment="0" applyProtection="0"/>
    <xf numFmtId="285" fontId="9" fillId="30" borderId="57" applyAlignment="0" applyProtection="0"/>
    <xf numFmtId="285" fontId="9" fillId="30" borderId="58" applyAlignment="0" applyProtection="0"/>
    <xf numFmtId="285" fontId="9" fillId="30" borderId="59" applyAlignment="0" applyProtection="0"/>
    <xf numFmtId="285" fontId="9" fillId="30" borderId="65" applyAlignment="0" applyProtection="0"/>
    <xf numFmtId="0" fontId="189" fillId="53" borderId="58" applyNumberFormat="0" applyProtection="0">
      <alignment horizontal="right"/>
    </xf>
    <xf numFmtId="0" fontId="189" fillId="53" borderId="59" applyNumberFormat="0" applyProtection="0">
      <alignment horizontal="right"/>
    </xf>
    <xf numFmtId="0" fontId="189" fillId="53" borderId="65" applyNumberFormat="0" applyProtection="0">
      <alignment horizontal="right"/>
    </xf>
    <xf numFmtId="0" fontId="9" fillId="0" borderId="67" applyNumberFormat="0" applyFill="0" applyAlignment="0" applyProtection="0"/>
    <xf numFmtId="284" fontId="9" fillId="30" borderId="57" applyFont="0" applyAlignment="0" applyProtection="0"/>
    <xf numFmtId="285" fontId="9" fillId="22" borderId="57" applyFont="0" applyAlignment="0" applyProtection="0"/>
    <xf numFmtId="0" fontId="9" fillId="0" borderId="64" applyNumberFormat="0" applyFill="0" applyProtection="0">
      <alignment horizontal="center"/>
    </xf>
    <xf numFmtId="291" fontId="9" fillId="50" borderId="63" applyProtection="0">
      <alignment horizontal="right"/>
    </xf>
    <xf numFmtId="291" fontId="9" fillId="30" borderId="63" applyProtection="0">
      <alignment horizontal="right"/>
    </xf>
    <xf numFmtId="0" fontId="73" fillId="52" borderId="57" applyNumberFormat="0" applyProtection="0">
      <alignment horizontal="right"/>
    </xf>
    <xf numFmtId="287" fontId="73" fillId="52" borderId="57" applyProtection="0">
      <alignment horizontal="right"/>
    </xf>
    <xf numFmtId="287" fontId="73" fillId="52" borderId="63" applyProtection="0">
      <alignment horizontal="right"/>
    </xf>
    <xf numFmtId="286" fontId="73" fillId="52" borderId="57" applyProtection="0">
      <alignment horizontal="right"/>
    </xf>
    <xf numFmtId="285" fontId="73" fillId="52" borderId="57" applyProtection="0">
      <alignment horizontal="right"/>
    </xf>
    <xf numFmtId="285" fontId="73" fillId="52" borderId="63" applyProtection="0">
      <alignment horizontal="right"/>
    </xf>
    <xf numFmtId="0" fontId="191" fillId="0" borderId="0" applyNumberFormat="0" applyFill="0" applyBorder="0" applyProtection="0">
      <alignment horizontal="left" vertical="center"/>
    </xf>
    <xf numFmtId="0" fontId="192" fillId="0" borderId="68"/>
    <xf numFmtId="0" fontId="191" fillId="0" borderId="2" applyNumberFormat="0" applyFill="0" applyProtection="0">
      <alignment horizontal="left" vertical="center"/>
    </xf>
    <xf numFmtId="0" fontId="94" fillId="0" borderId="41" applyNumberFormat="0" applyFill="0" applyProtection="0"/>
    <xf numFmtId="0" fontId="193" fillId="0" borderId="69"/>
    <xf numFmtId="49" fontId="194" fillId="0" borderId="0"/>
    <xf numFmtId="241" fontId="195" fillId="0" borderId="0" applyNumberFormat="0" applyFill="0" applyBorder="0" applyAlignment="0" applyProtection="0"/>
    <xf numFmtId="0" fontId="7" fillId="0" borderId="0" applyBorder="0"/>
    <xf numFmtId="0" fontId="196" fillId="0" borderId="0"/>
    <xf numFmtId="0" fontId="197" fillId="0" borderId="0" applyNumberFormat="0" applyFont="0" applyFill="0" applyBorder="0" applyAlignment="0">
      <alignment horizontal="left" vertical="center"/>
    </xf>
    <xf numFmtId="0" fontId="35" fillId="0" borderId="36"/>
    <xf numFmtId="0" fontId="35" fillId="0" borderId="8" applyNumberFormat="0" applyFont="0" applyFill="0" applyAlignment="0" applyProtection="0"/>
    <xf numFmtId="38" fontId="7" fillId="0" borderId="0" applyFont="0" applyFill="0" applyBorder="0" applyAlignment="0" applyProtection="0"/>
    <xf numFmtId="40" fontId="7" fillId="0" borderId="0" applyFont="0" applyFill="0" applyBorder="0" applyAlignment="0" applyProtection="0"/>
    <xf numFmtId="40" fontId="30" fillId="0" borderId="0"/>
    <xf numFmtId="37" fontId="184" fillId="0" borderId="41"/>
    <xf numFmtId="38" fontId="198" fillId="0" borderId="0"/>
    <xf numFmtId="187" fontId="198" fillId="0" borderId="0"/>
    <xf numFmtId="37" fontId="184" fillId="0" borderId="30"/>
    <xf numFmtId="0" fontId="35" fillId="0" borderId="0"/>
    <xf numFmtId="195" fontId="7" fillId="0" borderId="0" applyFont="0" applyFill="0" applyBorder="0" applyAlignment="0" applyProtection="0"/>
    <xf numFmtId="201" fontId="7" fillId="0" borderId="0" applyFont="0" applyFill="0" applyBorder="0" applyAlignment="0" applyProtection="0"/>
    <xf numFmtId="292" fontId="9" fillId="0" borderId="0" applyFont="0" applyFill="0" applyBorder="0" applyAlignment="0" applyProtection="0"/>
    <xf numFmtId="293" fontId="9" fillId="0" borderId="0" applyFont="0" applyFill="0" applyBorder="0" applyAlignment="0" applyProtection="0"/>
    <xf numFmtId="1" fontId="157" fillId="0" borderId="0" applyFont="0" applyFill="0" applyBorder="0" applyAlignment="0" applyProtection="0"/>
    <xf numFmtId="294" fontId="14" fillId="30" borderId="0" applyNumberFormat="0" applyFont="0" applyFill="0" applyBorder="0" applyAlignment="0"/>
    <xf numFmtId="0" fontId="199" fillId="0" borderId="0"/>
    <xf numFmtId="40" fontId="162" fillId="0" borderId="0" applyAlignment="0"/>
    <xf numFmtId="0" fontId="168" fillId="0" borderId="0"/>
    <xf numFmtId="0" fontId="16" fillId="0" borderId="0"/>
    <xf numFmtId="9" fontId="16" fillId="0" borderId="0" applyFont="0" applyFill="0" applyBorder="0" applyAlignment="0" applyProtection="0"/>
    <xf numFmtId="166" fontId="16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9" fillId="0" borderId="0"/>
    <xf numFmtId="0" fontId="9" fillId="0" borderId="0"/>
    <xf numFmtId="0" fontId="8" fillId="0" borderId="0"/>
    <xf numFmtId="295" fontId="200" fillId="0" borderId="0" applyFont="0" applyFill="0" applyBorder="0" applyAlignment="0" applyProtection="0"/>
    <xf numFmtId="37" fontId="8" fillId="0" borderId="0"/>
    <xf numFmtId="0" fontId="8" fillId="0" borderId="0"/>
    <xf numFmtId="0" fontId="9" fillId="0" borderId="0"/>
    <xf numFmtId="0" fontId="9" fillId="0" borderId="0" applyNumberFormat="0" applyFont="0" applyFill="0" applyBorder="0" applyAlignment="0" applyProtection="0"/>
    <xf numFmtId="0" fontId="155" fillId="0" borderId="0" applyNumberFormat="0" applyFont="0" applyFill="0" applyBorder="0" applyAlignment="0" applyProtection="0"/>
    <xf numFmtId="0" fontId="155" fillId="0" borderId="0" applyNumberFormat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9" fillId="0" borderId="0" applyFont="0" applyFill="0" applyBorder="0" applyAlignment="0" applyProtection="0"/>
    <xf numFmtId="0" fontId="9" fillId="0" borderId="0"/>
    <xf numFmtId="182" fontId="9" fillId="0" borderId="0" applyFont="0" applyFill="0" applyBorder="0" applyAlignment="0" applyProtection="0"/>
    <xf numFmtId="182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297" fontId="8" fillId="0" borderId="0"/>
    <xf numFmtId="297" fontId="8" fillId="0" borderId="0"/>
    <xf numFmtId="0" fontId="11" fillId="0" borderId="0"/>
    <xf numFmtId="0" fontId="8" fillId="0" borderId="0"/>
    <xf numFmtId="197" fontId="11" fillId="0" borderId="0"/>
    <xf numFmtId="0" fontId="8" fillId="0" borderId="0"/>
    <xf numFmtId="164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8" fillId="0" borderId="0"/>
    <xf numFmtId="197" fontId="11" fillId="0" borderId="0"/>
    <xf numFmtId="0" fontId="8" fillId="0" borderId="0"/>
    <xf numFmtId="164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41" fontId="9" fillId="0" borderId="0"/>
    <xf numFmtId="0" fontId="11" fillId="0" borderId="0"/>
    <xf numFmtId="0" fontId="9" fillId="0" borderId="0" applyFont="0" applyFill="0" applyBorder="0" applyAlignment="0" applyProtection="0"/>
    <xf numFmtId="0" fontId="9" fillId="0" borderId="0"/>
    <xf numFmtId="0" fontId="8" fillId="0" borderId="0"/>
    <xf numFmtId="198" fontId="9" fillId="0" borderId="0"/>
    <xf numFmtId="198" fontId="9" fillId="0" borderId="0"/>
    <xf numFmtId="0" fontId="8" fillId="0" borderId="0"/>
    <xf numFmtId="198" fontId="9" fillId="0" borderId="0"/>
    <xf numFmtId="198" fontId="9" fillId="0" borderId="0"/>
    <xf numFmtId="0" fontId="8" fillId="0" borderId="0"/>
    <xf numFmtId="198" fontId="9" fillId="0" borderId="0"/>
    <xf numFmtId="198" fontId="9" fillId="0" borderId="0"/>
    <xf numFmtId="0" fontId="8" fillId="0" borderId="0"/>
    <xf numFmtId="198" fontId="9" fillId="0" borderId="0"/>
    <xf numFmtId="198" fontId="9" fillId="0" borderId="0"/>
    <xf numFmtId="298" fontId="151" fillId="0" borderId="0"/>
    <xf numFmtId="0" fontId="8" fillId="0" borderId="0"/>
    <xf numFmtId="198" fontId="9" fillId="0" borderId="0"/>
    <xf numFmtId="198" fontId="9" fillId="0" borderId="0"/>
    <xf numFmtId="0" fontId="9" fillId="0" borderId="0" applyNumberFormat="0" applyFill="0" applyBorder="0" applyAlignment="0" applyProtection="0"/>
    <xf numFmtId="0" fontId="8" fillId="0" borderId="0"/>
    <xf numFmtId="198" fontId="9" fillId="0" borderId="0"/>
    <xf numFmtId="198" fontId="9" fillId="0" borderId="0"/>
    <xf numFmtId="0" fontId="9" fillId="0" borderId="0" applyFont="0" applyFill="0" applyBorder="0" applyAlignment="0" applyProtection="0"/>
    <xf numFmtId="0" fontId="9" fillId="0" borderId="0"/>
    <xf numFmtId="0" fontId="9" fillId="0" borderId="0" applyFont="0" applyFill="0" applyBorder="0" applyAlignment="0" applyProtection="0"/>
    <xf numFmtId="0" fontId="8" fillId="0" borderId="0"/>
    <xf numFmtId="0" fontId="9" fillId="0" borderId="0"/>
    <xf numFmtId="0" fontId="9" fillId="0" borderId="0"/>
    <xf numFmtId="41" fontId="9" fillId="0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299" fontId="11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299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00" fontId="11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0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97" fontId="8" fillId="0" borderId="0"/>
    <xf numFmtId="297" fontId="8" fillId="0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301" fontId="11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301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02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02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02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41" fontId="11" fillId="0" borderId="0" applyFont="0" applyFill="0" applyBorder="0" applyAlignment="0" applyProtection="0"/>
    <xf numFmtId="0" fontId="9" fillId="0" borderId="0" applyFont="0" applyFill="0" applyBorder="0" applyAlignment="0" applyProtection="0"/>
    <xf numFmtId="302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41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9" fillId="0" borderId="0" applyFont="0" applyFill="0" applyBorder="0" applyAlignment="0" applyProtection="0"/>
    <xf numFmtId="302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02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02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" fontId="11" fillId="0" borderId="0"/>
    <xf numFmtId="3" fontId="11" fillId="0" borderId="0"/>
    <xf numFmtId="0" fontId="8" fillId="0" borderId="0"/>
    <xf numFmtId="0" fontId="8" fillId="0" borderId="0"/>
    <xf numFmtId="203" fontId="8" fillId="0" borderId="0"/>
    <xf numFmtId="203" fontId="8" fillId="0" borderId="0"/>
    <xf numFmtId="187" fontId="8" fillId="0" borderId="0"/>
    <xf numFmtId="187" fontId="8" fillId="0" borderId="0"/>
    <xf numFmtId="0" fontId="8" fillId="0" borderId="0"/>
    <xf numFmtId="203" fontId="8" fillId="0" borderId="0"/>
    <xf numFmtId="203" fontId="8" fillId="0" borderId="0"/>
    <xf numFmtId="0" fontId="8" fillId="0" borderId="0"/>
    <xf numFmtId="198" fontId="9" fillId="0" borderId="0"/>
    <xf numFmtId="198" fontId="9" fillId="0" borderId="0"/>
    <xf numFmtId="0" fontId="9" fillId="0" borderId="0"/>
    <xf numFmtId="0" fontId="9" fillId="0" borderId="0" applyNumberFormat="0" applyFill="0" applyBorder="0" applyAlignment="0" applyProtection="0"/>
    <xf numFmtId="3" fontId="11" fillId="0" borderId="0"/>
    <xf numFmtId="3" fontId="11" fillId="0" borderId="0"/>
    <xf numFmtId="303" fontId="200" fillId="0" borderId="0" applyFont="0" applyFill="0" applyBorder="0" applyAlignment="0" applyProtection="0"/>
    <xf numFmtId="0" fontId="9" fillId="0" borderId="0"/>
    <xf numFmtId="0" fontId="32" fillId="0" borderId="0" applyFont="0" applyFill="0" applyBorder="0" applyAlignment="0" applyProtection="0"/>
    <xf numFmtId="231" fontId="200" fillId="0" borderId="0" applyFont="0" applyFill="0" applyBorder="0" applyAlignment="0" applyProtection="0"/>
    <xf numFmtId="304" fontId="9" fillId="0" borderId="0" applyFont="0" applyFill="0" applyBorder="0" applyAlignment="0" applyProtection="0"/>
    <xf numFmtId="304" fontId="9" fillId="0" borderId="0" applyFont="0" applyFill="0" applyBorder="0" applyAlignment="0" applyProtection="0"/>
    <xf numFmtId="3" fontId="8" fillId="0" borderId="0"/>
    <xf numFmtId="0" fontId="8" fillId="0" borderId="0" applyBorder="0"/>
    <xf numFmtId="2" fontId="30" fillId="0" borderId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3" borderId="0" applyNumberFormat="0" applyBorder="0" applyAlignment="0" applyProtection="0"/>
    <xf numFmtId="0" fontId="12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3" borderId="0" applyNumberFormat="0" applyBorder="0" applyAlignment="0" applyProtection="0"/>
    <xf numFmtId="0" fontId="12" fillId="3" borderId="0" applyNumberFormat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2" fillId="3" borderId="0" applyNumberFormat="0" applyBorder="0" applyAlignment="0" applyProtection="0"/>
    <xf numFmtId="0" fontId="12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4" borderId="0" applyNumberFormat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2" fillId="3" borderId="0" applyNumberFormat="0" applyBorder="0" applyAlignment="0" applyProtection="0"/>
    <xf numFmtId="0" fontId="12" fillId="3" borderId="0" applyNumberFormat="0" applyBorder="0" applyAlignment="0" applyProtection="0"/>
    <xf numFmtId="0" fontId="73" fillId="7" borderId="0" applyNumberFormat="0" applyBorder="0" applyAlignment="0" applyProtection="0"/>
    <xf numFmtId="0" fontId="73" fillId="3" borderId="0" applyNumberFormat="0" applyBorder="0" applyAlignment="0" applyProtection="0"/>
    <xf numFmtId="0" fontId="73" fillId="4" borderId="0" applyNumberFormat="0" applyBorder="0" applyAlignment="0" applyProtection="0"/>
    <xf numFmtId="0" fontId="73" fillId="8" borderId="0" applyNumberFormat="0" applyBorder="0" applyAlignment="0" applyProtection="0"/>
    <xf numFmtId="0" fontId="73" fillId="7" borderId="0" applyNumberFormat="0" applyBorder="0" applyAlignment="0" applyProtection="0"/>
    <xf numFmtId="0" fontId="73" fillId="3" borderId="0" applyNumberFormat="0" applyBorder="0" applyAlignment="0" applyProtection="0"/>
    <xf numFmtId="0" fontId="73" fillId="9" borderId="0" applyNumberFormat="0" applyBorder="0" applyAlignment="0" applyProtection="0"/>
    <xf numFmtId="0" fontId="73" fillId="10" borderId="0" applyNumberFormat="0" applyBorder="0" applyAlignment="0" applyProtection="0"/>
    <xf numFmtId="0" fontId="73" fillId="11" borderId="0" applyNumberFormat="0" applyBorder="0" applyAlignment="0" applyProtection="0"/>
    <xf numFmtId="0" fontId="73" fillId="12" borderId="0" applyNumberFormat="0" applyBorder="0" applyAlignment="0" applyProtection="0"/>
    <xf numFmtId="0" fontId="73" fillId="13" borderId="0" applyNumberFormat="0" applyBorder="0" applyAlignment="0" applyProtection="0"/>
    <xf numFmtId="0" fontId="73" fillId="14" borderId="0" applyNumberFormat="0" applyBorder="0" applyAlignment="0" applyProtection="0"/>
    <xf numFmtId="0" fontId="10" fillId="0" borderId="0" applyNumberFormat="0" applyFill="0" applyBorder="0" applyAlignment="0" applyProtection="0"/>
    <xf numFmtId="305" fontId="70" fillId="0" borderId="0" applyFont="0" applyAlignment="0"/>
    <xf numFmtId="10" fontId="201" fillId="0" borderId="0" applyNumberFormat="0" applyFill="0" applyBorder="0" applyAlignment="0" applyProtection="0">
      <alignment horizontal="right"/>
    </xf>
    <xf numFmtId="10" fontId="201" fillId="0" borderId="0" applyNumberFormat="0" applyFill="0" applyBorder="0" applyAlignment="0" applyProtection="0">
      <alignment horizontal="right"/>
    </xf>
    <xf numFmtId="0" fontId="103" fillId="16" borderId="0" applyNumberFormat="0" applyBorder="0" applyAlignment="0" applyProtection="0"/>
    <xf numFmtId="38" fontId="10" fillId="0" borderId="0"/>
    <xf numFmtId="0" fontId="73" fillId="33" borderId="71"/>
    <xf numFmtId="38" fontId="42" fillId="0" borderId="0" applyNumberFormat="0" applyBorder="0" applyAlignment="0" applyProtection="0"/>
    <xf numFmtId="37" fontId="200" fillId="0" borderId="41" applyNumberFormat="0" applyFont="0" applyFill="0" applyAlignment="0" applyProtection="0"/>
    <xf numFmtId="306" fontId="9" fillId="0" borderId="0" applyFont="0" applyFill="0" applyBorder="0" applyAlignment="0" applyProtection="0"/>
    <xf numFmtId="191" fontId="9" fillId="0" borderId="0" applyFont="0" applyFill="0" applyBorder="0" applyAlignment="0" applyProtection="0"/>
    <xf numFmtId="2" fontId="10" fillId="17" borderId="0" applyNumberFormat="0" applyFont="0" applyBorder="0" applyAlignment="0" applyProtection="0"/>
    <xf numFmtId="0" fontId="104" fillId="18" borderId="3" applyNumberFormat="0" applyAlignment="0" applyProtection="0"/>
    <xf numFmtId="0" fontId="202" fillId="0" borderId="72"/>
    <xf numFmtId="295" fontId="203" fillId="0" borderId="0" applyFill="0" applyBorder="0" applyAlignment="0" applyProtection="0"/>
    <xf numFmtId="0" fontId="105" fillId="8" borderId="4" applyNumberFormat="0" applyAlignment="0" applyProtection="0"/>
    <xf numFmtId="0" fontId="9" fillId="0" borderId="0" applyNumberFormat="0" applyFont="0" applyFill="0" applyBorder="0" applyAlignment="0" applyProtection="0"/>
    <xf numFmtId="0" fontId="9" fillId="0" borderId="2" applyNumberFormat="0" applyFill="0" applyProtection="0">
      <alignment horizontal="right"/>
    </xf>
    <xf numFmtId="307" fontId="204" fillId="0" borderId="0" applyFont="0" applyFill="0" applyBorder="0" applyAlignment="0" applyProtection="0">
      <alignment horizontal="right"/>
    </xf>
    <xf numFmtId="43" fontId="3" fillId="0" borderId="0" applyFont="0" applyFill="0" applyBorder="0" applyAlignment="0" applyProtection="0"/>
    <xf numFmtId="40" fontId="7" fillId="0" borderId="0" applyFont="0" applyFill="0" applyBorder="0" applyAlignment="0" applyProtection="0"/>
    <xf numFmtId="40" fontId="7" fillId="0" borderId="0" applyFont="0" applyFill="0" applyBorder="0" applyAlignment="0" applyProtection="0"/>
    <xf numFmtId="0" fontId="9" fillId="0" borderId="0"/>
    <xf numFmtId="3" fontId="205" fillId="0" borderId="0" applyFont="0" applyFill="0" applyBorder="0" applyAlignment="0" applyProtection="0"/>
    <xf numFmtId="3" fontId="32" fillId="0" borderId="0"/>
    <xf numFmtId="6" fontId="7" fillId="0" borderId="0" applyFont="0" applyFill="0" applyBorder="0" applyAlignment="0" applyProtection="0"/>
    <xf numFmtId="308" fontId="204" fillId="0" borderId="0" applyFont="0" applyFill="0" applyBorder="0" applyAlignment="0" applyProtection="0">
      <alignment horizontal="right"/>
    </xf>
    <xf numFmtId="38" fontId="10" fillId="0" borderId="6" applyBorder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121" fillId="0" borderId="0"/>
    <xf numFmtId="14" fontId="7" fillId="0" borderId="0"/>
    <xf numFmtId="309" fontId="204" fillId="0" borderId="0" applyFont="0" applyFill="0" applyBorder="0" applyAlignment="0" applyProtection="0"/>
    <xf numFmtId="14" fontId="12" fillId="0" borderId="0" applyFill="0" applyBorder="0" applyAlignment="0"/>
    <xf numFmtId="14" fontId="7" fillId="0" borderId="0"/>
    <xf numFmtId="39" fontId="201" fillId="0" borderId="0" applyFont="0" applyFill="0" applyBorder="0" applyProtection="0">
      <alignment horizontal="right"/>
    </xf>
    <xf numFmtId="310" fontId="9" fillId="0" borderId="0"/>
    <xf numFmtId="310" fontId="9" fillId="0" borderId="0"/>
    <xf numFmtId="311" fontId="204" fillId="0" borderId="73" applyNumberFormat="0" applyFont="0" applyFill="0" applyAlignment="0" applyProtection="0"/>
    <xf numFmtId="38" fontId="9" fillId="0" borderId="2" applyBorder="0" applyAlignment="0" applyProtection="0"/>
    <xf numFmtId="0" fontId="62" fillId="0" borderId="29" applyNumberFormat="0" applyFont="0" applyBorder="0" applyAlignment="0">
      <alignment horizontal="centerContinuous"/>
    </xf>
    <xf numFmtId="0" fontId="106" fillId="0" borderId="0" applyNumberFormat="0" applyFill="0" applyBorder="0" applyAlignment="0" applyProtection="0"/>
    <xf numFmtId="9" fontId="206" fillId="0" borderId="0"/>
    <xf numFmtId="0" fontId="207" fillId="0" borderId="0"/>
    <xf numFmtId="312" fontId="7" fillId="0" borderId="0"/>
    <xf numFmtId="0" fontId="9" fillId="0" borderId="0">
      <alignment vertical="center"/>
    </xf>
    <xf numFmtId="0" fontId="208" fillId="0" borderId="0"/>
    <xf numFmtId="1" fontId="10" fillId="0" borderId="0" applyNumberFormat="0" applyBorder="0" applyAlignment="0" applyProtection="0"/>
    <xf numFmtId="0" fontId="10" fillId="0" borderId="0" applyProtection="0"/>
    <xf numFmtId="37" fontId="121" fillId="0" borderId="0"/>
    <xf numFmtId="37" fontId="9" fillId="0" borderId="0" applyNumberFormat="0" applyFill="0" applyBorder="0" applyAlignment="0" applyProtection="0">
      <alignment horizontal="right"/>
    </xf>
    <xf numFmtId="37" fontId="9" fillId="0" borderId="0" applyNumberFormat="0" applyFill="0" applyBorder="0" applyAlignment="0" applyProtection="0">
      <alignment horizontal="right"/>
    </xf>
    <xf numFmtId="0" fontId="9" fillId="0" borderId="0"/>
    <xf numFmtId="0" fontId="71" fillId="21" borderId="0" applyNumberFormat="0" applyBorder="0" applyAlignment="0" applyProtection="0"/>
    <xf numFmtId="0" fontId="9" fillId="0" borderId="0"/>
    <xf numFmtId="0" fontId="9" fillId="0" borderId="0"/>
    <xf numFmtId="49" fontId="54" fillId="0" borderId="0">
      <alignment horizontal="right"/>
    </xf>
    <xf numFmtId="49" fontId="54" fillId="0" borderId="0">
      <alignment horizontal="right"/>
    </xf>
    <xf numFmtId="49" fontId="54" fillId="0" borderId="0">
      <alignment horizontal="right"/>
    </xf>
    <xf numFmtId="49" fontId="54" fillId="0" borderId="0">
      <alignment horizontal="right"/>
    </xf>
    <xf numFmtId="49" fontId="54" fillId="0" borderId="0">
      <alignment horizontal="right"/>
    </xf>
    <xf numFmtId="49" fontId="54" fillId="0" borderId="0">
      <alignment horizontal="right"/>
    </xf>
    <xf numFmtId="49" fontId="54" fillId="0" borderId="0">
      <alignment horizontal="right"/>
    </xf>
    <xf numFmtId="49" fontId="54" fillId="0" borderId="0">
      <alignment horizontal="right"/>
    </xf>
    <xf numFmtId="313" fontId="26" fillId="23" borderId="13" applyNumberFormat="0" applyFont="0" applyAlignment="0"/>
    <xf numFmtId="314" fontId="204" fillId="0" borderId="0" applyFont="0" applyFill="0" applyBorder="0" applyAlignment="0" applyProtection="0">
      <alignment horizontal="right"/>
    </xf>
    <xf numFmtId="0" fontId="14" fillId="0" borderId="0"/>
    <xf numFmtId="0" fontId="64" fillId="0" borderId="0"/>
    <xf numFmtId="0" fontId="209" fillId="0" borderId="0" applyProtection="0">
      <alignment horizontal="left"/>
    </xf>
    <xf numFmtId="0" fontId="210" fillId="0" borderId="0" applyProtection="0">
      <alignment horizontal="left"/>
    </xf>
    <xf numFmtId="0" fontId="107" fillId="0" borderId="0" applyNumberFormat="0" applyFill="0" applyBorder="0" applyAlignment="0" applyProtection="0"/>
    <xf numFmtId="183" fontId="63" fillId="0" borderId="0">
      <alignment horizontal="left" vertical="center"/>
    </xf>
    <xf numFmtId="210" fontId="9" fillId="0" borderId="0" applyFont="0" applyFill="0" applyBorder="0" applyAlignment="0" applyProtection="0"/>
    <xf numFmtId="38" fontId="9" fillId="0" borderId="0"/>
    <xf numFmtId="175" fontId="9" fillId="0" borderId="0"/>
    <xf numFmtId="0" fontId="206" fillId="54" borderId="0"/>
    <xf numFmtId="1" fontId="211" fillId="0" borderId="0" applyNumberFormat="0">
      <alignment horizontal="right"/>
    </xf>
    <xf numFmtId="1" fontId="211" fillId="0" borderId="0" applyNumberFormat="0">
      <alignment horizontal="right"/>
    </xf>
    <xf numFmtId="1" fontId="211" fillId="0" borderId="0" applyNumberFormat="0">
      <alignment horizontal="right"/>
    </xf>
    <xf numFmtId="10" fontId="212" fillId="0" borderId="0"/>
    <xf numFmtId="0" fontId="33" fillId="0" borderId="0" applyNumberFormat="0" applyFill="0" applyBorder="0" applyAlignment="0"/>
    <xf numFmtId="0" fontId="9" fillId="0" borderId="73" applyNumberFormat="0" applyFont="0" applyFill="0"/>
    <xf numFmtId="0" fontId="108" fillId="0" borderId="17" applyNumberFormat="0" applyFill="0" applyAlignment="0" applyProtection="0"/>
    <xf numFmtId="315" fontId="9" fillId="0" borderId="0" applyFont="0" applyFill="0" applyBorder="0" applyAlignment="0" applyProtection="0"/>
    <xf numFmtId="0" fontId="213" fillId="0" borderId="74" applyNumberFormat="0" applyFill="0" applyAlignment="0" applyProtection="0"/>
    <xf numFmtId="0" fontId="130" fillId="0" borderId="0" applyNumberFormat="0" applyAlignment="0" applyProtection="0"/>
    <xf numFmtId="0" fontId="130" fillId="0" borderId="0" applyNumberFormat="0" applyAlignment="0" applyProtection="0"/>
    <xf numFmtId="0" fontId="214" fillId="0" borderId="0">
      <alignment horizontal="center" vertical="center"/>
    </xf>
    <xf numFmtId="3" fontId="34" fillId="0" borderId="0" applyFont="0" applyFill="0" applyBorder="0" applyAlignment="0" applyProtection="0"/>
    <xf numFmtId="38" fontId="93" fillId="0" borderId="0" applyFill="0" applyBorder="0" applyAlignment="0" applyProtection="0"/>
    <xf numFmtId="17" fontId="20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87" fillId="0" borderId="0" applyFont="0" applyFill="0" applyBorder="0" applyAlignment="0" applyProtection="0"/>
    <xf numFmtId="316" fontId="9" fillId="0" borderId="0" applyFont="0" applyFill="0" applyBorder="0" applyAlignment="0" applyProtection="0">
      <alignment horizontal="right"/>
    </xf>
    <xf numFmtId="0" fontId="109" fillId="4" borderId="0" applyNumberFormat="0" applyBorder="0" applyAlignment="0" applyProtection="0"/>
    <xf numFmtId="0" fontId="11" fillId="0" borderId="0" applyFont="0" applyFill="0" applyBorder="0" applyAlignment="0" applyProtection="0"/>
    <xf numFmtId="37" fontId="121" fillId="0" borderId="0" applyFont="0" applyFill="0" applyBorder="0" applyProtection="0">
      <alignment horizontal="right"/>
    </xf>
    <xf numFmtId="317" fontId="9" fillId="0" borderId="0"/>
    <xf numFmtId="317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 applyFont="0"/>
    <xf numFmtId="0" fontId="8" fillId="0" borderId="0" applyFont="0"/>
    <xf numFmtId="0" fontId="8" fillId="0" borderId="0" applyFont="0"/>
    <xf numFmtId="0" fontId="215" fillId="0" borderId="0"/>
    <xf numFmtId="0" fontId="12" fillId="4" borderId="19" applyNumberFormat="0" applyFont="0" applyAlignment="0" applyProtection="0"/>
    <xf numFmtId="0" fontId="12" fillId="4" borderId="19" applyNumberFormat="0" applyFont="0" applyAlignment="0" applyProtection="0"/>
    <xf numFmtId="37" fontId="212" fillId="0" borderId="0"/>
    <xf numFmtId="37" fontId="3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71" fontId="216" fillId="0" borderId="0"/>
    <xf numFmtId="0" fontId="110" fillId="18" borderId="20" applyNumberFormat="0" applyAlignment="0" applyProtection="0"/>
    <xf numFmtId="1" fontId="217" fillId="0" borderId="0" applyProtection="0">
      <alignment horizontal="right" vertical="center"/>
    </xf>
    <xf numFmtId="8" fontId="200" fillId="55" borderId="0" applyNumberFormat="0" applyFont="0" applyBorder="0" applyAlignment="0" applyProtection="0"/>
    <xf numFmtId="10" fontId="121" fillId="0" borderId="0" applyFont="0" applyFill="0" applyBorder="0" applyProtection="0">
      <alignment horizontal="right"/>
    </xf>
    <xf numFmtId="9" fontId="7" fillId="0" borderId="0" applyFont="0" applyFill="0" applyBorder="0" applyAlignment="0" applyProtection="0"/>
    <xf numFmtId="175" fontId="11" fillId="0" borderId="5" applyFill="0" applyBorder="0" applyProtection="0"/>
    <xf numFmtId="9" fontId="87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" fontId="218" fillId="4" borderId="75" applyNumberFormat="0" applyProtection="0">
      <alignment vertical="center"/>
    </xf>
    <xf numFmtId="4" fontId="219" fillId="32" borderId="75" applyNumberFormat="0" applyProtection="0">
      <alignment vertical="center"/>
    </xf>
    <xf numFmtId="4" fontId="218" fillId="32" borderId="75" applyNumberFormat="0" applyProtection="0">
      <alignment horizontal="left" vertical="center" indent="1"/>
    </xf>
    <xf numFmtId="0" fontId="218" fillId="32" borderId="75" applyNumberFormat="0" applyProtection="0">
      <alignment horizontal="left" vertical="top" indent="1"/>
    </xf>
    <xf numFmtId="4" fontId="218" fillId="31" borderId="0" applyNumberFormat="0" applyProtection="0">
      <alignment horizontal="left" vertical="center" indent="1"/>
    </xf>
    <xf numFmtId="4" fontId="12" fillId="16" borderId="75" applyNumberFormat="0" applyProtection="0">
      <alignment horizontal="right" vertical="center"/>
    </xf>
    <xf numFmtId="4" fontId="12" fillId="56" borderId="75" applyNumberFormat="0" applyProtection="0">
      <alignment horizontal="right" vertical="center"/>
    </xf>
    <xf numFmtId="4" fontId="12" fillId="10" borderId="75" applyNumberFormat="0" applyProtection="0">
      <alignment horizontal="right" vertical="center"/>
    </xf>
    <xf numFmtId="4" fontId="12" fillId="57" borderId="75" applyNumberFormat="0" applyProtection="0">
      <alignment horizontal="right" vertical="center"/>
    </xf>
    <xf numFmtId="4" fontId="12" fillId="58" borderId="75" applyNumberFormat="0" applyProtection="0">
      <alignment horizontal="right" vertical="center"/>
    </xf>
    <xf numFmtId="4" fontId="12" fillId="14" borderId="75" applyNumberFormat="0" applyProtection="0">
      <alignment horizontal="right" vertical="center"/>
    </xf>
    <xf numFmtId="4" fontId="12" fillId="11" borderId="75" applyNumberFormat="0" applyProtection="0">
      <alignment horizontal="right" vertical="center"/>
    </xf>
    <xf numFmtId="4" fontId="12" fillId="59" borderId="75" applyNumberFormat="0" applyProtection="0">
      <alignment horizontal="right" vertical="center"/>
    </xf>
    <xf numFmtId="4" fontId="12" fillId="60" borderId="75" applyNumberFormat="0" applyProtection="0">
      <alignment horizontal="right" vertical="center"/>
    </xf>
    <xf numFmtId="4" fontId="218" fillId="61" borderId="76" applyNumberFormat="0" applyProtection="0">
      <alignment horizontal="left" vertical="center" indent="1"/>
    </xf>
    <xf numFmtId="4" fontId="12" fillId="62" borderId="0" applyNumberFormat="0" applyProtection="0">
      <alignment horizontal="left" vertical="center" indent="1"/>
    </xf>
    <xf numFmtId="4" fontId="220" fillId="63" borderId="0" applyNumberFormat="0" applyProtection="0">
      <alignment horizontal="left" vertical="center" indent="1"/>
    </xf>
    <xf numFmtId="4" fontId="12" fillId="64" borderId="75" applyNumberFormat="0" applyProtection="0">
      <alignment horizontal="right" vertical="center"/>
    </xf>
    <xf numFmtId="4" fontId="12" fillId="62" borderId="0" applyNumberFormat="0" applyProtection="0">
      <alignment horizontal="left" vertical="center" indent="1"/>
    </xf>
    <xf numFmtId="4" fontId="12" fillId="62" borderId="0" applyNumberFormat="0" applyProtection="0">
      <alignment horizontal="left" vertical="center" indent="1"/>
    </xf>
    <xf numFmtId="4" fontId="12" fillId="31" borderId="0" applyNumberFormat="0" applyProtection="0">
      <alignment horizontal="left" vertical="center" indent="1"/>
    </xf>
    <xf numFmtId="4" fontId="12" fillId="31" borderId="0" applyNumberFormat="0" applyProtection="0">
      <alignment horizontal="left" vertical="center" indent="1"/>
    </xf>
    <xf numFmtId="0" fontId="9" fillId="63" borderId="75" applyNumberFormat="0" applyProtection="0">
      <alignment horizontal="left" vertical="center" indent="1"/>
    </xf>
    <xf numFmtId="0" fontId="9" fillId="63" borderId="75" applyNumberFormat="0" applyProtection="0">
      <alignment horizontal="left" vertical="top" indent="1"/>
    </xf>
    <xf numFmtId="0" fontId="9" fillId="31" borderId="75" applyNumberFormat="0" applyProtection="0">
      <alignment horizontal="left" vertical="center" indent="1"/>
    </xf>
    <xf numFmtId="0" fontId="9" fillId="31" borderId="75" applyNumberFormat="0" applyProtection="0">
      <alignment horizontal="left" vertical="top" indent="1"/>
    </xf>
    <xf numFmtId="0" fontId="9" fillId="44" borderId="75" applyNumberFormat="0" applyProtection="0">
      <alignment horizontal="left" vertical="center" indent="1"/>
    </xf>
    <xf numFmtId="0" fontId="9" fillId="44" borderId="75" applyNumberFormat="0" applyProtection="0">
      <alignment horizontal="left" vertical="top" indent="1"/>
    </xf>
    <xf numFmtId="0" fontId="9" fillId="48" borderId="75" applyNumberFormat="0" applyProtection="0">
      <alignment horizontal="left" vertical="center" indent="1"/>
    </xf>
    <xf numFmtId="0" fontId="9" fillId="48" borderId="75" applyNumberFormat="0" applyProtection="0">
      <alignment horizontal="left" vertical="top" indent="1"/>
    </xf>
    <xf numFmtId="4" fontId="12" fillId="23" borderId="75" applyNumberFormat="0" applyProtection="0">
      <alignment vertical="center"/>
    </xf>
    <xf numFmtId="4" fontId="221" fillId="23" borderId="75" applyNumberFormat="0" applyProtection="0">
      <alignment vertical="center"/>
    </xf>
    <xf numFmtId="4" fontId="12" fillId="23" borderId="75" applyNumberFormat="0" applyProtection="0">
      <alignment horizontal="left" vertical="center" indent="1"/>
    </xf>
    <xf numFmtId="0" fontId="12" fillId="23" borderId="75" applyNumberFormat="0" applyProtection="0">
      <alignment horizontal="left" vertical="top" indent="1"/>
    </xf>
    <xf numFmtId="4" fontId="12" fillId="62" borderId="75" applyNumberFormat="0" applyProtection="0">
      <alignment horizontal="right" vertical="center"/>
    </xf>
    <xf numFmtId="4" fontId="221" fillId="62" borderId="75" applyNumberFormat="0" applyProtection="0">
      <alignment horizontal="right" vertical="center"/>
    </xf>
    <xf numFmtId="4" fontId="12" fillId="64" borderId="75" applyNumberFormat="0" applyProtection="0">
      <alignment horizontal="left" vertical="center" indent="1"/>
    </xf>
    <xf numFmtId="0" fontId="12" fillId="31" borderId="75" applyNumberFormat="0" applyProtection="0">
      <alignment horizontal="left" vertical="top" indent="1"/>
    </xf>
    <xf numFmtId="4" fontId="222" fillId="26" borderId="0" applyNumberFormat="0" applyProtection="0">
      <alignment horizontal="left" vertical="center" indent="1"/>
    </xf>
    <xf numFmtId="4" fontId="112" fillId="62" borderId="75" applyNumberFormat="0" applyProtection="0">
      <alignment horizontal="right" vertical="center"/>
    </xf>
    <xf numFmtId="0" fontId="9" fillId="7" borderId="0" applyNumberFormat="0" applyFont="0" applyBorder="0" applyAlignment="0" applyProtection="0"/>
    <xf numFmtId="0" fontId="9" fillId="65" borderId="0" applyNumberFormat="0" applyFont="0" applyBorder="0" applyAlignment="0" applyProtection="0"/>
    <xf numFmtId="0" fontId="9" fillId="66" borderId="0" applyNumberFormat="0" applyFont="0" applyBorder="0" applyAlignment="0" applyProtection="0"/>
    <xf numFmtId="0" fontId="9" fillId="0" borderId="0" applyNumberFormat="0" applyFont="0" applyFill="0" applyBorder="0" applyAlignment="0" applyProtection="0"/>
    <xf numFmtId="0" fontId="9" fillId="66" borderId="0" applyNumberFormat="0" applyFont="0" applyBorder="0" applyAlignment="0" applyProtection="0"/>
    <xf numFmtId="0" fontId="9" fillId="0" borderId="0" applyNumberFormat="0" applyFont="0" applyFill="0" applyBorder="0" applyAlignment="0" applyProtection="0"/>
    <xf numFmtId="0" fontId="9" fillId="0" borderId="0" applyNumberFormat="0" applyFont="0" applyBorder="0" applyAlignment="0" applyProtection="0"/>
    <xf numFmtId="38" fontId="9" fillId="1" borderId="0">
      <alignment horizontal="right"/>
    </xf>
    <xf numFmtId="0" fontId="223" fillId="0" borderId="0" applyFont="0" applyFill="0" applyBorder="0">
      <alignment horizontal="right"/>
    </xf>
    <xf numFmtId="3" fontId="9" fillId="19" borderId="22" applyFont="0" applyFill="0" applyBorder="0" applyAlignment="0" applyProtection="0"/>
    <xf numFmtId="4" fontId="9" fillId="19" borderId="22" applyFont="0" applyFill="0" applyBorder="0" applyAlignment="0" applyProtection="0"/>
    <xf numFmtId="0" fontId="9" fillId="19" borderId="23" applyFont="0" applyFill="0" applyBorder="0" applyAlignment="0" applyProtection="0"/>
    <xf numFmtId="10" fontId="9" fillId="19" borderId="22" applyFont="0" applyFill="0" applyBorder="0" applyAlignment="0" applyProtection="0"/>
    <xf numFmtId="9" fontId="9" fillId="19" borderId="22" applyFont="0" applyFill="0" applyBorder="0" applyAlignment="0" applyProtection="0"/>
    <xf numFmtId="2" fontId="9" fillId="19" borderId="22" applyFont="0" applyFill="0" applyBorder="0" applyAlignment="0" applyProtection="0"/>
    <xf numFmtId="0" fontId="157" fillId="0" borderId="0"/>
    <xf numFmtId="3" fontId="11" fillId="0" borderId="0"/>
    <xf numFmtId="42" fontId="224" fillId="0" borderId="0"/>
    <xf numFmtId="318" fontId="9" fillId="0" borderId="0"/>
    <xf numFmtId="311" fontId="225" fillId="0" borderId="41" applyBorder="0" applyProtection="0">
      <alignment horizontal="right" vertical="center"/>
    </xf>
    <xf numFmtId="0" fontId="226" fillId="67" borderId="0" applyBorder="0" applyProtection="0">
      <alignment horizontal="centerContinuous" vertical="center"/>
    </xf>
    <xf numFmtId="0" fontId="226" fillId="40" borderId="41" applyBorder="0" applyProtection="0">
      <alignment horizontal="centerContinuous" vertical="center"/>
    </xf>
    <xf numFmtId="0" fontId="225" fillId="0" borderId="0" applyBorder="0" applyProtection="0">
      <alignment vertical="center"/>
    </xf>
    <xf numFmtId="0" fontId="95" fillId="0" borderId="0">
      <alignment vertical="center"/>
    </xf>
    <xf numFmtId="0" fontId="216" fillId="0" borderId="0"/>
    <xf numFmtId="49" fontId="12" fillId="0" borderId="0" applyFill="0" applyBorder="0" applyAlignment="0"/>
    <xf numFmtId="0" fontId="11" fillId="0" borderId="0" applyNumberFormat="0" applyProtection="0"/>
    <xf numFmtId="0" fontId="9" fillId="0" borderId="0"/>
    <xf numFmtId="0" fontId="9" fillId="0" borderId="0"/>
    <xf numFmtId="0" fontId="9" fillId="0" borderId="0" applyBorder="0" applyProtection="0">
      <alignment horizontal="right"/>
    </xf>
    <xf numFmtId="319" fontId="9" fillId="0" borderId="0"/>
    <xf numFmtId="0" fontId="111" fillId="0" borderId="0" applyNumberFormat="0" applyFill="0" applyBorder="0" applyAlignment="0" applyProtection="0"/>
    <xf numFmtId="0" fontId="111" fillId="0" borderId="0" applyNumberFormat="0" applyFill="0" applyBorder="0" applyAlignment="0" applyProtection="0"/>
    <xf numFmtId="0" fontId="111" fillId="0" borderId="0" applyNumberFormat="0" applyFill="0" applyBorder="0" applyAlignment="0" applyProtection="0"/>
    <xf numFmtId="38" fontId="146" fillId="0" borderId="0" applyNumberFormat="0" applyFill="0" applyBorder="0">
      <alignment horizontal="left" vertical="center"/>
    </xf>
    <xf numFmtId="37" fontId="227" fillId="66" borderId="22" applyNumberFormat="0" applyBorder="0">
      <alignment horizontal="center"/>
    </xf>
    <xf numFmtId="38" fontId="223" fillId="55" borderId="41" applyAlignment="0"/>
    <xf numFmtId="182" fontId="9" fillId="0" borderId="8" applyNumberFormat="0" applyFont="0" applyFill="0" applyAlignment="0"/>
    <xf numFmtId="182" fontId="9" fillId="0" borderId="8" applyNumberFormat="0" applyFont="0" applyFill="0" applyAlignment="0"/>
    <xf numFmtId="0" fontId="32" fillId="0" borderId="26" applyNumberFormat="0" applyFont="0" applyFill="0" applyAlignment="0" applyProtection="0"/>
    <xf numFmtId="0" fontId="11" fillId="0" borderId="0"/>
    <xf numFmtId="37" fontId="9" fillId="0" borderId="0" applyNumberFormat="0" applyFill="0" applyBorder="0" applyAlignment="0" applyProtection="0"/>
    <xf numFmtId="37" fontId="9" fillId="0" borderId="0" applyNumberFormat="0" applyFill="0" applyBorder="0" applyAlignment="0" applyProtection="0"/>
    <xf numFmtId="37" fontId="200" fillId="0" borderId="0" applyNumberFormat="0" applyFont="0" applyBorder="0" applyAlignment="0" applyProtection="0"/>
    <xf numFmtId="37" fontId="200" fillId="0" borderId="0" applyNumberFormat="0" applyFont="0" applyFill="0" applyBorder="0" applyProtection="0"/>
    <xf numFmtId="0" fontId="112" fillId="0" borderId="0" applyNumberFormat="0" applyFill="0" applyBorder="0" applyAlignment="0" applyProtection="0"/>
    <xf numFmtId="37" fontId="228" fillId="0" borderId="0" applyNumberFormat="0" applyFill="0" applyBorder="0" applyAlignment="0" applyProtection="0"/>
    <xf numFmtId="37" fontId="200" fillId="0" borderId="0" applyNumberFormat="0" applyFont="0" applyFill="0" applyBorder="0" applyProtection="0">
      <alignment horizontal="right" vertical="top" wrapText="1"/>
    </xf>
    <xf numFmtId="320" fontId="229" fillId="0" borderId="0" applyFont="0" applyFill="0" applyBorder="0" applyAlignment="0" applyProtection="0"/>
    <xf numFmtId="321" fontId="200" fillId="0" borderId="0" applyFont="0" applyFill="0" applyBorder="0" applyAlignment="0" applyProtection="0"/>
    <xf numFmtId="322" fontId="229" fillId="0" borderId="0" applyFont="0" applyFill="0" applyBorder="0" applyAlignment="0" applyProtection="0"/>
    <xf numFmtId="323" fontId="200" fillId="0" borderId="0" applyFont="0" applyFill="0" applyBorder="0" applyAlignment="0" applyProtection="0"/>
    <xf numFmtId="324" fontId="9" fillId="0" borderId="0" applyFont="0" applyFill="0" applyBorder="0" applyAlignment="0" applyProtection="0"/>
    <xf numFmtId="0" fontId="2" fillId="0" borderId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2" fillId="0" borderId="0"/>
    <xf numFmtId="0" fontId="240" fillId="0" borderId="0" applyNumberFormat="0" applyFill="0" applyBorder="0" applyAlignment="0" applyProtection="0">
      <alignment vertical="top"/>
      <protection locked="0"/>
    </xf>
    <xf numFmtId="0" fontId="16" fillId="0" borderId="0"/>
    <xf numFmtId="0" fontId="240" fillId="0" borderId="0" applyNumberFormat="0" applyFill="0" applyBorder="0" applyAlignment="0" applyProtection="0">
      <alignment vertical="top"/>
      <protection locked="0"/>
    </xf>
  </cellStyleXfs>
  <cellXfs count="588">
    <xf numFmtId="0" fontId="0" fillId="0" borderId="0" xfId="0"/>
    <xf numFmtId="0" fontId="22" fillId="0" borderId="0" xfId="278"/>
    <xf numFmtId="0" fontId="22" fillId="0" borderId="0" xfId="278" applyFill="1"/>
    <xf numFmtId="168" fontId="16" fillId="0" borderId="0" xfId="278" applyNumberFormat="1" applyFont="1"/>
    <xf numFmtId="168" fontId="16" fillId="0" borderId="0" xfId="278" applyNumberFormat="1" applyFont="1" applyFill="1"/>
    <xf numFmtId="168" fontId="22" fillId="0" borderId="0" xfId="278" applyNumberFormat="1"/>
    <xf numFmtId="168" fontId="18" fillId="0" borderId="0" xfId="278" applyNumberFormat="1" applyFont="1"/>
    <xf numFmtId="168" fontId="18" fillId="0" borderId="0" xfId="278" applyNumberFormat="1" applyFont="1" applyFill="1"/>
    <xf numFmtId="168" fontId="17" fillId="0" borderId="0" xfId="278" applyNumberFormat="1" applyFont="1"/>
    <xf numFmtId="168" fontId="17" fillId="0" borderId="0" xfId="278" applyNumberFormat="1" applyFont="1" applyFill="1"/>
    <xf numFmtId="168" fontId="17" fillId="0" borderId="2" xfId="278" applyNumberFormat="1" applyFont="1" applyFill="1" applyBorder="1"/>
    <xf numFmtId="168" fontId="22" fillId="0" borderId="0" xfId="278" applyNumberFormat="1" applyFill="1"/>
    <xf numFmtId="172" fontId="22" fillId="0" borderId="0" xfId="292" applyNumberFormat="1" applyFont="1"/>
    <xf numFmtId="172" fontId="16" fillId="0" borderId="0" xfId="292" applyNumberFormat="1" applyFont="1"/>
    <xf numFmtId="168" fontId="22" fillId="0" borderId="25" xfId="278" applyNumberFormat="1" applyFill="1" applyBorder="1"/>
    <xf numFmtId="0" fontId="17" fillId="0" borderId="0" xfId="278" applyFont="1"/>
    <xf numFmtId="167" fontId="16" fillId="0" borderId="0" xfId="292" applyNumberFormat="1" applyFont="1"/>
    <xf numFmtId="167" fontId="22" fillId="0" borderId="0" xfId="292" applyNumberFormat="1" applyFont="1"/>
    <xf numFmtId="168" fontId="22" fillId="0" borderId="0" xfId="278" applyNumberFormat="1" applyBorder="1"/>
    <xf numFmtId="0" fontId="22" fillId="0" borderId="0" xfId="278" applyBorder="1"/>
    <xf numFmtId="9" fontId="22" fillId="0" borderId="0" xfId="292" applyFont="1"/>
    <xf numFmtId="166" fontId="22" fillId="0" borderId="0" xfId="204"/>
    <xf numFmtId="176" fontId="22" fillId="0" borderId="0" xfId="278" applyNumberFormat="1"/>
    <xf numFmtId="168" fontId="16" fillId="0" borderId="0" xfId="278" applyNumberFormat="1" applyFont="1" applyBorder="1"/>
    <xf numFmtId="167" fontId="16" fillId="0" borderId="0" xfId="278" applyNumberFormat="1" applyFont="1" applyBorder="1"/>
    <xf numFmtId="0" fontId="16" fillId="0" borderId="0" xfId="0" applyFont="1"/>
    <xf numFmtId="167" fontId="18" fillId="0" borderId="0" xfId="292" applyNumberFormat="1" applyFont="1"/>
    <xf numFmtId="168" fontId="17" fillId="0" borderId="0" xfId="278" applyNumberFormat="1" applyFont="1" applyBorder="1"/>
    <xf numFmtId="0" fontId="16" fillId="0" borderId="0" xfId="0" applyFont="1" applyBorder="1"/>
    <xf numFmtId="167" fontId="16" fillId="0" borderId="0" xfId="292" applyNumberFormat="1" applyFont="1" applyBorder="1"/>
    <xf numFmtId="172" fontId="16" fillId="0" borderId="0" xfId="292" applyNumberFormat="1" applyFont="1" applyBorder="1"/>
    <xf numFmtId="175" fontId="22" fillId="0" borderId="0" xfId="292" applyNumberFormat="1" applyFont="1"/>
    <xf numFmtId="0" fontId="17" fillId="0" borderId="0" xfId="0" applyFont="1" applyBorder="1"/>
    <xf numFmtId="172" fontId="16" fillId="0" borderId="0" xfId="278" applyNumberFormat="1" applyFont="1" applyBorder="1"/>
    <xf numFmtId="175" fontId="16" fillId="0" borderId="0" xfId="292" applyNumberFormat="1" applyFont="1" applyBorder="1"/>
    <xf numFmtId="172" fontId="22" fillId="0" borderId="0" xfId="292" applyNumberFormat="1" applyFont="1" applyBorder="1"/>
    <xf numFmtId="168" fontId="22" fillId="0" borderId="0" xfId="278" applyNumberFormat="1" applyFill="1" applyBorder="1"/>
    <xf numFmtId="9" fontId="22" fillId="0" borderId="0" xfId="292" applyFont="1" applyBorder="1"/>
    <xf numFmtId="168" fontId="16" fillId="0" borderId="0" xfId="278" applyNumberFormat="1" applyFont="1" applyFill="1" applyBorder="1"/>
    <xf numFmtId="166" fontId="22" fillId="0" borderId="0" xfId="204" applyBorder="1"/>
    <xf numFmtId="168" fontId="18" fillId="0" borderId="0" xfId="278" applyNumberFormat="1" applyFont="1" applyFill="1" applyBorder="1"/>
    <xf numFmtId="168" fontId="16" fillId="0" borderId="2" xfId="278" applyNumberFormat="1" applyFont="1" applyFill="1" applyBorder="1"/>
    <xf numFmtId="168" fontId="19" fillId="0" borderId="0" xfId="278" applyNumberFormat="1" applyFont="1" applyBorder="1"/>
    <xf numFmtId="0" fontId="16" fillId="0" borderId="8" xfId="278" applyNumberFormat="1" applyFont="1" applyBorder="1" applyAlignment="1">
      <alignment horizontal="center"/>
    </xf>
    <xf numFmtId="168" fontId="29" fillId="0" borderId="0" xfId="278" applyNumberFormat="1" applyFont="1" applyFill="1"/>
    <xf numFmtId="176" fontId="16" fillId="0" borderId="0" xfId="278" applyNumberFormat="1" applyFont="1"/>
    <xf numFmtId="0" fontId="15" fillId="0" borderId="0" xfId="278" applyFont="1" applyBorder="1" applyAlignment="1">
      <alignment vertical="center"/>
    </xf>
    <xf numFmtId="0" fontId="16" fillId="0" borderId="0" xfId="0" applyFont="1" applyAlignment="1">
      <alignment vertical="center"/>
    </xf>
    <xf numFmtId="0" fontId="22" fillId="0" borderId="0" xfId="278" applyAlignment="1">
      <alignment vertical="center"/>
    </xf>
    <xf numFmtId="175" fontId="22" fillId="0" borderId="0" xfId="292" applyNumberFormat="1" applyFont="1" applyBorder="1"/>
    <xf numFmtId="175" fontId="22" fillId="0" borderId="0" xfId="278" applyNumberFormat="1"/>
    <xf numFmtId="175" fontId="22" fillId="0" borderId="0" xfId="292" applyNumberFormat="1" applyFont="1" applyFill="1"/>
    <xf numFmtId="175" fontId="22" fillId="0" borderId="0" xfId="292" applyNumberFormat="1" applyFont="1" applyFill="1" applyBorder="1"/>
    <xf numFmtId="174" fontId="22" fillId="0" borderId="0" xfId="278" applyNumberFormat="1" applyBorder="1"/>
    <xf numFmtId="0" fontId="22" fillId="0" borderId="0" xfId="278" applyFill="1" applyBorder="1"/>
    <xf numFmtId="168" fontId="16" fillId="0" borderId="25" xfId="278" applyNumberFormat="1" applyFont="1" applyFill="1" applyBorder="1"/>
    <xf numFmtId="9" fontId="16" fillId="0" borderId="0" xfId="292" applyFont="1" applyFill="1"/>
    <xf numFmtId="168" fontId="29" fillId="0" borderId="0" xfId="278" applyNumberFormat="1" applyFont="1" applyFill="1" applyBorder="1"/>
    <xf numFmtId="0" fontId="22" fillId="0" borderId="0" xfId="278" applyFill="1" applyAlignment="1">
      <alignment horizontal="center"/>
    </xf>
    <xf numFmtId="9" fontId="16" fillId="0" borderId="0" xfId="292" applyFont="1" applyFill="1" applyBorder="1"/>
    <xf numFmtId="179" fontId="18" fillId="0" borderId="0" xfId="278" applyNumberFormat="1" applyFont="1" applyFill="1"/>
    <xf numFmtId="179" fontId="22" fillId="0" borderId="0" xfId="278" applyNumberFormat="1" applyFill="1"/>
    <xf numFmtId="176" fontId="116" fillId="0" borderId="0" xfId="278" applyNumberFormat="1" applyFont="1"/>
    <xf numFmtId="168" fontId="116" fillId="0" borderId="0" xfId="278" applyNumberFormat="1" applyFont="1" applyBorder="1"/>
    <xf numFmtId="9" fontId="16" fillId="0" borderId="0" xfId="292" applyFont="1" applyBorder="1"/>
    <xf numFmtId="168" fontId="116" fillId="0" borderId="0" xfId="278" applyNumberFormat="1" applyFont="1" applyFill="1"/>
    <xf numFmtId="9" fontId="17" fillId="0" borderId="0" xfId="292" applyFont="1" applyBorder="1"/>
    <xf numFmtId="168" fontId="16" fillId="0" borderId="0" xfId="629" applyNumberFormat="1" applyFill="1" applyBorder="1"/>
    <xf numFmtId="0" fontId="16" fillId="0" borderId="0" xfId="629" applyFill="1" applyBorder="1"/>
    <xf numFmtId="168" fontId="16" fillId="0" borderId="0" xfId="629" applyNumberFormat="1" applyFont="1" applyBorder="1"/>
    <xf numFmtId="168" fontId="116" fillId="0" borderId="0" xfId="629" applyNumberFormat="1" applyFont="1" applyBorder="1"/>
    <xf numFmtId="168" fontId="17" fillId="0" borderId="0" xfId="629" applyNumberFormat="1" applyFont="1" applyFill="1" applyBorder="1"/>
    <xf numFmtId="168" fontId="16" fillId="0" borderId="0" xfId="629" applyNumberFormat="1" applyFont="1" applyFill="1" applyBorder="1"/>
    <xf numFmtId="0" fontId="16" fillId="0" borderId="0" xfId="629" applyBorder="1"/>
    <xf numFmtId="168" fontId="17" fillId="0" borderId="0" xfId="629" applyNumberFormat="1" applyFont="1" applyBorder="1"/>
    <xf numFmtId="168" fontId="17" fillId="0" borderId="2" xfId="629" applyNumberFormat="1" applyFont="1" applyBorder="1"/>
    <xf numFmtId="168" fontId="17" fillId="0" borderId="2" xfId="629" applyNumberFormat="1" applyFont="1" applyFill="1" applyBorder="1"/>
    <xf numFmtId="167" fontId="116" fillId="0" borderId="0" xfId="292" applyNumberFormat="1" applyFont="1" applyBorder="1"/>
    <xf numFmtId="168" fontId="16" fillId="0" borderId="0" xfId="629" applyNumberFormat="1" applyFont="1" applyFill="1"/>
    <xf numFmtId="176" fontId="16" fillId="0" borderId="0" xfId="629" applyNumberFormat="1" applyFont="1" applyBorder="1"/>
    <xf numFmtId="172" fontId="116" fillId="0" borderId="0" xfId="292" applyNumberFormat="1" applyFont="1" applyBorder="1"/>
    <xf numFmtId="0" fontId="114" fillId="0" borderId="0" xfId="0" applyFont="1"/>
    <xf numFmtId="0" fontId="114" fillId="0" borderId="0" xfId="0" applyFont="1" applyAlignment="1">
      <alignment horizontal="center" vertical="center"/>
    </xf>
    <xf numFmtId="0" fontId="230" fillId="0" borderId="0" xfId="0" applyFont="1" applyAlignment="1">
      <alignment horizontal="center" vertical="center"/>
    </xf>
    <xf numFmtId="0" fontId="230" fillId="0" borderId="0" xfId="0" applyFont="1" applyAlignment="1">
      <alignment horizontal="left" vertical="center"/>
    </xf>
    <xf numFmtId="0" fontId="115" fillId="0" borderId="0" xfId="0" applyFont="1"/>
    <xf numFmtId="171" fontId="114" fillId="0" borderId="0" xfId="0" applyNumberFormat="1" applyFont="1" applyAlignment="1">
      <alignment horizontal="center" vertical="center"/>
    </xf>
    <xf numFmtId="0" fontId="231" fillId="0" borderId="0" xfId="0" applyFont="1"/>
    <xf numFmtId="168" fontId="16" fillId="0" borderId="0" xfId="629" applyNumberFormat="1" applyBorder="1"/>
    <xf numFmtId="168" fontId="16" fillId="0" borderId="0" xfId="629" applyNumberFormat="1"/>
    <xf numFmtId="168" fontId="16" fillId="0" borderId="0" xfId="629" applyNumberFormat="1" applyFont="1"/>
    <xf numFmtId="168" fontId="23" fillId="0" borderId="0" xfId="629" applyNumberFormat="1" applyFont="1" applyBorder="1"/>
    <xf numFmtId="167" fontId="16" fillId="0" borderId="0" xfId="629" applyNumberFormat="1" applyFont="1" applyBorder="1"/>
    <xf numFmtId="172" fontId="16" fillId="0" borderId="0" xfId="629" applyNumberFormat="1" applyFont="1" applyBorder="1"/>
    <xf numFmtId="176" fontId="16" fillId="0" borderId="0" xfId="629" applyNumberFormat="1" applyBorder="1"/>
    <xf numFmtId="171" fontId="232" fillId="0" borderId="0" xfId="0" applyNumberFormat="1" applyFont="1" applyAlignment="1">
      <alignment horizontal="center" vertical="center"/>
    </xf>
    <xf numFmtId="9" fontId="231" fillId="0" borderId="0" xfId="292" applyFont="1"/>
    <xf numFmtId="39" fontId="16" fillId="0" borderId="0" xfId="629" applyNumberFormat="1" applyBorder="1"/>
    <xf numFmtId="181" fontId="116" fillId="0" borderId="0" xfId="292" applyNumberFormat="1" applyFont="1" applyBorder="1"/>
    <xf numFmtId="9" fontId="21" fillId="0" borderId="0" xfId="292" applyFont="1"/>
    <xf numFmtId="0" fontId="21" fillId="0" borderId="0" xfId="278" applyFont="1"/>
    <xf numFmtId="168" fontId="116" fillId="0" borderId="0" xfId="629" applyNumberFormat="1" applyFont="1" applyFill="1"/>
    <xf numFmtId="173" fontId="16" fillId="0" borderId="0" xfId="629" applyNumberFormat="1"/>
    <xf numFmtId="10" fontId="114" fillId="0" borderId="0" xfId="0" applyNumberFormat="1" applyFont="1" applyAlignment="1">
      <alignment horizontal="center" vertical="center"/>
    </xf>
    <xf numFmtId="0" fontId="16" fillId="0" borderId="0" xfId="0" applyFont="1" applyBorder="1" applyAlignment="1"/>
    <xf numFmtId="0" fontId="17" fillId="0" borderId="0" xfId="0" applyFont="1" applyBorder="1" applyAlignment="1"/>
    <xf numFmtId="175" fontId="21" fillId="0" borderId="0" xfId="292" applyNumberFormat="1" applyFont="1"/>
    <xf numFmtId="168" fontId="16" fillId="0" borderId="25" xfId="629" applyNumberFormat="1" applyFont="1" applyFill="1" applyBorder="1"/>
    <xf numFmtId="168" fontId="116" fillId="0" borderId="41" xfId="629" applyNumberFormat="1" applyFont="1" applyBorder="1"/>
    <xf numFmtId="0" fontId="9" fillId="0" borderId="0" xfId="1264" applyFont="1"/>
    <xf numFmtId="0" fontId="9" fillId="0" borderId="0" xfId="1264" applyFont="1" applyBorder="1"/>
    <xf numFmtId="0" fontId="9" fillId="0" borderId="0" xfId="1264" applyFont="1" applyAlignment="1">
      <alignment horizontal="right"/>
    </xf>
    <xf numFmtId="0" fontId="14" fillId="0" borderId="0" xfId="1264" applyFont="1" applyBorder="1"/>
    <xf numFmtId="168" fontId="14" fillId="0" borderId="0" xfId="1264" applyNumberFormat="1" applyFont="1" applyBorder="1" applyAlignment="1">
      <alignment horizontal="right"/>
    </xf>
    <xf numFmtId="171" fontId="14" fillId="0" borderId="0" xfId="1264" applyNumberFormat="1" applyFont="1" applyBorder="1" applyAlignment="1">
      <alignment horizontal="right"/>
    </xf>
    <xf numFmtId="176" fontId="9" fillId="0" borderId="0" xfId="1264" applyNumberFormat="1" applyFont="1" applyBorder="1" applyAlignment="1">
      <alignment horizontal="right"/>
    </xf>
    <xf numFmtId="176" fontId="9" fillId="0" borderId="0" xfId="1264" applyNumberFormat="1" applyFont="1" applyBorder="1"/>
    <xf numFmtId="0" fontId="14" fillId="0" borderId="0" xfId="1264" applyFont="1"/>
    <xf numFmtId="0" fontId="9" fillId="0" borderId="0" xfId="1264" applyFont="1" applyAlignment="1">
      <alignment vertical="center"/>
    </xf>
    <xf numFmtId="176" fontId="9" fillId="0" borderId="0" xfId="1264" applyNumberFormat="1" applyFont="1" applyBorder="1" applyAlignment="1">
      <alignment vertical="center"/>
    </xf>
    <xf numFmtId="0" fontId="14" fillId="0" borderId="0" xfId="1264" applyFont="1" applyAlignment="1">
      <alignment vertical="center"/>
    </xf>
    <xf numFmtId="171" fontId="9" fillId="0" borderId="0" xfId="1264" applyNumberFormat="1" applyFont="1" applyFill="1" applyBorder="1" applyAlignment="1">
      <alignment horizontal="right"/>
    </xf>
    <xf numFmtId="0" fontId="9" fillId="0" borderId="0" xfId="1264" applyFont="1" applyAlignment="1"/>
    <xf numFmtId="0" fontId="9" fillId="0" borderId="0" xfId="1264" applyFont="1" applyBorder="1" applyAlignment="1"/>
    <xf numFmtId="0" fontId="73" fillId="70" borderId="0" xfId="1264" applyFont="1" applyFill="1" applyBorder="1" applyAlignment="1">
      <alignment horizontal="right" vertical="center"/>
    </xf>
    <xf numFmtId="0" fontId="73" fillId="70" borderId="0" xfId="1264" applyFont="1" applyFill="1" applyBorder="1" applyAlignment="1">
      <alignment horizontal="center" vertical="center"/>
    </xf>
    <xf numFmtId="0" fontId="9" fillId="0" borderId="0" xfId="1264" applyFont="1" applyFill="1"/>
    <xf numFmtId="0" fontId="9" fillId="0" borderId="0" xfId="1264" applyFont="1" applyFill="1" applyBorder="1"/>
    <xf numFmtId="0" fontId="14" fillId="0" borderId="0" xfId="1264" applyFont="1" applyFill="1"/>
    <xf numFmtId="176" fontId="9" fillId="0" borderId="0" xfId="1264" applyNumberFormat="1" applyFont="1" applyFill="1" applyBorder="1"/>
    <xf numFmtId="175" fontId="14" fillId="0" borderId="0" xfId="1265" applyNumberFormat="1" applyFont="1" applyFill="1" applyBorder="1"/>
    <xf numFmtId="168" fontId="9" fillId="0" borderId="0" xfId="1264" applyNumberFormat="1" applyFont="1" applyFill="1" applyBorder="1" applyAlignment="1">
      <alignment horizontal="right"/>
    </xf>
    <xf numFmtId="176" fontId="9" fillId="0" borderId="0" xfId="1264" applyNumberFormat="1" applyFont="1" applyFill="1" applyBorder="1" applyAlignment="1">
      <alignment horizontal="right"/>
    </xf>
    <xf numFmtId="2" fontId="232" fillId="0" borderId="0" xfId="0" applyNumberFormat="1" applyFont="1" applyAlignment="1">
      <alignment horizontal="center" vertical="center"/>
    </xf>
    <xf numFmtId="181" fontId="232" fillId="0" borderId="0" xfId="0" applyNumberFormat="1" applyFont="1" applyAlignment="1">
      <alignment horizontal="center" vertical="center"/>
    </xf>
    <xf numFmtId="0" fontId="236" fillId="71" borderId="31" xfId="0" applyFont="1" applyFill="1" applyBorder="1"/>
    <xf numFmtId="0" fontId="236" fillId="71" borderId="77" xfId="0" applyFont="1" applyFill="1" applyBorder="1"/>
    <xf numFmtId="0" fontId="233" fillId="71" borderId="77" xfId="0" applyFont="1" applyFill="1" applyBorder="1" applyAlignment="1">
      <alignment horizontal="center" vertical="center"/>
    </xf>
    <xf numFmtId="0" fontId="233" fillId="71" borderId="41" xfId="0" applyFont="1" applyFill="1" applyBorder="1" applyAlignment="1">
      <alignment horizontal="center" vertical="center"/>
    </xf>
    <xf numFmtId="0" fontId="233" fillId="71" borderId="70" xfId="0" applyFont="1" applyFill="1" applyBorder="1" applyAlignment="1">
      <alignment horizontal="center" vertical="center"/>
    </xf>
    <xf numFmtId="0" fontId="187" fillId="0" borderId="15" xfId="0" applyFont="1" applyBorder="1"/>
    <xf numFmtId="0" fontId="187" fillId="0" borderId="15" xfId="0" applyFont="1" applyBorder="1" applyAlignment="1">
      <alignment horizontal="center" vertical="center"/>
    </xf>
    <xf numFmtId="0" fontId="187" fillId="0" borderId="0" xfId="0" applyFont="1" applyBorder="1" applyAlignment="1">
      <alignment horizontal="center" vertical="center"/>
    </xf>
    <xf numFmtId="0" fontId="187" fillId="0" borderId="32" xfId="0" applyFont="1" applyBorder="1" applyAlignment="1">
      <alignment horizontal="center" vertical="center"/>
    </xf>
    <xf numFmtId="0" fontId="237" fillId="0" borderId="15" xfId="0" applyFont="1" applyBorder="1"/>
    <xf numFmtId="0" fontId="237" fillId="0" borderId="32" xfId="0" applyFont="1" applyBorder="1"/>
    <xf numFmtId="0" fontId="187" fillId="34" borderId="15" xfId="0" applyFont="1" applyFill="1" applyBorder="1" applyAlignment="1">
      <alignment vertical="center"/>
    </xf>
    <xf numFmtId="1" fontId="187" fillId="34" borderId="15" xfId="0" applyNumberFormat="1" applyFont="1" applyFill="1" applyBorder="1" applyAlignment="1">
      <alignment horizontal="center" vertical="center"/>
    </xf>
    <xf numFmtId="1" fontId="187" fillId="34" borderId="0" xfId="0" applyNumberFormat="1" applyFont="1" applyFill="1" applyBorder="1" applyAlignment="1">
      <alignment horizontal="center" vertical="center"/>
    </xf>
    <xf numFmtId="9" fontId="187" fillId="34" borderId="32" xfId="292" applyNumberFormat="1" applyFont="1" applyFill="1" applyBorder="1" applyAlignment="1">
      <alignment horizontal="center" vertical="center"/>
    </xf>
    <xf numFmtId="175" fontId="237" fillId="0" borderId="15" xfId="292" applyNumberFormat="1" applyFont="1" applyBorder="1" applyAlignment="1">
      <alignment horizontal="center" vertical="center"/>
    </xf>
    <xf numFmtId="175" fontId="237" fillId="0" borderId="32" xfId="292" applyNumberFormat="1" applyFont="1" applyBorder="1" applyAlignment="1">
      <alignment horizontal="center" vertical="center"/>
    </xf>
    <xf numFmtId="0" fontId="187" fillId="0" borderId="15" xfId="0" applyFont="1" applyBorder="1" applyAlignment="1">
      <alignment vertical="center"/>
    </xf>
    <xf numFmtId="1" fontId="187" fillId="0" borderId="15" xfId="0" applyNumberFormat="1" applyFont="1" applyBorder="1" applyAlignment="1">
      <alignment horizontal="center" vertical="center"/>
    </xf>
    <xf numFmtId="1" fontId="187" fillId="0" borderId="0" xfId="0" applyNumberFormat="1" applyFont="1" applyBorder="1" applyAlignment="1">
      <alignment horizontal="center" vertical="center"/>
    </xf>
    <xf numFmtId="9" fontId="187" fillId="0" borderId="32" xfId="292" applyNumberFormat="1" applyFont="1" applyBorder="1" applyAlignment="1">
      <alignment horizontal="center" vertical="center"/>
    </xf>
    <xf numFmtId="0" fontId="187" fillId="34" borderId="77" xfId="0" applyFont="1" applyFill="1" applyBorder="1" applyAlignment="1">
      <alignment vertical="center"/>
    </xf>
    <xf numFmtId="1" fontId="187" fillId="34" borderId="77" xfId="0" applyNumberFormat="1" applyFont="1" applyFill="1" applyBorder="1" applyAlignment="1">
      <alignment horizontal="center" vertical="center"/>
    </xf>
    <xf numFmtId="1" fontId="187" fillId="34" borderId="41" xfId="0" applyNumberFormat="1" applyFont="1" applyFill="1" applyBorder="1" applyAlignment="1">
      <alignment horizontal="center" vertical="center"/>
    </xf>
    <xf numFmtId="9" fontId="187" fillId="34" borderId="70" xfId="292" applyNumberFormat="1" applyFont="1" applyFill="1" applyBorder="1" applyAlignment="1">
      <alignment horizontal="center" vertical="center"/>
    </xf>
    <xf numFmtId="175" fontId="237" fillId="0" borderId="77" xfId="292" applyNumberFormat="1" applyFont="1" applyBorder="1" applyAlignment="1">
      <alignment horizontal="center" vertical="center"/>
    </xf>
    <xf numFmtId="175" fontId="237" fillId="0" borderId="70" xfId="292" applyNumberFormat="1" applyFont="1" applyBorder="1" applyAlignment="1">
      <alignment horizontal="center" vertical="center"/>
    </xf>
    <xf numFmtId="0" fontId="187" fillId="0" borderId="0" xfId="0" applyFont="1"/>
    <xf numFmtId="0" fontId="187" fillId="0" borderId="0" xfId="0" applyFont="1" applyAlignment="1">
      <alignment horizontal="center" vertical="center"/>
    </xf>
    <xf numFmtId="0" fontId="237" fillId="0" borderId="0" xfId="0" applyFont="1"/>
    <xf numFmtId="0" fontId="187" fillId="0" borderId="31" xfId="0" applyFont="1" applyBorder="1" applyAlignment="1">
      <alignment vertical="center"/>
    </xf>
    <xf numFmtId="0" fontId="9" fillId="0" borderId="8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0" borderId="0" xfId="0" applyFont="1"/>
    <xf numFmtId="0" fontId="187" fillId="0" borderId="77" xfId="0" applyFont="1" applyBorder="1"/>
    <xf numFmtId="181" fontId="16" fillId="0" borderId="0" xfId="629" applyNumberFormat="1" applyBorder="1"/>
    <xf numFmtId="0" fontId="14" fillId="72" borderId="0" xfId="0" applyFont="1" applyFill="1" applyAlignment="1">
      <alignment horizontal="right" vertical="center"/>
    </xf>
    <xf numFmtId="0" fontId="14" fillId="72" borderId="0" xfId="0" applyFont="1" applyFill="1" applyBorder="1" applyAlignment="1">
      <alignment horizontal="right" vertical="center"/>
    </xf>
    <xf numFmtId="0" fontId="26" fillId="72" borderId="0" xfId="0" applyFont="1" applyFill="1" applyAlignment="1">
      <alignment horizontal="right" vertical="center"/>
    </xf>
    <xf numFmtId="0" fontId="26" fillId="72" borderId="0" xfId="0" applyFont="1" applyFill="1" applyBorder="1" applyAlignment="1">
      <alignment horizontal="right" vertical="center"/>
    </xf>
    <xf numFmtId="180" fontId="114" fillId="0" borderId="0" xfId="292" applyNumberFormat="1" applyFont="1" applyAlignment="1">
      <alignment horizontal="center" vertical="center"/>
    </xf>
    <xf numFmtId="330" fontId="114" fillId="0" borderId="0" xfId="292" applyNumberFormat="1" applyFont="1" applyAlignment="1">
      <alignment horizontal="center" vertical="center"/>
    </xf>
    <xf numFmtId="181" fontId="9" fillId="0" borderId="0" xfId="0" applyNumberFormat="1" applyFont="1" applyAlignment="1">
      <alignment horizontal="center" vertical="center"/>
    </xf>
    <xf numFmtId="2" fontId="187" fillId="0" borderId="41" xfId="0" applyNumberFormat="1" applyFont="1" applyBorder="1" applyAlignment="1">
      <alignment horizontal="center" vertical="center"/>
    </xf>
    <xf numFmtId="175" fontId="21" fillId="0" borderId="0" xfId="292" applyNumberFormat="1" applyFont="1" applyFill="1"/>
    <xf numFmtId="329" fontId="16" fillId="0" borderId="0" xfId="292" applyNumberFormat="1" applyFont="1"/>
    <xf numFmtId="1" fontId="114" fillId="0" borderId="0" xfId="0" applyNumberFormat="1" applyFont="1" applyAlignment="1">
      <alignment horizontal="center" vertical="center"/>
    </xf>
    <xf numFmtId="175" fontId="114" fillId="0" borderId="0" xfId="292" applyNumberFormat="1" applyFont="1" applyAlignment="1">
      <alignment horizontal="center" vertical="center"/>
    </xf>
    <xf numFmtId="171" fontId="238" fillId="0" borderId="0" xfId="0" applyNumberFormat="1" applyFont="1" applyAlignment="1">
      <alignment horizontal="center" vertical="center"/>
    </xf>
    <xf numFmtId="331" fontId="25" fillId="0" borderId="0" xfId="0" applyNumberFormat="1" applyFont="1" applyAlignment="1">
      <alignment horizontal="left"/>
    </xf>
    <xf numFmtId="332" fontId="24" fillId="0" borderId="0" xfId="0" applyNumberFormat="1" applyFont="1" applyAlignment="1">
      <alignment horizontal="left"/>
    </xf>
    <xf numFmtId="0" fontId="11" fillId="0" borderId="0" xfId="0" applyFont="1"/>
    <xf numFmtId="0" fontId="24" fillId="42" borderId="0" xfId="0" applyFont="1" applyFill="1"/>
    <xf numFmtId="0" fontId="239" fillId="42" borderId="0" xfId="0" applyFont="1" applyFill="1"/>
    <xf numFmtId="0" fontId="75" fillId="42" borderId="0" xfId="0" applyFont="1" applyFill="1"/>
    <xf numFmtId="0" fontId="24" fillId="70" borderId="0" xfId="0" applyFont="1" applyFill="1"/>
    <xf numFmtId="0" fontId="25" fillId="0" borderId="0" xfId="1984" applyFont="1"/>
    <xf numFmtId="0" fontId="24" fillId="0" borderId="0" xfId="1984" applyFont="1"/>
    <xf numFmtId="0" fontId="11" fillId="0" borderId="0" xfId="1984" quotePrefix="1" applyFont="1"/>
    <xf numFmtId="0" fontId="11" fillId="0" borderId="0" xfId="1984" applyFont="1"/>
    <xf numFmtId="0" fontId="242" fillId="0" borderId="0" xfId="1984" applyFont="1"/>
    <xf numFmtId="0" fontId="11" fillId="0" borderId="0" xfId="1985" applyFont="1" applyAlignment="1" applyProtection="1"/>
    <xf numFmtId="0" fontId="16" fillId="0" borderId="8" xfId="629" applyNumberFormat="1" applyFont="1" applyBorder="1" applyAlignment="1">
      <alignment horizontal="center"/>
    </xf>
    <xf numFmtId="1" fontId="187" fillId="0" borderId="0" xfId="0" applyNumberFormat="1" applyFont="1" applyAlignment="1">
      <alignment horizontal="center" vertical="center"/>
    </xf>
    <xf numFmtId="9" fontId="114" fillId="0" borderId="0" xfId="292" applyFont="1" applyAlignment="1">
      <alignment horizontal="center" vertical="center"/>
    </xf>
    <xf numFmtId="0" fontId="243" fillId="70" borderId="2" xfId="278" applyFont="1" applyFill="1" applyBorder="1"/>
    <xf numFmtId="168" fontId="244" fillId="70" borderId="2" xfId="278" applyNumberFormat="1" applyFont="1" applyFill="1" applyBorder="1"/>
    <xf numFmtId="168" fontId="244" fillId="70" borderId="2" xfId="629" applyNumberFormat="1" applyFont="1" applyFill="1" applyBorder="1"/>
    <xf numFmtId="175" fontId="187" fillId="34" borderId="32" xfId="292" applyNumberFormat="1" applyFont="1" applyFill="1" applyBorder="1" applyAlignment="1">
      <alignment horizontal="center" vertical="center"/>
    </xf>
    <xf numFmtId="175" fontId="187" fillId="0" borderId="32" xfId="292" applyNumberFormat="1" applyFont="1" applyBorder="1" applyAlignment="1">
      <alignment horizontal="center" vertical="center"/>
    </xf>
    <xf numFmtId="175" fontId="187" fillId="34" borderId="70" xfId="292" applyNumberFormat="1" applyFont="1" applyFill="1" applyBorder="1" applyAlignment="1">
      <alignment horizontal="center" vertical="center"/>
    </xf>
    <xf numFmtId="175" fontId="114" fillId="0" borderId="0" xfId="0" applyNumberFormat="1" applyFont="1" applyAlignment="1">
      <alignment horizontal="center" vertical="center"/>
    </xf>
    <xf numFmtId="10" fontId="16" fillId="0" borderId="0" xfId="292" applyNumberFormat="1" applyFont="1" applyFill="1" applyBorder="1"/>
    <xf numFmtId="171" fontId="16" fillId="0" borderId="0" xfId="0" applyNumberFormat="1" applyFont="1" applyBorder="1"/>
    <xf numFmtId="175" fontId="16" fillId="0" borderId="0" xfId="292" applyNumberFormat="1" applyFont="1" applyFill="1"/>
    <xf numFmtId="175" fontId="16" fillId="0" borderId="0" xfId="278" applyNumberFormat="1" applyFont="1"/>
    <xf numFmtId="10" fontId="22" fillId="0" borderId="0" xfId="292" applyNumberFormat="1" applyFont="1" applyFill="1"/>
    <xf numFmtId="0" fontId="17" fillId="72" borderId="0" xfId="0" applyFont="1" applyFill="1" applyBorder="1" applyAlignment="1"/>
    <xf numFmtId="168" fontId="16" fillId="72" borderId="0" xfId="278" applyNumberFormat="1" applyFont="1" applyFill="1" applyBorder="1"/>
    <xf numFmtId="168" fontId="16" fillId="72" borderId="0" xfId="629" applyNumberFormat="1" applyFont="1" applyFill="1" applyBorder="1"/>
    <xf numFmtId="0" fontId="17" fillId="73" borderId="0" xfId="0" applyFont="1" applyFill="1" applyBorder="1"/>
    <xf numFmtId="0" fontId="16" fillId="73" borderId="0" xfId="0" applyFont="1" applyFill="1" applyBorder="1"/>
    <xf numFmtId="0" fontId="247" fillId="0" borderId="0" xfId="629" applyFont="1"/>
    <xf numFmtId="0" fontId="241" fillId="0" borderId="0" xfId="1987" applyFont="1" applyFill="1" applyAlignment="1" applyProtection="1"/>
    <xf numFmtId="168" fontId="248" fillId="0" borderId="0" xfId="278" applyNumberFormat="1" applyFont="1" applyBorder="1"/>
    <xf numFmtId="0" fontId="249" fillId="0" borderId="0" xfId="278" applyFont="1" applyAlignment="1">
      <alignment horizontal="center"/>
    </xf>
    <xf numFmtId="9" fontId="21" fillId="0" borderId="0" xfId="292" applyFont="1" applyBorder="1"/>
    <xf numFmtId="0" fontId="16" fillId="0" borderId="15" xfId="0" applyFont="1" applyBorder="1" applyAlignment="1"/>
    <xf numFmtId="175" fontId="21" fillId="0" borderId="0" xfId="292" applyNumberFormat="1" applyFont="1" applyFill="1" applyBorder="1"/>
    <xf numFmtId="175" fontId="21" fillId="0" borderId="0" xfId="292" applyNumberFormat="1" applyFont="1" applyBorder="1"/>
    <xf numFmtId="0" fontId="16" fillId="0" borderId="15" xfId="278" applyFont="1" applyBorder="1"/>
    <xf numFmtId="0" fontId="17" fillId="0" borderId="15" xfId="278" applyFont="1" applyBorder="1"/>
    <xf numFmtId="0" fontId="22" fillId="0" borderId="15" xfId="278" applyBorder="1"/>
    <xf numFmtId="0" fontId="17" fillId="0" borderId="77" xfId="278" applyFont="1" applyBorder="1"/>
    <xf numFmtId="168" fontId="16" fillId="0" borderId="15" xfId="277" applyNumberFormat="1" applyFont="1" applyFill="1" applyBorder="1" applyProtection="1"/>
    <xf numFmtId="0" fontId="243" fillId="70" borderId="79" xfId="278" applyFont="1" applyFill="1" applyBorder="1"/>
    <xf numFmtId="0" fontId="243" fillId="70" borderId="0" xfId="278" applyFont="1" applyFill="1" applyBorder="1"/>
    <xf numFmtId="0" fontId="250" fillId="0" borderId="0" xfId="0" applyFont="1" applyBorder="1"/>
    <xf numFmtId="0" fontId="21" fillId="0" borderId="0" xfId="0" applyFont="1" applyBorder="1" applyAlignment="1">
      <alignment horizontal="left" indent="1"/>
    </xf>
    <xf numFmtId="0" fontId="17" fillId="0" borderId="8" xfId="278" applyFont="1" applyBorder="1"/>
    <xf numFmtId="0" fontId="17" fillId="0" borderId="8" xfId="278" applyFont="1" applyBorder="1" applyAlignment="1">
      <alignment horizontal="center"/>
    </xf>
    <xf numFmtId="0" fontId="250" fillId="0" borderId="0" xfId="0" applyFont="1" applyBorder="1" applyAlignment="1">
      <alignment horizontal="center"/>
    </xf>
    <xf numFmtId="0" fontId="16" fillId="0" borderId="0" xfId="0" quotePrefix="1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7" fillId="72" borderId="0" xfId="0" applyFont="1" applyFill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7" fillId="73" borderId="0" xfId="0" applyFont="1" applyFill="1" applyBorder="1" applyAlignment="1">
      <alignment horizontal="center"/>
    </xf>
    <xf numFmtId="0" fontId="243" fillId="70" borderId="78" xfId="278" applyFont="1" applyFill="1" applyBorder="1"/>
    <xf numFmtId="0" fontId="17" fillId="0" borderId="0" xfId="0" applyFont="1" applyFill="1" applyBorder="1" applyAlignment="1"/>
    <xf numFmtId="0" fontId="250" fillId="0" borderId="0" xfId="0" applyFont="1" applyFill="1" applyBorder="1" applyAlignment="1">
      <alignment horizontal="center"/>
    </xf>
    <xf numFmtId="0" fontId="16" fillId="0" borderId="0" xfId="0" quotePrefix="1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7" fillId="0" borderId="31" xfId="278" applyFont="1" applyBorder="1"/>
    <xf numFmtId="0" fontId="21" fillId="0" borderId="15" xfId="278" applyFont="1" applyBorder="1" applyAlignment="1">
      <alignment horizontal="left" indent="1"/>
    </xf>
    <xf numFmtId="0" fontId="16" fillId="0" borderId="15" xfId="278" applyFont="1" applyBorder="1" applyAlignment="1">
      <alignment horizontal="left"/>
    </xf>
    <xf numFmtId="0" fontId="17" fillId="0" borderId="15" xfId="278" applyFont="1" applyBorder="1" applyAlignment="1">
      <alignment horizontal="left"/>
    </xf>
    <xf numFmtId="0" fontId="16" fillId="0" borderId="15" xfId="278" applyFont="1" applyBorder="1" applyAlignment="1">
      <alignment horizontal="left" indent="1"/>
    </xf>
    <xf numFmtId="0" fontId="16" fillId="0" borderId="15" xfId="278" applyFont="1" applyFill="1" applyBorder="1"/>
    <xf numFmtId="0" fontId="17" fillId="0" borderId="79" xfId="278" applyFont="1" applyFill="1" applyBorder="1"/>
    <xf numFmtId="175" fontId="16" fillId="0" borderId="15" xfId="278" applyNumberFormat="1" applyFont="1" applyBorder="1"/>
    <xf numFmtId="175" fontId="17" fillId="0" borderId="15" xfId="278" applyNumberFormat="1" applyFont="1" applyBorder="1"/>
    <xf numFmtId="0" fontId="16" fillId="0" borderId="80" xfId="278" applyFont="1" applyBorder="1"/>
    <xf numFmtId="0" fontId="20" fillId="0" borderId="15" xfId="278" applyFont="1" applyBorder="1"/>
    <xf numFmtId="0" fontId="21" fillId="0" borderId="15" xfId="278" applyFont="1" applyBorder="1"/>
    <xf numFmtId="0" fontId="17" fillId="0" borderId="15" xfId="278" applyFont="1" applyBorder="1" applyAlignment="1"/>
    <xf numFmtId="0" fontId="16" fillId="0" borderId="15" xfId="278" applyFont="1" applyBorder="1" applyAlignment="1"/>
    <xf numFmtId="0" fontId="17" fillId="0" borderId="79" xfId="278" applyFont="1" applyFill="1" applyBorder="1" applyAlignment="1"/>
    <xf numFmtId="0" fontId="20" fillId="0" borderId="15" xfId="278" applyFont="1" applyBorder="1" applyAlignment="1"/>
    <xf numFmtId="168" fontId="16" fillId="0" borderId="15" xfId="278" applyNumberFormat="1" applyFont="1" applyBorder="1"/>
    <xf numFmtId="171" fontId="16" fillId="0" borderId="15" xfId="279" applyNumberFormat="1" applyFont="1" applyFill="1" applyBorder="1"/>
    <xf numFmtId="0" fontId="16" fillId="0" borderId="2" xfId="0" applyFont="1" applyFill="1" applyBorder="1" applyAlignment="1">
      <alignment horizontal="center"/>
    </xf>
    <xf numFmtId="0" fontId="249" fillId="0" borderId="0" xfId="278" applyFont="1" applyAlignment="1">
      <alignment horizontal="right"/>
    </xf>
    <xf numFmtId="0" fontId="16" fillId="0" borderId="8" xfId="278" applyNumberFormat="1" applyFont="1" applyBorder="1" applyAlignment="1">
      <alignment horizontal="right"/>
    </xf>
    <xf numFmtId="0" fontId="16" fillId="0" borderId="8" xfId="629" applyNumberFormat="1" applyFont="1" applyBorder="1" applyAlignment="1">
      <alignment horizontal="right"/>
    </xf>
    <xf numFmtId="0" fontId="21" fillId="0" borderId="0" xfId="0" applyFont="1" applyBorder="1" applyAlignment="1">
      <alignment horizontal="center"/>
    </xf>
    <xf numFmtId="0" fontId="21" fillId="0" borderId="0" xfId="0" applyFont="1" applyBorder="1"/>
    <xf numFmtId="0" fontId="16" fillId="0" borderId="0" xfId="0" applyFont="1" applyFill="1" applyBorder="1"/>
    <xf numFmtId="168" fontId="253" fillId="0" borderId="0" xfId="278" applyNumberFormat="1" applyFont="1" applyBorder="1"/>
    <xf numFmtId="0" fontId="17" fillId="0" borderId="15" xfId="278" applyFont="1" applyFill="1" applyBorder="1"/>
    <xf numFmtId="179" fontId="17" fillId="0" borderId="0" xfId="278" applyNumberFormat="1" applyFont="1" applyFill="1" applyAlignment="1">
      <alignment horizontal="right"/>
    </xf>
    <xf numFmtId="179" fontId="17" fillId="0" borderId="0" xfId="278" applyNumberFormat="1" applyFont="1" applyFill="1"/>
    <xf numFmtId="0" fontId="249" fillId="0" borderId="15" xfId="278" applyFont="1" applyBorder="1" applyAlignment="1">
      <alignment horizontal="center"/>
    </xf>
    <xf numFmtId="0" fontId="17" fillId="0" borderId="31" xfId="278" applyNumberFormat="1" applyFont="1" applyBorder="1" applyAlignment="1">
      <alignment horizontal="center"/>
    </xf>
    <xf numFmtId="168" fontId="244" fillId="70" borderId="79" xfId="278" applyNumberFormat="1" applyFont="1" applyFill="1" applyBorder="1"/>
    <xf numFmtId="168" fontId="22" fillId="0" borderId="15" xfId="278" applyNumberFormat="1" applyBorder="1"/>
    <xf numFmtId="168" fontId="19" fillId="0" borderId="15" xfId="278" applyNumberFormat="1" applyFont="1" applyBorder="1"/>
    <xf numFmtId="168" fontId="17" fillId="0" borderId="15" xfId="278" applyNumberFormat="1" applyFont="1" applyFill="1" applyBorder="1"/>
    <xf numFmtId="9" fontId="21" fillId="0" borderId="15" xfId="292" applyFont="1" applyBorder="1"/>
    <xf numFmtId="168" fontId="16" fillId="0" borderId="15" xfId="278" applyNumberFormat="1" applyFont="1" applyFill="1" applyBorder="1"/>
    <xf numFmtId="175" fontId="16" fillId="0" borderId="15" xfId="292" applyNumberFormat="1" applyFont="1" applyFill="1" applyBorder="1"/>
    <xf numFmtId="168" fontId="17" fillId="0" borderId="15" xfId="278" applyNumberFormat="1" applyFont="1" applyBorder="1"/>
    <xf numFmtId="175" fontId="22" fillId="0" borderId="15" xfId="292" applyNumberFormat="1" applyFont="1" applyBorder="1"/>
    <xf numFmtId="168" fontId="22" fillId="0" borderId="15" xfId="278" applyNumberFormat="1" applyFill="1" applyBorder="1"/>
    <xf numFmtId="168" fontId="18" fillId="0" borderId="15" xfId="278" applyNumberFormat="1" applyFont="1" applyFill="1" applyBorder="1"/>
    <xf numFmtId="9" fontId="102" fillId="0" borderId="15" xfId="292" applyFont="1" applyBorder="1"/>
    <xf numFmtId="168" fontId="18" fillId="0" borderId="15" xfId="278" applyNumberFormat="1" applyFont="1" applyBorder="1"/>
    <xf numFmtId="168" fontId="17" fillId="0" borderId="79" xfId="278" applyNumberFormat="1" applyFont="1" applyFill="1" applyBorder="1"/>
    <xf numFmtId="9" fontId="22" fillId="0" borderId="15" xfId="292" applyFont="1" applyBorder="1"/>
    <xf numFmtId="167" fontId="22" fillId="0" borderId="15" xfId="292" applyNumberFormat="1" applyFont="1" applyBorder="1"/>
    <xf numFmtId="175" fontId="22" fillId="0" borderId="15" xfId="292" applyNumberFormat="1" applyFont="1" applyFill="1" applyBorder="1"/>
    <xf numFmtId="172" fontId="116" fillId="0" borderId="15" xfId="292" applyNumberFormat="1" applyFont="1" applyBorder="1"/>
    <xf numFmtId="168" fontId="22" fillId="0" borderId="80" xfId="278" applyNumberFormat="1" applyFill="1" applyBorder="1"/>
    <xf numFmtId="168" fontId="29" fillId="0" borderId="15" xfId="278" applyNumberFormat="1" applyFont="1" applyBorder="1"/>
    <xf numFmtId="179" fontId="18" fillId="0" borderId="15" xfId="278" applyNumberFormat="1" applyFont="1" applyFill="1" applyBorder="1"/>
    <xf numFmtId="179" fontId="17" fillId="0" borderId="15" xfId="279" applyNumberFormat="1" applyFont="1" applyFill="1" applyBorder="1"/>
    <xf numFmtId="168" fontId="116" fillId="0" borderId="15" xfId="278" applyNumberFormat="1" applyFont="1" applyBorder="1"/>
    <xf numFmtId="168" fontId="116" fillId="0" borderId="15" xfId="629" applyNumberFormat="1" applyFont="1" applyFill="1" applyBorder="1"/>
    <xf numFmtId="167" fontId="18" fillId="0" borderId="15" xfId="292" applyNumberFormat="1" applyFont="1" applyBorder="1"/>
    <xf numFmtId="168" fontId="16" fillId="0" borderId="15" xfId="629" applyNumberFormat="1" applyFont="1" applyFill="1" applyBorder="1"/>
    <xf numFmtId="167" fontId="16" fillId="0" borderId="15" xfId="292" applyNumberFormat="1" applyFont="1" applyBorder="1"/>
    <xf numFmtId="168" fontId="23" fillId="0" borderId="15" xfId="278" applyNumberFormat="1" applyFont="1" applyBorder="1"/>
    <xf numFmtId="172" fontId="16" fillId="0" borderId="15" xfId="292" applyNumberFormat="1" applyFont="1" applyBorder="1"/>
    <xf numFmtId="2" fontId="22" fillId="0" borderId="15" xfId="278" applyNumberFormat="1" applyFill="1" applyBorder="1"/>
    <xf numFmtId="168" fontId="29" fillId="0" borderId="15" xfId="278" applyNumberFormat="1" applyFont="1" applyFill="1" applyBorder="1"/>
    <xf numFmtId="168" fontId="116" fillId="0" borderId="15" xfId="278" applyNumberFormat="1" applyFont="1" applyFill="1" applyBorder="1"/>
    <xf numFmtId="0" fontId="22" fillId="0" borderId="15" xfId="278" applyFill="1" applyBorder="1"/>
    <xf numFmtId="0" fontId="22" fillId="0" borderId="15" xfId="278" applyFill="1" applyBorder="1" applyAlignment="1">
      <alignment horizontal="center"/>
    </xf>
    <xf numFmtId="172" fontId="22" fillId="0" borderId="15" xfId="292" applyNumberFormat="1" applyFont="1" applyBorder="1"/>
    <xf numFmtId="167" fontId="16" fillId="0" borderId="15" xfId="278" applyNumberFormat="1" applyFont="1" applyBorder="1"/>
    <xf numFmtId="168" fontId="116" fillId="0" borderId="15" xfId="629" applyNumberFormat="1" applyFont="1" applyBorder="1"/>
    <xf numFmtId="168" fontId="16" fillId="0" borderId="15" xfId="629" applyNumberFormat="1" applyBorder="1"/>
    <xf numFmtId="168" fontId="16" fillId="0" borderId="15" xfId="629" applyNumberFormat="1" applyFont="1" applyBorder="1"/>
    <xf numFmtId="166" fontId="22" fillId="0" borderId="15" xfId="204" applyBorder="1"/>
    <xf numFmtId="172" fontId="16" fillId="0" borderId="15" xfId="278" applyNumberFormat="1" applyFont="1" applyBorder="1"/>
    <xf numFmtId="176" fontId="18" fillId="0" borderId="15" xfId="278" applyNumberFormat="1" applyFont="1" applyFill="1" applyBorder="1"/>
    <xf numFmtId="176" fontId="22" fillId="0" borderId="15" xfId="278" applyNumberFormat="1" applyBorder="1"/>
    <xf numFmtId="0" fontId="16" fillId="0" borderId="31" xfId="278" applyNumberFormat="1" applyFont="1" applyBorder="1" applyAlignment="1">
      <alignment horizontal="center"/>
    </xf>
    <xf numFmtId="174" fontId="22" fillId="0" borderId="15" xfId="278" applyNumberFormat="1" applyBorder="1"/>
    <xf numFmtId="9" fontId="16" fillId="0" borderId="15" xfId="292" applyFont="1" applyFill="1" applyBorder="1"/>
    <xf numFmtId="168" fontId="16" fillId="0" borderId="80" xfId="278" applyNumberFormat="1" applyFont="1" applyFill="1" applyBorder="1"/>
    <xf numFmtId="179" fontId="17" fillId="0" borderId="15" xfId="278" applyNumberFormat="1" applyFont="1" applyFill="1" applyBorder="1" applyAlignment="1">
      <alignment horizontal="right"/>
    </xf>
    <xf numFmtId="176" fontId="116" fillId="0" borderId="15" xfId="278" applyNumberFormat="1" applyFont="1" applyBorder="1"/>
    <xf numFmtId="168" fontId="248" fillId="0" borderId="15" xfId="278" applyNumberFormat="1" applyFont="1" applyBorder="1"/>
    <xf numFmtId="168" fontId="253" fillId="0" borderId="15" xfId="278" applyNumberFormat="1" applyFont="1" applyFill="1" applyBorder="1"/>
    <xf numFmtId="168" fontId="253" fillId="0" borderId="15" xfId="278" applyNumberFormat="1" applyFont="1" applyBorder="1"/>
    <xf numFmtId="175" fontId="21" fillId="0" borderId="15" xfId="292" applyNumberFormat="1" applyFont="1" applyBorder="1"/>
    <xf numFmtId="175" fontId="21" fillId="0" borderId="15" xfId="292" applyNumberFormat="1" applyFont="1" applyFill="1" applyBorder="1"/>
    <xf numFmtId="168" fontId="18" fillId="0" borderId="15" xfId="629" applyNumberFormat="1" applyFont="1" applyFill="1" applyBorder="1"/>
    <xf numFmtId="181" fontId="116" fillId="0" borderId="15" xfId="292" applyNumberFormat="1" applyFont="1" applyBorder="1"/>
    <xf numFmtId="0" fontId="16" fillId="0" borderId="15" xfId="629" applyBorder="1"/>
    <xf numFmtId="175" fontId="16" fillId="0" borderId="15" xfId="292" applyNumberFormat="1" applyFont="1" applyBorder="1"/>
    <xf numFmtId="10" fontId="16" fillId="0" borderId="15" xfId="292" applyNumberFormat="1" applyFont="1" applyFill="1" applyBorder="1"/>
    <xf numFmtId="168" fontId="244" fillId="70" borderId="79" xfId="629" applyNumberFormat="1" applyFont="1" applyFill="1" applyBorder="1"/>
    <xf numFmtId="168" fontId="16" fillId="0" borderId="15" xfId="629" applyNumberFormat="1" applyFill="1" applyBorder="1"/>
    <xf numFmtId="168" fontId="17" fillId="0" borderId="15" xfId="629" applyNumberFormat="1" applyFont="1" applyFill="1" applyBorder="1"/>
    <xf numFmtId="168" fontId="17" fillId="0" borderId="15" xfId="629" applyNumberFormat="1" applyFont="1" applyBorder="1"/>
    <xf numFmtId="9" fontId="16" fillId="0" borderId="15" xfId="292" applyFont="1" applyBorder="1"/>
    <xf numFmtId="168" fontId="23" fillId="0" borderId="15" xfId="629" applyNumberFormat="1" applyFont="1" applyBorder="1"/>
    <xf numFmtId="168" fontId="17" fillId="0" borderId="79" xfId="629" applyNumberFormat="1" applyFont="1" applyBorder="1"/>
    <xf numFmtId="168" fontId="17" fillId="0" borderId="79" xfId="629" applyNumberFormat="1" applyFont="1" applyFill="1" applyBorder="1"/>
    <xf numFmtId="173" fontId="16" fillId="0" borderId="15" xfId="629" applyNumberFormat="1" applyBorder="1"/>
    <xf numFmtId="167" fontId="16" fillId="0" borderId="15" xfId="629" applyNumberFormat="1" applyFont="1" applyBorder="1"/>
    <xf numFmtId="172" fontId="16" fillId="0" borderId="15" xfId="629" applyNumberFormat="1" applyFont="1" applyBorder="1"/>
    <xf numFmtId="176" fontId="16" fillId="0" borderId="15" xfId="629" applyNumberFormat="1" applyFont="1" applyBorder="1"/>
    <xf numFmtId="176" fontId="16" fillId="0" borderId="15" xfId="629" applyNumberFormat="1" applyBorder="1"/>
    <xf numFmtId="0" fontId="16" fillId="0" borderId="15" xfId="629" applyNumberFormat="1" applyFont="1" applyBorder="1" applyAlignment="1">
      <alignment horizontal="center"/>
    </xf>
    <xf numFmtId="168" fontId="244" fillId="70" borderId="15" xfId="278" applyNumberFormat="1" applyFont="1" applyFill="1" applyBorder="1"/>
    <xf numFmtId="168" fontId="245" fillId="0" borderId="15" xfId="278" applyNumberFormat="1" applyFont="1" applyBorder="1"/>
    <xf numFmtId="168" fontId="245" fillId="0" borderId="15" xfId="278" applyNumberFormat="1" applyFont="1" applyFill="1" applyBorder="1"/>
    <xf numFmtId="168" fontId="244" fillId="70" borderId="15" xfId="629" applyNumberFormat="1" applyFont="1" applyFill="1" applyBorder="1"/>
    <xf numFmtId="168" fontId="245" fillId="0" borderId="15" xfId="629" applyNumberFormat="1" applyFont="1" applyBorder="1"/>
    <xf numFmtId="168" fontId="252" fillId="0" borderId="15" xfId="629" applyNumberFormat="1" applyFont="1" applyFill="1" applyBorder="1"/>
    <xf numFmtId="168" fontId="245" fillId="0" borderId="15" xfId="629" applyNumberFormat="1" applyFont="1" applyFill="1" applyBorder="1"/>
    <xf numFmtId="329" fontId="16" fillId="0" borderId="15" xfId="292" applyNumberFormat="1" applyFont="1" applyBorder="1"/>
    <xf numFmtId="168" fontId="245" fillId="0" borderId="15" xfId="279" applyNumberFormat="1" applyFont="1" applyBorder="1"/>
    <xf numFmtId="0" fontId="16" fillId="0" borderId="31" xfId="629" applyNumberFormat="1" applyFont="1" applyBorder="1" applyAlignment="1">
      <alignment horizontal="center"/>
    </xf>
    <xf numFmtId="168" fontId="19" fillId="0" borderId="15" xfId="278" applyNumberFormat="1" applyFont="1" applyFill="1" applyBorder="1"/>
    <xf numFmtId="167" fontId="116" fillId="0" borderId="15" xfId="292" applyNumberFormat="1" applyFont="1" applyBorder="1"/>
    <xf numFmtId="167" fontId="116" fillId="0" borderId="15" xfId="292" applyNumberFormat="1" applyFont="1" applyFill="1" applyBorder="1"/>
    <xf numFmtId="168" fontId="16" fillId="0" borderId="15" xfId="279" applyNumberFormat="1" applyFont="1" applyBorder="1"/>
    <xf numFmtId="168" fontId="16" fillId="0" borderId="77" xfId="629" applyNumberFormat="1" applyBorder="1"/>
    <xf numFmtId="181" fontId="116" fillId="0" borderId="15" xfId="278" applyNumberFormat="1" applyFont="1" applyBorder="1"/>
    <xf numFmtId="0" fontId="249" fillId="0" borderId="77" xfId="278" applyFont="1" applyBorder="1" applyAlignment="1">
      <alignment horizontal="center"/>
    </xf>
    <xf numFmtId="0" fontId="16" fillId="0" borderId="15" xfId="0" applyFont="1" applyBorder="1"/>
    <xf numFmtId="171" fontId="16" fillId="0" borderId="15" xfId="0" applyNumberFormat="1" applyFont="1" applyBorder="1"/>
    <xf numFmtId="0" fontId="21" fillId="0" borderId="15" xfId="0" applyFont="1" applyBorder="1"/>
    <xf numFmtId="0" fontId="245" fillId="0" borderId="15" xfId="0" applyFont="1" applyBorder="1"/>
    <xf numFmtId="0" fontId="16" fillId="73" borderId="15" xfId="0" applyFont="1" applyFill="1" applyBorder="1"/>
    <xf numFmtId="168" fontId="244" fillId="70" borderId="13" xfId="278" applyNumberFormat="1" applyFont="1" applyFill="1" applyBorder="1"/>
    <xf numFmtId="168" fontId="16" fillId="72" borderId="6" xfId="278" applyNumberFormat="1" applyFont="1" applyFill="1" applyBorder="1"/>
    <xf numFmtId="0" fontId="16" fillId="0" borderId="6" xfId="0" applyFont="1" applyBorder="1"/>
    <xf numFmtId="171" fontId="16" fillId="0" borderId="6" xfId="0" applyNumberFormat="1" applyFont="1" applyBorder="1"/>
    <xf numFmtId="0" fontId="21" fillId="0" borderId="6" xfId="0" applyFont="1" applyBorder="1"/>
    <xf numFmtId="168" fontId="16" fillId="0" borderId="6" xfId="278" applyNumberFormat="1" applyFont="1" applyBorder="1"/>
    <xf numFmtId="168" fontId="17" fillId="0" borderId="6" xfId="629" applyNumberFormat="1" applyFont="1" applyBorder="1"/>
    <xf numFmtId="0" fontId="16" fillId="73" borderId="6" xfId="0" applyFont="1" applyFill="1" applyBorder="1"/>
    <xf numFmtId="0" fontId="249" fillId="0" borderId="15" xfId="278" applyFont="1" applyBorder="1" applyAlignment="1">
      <alignment horizontal="right"/>
    </xf>
    <xf numFmtId="0" fontId="249" fillId="0" borderId="6" xfId="278" applyFont="1" applyBorder="1" applyAlignment="1">
      <alignment horizontal="right"/>
    </xf>
    <xf numFmtId="0" fontId="17" fillId="0" borderId="13" xfId="278" applyNumberFormat="1" applyFont="1" applyBorder="1" applyAlignment="1">
      <alignment horizontal="right"/>
    </xf>
    <xf numFmtId="0" fontId="17" fillId="0" borderId="31" xfId="278" applyNumberFormat="1" applyFont="1" applyBorder="1" applyAlignment="1">
      <alignment horizontal="right"/>
    </xf>
    <xf numFmtId="168" fontId="116" fillId="72" borderId="15" xfId="629" applyNumberFormat="1" applyFont="1" applyFill="1" applyBorder="1"/>
    <xf numFmtId="0" fontId="16" fillId="0" borderId="31" xfId="629" applyNumberFormat="1" applyFont="1" applyBorder="1" applyAlignment="1">
      <alignment horizontal="right"/>
    </xf>
    <xf numFmtId="168" fontId="116" fillId="72" borderId="15" xfId="278" applyNumberFormat="1" applyFont="1" applyFill="1" applyBorder="1"/>
    <xf numFmtId="0" fontId="17" fillId="0" borderId="31" xfId="629" applyNumberFormat="1" applyFont="1" applyBorder="1" applyAlignment="1">
      <alignment horizontal="right"/>
    </xf>
    <xf numFmtId="168" fontId="252" fillId="0" borderId="15" xfId="629" applyNumberFormat="1" applyFont="1" applyBorder="1"/>
    <xf numFmtId="3" fontId="16" fillId="0" borderId="15" xfId="0" applyNumberFormat="1" applyFont="1" applyBorder="1"/>
    <xf numFmtId="171" fontId="245" fillId="0" borderId="15" xfId="0" applyNumberFormat="1" applyFont="1" applyBorder="1"/>
    <xf numFmtId="0" fontId="249" fillId="0" borderId="77" xfId="278" applyFont="1" applyBorder="1" applyAlignment="1">
      <alignment horizontal="right"/>
    </xf>
    <xf numFmtId="0" fontId="16" fillId="0" borderId="15" xfId="629" applyNumberFormat="1" applyFont="1" applyBorder="1" applyAlignment="1">
      <alignment horizontal="right"/>
    </xf>
    <xf numFmtId="168" fontId="16" fillId="72" borderId="15" xfId="629" applyNumberFormat="1" applyFont="1" applyFill="1" applyBorder="1"/>
    <xf numFmtId="9" fontId="251" fillId="74" borderId="15" xfId="292" applyFont="1" applyFill="1" applyBorder="1"/>
    <xf numFmtId="9" fontId="21" fillId="0" borderId="15" xfId="0" applyNumberFormat="1" applyFont="1" applyBorder="1"/>
    <xf numFmtId="9" fontId="21" fillId="0" borderId="15" xfId="292" applyFont="1" applyFill="1" applyBorder="1"/>
    <xf numFmtId="9" fontId="16" fillId="0" borderId="6" xfId="292" applyFont="1" applyBorder="1"/>
    <xf numFmtId="9" fontId="17" fillId="0" borderId="6" xfId="292" applyFont="1" applyBorder="1"/>
    <xf numFmtId="168" fontId="244" fillId="70" borderId="77" xfId="629" applyNumberFormat="1" applyFont="1" applyFill="1" applyBorder="1"/>
    <xf numFmtId="0" fontId="254" fillId="0" borderId="0" xfId="278" applyFont="1" applyAlignment="1">
      <alignment horizontal="right"/>
    </xf>
    <xf numFmtId="0" fontId="254" fillId="0" borderId="15" xfId="278" applyFont="1" applyBorder="1" applyAlignment="1">
      <alignment horizontal="right"/>
    </xf>
    <xf numFmtId="0" fontId="254" fillId="0" borderId="0" xfId="278" applyFont="1" applyAlignment="1">
      <alignment horizontal="center"/>
    </xf>
    <xf numFmtId="0" fontId="254" fillId="0" borderId="15" xfId="278" applyFont="1" applyBorder="1" applyAlignment="1">
      <alignment horizontal="center"/>
    </xf>
    <xf numFmtId="0" fontId="247" fillId="0" borderId="32" xfId="629" applyFont="1" applyBorder="1"/>
    <xf numFmtId="175" fontId="245" fillId="74" borderId="15" xfId="292" applyNumberFormat="1" applyFont="1" applyFill="1" applyBorder="1"/>
    <xf numFmtId="167" fontId="245" fillId="0" borderId="15" xfId="292" applyNumberFormat="1" applyFont="1" applyBorder="1"/>
    <xf numFmtId="167" fontId="245" fillId="0" borderId="15" xfId="292" applyNumberFormat="1" applyFont="1" applyFill="1" applyBorder="1"/>
    <xf numFmtId="167" fontId="245" fillId="74" borderId="15" xfId="292" applyNumberFormat="1" applyFont="1" applyFill="1" applyBorder="1"/>
    <xf numFmtId="168" fontId="17" fillId="0" borderId="15" xfId="279" applyNumberFormat="1" applyFont="1" applyFill="1" applyBorder="1"/>
    <xf numFmtId="168" fontId="17" fillId="0" borderId="0" xfId="279" applyNumberFormat="1" applyFont="1" applyFill="1"/>
    <xf numFmtId="168" fontId="16" fillId="0" borderId="0" xfId="279" applyNumberFormat="1" applyFont="1"/>
    <xf numFmtId="168" fontId="245" fillId="0" borderId="80" xfId="629" applyNumberFormat="1" applyFont="1" applyFill="1" applyBorder="1"/>
    <xf numFmtId="168" fontId="16" fillId="0" borderId="0" xfId="629" applyNumberFormat="1" applyBorder="1" applyAlignment="1">
      <alignment horizontal="right"/>
    </xf>
    <xf numFmtId="168" fontId="16" fillId="0" borderId="15" xfId="629" applyNumberFormat="1" applyBorder="1" applyAlignment="1">
      <alignment horizontal="right"/>
    </xf>
    <xf numFmtId="9" fontId="102" fillId="0" borderId="15" xfId="292" applyFont="1" applyFill="1" applyBorder="1"/>
    <xf numFmtId="181" fontId="116" fillId="0" borderId="15" xfId="292" applyNumberFormat="1" applyFont="1" applyFill="1" applyBorder="1"/>
    <xf numFmtId="0" fontId="16" fillId="0" borderId="15" xfId="629" applyFill="1" applyBorder="1"/>
    <xf numFmtId="168" fontId="245" fillId="74" borderId="15" xfId="278" applyNumberFormat="1" applyFont="1" applyFill="1" applyBorder="1"/>
    <xf numFmtId="167" fontId="16" fillId="0" borderId="15" xfId="292" applyNumberFormat="1" applyFont="1" applyFill="1" applyBorder="1"/>
    <xf numFmtId="172" fontId="16" fillId="0" borderId="15" xfId="292" applyNumberFormat="1" applyFont="1" applyFill="1" applyBorder="1"/>
    <xf numFmtId="172" fontId="245" fillId="74" borderId="15" xfId="292" applyNumberFormat="1" applyFont="1" applyFill="1" applyBorder="1"/>
    <xf numFmtId="329" fontId="245" fillId="0" borderId="15" xfId="292" applyNumberFormat="1" applyFont="1" applyBorder="1"/>
    <xf numFmtId="167" fontId="245" fillId="0" borderId="0" xfId="292" applyNumberFormat="1" applyFont="1"/>
    <xf numFmtId="329" fontId="245" fillId="0" borderId="0" xfId="292" applyNumberFormat="1" applyFont="1"/>
    <xf numFmtId="167" fontId="245" fillId="0" borderId="0" xfId="292" applyNumberFormat="1" applyFont="1" applyFill="1"/>
    <xf numFmtId="0" fontId="247" fillId="0" borderId="0" xfId="629" applyFont="1" applyFill="1"/>
    <xf numFmtId="181" fontId="18" fillId="0" borderId="15" xfId="292" applyNumberFormat="1" applyFont="1" applyBorder="1"/>
    <xf numFmtId="0" fontId="255" fillId="0" borderId="0" xfId="0" applyFont="1" applyAlignment="1">
      <alignment vertical="center"/>
    </xf>
    <xf numFmtId="0" fontId="249" fillId="0" borderId="15" xfId="278" applyFont="1" applyFill="1" applyBorder="1" applyAlignment="1">
      <alignment horizontal="center"/>
    </xf>
    <xf numFmtId="0" fontId="249" fillId="0" borderId="0" xfId="278" applyFont="1" applyFill="1" applyAlignment="1">
      <alignment horizontal="center"/>
    </xf>
    <xf numFmtId="0" fontId="256" fillId="0" borderId="0" xfId="0" applyFont="1" applyAlignment="1">
      <alignment vertical="center"/>
    </xf>
    <xf numFmtId="0" fontId="257" fillId="0" borderId="0" xfId="0" applyFont="1" applyAlignment="1">
      <alignment vertical="center"/>
    </xf>
    <xf numFmtId="0" fontId="17" fillId="0" borderId="0" xfId="0" applyFont="1" applyFill="1" applyBorder="1"/>
    <xf numFmtId="0" fontId="21" fillId="0" borderId="0" xfId="0" applyFont="1" applyFill="1" applyBorder="1" applyAlignment="1">
      <alignment horizontal="left" indent="1"/>
    </xf>
    <xf numFmtId="170" fontId="0" fillId="0" borderId="0" xfId="0" applyNumberFormat="1"/>
    <xf numFmtId="168" fontId="17" fillId="0" borderId="0" xfId="278" applyNumberFormat="1" applyFont="1" applyFill="1" applyBorder="1"/>
    <xf numFmtId="0" fontId="246" fillId="74" borderId="13" xfId="0" applyFont="1" applyFill="1" applyBorder="1"/>
    <xf numFmtId="0" fontId="14" fillId="0" borderId="0" xfId="0" applyFont="1" applyFill="1" applyAlignment="1">
      <alignment vertical="center"/>
    </xf>
    <xf numFmtId="171" fontId="9" fillId="0" borderId="0" xfId="1264" applyNumberFormat="1" applyFont="1" applyFill="1" applyBorder="1" applyAlignment="1">
      <alignment horizontal="right" vertical="center"/>
    </xf>
    <xf numFmtId="0" fontId="9" fillId="0" borderId="0" xfId="0" applyFont="1" applyFill="1" applyAlignment="1">
      <alignment vertical="center"/>
    </xf>
    <xf numFmtId="171" fontId="70" fillId="0" borderId="0" xfId="1264" applyNumberFormat="1" applyFont="1" applyFill="1" applyBorder="1" applyAlignment="1">
      <alignment horizontal="right" vertical="center"/>
    </xf>
    <xf numFmtId="0" fontId="14" fillId="0" borderId="2" xfId="0" applyFont="1" applyFill="1" applyBorder="1" applyAlignment="1">
      <alignment vertical="center"/>
    </xf>
    <xf numFmtId="171" fontId="14" fillId="0" borderId="2" xfId="0" applyNumberFormat="1" applyFont="1" applyFill="1" applyBorder="1" applyAlignment="1">
      <alignment horizontal="right" vertical="center"/>
    </xf>
    <xf numFmtId="0" fontId="9" fillId="0" borderId="0" xfId="1264" applyFont="1" applyAlignment="1">
      <alignment horizontal="right" vertical="center"/>
    </xf>
    <xf numFmtId="169" fontId="14" fillId="0" borderId="2" xfId="0" applyNumberFormat="1" applyFont="1" applyFill="1" applyBorder="1" applyAlignment="1">
      <alignment horizontal="right" vertical="center"/>
    </xf>
    <xf numFmtId="0" fontId="9" fillId="68" borderId="2" xfId="0" applyFont="1" applyFill="1" applyBorder="1" applyAlignment="1">
      <alignment horizontal="right" vertical="center"/>
    </xf>
    <xf numFmtId="0" fontId="14" fillId="68" borderId="79" xfId="0" applyFont="1" applyFill="1" applyBorder="1" applyAlignment="1">
      <alignment vertical="center"/>
    </xf>
    <xf numFmtId="169" fontId="14" fillId="68" borderId="81" xfId="0" applyNumberFormat="1" applyFont="1" applyFill="1" applyBorder="1" applyAlignment="1">
      <alignment horizontal="right" vertical="center"/>
    </xf>
    <xf numFmtId="169" fontId="9" fillId="0" borderId="0" xfId="1264" applyNumberFormat="1" applyFont="1" applyFill="1" applyAlignment="1">
      <alignment horizontal="right" vertical="center"/>
    </xf>
    <xf numFmtId="0" fontId="189" fillId="70" borderId="0" xfId="1264" applyFont="1" applyFill="1" applyBorder="1" applyAlignment="1">
      <alignment vertical="center"/>
    </xf>
    <xf numFmtId="0" fontId="259" fillId="0" borderId="79" xfId="1264" applyFont="1" applyBorder="1" applyAlignment="1">
      <alignment vertical="center"/>
    </xf>
    <xf numFmtId="0" fontId="259" fillId="0" borderId="2" xfId="1264" applyFont="1" applyBorder="1" applyAlignment="1">
      <alignment horizontal="right" vertical="center"/>
    </xf>
    <xf numFmtId="2" fontId="259" fillId="0" borderId="2" xfId="1264" applyNumberFormat="1" applyFont="1" applyBorder="1" applyAlignment="1">
      <alignment horizontal="right" vertical="center"/>
    </xf>
    <xf numFmtId="168" fontId="19" fillId="0" borderId="0" xfId="278" applyNumberFormat="1" applyFont="1" applyFill="1" applyBorder="1"/>
    <xf numFmtId="175" fontId="16" fillId="0" borderId="0" xfId="292" applyNumberFormat="1" applyFont="1" applyFill="1" applyBorder="1"/>
    <xf numFmtId="181" fontId="116" fillId="0" borderId="0" xfId="292" applyNumberFormat="1" applyFont="1" applyFill="1" applyBorder="1"/>
    <xf numFmtId="9" fontId="22" fillId="0" borderId="0" xfId="292" applyFont="1" applyFill="1" applyBorder="1"/>
    <xf numFmtId="9" fontId="22" fillId="0" borderId="15" xfId="292" applyFont="1" applyFill="1" applyBorder="1"/>
    <xf numFmtId="167" fontId="22" fillId="0" borderId="15" xfId="292" applyNumberFormat="1" applyFont="1" applyFill="1" applyBorder="1"/>
    <xf numFmtId="167" fontId="16" fillId="0" borderId="0" xfId="292" applyNumberFormat="1" applyFont="1" applyFill="1" applyBorder="1"/>
    <xf numFmtId="0" fontId="16" fillId="0" borderId="77" xfId="278" applyFont="1" applyBorder="1"/>
    <xf numFmtId="168" fontId="258" fillId="0" borderId="15" xfId="629" applyNumberFormat="1" applyFont="1" applyFill="1" applyBorder="1"/>
    <xf numFmtId="168" fontId="258" fillId="0" borderId="15" xfId="629" applyNumberFormat="1" applyFont="1" applyBorder="1"/>
    <xf numFmtId="339" fontId="116" fillId="0" borderId="15" xfId="629" applyNumberFormat="1" applyFont="1" applyBorder="1"/>
    <xf numFmtId="171" fontId="252" fillId="0" borderId="15" xfId="0" applyNumberFormat="1" applyFont="1" applyBorder="1"/>
    <xf numFmtId="168" fontId="258" fillId="0" borderId="80" xfId="629" applyNumberFormat="1" applyFont="1" applyFill="1" applyBorder="1"/>
    <xf numFmtId="168" fontId="16" fillId="0" borderId="32" xfId="629" applyNumberFormat="1" applyFont="1" applyFill="1" applyBorder="1"/>
    <xf numFmtId="0" fontId="243" fillId="0" borderId="0" xfId="278" applyFont="1" applyFill="1" applyBorder="1"/>
    <xf numFmtId="168" fontId="244" fillId="0" borderId="6" xfId="278" applyNumberFormat="1" applyFont="1" applyFill="1" applyBorder="1"/>
    <xf numFmtId="168" fontId="244" fillId="0" borderId="0" xfId="278" applyNumberFormat="1" applyFont="1" applyFill="1" applyBorder="1"/>
    <xf numFmtId="168" fontId="244" fillId="0" borderId="15" xfId="278" applyNumberFormat="1" applyFont="1" applyFill="1" applyBorder="1"/>
    <xf numFmtId="168" fontId="244" fillId="0" borderId="15" xfId="629" applyNumberFormat="1" applyFont="1" applyFill="1" applyBorder="1"/>
    <xf numFmtId="168" fontId="244" fillId="0" borderId="0" xfId="629" applyNumberFormat="1" applyFont="1" applyFill="1" applyBorder="1"/>
    <xf numFmtId="182" fontId="16" fillId="0" borderId="15" xfId="0" applyNumberFormat="1" applyFont="1" applyBorder="1"/>
    <xf numFmtId="182" fontId="16" fillId="0" borderId="32" xfId="0" applyNumberFormat="1" applyFont="1" applyBorder="1"/>
    <xf numFmtId="168" fontId="17" fillId="0" borderId="32" xfId="629" applyNumberFormat="1" applyFont="1" applyBorder="1"/>
    <xf numFmtId="168" fontId="258" fillId="0" borderId="15" xfId="278" applyNumberFormat="1" applyFont="1" applyFill="1" applyBorder="1"/>
    <xf numFmtId="170" fontId="258" fillId="0" borderId="15" xfId="0" applyNumberFormat="1" applyFont="1" applyBorder="1"/>
    <xf numFmtId="170" fontId="258" fillId="0" borderId="0" xfId="0" applyNumberFormat="1" applyFont="1"/>
    <xf numFmtId="9" fontId="245" fillId="74" borderId="15" xfId="292" applyFont="1" applyFill="1" applyBorder="1"/>
    <xf numFmtId="168" fontId="258" fillId="0" borderId="0" xfId="278" applyNumberFormat="1" applyFont="1" applyFill="1"/>
    <xf numFmtId="170" fontId="18" fillId="0" borderId="15" xfId="278" applyNumberFormat="1" applyFont="1" applyFill="1" applyBorder="1"/>
    <xf numFmtId="168" fontId="244" fillId="70" borderId="6" xfId="278" applyNumberFormat="1" applyFont="1" applyFill="1" applyBorder="1"/>
    <xf numFmtId="168" fontId="244" fillId="70" borderId="0" xfId="278" applyNumberFormat="1" applyFont="1" applyFill="1" applyBorder="1"/>
    <xf numFmtId="168" fontId="244" fillId="70" borderId="0" xfId="629" applyNumberFormat="1" applyFont="1" applyFill="1" applyBorder="1"/>
    <xf numFmtId="168" fontId="16" fillId="0" borderId="6" xfId="278" applyNumberFormat="1" applyFont="1" applyFill="1" applyBorder="1"/>
    <xf numFmtId="0" fontId="16" fillId="0" borderId="0" xfId="0" applyFont="1" applyFill="1"/>
    <xf numFmtId="0" fontId="243" fillId="70" borderId="0" xfId="0" applyFont="1" applyFill="1" applyBorder="1" applyAlignment="1"/>
    <xf numFmtId="0" fontId="243" fillId="70" borderId="0" xfId="0" applyFont="1" applyFill="1" applyBorder="1" applyAlignment="1">
      <alignment horizontal="center"/>
    </xf>
    <xf numFmtId="0" fontId="16" fillId="0" borderId="6" xfId="0" applyFont="1" applyFill="1" applyBorder="1"/>
    <xf numFmtId="0" fontId="16" fillId="0" borderId="15" xfId="0" applyFont="1" applyFill="1" applyBorder="1"/>
    <xf numFmtId="0" fontId="21" fillId="0" borderId="0" xfId="0" applyFont="1" applyBorder="1" applyAlignment="1"/>
    <xf numFmtId="171" fontId="258" fillId="0" borderId="15" xfId="0" applyNumberFormat="1" applyFont="1" applyBorder="1"/>
    <xf numFmtId="9" fontId="260" fillId="0" borderId="15" xfId="292" applyFont="1" applyFill="1" applyBorder="1"/>
    <xf numFmtId="9" fontId="245" fillId="0" borderId="15" xfId="292" applyFont="1" applyBorder="1"/>
    <xf numFmtId="171" fontId="258" fillId="0" borderId="0" xfId="0" applyNumberFormat="1" applyFont="1" applyBorder="1"/>
    <xf numFmtId="9" fontId="245" fillId="0" borderId="15" xfId="292" applyFont="1" applyFill="1" applyBorder="1"/>
    <xf numFmtId="9" fontId="251" fillId="0" borderId="15" xfId="0" applyNumberFormat="1" applyFont="1" applyBorder="1"/>
    <xf numFmtId="0" fontId="261" fillId="0" borderId="0" xfId="629" applyFont="1"/>
    <xf numFmtId="0" fontId="17" fillId="0" borderId="0" xfId="0" applyFont="1"/>
    <xf numFmtId="168" fontId="245" fillId="69" borderId="15" xfId="278" applyNumberFormat="1" applyFont="1" applyFill="1" applyBorder="1"/>
    <xf numFmtId="168" fontId="252" fillId="0" borderId="15" xfId="278" applyNumberFormat="1" applyFont="1" applyFill="1" applyBorder="1"/>
    <xf numFmtId="168" fontId="150" fillId="0" borderId="15" xfId="278" applyNumberFormat="1" applyFont="1" applyBorder="1"/>
    <xf numFmtId="170" fontId="116" fillId="0" borderId="15" xfId="278" applyNumberFormat="1" applyFont="1" applyFill="1" applyBorder="1"/>
    <xf numFmtId="168" fontId="245" fillId="0" borderId="0" xfId="629" applyNumberFormat="1" applyFont="1" applyFill="1"/>
    <xf numFmtId="172" fontId="258" fillId="0" borderId="0" xfId="292" applyNumberFormat="1" applyFont="1" applyBorder="1"/>
    <xf numFmtId="168" fontId="116" fillId="74" borderId="15" xfId="278" applyNumberFormat="1" applyFont="1" applyFill="1" applyBorder="1"/>
    <xf numFmtId="168" fontId="245" fillId="0" borderId="6" xfId="629" applyNumberFormat="1" applyFont="1" applyFill="1" applyBorder="1"/>
    <xf numFmtId="170" fontId="116" fillId="0" borderId="15" xfId="0" applyNumberFormat="1" applyFont="1" applyBorder="1"/>
    <xf numFmtId="167" fontId="16" fillId="74" borderId="15" xfId="292" applyNumberFormat="1" applyFont="1" applyFill="1" applyBorder="1"/>
    <xf numFmtId="172" fontId="16" fillId="0" borderId="0" xfId="292" applyNumberFormat="1" applyFont="1" applyFill="1" applyBorder="1"/>
    <xf numFmtId="0" fontId="17" fillId="0" borderId="15" xfId="629" applyFont="1" applyBorder="1"/>
    <xf numFmtId="0" fontId="16" fillId="0" borderId="0" xfId="629"/>
    <xf numFmtId="0" fontId="16" fillId="0" borderId="15" xfId="629" applyFont="1" applyBorder="1"/>
    <xf numFmtId="182" fontId="16" fillId="0" borderId="15" xfId="292" applyNumberFormat="1" applyFont="1" applyBorder="1"/>
    <xf numFmtId="182" fontId="16" fillId="0" borderId="0" xfId="292" applyNumberFormat="1" applyFont="1"/>
    <xf numFmtId="182" fontId="16" fillId="0" borderId="0" xfId="292" applyNumberFormat="1" applyFont="1" applyBorder="1"/>
    <xf numFmtId="9" fontId="149" fillId="0" borderId="15" xfId="292" applyFont="1" applyFill="1" applyBorder="1"/>
    <xf numFmtId="3" fontId="9" fillId="0" borderId="0" xfId="0" applyNumberFormat="1" applyFont="1" applyFill="1" applyAlignment="1">
      <alignment horizontal="right" vertical="center"/>
    </xf>
    <xf numFmtId="3" fontId="9" fillId="0" borderId="8" xfId="1264" applyNumberFormat="1" applyFont="1" applyFill="1" applyBorder="1" applyAlignment="1">
      <alignment horizontal="right" vertical="center"/>
    </xf>
    <xf numFmtId="3" fontId="9" fillId="0" borderId="0" xfId="1264" applyNumberFormat="1" applyFont="1" applyFill="1" applyBorder="1" applyAlignment="1">
      <alignment horizontal="right" vertical="center"/>
    </xf>
    <xf numFmtId="170" fontId="16" fillId="0" borderId="15" xfId="0" applyNumberFormat="1" applyFont="1" applyBorder="1"/>
    <xf numFmtId="170" fontId="16" fillId="0" borderId="0" xfId="0" applyNumberFormat="1" applyFont="1" applyBorder="1"/>
    <xf numFmtId="174" fontId="244" fillId="70" borderId="79" xfId="278" applyNumberFormat="1" applyFont="1" applyFill="1" applyBorder="1"/>
    <xf numFmtId="174" fontId="150" fillId="0" borderId="15" xfId="278" applyNumberFormat="1" applyFont="1" applyBorder="1"/>
    <xf numFmtId="2" fontId="22" fillId="0" borderId="15" xfId="292" applyNumberFormat="1" applyFont="1" applyFill="1" applyBorder="1"/>
    <xf numFmtId="9" fontId="259" fillId="0" borderId="81" xfId="292" applyNumberFormat="1" applyFont="1" applyBorder="1" applyAlignment="1">
      <alignment horizontal="right" vertical="center"/>
    </xf>
    <xf numFmtId="3" fontId="14" fillId="0" borderId="8" xfId="0" applyNumberFormat="1" applyFont="1" applyFill="1" applyBorder="1" applyAlignment="1">
      <alignment horizontal="right" vertical="center"/>
    </xf>
    <xf numFmtId="170" fontId="245" fillId="0" borderId="15" xfId="0" applyNumberFormat="1" applyFont="1" applyBorder="1"/>
    <xf numFmtId="9" fontId="251" fillId="0" borderId="15" xfId="0" applyNumberFormat="1" applyFont="1" applyFill="1" applyBorder="1"/>
    <xf numFmtId="168" fontId="245" fillId="74" borderId="80" xfId="629" applyNumberFormat="1" applyFont="1" applyFill="1" applyBorder="1"/>
    <xf numFmtId="175" fontId="245" fillId="74" borderId="6" xfId="292" applyNumberFormat="1" applyFont="1" applyFill="1" applyBorder="1"/>
    <xf numFmtId="9" fontId="260" fillId="0" borderId="0" xfId="292" applyFont="1" applyBorder="1"/>
    <xf numFmtId="175" fontId="251" fillId="74" borderId="15" xfId="292" applyNumberFormat="1" applyFont="1" applyFill="1" applyBorder="1"/>
    <xf numFmtId="175" fontId="251" fillId="74" borderId="0" xfId="292" applyNumberFormat="1" applyFont="1" applyFill="1" applyBorder="1"/>
    <xf numFmtId="168" fontId="150" fillId="0" borderId="6" xfId="278" applyNumberFormat="1" applyFont="1" applyBorder="1"/>
    <xf numFmtId="9" fontId="21" fillId="0" borderId="15" xfId="0" applyNumberFormat="1" applyFont="1" applyFill="1" applyBorder="1"/>
    <xf numFmtId="168" fontId="17" fillId="0" borderId="6" xfId="278" applyNumberFormat="1" applyFont="1" applyBorder="1"/>
    <xf numFmtId="167" fontId="116" fillId="74" borderId="15" xfId="292" applyNumberFormat="1" applyFont="1" applyFill="1" applyBorder="1"/>
    <xf numFmtId="173" fontId="16" fillId="0" borderId="15" xfId="629" applyNumberFormat="1" applyBorder="1" applyAlignment="1">
      <alignment horizontal="right"/>
    </xf>
    <xf numFmtId="170" fontId="245" fillId="0" borderId="15" xfId="0" applyNumberFormat="1" applyFont="1" applyFill="1" applyBorder="1"/>
    <xf numFmtId="170" fontId="16" fillId="0" borderId="15" xfId="0" applyNumberFormat="1" applyFont="1" applyFill="1" applyBorder="1"/>
    <xf numFmtId="171" fontId="245" fillId="0" borderId="15" xfId="0" applyNumberFormat="1" applyFont="1" applyFill="1" applyBorder="1"/>
    <xf numFmtId="9" fontId="251" fillId="0" borderId="0" xfId="292" applyFont="1" applyFill="1" applyBorder="1"/>
    <xf numFmtId="171" fontId="116" fillId="0" borderId="15" xfId="0" applyNumberFormat="1" applyFont="1" applyBorder="1"/>
    <xf numFmtId="9" fontId="251" fillId="0" borderId="15" xfId="292" applyFont="1" applyFill="1" applyBorder="1"/>
    <xf numFmtId="9" fontId="260" fillId="0" borderId="32" xfId="292" applyFont="1" applyFill="1" applyBorder="1"/>
    <xf numFmtId="0" fontId="262" fillId="0" borderId="0" xfId="629" applyFont="1"/>
    <xf numFmtId="0" fontId="21" fillId="0" borderId="0" xfId="0" applyFont="1" applyFill="1" applyBorder="1"/>
    <xf numFmtId="170" fontId="21" fillId="0" borderId="15" xfId="0" applyNumberFormat="1" applyFont="1" applyBorder="1"/>
    <xf numFmtId="9" fontId="260" fillId="0" borderId="15" xfId="0" applyNumberFormat="1" applyFont="1" applyFill="1" applyBorder="1"/>
    <xf numFmtId="9" fontId="260" fillId="0" borderId="15" xfId="292" applyFont="1" applyBorder="1"/>
    <xf numFmtId="171" fontId="149" fillId="0" borderId="15" xfId="0" applyNumberFormat="1" applyFont="1" applyBorder="1"/>
    <xf numFmtId="9" fontId="21" fillId="74" borderId="15" xfId="292" applyFont="1" applyFill="1" applyBorder="1"/>
    <xf numFmtId="168" fontId="263" fillId="0" borderId="15" xfId="278" applyNumberFormat="1" applyFont="1" applyFill="1" applyBorder="1"/>
    <xf numFmtId="168" fontId="263" fillId="0" borderId="0" xfId="278" applyNumberFormat="1" applyFont="1" applyFill="1"/>
    <xf numFmtId="9" fontId="245" fillId="69" borderId="15" xfId="292" applyFont="1" applyFill="1" applyBorder="1"/>
    <xf numFmtId="170" fontId="22" fillId="0" borderId="15" xfId="278" applyNumberFormat="1" applyBorder="1"/>
    <xf numFmtId="170" fontId="17" fillId="0" borderId="15" xfId="278" applyNumberFormat="1" applyFont="1" applyBorder="1"/>
    <xf numFmtId="170" fontId="258" fillId="0" borderId="0" xfId="278" applyNumberFormat="1" applyFont="1"/>
    <xf numFmtId="171" fontId="234" fillId="0" borderId="8" xfId="1264" applyNumberFormat="1" applyFont="1" applyFill="1" applyBorder="1" applyAlignment="1">
      <alignment horizontal="right" vertical="center"/>
    </xf>
    <xf numFmtId="171" fontId="16" fillId="0" borderId="0" xfId="0" applyNumberFormat="1" applyFont="1"/>
    <xf numFmtId="170" fontId="21" fillId="0" borderId="0" xfId="0" applyNumberFormat="1" applyFont="1"/>
    <xf numFmtId="168" fontId="16" fillId="72" borderId="15" xfId="629" applyNumberFormat="1" applyFill="1" applyBorder="1"/>
    <xf numFmtId="168" fontId="16" fillId="72" borderId="0" xfId="629" applyNumberFormat="1" applyFill="1"/>
    <xf numFmtId="204" fontId="16" fillId="0" borderId="15" xfId="629" applyNumberFormat="1" applyBorder="1"/>
    <xf numFmtId="168" fontId="150" fillId="0" borderId="15" xfId="278" applyNumberFormat="1" applyFont="1" applyFill="1" applyBorder="1"/>
    <xf numFmtId="173" fontId="16" fillId="0" borderId="0" xfId="629" applyNumberFormat="1" applyBorder="1" applyAlignment="1">
      <alignment horizontal="right"/>
    </xf>
    <xf numFmtId="229" fontId="235" fillId="41" borderId="0" xfId="0" applyNumberFormat="1" applyFont="1" applyFill="1" applyAlignment="1">
      <alignment horizontal="center"/>
    </xf>
    <xf numFmtId="170" fontId="21" fillId="0" borderId="15" xfId="0" applyNumberFormat="1" applyFont="1" applyFill="1" applyBorder="1"/>
    <xf numFmtId="168" fontId="258" fillId="74" borderId="15" xfId="629" applyNumberFormat="1" applyFont="1" applyFill="1" applyBorder="1"/>
    <xf numFmtId="168" fontId="116" fillId="74" borderId="15" xfId="629" applyNumberFormat="1" applyFont="1" applyFill="1" applyBorder="1"/>
    <xf numFmtId="168" fontId="245" fillId="74" borderId="15" xfId="629" applyNumberFormat="1" applyFont="1" applyFill="1" applyBorder="1"/>
    <xf numFmtId="9" fontId="258" fillId="0" borderId="15" xfId="292" applyFont="1" applyBorder="1"/>
    <xf numFmtId="9" fontId="21" fillId="0" borderId="15" xfId="292" applyNumberFormat="1" applyFont="1" applyBorder="1"/>
    <xf numFmtId="0" fontId="14" fillId="72" borderId="0" xfId="0" applyFont="1" applyFill="1" applyAlignment="1">
      <alignment horizontal="left" vertical="center"/>
    </xf>
    <xf numFmtId="0" fontId="233" fillId="71" borderId="31" xfId="0" applyFont="1" applyFill="1" applyBorder="1" applyAlignment="1">
      <alignment horizontal="center"/>
    </xf>
    <xf numFmtId="0" fontId="233" fillId="71" borderId="33" xfId="0" applyFont="1" applyFill="1" applyBorder="1" applyAlignment="1">
      <alignment horizontal="center"/>
    </xf>
    <xf numFmtId="0" fontId="233" fillId="71" borderId="31" xfId="0" applyFont="1" applyFill="1" applyBorder="1" applyAlignment="1">
      <alignment horizontal="center" vertical="center"/>
    </xf>
    <xf numFmtId="0" fontId="233" fillId="71" borderId="8" xfId="0" applyFont="1" applyFill="1" applyBorder="1" applyAlignment="1">
      <alignment horizontal="center" vertical="center"/>
    </xf>
    <xf numFmtId="0" fontId="233" fillId="71" borderId="33" xfId="0" applyFont="1" applyFill="1" applyBorder="1" applyAlignment="1">
      <alignment horizontal="center" vertical="center"/>
    </xf>
    <xf numFmtId="1" fontId="14" fillId="0" borderId="8" xfId="0" applyNumberFormat="1" applyFont="1" applyFill="1" applyBorder="1" applyAlignment="1">
      <alignment horizontal="right" vertical="center"/>
    </xf>
    <xf numFmtId="168" fontId="248" fillId="0" borderId="15" xfId="278" applyNumberFormat="1" applyFont="1" applyFill="1" applyBorder="1"/>
    <xf numFmtId="0" fontId="16" fillId="0" borderId="15" xfId="278" applyFont="1" applyFill="1" applyBorder="1" applyAlignment="1"/>
  </cellXfs>
  <cellStyles count="1988">
    <cellStyle name="'" xfId="641" xr:uid="{00000000-0005-0000-0000-000000000000}"/>
    <cellStyle name="—" xfId="1" xr:uid="{00000000-0005-0000-0000-000001000000}"/>
    <cellStyle name="          _x000a__x000a_shell=progman.exe_x000a__x000a_n" xfId="1270" xr:uid="{00000000-0005-0000-0000-000002000000}"/>
    <cellStyle name="          _x000d__x000a_shell=progman.exe_x000d__x000a_n" xfId="1271" xr:uid="{00000000-0005-0000-0000-000003000000}"/>
    <cellStyle name="— 2" xfId="1272" xr:uid="{00000000-0005-0000-0000-000004000000}"/>
    <cellStyle name="#" xfId="1273" xr:uid="{00000000-0005-0000-0000-000005000000}"/>
    <cellStyle name="$" xfId="642" xr:uid="{00000000-0005-0000-0000-000006000000}"/>
    <cellStyle name="$m" xfId="643" xr:uid="{00000000-0005-0000-0000-000007000000}"/>
    <cellStyle name="$q" xfId="644" xr:uid="{00000000-0005-0000-0000-000008000000}"/>
    <cellStyle name="$q*" xfId="645" xr:uid="{00000000-0005-0000-0000-000009000000}"/>
    <cellStyle name="$qA" xfId="646" xr:uid="{00000000-0005-0000-0000-00000A000000}"/>
    <cellStyle name="$qRange" xfId="647" xr:uid="{00000000-0005-0000-0000-00000B000000}"/>
    <cellStyle name="%" xfId="635" xr:uid="{00000000-0005-0000-0000-00000C000000}"/>
    <cellStyle name="% 2" xfId="648" xr:uid="{00000000-0005-0000-0000-00000D000000}"/>
    <cellStyle name="%[0]" xfId="649" xr:uid="{00000000-0005-0000-0000-00000E000000}"/>
    <cellStyle name="%_AOLearn" xfId="650" xr:uid="{00000000-0005-0000-0000-00000F000000}"/>
    <cellStyle name="%_EBAYearn" xfId="651" xr:uid="{00000000-0005-0000-0000-000010000000}"/>
    <cellStyle name="%_MASTER_ERPROSheet_08022007" xfId="652" xr:uid="{00000000-0005-0000-0000-000011000000}"/>
    <cellStyle name="%_NFLXearn" xfId="653" xr:uid="{00000000-0005-0000-0000-000012000000}"/>
    <cellStyle name="%_YHOOearn" xfId="654" xr:uid="{00000000-0005-0000-0000-000013000000}"/>
    <cellStyle name="(1,000)" xfId="2" xr:uid="{00000000-0005-0000-0000-000014000000}"/>
    <cellStyle name="(1,000) 2" xfId="1274" xr:uid="{00000000-0005-0000-0000-000015000000}"/>
    <cellStyle name="(1,000)x" xfId="3" xr:uid="{00000000-0005-0000-0000-000016000000}"/>
    <cellStyle name="(1,000)x 2" xfId="1275" xr:uid="{00000000-0005-0000-0000-000017000000}"/>
    <cellStyle name="******************************************" xfId="655" xr:uid="{00000000-0005-0000-0000-000018000000}"/>
    <cellStyle name="****************************************** 2" xfId="1276" xr:uid="{00000000-0005-0000-0000-000019000000}"/>
    <cellStyle name="****************************************** 2 2" xfId="1277" xr:uid="{00000000-0005-0000-0000-00001A000000}"/>
    <cellStyle name="****************************************** 3" xfId="1278" xr:uid="{00000000-0005-0000-0000-00001B000000}"/>
    <cellStyle name="******************************************_2010 TEL" xfId="1279" xr:uid="{00000000-0005-0000-0000-00001C000000}"/>
    <cellStyle name=";;;" xfId="656" xr:uid="{00000000-0005-0000-0000-00001D000000}"/>
    <cellStyle name="@NOW" xfId="657" xr:uid="{00000000-0005-0000-0000-00001E000000}"/>
    <cellStyle name="]_x000a__x000a_Extension=conv.dll_x000a__x000a_MS-DOS Tools Extentions=C:\DOS\MSTOOLS.DLL_x000a__x000a__x000a__x000a_[Settings]_x000a__x000a_UNDELETE.DLL=C:\DOS\MSTOOLS.DLL_x000a__x000a_W" xfId="658" xr:uid="{00000000-0005-0000-0000-00001F000000}"/>
    <cellStyle name="]_x000a__x000a_Zoomed=0_x000a__x000a_Row=0_x000a__x000a_Column=0_x000a__x000a_Height=694_x000a__x000a_Width=1012_x000a__x000a_FontName=FoxFont_x000a__x000a_FontStyle=0_x000a__x000a_FontSize=9_x000a__x000a_PrtFontName=Fo" xfId="1280" xr:uid="{00000000-0005-0000-0000-000020000000}"/>
    <cellStyle name="]_x000d__x000a_Zoomed=0_x000d__x000a_Row=0_x000d__x000a_Column=0_x000d__x000a_Height=694_x000d__x000a_Width=1012_x000d__x000a_FontName=FoxFont_x000d__x000a_FontStyle=0_x000d__x000a_FontSize=9_x000d__x000a_PrtFontName=Fo" xfId="1281" xr:uid="{00000000-0005-0000-0000-000021000000}"/>
    <cellStyle name="_%(SignOnly)" xfId="358" xr:uid="{00000000-0005-0000-0000-000022000000}"/>
    <cellStyle name="_%(SignSpaceOnly)" xfId="359" xr:uid="{00000000-0005-0000-0000-000023000000}"/>
    <cellStyle name="__x001d__/_x000c_=ÿÿ_x000c_0ÿU_x0001_‡_x0005_œ+_x0007__x0001__x0001_" xfId="1282" xr:uid="{00000000-0005-0000-0000-000024000000}"/>
    <cellStyle name="__x001d__/_x000c_=ÿÿ_x000c_0ÿU_x0001_‡_x0005_œ+_x000f__x0001__x0001_" xfId="1283" xr:uid="{00000000-0005-0000-0000-000025000000}"/>
    <cellStyle name="_~0034700" xfId="4" xr:uid="{00000000-0005-0000-0000-000026000000}"/>
    <cellStyle name="_2010 TEL" xfId="1284" xr:uid="{00000000-0005-0000-0000-000027000000}"/>
    <cellStyle name="—_2010 TEL" xfId="1285" xr:uid="{00000000-0005-0000-0000-000028000000}"/>
    <cellStyle name="—_2010 TEL 2" xfId="1286" xr:uid="{00000000-0005-0000-0000-000029000000}"/>
    <cellStyle name="—_Book2" xfId="5" xr:uid="{00000000-0005-0000-0000-00002A000000}"/>
    <cellStyle name="—_Book2 2" xfId="1287" xr:uid="{00000000-0005-0000-0000-00002B000000}"/>
    <cellStyle name="—_Book2_CMJMODEL" xfId="1288" xr:uid="{00000000-0005-0000-0000-00002C000000}"/>
    <cellStyle name="—_Book2_European Mktg - May99" xfId="6" xr:uid="{00000000-0005-0000-0000-00002D000000}"/>
    <cellStyle name="—_Book2_FOXTELMODEL" xfId="1289" xr:uid="{00000000-0005-0000-0000-00002E000000}"/>
    <cellStyle name="—_Book2_hutchss" xfId="7" xr:uid="{00000000-0005-0000-0000-00002F000000}"/>
    <cellStyle name="—_Book2_MASTER" xfId="8" xr:uid="{00000000-0005-0000-0000-000030000000}"/>
    <cellStyle name="—_Book2_WHARFSS" xfId="9" xr:uid="{00000000-0005-0000-0000-000031000000}"/>
    <cellStyle name="_Book5" xfId="1290" xr:uid="{00000000-0005-0000-0000-000032000000}"/>
    <cellStyle name="—_Book7" xfId="10" xr:uid="{00000000-0005-0000-0000-000033000000}"/>
    <cellStyle name="—_Book8" xfId="11" xr:uid="{00000000-0005-0000-0000-000034000000}"/>
    <cellStyle name="—_CMHss" xfId="12" xr:uid="{00000000-0005-0000-0000-000035000000}"/>
    <cellStyle name="_CMJMODEL" xfId="1291" xr:uid="{00000000-0005-0000-0000-000036000000}"/>
    <cellStyle name="—_CMJMODEL" xfId="1292" xr:uid="{00000000-0005-0000-0000-000037000000}"/>
    <cellStyle name="_Comma" xfId="13" xr:uid="{00000000-0005-0000-0000-000038000000}"/>
    <cellStyle name="_Comma_01 adj for merger plan" xfId="360" xr:uid="{00000000-0005-0000-0000-000039000000}"/>
    <cellStyle name="_Comma_Ability to Pay Analysis" xfId="361" xr:uid="{00000000-0005-0000-0000-00003A000000}"/>
    <cellStyle name="_Comma_AFL" xfId="362" xr:uid="{00000000-0005-0000-0000-00003B000000}"/>
    <cellStyle name="_Comma_AIZ" xfId="363" xr:uid="{00000000-0005-0000-0000-00003C000000}"/>
    <cellStyle name="_Comma_AIZ04-Quantum2" xfId="364" xr:uid="{00000000-0005-0000-0000-00003D000000}"/>
    <cellStyle name="_Comma_AMP" xfId="365" xr:uid="{00000000-0005-0000-0000-00003E000000}"/>
    <cellStyle name="_Comma_Book1" xfId="366" xr:uid="{00000000-0005-0000-0000-00003F000000}"/>
    <cellStyle name="_Comma_Book3" xfId="367" xr:uid="{00000000-0005-0000-0000-000040000000}"/>
    <cellStyle name="_Comma_CMJMODEL" xfId="1293" xr:uid="{00000000-0005-0000-0000-000041000000}"/>
    <cellStyle name="_Comma_CNO" xfId="368" xr:uid="{00000000-0005-0000-0000-000042000000}"/>
    <cellStyle name="_Comma_CNO04" xfId="369" xr:uid="{00000000-0005-0000-0000-000043000000}"/>
    <cellStyle name="_Comma_DCF Alexander Forbes" xfId="370" xr:uid="{00000000-0005-0000-0000-000044000000}"/>
    <cellStyle name="_Comma_fmbi counties" xfId="371" xr:uid="{00000000-0005-0000-0000-000045000000}"/>
    <cellStyle name="_Comma_FMBI MBHI Graphs" xfId="372" xr:uid="{00000000-0005-0000-0000-000046000000}"/>
    <cellStyle name="_Comma_FMBI MBHI Graphs 07102001" xfId="373" xr:uid="{00000000-0005-0000-0000-000047000000}"/>
    <cellStyle name="_Comma_FMBI MBHI Graphs_7601" xfId="374" xr:uid="{00000000-0005-0000-0000-000048000000}"/>
    <cellStyle name="_Comma_FOXTELMODEL" xfId="1294" xr:uid="{00000000-0005-0000-0000-000049000000}"/>
    <cellStyle name="_Comma_genworth model" xfId="375" xr:uid="{00000000-0005-0000-0000-00004A000000}"/>
    <cellStyle name="_Comma_HWLaug2000" xfId="14" xr:uid="{00000000-0005-0000-0000-00004B000000}"/>
    <cellStyle name="_Comma_Insurance Brokerage CSC_1Q2002" xfId="376" xr:uid="{00000000-0005-0000-0000-00004C000000}"/>
    <cellStyle name="_Comma_JP_LNC_spread_monitor (2)" xfId="377" xr:uid="{00000000-0005-0000-0000-00004D000000}"/>
    <cellStyle name="_Comma_NFP" xfId="378" xr:uid="{00000000-0005-0000-0000-00004E000000}"/>
    <cellStyle name="_Comma_NFS" xfId="379" xr:uid="{00000000-0005-0000-0000-00004F000000}"/>
    <cellStyle name="_Comma_Overview3" xfId="380" xr:uid="{00000000-0005-0000-0000-000050000000}"/>
    <cellStyle name="_Comma_phil data" xfId="381" xr:uid="{00000000-0005-0000-0000-000051000000}"/>
    <cellStyle name="_Comma_Price Performance Charts" xfId="382" xr:uid="{00000000-0005-0000-0000-000052000000}"/>
    <cellStyle name="_Comma_Quarterly Review by Company" xfId="383" xr:uid="{00000000-0005-0000-0000-000053000000}"/>
    <cellStyle name="_Comma_SFG Data File" xfId="384" xr:uid="{00000000-0005-0000-0000-000054000000}"/>
    <cellStyle name="_Comma_Sheet1" xfId="385" xr:uid="{00000000-0005-0000-0000-000055000000}"/>
    <cellStyle name="_Comma_Stock-QTR1 FDS" xfId="386" xr:uid="{00000000-0005-0000-0000-000056000000}"/>
    <cellStyle name="_Comma_Updated Valuation Changes" xfId="387" xr:uid="{00000000-0005-0000-0000-000057000000}"/>
    <cellStyle name="_Comma_Valuation Graphs" xfId="388" xr:uid="{00000000-0005-0000-0000-000058000000}"/>
    <cellStyle name="_Comma_xratio - historical mkt val" xfId="389" xr:uid="{00000000-0005-0000-0000-000059000000}"/>
    <cellStyle name="_Currency" xfId="15" xr:uid="{00000000-0005-0000-0000-00005A000000}"/>
    <cellStyle name="_Currency_01 adj for merger plan" xfId="390" xr:uid="{00000000-0005-0000-0000-00005B000000}"/>
    <cellStyle name="_Currency_Ability to Pay Analysis" xfId="391" xr:uid="{00000000-0005-0000-0000-00005C000000}"/>
    <cellStyle name="_Currency_AFL" xfId="392" xr:uid="{00000000-0005-0000-0000-00005D000000}"/>
    <cellStyle name="_Currency_AIZ" xfId="393" xr:uid="{00000000-0005-0000-0000-00005E000000}"/>
    <cellStyle name="_Currency_AMP" xfId="394" xr:uid="{00000000-0005-0000-0000-00005F000000}"/>
    <cellStyle name="_Currency_Balance Sheet" xfId="395" xr:uid="{00000000-0005-0000-0000-000060000000}"/>
    <cellStyle name="_Currency_Book1" xfId="396" xr:uid="{00000000-0005-0000-0000-000061000000}"/>
    <cellStyle name="_Currency_Book1_Jazztel model 16DP3-Exhibits" xfId="1295" xr:uid="{00000000-0005-0000-0000-000062000000}"/>
    <cellStyle name="_Currency_Book1_Jazztel model 16DP3-Exhibits_Book2" xfId="1296" xr:uid="{00000000-0005-0000-0000-000063000000}"/>
    <cellStyle name="_Currency_Book1_Jazztel model 16DP3-Exhibits_T_MOBIL2" xfId="1297" xr:uid="{00000000-0005-0000-0000-000064000000}"/>
    <cellStyle name="_Currency_Book1_Jazztel model 16DP3-Exhibits_TDC-2Aug2001_UPD" xfId="1298" xr:uid="{00000000-0005-0000-0000-000065000000}"/>
    <cellStyle name="_Currency_Book1_Jazztel model 18DP-exhibits" xfId="1299" xr:uid="{00000000-0005-0000-0000-000066000000}"/>
    <cellStyle name="_Currency_Book1_TDC-2Aug2001" xfId="1300" xr:uid="{00000000-0005-0000-0000-000067000000}"/>
    <cellStyle name="_Currency_Book1_TelenorAug01" xfId="1301" xr:uid="{00000000-0005-0000-0000-000068000000}"/>
    <cellStyle name="_Currency_Book2" xfId="1302" xr:uid="{00000000-0005-0000-0000-000069000000}"/>
    <cellStyle name="_Currency_Book2_Jazztel model 16DP3-Exhibits" xfId="1303" xr:uid="{00000000-0005-0000-0000-00006A000000}"/>
    <cellStyle name="_Currency_Book2_Jazztel model 16DP3-Exhibits_Book2" xfId="1304" xr:uid="{00000000-0005-0000-0000-00006B000000}"/>
    <cellStyle name="_Currency_Book2_Jazztel model 16DP3-Exhibits_T_MOBIL2" xfId="1305" xr:uid="{00000000-0005-0000-0000-00006C000000}"/>
    <cellStyle name="_Currency_Book2_Jazztel model 16DP3-Exhibits_TDC-2Aug2001_UPD" xfId="1306" xr:uid="{00000000-0005-0000-0000-00006D000000}"/>
    <cellStyle name="_Currency_Book2_Jazztel model 18DP-exhibits" xfId="1307" xr:uid="{00000000-0005-0000-0000-00006E000000}"/>
    <cellStyle name="_Currency_Book2_TDC-2Aug2001" xfId="1308" xr:uid="{00000000-0005-0000-0000-00006F000000}"/>
    <cellStyle name="_Currency_Book2_TelenorAug01" xfId="1309" xr:uid="{00000000-0005-0000-0000-000070000000}"/>
    <cellStyle name="_Currency_Book29" xfId="397" xr:uid="{00000000-0005-0000-0000-000071000000}"/>
    <cellStyle name="_Currency_Book3" xfId="398" xr:uid="{00000000-0005-0000-0000-000072000000}"/>
    <cellStyle name="_Currency_Book3_1" xfId="399" xr:uid="{00000000-0005-0000-0000-000073000000}"/>
    <cellStyle name="_Currency_CMJMODEL" xfId="1310" xr:uid="{00000000-0005-0000-0000-000074000000}"/>
    <cellStyle name="_Currency_CNO" xfId="400" xr:uid="{00000000-0005-0000-0000-000075000000}"/>
    <cellStyle name="_Currency_DCF Alexander Forbes" xfId="401" xr:uid="{00000000-0005-0000-0000-000076000000}"/>
    <cellStyle name="_Currency_fmbi counties" xfId="402" xr:uid="{00000000-0005-0000-0000-000077000000}"/>
    <cellStyle name="_Currency_FMBI MBHI Graphs" xfId="403" xr:uid="{00000000-0005-0000-0000-000078000000}"/>
    <cellStyle name="_Currency_FMBI MBHI Graphs 07102001" xfId="404" xr:uid="{00000000-0005-0000-0000-000079000000}"/>
    <cellStyle name="_Currency_FMBI MBHI Graphs_7601" xfId="405" xr:uid="{00000000-0005-0000-0000-00007A000000}"/>
    <cellStyle name="_Currency_FOXTELMODEL" xfId="1311" xr:uid="{00000000-0005-0000-0000-00007B000000}"/>
    <cellStyle name="_Currency_GNW" xfId="406" xr:uid="{00000000-0005-0000-0000-00007C000000}"/>
    <cellStyle name="_Currency_HWLaug2000" xfId="16" xr:uid="{00000000-0005-0000-0000-00007D000000}"/>
    <cellStyle name="_Currency_HWLaug2000 2" xfId="1312" xr:uid="{00000000-0005-0000-0000-00007E000000}"/>
    <cellStyle name="_Currency_Insurance Brokerage CSC_1Q2002" xfId="407" xr:uid="{00000000-0005-0000-0000-00007F000000}"/>
    <cellStyle name="_Currency_Jazztel model 15-exhibits" xfId="1313" xr:uid="{00000000-0005-0000-0000-000080000000}"/>
    <cellStyle name="_Currency_Jazztel model 15-exhibits bis" xfId="1314" xr:uid="{00000000-0005-0000-0000-000081000000}"/>
    <cellStyle name="_Currency_Jazztel model 15-exhibits bis_Book2" xfId="1315" xr:uid="{00000000-0005-0000-0000-000082000000}"/>
    <cellStyle name="_Currency_Jazztel model 15-exhibits bis_T_MOBIL2" xfId="1316" xr:uid="{00000000-0005-0000-0000-000083000000}"/>
    <cellStyle name="_Currency_Jazztel model 15-exhibits bis_TDC-2Aug2001_UPD" xfId="1317" xr:uid="{00000000-0005-0000-0000-000084000000}"/>
    <cellStyle name="_Currency_Jazztel model 15-exhibits_Jazztel model 16DP3-Exhibits" xfId="1318" xr:uid="{00000000-0005-0000-0000-000085000000}"/>
    <cellStyle name="_Currency_Jazztel model 15-exhibits_Jazztel model 16DP3-Exhibits_Book2" xfId="1319" xr:uid="{00000000-0005-0000-0000-000086000000}"/>
    <cellStyle name="_Currency_Jazztel model 15-exhibits_Jazztel model 16DP3-Exhibits_T_MOBIL2" xfId="1320" xr:uid="{00000000-0005-0000-0000-000087000000}"/>
    <cellStyle name="_Currency_Jazztel model 15-exhibits_Jazztel model 16DP3-Exhibits_TDC-2Aug2001_UPD" xfId="1321" xr:uid="{00000000-0005-0000-0000-000088000000}"/>
    <cellStyle name="_Currency_Jazztel model 15-exhibits_Jazztel model 18DP-exhibits" xfId="1322" xr:uid="{00000000-0005-0000-0000-000089000000}"/>
    <cellStyle name="_Currency_Jazztel model 15-exhibits_TDC-2Aug2001" xfId="1323" xr:uid="{00000000-0005-0000-0000-00008A000000}"/>
    <cellStyle name="_Currency_Jazztel model 15-exhibits_TelenorAug01" xfId="1324" xr:uid="{00000000-0005-0000-0000-00008B000000}"/>
    <cellStyle name="_Currency_Jazztel model 15-exhibits-Friso2" xfId="1325" xr:uid="{00000000-0005-0000-0000-00008C000000}"/>
    <cellStyle name="_Currency_Jazztel model 15-exhibits-Friso2_Jazztel model 16DP3-Exhibits" xfId="1326" xr:uid="{00000000-0005-0000-0000-00008D000000}"/>
    <cellStyle name="_Currency_Jazztel model 15-exhibits-Friso2_Jazztel model 16DP3-Exhibits_Book2" xfId="1327" xr:uid="{00000000-0005-0000-0000-00008E000000}"/>
    <cellStyle name="_Currency_Jazztel model 15-exhibits-Friso2_Jazztel model 16DP3-Exhibits_T_MOBIL2" xfId="1328" xr:uid="{00000000-0005-0000-0000-00008F000000}"/>
    <cellStyle name="_Currency_Jazztel model 15-exhibits-Friso2_Jazztel model 16DP3-Exhibits_TDC-2Aug2001_UPD" xfId="1329" xr:uid="{00000000-0005-0000-0000-000090000000}"/>
    <cellStyle name="_Currency_Jazztel model 15-exhibits-Friso2_Jazztel model 18DP-exhibits" xfId="1330" xr:uid="{00000000-0005-0000-0000-000091000000}"/>
    <cellStyle name="_Currency_Jazztel model 15-exhibits-Friso2_TDC-2Aug2001" xfId="1331" xr:uid="{00000000-0005-0000-0000-000092000000}"/>
    <cellStyle name="_Currency_Jazztel model 15-exhibits-Friso2_TelenorAug01" xfId="1332" xr:uid="{00000000-0005-0000-0000-000093000000}"/>
    <cellStyle name="_Currency_JP" xfId="408" xr:uid="{00000000-0005-0000-0000-000094000000}"/>
    <cellStyle name="_Currency_LNC" xfId="409" xr:uid="{00000000-0005-0000-0000-000095000000}"/>
    <cellStyle name="_Currency_MET" xfId="410" xr:uid="{00000000-0005-0000-0000-000096000000}"/>
    <cellStyle name="_Currency_MET04" xfId="411" xr:uid="{00000000-0005-0000-0000-000097000000}"/>
    <cellStyle name="_Currency_NFS" xfId="412" xr:uid="{00000000-0005-0000-0000-000098000000}"/>
    <cellStyle name="_Currency_Overview3" xfId="413" xr:uid="{00000000-0005-0000-0000-000099000000}"/>
    <cellStyle name="_Currency_phil data" xfId="414" xr:uid="{00000000-0005-0000-0000-00009A000000}"/>
    <cellStyle name="_Currency_Price Performance Charts" xfId="415" xr:uid="{00000000-0005-0000-0000-00009B000000}"/>
    <cellStyle name="_Currency_PRU" xfId="416" xr:uid="{00000000-0005-0000-0000-00009C000000}"/>
    <cellStyle name="_Currency_PRU04" xfId="417" xr:uid="{00000000-0005-0000-0000-00009D000000}"/>
    <cellStyle name="_Currency_RiskReward" xfId="418" xr:uid="{00000000-0005-0000-0000-00009E000000}"/>
    <cellStyle name="_Currency_SFG" xfId="419" xr:uid="{00000000-0005-0000-0000-00009F000000}"/>
    <cellStyle name="_Currency_Sheet1" xfId="420" xr:uid="{00000000-0005-0000-0000-0000A0000000}"/>
    <cellStyle name="_Currency_Stock-QTR1 FDS" xfId="421" xr:uid="{00000000-0005-0000-0000-0000A1000000}"/>
    <cellStyle name="_Currency_TMK" xfId="422" xr:uid="{00000000-0005-0000-0000-0000A2000000}"/>
    <cellStyle name="_Currency_Updated Valuation Changes" xfId="423" xr:uid="{00000000-0005-0000-0000-0000A3000000}"/>
    <cellStyle name="_Currency_Valuation Graphs" xfId="424" xr:uid="{00000000-0005-0000-0000-0000A4000000}"/>
    <cellStyle name="_Currency_xratio - historical mkt val" xfId="425" xr:uid="{00000000-0005-0000-0000-0000A5000000}"/>
    <cellStyle name="_CurrencySpace" xfId="17" xr:uid="{00000000-0005-0000-0000-0000A6000000}"/>
    <cellStyle name="_CurrencySpace_01 adj for merger plan" xfId="426" xr:uid="{00000000-0005-0000-0000-0000A7000000}"/>
    <cellStyle name="_CurrencySpace_Ability to Pay Analysis" xfId="427" xr:uid="{00000000-0005-0000-0000-0000A8000000}"/>
    <cellStyle name="_CurrencySpace_AFL" xfId="428" xr:uid="{00000000-0005-0000-0000-0000A9000000}"/>
    <cellStyle name="_CurrencySpace_AIZ" xfId="429" xr:uid="{00000000-0005-0000-0000-0000AA000000}"/>
    <cellStyle name="_CurrencySpace_AMP" xfId="430" xr:uid="{00000000-0005-0000-0000-0000AB000000}"/>
    <cellStyle name="_CurrencySpace_Balance Sheet" xfId="431" xr:uid="{00000000-0005-0000-0000-0000AC000000}"/>
    <cellStyle name="_CurrencySpace_Book1" xfId="432" xr:uid="{00000000-0005-0000-0000-0000AD000000}"/>
    <cellStyle name="_CurrencySpace_Book29" xfId="433" xr:uid="{00000000-0005-0000-0000-0000AE000000}"/>
    <cellStyle name="_CurrencySpace_Book3" xfId="434" xr:uid="{00000000-0005-0000-0000-0000AF000000}"/>
    <cellStyle name="_CurrencySpace_Book3_1" xfId="435" xr:uid="{00000000-0005-0000-0000-0000B0000000}"/>
    <cellStyle name="_CurrencySpace_CNO" xfId="436" xr:uid="{00000000-0005-0000-0000-0000B1000000}"/>
    <cellStyle name="_CurrencySpace_DCF Alexander Forbes" xfId="437" xr:uid="{00000000-0005-0000-0000-0000B2000000}"/>
    <cellStyle name="_CurrencySpace_fmbi counties" xfId="438" xr:uid="{00000000-0005-0000-0000-0000B3000000}"/>
    <cellStyle name="_CurrencySpace_FMBI MBHI Graphs" xfId="439" xr:uid="{00000000-0005-0000-0000-0000B4000000}"/>
    <cellStyle name="_CurrencySpace_FMBI MBHI Graphs 07102001" xfId="440" xr:uid="{00000000-0005-0000-0000-0000B5000000}"/>
    <cellStyle name="_CurrencySpace_FMBI MBHI Graphs_7601" xfId="441" xr:uid="{00000000-0005-0000-0000-0000B6000000}"/>
    <cellStyle name="_CurrencySpace_GNW" xfId="442" xr:uid="{00000000-0005-0000-0000-0000B7000000}"/>
    <cellStyle name="_CurrencySpace_Insurance Brokerage CSC_1Q2002" xfId="443" xr:uid="{00000000-0005-0000-0000-0000B8000000}"/>
    <cellStyle name="_CurrencySpace_JP" xfId="444" xr:uid="{00000000-0005-0000-0000-0000B9000000}"/>
    <cellStyle name="_CurrencySpace_LNC" xfId="445" xr:uid="{00000000-0005-0000-0000-0000BA000000}"/>
    <cellStyle name="_CurrencySpace_MET" xfId="446" xr:uid="{00000000-0005-0000-0000-0000BB000000}"/>
    <cellStyle name="_CurrencySpace_MET04" xfId="447" xr:uid="{00000000-0005-0000-0000-0000BC000000}"/>
    <cellStyle name="_CurrencySpace_NFS" xfId="448" xr:uid="{00000000-0005-0000-0000-0000BD000000}"/>
    <cellStyle name="_CurrencySpace_Overview3" xfId="449" xr:uid="{00000000-0005-0000-0000-0000BE000000}"/>
    <cellStyle name="_CurrencySpace_phil data" xfId="450" xr:uid="{00000000-0005-0000-0000-0000BF000000}"/>
    <cellStyle name="_CurrencySpace_Price Performance Charts" xfId="451" xr:uid="{00000000-0005-0000-0000-0000C0000000}"/>
    <cellStyle name="_CurrencySpace_PRU" xfId="452" xr:uid="{00000000-0005-0000-0000-0000C1000000}"/>
    <cellStyle name="_CurrencySpace_PRU04" xfId="453" xr:uid="{00000000-0005-0000-0000-0000C2000000}"/>
    <cellStyle name="_CurrencySpace_RiskReward" xfId="454" xr:uid="{00000000-0005-0000-0000-0000C3000000}"/>
    <cellStyle name="_CurrencySpace_SFG" xfId="455" xr:uid="{00000000-0005-0000-0000-0000C4000000}"/>
    <cellStyle name="_CurrencySpace_Sheet1" xfId="456" xr:uid="{00000000-0005-0000-0000-0000C5000000}"/>
    <cellStyle name="_CurrencySpace_Stock-QTR1 FDS" xfId="457" xr:uid="{00000000-0005-0000-0000-0000C6000000}"/>
    <cellStyle name="_CurrencySpace_TMK" xfId="458" xr:uid="{00000000-0005-0000-0000-0000C7000000}"/>
    <cellStyle name="_CurrencySpace_Updated Valuation Changes" xfId="459" xr:uid="{00000000-0005-0000-0000-0000C8000000}"/>
    <cellStyle name="_CurrencySpace_Valuation Graphs" xfId="460" xr:uid="{00000000-0005-0000-0000-0000C9000000}"/>
    <cellStyle name="_CurrencySpace_xratio - historical mkt val" xfId="461" xr:uid="{00000000-0005-0000-0000-0000CA000000}"/>
    <cellStyle name="_Dollar" xfId="462" xr:uid="{00000000-0005-0000-0000-0000CB000000}"/>
    <cellStyle name="_Dollar_Jazztel model 16DP3-Exhibits" xfId="1333" xr:uid="{00000000-0005-0000-0000-0000CC000000}"/>
    <cellStyle name="_Dollar_Jazztel model 18DP-exhibits" xfId="1334" xr:uid="{00000000-0005-0000-0000-0000CD000000}"/>
    <cellStyle name="_Dollar_Jazztel model 18DP-exhibits_Book2" xfId="1335" xr:uid="{00000000-0005-0000-0000-0000CE000000}"/>
    <cellStyle name="_Dollar_Jazztel model 18DP-exhibits_Book2 2" xfId="1336" xr:uid="{00000000-0005-0000-0000-0000CF000000}"/>
    <cellStyle name="_Dollar_Jazztel model 18DP-exhibits_T_MOBIL2" xfId="1337" xr:uid="{00000000-0005-0000-0000-0000D0000000}"/>
    <cellStyle name="_Dollar_Jazztel model 18DP-exhibits_TDC-2Aug2001_UPD" xfId="1338" xr:uid="{00000000-0005-0000-0000-0000D1000000}"/>
    <cellStyle name="_Dollar_TDC-2Aug2001" xfId="1339" xr:uid="{00000000-0005-0000-0000-0000D2000000}"/>
    <cellStyle name="_Dollar_TelenorAug01" xfId="1340" xr:uid="{00000000-0005-0000-0000-0000D3000000}"/>
    <cellStyle name="—_EM_CMHKconsolidatednew_WIP.xls Chart 1" xfId="1341" xr:uid="{00000000-0005-0000-0000-0000D4000000}"/>
    <cellStyle name="—_EM_CMHKconsolidatednew_WIP.xls Chart 1 2" xfId="1342" xr:uid="{00000000-0005-0000-0000-0000D5000000}"/>
    <cellStyle name="—_EM_NZT" xfId="18" xr:uid="{00000000-0005-0000-0000-0000D6000000}"/>
    <cellStyle name="—_EM-HTI" xfId="19" xr:uid="{00000000-0005-0000-0000-0000D7000000}"/>
    <cellStyle name="—_EM-HTI 2" xfId="1343" xr:uid="{00000000-0005-0000-0000-0000D8000000}"/>
    <cellStyle name="—_EM-HTI_Book4" xfId="20" xr:uid="{00000000-0005-0000-0000-0000D9000000}"/>
    <cellStyle name="—_EM-HTI_Book7" xfId="21" xr:uid="{00000000-0005-0000-0000-0000DA000000}"/>
    <cellStyle name="—_EM-HTI_CMJMODEL" xfId="1344" xr:uid="{00000000-0005-0000-0000-0000DB000000}"/>
    <cellStyle name="—_EM-HTI_EM_NZT" xfId="22" xr:uid="{00000000-0005-0000-0000-0000DC000000}"/>
    <cellStyle name="—_EM-HTI_EM_NZT_Book7" xfId="23" xr:uid="{00000000-0005-0000-0000-0000DD000000}"/>
    <cellStyle name="—_EM-HTI_EM_NZT_Book7 2" xfId="1345" xr:uid="{00000000-0005-0000-0000-0000DE000000}"/>
    <cellStyle name="—_EM-HTI_FOXTELMODEL" xfId="1346" xr:uid="{00000000-0005-0000-0000-0000DF000000}"/>
    <cellStyle name="—_EM-HTI_SingTel consolidated" xfId="1347" xr:uid="{00000000-0005-0000-0000-0000E0000000}"/>
    <cellStyle name="—_EM-KT" xfId="24" xr:uid="{00000000-0005-0000-0000-0000E1000000}"/>
    <cellStyle name="—_EM-KT 2" xfId="1348" xr:uid="{00000000-0005-0000-0000-0000E2000000}"/>
    <cellStyle name="—_EM-KT.xls Chart 1" xfId="1349" xr:uid="{00000000-0005-0000-0000-0000E3000000}"/>
    <cellStyle name="—_EM-KT.xls Chart 1 2" xfId="1350" xr:uid="{00000000-0005-0000-0000-0000E4000000}"/>
    <cellStyle name="—_EM-KT.xls Chart 2" xfId="1351" xr:uid="{00000000-0005-0000-0000-0000E5000000}"/>
    <cellStyle name="—_EM-KT.xls Chart 2 2" xfId="1352" xr:uid="{00000000-0005-0000-0000-0000E6000000}"/>
    <cellStyle name="—_EM-KT.xls Chart 3" xfId="1353" xr:uid="{00000000-0005-0000-0000-0000E7000000}"/>
    <cellStyle name="—_EM-KT.xls Chart 3 2" xfId="1354" xr:uid="{00000000-0005-0000-0000-0000E8000000}"/>
    <cellStyle name="—_EM-Optus" xfId="25" xr:uid="{00000000-0005-0000-0000-0000E9000000}"/>
    <cellStyle name="—_EM-PLDT" xfId="1355" xr:uid="{00000000-0005-0000-0000-0000EA000000}"/>
    <cellStyle name="—_EM-PLDT 2" xfId="1356" xr:uid="{00000000-0005-0000-0000-0000EB000000}"/>
    <cellStyle name="—_EM-PLDT consolidatednew.xls Chart 1" xfId="1357" xr:uid="{00000000-0005-0000-0000-0000EC000000}"/>
    <cellStyle name="—_EM-PLDT consolidatednew.xls Chart 1 2" xfId="1358" xr:uid="{00000000-0005-0000-0000-0000ED000000}"/>
    <cellStyle name="—_EM-SKTelecom" xfId="26" xr:uid="{00000000-0005-0000-0000-0000EE000000}"/>
    <cellStyle name="—_EM-SKTelecom_old" xfId="27" xr:uid="{00000000-0005-0000-0000-0000EF000000}"/>
    <cellStyle name="—_EM-SKTelecom_old 2" xfId="1359" xr:uid="{00000000-0005-0000-0000-0000F0000000}"/>
    <cellStyle name="—_EM-SKTelecom_old_Book8" xfId="28" xr:uid="{00000000-0005-0000-0000-0000F1000000}"/>
    <cellStyle name="—_EM-SKTelecom_old_Book8 2" xfId="1360" xr:uid="{00000000-0005-0000-0000-0000F2000000}"/>
    <cellStyle name="—_EM-SKTelecom_old_CMHss" xfId="29" xr:uid="{00000000-0005-0000-0000-0000F3000000}"/>
    <cellStyle name="—_EM-SKTelecom_old_CMJMODEL" xfId="1361" xr:uid="{00000000-0005-0000-0000-0000F4000000}"/>
    <cellStyle name="—_EM-SKTelecom_old_EM-HTI" xfId="30" xr:uid="{00000000-0005-0000-0000-0000F5000000}"/>
    <cellStyle name="—_EM-SKTelecom_old_EM-HTI 2" xfId="1362" xr:uid="{00000000-0005-0000-0000-0000F6000000}"/>
    <cellStyle name="—_EM-SKTelecom_old_EM-HTI_Book4" xfId="31" xr:uid="{00000000-0005-0000-0000-0000F7000000}"/>
    <cellStyle name="—_EM-SKTelecom_old_EM-HTI_Book7" xfId="32" xr:uid="{00000000-0005-0000-0000-0000F8000000}"/>
    <cellStyle name="—_EM-SKTelecom_old_EM-HTI_CMJMODEL" xfId="1363" xr:uid="{00000000-0005-0000-0000-0000F9000000}"/>
    <cellStyle name="—_EM-SKTelecom_old_EM-HTI_EM_NZT" xfId="33" xr:uid="{00000000-0005-0000-0000-0000FA000000}"/>
    <cellStyle name="—_EM-SKTelecom_old_EM-HTI_EM_NZT_Book7" xfId="34" xr:uid="{00000000-0005-0000-0000-0000FB000000}"/>
    <cellStyle name="—_EM-SKTelecom_old_EM-HTI_EM_NZT_Book7 2" xfId="1364" xr:uid="{00000000-0005-0000-0000-0000FC000000}"/>
    <cellStyle name="—_EM-SKTelecom_old_EM-HTI_FOXTELMODEL" xfId="1365" xr:uid="{00000000-0005-0000-0000-0000FD000000}"/>
    <cellStyle name="—_EM-SKTelecom_old_EM-HTI_SingTel consolidated" xfId="1366" xr:uid="{00000000-0005-0000-0000-0000FE000000}"/>
    <cellStyle name="—_EM-SKTelecom_old_EM-KT.xls Chart 1" xfId="1367" xr:uid="{00000000-0005-0000-0000-0000FF000000}"/>
    <cellStyle name="—_EM-SKTelecom_old_EM-KT.xls Chart 1 2" xfId="1368" xr:uid="{00000000-0005-0000-0000-000000010000}"/>
    <cellStyle name="—_EM-SKTelecom_old_EM-KT.xls Chart 2" xfId="1369" xr:uid="{00000000-0005-0000-0000-000001010000}"/>
    <cellStyle name="—_EM-SKTelecom_old_EM-KT.xls Chart 2 2" xfId="1370" xr:uid="{00000000-0005-0000-0000-000002010000}"/>
    <cellStyle name="—_EM-SKTelecom_old_EM-KT.xls Chart 3" xfId="1371" xr:uid="{00000000-0005-0000-0000-000003010000}"/>
    <cellStyle name="—_EM-SKTelecom_old_EM-KT.xls Chart 3 2" xfId="1372" xr:uid="{00000000-0005-0000-0000-000004010000}"/>
    <cellStyle name="—_EM-SKTelecom_old_EM-SKTelecom" xfId="35" xr:uid="{00000000-0005-0000-0000-000005010000}"/>
    <cellStyle name="—_EM-SKTelecom_old_FOXTELMODEL" xfId="1373" xr:uid="{00000000-0005-0000-0000-000006010000}"/>
    <cellStyle name="—_EM-SKTelecom_old_hutchss" xfId="36" xr:uid="{00000000-0005-0000-0000-000007010000}"/>
    <cellStyle name="—_EM-SKTelecom_old_hutchss 2" xfId="1374" xr:uid="{00000000-0005-0000-0000-000008010000}"/>
    <cellStyle name="—_EM-SKTelecom_old_Joanne_KT_Qtrly_PnL_Jan20_20031" xfId="1375" xr:uid="{00000000-0005-0000-0000-000009010000}"/>
    <cellStyle name="—_EM-SKTelecom_old_li&amp;fungSS" xfId="37" xr:uid="{00000000-0005-0000-0000-00000A010000}"/>
    <cellStyle name="—_EM-SKTelecom_old_li&amp;fungSS 2" xfId="1376" xr:uid="{00000000-0005-0000-0000-00000B010000}"/>
    <cellStyle name="_Euro" xfId="463" xr:uid="{00000000-0005-0000-0000-00000C010000}"/>
    <cellStyle name="—_European Mktg - May99" xfId="38" xr:uid="{00000000-0005-0000-0000-00000D010000}"/>
    <cellStyle name="_Financials1" xfId="39" xr:uid="{00000000-0005-0000-0000-00000E010000}"/>
    <cellStyle name="_FNC - Model" xfId="40" xr:uid="{00000000-0005-0000-0000-00000F010000}"/>
    <cellStyle name="_FOXTELMODEL" xfId="1377" xr:uid="{00000000-0005-0000-0000-000010010000}"/>
    <cellStyle name="—_FOXTELMODEL" xfId="1378" xr:uid="{00000000-0005-0000-0000-000011010000}"/>
    <cellStyle name="—_GS Assumptions-F" xfId="41" xr:uid="{00000000-0005-0000-0000-000012010000}"/>
    <cellStyle name="—_GS Assumptions-F 2" xfId="1379" xr:uid="{00000000-0005-0000-0000-000013010000}"/>
    <cellStyle name="—_GS Assumptions-F_Book7" xfId="42" xr:uid="{00000000-0005-0000-0000-000014010000}"/>
    <cellStyle name="—_GS Assumptions-F_Book8" xfId="43" xr:uid="{00000000-0005-0000-0000-000015010000}"/>
    <cellStyle name="—_GS Assumptions-F_CMJMODEL" xfId="1380" xr:uid="{00000000-0005-0000-0000-000016010000}"/>
    <cellStyle name="—_GS Assumptions-F_EM_NZT" xfId="44" xr:uid="{00000000-0005-0000-0000-000017010000}"/>
    <cellStyle name="—_GS Assumptions-F_EM-Optus" xfId="45" xr:uid="{00000000-0005-0000-0000-000018010000}"/>
    <cellStyle name="—_GS Assumptions-F_FOXTELMODEL" xfId="1381" xr:uid="{00000000-0005-0000-0000-000019010000}"/>
    <cellStyle name="—_GS Assumptions-F_hutchss" xfId="46" xr:uid="{00000000-0005-0000-0000-00001A010000}"/>
    <cellStyle name="—_GS Assumptions-F_li&amp;fungSS" xfId="47" xr:uid="{00000000-0005-0000-0000-00001B010000}"/>
    <cellStyle name="—_GS Assumptions-F_MASTER" xfId="48" xr:uid="{00000000-0005-0000-0000-00001C010000}"/>
    <cellStyle name="—_GS Assumptions-F_WHARFSS" xfId="49" xr:uid="{00000000-0005-0000-0000-00001D010000}"/>
    <cellStyle name="—_GS_Balance" xfId="50" xr:uid="{00000000-0005-0000-0000-00001E010000}"/>
    <cellStyle name="—_GS_Balance 2" xfId="1382" xr:uid="{00000000-0005-0000-0000-00001F010000}"/>
    <cellStyle name="—_GS_Balance_Book7" xfId="51" xr:uid="{00000000-0005-0000-0000-000020010000}"/>
    <cellStyle name="—_GS_Balance_Book8" xfId="52" xr:uid="{00000000-0005-0000-0000-000021010000}"/>
    <cellStyle name="—_GS_Balance_CMJMODEL" xfId="1383" xr:uid="{00000000-0005-0000-0000-000022010000}"/>
    <cellStyle name="—_GS_Balance_EM_NZT" xfId="53" xr:uid="{00000000-0005-0000-0000-000023010000}"/>
    <cellStyle name="—_GS_Balance_EM-Optus" xfId="54" xr:uid="{00000000-0005-0000-0000-000024010000}"/>
    <cellStyle name="—_GS_Balance_FOXTELMODEL" xfId="1384" xr:uid="{00000000-0005-0000-0000-000025010000}"/>
    <cellStyle name="—_GS_Balance_hutchss" xfId="55" xr:uid="{00000000-0005-0000-0000-000026010000}"/>
    <cellStyle name="—_GS_Balance_li&amp;fungSS" xfId="56" xr:uid="{00000000-0005-0000-0000-000027010000}"/>
    <cellStyle name="—_GS_Balance_MASTER" xfId="57" xr:uid="{00000000-0005-0000-0000-000028010000}"/>
    <cellStyle name="—_GS_Balance_WHARFSS" xfId="58" xr:uid="{00000000-0005-0000-0000-000029010000}"/>
    <cellStyle name="—_GS_Cash " xfId="59" xr:uid="{00000000-0005-0000-0000-00002A010000}"/>
    <cellStyle name="—_GS_Cash  (2)" xfId="60" xr:uid="{00000000-0005-0000-0000-00002B010000}"/>
    <cellStyle name="—_GS_Cash  (2) 2" xfId="1385" xr:uid="{00000000-0005-0000-0000-00002C010000}"/>
    <cellStyle name="—_GS_Cash  (2)_Book7" xfId="61" xr:uid="{00000000-0005-0000-0000-00002D010000}"/>
    <cellStyle name="—_GS_Cash  (2)_Book8" xfId="62" xr:uid="{00000000-0005-0000-0000-00002E010000}"/>
    <cellStyle name="—_GS_Cash  (2)_CMJMODEL" xfId="1386" xr:uid="{00000000-0005-0000-0000-00002F010000}"/>
    <cellStyle name="—_GS_Cash  (2)_EM_NZT" xfId="63" xr:uid="{00000000-0005-0000-0000-000030010000}"/>
    <cellStyle name="—_GS_Cash  (2)_EM-Optus" xfId="64" xr:uid="{00000000-0005-0000-0000-000031010000}"/>
    <cellStyle name="—_GS_Cash  (2)_FOXTELMODEL" xfId="1387" xr:uid="{00000000-0005-0000-0000-000032010000}"/>
    <cellStyle name="—_GS_Cash  (2)_hutchss" xfId="65" xr:uid="{00000000-0005-0000-0000-000033010000}"/>
    <cellStyle name="—_GS_Cash  (2)_li&amp;fungSS" xfId="66" xr:uid="{00000000-0005-0000-0000-000034010000}"/>
    <cellStyle name="—_GS_Cash  (2)_MASTER" xfId="67" xr:uid="{00000000-0005-0000-0000-000035010000}"/>
    <cellStyle name="—_GS_Cash  (2)_WHARFSS" xfId="68" xr:uid="{00000000-0005-0000-0000-000036010000}"/>
    <cellStyle name="—_GS_Cash  2" xfId="1388" xr:uid="{00000000-0005-0000-0000-000037010000}"/>
    <cellStyle name="—_GS_Cash _Book7" xfId="69" xr:uid="{00000000-0005-0000-0000-000038010000}"/>
    <cellStyle name="—_GS_Cash _Book8" xfId="70" xr:uid="{00000000-0005-0000-0000-000039010000}"/>
    <cellStyle name="—_GS_Cash _CMJMODEL" xfId="1389" xr:uid="{00000000-0005-0000-0000-00003A010000}"/>
    <cellStyle name="—_GS_Cash _EM_NZT" xfId="71" xr:uid="{00000000-0005-0000-0000-00003B010000}"/>
    <cellStyle name="—_GS_Cash _EM-Optus" xfId="72" xr:uid="{00000000-0005-0000-0000-00003C010000}"/>
    <cellStyle name="—_GS_Cash _FOXTELMODEL" xfId="1390" xr:uid="{00000000-0005-0000-0000-00003D010000}"/>
    <cellStyle name="—_GS_Cash _hutchss" xfId="73" xr:uid="{00000000-0005-0000-0000-00003E010000}"/>
    <cellStyle name="—_GS_Cash _li&amp;fungSS" xfId="74" xr:uid="{00000000-0005-0000-0000-00003F010000}"/>
    <cellStyle name="—_GS_Cash _MASTER" xfId="75" xr:uid="{00000000-0005-0000-0000-000040010000}"/>
    <cellStyle name="—_GS_Cash _Q Sheets" xfId="1391" xr:uid="{00000000-0005-0000-0000-000041010000}"/>
    <cellStyle name="—_GS_Cash _WHARFSS" xfId="76" xr:uid="{00000000-0005-0000-0000-000042010000}"/>
    <cellStyle name="—_GS_DCF" xfId="77" xr:uid="{00000000-0005-0000-0000-000043010000}"/>
    <cellStyle name="—_GS_DCF 2" xfId="1392" xr:uid="{00000000-0005-0000-0000-000044010000}"/>
    <cellStyle name="—_GS_DCF_Book7" xfId="78" xr:uid="{00000000-0005-0000-0000-000045010000}"/>
    <cellStyle name="—_GS_DCF_Book8" xfId="79" xr:uid="{00000000-0005-0000-0000-000046010000}"/>
    <cellStyle name="—_GS_DCF_CMJMODEL" xfId="1393" xr:uid="{00000000-0005-0000-0000-000047010000}"/>
    <cellStyle name="—_GS_DCF_EM_NZT" xfId="80" xr:uid="{00000000-0005-0000-0000-000048010000}"/>
    <cellStyle name="—_GS_DCF_EM-Optus" xfId="81" xr:uid="{00000000-0005-0000-0000-000049010000}"/>
    <cellStyle name="—_GS_DCF_FOXTELMODEL" xfId="1394" xr:uid="{00000000-0005-0000-0000-00004A010000}"/>
    <cellStyle name="—_GS_DCF_hutchss" xfId="82" xr:uid="{00000000-0005-0000-0000-00004B010000}"/>
    <cellStyle name="—_GS_DCF_li&amp;fungSS" xfId="83" xr:uid="{00000000-0005-0000-0000-00004C010000}"/>
    <cellStyle name="—_GS_DCF_MASTER" xfId="84" xr:uid="{00000000-0005-0000-0000-00004D010000}"/>
    <cellStyle name="—_GS_DCF_WHARFSS" xfId="85" xr:uid="{00000000-0005-0000-0000-00004E010000}"/>
    <cellStyle name="_GS_EBITDA_revenue_220103" xfId="1395" xr:uid="{00000000-0005-0000-0000-00004F010000}"/>
    <cellStyle name="—_GS_PNL" xfId="86" xr:uid="{00000000-0005-0000-0000-000050010000}"/>
    <cellStyle name="—_GS_PNL 2" xfId="1396" xr:uid="{00000000-0005-0000-0000-000051010000}"/>
    <cellStyle name="—_GS_PNL_Book7" xfId="87" xr:uid="{00000000-0005-0000-0000-000052010000}"/>
    <cellStyle name="—_GS_PNL_Book8" xfId="88" xr:uid="{00000000-0005-0000-0000-000053010000}"/>
    <cellStyle name="—_GS_PNL_CMJMODEL" xfId="1397" xr:uid="{00000000-0005-0000-0000-000054010000}"/>
    <cellStyle name="—_GS_PNL_EM_NZT" xfId="89" xr:uid="{00000000-0005-0000-0000-000055010000}"/>
    <cellStyle name="—_GS_PNL_EM-Optus" xfId="90" xr:uid="{00000000-0005-0000-0000-000056010000}"/>
    <cellStyle name="—_GS_PNL_FOXTELMODEL" xfId="1398" xr:uid="{00000000-0005-0000-0000-000057010000}"/>
    <cellStyle name="—_GS_PNL_hutchss" xfId="91" xr:uid="{00000000-0005-0000-0000-000058010000}"/>
    <cellStyle name="—_GS_PNL_li&amp;fungSS" xfId="92" xr:uid="{00000000-0005-0000-0000-000059010000}"/>
    <cellStyle name="—_GS_PNL_MASTER" xfId="93" xr:uid="{00000000-0005-0000-0000-00005A010000}"/>
    <cellStyle name="—_GS_PNL_WHARFSS" xfId="94" xr:uid="{00000000-0005-0000-0000-00005B010000}"/>
    <cellStyle name="_GSJBW 250506hub1" xfId="1399" xr:uid="{00000000-0005-0000-0000-00005C010000}"/>
    <cellStyle name="_GSJBW 250506hub2" xfId="1400" xr:uid="{00000000-0005-0000-0000-00005D010000}"/>
    <cellStyle name="_GSJBW 250506hub3" xfId="1401" xr:uid="{00000000-0005-0000-0000-00005E010000}"/>
    <cellStyle name="_Heading" xfId="464" xr:uid="{00000000-0005-0000-0000-00005F010000}"/>
    <cellStyle name="_Heading_prestemp" xfId="465" xr:uid="{00000000-0005-0000-0000-000060010000}"/>
    <cellStyle name="_Heading_Q" xfId="659" xr:uid="{00000000-0005-0000-0000-000061010000}"/>
    <cellStyle name="_Heading_q - new guidance" xfId="660" xr:uid="{00000000-0005-0000-0000-000062010000}"/>
    <cellStyle name="_Highlight" xfId="466" xr:uid="{00000000-0005-0000-0000-000063010000}"/>
    <cellStyle name="—_HKT_val_delete" xfId="95" xr:uid="{00000000-0005-0000-0000-000064010000}"/>
    <cellStyle name="—_HKT_val_delete_European Mktg - May99" xfId="96" xr:uid="{00000000-0005-0000-0000-000065010000}"/>
    <cellStyle name="_HSP - Model" xfId="97" xr:uid="{00000000-0005-0000-0000-000066010000}"/>
    <cellStyle name="_Hutchison 240604" xfId="98" xr:uid="{00000000-0005-0000-0000-000067010000}"/>
    <cellStyle name="—_hutchss" xfId="99" xr:uid="{00000000-0005-0000-0000-000068010000}"/>
    <cellStyle name="—_I&amp;O Report Tables" xfId="100" xr:uid="{00000000-0005-0000-0000-000069010000}"/>
    <cellStyle name="—_I&amp;O Report Tables 2" xfId="1402" xr:uid="{00000000-0005-0000-0000-00006A010000}"/>
    <cellStyle name="—_I&amp;O Report Tables_candicetables" xfId="101" xr:uid="{00000000-0005-0000-0000-00006B010000}"/>
    <cellStyle name="—_I&amp;O Report Tables_candicetables_European Mktg - May99" xfId="102" xr:uid="{00000000-0005-0000-0000-00006C010000}"/>
    <cellStyle name="—_I&amp;O Report Tables_CMJMODEL" xfId="1403" xr:uid="{00000000-0005-0000-0000-00006D010000}"/>
    <cellStyle name="—_I&amp;O Report Tables_European Mktg - May99" xfId="103" xr:uid="{00000000-0005-0000-0000-00006E010000}"/>
    <cellStyle name="—_I&amp;O Report Tables_FOXTELMODEL" xfId="1404" xr:uid="{00000000-0005-0000-0000-00006F010000}"/>
    <cellStyle name="—_I&amp;O Report Tables_hutchss" xfId="104" xr:uid="{00000000-0005-0000-0000-000070010000}"/>
    <cellStyle name="—_I&amp;O Report Tables_MASTER" xfId="105" xr:uid="{00000000-0005-0000-0000-000071010000}"/>
    <cellStyle name="—_I&amp;O Report Tables_PLDT report Tables" xfId="106" xr:uid="{00000000-0005-0000-0000-000072010000}"/>
    <cellStyle name="—_I&amp;O Report Tables_WHARFSS" xfId="107" xr:uid="{00000000-0005-0000-0000-000073010000}"/>
    <cellStyle name="_JFCP-MAYdba" xfId="108" xr:uid="{00000000-0005-0000-0000-000074010000}"/>
    <cellStyle name="—_Joanne_KT_Qtrly_PnL_Jan20_20031" xfId="1405" xr:uid="{00000000-0005-0000-0000-000075010000}"/>
    <cellStyle name="—_li&amp;fungSS" xfId="109" xr:uid="{00000000-0005-0000-0000-000076010000}"/>
    <cellStyle name="—_MASTER" xfId="110" xr:uid="{00000000-0005-0000-0000-000077010000}"/>
    <cellStyle name="_MAY - Model" xfId="111" xr:uid="{00000000-0005-0000-0000-000078010000}"/>
    <cellStyle name="_MIA - Model.xls Chart 1" xfId="112" xr:uid="{00000000-0005-0000-0000-000079010000}"/>
    <cellStyle name="_Multiple" xfId="113" xr:uid="{00000000-0005-0000-0000-00007A010000}"/>
    <cellStyle name="_Multiple_01 adj for merger plan" xfId="467" xr:uid="{00000000-0005-0000-0000-00007B010000}"/>
    <cellStyle name="_Multiple_Ability to Pay Analysis" xfId="468" xr:uid="{00000000-0005-0000-0000-00007C010000}"/>
    <cellStyle name="_Multiple_AFL" xfId="469" xr:uid="{00000000-0005-0000-0000-00007D010000}"/>
    <cellStyle name="_Multiple_AIZ" xfId="470" xr:uid="{00000000-0005-0000-0000-00007E010000}"/>
    <cellStyle name="_Multiple_AMP" xfId="471" xr:uid="{00000000-0005-0000-0000-00007F010000}"/>
    <cellStyle name="_Multiple_Balance Sheet" xfId="472" xr:uid="{00000000-0005-0000-0000-000080010000}"/>
    <cellStyle name="_Multiple_Book1" xfId="473" xr:uid="{00000000-0005-0000-0000-000081010000}"/>
    <cellStyle name="_Multiple_Book1_Book2" xfId="1406" xr:uid="{00000000-0005-0000-0000-000082010000}"/>
    <cellStyle name="_Multiple_Book1_Jazztel model 16DP3-Exhibits" xfId="1407" xr:uid="{00000000-0005-0000-0000-000083010000}"/>
    <cellStyle name="_Multiple_Book1_Jazztel model 18DP-exhibits" xfId="1408" xr:uid="{00000000-0005-0000-0000-000084010000}"/>
    <cellStyle name="_Multiple_Book1_Jazztel model 18DP-exhibits_KPNMobileMay01" xfId="1409" xr:uid="{00000000-0005-0000-0000-000085010000}"/>
    <cellStyle name="_Multiple_Book1_Jazztel model 18DP-exhibits_T_MOBIL2" xfId="1410" xr:uid="{00000000-0005-0000-0000-000086010000}"/>
    <cellStyle name="_Multiple_Book1_Jazztel model 18DP-exhibits_T_MOBIL2_Book2" xfId="1411" xr:uid="{00000000-0005-0000-0000-000087010000}"/>
    <cellStyle name="_Multiple_Book1_Jazztel model 18DP-exhibits_T_MOBIL2_TDC-2Aug2001_UPD" xfId="1412" xr:uid="{00000000-0005-0000-0000-000088010000}"/>
    <cellStyle name="_Multiple_Book1_Jazztel model 18DP-exhibits_T_MOBIL2_TDC-2Aug2001_UPD 2" xfId="1413" xr:uid="{00000000-0005-0000-0000-000089010000}"/>
    <cellStyle name="_Multiple_Book1_Jazztel1" xfId="1414" xr:uid="{00000000-0005-0000-0000-00008A010000}"/>
    <cellStyle name="_Multiple_Book1_T_MOBIL2" xfId="1415" xr:uid="{00000000-0005-0000-0000-00008B010000}"/>
    <cellStyle name="_Multiple_Book1_T_MOBIL2 2" xfId="1416" xr:uid="{00000000-0005-0000-0000-00008C010000}"/>
    <cellStyle name="_Multiple_Book1_TDC-2Aug2001_UPD" xfId="1417" xr:uid="{00000000-0005-0000-0000-00008D010000}"/>
    <cellStyle name="_Multiple_Book11" xfId="1418" xr:uid="{00000000-0005-0000-0000-00008E010000}"/>
    <cellStyle name="_Multiple_Book11_Book2" xfId="1419" xr:uid="{00000000-0005-0000-0000-00008F010000}"/>
    <cellStyle name="_Multiple_Book11_Jazztel model 16DP3-Exhibits" xfId="1420" xr:uid="{00000000-0005-0000-0000-000090010000}"/>
    <cellStyle name="_Multiple_Book11_Jazztel model 18DP-exhibits" xfId="1421" xr:uid="{00000000-0005-0000-0000-000091010000}"/>
    <cellStyle name="_Multiple_Book11_Jazztel model 18DP-exhibits_KPNMobileMay01" xfId="1422" xr:uid="{00000000-0005-0000-0000-000092010000}"/>
    <cellStyle name="_Multiple_Book11_Jazztel model 18DP-exhibits_T_MOBIL2" xfId="1423" xr:uid="{00000000-0005-0000-0000-000093010000}"/>
    <cellStyle name="_Multiple_Book11_Jazztel model 18DP-exhibits_T_MOBIL2_Book2" xfId="1424" xr:uid="{00000000-0005-0000-0000-000094010000}"/>
    <cellStyle name="_Multiple_Book11_Jazztel model 18DP-exhibits_T_MOBIL2_TDC-2Aug2001_UPD" xfId="1425" xr:uid="{00000000-0005-0000-0000-000095010000}"/>
    <cellStyle name="_Multiple_Book11_Jazztel model 18DP-exhibits_T_MOBIL2_TDC-2Aug2001_UPD 2" xfId="1426" xr:uid="{00000000-0005-0000-0000-000096010000}"/>
    <cellStyle name="_Multiple_Book11_Jazztel1" xfId="1427" xr:uid="{00000000-0005-0000-0000-000097010000}"/>
    <cellStyle name="_Multiple_Book11_T_MOBIL2" xfId="1428" xr:uid="{00000000-0005-0000-0000-000098010000}"/>
    <cellStyle name="_Multiple_Book11_T_MOBIL2 2" xfId="1429" xr:uid="{00000000-0005-0000-0000-000099010000}"/>
    <cellStyle name="_Multiple_Book11_TDC-2Aug2001_UPD" xfId="1430" xr:uid="{00000000-0005-0000-0000-00009A010000}"/>
    <cellStyle name="_Multiple_Book12" xfId="1431" xr:uid="{00000000-0005-0000-0000-00009B010000}"/>
    <cellStyle name="_Multiple_Book12_Book2" xfId="1432" xr:uid="{00000000-0005-0000-0000-00009C010000}"/>
    <cellStyle name="_Multiple_Book12_Jazztel model 16DP3-Exhibits" xfId="1433" xr:uid="{00000000-0005-0000-0000-00009D010000}"/>
    <cellStyle name="_Multiple_Book12_Jazztel model 18DP-exhibits" xfId="1434" xr:uid="{00000000-0005-0000-0000-00009E010000}"/>
    <cellStyle name="_Multiple_Book12_Jazztel model 18DP-exhibits_KPNMobileMay01" xfId="1435" xr:uid="{00000000-0005-0000-0000-00009F010000}"/>
    <cellStyle name="_Multiple_Book12_Jazztel model 18DP-exhibits_T_MOBIL2" xfId="1436" xr:uid="{00000000-0005-0000-0000-0000A0010000}"/>
    <cellStyle name="_Multiple_Book12_Jazztel model 18DP-exhibits_T_MOBIL2_Book2" xfId="1437" xr:uid="{00000000-0005-0000-0000-0000A1010000}"/>
    <cellStyle name="_Multiple_Book12_Jazztel model 18DP-exhibits_T_MOBIL2_TDC-2Aug2001_UPD" xfId="1438" xr:uid="{00000000-0005-0000-0000-0000A2010000}"/>
    <cellStyle name="_Multiple_Book12_Jazztel model 18DP-exhibits_T_MOBIL2_TDC-2Aug2001_UPD 2" xfId="1439" xr:uid="{00000000-0005-0000-0000-0000A3010000}"/>
    <cellStyle name="_Multiple_Book12_Jazztel1" xfId="1440" xr:uid="{00000000-0005-0000-0000-0000A4010000}"/>
    <cellStyle name="_Multiple_Book12_T_MOBIL2" xfId="1441" xr:uid="{00000000-0005-0000-0000-0000A5010000}"/>
    <cellStyle name="_Multiple_Book12_T_MOBIL2 2" xfId="1442" xr:uid="{00000000-0005-0000-0000-0000A6010000}"/>
    <cellStyle name="_Multiple_Book12_TDC-2Aug2001_UPD" xfId="1443" xr:uid="{00000000-0005-0000-0000-0000A7010000}"/>
    <cellStyle name="_Multiple_Book29" xfId="474" xr:uid="{00000000-0005-0000-0000-0000A8010000}"/>
    <cellStyle name="_Multiple_Book3" xfId="475" xr:uid="{00000000-0005-0000-0000-0000A9010000}"/>
    <cellStyle name="_Multiple_Book3_1" xfId="476" xr:uid="{00000000-0005-0000-0000-0000AA010000}"/>
    <cellStyle name="_Multiple_CMJMODEL" xfId="1444" xr:uid="{00000000-0005-0000-0000-0000AB010000}"/>
    <cellStyle name="_Multiple_CNO" xfId="477" xr:uid="{00000000-0005-0000-0000-0000AC010000}"/>
    <cellStyle name="_Multiple_DCF Alexander Forbes" xfId="478" xr:uid="{00000000-0005-0000-0000-0000AD010000}"/>
    <cellStyle name="_Multiple_DCF Summary pages" xfId="1445" xr:uid="{00000000-0005-0000-0000-0000AE010000}"/>
    <cellStyle name="_Multiple_DCF Summary pages_Book2" xfId="1446" xr:uid="{00000000-0005-0000-0000-0000AF010000}"/>
    <cellStyle name="_Multiple_DCF Summary pages_Jazztel model 16DP3-Exhibits" xfId="1447" xr:uid="{00000000-0005-0000-0000-0000B0010000}"/>
    <cellStyle name="_Multiple_DCF Summary pages_Jazztel model 18DP-exhibits" xfId="1448" xr:uid="{00000000-0005-0000-0000-0000B1010000}"/>
    <cellStyle name="_Multiple_DCF Summary pages_Jazztel model 18DP-exhibits_KPNMobileMay01" xfId="1449" xr:uid="{00000000-0005-0000-0000-0000B2010000}"/>
    <cellStyle name="_Multiple_DCF Summary pages_Jazztel model 18DP-exhibits_T_MOBIL2" xfId="1450" xr:uid="{00000000-0005-0000-0000-0000B3010000}"/>
    <cellStyle name="_Multiple_DCF Summary pages_Jazztel model 18DP-exhibits_T_MOBIL2_Book2" xfId="1451" xr:uid="{00000000-0005-0000-0000-0000B4010000}"/>
    <cellStyle name="_Multiple_DCF Summary pages_Jazztel model 18DP-exhibits_T_MOBIL2_TDC-2Aug2001_UPD" xfId="1452" xr:uid="{00000000-0005-0000-0000-0000B5010000}"/>
    <cellStyle name="_Multiple_DCF Summary pages_Jazztel model 18DP-exhibits_T_MOBIL2_TDC-2Aug2001_UPD 2" xfId="1453" xr:uid="{00000000-0005-0000-0000-0000B6010000}"/>
    <cellStyle name="_Multiple_DCF Summary pages_Jazztel1" xfId="1454" xr:uid="{00000000-0005-0000-0000-0000B7010000}"/>
    <cellStyle name="_Multiple_DCF Summary pages_T_MOBIL2" xfId="1455" xr:uid="{00000000-0005-0000-0000-0000B8010000}"/>
    <cellStyle name="_Multiple_DCF Summary pages_T_MOBIL2 2" xfId="1456" xr:uid="{00000000-0005-0000-0000-0000B9010000}"/>
    <cellStyle name="_Multiple_DCF Summary pages_TDC-2Aug2001_UPD" xfId="1457" xr:uid="{00000000-0005-0000-0000-0000BA010000}"/>
    <cellStyle name="_Multiple_fmbi counties" xfId="479" xr:uid="{00000000-0005-0000-0000-0000BB010000}"/>
    <cellStyle name="_Multiple_FMBI MBHI Graphs" xfId="480" xr:uid="{00000000-0005-0000-0000-0000BC010000}"/>
    <cellStyle name="_Multiple_FMBI MBHI Graphs 07102001" xfId="481" xr:uid="{00000000-0005-0000-0000-0000BD010000}"/>
    <cellStyle name="_Multiple_FMBI MBHI Graphs_7601" xfId="482" xr:uid="{00000000-0005-0000-0000-0000BE010000}"/>
    <cellStyle name="_Multiple_FOXTELMODEL" xfId="1458" xr:uid="{00000000-0005-0000-0000-0000BF010000}"/>
    <cellStyle name="_Multiple_GNW" xfId="483" xr:uid="{00000000-0005-0000-0000-0000C0010000}"/>
    <cellStyle name="_Multiple_HWLaug2000" xfId="114" xr:uid="{00000000-0005-0000-0000-0000C1010000}"/>
    <cellStyle name="_Multiple_HWLaug2000 2" xfId="1459" xr:uid="{00000000-0005-0000-0000-0000C2010000}"/>
    <cellStyle name="_Multiple_Insurance Brokerage CSC_1Q2002" xfId="484" xr:uid="{00000000-0005-0000-0000-0000C3010000}"/>
    <cellStyle name="_Multiple_Jazztel model 15-exhibits" xfId="1460" xr:uid="{00000000-0005-0000-0000-0000C4010000}"/>
    <cellStyle name="_Multiple_Jazztel model 15-exhibits bis" xfId="1461" xr:uid="{00000000-0005-0000-0000-0000C5010000}"/>
    <cellStyle name="_Multiple_Jazztel model 15-exhibits_Book2" xfId="1462" xr:uid="{00000000-0005-0000-0000-0000C6010000}"/>
    <cellStyle name="_Multiple_Jazztel model 15-exhibits_Jazztel model 16DP3-Exhibits" xfId="1463" xr:uid="{00000000-0005-0000-0000-0000C7010000}"/>
    <cellStyle name="_Multiple_Jazztel model 15-exhibits_Jazztel model 18DP-exhibits" xfId="1464" xr:uid="{00000000-0005-0000-0000-0000C8010000}"/>
    <cellStyle name="_Multiple_Jazztel model 15-exhibits_Jazztel model 18DP-exhibits_KPNMobileMay01" xfId="1465" xr:uid="{00000000-0005-0000-0000-0000C9010000}"/>
    <cellStyle name="_Multiple_Jazztel model 15-exhibits_Jazztel model 18DP-exhibits_T_MOBIL2" xfId="1466" xr:uid="{00000000-0005-0000-0000-0000CA010000}"/>
    <cellStyle name="_Multiple_Jazztel model 15-exhibits_Jazztel model 18DP-exhibits_T_MOBIL2_Book2" xfId="1467" xr:uid="{00000000-0005-0000-0000-0000CB010000}"/>
    <cellStyle name="_Multiple_Jazztel model 15-exhibits_Jazztel model 18DP-exhibits_T_MOBIL2_TDC-2Aug2001_UPD" xfId="1468" xr:uid="{00000000-0005-0000-0000-0000CC010000}"/>
    <cellStyle name="_Multiple_Jazztel model 15-exhibits_Jazztel model 18DP-exhibits_T_MOBIL2_TDC-2Aug2001_UPD 2" xfId="1469" xr:uid="{00000000-0005-0000-0000-0000CD010000}"/>
    <cellStyle name="_Multiple_Jazztel model 15-exhibits_Jazztel1" xfId="1470" xr:uid="{00000000-0005-0000-0000-0000CE010000}"/>
    <cellStyle name="_Multiple_Jazztel model 15-exhibits_T_MOBIL2" xfId="1471" xr:uid="{00000000-0005-0000-0000-0000CF010000}"/>
    <cellStyle name="_Multiple_Jazztel model 15-exhibits_T_MOBIL2 2" xfId="1472" xr:uid="{00000000-0005-0000-0000-0000D0010000}"/>
    <cellStyle name="_Multiple_Jazztel model 15-exhibits_TDC-2Aug2001_UPD" xfId="1473" xr:uid="{00000000-0005-0000-0000-0000D1010000}"/>
    <cellStyle name="_Multiple_Jazztel model 15-exhibits-Friso2" xfId="1474" xr:uid="{00000000-0005-0000-0000-0000D2010000}"/>
    <cellStyle name="_Multiple_Jazztel model 15-exhibits-Friso2_Book2" xfId="1475" xr:uid="{00000000-0005-0000-0000-0000D3010000}"/>
    <cellStyle name="_Multiple_Jazztel model 15-exhibits-Friso2_Jazztel model 16DP3-Exhibits" xfId="1476" xr:uid="{00000000-0005-0000-0000-0000D4010000}"/>
    <cellStyle name="_Multiple_Jazztel model 15-exhibits-Friso2_Jazztel model 18DP-exhibits" xfId="1477" xr:uid="{00000000-0005-0000-0000-0000D5010000}"/>
    <cellStyle name="_Multiple_Jazztel model 15-exhibits-Friso2_Jazztel model 18DP-exhibits_KPNMobileMay01" xfId="1478" xr:uid="{00000000-0005-0000-0000-0000D6010000}"/>
    <cellStyle name="_Multiple_Jazztel model 15-exhibits-Friso2_Jazztel model 18DP-exhibits_T_MOBIL2" xfId="1479" xr:uid="{00000000-0005-0000-0000-0000D7010000}"/>
    <cellStyle name="_Multiple_Jazztel model 15-exhibits-Friso2_Jazztel model 18DP-exhibits_T_MOBIL2_Book2" xfId="1480" xr:uid="{00000000-0005-0000-0000-0000D8010000}"/>
    <cellStyle name="_Multiple_Jazztel model 15-exhibits-Friso2_Jazztel model 18DP-exhibits_T_MOBIL2_TDC-2Aug2001_UPD" xfId="1481" xr:uid="{00000000-0005-0000-0000-0000D9010000}"/>
    <cellStyle name="_Multiple_Jazztel model 15-exhibits-Friso2_Jazztel model 18DP-exhibits_T_MOBIL2_TDC-2Aug2001_UPD 2" xfId="1482" xr:uid="{00000000-0005-0000-0000-0000DA010000}"/>
    <cellStyle name="_Multiple_Jazztel model 15-exhibits-Friso2_Jazztel1" xfId="1483" xr:uid="{00000000-0005-0000-0000-0000DB010000}"/>
    <cellStyle name="_Multiple_Jazztel model 15-exhibits-Friso2_T_MOBIL2" xfId="1484" xr:uid="{00000000-0005-0000-0000-0000DC010000}"/>
    <cellStyle name="_Multiple_Jazztel model 15-exhibits-Friso2_T_MOBIL2 2" xfId="1485" xr:uid="{00000000-0005-0000-0000-0000DD010000}"/>
    <cellStyle name="_Multiple_Jazztel model 15-exhibits-Friso2_TDC-2Aug2001_UPD" xfId="1486" xr:uid="{00000000-0005-0000-0000-0000DE010000}"/>
    <cellStyle name="_Multiple_Jazztel model 16DP2-Exhibits" xfId="1487" xr:uid="{00000000-0005-0000-0000-0000DF010000}"/>
    <cellStyle name="_Multiple_Jazztel model 16DP2-Exhibits_T_MOBIL2" xfId="1488" xr:uid="{00000000-0005-0000-0000-0000E0010000}"/>
    <cellStyle name="_Multiple_Jazztel model 16DP3-Exhibits" xfId="1489" xr:uid="{00000000-0005-0000-0000-0000E1010000}"/>
    <cellStyle name="_Multiple_Jazztel model 16DP3-Exhibits_T_MOBIL2" xfId="1490" xr:uid="{00000000-0005-0000-0000-0000E2010000}"/>
    <cellStyle name="_Multiple_JP" xfId="485" xr:uid="{00000000-0005-0000-0000-0000E3010000}"/>
    <cellStyle name="_Multiple_LNC" xfId="486" xr:uid="{00000000-0005-0000-0000-0000E4010000}"/>
    <cellStyle name="_Multiple_MET" xfId="487" xr:uid="{00000000-0005-0000-0000-0000E5010000}"/>
    <cellStyle name="_Multiple_MET04" xfId="488" xr:uid="{00000000-0005-0000-0000-0000E6010000}"/>
    <cellStyle name="_Multiple_NFS" xfId="489" xr:uid="{00000000-0005-0000-0000-0000E7010000}"/>
    <cellStyle name="_Multiple_Overview3" xfId="490" xr:uid="{00000000-0005-0000-0000-0000E8010000}"/>
    <cellStyle name="_Multiple_phil data" xfId="491" xr:uid="{00000000-0005-0000-0000-0000E9010000}"/>
    <cellStyle name="_Multiple_Price Performance Charts" xfId="492" xr:uid="{00000000-0005-0000-0000-0000EA010000}"/>
    <cellStyle name="_Multiple_PRU" xfId="493" xr:uid="{00000000-0005-0000-0000-0000EB010000}"/>
    <cellStyle name="_Multiple_PRU04" xfId="494" xr:uid="{00000000-0005-0000-0000-0000EC010000}"/>
    <cellStyle name="_Multiple_RiskReward" xfId="495" xr:uid="{00000000-0005-0000-0000-0000ED010000}"/>
    <cellStyle name="_Multiple_SFG" xfId="496" xr:uid="{00000000-0005-0000-0000-0000EE010000}"/>
    <cellStyle name="_Multiple_Sheet1" xfId="497" xr:uid="{00000000-0005-0000-0000-0000EF010000}"/>
    <cellStyle name="_Multiple_Stock-QTR1 FDS" xfId="498" xr:uid="{00000000-0005-0000-0000-0000F0010000}"/>
    <cellStyle name="_Multiple_T_MOBIL2" xfId="1491" xr:uid="{00000000-0005-0000-0000-0000F1010000}"/>
    <cellStyle name="_Multiple_TMK" xfId="499" xr:uid="{00000000-0005-0000-0000-0000F2010000}"/>
    <cellStyle name="_Multiple_Updated Valuation Changes" xfId="500" xr:uid="{00000000-0005-0000-0000-0000F3010000}"/>
    <cellStyle name="_Multiple_Valuation Graphs" xfId="501" xr:uid="{00000000-0005-0000-0000-0000F4010000}"/>
    <cellStyle name="_Multiple_xratio - historical mkt val" xfId="502" xr:uid="{00000000-0005-0000-0000-0000F5010000}"/>
    <cellStyle name="_MultipleSpace" xfId="115" xr:uid="{00000000-0005-0000-0000-0000F6010000}"/>
    <cellStyle name="_MultipleSpace_01 adj for merger plan" xfId="503" xr:uid="{00000000-0005-0000-0000-0000F7010000}"/>
    <cellStyle name="_MultipleSpace_Ability to Pay Analysis" xfId="504" xr:uid="{00000000-0005-0000-0000-0000F8010000}"/>
    <cellStyle name="_MultipleSpace_AFL" xfId="505" xr:uid="{00000000-0005-0000-0000-0000F9010000}"/>
    <cellStyle name="_MultipleSpace_AIZ" xfId="506" xr:uid="{00000000-0005-0000-0000-0000FA010000}"/>
    <cellStyle name="_MultipleSpace_AMP" xfId="507" xr:uid="{00000000-0005-0000-0000-0000FB010000}"/>
    <cellStyle name="_MultipleSpace_Balance Sheet" xfId="508" xr:uid="{00000000-0005-0000-0000-0000FC010000}"/>
    <cellStyle name="_MultipleSpace_Book1" xfId="509" xr:uid="{00000000-0005-0000-0000-0000FD010000}"/>
    <cellStyle name="_MultipleSpace_Book1_Jazztel" xfId="1492" xr:uid="{00000000-0005-0000-0000-0000FE010000}"/>
    <cellStyle name="_MultipleSpace_Book1_Jazztel model 16DP3-Exhibits" xfId="1493" xr:uid="{00000000-0005-0000-0000-0000FF010000}"/>
    <cellStyle name="_MultipleSpace_Book1_Jazztel model 18DP-exhibits" xfId="1494" xr:uid="{00000000-0005-0000-0000-000000020000}"/>
    <cellStyle name="_MultipleSpace_Book1_Jazztel model 18DP-exhibits_KPNMobileMay01" xfId="1495" xr:uid="{00000000-0005-0000-0000-000001020000}"/>
    <cellStyle name="_MultipleSpace_Book1_Jazztel model 18DP-exhibits_T_MOBIL2" xfId="1496" xr:uid="{00000000-0005-0000-0000-000002020000}"/>
    <cellStyle name="_MultipleSpace_Book1_Jazztel model 18DP-exhibits_T_MOBIL2_Book2" xfId="1497" xr:uid="{00000000-0005-0000-0000-000003020000}"/>
    <cellStyle name="_MultipleSpace_Book1_Jazztel model 18DP-exhibits_T_MOBIL2_Book2 2" xfId="1498" xr:uid="{00000000-0005-0000-0000-000004020000}"/>
    <cellStyle name="_MultipleSpace_Book1_Jazztel model 18DP-exhibits_T_MOBIL2_TDC-2Aug2001_UPD" xfId="1499" xr:uid="{00000000-0005-0000-0000-000005020000}"/>
    <cellStyle name="_MultipleSpace_Book1_Jazztel1" xfId="1500" xr:uid="{00000000-0005-0000-0000-000006020000}"/>
    <cellStyle name="_MultipleSpace_Book1_Jazztel1_Book2" xfId="1501" xr:uid="{00000000-0005-0000-0000-000007020000}"/>
    <cellStyle name="_MultipleSpace_Book1_Jazztel1_TDC-2Aug2001_UPD" xfId="1502" xr:uid="{00000000-0005-0000-0000-000008020000}"/>
    <cellStyle name="_MultipleSpace_Book11" xfId="1503" xr:uid="{00000000-0005-0000-0000-000009020000}"/>
    <cellStyle name="_MultipleSpace_Book11_Jazztel" xfId="1504" xr:uid="{00000000-0005-0000-0000-00000A020000}"/>
    <cellStyle name="_MultipleSpace_Book11_Jazztel model 16DP3-Exhibits" xfId="1505" xr:uid="{00000000-0005-0000-0000-00000B020000}"/>
    <cellStyle name="_MultipleSpace_Book11_Jazztel model 18DP-exhibits" xfId="1506" xr:uid="{00000000-0005-0000-0000-00000C020000}"/>
    <cellStyle name="_MultipleSpace_Book11_Jazztel model 18DP-exhibits_KPNMobileMay01" xfId="1507" xr:uid="{00000000-0005-0000-0000-00000D020000}"/>
    <cellStyle name="_MultipleSpace_Book11_Jazztel model 18DP-exhibits_T_MOBIL2" xfId="1508" xr:uid="{00000000-0005-0000-0000-00000E020000}"/>
    <cellStyle name="_MultipleSpace_Book11_Jazztel model 18DP-exhibits_T_MOBIL2_Book2" xfId="1509" xr:uid="{00000000-0005-0000-0000-00000F020000}"/>
    <cellStyle name="_MultipleSpace_Book11_Jazztel model 18DP-exhibits_T_MOBIL2_Book2 2" xfId="1510" xr:uid="{00000000-0005-0000-0000-000010020000}"/>
    <cellStyle name="_MultipleSpace_Book11_Jazztel model 18DP-exhibits_T_MOBIL2_TDC-2Aug2001_UPD" xfId="1511" xr:uid="{00000000-0005-0000-0000-000011020000}"/>
    <cellStyle name="_MultipleSpace_Book11_Jazztel1" xfId="1512" xr:uid="{00000000-0005-0000-0000-000012020000}"/>
    <cellStyle name="_MultipleSpace_Book11_Jazztel1_Book2" xfId="1513" xr:uid="{00000000-0005-0000-0000-000013020000}"/>
    <cellStyle name="_MultipleSpace_Book11_Jazztel1_TDC-2Aug2001_UPD" xfId="1514" xr:uid="{00000000-0005-0000-0000-000014020000}"/>
    <cellStyle name="_MultipleSpace_Book12" xfId="1515" xr:uid="{00000000-0005-0000-0000-000015020000}"/>
    <cellStyle name="_MultipleSpace_Book12_Jazztel" xfId="1516" xr:uid="{00000000-0005-0000-0000-000016020000}"/>
    <cellStyle name="_MultipleSpace_Book12_Jazztel model 16DP3-Exhibits" xfId="1517" xr:uid="{00000000-0005-0000-0000-000017020000}"/>
    <cellStyle name="_MultipleSpace_Book12_Jazztel model 18DP-exhibits" xfId="1518" xr:uid="{00000000-0005-0000-0000-000018020000}"/>
    <cellStyle name="_MultipleSpace_Book12_Jazztel model 18DP-exhibits_KPNMobileMay01" xfId="1519" xr:uid="{00000000-0005-0000-0000-000019020000}"/>
    <cellStyle name="_MultipleSpace_Book12_Jazztel model 18DP-exhibits_T_MOBIL2" xfId="1520" xr:uid="{00000000-0005-0000-0000-00001A020000}"/>
    <cellStyle name="_MultipleSpace_Book12_Jazztel model 18DP-exhibits_T_MOBIL2_Book2" xfId="1521" xr:uid="{00000000-0005-0000-0000-00001B020000}"/>
    <cellStyle name="_MultipleSpace_Book12_Jazztel model 18DP-exhibits_T_MOBIL2_Book2 2" xfId="1522" xr:uid="{00000000-0005-0000-0000-00001C020000}"/>
    <cellStyle name="_MultipleSpace_Book12_Jazztel model 18DP-exhibits_T_MOBIL2_TDC-2Aug2001_UPD" xfId="1523" xr:uid="{00000000-0005-0000-0000-00001D020000}"/>
    <cellStyle name="_MultipleSpace_Book12_Jazztel1" xfId="1524" xr:uid="{00000000-0005-0000-0000-00001E020000}"/>
    <cellStyle name="_MultipleSpace_Book12_Jazztel1_Book2" xfId="1525" xr:uid="{00000000-0005-0000-0000-00001F020000}"/>
    <cellStyle name="_MultipleSpace_Book12_Jazztel1_TDC-2Aug2001_UPD" xfId="1526" xr:uid="{00000000-0005-0000-0000-000020020000}"/>
    <cellStyle name="_MultipleSpace_Book29" xfId="510" xr:uid="{00000000-0005-0000-0000-000021020000}"/>
    <cellStyle name="_MultipleSpace_Book3" xfId="511" xr:uid="{00000000-0005-0000-0000-000022020000}"/>
    <cellStyle name="_MultipleSpace_Book3_1" xfId="512" xr:uid="{00000000-0005-0000-0000-000023020000}"/>
    <cellStyle name="_MultipleSpace_CMJMODEL" xfId="1527" xr:uid="{00000000-0005-0000-0000-000024020000}"/>
    <cellStyle name="_MultipleSpace_CNO" xfId="513" xr:uid="{00000000-0005-0000-0000-000025020000}"/>
    <cellStyle name="_MultipleSpace_DCF Alexander Forbes" xfId="514" xr:uid="{00000000-0005-0000-0000-000026020000}"/>
    <cellStyle name="_MultipleSpace_DCF Summary pages" xfId="1528" xr:uid="{00000000-0005-0000-0000-000027020000}"/>
    <cellStyle name="_MultipleSpace_DCF Summary pages_Jazztel" xfId="1529" xr:uid="{00000000-0005-0000-0000-000028020000}"/>
    <cellStyle name="_MultipleSpace_DCF Summary pages_Jazztel model 16DP3-Exhibits" xfId="1530" xr:uid="{00000000-0005-0000-0000-000029020000}"/>
    <cellStyle name="_MultipleSpace_DCF Summary pages_Jazztel model 18DP-exhibits" xfId="1531" xr:uid="{00000000-0005-0000-0000-00002A020000}"/>
    <cellStyle name="_MultipleSpace_DCF Summary pages_Jazztel model 18DP-exhibits_KPNMobileMay01" xfId="1532" xr:uid="{00000000-0005-0000-0000-00002B020000}"/>
    <cellStyle name="_MultipleSpace_DCF Summary pages_Jazztel model 18DP-exhibits_T_MOBIL2" xfId="1533" xr:uid="{00000000-0005-0000-0000-00002C020000}"/>
    <cellStyle name="_MultipleSpace_DCF Summary pages_Jazztel model 18DP-exhibits_T_MOBIL2_Book2" xfId="1534" xr:uid="{00000000-0005-0000-0000-00002D020000}"/>
    <cellStyle name="_MultipleSpace_DCF Summary pages_Jazztel model 18DP-exhibits_T_MOBIL2_Book2 2" xfId="1535" xr:uid="{00000000-0005-0000-0000-00002E020000}"/>
    <cellStyle name="_MultipleSpace_DCF Summary pages_Jazztel model 18DP-exhibits_T_MOBIL2_TDC-2Aug2001_UPD" xfId="1536" xr:uid="{00000000-0005-0000-0000-00002F020000}"/>
    <cellStyle name="_MultipleSpace_DCF Summary pages_Jazztel1" xfId="1537" xr:uid="{00000000-0005-0000-0000-000030020000}"/>
    <cellStyle name="_MultipleSpace_DCF Summary pages_Jazztel1_Book2" xfId="1538" xr:uid="{00000000-0005-0000-0000-000031020000}"/>
    <cellStyle name="_MultipleSpace_DCF Summary pages_Jazztel1_TDC-2Aug2001_UPD" xfId="1539" xr:uid="{00000000-0005-0000-0000-000032020000}"/>
    <cellStyle name="_MultipleSpace_fmbi counties" xfId="515" xr:uid="{00000000-0005-0000-0000-000033020000}"/>
    <cellStyle name="_MultipleSpace_FMBI MBHI Graphs" xfId="516" xr:uid="{00000000-0005-0000-0000-000034020000}"/>
    <cellStyle name="_MultipleSpace_FMBI MBHI Graphs 07102001" xfId="517" xr:uid="{00000000-0005-0000-0000-000035020000}"/>
    <cellStyle name="_MultipleSpace_FMBI MBHI Graphs_7601" xfId="518" xr:uid="{00000000-0005-0000-0000-000036020000}"/>
    <cellStyle name="_MultipleSpace_FOXTELMODEL" xfId="1540" xr:uid="{00000000-0005-0000-0000-000037020000}"/>
    <cellStyle name="_MultipleSpace_GNW" xfId="519" xr:uid="{00000000-0005-0000-0000-000038020000}"/>
    <cellStyle name="_MultipleSpace_HWLaug2000" xfId="116" xr:uid="{00000000-0005-0000-0000-000039020000}"/>
    <cellStyle name="_MultipleSpace_HWLaug2000 2" xfId="1541" xr:uid="{00000000-0005-0000-0000-00003A020000}"/>
    <cellStyle name="_MultipleSpace_Insurance Brokerage CSC_1Q2002" xfId="520" xr:uid="{00000000-0005-0000-0000-00003B020000}"/>
    <cellStyle name="_MultipleSpace_Jazztel model 15-exhibits" xfId="1542" xr:uid="{00000000-0005-0000-0000-00003C020000}"/>
    <cellStyle name="_MultipleSpace_Jazztel model 15-exhibits bis" xfId="1543" xr:uid="{00000000-0005-0000-0000-00003D020000}"/>
    <cellStyle name="_MultipleSpace_Jazztel model 15-exhibits_Jazztel" xfId="1544" xr:uid="{00000000-0005-0000-0000-00003E020000}"/>
    <cellStyle name="_MultipleSpace_Jazztel model 15-exhibits_Jazztel model 16DP3-Exhibits" xfId="1545" xr:uid="{00000000-0005-0000-0000-00003F020000}"/>
    <cellStyle name="_MultipleSpace_Jazztel model 15-exhibits_Jazztel model 18DP-exhibits" xfId="1546" xr:uid="{00000000-0005-0000-0000-000040020000}"/>
    <cellStyle name="_MultipleSpace_Jazztel model 15-exhibits_Jazztel model 18DP-exhibits_KPNMobileMay01" xfId="1547" xr:uid="{00000000-0005-0000-0000-000041020000}"/>
    <cellStyle name="_MultipleSpace_Jazztel model 15-exhibits_Jazztel model 18DP-exhibits_T_MOBIL2" xfId="1548" xr:uid="{00000000-0005-0000-0000-000042020000}"/>
    <cellStyle name="_MultipleSpace_Jazztel model 15-exhibits_Jazztel model 18DP-exhibits_T_MOBIL2_Book2" xfId="1549" xr:uid="{00000000-0005-0000-0000-000043020000}"/>
    <cellStyle name="_MultipleSpace_Jazztel model 15-exhibits_Jazztel model 18DP-exhibits_T_MOBIL2_Book2 2" xfId="1550" xr:uid="{00000000-0005-0000-0000-000044020000}"/>
    <cellStyle name="_MultipleSpace_Jazztel model 15-exhibits_Jazztel model 18DP-exhibits_T_MOBIL2_TDC-2Aug2001_UPD" xfId="1551" xr:uid="{00000000-0005-0000-0000-000045020000}"/>
    <cellStyle name="_MultipleSpace_Jazztel model 15-exhibits_Jazztel1" xfId="1552" xr:uid="{00000000-0005-0000-0000-000046020000}"/>
    <cellStyle name="_MultipleSpace_Jazztel model 15-exhibits_Jazztel1_Book2" xfId="1553" xr:uid="{00000000-0005-0000-0000-000047020000}"/>
    <cellStyle name="_MultipleSpace_Jazztel model 15-exhibits_Jazztel1_TDC-2Aug2001_UPD" xfId="1554" xr:uid="{00000000-0005-0000-0000-000048020000}"/>
    <cellStyle name="_MultipleSpace_Jazztel model 15-exhibits-Friso2" xfId="1555" xr:uid="{00000000-0005-0000-0000-000049020000}"/>
    <cellStyle name="_MultipleSpace_Jazztel model 15-exhibits-Friso2_Jazztel" xfId="1556" xr:uid="{00000000-0005-0000-0000-00004A020000}"/>
    <cellStyle name="_MultipleSpace_Jazztel model 15-exhibits-Friso2_Jazztel model 16DP3-Exhibits" xfId="1557" xr:uid="{00000000-0005-0000-0000-00004B020000}"/>
    <cellStyle name="_MultipleSpace_Jazztel model 15-exhibits-Friso2_Jazztel model 18DP-exhibits" xfId="1558" xr:uid="{00000000-0005-0000-0000-00004C020000}"/>
    <cellStyle name="_MultipleSpace_Jazztel model 15-exhibits-Friso2_Jazztel model 18DP-exhibits_KPNMobileMay01" xfId="1559" xr:uid="{00000000-0005-0000-0000-00004D020000}"/>
    <cellStyle name="_MultipleSpace_Jazztel model 15-exhibits-Friso2_Jazztel model 18DP-exhibits_T_MOBIL2" xfId="1560" xr:uid="{00000000-0005-0000-0000-00004E020000}"/>
    <cellStyle name="_MultipleSpace_Jazztel model 15-exhibits-Friso2_Jazztel model 18DP-exhibits_T_MOBIL2_Book2" xfId="1561" xr:uid="{00000000-0005-0000-0000-00004F020000}"/>
    <cellStyle name="_MultipleSpace_Jazztel model 15-exhibits-Friso2_Jazztel model 18DP-exhibits_T_MOBIL2_Book2 2" xfId="1562" xr:uid="{00000000-0005-0000-0000-000050020000}"/>
    <cellStyle name="_MultipleSpace_Jazztel model 15-exhibits-Friso2_Jazztel model 18DP-exhibits_T_MOBIL2_TDC-2Aug2001_UPD" xfId="1563" xr:uid="{00000000-0005-0000-0000-000051020000}"/>
    <cellStyle name="_MultipleSpace_Jazztel model 15-exhibits-Friso2_Jazztel1" xfId="1564" xr:uid="{00000000-0005-0000-0000-000052020000}"/>
    <cellStyle name="_MultipleSpace_Jazztel model 15-exhibits-Friso2_Jazztel1_Book2" xfId="1565" xr:uid="{00000000-0005-0000-0000-000053020000}"/>
    <cellStyle name="_MultipleSpace_Jazztel model 15-exhibits-Friso2_Jazztel1_TDC-2Aug2001_UPD" xfId="1566" xr:uid="{00000000-0005-0000-0000-000054020000}"/>
    <cellStyle name="_MultipleSpace_Jazztel model 16DP2-Exhibits" xfId="1567" xr:uid="{00000000-0005-0000-0000-000055020000}"/>
    <cellStyle name="_MultipleSpace_Jazztel model 16DP3-Exhibits" xfId="1568" xr:uid="{00000000-0005-0000-0000-000056020000}"/>
    <cellStyle name="_MultipleSpace_JP" xfId="521" xr:uid="{00000000-0005-0000-0000-000057020000}"/>
    <cellStyle name="_MultipleSpace_LNC" xfId="522" xr:uid="{00000000-0005-0000-0000-000058020000}"/>
    <cellStyle name="_MultipleSpace_MET" xfId="523" xr:uid="{00000000-0005-0000-0000-000059020000}"/>
    <cellStyle name="_MultipleSpace_MET04" xfId="524" xr:uid="{00000000-0005-0000-0000-00005A020000}"/>
    <cellStyle name="_MultipleSpace_NFS" xfId="525" xr:uid="{00000000-0005-0000-0000-00005B020000}"/>
    <cellStyle name="_MultipleSpace_Overview3" xfId="526" xr:uid="{00000000-0005-0000-0000-00005C020000}"/>
    <cellStyle name="_MultipleSpace_phil data" xfId="527" xr:uid="{00000000-0005-0000-0000-00005D020000}"/>
    <cellStyle name="_MultipleSpace_Price Performance Charts" xfId="528" xr:uid="{00000000-0005-0000-0000-00005E020000}"/>
    <cellStyle name="_MultipleSpace_PRU" xfId="529" xr:uid="{00000000-0005-0000-0000-00005F020000}"/>
    <cellStyle name="_MultipleSpace_PRU04" xfId="530" xr:uid="{00000000-0005-0000-0000-000060020000}"/>
    <cellStyle name="_MultipleSpace_RiskReward" xfId="531" xr:uid="{00000000-0005-0000-0000-000061020000}"/>
    <cellStyle name="_MultipleSpace_SFG" xfId="532" xr:uid="{00000000-0005-0000-0000-000062020000}"/>
    <cellStyle name="_MultipleSpace_Sheet1" xfId="533" xr:uid="{00000000-0005-0000-0000-000063020000}"/>
    <cellStyle name="_MultipleSpace_Stock-QTR1 FDS" xfId="534" xr:uid="{00000000-0005-0000-0000-000064020000}"/>
    <cellStyle name="_MultipleSpace_TMK" xfId="535" xr:uid="{00000000-0005-0000-0000-000065020000}"/>
    <cellStyle name="_MultipleSpace_Updated Valuation Changes" xfId="536" xr:uid="{00000000-0005-0000-0000-000066020000}"/>
    <cellStyle name="_MultipleSpace_Valuation Graphs" xfId="537" xr:uid="{00000000-0005-0000-0000-000067020000}"/>
    <cellStyle name="_MultipleSpace_xratio - historical mkt val" xfId="538" xr:uid="{00000000-0005-0000-0000-000068020000}"/>
    <cellStyle name="—_new format1" xfId="1569" xr:uid="{00000000-0005-0000-0000-000069020000}"/>
    <cellStyle name="—_new format1 2" xfId="1570" xr:uid="{00000000-0005-0000-0000-00006A020000}"/>
    <cellStyle name="_Percent" xfId="117" xr:uid="{00000000-0005-0000-0000-00006B020000}"/>
    <cellStyle name="_Percent_Book1" xfId="1571" xr:uid="{00000000-0005-0000-0000-00006C020000}"/>
    <cellStyle name="_Percent_Book1_Jazztel model 16DP3-Exhibits" xfId="1572" xr:uid="{00000000-0005-0000-0000-00006D020000}"/>
    <cellStyle name="_Percent_Book1_Jazztel model 16DP3-Exhibits_Book2" xfId="1573" xr:uid="{00000000-0005-0000-0000-00006E020000}"/>
    <cellStyle name="_Percent_Book1_Jazztel model 16DP3-Exhibits_T_MOBIL2" xfId="1574" xr:uid="{00000000-0005-0000-0000-00006F020000}"/>
    <cellStyle name="_Percent_Book1_Jazztel model 16DP3-Exhibits_TDC-2Aug2001_UPD" xfId="1575" xr:uid="{00000000-0005-0000-0000-000070020000}"/>
    <cellStyle name="_Percent_Book1_Jazztel model 16DP3-Exhibits_TDC-2Aug2001_UPD 2" xfId="1576" xr:uid="{00000000-0005-0000-0000-000071020000}"/>
    <cellStyle name="_Percent_Book1_Jazztel model 18DP-exhibits" xfId="1577" xr:uid="{00000000-0005-0000-0000-000072020000}"/>
    <cellStyle name="_Percent_Book1_TDC-2Aug2001" xfId="1578" xr:uid="{00000000-0005-0000-0000-000073020000}"/>
    <cellStyle name="_Percent_Book1_TelenorAug01" xfId="1579" xr:uid="{00000000-0005-0000-0000-000074020000}"/>
    <cellStyle name="_Percent_Book11" xfId="1580" xr:uid="{00000000-0005-0000-0000-000075020000}"/>
    <cellStyle name="_Percent_Book11_Jazztel model 16DP3-Exhibits" xfId="1581" xr:uid="{00000000-0005-0000-0000-000076020000}"/>
    <cellStyle name="_Percent_Book11_Jazztel model 16DP3-Exhibits_Book2" xfId="1582" xr:uid="{00000000-0005-0000-0000-000077020000}"/>
    <cellStyle name="_Percent_Book11_Jazztel model 16DP3-Exhibits_T_MOBIL2" xfId="1583" xr:uid="{00000000-0005-0000-0000-000078020000}"/>
    <cellStyle name="_Percent_Book11_Jazztel model 16DP3-Exhibits_TDC-2Aug2001_UPD" xfId="1584" xr:uid="{00000000-0005-0000-0000-000079020000}"/>
    <cellStyle name="_Percent_Book11_Jazztel model 16DP3-Exhibits_TDC-2Aug2001_UPD 2" xfId="1585" xr:uid="{00000000-0005-0000-0000-00007A020000}"/>
    <cellStyle name="_Percent_Book11_Jazztel model 18DP-exhibits" xfId="1586" xr:uid="{00000000-0005-0000-0000-00007B020000}"/>
    <cellStyle name="_Percent_Book11_TDC-2Aug2001" xfId="1587" xr:uid="{00000000-0005-0000-0000-00007C020000}"/>
    <cellStyle name="_Percent_Book11_TelenorAug01" xfId="1588" xr:uid="{00000000-0005-0000-0000-00007D020000}"/>
    <cellStyle name="_Percent_Book12" xfId="1589" xr:uid="{00000000-0005-0000-0000-00007E020000}"/>
    <cellStyle name="_Percent_Book12_Jazztel model 16DP3-Exhibits" xfId="1590" xr:uid="{00000000-0005-0000-0000-00007F020000}"/>
    <cellStyle name="_Percent_Book12_Jazztel model 16DP3-Exhibits_Book2" xfId="1591" xr:uid="{00000000-0005-0000-0000-000080020000}"/>
    <cellStyle name="_Percent_Book12_Jazztel model 16DP3-Exhibits_T_MOBIL2" xfId="1592" xr:uid="{00000000-0005-0000-0000-000081020000}"/>
    <cellStyle name="_Percent_Book12_Jazztel model 16DP3-Exhibits_TDC-2Aug2001_UPD" xfId="1593" xr:uid="{00000000-0005-0000-0000-000082020000}"/>
    <cellStyle name="_Percent_Book12_Jazztel model 16DP3-Exhibits_TDC-2Aug2001_UPD 2" xfId="1594" xr:uid="{00000000-0005-0000-0000-000083020000}"/>
    <cellStyle name="_Percent_Book12_Jazztel model 18DP-exhibits" xfId="1595" xr:uid="{00000000-0005-0000-0000-000084020000}"/>
    <cellStyle name="_Percent_Book12_TDC-2Aug2001" xfId="1596" xr:uid="{00000000-0005-0000-0000-000085020000}"/>
    <cellStyle name="_Percent_Book12_TelenorAug01" xfId="1597" xr:uid="{00000000-0005-0000-0000-000086020000}"/>
    <cellStyle name="_Percent_CMJMODEL" xfId="1598" xr:uid="{00000000-0005-0000-0000-000087020000}"/>
    <cellStyle name="_Percent_DCF Alexander Forbes" xfId="539" xr:uid="{00000000-0005-0000-0000-000088020000}"/>
    <cellStyle name="_Percent_DCF Summary pages" xfId="1599" xr:uid="{00000000-0005-0000-0000-000089020000}"/>
    <cellStyle name="_Percent_DCF Summary pages_Jazztel model 16DP3-Exhibits" xfId="1600" xr:uid="{00000000-0005-0000-0000-00008A020000}"/>
    <cellStyle name="_Percent_DCF Summary pages_Jazztel model 16DP3-Exhibits_Book2" xfId="1601" xr:uid="{00000000-0005-0000-0000-00008B020000}"/>
    <cellStyle name="_Percent_DCF Summary pages_Jazztel model 16DP3-Exhibits_T_MOBIL2" xfId="1602" xr:uid="{00000000-0005-0000-0000-00008C020000}"/>
    <cellStyle name="_Percent_DCF Summary pages_Jazztel model 16DP3-Exhibits_TDC-2Aug2001_UPD" xfId="1603" xr:uid="{00000000-0005-0000-0000-00008D020000}"/>
    <cellStyle name="_Percent_DCF Summary pages_Jazztel model 16DP3-Exhibits_TDC-2Aug2001_UPD 2" xfId="1604" xr:uid="{00000000-0005-0000-0000-00008E020000}"/>
    <cellStyle name="_Percent_DCF Summary pages_Jazztel model 18DP-exhibits" xfId="1605" xr:uid="{00000000-0005-0000-0000-00008F020000}"/>
    <cellStyle name="_Percent_DCF Summary pages_TDC-2Aug2001" xfId="1606" xr:uid="{00000000-0005-0000-0000-000090020000}"/>
    <cellStyle name="_Percent_DCF Summary pages_TelenorAug01" xfId="1607" xr:uid="{00000000-0005-0000-0000-000091020000}"/>
    <cellStyle name="_Percent_FMBI MBHI Graphs" xfId="540" xr:uid="{00000000-0005-0000-0000-000092020000}"/>
    <cellStyle name="_Percent_FMBI MBHI Graphs 07102001" xfId="541" xr:uid="{00000000-0005-0000-0000-000093020000}"/>
    <cellStyle name="_Percent_FMBI MBHI Graphs_7601" xfId="542" xr:uid="{00000000-0005-0000-0000-000094020000}"/>
    <cellStyle name="_Percent_FOXTELMODEL" xfId="1608" xr:uid="{00000000-0005-0000-0000-000095020000}"/>
    <cellStyle name="_Percent_HWLaug2000" xfId="118" xr:uid="{00000000-0005-0000-0000-000096020000}"/>
    <cellStyle name="_Percent_HWLaug2000 2" xfId="1609" xr:uid="{00000000-0005-0000-0000-000097020000}"/>
    <cellStyle name="_Percent_Jazztel model 15-exhibits" xfId="1610" xr:uid="{00000000-0005-0000-0000-000098020000}"/>
    <cellStyle name="_Percent_Jazztel model 15-exhibits bis" xfId="1611" xr:uid="{00000000-0005-0000-0000-000099020000}"/>
    <cellStyle name="_Percent_Jazztel model 15-exhibits bis_Book2" xfId="1612" xr:uid="{00000000-0005-0000-0000-00009A020000}"/>
    <cellStyle name="_Percent_Jazztel model 15-exhibits bis_T_MOBIL2" xfId="1613" xr:uid="{00000000-0005-0000-0000-00009B020000}"/>
    <cellStyle name="_Percent_Jazztel model 15-exhibits bis_TDC-2Aug2001_UPD" xfId="1614" xr:uid="{00000000-0005-0000-0000-00009C020000}"/>
    <cellStyle name="_Percent_Jazztel model 15-exhibits bis_TDC-2Aug2001_UPD 2" xfId="1615" xr:uid="{00000000-0005-0000-0000-00009D020000}"/>
    <cellStyle name="_Percent_Jazztel model 15-exhibits_Jazztel model 16DP3-Exhibits" xfId="1616" xr:uid="{00000000-0005-0000-0000-00009E020000}"/>
    <cellStyle name="_Percent_Jazztel model 15-exhibits_Jazztel model 16DP3-Exhibits_Book2" xfId="1617" xr:uid="{00000000-0005-0000-0000-00009F020000}"/>
    <cellStyle name="_Percent_Jazztel model 15-exhibits_Jazztel model 16DP3-Exhibits_T_MOBIL2" xfId="1618" xr:uid="{00000000-0005-0000-0000-0000A0020000}"/>
    <cellStyle name="_Percent_Jazztel model 15-exhibits_Jazztel model 16DP3-Exhibits_TDC-2Aug2001_UPD" xfId="1619" xr:uid="{00000000-0005-0000-0000-0000A1020000}"/>
    <cellStyle name="_Percent_Jazztel model 15-exhibits_Jazztel model 16DP3-Exhibits_TDC-2Aug2001_UPD 2" xfId="1620" xr:uid="{00000000-0005-0000-0000-0000A2020000}"/>
    <cellStyle name="_Percent_Jazztel model 15-exhibits_Jazztel model 18DP-exhibits" xfId="1621" xr:uid="{00000000-0005-0000-0000-0000A3020000}"/>
    <cellStyle name="_Percent_Jazztel model 15-exhibits_TDC-2Aug2001" xfId="1622" xr:uid="{00000000-0005-0000-0000-0000A4020000}"/>
    <cellStyle name="_Percent_Jazztel model 15-exhibits_TelenorAug01" xfId="1623" xr:uid="{00000000-0005-0000-0000-0000A5020000}"/>
    <cellStyle name="_Percent_Jazztel model 15-exhibits-Friso2" xfId="1624" xr:uid="{00000000-0005-0000-0000-0000A6020000}"/>
    <cellStyle name="_Percent_Jazztel model 15-exhibits-Friso2_Jazztel model 16DP3-Exhibits" xfId="1625" xr:uid="{00000000-0005-0000-0000-0000A7020000}"/>
    <cellStyle name="_Percent_Jazztel model 15-exhibits-Friso2_Jazztel model 16DP3-Exhibits_Book2" xfId="1626" xr:uid="{00000000-0005-0000-0000-0000A8020000}"/>
    <cellStyle name="_Percent_Jazztel model 15-exhibits-Friso2_Jazztel model 16DP3-Exhibits_T_MOBIL2" xfId="1627" xr:uid="{00000000-0005-0000-0000-0000A9020000}"/>
    <cellStyle name="_Percent_Jazztel model 15-exhibits-Friso2_Jazztel model 16DP3-Exhibits_TDC-2Aug2001_UPD" xfId="1628" xr:uid="{00000000-0005-0000-0000-0000AA020000}"/>
    <cellStyle name="_Percent_Jazztel model 15-exhibits-Friso2_Jazztel model 16DP3-Exhibits_TDC-2Aug2001_UPD 2" xfId="1629" xr:uid="{00000000-0005-0000-0000-0000AB020000}"/>
    <cellStyle name="_Percent_Jazztel model 15-exhibits-Friso2_Jazztel model 18DP-exhibits" xfId="1630" xr:uid="{00000000-0005-0000-0000-0000AC020000}"/>
    <cellStyle name="_Percent_Jazztel model 15-exhibits-Friso2_TDC-2Aug2001" xfId="1631" xr:uid="{00000000-0005-0000-0000-0000AD020000}"/>
    <cellStyle name="_Percent_Jazztel model 15-exhibits-Friso2_TelenorAug01" xfId="1632" xr:uid="{00000000-0005-0000-0000-0000AE020000}"/>
    <cellStyle name="_Percent_Jazztel model 16DP2-Exhibits" xfId="1633" xr:uid="{00000000-0005-0000-0000-0000AF020000}"/>
    <cellStyle name="_Percent_Jazztel model 16DP3-Exhibits" xfId="1634" xr:uid="{00000000-0005-0000-0000-0000B0020000}"/>
    <cellStyle name="_PercentSpace" xfId="119" xr:uid="{00000000-0005-0000-0000-0000B1020000}"/>
    <cellStyle name="_PercentSpace_01 adj for merger plan" xfId="543" xr:uid="{00000000-0005-0000-0000-0000B2020000}"/>
    <cellStyle name="_PercentSpace_Book1" xfId="1635" xr:uid="{00000000-0005-0000-0000-0000B3020000}"/>
    <cellStyle name="_PercentSpace_Book1_Jazztel model 16DP3-Exhibits" xfId="1636" xr:uid="{00000000-0005-0000-0000-0000B4020000}"/>
    <cellStyle name="_PercentSpace_Book1_Jazztel model 16DP3-Exhibits_T_MOBIL2" xfId="1637" xr:uid="{00000000-0005-0000-0000-0000B5020000}"/>
    <cellStyle name="_PercentSpace_Book1_Jazztel model 16DP3-Exhibits_T_MOBIL2_Book2" xfId="1638" xr:uid="{00000000-0005-0000-0000-0000B6020000}"/>
    <cellStyle name="_PercentSpace_Book1_Jazztel model 16DP3-Exhibits_T_MOBIL2_Book2 2" xfId="1639" xr:uid="{00000000-0005-0000-0000-0000B7020000}"/>
    <cellStyle name="_PercentSpace_Book1_Jazztel model 16DP3-Exhibits_T_MOBIL2_TDC-2Aug2001_UPD" xfId="1640" xr:uid="{00000000-0005-0000-0000-0000B8020000}"/>
    <cellStyle name="_PercentSpace_Book1_Jazztel model 16DP3-Exhibits_T_MOBIL2_TDC-2Aug2001_UPD 2" xfId="1641" xr:uid="{00000000-0005-0000-0000-0000B9020000}"/>
    <cellStyle name="_PercentSpace_Book1_Jazztel model 18DP-exhibits" xfId="1642" xr:uid="{00000000-0005-0000-0000-0000BA020000}"/>
    <cellStyle name="_PercentSpace_Book11" xfId="1643" xr:uid="{00000000-0005-0000-0000-0000BB020000}"/>
    <cellStyle name="_PercentSpace_Book11_Jazztel model 16DP3-Exhibits" xfId="1644" xr:uid="{00000000-0005-0000-0000-0000BC020000}"/>
    <cellStyle name="_PercentSpace_Book11_Jazztel model 16DP3-Exhibits_T_MOBIL2" xfId="1645" xr:uid="{00000000-0005-0000-0000-0000BD020000}"/>
    <cellStyle name="_PercentSpace_Book11_Jazztel model 16DP3-Exhibits_T_MOBIL2_Book2" xfId="1646" xr:uid="{00000000-0005-0000-0000-0000BE020000}"/>
    <cellStyle name="_PercentSpace_Book11_Jazztel model 16DP3-Exhibits_T_MOBIL2_Book2 2" xfId="1647" xr:uid="{00000000-0005-0000-0000-0000BF020000}"/>
    <cellStyle name="_PercentSpace_Book11_Jazztel model 16DP3-Exhibits_T_MOBIL2_TDC-2Aug2001_UPD" xfId="1648" xr:uid="{00000000-0005-0000-0000-0000C0020000}"/>
    <cellStyle name="_PercentSpace_Book11_Jazztel model 16DP3-Exhibits_T_MOBIL2_TDC-2Aug2001_UPD 2" xfId="1649" xr:uid="{00000000-0005-0000-0000-0000C1020000}"/>
    <cellStyle name="_PercentSpace_Book11_Jazztel model 18DP-exhibits" xfId="1650" xr:uid="{00000000-0005-0000-0000-0000C2020000}"/>
    <cellStyle name="_PercentSpace_Book12" xfId="1651" xr:uid="{00000000-0005-0000-0000-0000C3020000}"/>
    <cellStyle name="_PercentSpace_Book12_Jazztel model 16DP3-Exhibits" xfId="1652" xr:uid="{00000000-0005-0000-0000-0000C4020000}"/>
    <cellStyle name="_PercentSpace_Book12_Jazztel model 16DP3-Exhibits_T_MOBIL2" xfId="1653" xr:uid="{00000000-0005-0000-0000-0000C5020000}"/>
    <cellStyle name="_PercentSpace_Book12_Jazztel model 16DP3-Exhibits_T_MOBIL2_Book2" xfId="1654" xr:uid="{00000000-0005-0000-0000-0000C6020000}"/>
    <cellStyle name="_PercentSpace_Book12_Jazztel model 16DP3-Exhibits_T_MOBIL2_Book2 2" xfId="1655" xr:uid="{00000000-0005-0000-0000-0000C7020000}"/>
    <cellStyle name="_PercentSpace_Book12_Jazztel model 16DP3-Exhibits_T_MOBIL2_TDC-2Aug2001_UPD" xfId="1656" xr:uid="{00000000-0005-0000-0000-0000C8020000}"/>
    <cellStyle name="_PercentSpace_Book12_Jazztel model 16DP3-Exhibits_T_MOBIL2_TDC-2Aug2001_UPD 2" xfId="1657" xr:uid="{00000000-0005-0000-0000-0000C9020000}"/>
    <cellStyle name="_PercentSpace_Book12_Jazztel model 18DP-exhibits" xfId="1658" xr:uid="{00000000-0005-0000-0000-0000CA020000}"/>
    <cellStyle name="_PercentSpace_CMJMODEL" xfId="1659" xr:uid="{00000000-0005-0000-0000-0000CB020000}"/>
    <cellStyle name="_PercentSpace_DCF Alexander Forbes" xfId="544" xr:uid="{00000000-0005-0000-0000-0000CC020000}"/>
    <cellStyle name="_PercentSpace_DCF Summary pages" xfId="1660" xr:uid="{00000000-0005-0000-0000-0000CD020000}"/>
    <cellStyle name="_PercentSpace_DCF Summary pages_Jazztel model 16DP3-Exhibits" xfId="1661" xr:uid="{00000000-0005-0000-0000-0000CE020000}"/>
    <cellStyle name="_PercentSpace_DCF Summary pages_Jazztel model 16DP3-Exhibits_T_MOBIL2" xfId="1662" xr:uid="{00000000-0005-0000-0000-0000CF020000}"/>
    <cellStyle name="_PercentSpace_DCF Summary pages_Jazztel model 16DP3-Exhibits_T_MOBIL2_Book2" xfId="1663" xr:uid="{00000000-0005-0000-0000-0000D0020000}"/>
    <cellStyle name="_PercentSpace_DCF Summary pages_Jazztel model 16DP3-Exhibits_T_MOBIL2_Book2 2" xfId="1664" xr:uid="{00000000-0005-0000-0000-0000D1020000}"/>
    <cellStyle name="_PercentSpace_DCF Summary pages_Jazztel model 16DP3-Exhibits_T_MOBIL2_TDC-2Aug2001_UPD" xfId="1665" xr:uid="{00000000-0005-0000-0000-0000D2020000}"/>
    <cellStyle name="_PercentSpace_DCF Summary pages_Jazztel model 16DP3-Exhibits_T_MOBIL2_TDC-2Aug2001_UPD 2" xfId="1666" xr:uid="{00000000-0005-0000-0000-0000D3020000}"/>
    <cellStyle name="_PercentSpace_DCF Summary pages_Jazztel model 18DP-exhibits" xfId="1667" xr:uid="{00000000-0005-0000-0000-0000D4020000}"/>
    <cellStyle name="_PercentSpace_FMBI MBHI Graphs" xfId="545" xr:uid="{00000000-0005-0000-0000-0000D5020000}"/>
    <cellStyle name="_PercentSpace_FMBI MBHI Graphs 07102001" xfId="546" xr:uid="{00000000-0005-0000-0000-0000D6020000}"/>
    <cellStyle name="_PercentSpace_FMBI MBHI Graphs_7601" xfId="547" xr:uid="{00000000-0005-0000-0000-0000D7020000}"/>
    <cellStyle name="_PercentSpace_FOXTELMODEL" xfId="1668" xr:uid="{00000000-0005-0000-0000-0000D8020000}"/>
    <cellStyle name="_PercentSpace_HWLaug2000" xfId="120" xr:uid="{00000000-0005-0000-0000-0000D9020000}"/>
    <cellStyle name="_PercentSpace_HWLaug2000 2" xfId="1669" xr:uid="{00000000-0005-0000-0000-0000DA020000}"/>
    <cellStyle name="_PercentSpace_Jazztel model 15-exhibits" xfId="1670" xr:uid="{00000000-0005-0000-0000-0000DB020000}"/>
    <cellStyle name="_PercentSpace_Jazztel model 15-exhibits bis" xfId="1671" xr:uid="{00000000-0005-0000-0000-0000DC020000}"/>
    <cellStyle name="_PercentSpace_Jazztel model 15-exhibits bis_T_MOBIL2" xfId="1672" xr:uid="{00000000-0005-0000-0000-0000DD020000}"/>
    <cellStyle name="_PercentSpace_Jazztel model 15-exhibits bis_T_MOBIL2_Book2" xfId="1673" xr:uid="{00000000-0005-0000-0000-0000DE020000}"/>
    <cellStyle name="_PercentSpace_Jazztel model 15-exhibits bis_T_MOBIL2_Book2 2" xfId="1674" xr:uid="{00000000-0005-0000-0000-0000DF020000}"/>
    <cellStyle name="_PercentSpace_Jazztel model 15-exhibits bis_T_MOBIL2_TDC-2Aug2001_UPD" xfId="1675" xr:uid="{00000000-0005-0000-0000-0000E0020000}"/>
    <cellStyle name="_PercentSpace_Jazztel model 15-exhibits bis_T_MOBIL2_TDC-2Aug2001_UPD 2" xfId="1676" xr:uid="{00000000-0005-0000-0000-0000E1020000}"/>
    <cellStyle name="_PercentSpace_Jazztel model 15-exhibits_Jazztel model 16DP3-Exhibits" xfId="1677" xr:uid="{00000000-0005-0000-0000-0000E2020000}"/>
    <cellStyle name="_PercentSpace_Jazztel model 15-exhibits_Jazztel model 16DP3-Exhibits_T_MOBIL2" xfId="1678" xr:uid="{00000000-0005-0000-0000-0000E3020000}"/>
    <cellStyle name="_PercentSpace_Jazztel model 15-exhibits_Jazztel model 16DP3-Exhibits_T_MOBIL2_Book2" xfId="1679" xr:uid="{00000000-0005-0000-0000-0000E4020000}"/>
    <cellStyle name="_PercentSpace_Jazztel model 15-exhibits_Jazztel model 16DP3-Exhibits_T_MOBIL2_Book2 2" xfId="1680" xr:uid="{00000000-0005-0000-0000-0000E5020000}"/>
    <cellStyle name="_PercentSpace_Jazztel model 15-exhibits_Jazztel model 16DP3-Exhibits_T_MOBIL2_TDC-2Aug2001_UPD" xfId="1681" xr:uid="{00000000-0005-0000-0000-0000E6020000}"/>
    <cellStyle name="_PercentSpace_Jazztel model 15-exhibits_Jazztel model 16DP3-Exhibits_T_MOBIL2_TDC-2Aug2001_UPD 2" xfId="1682" xr:uid="{00000000-0005-0000-0000-0000E7020000}"/>
    <cellStyle name="_PercentSpace_Jazztel model 15-exhibits_Jazztel model 18DP-exhibits" xfId="1683" xr:uid="{00000000-0005-0000-0000-0000E8020000}"/>
    <cellStyle name="_PercentSpace_Jazztel model 15-exhibits-Friso2" xfId="1684" xr:uid="{00000000-0005-0000-0000-0000E9020000}"/>
    <cellStyle name="_PercentSpace_Jazztel model 15-exhibits-Friso2_Jazztel model 16DP3-Exhibits" xfId="1685" xr:uid="{00000000-0005-0000-0000-0000EA020000}"/>
    <cellStyle name="_PercentSpace_Jazztel model 15-exhibits-Friso2_Jazztel model 16DP3-Exhibits_T_MOBIL2" xfId="1686" xr:uid="{00000000-0005-0000-0000-0000EB020000}"/>
    <cellStyle name="_PercentSpace_Jazztel model 15-exhibits-Friso2_Jazztel model 16DP3-Exhibits_T_MOBIL2_Book2" xfId="1687" xr:uid="{00000000-0005-0000-0000-0000EC020000}"/>
    <cellStyle name="_PercentSpace_Jazztel model 15-exhibits-Friso2_Jazztel model 16DP3-Exhibits_T_MOBIL2_Book2 2" xfId="1688" xr:uid="{00000000-0005-0000-0000-0000ED020000}"/>
    <cellStyle name="_PercentSpace_Jazztel model 15-exhibits-Friso2_Jazztel model 16DP3-Exhibits_T_MOBIL2_TDC-2Aug2001_UPD" xfId="1689" xr:uid="{00000000-0005-0000-0000-0000EE020000}"/>
    <cellStyle name="_PercentSpace_Jazztel model 15-exhibits-Friso2_Jazztel model 16DP3-Exhibits_T_MOBIL2_TDC-2Aug2001_UPD 2" xfId="1690" xr:uid="{00000000-0005-0000-0000-0000EF020000}"/>
    <cellStyle name="_PercentSpace_Jazztel model 15-exhibits-Friso2_Jazztel model 18DP-exhibits" xfId="1691" xr:uid="{00000000-0005-0000-0000-0000F0020000}"/>
    <cellStyle name="_PercentSpace_Jazztel model 16DP2-Exhibits" xfId="1692" xr:uid="{00000000-0005-0000-0000-0000F1020000}"/>
    <cellStyle name="_PercentSpace_Jazztel model 16DP3-Exhibits" xfId="1693" xr:uid="{00000000-0005-0000-0000-0000F2020000}"/>
    <cellStyle name="—_PLDT report Tables" xfId="121" xr:uid="{00000000-0005-0000-0000-0000F3020000}"/>
    <cellStyle name="_Post Briefing Day Analysis" xfId="1694" xr:uid="{00000000-0005-0000-0000-0000F4020000}"/>
    <cellStyle name="—_PRICE" xfId="122" xr:uid="{00000000-0005-0000-0000-0000F5020000}"/>
    <cellStyle name="_Q Sheets" xfId="1695" xr:uid="{00000000-0005-0000-0000-0000F6020000}"/>
    <cellStyle name="—_report seperate tables" xfId="123" xr:uid="{00000000-0005-0000-0000-0000F7020000}"/>
    <cellStyle name="—_report1198tables" xfId="124" xr:uid="{00000000-0005-0000-0000-0000F8020000}"/>
    <cellStyle name="—_report1198tables 2" xfId="1696" xr:uid="{00000000-0005-0000-0000-0000F9020000}"/>
    <cellStyle name="—_report1198tables_anne" xfId="125" xr:uid="{00000000-0005-0000-0000-0000FA020000}"/>
    <cellStyle name="—_report1198tables_anne 2" xfId="1697" xr:uid="{00000000-0005-0000-0000-0000FB020000}"/>
    <cellStyle name="—_report1198tables_anne_CMJMODEL" xfId="1698" xr:uid="{00000000-0005-0000-0000-0000FC020000}"/>
    <cellStyle name="—_report1198tables_anne_FOXTELMODEL" xfId="1699" xr:uid="{00000000-0005-0000-0000-0000FD020000}"/>
    <cellStyle name="—_report1198tables_CMJMODEL" xfId="1700" xr:uid="{00000000-0005-0000-0000-0000FE020000}"/>
    <cellStyle name="—_report1198tables_FOXTELMODEL" xfId="1701" xr:uid="{00000000-0005-0000-0000-0000FF020000}"/>
    <cellStyle name="—_report1198tables_tables_99" xfId="126" xr:uid="{00000000-0005-0000-0000-000000030000}"/>
    <cellStyle name="—_report1198tables_tables_99 2" xfId="1702" xr:uid="{00000000-0005-0000-0000-000001030000}"/>
    <cellStyle name="—_report1198tables_tables_99_CMJMODEL" xfId="1703" xr:uid="{00000000-0005-0000-0000-000002030000}"/>
    <cellStyle name="—_report1198tables_tables_99_FOXTELMODEL" xfId="1704" xr:uid="{00000000-0005-0000-0000-000003030000}"/>
    <cellStyle name="—_RSA" xfId="127" xr:uid="{00000000-0005-0000-0000-000004030000}"/>
    <cellStyle name="—_RSA 2" xfId="1705" xr:uid="{00000000-0005-0000-0000-000005030000}"/>
    <cellStyle name="—_RSA_CMJMODEL" xfId="1706" xr:uid="{00000000-0005-0000-0000-000006030000}"/>
    <cellStyle name="—_RSA_FOXTELMODEL" xfId="1707" xr:uid="{00000000-0005-0000-0000-000007030000}"/>
    <cellStyle name="—_RSA_hutchss" xfId="128" xr:uid="{00000000-0005-0000-0000-000008030000}"/>
    <cellStyle name="—_RSA_MASTER" xfId="129" xr:uid="{00000000-0005-0000-0000-000009030000}"/>
    <cellStyle name="—_RSA_WHARFSS" xfId="130" xr:uid="{00000000-0005-0000-0000-00000A030000}"/>
    <cellStyle name="_SHL - Model.xls Chart 1" xfId="131" xr:uid="{00000000-0005-0000-0000-00000B030000}"/>
    <cellStyle name="_SHL - Model.xls Chart 2" xfId="132" xr:uid="{00000000-0005-0000-0000-00000C030000}"/>
    <cellStyle name="_staff" xfId="1708" xr:uid="{00000000-0005-0000-0000-00000D030000}"/>
    <cellStyle name="_SubHeading" xfId="548" xr:uid="{00000000-0005-0000-0000-00000E030000}"/>
    <cellStyle name="_SubHeading_Ability to Pay Analysis" xfId="549" xr:uid="{00000000-0005-0000-0000-00000F030000}"/>
    <cellStyle name="_SubHeading_BankUnited Model" xfId="550" xr:uid="{00000000-0005-0000-0000-000010030000}"/>
    <cellStyle name="_SubHeading_fmbi counties" xfId="551" xr:uid="{00000000-0005-0000-0000-000011030000}"/>
    <cellStyle name="_SubHeading_FMBI MBHI Graphs" xfId="552" xr:uid="{00000000-0005-0000-0000-000012030000}"/>
    <cellStyle name="_SubHeading_FMBI MBHI Graphs 07102001" xfId="553" xr:uid="{00000000-0005-0000-0000-000013030000}"/>
    <cellStyle name="_SubHeading_FMBI MBHI Graphs_7601" xfId="554" xr:uid="{00000000-0005-0000-0000-000014030000}"/>
    <cellStyle name="_SubHeading_prestemp" xfId="555" xr:uid="{00000000-0005-0000-0000-000015030000}"/>
    <cellStyle name="_SubHeading_prestemp_Insurance Brokerage CSC_1Q2002" xfId="556" xr:uid="{00000000-0005-0000-0000-000016030000}"/>
    <cellStyle name="_SubHeading_prestemp_Overview3" xfId="557" xr:uid="{00000000-0005-0000-0000-000017030000}"/>
    <cellStyle name="_SubHeading_prestemp_Updated Valuation Changes" xfId="558" xr:uid="{00000000-0005-0000-0000-000018030000}"/>
    <cellStyle name="_SubHeading_Q" xfId="661" xr:uid="{00000000-0005-0000-0000-000019030000}"/>
    <cellStyle name="_SubHeading_q - new guidance" xfId="662" xr:uid="{00000000-0005-0000-0000-00001A030000}"/>
    <cellStyle name="_SubHeading_xratio - historical mkt val" xfId="559" xr:uid="{00000000-0005-0000-0000-00001B030000}"/>
    <cellStyle name="_Table" xfId="560" xr:uid="{00000000-0005-0000-0000-00001C030000}"/>
    <cellStyle name="_Table_Ability to Pay Analysis" xfId="561" xr:uid="{00000000-0005-0000-0000-00001D030000}"/>
    <cellStyle name="_Table_BankUnited Model" xfId="562" xr:uid="{00000000-0005-0000-0000-00001E030000}"/>
    <cellStyle name="_Table_fmbi counties" xfId="563" xr:uid="{00000000-0005-0000-0000-00001F030000}"/>
    <cellStyle name="_Table_Q" xfId="663" xr:uid="{00000000-0005-0000-0000-000020030000}"/>
    <cellStyle name="_Table_q - new guidance" xfId="664" xr:uid="{00000000-0005-0000-0000-000021030000}"/>
    <cellStyle name="_Table_xratio - historical mkt val" xfId="564" xr:uid="{00000000-0005-0000-0000-000022030000}"/>
    <cellStyle name="_TableHead" xfId="565" xr:uid="{00000000-0005-0000-0000-000023030000}"/>
    <cellStyle name="_TableHead_Q" xfId="665" xr:uid="{00000000-0005-0000-0000-000024030000}"/>
    <cellStyle name="_TableHead_q - new guidance" xfId="666" xr:uid="{00000000-0005-0000-0000-000025030000}"/>
    <cellStyle name="_TableRowBorder" xfId="667" xr:uid="{00000000-0005-0000-0000-000026030000}"/>
    <cellStyle name="_TableRowHead" xfId="566" xr:uid="{00000000-0005-0000-0000-000027030000}"/>
    <cellStyle name="_TableRowHead_Q" xfId="668" xr:uid="{00000000-0005-0000-0000-000028030000}"/>
    <cellStyle name="_TableRowHead_q - new guidance" xfId="669" xr:uid="{00000000-0005-0000-0000-000029030000}"/>
    <cellStyle name="—_tables_99-3" xfId="133" xr:uid="{00000000-0005-0000-0000-00002A030000}"/>
    <cellStyle name="_TableSuperHead" xfId="567" xr:uid="{00000000-0005-0000-0000-00002B030000}"/>
    <cellStyle name="_TableSuperHead_Ability to Pay Analysis" xfId="568" xr:uid="{00000000-0005-0000-0000-00002C030000}"/>
    <cellStyle name="_TableSuperHead_BankUnited Model" xfId="569" xr:uid="{00000000-0005-0000-0000-00002D030000}"/>
    <cellStyle name="_TableSuperHead_fmbi counties" xfId="570" xr:uid="{00000000-0005-0000-0000-00002E030000}"/>
    <cellStyle name="_TableSuperHead_Q" xfId="670" xr:uid="{00000000-0005-0000-0000-00002F030000}"/>
    <cellStyle name="_TableSuperHead_q - new guidance" xfId="671" xr:uid="{00000000-0005-0000-0000-000030030000}"/>
    <cellStyle name="_TableSuperHead_xratio - historical mkt val" xfId="571" xr:uid="{00000000-0005-0000-0000-000031030000}"/>
    <cellStyle name="_TEL" xfId="1709" xr:uid="{00000000-0005-0000-0000-000032030000}"/>
    <cellStyle name="_Tpw wip" xfId="1710" xr:uid="{00000000-0005-0000-0000-000033030000}"/>
    <cellStyle name="_Vct" xfId="1711" xr:uid="{00000000-0005-0000-0000-000034030000}"/>
    <cellStyle name="—_WHARFSS" xfId="134" xr:uid="{00000000-0005-0000-0000-000035030000}"/>
    <cellStyle name="’Ê‰Ý [0.00]_laroux" xfId="135" xr:uid="{00000000-0005-0000-0000-000036030000}"/>
    <cellStyle name="’Ê‰Ý_laroux" xfId="136" xr:uid="{00000000-0005-0000-0000-000037030000}"/>
    <cellStyle name="¢" xfId="1712" xr:uid="{00000000-0005-0000-0000-000038030000}"/>
    <cellStyle name="£ BP" xfId="672" xr:uid="{00000000-0005-0000-0000-000039030000}"/>
    <cellStyle name="¥ JY" xfId="673" xr:uid="{00000000-0005-0000-0000-00003A030000}"/>
    <cellStyle name="=C:\WINNT\SYSTEM32\COMMAND.COM" xfId="137" xr:uid="{00000000-0005-0000-0000-00003B030000}"/>
    <cellStyle name="§Q\?1@" xfId="138" xr:uid="{00000000-0005-0000-0000-00003C030000}"/>
    <cellStyle name="§Q\?1@ 2" xfId="1713" xr:uid="{00000000-0005-0000-0000-00003D030000}"/>
    <cellStyle name="•W€_laroux" xfId="139" xr:uid="{00000000-0005-0000-0000-00003E030000}"/>
    <cellStyle name="•W_GE 3 MINIMUM" xfId="674" xr:uid="{00000000-0005-0000-0000-00003F030000}"/>
    <cellStyle name="0%" xfId="140" xr:uid="{00000000-0005-0000-0000-000040030000}"/>
    <cellStyle name="0.0" xfId="141" xr:uid="{00000000-0005-0000-0000-000041030000}"/>
    <cellStyle name="0.0%" xfId="142" xr:uid="{00000000-0005-0000-0000-000042030000}"/>
    <cellStyle name="0.0% 2" xfId="1714" xr:uid="{00000000-0005-0000-0000-000043030000}"/>
    <cellStyle name="0.00%" xfId="143" xr:uid="{00000000-0005-0000-0000-000044030000}"/>
    <cellStyle name="0000" xfId="1715" xr:uid="{00000000-0005-0000-0000-000045030000}"/>
    <cellStyle name="0x" xfId="1716" xr:uid="{00000000-0005-0000-0000-000046030000}"/>
    <cellStyle name="0x 2" xfId="1717" xr:uid="{00000000-0005-0000-0000-000047030000}"/>
    <cellStyle name="1" xfId="144" xr:uid="{00000000-0005-0000-0000-000048030000}"/>
    <cellStyle name="1 Decimal" xfId="145" xr:uid="{00000000-0005-0000-0000-000049030000}"/>
    <cellStyle name="1,000" xfId="146" xr:uid="{00000000-0005-0000-0000-00004A030000}"/>
    <cellStyle name="1,000 2" xfId="1718" xr:uid="{00000000-0005-0000-0000-00004B030000}"/>
    <cellStyle name="1,000x" xfId="147" xr:uid="{00000000-0005-0000-0000-00004C030000}"/>
    <cellStyle name="1,000x 2" xfId="1719" xr:uid="{00000000-0005-0000-0000-00004D030000}"/>
    <cellStyle name="2 decimal" xfId="1720" xr:uid="{00000000-0005-0000-0000-00004E030000}"/>
    <cellStyle name="2 Decimals" xfId="148" xr:uid="{00000000-0005-0000-0000-00004F030000}"/>
    <cellStyle name="20% - Accent1" xfId="149" builtinId="30" customBuiltin="1"/>
    <cellStyle name="20% - Accent1 2" xfId="1721" xr:uid="{00000000-0005-0000-0000-000051030000}"/>
    <cellStyle name="20% - Accent1 3" xfId="1722" xr:uid="{00000000-0005-0000-0000-000052030000}"/>
    <cellStyle name="20% - Accent2" xfId="150" builtinId="34" customBuiltin="1"/>
    <cellStyle name="20% - Accent2 2" xfId="1723" xr:uid="{00000000-0005-0000-0000-000054030000}"/>
    <cellStyle name="20% - Accent2 3" xfId="1724" xr:uid="{00000000-0005-0000-0000-000055030000}"/>
    <cellStyle name="20% - Accent3" xfId="151" builtinId="38" customBuiltin="1"/>
    <cellStyle name="20% - Accent3 2" xfId="1725" xr:uid="{00000000-0005-0000-0000-000057030000}"/>
    <cellStyle name="20% - Accent3 3" xfId="1726" xr:uid="{00000000-0005-0000-0000-000058030000}"/>
    <cellStyle name="20% - Accent4" xfId="152" builtinId="42" customBuiltin="1"/>
    <cellStyle name="20% - Accent4 2" xfId="1727" xr:uid="{00000000-0005-0000-0000-00005A030000}"/>
    <cellStyle name="20% - Accent4 3" xfId="1728" xr:uid="{00000000-0005-0000-0000-00005B030000}"/>
    <cellStyle name="20% - Accent5" xfId="153" builtinId="46" customBuiltin="1"/>
    <cellStyle name="20% - Accent5 2" xfId="1729" xr:uid="{00000000-0005-0000-0000-00005D030000}"/>
    <cellStyle name="20% - Accent5 3" xfId="1730" xr:uid="{00000000-0005-0000-0000-00005E030000}"/>
    <cellStyle name="20% - Accent6" xfId="154" builtinId="50" customBuiltin="1"/>
    <cellStyle name="20% - Accent6 2" xfId="1731" xr:uid="{00000000-0005-0000-0000-000060030000}"/>
    <cellStyle name="20% - Accent6 3" xfId="1732" xr:uid="{00000000-0005-0000-0000-000061030000}"/>
    <cellStyle name="3 Decimals" xfId="155" xr:uid="{00000000-0005-0000-0000-000062030000}"/>
    <cellStyle name="40% - Accent1" xfId="156" builtinId="31" customBuiltin="1"/>
    <cellStyle name="40% - Accent1 2" xfId="1733" xr:uid="{00000000-0005-0000-0000-000064030000}"/>
    <cellStyle name="40% - Accent1 3" xfId="1734" xr:uid="{00000000-0005-0000-0000-000065030000}"/>
    <cellStyle name="40% - Accent2" xfId="157" builtinId="35" customBuiltin="1"/>
    <cellStyle name="40% - Accent2 2" xfId="1735" xr:uid="{00000000-0005-0000-0000-000067030000}"/>
    <cellStyle name="40% - Accent2 3" xfId="1736" xr:uid="{00000000-0005-0000-0000-000068030000}"/>
    <cellStyle name="40% - Accent3" xfId="158" builtinId="39" customBuiltin="1"/>
    <cellStyle name="40% - Accent3 2" xfId="1737" xr:uid="{00000000-0005-0000-0000-00006A030000}"/>
    <cellStyle name="40% - Accent3 3" xfId="1738" xr:uid="{00000000-0005-0000-0000-00006B030000}"/>
    <cellStyle name="40% - Accent4" xfId="159" builtinId="43" customBuiltin="1"/>
    <cellStyle name="40% - Accent4 2" xfId="1739" xr:uid="{00000000-0005-0000-0000-00006D030000}"/>
    <cellStyle name="40% - Accent4 3" xfId="1740" xr:uid="{00000000-0005-0000-0000-00006E030000}"/>
    <cellStyle name="40% - Accent5" xfId="160" builtinId="47" customBuiltin="1"/>
    <cellStyle name="40% - Accent5 2" xfId="1741" xr:uid="{00000000-0005-0000-0000-000070030000}"/>
    <cellStyle name="40% - Accent5 3" xfId="1742" xr:uid="{00000000-0005-0000-0000-000071030000}"/>
    <cellStyle name="40% - Accent6" xfId="161" builtinId="51" customBuiltin="1"/>
    <cellStyle name="40% - Accent6 2" xfId="1743" xr:uid="{00000000-0005-0000-0000-000073030000}"/>
    <cellStyle name="40% - Accent6 3" xfId="1744" xr:uid="{00000000-0005-0000-0000-000074030000}"/>
    <cellStyle name="60% - Accent1" xfId="162" builtinId="32" customBuiltin="1"/>
    <cellStyle name="60% - Accent1 2" xfId="1745" xr:uid="{00000000-0005-0000-0000-000076030000}"/>
    <cellStyle name="60% - Accent2" xfId="163" builtinId="36" customBuiltin="1"/>
    <cellStyle name="60% - Accent2 2" xfId="1746" xr:uid="{00000000-0005-0000-0000-000078030000}"/>
    <cellStyle name="60% - Accent3" xfId="164" builtinId="40" customBuiltin="1"/>
    <cellStyle name="60% - Accent3 2" xfId="1747" xr:uid="{00000000-0005-0000-0000-00007A030000}"/>
    <cellStyle name="60% - Accent4" xfId="165" builtinId="44" customBuiltin="1"/>
    <cellStyle name="60% - Accent4 2" xfId="1748" xr:uid="{00000000-0005-0000-0000-00007C030000}"/>
    <cellStyle name="60% - Accent5" xfId="166" builtinId="48" customBuiltin="1"/>
    <cellStyle name="60% - Accent5 2" xfId="1749" xr:uid="{00000000-0005-0000-0000-00007E030000}"/>
    <cellStyle name="60% - Accent6" xfId="167" builtinId="52" customBuiltin="1"/>
    <cellStyle name="60% - Accent6 2" xfId="1750" xr:uid="{00000000-0005-0000-0000-000080030000}"/>
    <cellStyle name="a" xfId="168" xr:uid="{00000000-0005-0000-0000-000081030000}"/>
    <cellStyle name="Accent1" xfId="169" builtinId="29" customBuiltin="1"/>
    <cellStyle name="Accent1 2" xfId="1751" xr:uid="{00000000-0005-0000-0000-000083030000}"/>
    <cellStyle name="Accent2" xfId="170" builtinId="33" customBuiltin="1"/>
    <cellStyle name="Accent2 2" xfId="1752" xr:uid="{00000000-0005-0000-0000-000085030000}"/>
    <cellStyle name="Accent3" xfId="171" builtinId="37" customBuiltin="1"/>
    <cellStyle name="Accent3 2" xfId="1753" xr:uid="{00000000-0005-0000-0000-000087030000}"/>
    <cellStyle name="Accent4" xfId="172" builtinId="41" customBuiltin="1"/>
    <cellStyle name="Accent4 2" xfId="1754" xr:uid="{00000000-0005-0000-0000-000089030000}"/>
    <cellStyle name="Accent5" xfId="173" builtinId="45" customBuiltin="1"/>
    <cellStyle name="Accent5 2" xfId="1755" xr:uid="{00000000-0005-0000-0000-00008B030000}"/>
    <cellStyle name="Accent6" xfId="174" builtinId="49" customBuiltin="1"/>
    <cellStyle name="Accent6 2" xfId="1756" xr:uid="{00000000-0005-0000-0000-00008D030000}"/>
    <cellStyle name="Actual data" xfId="175" xr:uid="{00000000-0005-0000-0000-00008E030000}"/>
    <cellStyle name="Actual year" xfId="176" xr:uid="{00000000-0005-0000-0000-00008F030000}"/>
    <cellStyle name="Actuals Cells" xfId="177" xr:uid="{00000000-0005-0000-0000-000090030000}"/>
    <cellStyle name="Actuals Cells 2" xfId="1757" xr:uid="{00000000-0005-0000-0000-000091030000}"/>
    <cellStyle name="AFE" xfId="572" xr:uid="{00000000-0005-0000-0000-000092030000}"/>
    <cellStyle name="afl" xfId="573" xr:uid="{00000000-0005-0000-0000-000093030000}"/>
    <cellStyle name="Analyst_Data" xfId="178" xr:uid="{00000000-0005-0000-0000-000094030000}"/>
    <cellStyle name="Andre's Title" xfId="574" xr:uid="{00000000-0005-0000-0000-000095030000}"/>
    <cellStyle name="Arial 10" xfId="179" xr:uid="{00000000-0005-0000-0000-000096030000}"/>
    <cellStyle name="ArialNormal" xfId="675" xr:uid="{00000000-0005-0000-0000-000097030000}"/>
    <cellStyle name="B" xfId="1758" xr:uid="{00000000-0005-0000-0000-000098030000}"/>
    <cellStyle name="B_2010 TEL" xfId="1759" xr:uid="{00000000-0005-0000-0000-000099030000}"/>
    <cellStyle name="B_GSJBW 250506hub3" xfId="1760" xr:uid="{00000000-0005-0000-0000-00009A030000}"/>
    <cellStyle name="Bad" xfId="180" builtinId="27" customBuiltin="1"/>
    <cellStyle name="Bad 2" xfId="356" xr:uid="{00000000-0005-0000-0000-00009C030000}"/>
    <cellStyle name="Bad 3" xfId="1761" xr:uid="{00000000-0005-0000-0000-00009D030000}"/>
    <cellStyle name="BalanceSheet" xfId="676" xr:uid="{00000000-0005-0000-0000-00009E030000}"/>
    <cellStyle name="bch" xfId="677" xr:uid="{00000000-0005-0000-0000-00009F030000}"/>
    <cellStyle name="bci" xfId="678" xr:uid="{00000000-0005-0000-0000-0000A0030000}"/>
    <cellStyle name="Black" xfId="181" xr:uid="{00000000-0005-0000-0000-0000A1030000}"/>
    <cellStyle name="Black 2" xfId="1762" xr:uid="{00000000-0005-0000-0000-0000A2030000}"/>
    <cellStyle name="Blank" xfId="182" xr:uid="{00000000-0005-0000-0000-0000A3030000}"/>
    <cellStyle name="BLUE" xfId="183" xr:uid="{00000000-0005-0000-0000-0000A4030000}"/>
    <cellStyle name="Blue heading" xfId="1763" xr:uid="{00000000-0005-0000-0000-0000A5030000}"/>
    <cellStyle name="Blue Title" xfId="575" xr:uid="{00000000-0005-0000-0000-0000A6030000}"/>
    <cellStyle name="Blue Title 2" xfId="679" xr:uid="{00000000-0005-0000-0000-0000A7030000}"/>
    <cellStyle name="Blue Title 2 2" xfId="680" xr:uid="{00000000-0005-0000-0000-0000A8030000}"/>
    <cellStyle name="BLUE_CMJMODEL" xfId="1764" xr:uid="{00000000-0005-0000-0000-0000A9030000}"/>
    <cellStyle name="Bold" xfId="681" xr:uid="{00000000-0005-0000-0000-0000AA030000}"/>
    <cellStyle name="Bold/Border" xfId="682" xr:uid="{00000000-0005-0000-0000-0000AB030000}"/>
    <cellStyle name="Bold/Border 2" xfId="683" xr:uid="{00000000-0005-0000-0000-0000AC030000}"/>
    <cellStyle name="Bold12" xfId="684" xr:uid="{00000000-0005-0000-0000-0000AD030000}"/>
    <cellStyle name="BoldItal12" xfId="685" xr:uid="{00000000-0005-0000-0000-0000AE030000}"/>
    <cellStyle name="Border" xfId="1765" xr:uid="{00000000-0005-0000-0000-0000AF030000}"/>
    <cellStyle name="Bottom bold border" xfId="686" xr:uid="{00000000-0005-0000-0000-0000B0030000}"/>
    <cellStyle name="Bottom bold border 2" xfId="687" xr:uid="{00000000-0005-0000-0000-0000B1030000}"/>
    <cellStyle name="Bottom Border Line" xfId="688" xr:uid="{00000000-0005-0000-0000-0000B2030000}"/>
    <cellStyle name="Bottom single border" xfId="689" xr:uid="{00000000-0005-0000-0000-0000B3030000}"/>
    <cellStyle name="Bottom single border 2" xfId="690" xr:uid="{00000000-0005-0000-0000-0000B4030000}"/>
    <cellStyle name="BRACKET" xfId="184" xr:uid="{00000000-0005-0000-0000-0000B5030000}"/>
    <cellStyle name="Brackets" xfId="1766" xr:uid="{00000000-0005-0000-0000-0000B6030000}"/>
    <cellStyle name="Brackets [0]" xfId="1767" xr:uid="{00000000-0005-0000-0000-0000B7030000}"/>
    <cellStyle name="buck" xfId="691" xr:uid="{00000000-0005-0000-0000-0000B8030000}"/>
    <cellStyle name="Bullet" xfId="692" xr:uid="{00000000-0005-0000-0000-0000B9030000}"/>
    <cellStyle name="Calc Cells" xfId="185" xr:uid="{00000000-0005-0000-0000-0000BA030000}"/>
    <cellStyle name="Calc Cells 2" xfId="1768" xr:uid="{00000000-0005-0000-0000-0000BB030000}"/>
    <cellStyle name="Calc Currency (0)" xfId="186" xr:uid="{00000000-0005-0000-0000-0000BC030000}"/>
    <cellStyle name="Calc Currency (2)" xfId="187" xr:uid="{00000000-0005-0000-0000-0000BD030000}"/>
    <cellStyle name="Calc Percent (0)" xfId="188" xr:uid="{00000000-0005-0000-0000-0000BE030000}"/>
    <cellStyle name="Calc Percent (1)" xfId="189" xr:uid="{00000000-0005-0000-0000-0000BF030000}"/>
    <cellStyle name="Calc Percent (2)" xfId="190" xr:uid="{00000000-0005-0000-0000-0000C0030000}"/>
    <cellStyle name="Calc Units (0)" xfId="191" xr:uid="{00000000-0005-0000-0000-0000C1030000}"/>
    <cellStyle name="Calc Units (1)" xfId="192" xr:uid="{00000000-0005-0000-0000-0000C2030000}"/>
    <cellStyle name="Calc Units (2)" xfId="193" xr:uid="{00000000-0005-0000-0000-0000C3030000}"/>
    <cellStyle name="Calculation" xfId="194" builtinId="22" customBuiltin="1"/>
    <cellStyle name="Calculation 2" xfId="1769" xr:uid="{00000000-0005-0000-0000-0000C5030000}"/>
    <cellStyle name="Case" xfId="576" xr:uid="{00000000-0005-0000-0000-0000C6030000}"/>
    <cellStyle name="CashFlow" xfId="693" xr:uid="{00000000-0005-0000-0000-0000C7030000}"/>
    <cellStyle name="CATV Total" xfId="1770" xr:uid="{00000000-0005-0000-0000-0000C8030000}"/>
    <cellStyle name="cell" xfId="694" xr:uid="{00000000-0005-0000-0000-0000C9030000}"/>
    <cellStyle name="ch" xfId="695" xr:uid="{00000000-0005-0000-0000-0000CA030000}"/>
    <cellStyle name="Changeable" xfId="696" xr:uid="{00000000-0005-0000-0000-0000CB030000}"/>
    <cellStyle name="Check" xfId="1771" xr:uid="{00000000-0005-0000-0000-0000CC030000}"/>
    <cellStyle name="Check Cell" xfId="195" builtinId="23" customBuiltin="1"/>
    <cellStyle name="Check Cell 2" xfId="1772" xr:uid="{00000000-0005-0000-0000-0000CE030000}"/>
    <cellStyle name="Co. Names" xfId="577" xr:uid="{00000000-0005-0000-0000-0000CF030000}"/>
    <cellStyle name="Co. Names - Bold" xfId="578" xr:uid="{00000000-0005-0000-0000-0000D0030000}"/>
    <cellStyle name="Co. Names_Blend" xfId="579" xr:uid="{00000000-0005-0000-0000-0000D1030000}"/>
    <cellStyle name="Col Head" xfId="580" xr:uid="{00000000-0005-0000-0000-0000D2030000}"/>
    <cellStyle name="Col head bold" xfId="196" xr:uid="{00000000-0005-0000-0000-0000D3030000}"/>
    <cellStyle name="Col head light" xfId="197" xr:uid="{00000000-0005-0000-0000-0000D4030000}"/>
    <cellStyle name="COL HEADINGS" xfId="697" xr:uid="{00000000-0005-0000-0000-0000D5030000}"/>
    <cellStyle name="COL HEADINGS 2" xfId="698" xr:uid="{00000000-0005-0000-0000-0000D6030000}"/>
    <cellStyle name="ColGap" xfId="198" xr:uid="{00000000-0005-0000-0000-0000D7030000}"/>
    <cellStyle name="ColGap 2" xfId="1773" xr:uid="{00000000-0005-0000-0000-0000D8030000}"/>
    <cellStyle name="Colhead" xfId="699" xr:uid="{00000000-0005-0000-0000-0000D9030000}"/>
    <cellStyle name="Colhead 2" xfId="700" xr:uid="{00000000-0005-0000-0000-0000DA030000}"/>
    <cellStyle name="ColHeadEntry" xfId="199" xr:uid="{00000000-0005-0000-0000-0000DB030000}"/>
    <cellStyle name="ColHeading" xfId="701" xr:uid="{00000000-0005-0000-0000-0000DC030000}"/>
    <cellStyle name="colheadleft" xfId="702" xr:uid="{00000000-0005-0000-0000-0000DD030000}"/>
    <cellStyle name="colheadright" xfId="703" xr:uid="{00000000-0005-0000-0000-0000DE030000}"/>
    <cellStyle name="colheadright 2" xfId="704" xr:uid="{00000000-0005-0000-0000-0000DF030000}"/>
    <cellStyle name="ColHeadYear" xfId="200" xr:uid="{00000000-0005-0000-0000-0000E0030000}"/>
    <cellStyle name="ColHeadYear 2" xfId="1774" xr:uid="{00000000-0005-0000-0000-0000E1030000}"/>
    <cellStyle name="columns" xfId="705" xr:uid="{00000000-0005-0000-0000-0000E2030000}"/>
    <cellStyle name="Comma  - Style1" xfId="706" xr:uid="{00000000-0005-0000-0000-0000E3030000}"/>
    <cellStyle name="Comma  - Style2" xfId="707" xr:uid="{00000000-0005-0000-0000-0000E4030000}"/>
    <cellStyle name="Comma  - Style3" xfId="708" xr:uid="{00000000-0005-0000-0000-0000E5030000}"/>
    <cellStyle name="Comma  - Style4" xfId="709" xr:uid="{00000000-0005-0000-0000-0000E6030000}"/>
    <cellStyle name="Comma  - Style5" xfId="710" xr:uid="{00000000-0005-0000-0000-0000E7030000}"/>
    <cellStyle name="Comma  - Style6" xfId="711" xr:uid="{00000000-0005-0000-0000-0000E8030000}"/>
    <cellStyle name="Comma  - Style7" xfId="712" xr:uid="{00000000-0005-0000-0000-0000E9030000}"/>
    <cellStyle name="Comma  - Style8" xfId="713" xr:uid="{00000000-0005-0000-0000-0000EA030000}"/>
    <cellStyle name="comma (0)" xfId="714" xr:uid="{00000000-0005-0000-0000-0000EB030000}"/>
    <cellStyle name="comma (0) 2" xfId="715" xr:uid="{00000000-0005-0000-0000-0000EC030000}"/>
    <cellStyle name="Comma [0.0]" xfId="716" xr:uid="{00000000-0005-0000-0000-0000ED030000}"/>
    <cellStyle name="Comma [00]" xfId="201" xr:uid="{00000000-0005-0000-0000-0000EE030000}"/>
    <cellStyle name="Comma [1]" xfId="202" xr:uid="{00000000-0005-0000-0000-0000EF030000}"/>
    <cellStyle name="Comma 0" xfId="1775" xr:uid="{00000000-0005-0000-0000-0000F0030000}"/>
    <cellStyle name="Comma 2" xfId="632" xr:uid="{00000000-0005-0000-0000-0000F1030000}"/>
    <cellStyle name="Comma 2 2" xfId="1981" xr:uid="{00000000-0005-0000-0000-0000F2030000}"/>
    <cellStyle name="Comma 3" xfId="639" xr:uid="{00000000-0005-0000-0000-0000F3030000}"/>
    <cellStyle name="Comma 3 2" xfId="1266" xr:uid="{00000000-0005-0000-0000-0000F4030000}"/>
    <cellStyle name="Comma 3 3" xfId="1268" xr:uid="{00000000-0005-0000-0000-0000F5030000}"/>
    <cellStyle name="Comma 4" xfId="1776" xr:uid="{00000000-0005-0000-0000-0000F6030000}"/>
    <cellStyle name="Comma 5" xfId="1777" xr:uid="{00000000-0005-0000-0000-0000F7030000}"/>
    <cellStyle name="Comma 6" xfId="1778" xr:uid="{00000000-0005-0000-0000-0000F8030000}"/>
    <cellStyle name="Comma(1)" xfId="203" xr:uid="{00000000-0005-0000-0000-0000F9030000}"/>
    <cellStyle name="Comma, 1dec" xfId="1779" xr:uid="{00000000-0005-0000-0000-0000FA030000}"/>
    <cellStyle name="comma[1]" xfId="717" xr:uid="{00000000-0005-0000-0000-0000FB030000}"/>
    <cellStyle name="comma[2]" xfId="718" xr:uid="{00000000-0005-0000-0000-0000FC030000}"/>
    <cellStyle name="Comma_PBLMODEL" xfId="204" xr:uid="{00000000-0005-0000-0000-0000FD030000}"/>
    <cellStyle name="Comma0" xfId="581" xr:uid="{00000000-0005-0000-0000-0000FE030000}"/>
    <cellStyle name="Comma0 2" xfId="1780" xr:uid="{00000000-0005-0000-0000-0000FF030000}"/>
    <cellStyle name="Comma1" xfId="1781" xr:uid="{00000000-0005-0000-0000-000000040000}"/>
    <cellStyle name="Company" xfId="719" xr:uid="{00000000-0005-0000-0000-000001040000}"/>
    <cellStyle name="Company name" xfId="205" xr:uid="{00000000-0005-0000-0000-000002040000}"/>
    <cellStyle name="CompanyTitle" xfId="582" xr:uid="{00000000-0005-0000-0000-000003040000}"/>
    <cellStyle name="Cur" xfId="1782" xr:uid="{00000000-0005-0000-0000-000004040000}"/>
    <cellStyle name="curr" xfId="720" xr:uid="{00000000-0005-0000-0000-000005040000}"/>
    <cellStyle name="curr 2" xfId="721" xr:uid="{00000000-0005-0000-0000-000006040000}"/>
    <cellStyle name="CurRatio" xfId="722" xr:uid="{00000000-0005-0000-0000-000007040000}"/>
    <cellStyle name="Currency [00]" xfId="206" xr:uid="{00000000-0005-0000-0000-000008040000}"/>
    <cellStyle name="Currency [1]" xfId="723" xr:uid="{00000000-0005-0000-0000-000009040000}"/>
    <cellStyle name="Currency [2]" xfId="583" xr:uid="{00000000-0005-0000-0000-00000A040000}"/>
    <cellStyle name="Currency 0" xfId="1783" xr:uid="{00000000-0005-0000-0000-00000B040000}"/>
    <cellStyle name="Currency 0.0" xfId="207" xr:uid="{00000000-0005-0000-0000-00000C040000}"/>
    <cellStyle name="Currency 0.0 2" xfId="1784" xr:uid="{00000000-0005-0000-0000-00000D040000}"/>
    <cellStyle name="Currency 2" xfId="724" xr:uid="{00000000-0005-0000-0000-00000E040000}"/>
    <cellStyle name="Currency 2 2" xfId="725" xr:uid="{00000000-0005-0000-0000-00000F040000}"/>
    <cellStyle name="Currency 3" xfId="1785" xr:uid="{00000000-0005-0000-0000-000010040000}"/>
    <cellStyle name="Currency 4" xfId="1786" xr:uid="{00000000-0005-0000-0000-000011040000}"/>
    <cellStyle name="Currency 5" xfId="1787" xr:uid="{00000000-0005-0000-0000-000012040000}"/>
    <cellStyle name="Currency0" xfId="584" xr:uid="{00000000-0005-0000-0000-000013040000}"/>
    <cellStyle name="custom" xfId="208" xr:uid="{00000000-0005-0000-0000-000014040000}"/>
    <cellStyle name="CustomStyle1" xfId="726" xr:uid="{00000000-0005-0000-0000-000015040000}"/>
    <cellStyle name="d" xfId="1788" xr:uid="{00000000-0005-0000-0000-000016040000}"/>
    <cellStyle name="d_yield" xfId="727" xr:uid="{00000000-0005-0000-0000-000017040000}"/>
    <cellStyle name="d_yield_EBAYearn" xfId="728" xr:uid="{00000000-0005-0000-0000-000018040000}"/>
    <cellStyle name="d_yield_NFLXearn" xfId="729" xr:uid="{00000000-0005-0000-0000-000019040000}"/>
    <cellStyle name="dah" xfId="730" xr:uid="{00000000-0005-0000-0000-00001A040000}"/>
    <cellStyle name="dan" xfId="731" xr:uid="{00000000-0005-0000-0000-00001B040000}"/>
    <cellStyle name="Dash" xfId="732" xr:uid="{00000000-0005-0000-0000-00001C040000}"/>
    <cellStyle name="date" xfId="585" xr:uid="{00000000-0005-0000-0000-00001D040000}"/>
    <cellStyle name="DATE 2" xfId="1789" xr:uid="{00000000-0005-0000-0000-00001E040000}"/>
    <cellStyle name="Date Aligned" xfId="1790" xr:uid="{00000000-0005-0000-0000-00001F040000}"/>
    <cellStyle name="Date Line" xfId="209" xr:uid="{00000000-0005-0000-0000-000020040000}"/>
    <cellStyle name="Date Short" xfId="210" xr:uid="{00000000-0005-0000-0000-000021040000}"/>
    <cellStyle name="Date Short 2" xfId="1791" xr:uid="{00000000-0005-0000-0000-000022040000}"/>
    <cellStyle name="DATE_Output 0406" xfId="1792" xr:uid="{00000000-0005-0000-0000-000023040000}"/>
    <cellStyle name="Dates" xfId="733" xr:uid="{00000000-0005-0000-0000-000024040000}"/>
    <cellStyle name="DateYear" xfId="734" xr:uid="{00000000-0005-0000-0000-000025040000}"/>
    <cellStyle name="Dec" xfId="1793" xr:uid="{00000000-0005-0000-0000-000026040000}"/>
    <cellStyle name="Decimal Number" xfId="735" xr:uid="{00000000-0005-0000-0000-000027040000}"/>
    <cellStyle name="default" xfId="586" xr:uid="{00000000-0005-0000-0000-000028040000}"/>
    <cellStyle name="default 2" xfId="1794" xr:uid="{00000000-0005-0000-0000-000029040000}"/>
    <cellStyle name="default 3" xfId="1795" xr:uid="{00000000-0005-0000-0000-00002A040000}"/>
    <cellStyle name="DELTA" xfId="211" xr:uid="{00000000-0005-0000-0000-00002B040000}"/>
    <cellStyle name="Detail GL" xfId="736" xr:uid="{00000000-0005-0000-0000-00002C040000}"/>
    <cellStyle name="Dex Doub Line" xfId="737" xr:uid="{00000000-0005-0000-0000-00002D040000}"/>
    <cellStyle name="div" xfId="738" xr:uid="{00000000-0005-0000-0000-00002E040000}"/>
    <cellStyle name="Dollar" xfId="212" xr:uid="{00000000-0005-0000-0000-00002F040000}"/>
    <cellStyle name="Dollars" xfId="739" xr:uid="{00000000-0005-0000-0000-000030040000}"/>
    <cellStyle name="DollarWhole" xfId="740" xr:uid="{00000000-0005-0000-0000-000031040000}"/>
    <cellStyle name="Dotted Line" xfId="1796" xr:uid="{00000000-0005-0000-0000-000032040000}"/>
    <cellStyle name="Driver" xfId="741" xr:uid="{00000000-0005-0000-0000-000033040000}"/>
    <cellStyle name="Driver Lable" xfId="742" xr:uid="{00000000-0005-0000-0000-000034040000}"/>
    <cellStyle name="Driver_ATIval-matrix" xfId="743" xr:uid="{00000000-0005-0000-0000-000035040000}"/>
    <cellStyle name="emp" xfId="587" xr:uid="{00000000-0005-0000-0000-000036040000}"/>
    <cellStyle name="Enter Currency (0)" xfId="213" xr:uid="{00000000-0005-0000-0000-000037040000}"/>
    <cellStyle name="Enter Currency (2)" xfId="214" xr:uid="{00000000-0005-0000-0000-000038040000}"/>
    <cellStyle name="Enter Units (0)" xfId="215" xr:uid="{00000000-0005-0000-0000-000039040000}"/>
    <cellStyle name="Enter Units (1)" xfId="216" xr:uid="{00000000-0005-0000-0000-00003A040000}"/>
    <cellStyle name="Enter Units (2)" xfId="217" xr:uid="{00000000-0005-0000-0000-00003B040000}"/>
    <cellStyle name="EntryDesc" xfId="218" xr:uid="{00000000-0005-0000-0000-00003C040000}"/>
    <cellStyle name="EntryValue" xfId="219" xr:uid="{00000000-0005-0000-0000-00003D040000}"/>
    <cellStyle name="EntryValue 2" xfId="1797" xr:uid="{00000000-0005-0000-0000-00003E040000}"/>
    <cellStyle name="EP title bar" xfId="1798" xr:uid="{00000000-0005-0000-0000-00003F040000}"/>
    <cellStyle name="eps" xfId="744" xr:uid="{00000000-0005-0000-0000-000040040000}"/>
    <cellStyle name="eps$" xfId="745" xr:uid="{00000000-0005-0000-0000-000041040000}"/>
    <cellStyle name="eps$A" xfId="746" xr:uid="{00000000-0005-0000-0000-000042040000}"/>
    <cellStyle name="eps$E" xfId="747" xr:uid="{00000000-0005-0000-0000-000043040000}"/>
    <cellStyle name="EPS_Charts" xfId="748" xr:uid="{00000000-0005-0000-0000-000044040000}"/>
    <cellStyle name="epsA" xfId="749" xr:uid="{00000000-0005-0000-0000-000045040000}"/>
    <cellStyle name="EPSActual" xfId="750" xr:uid="{00000000-0005-0000-0000-000046040000}"/>
    <cellStyle name="epsE" xfId="751" xr:uid="{00000000-0005-0000-0000-000047040000}"/>
    <cellStyle name="EPSEstimate" xfId="752" xr:uid="{00000000-0005-0000-0000-000048040000}"/>
    <cellStyle name="Euro" xfId="753" xr:uid="{00000000-0005-0000-0000-000049040000}"/>
    <cellStyle name="Explanatory Text" xfId="220" builtinId="53" customBuiltin="1"/>
    <cellStyle name="Explanatory Text 2" xfId="1799" xr:uid="{00000000-0005-0000-0000-00004B040000}"/>
    <cellStyle name="External File Cells" xfId="221" xr:uid="{00000000-0005-0000-0000-00004C040000}"/>
    <cellStyle name="ExtStyle 0" xfId="754" xr:uid="{00000000-0005-0000-0000-00004D040000}"/>
    <cellStyle name="ExtStyle 16" xfId="755" xr:uid="{00000000-0005-0000-0000-00004E040000}"/>
    <cellStyle name="ExtStyle 17" xfId="756" xr:uid="{00000000-0005-0000-0000-00004F040000}"/>
    <cellStyle name="ExtStyle 19" xfId="757" xr:uid="{00000000-0005-0000-0000-000050040000}"/>
    <cellStyle name="ExtStyle 20" xfId="758" xr:uid="{00000000-0005-0000-0000-000051040000}"/>
    <cellStyle name="ExtStyle 21" xfId="759" xr:uid="{00000000-0005-0000-0000-000052040000}"/>
    <cellStyle name="ExtStyle 22" xfId="760" xr:uid="{00000000-0005-0000-0000-000053040000}"/>
    <cellStyle name="ExtStyle 23" xfId="761" xr:uid="{00000000-0005-0000-0000-000054040000}"/>
    <cellStyle name="ExtStyle 29" xfId="762" xr:uid="{00000000-0005-0000-0000-000055040000}"/>
    <cellStyle name="ExtStyle 30" xfId="763" xr:uid="{00000000-0005-0000-0000-000056040000}"/>
    <cellStyle name="ExtStyle 31" xfId="764" xr:uid="{00000000-0005-0000-0000-000057040000}"/>
    <cellStyle name="fcpc" xfId="1800" xr:uid="{00000000-0005-0000-0000-000058040000}"/>
    <cellStyle name="FILE" xfId="1801" xr:uid="{00000000-0005-0000-0000-000059040000}"/>
    <cellStyle name="FILEHEADER" xfId="1802" xr:uid="{00000000-0005-0000-0000-00005A040000}"/>
    <cellStyle name="Financials" xfId="765" xr:uid="{00000000-0005-0000-0000-00005B040000}"/>
    <cellStyle name="Fit" xfId="588" xr:uid="{00000000-0005-0000-0000-00005C040000}"/>
    <cellStyle name="Fixed" xfId="589" xr:uid="{00000000-0005-0000-0000-00005D040000}"/>
    <cellStyle name="fo]_x000d__x000a_UserName=Murat Zelef_x000d__x000a_UserCompany=Bumerang_x000d__x000a__x000d__x000a_[File Paths]_x000d__x000a_WorkingDirectory=C:\EQUIS\DLWIN_x000d__x000a_DownLoader=C" xfId="1803" xr:uid="{00000000-0005-0000-0000-00005E040000}"/>
    <cellStyle name="folio" xfId="222" xr:uid="{00000000-0005-0000-0000-00005F040000}"/>
    <cellStyle name="Font_Actual" xfId="223" xr:uid="{00000000-0005-0000-0000-000060040000}"/>
    <cellStyle name="Footnote" xfId="766" xr:uid="{00000000-0005-0000-0000-000061040000}"/>
    <cellStyle name="Footnotes" xfId="590" xr:uid="{00000000-0005-0000-0000-000062040000}"/>
    <cellStyle name="forecast" xfId="1804" xr:uid="{00000000-0005-0000-0000-000063040000}"/>
    <cellStyle name="Forecast Cells" xfId="224" xr:uid="{00000000-0005-0000-0000-000064040000}"/>
    <cellStyle name="Forecast Cells 2" xfId="1805" xr:uid="{00000000-0005-0000-0000-000065040000}"/>
    <cellStyle name="fourdecplace_Global 1 " xfId="1806" xr:uid="{00000000-0005-0000-0000-000066040000}"/>
    <cellStyle name="Fraction" xfId="225" xr:uid="{00000000-0005-0000-0000-000067040000}"/>
    <cellStyle name="frv" xfId="1807" xr:uid="{00000000-0005-0000-0000-000068040000}"/>
    <cellStyle name="Full" xfId="226" xr:uid="{00000000-0005-0000-0000-000069040000}"/>
    <cellStyle name="fy_eps$" xfId="767" xr:uid="{00000000-0005-0000-0000-00006A040000}"/>
    <cellStyle name="Fyear" xfId="227" xr:uid="{00000000-0005-0000-0000-00006B040000}"/>
    <cellStyle name="g" xfId="1808" xr:uid="{00000000-0005-0000-0000-00006C040000}"/>
    <cellStyle name="g_GSJBW 24Oct05hub3" xfId="1809" xr:uid="{00000000-0005-0000-0000-00006D040000}"/>
    <cellStyle name="g_rate" xfId="768" xr:uid="{00000000-0005-0000-0000-00006E040000}"/>
    <cellStyle name="g_rate_EBAYearn" xfId="769" xr:uid="{00000000-0005-0000-0000-00006F040000}"/>
    <cellStyle name="g_rate_NFLXearn" xfId="770" xr:uid="{00000000-0005-0000-0000-000070040000}"/>
    <cellStyle name="G1_1999 figures" xfId="228" xr:uid="{00000000-0005-0000-0000-000071040000}"/>
    <cellStyle name="G10" xfId="771" xr:uid="{00000000-0005-0000-0000-000072040000}"/>
    <cellStyle name="General" xfId="229" xr:uid="{00000000-0005-0000-0000-000073040000}"/>
    <cellStyle name="General 2" xfId="1810" xr:uid="{00000000-0005-0000-0000-000074040000}"/>
    <cellStyle name="Good" xfId="230" builtinId="26" customBuiltin="1"/>
    <cellStyle name="Good 2" xfId="354" xr:uid="{00000000-0005-0000-0000-000076040000}"/>
    <cellStyle name="Good 3" xfId="1811" xr:uid="{00000000-0005-0000-0000-000077040000}"/>
    <cellStyle name="Grey" xfId="231" xr:uid="{00000000-0005-0000-0000-000078040000}"/>
    <cellStyle name="GrowthRate" xfId="772" xr:uid="{00000000-0005-0000-0000-000079040000}"/>
    <cellStyle name="GrowthSeq" xfId="773" xr:uid="{00000000-0005-0000-0000-00007A040000}"/>
    <cellStyle name="gs]_x000a__x000a_Window=0,0,648,600, , ,1_x000a__x000a_dir1=0,239,640,478,-1,-1,1,30,204,1808,176,G:\SHARED\HUMRES\LYNN\*.*_x000a__x000a_AddOns=_x000a__x000a_" xfId="1812" xr:uid="{00000000-0005-0000-0000-00007B040000}"/>
    <cellStyle name="gs]_x000d__x000a_Window=0,0,648,600, , ,1_x000d__x000a_dir1=0,239,640,478,-1,-1,1,30,204,1808,176,G:\SHARED\HUMRES\LYNN\*.*_x000d__x000a_AddOns=_x000d__x000a_" xfId="1813" xr:uid="{00000000-0005-0000-0000-00007C040000}"/>
    <cellStyle name="H_1998_col_head" xfId="232" xr:uid="{00000000-0005-0000-0000-00007D040000}"/>
    <cellStyle name="H_1998_col_head_GS Banks Sector tables 2006-2008" xfId="1814" xr:uid="{00000000-0005-0000-0000-00007E040000}"/>
    <cellStyle name="H_1998_col_head_GS Banks Sector tables 2006-2008 2" xfId="1815" xr:uid="{00000000-0005-0000-0000-00007F040000}"/>
    <cellStyle name="H_1998_col_head_GS Banks Sector tables 2006-2008_Quantum global val" xfId="1816" xr:uid="{00000000-0005-0000-0000-000080040000}"/>
    <cellStyle name="H_1998_col_head_GS Banks Sector tables 2006-2008_Quantum global val 2" xfId="1817" xr:uid="{00000000-0005-0000-0000-000081040000}"/>
    <cellStyle name="H_1998_col_head_Output 0406" xfId="1818" xr:uid="{00000000-0005-0000-0000-000082040000}"/>
    <cellStyle name="H_1998_col_head_Output 0406 2" xfId="1819" xr:uid="{00000000-0005-0000-0000-000083040000}"/>
    <cellStyle name="H_1998_col_head_output 0504" xfId="1820" xr:uid="{00000000-0005-0000-0000-000084040000}"/>
    <cellStyle name="H_1998_col_head_output 0504 2" xfId="1821" xr:uid="{00000000-0005-0000-0000-000085040000}"/>
    <cellStyle name="H_1999_col_head" xfId="233" xr:uid="{00000000-0005-0000-0000-000086040000}"/>
    <cellStyle name="H1_1998 figures" xfId="234" xr:uid="{00000000-0005-0000-0000-000087040000}"/>
    <cellStyle name="HALF" xfId="235" xr:uid="{00000000-0005-0000-0000-000088040000}"/>
    <cellStyle name="hard no." xfId="1822" xr:uid="{00000000-0005-0000-0000-000089040000}"/>
    <cellStyle name="Hard Percent" xfId="1823" xr:uid="{00000000-0005-0000-0000-00008A040000}"/>
    <cellStyle name="Hardplug bold" xfId="1824" xr:uid="{00000000-0005-0000-0000-00008B040000}"/>
    <cellStyle name="Head 1" xfId="236" xr:uid="{00000000-0005-0000-0000-00008C040000}"/>
    <cellStyle name="Head 2" xfId="237" xr:uid="{00000000-0005-0000-0000-00008D040000}"/>
    <cellStyle name="Head 3" xfId="238" xr:uid="{00000000-0005-0000-0000-00008E040000}"/>
    <cellStyle name="head1" xfId="774" xr:uid="{00000000-0005-0000-0000-00008F040000}"/>
    <cellStyle name="head2" xfId="775" xr:uid="{00000000-0005-0000-0000-000090040000}"/>
    <cellStyle name="Header" xfId="239" xr:uid="{00000000-0005-0000-0000-000091040000}"/>
    <cellStyle name="Header1" xfId="240" xr:uid="{00000000-0005-0000-0000-000092040000}"/>
    <cellStyle name="Header2" xfId="241" xr:uid="{00000000-0005-0000-0000-000093040000}"/>
    <cellStyle name="Heading" xfId="242" xr:uid="{00000000-0005-0000-0000-000094040000}"/>
    <cellStyle name="Heading 1" xfId="243" builtinId="16" customBuiltin="1"/>
    <cellStyle name="Heading 1 2" xfId="1825" xr:uid="{00000000-0005-0000-0000-000096040000}"/>
    <cellStyle name="Heading 2" xfId="244" builtinId="17" customBuiltin="1"/>
    <cellStyle name="Heading 2 2" xfId="1826" xr:uid="{00000000-0005-0000-0000-000098040000}"/>
    <cellStyle name="Heading 3" xfId="245" builtinId="18" customBuiltin="1"/>
    <cellStyle name="Heading 3 2" xfId="1827" xr:uid="{00000000-0005-0000-0000-00009A040000}"/>
    <cellStyle name="Heading 4" xfId="246" builtinId="19" customBuiltin="1"/>
    <cellStyle name="Heading 4 2" xfId="1828" xr:uid="{00000000-0005-0000-0000-00009C040000}"/>
    <cellStyle name="Heading 5" xfId="1829" xr:uid="{00000000-0005-0000-0000-00009D040000}"/>
    <cellStyle name="Heading1" xfId="247" xr:uid="{00000000-0005-0000-0000-00009E040000}"/>
    <cellStyle name="Heading2" xfId="248" xr:uid="{00000000-0005-0000-0000-00009F040000}"/>
    <cellStyle name="HeadlineStyle" xfId="776" xr:uid="{00000000-0005-0000-0000-0000A0040000}"/>
    <cellStyle name="HeadlineStyleJustified" xfId="777" xr:uid="{00000000-0005-0000-0000-0000A1040000}"/>
    <cellStyle name="Heavy Top Line" xfId="778" xr:uid="{00000000-0005-0000-0000-0000A2040000}"/>
    <cellStyle name="Helv" xfId="249" xr:uid="{00000000-0005-0000-0000-0000A3040000}"/>
    <cellStyle name="hidden" xfId="1830" xr:uid="{00000000-0005-0000-0000-0000A4040000}"/>
    <cellStyle name="Hyperlink" xfId="1985" builtinId="8"/>
    <cellStyle name="Hyperlink 2" xfId="1987" xr:uid="{00000000-0005-0000-0000-0000A6040000}"/>
    <cellStyle name="iannumber" xfId="1831" xr:uid="{00000000-0005-0000-0000-0000A7040000}"/>
    <cellStyle name="ianpercent" xfId="1832" xr:uid="{00000000-0005-0000-0000-0000A8040000}"/>
    <cellStyle name="Income" xfId="250" xr:uid="{00000000-0005-0000-0000-0000A9040000}"/>
    <cellStyle name="IncomeStatement" xfId="779" xr:uid="{00000000-0005-0000-0000-0000AA040000}"/>
    <cellStyle name="Infometrics" xfId="1833" xr:uid="{00000000-0005-0000-0000-0000AB040000}"/>
    <cellStyle name="Input" xfId="251" builtinId="20" customBuiltin="1"/>
    <cellStyle name="Input [yellow]" xfId="252" xr:uid="{00000000-0005-0000-0000-0000AD040000}"/>
    <cellStyle name="Input 2" xfId="1834" xr:uid="{00000000-0005-0000-0000-0000AE040000}"/>
    <cellStyle name="Input 3" xfId="1835" xr:uid="{00000000-0005-0000-0000-0000AF040000}"/>
    <cellStyle name="Input 4" xfId="1836" xr:uid="{00000000-0005-0000-0000-0000B0040000}"/>
    <cellStyle name="Input Cells" xfId="253" xr:uid="{00000000-0005-0000-0000-0000B1040000}"/>
    <cellStyle name="input percent" xfId="1837" xr:uid="{00000000-0005-0000-0000-0000B2040000}"/>
    <cellStyle name="Inputs" xfId="254" xr:uid="{00000000-0005-0000-0000-0000B3040000}"/>
    <cellStyle name="Integer" xfId="780" xr:uid="{00000000-0005-0000-0000-0000B4040000}"/>
    <cellStyle name="ITALICS" xfId="255" xr:uid="{00000000-0005-0000-0000-0000B5040000}"/>
    <cellStyle name="Item" xfId="781" xr:uid="{00000000-0005-0000-0000-0000B6040000}"/>
    <cellStyle name="Item Descriptions" xfId="591" xr:uid="{00000000-0005-0000-0000-0000B7040000}"/>
    <cellStyle name="Items_Optional" xfId="782" xr:uid="{00000000-0005-0000-0000-0000B8040000}"/>
    <cellStyle name="ItemTypeClass" xfId="783" xr:uid="{00000000-0005-0000-0000-0000B9040000}"/>
    <cellStyle name="Joe" xfId="1838" xr:uid="{00000000-0005-0000-0000-0000BA040000}"/>
    <cellStyle name="KP_Normal" xfId="784" xr:uid="{00000000-0005-0000-0000-0000BB040000}"/>
    <cellStyle name="leger" xfId="1839" xr:uid="{00000000-0005-0000-0000-0000BC040000}"/>
    <cellStyle name="Line" xfId="592" xr:uid="{00000000-0005-0000-0000-0000BD040000}"/>
    <cellStyle name="Link" xfId="256" xr:uid="{00000000-0005-0000-0000-0000BE040000}"/>
    <cellStyle name="Link Currency (0)" xfId="257" xr:uid="{00000000-0005-0000-0000-0000BF040000}"/>
    <cellStyle name="Link Currency (2)" xfId="258" xr:uid="{00000000-0005-0000-0000-0000C0040000}"/>
    <cellStyle name="Link Units (0)" xfId="259" xr:uid="{00000000-0005-0000-0000-0000C1040000}"/>
    <cellStyle name="Link Units (1)" xfId="260" xr:uid="{00000000-0005-0000-0000-0000C2040000}"/>
    <cellStyle name="Link Units (2)" xfId="261" xr:uid="{00000000-0005-0000-0000-0000C3040000}"/>
    <cellStyle name="Linked Cell" xfId="262" builtinId="24" customBuiltin="1"/>
    <cellStyle name="Linked Cell 2" xfId="1840" xr:uid="{00000000-0005-0000-0000-0000C5040000}"/>
    <cellStyle name="m" xfId="785" xr:uid="{00000000-0005-0000-0000-0000C6040000}"/>
    <cellStyle name="m 2" xfId="1841" xr:uid="{00000000-0005-0000-0000-0000C7040000}"/>
    <cellStyle name="m$" xfId="786" xr:uid="{00000000-0005-0000-0000-0000C8040000}"/>
    <cellStyle name="Macro Heading" xfId="1842" xr:uid="{00000000-0005-0000-0000-0000C9040000}"/>
    <cellStyle name="Macro Text" xfId="1843" xr:uid="{00000000-0005-0000-0000-0000CA040000}"/>
    <cellStyle name="Macro Text 2" xfId="1844" xr:uid="{00000000-0005-0000-0000-0000CB040000}"/>
    <cellStyle name="Macrobutton" xfId="1845" xr:uid="{00000000-0005-0000-0000-0000CC040000}"/>
    <cellStyle name="MAG" xfId="263" xr:uid="{00000000-0005-0000-0000-0000CD040000}"/>
    <cellStyle name="Mainhead" xfId="264" xr:uid="{00000000-0005-0000-0000-0000CE040000}"/>
    <cellStyle name="MainHeading" xfId="787" xr:uid="{00000000-0005-0000-0000-0000CF040000}"/>
    <cellStyle name="Margin" xfId="788" xr:uid="{00000000-0005-0000-0000-0000D0040000}"/>
    <cellStyle name="Margins" xfId="789" xr:uid="{00000000-0005-0000-0000-0000D1040000}"/>
    <cellStyle name="Merrill" xfId="593" xr:uid="{00000000-0005-0000-0000-0000D2040000}"/>
    <cellStyle name="Millares [0]_AUDIO" xfId="1846" xr:uid="{00000000-0005-0000-0000-0000D3040000}"/>
    <cellStyle name="Millares_AIRTEL08" xfId="1847" xr:uid="{00000000-0005-0000-0000-0000D4040000}"/>
    <cellStyle name="Milliers [0]_laroux" xfId="790" xr:uid="{00000000-0005-0000-0000-0000D5040000}"/>
    <cellStyle name="Milliers_laroux" xfId="791" xr:uid="{00000000-0005-0000-0000-0000D6040000}"/>
    <cellStyle name="Mix" xfId="594" xr:uid="{00000000-0005-0000-0000-0000D7040000}"/>
    <cellStyle name="mm" xfId="792" xr:uid="{00000000-0005-0000-0000-0000D8040000}"/>
    <cellStyle name="mmm-yy" xfId="1848" xr:uid="{00000000-0005-0000-0000-0000D9040000}"/>
    <cellStyle name="Moneda [0]_AUDIO" xfId="1849" xr:uid="{00000000-0005-0000-0000-0000DA040000}"/>
    <cellStyle name="Moneda_AIRTEL08" xfId="1850" xr:uid="{00000000-0005-0000-0000-0000DB040000}"/>
    <cellStyle name="Monétaire [0]_laroux" xfId="793" xr:uid="{00000000-0005-0000-0000-0000DC040000}"/>
    <cellStyle name="Monétaire_laroux" xfId="794" xr:uid="{00000000-0005-0000-0000-0000DD040000}"/>
    <cellStyle name="Monitor" xfId="595" xr:uid="{00000000-0005-0000-0000-0000DE040000}"/>
    <cellStyle name="Multiple" xfId="596" xr:uid="{00000000-0005-0000-0000-0000DF040000}"/>
    <cellStyle name="Multiple [0]" xfId="795" xr:uid="{00000000-0005-0000-0000-0000E0040000}"/>
    <cellStyle name="Multiple_AMZNearn" xfId="796" xr:uid="{00000000-0005-0000-0000-0000E1040000}"/>
    <cellStyle name="MultipleBelow" xfId="1851" xr:uid="{00000000-0005-0000-0000-0000E2040000}"/>
    <cellStyle name="Name" xfId="265" xr:uid="{00000000-0005-0000-0000-0000E3040000}"/>
    <cellStyle name="ncurrency" xfId="797" xr:uid="{00000000-0005-0000-0000-0000E4040000}"/>
    <cellStyle name="negativ" xfId="798" xr:uid="{00000000-0005-0000-0000-0000E5040000}"/>
    <cellStyle name="negativ 2" xfId="799" xr:uid="{00000000-0005-0000-0000-0000E6040000}"/>
    <cellStyle name="Neutral" xfId="266" builtinId="28" customBuiltin="1"/>
    <cellStyle name="Neutral 2" xfId="355" xr:uid="{00000000-0005-0000-0000-0000E8040000}"/>
    <cellStyle name="Neutral 3" xfId="1852" xr:uid="{00000000-0005-0000-0000-0000E9040000}"/>
    <cellStyle name="new" xfId="267" xr:uid="{00000000-0005-0000-0000-0000EA040000}"/>
    <cellStyle name="NewAcct" xfId="268" xr:uid="{00000000-0005-0000-0000-0000EB040000}"/>
    <cellStyle name="ninput" xfId="800" xr:uid="{00000000-0005-0000-0000-0000EC040000}"/>
    <cellStyle name="nnnn" xfId="801" xr:uid="{00000000-0005-0000-0000-0000ED040000}"/>
    <cellStyle name="No Border" xfId="802" xr:uid="{00000000-0005-0000-0000-0000EE040000}"/>
    <cellStyle name="No comma" xfId="269" xr:uid="{00000000-0005-0000-0000-0000EF040000}"/>
    <cellStyle name="no dec" xfId="270" xr:uid="{00000000-0005-0000-0000-0000F0040000}"/>
    <cellStyle name="No Decimal" xfId="271" xr:uid="{00000000-0005-0000-0000-0000F1040000}"/>
    <cellStyle name="No Decimal 2" xfId="1853" xr:uid="{00000000-0005-0000-0000-0000F2040000}"/>
    <cellStyle name="Nodec" xfId="1854" xr:uid="{00000000-0005-0000-0000-0000F3040000}"/>
    <cellStyle name="nodollars" xfId="803" xr:uid="{00000000-0005-0000-0000-0000F4040000}"/>
    <cellStyle name="non-input" xfId="272" xr:uid="{00000000-0005-0000-0000-0000F5040000}"/>
    <cellStyle name="nonmultiple" xfId="1855" xr:uid="{00000000-0005-0000-0000-0000F6040000}"/>
    <cellStyle name="nonmultiple 2" xfId="1856" xr:uid="{00000000-0005-0000-0000-0000F7040000}"/>
    <cellStyle name="Norm" xfId="273" xr:uid="{00000000-0005-0000-0000-0000F8040000}"/>
    <cellStyle name="Normal" xfId="0" builtinId="0"/>
    <cellStyle name="Normal - Style1" xfId="274" xr:uid="{00000000-0005-0000-0000-0000FA040000}"/>
    <cellStyle name="Normal 0.0" xfId="275" xr:uid="{00000000-0005-0000-0000-0000FB040000}"/>
    <cellStyle name="Normal 2" xfId="353" xr:uid="{00000000-0005-0000-0000-0000FC040000}"/>
    <cellStyle name="Normal 2 2" xfId="630" xr:uid="{00000000-0005-0000-0000-0000FD040000}"/>
    <cellStyle name="Normal 2 2 2" xfId="1857" xr:uid="{00000000-0005-0000-0000-0000FE040000}"/>
    <cellStyle name="Normal 2 3" xfId="636" xr:uid="{00000000-0005-0000-0000-0000FF040000}"/>
    <cellStyle name="Normal 2 4" xfId="1986" xr:uid="{00000000-0005-0000-0000-000000050000}"/>
    <cellStyle name="Normal 3" xfId="597" xr:uid="{00000000-0005-0000-0000-000001050000}"/>
    <cellStyle name="Normal 3 2" xfId="1858" xr:uid="{00000000-0005-0000-0000-000002050000}"/>
    <cellStyle name="Normal 3 2 2" xfId="1859" xr:uid="{00000000-0005-0000-0000-000003050000}"/>
    <cellStyle name="Normal 3 3" xfId="1860" xr:uid="{00000000-0005-0000-0000-000004050000}"/>
    <cellStyle name="Normal 4" xfId="633" xr:uid="{00000000-0005-0000-0000-000005050000}"/>
    <cellStyle name="Normal 4 2" xfId="1267" xr:uid="{00000000-0005-0000-0000-000006050000}"/>
    <cellStyle name="Normal 4 3" xfId="1980" xr:uid="{00000000-0005-0000-0000-000007050000}"/>
    <cellStyle name="Normal 5" xfId="637" xr:uid="{00000000-0005-0000-0000-000008050000}"/>
    <cellStyle name="Normal 5 2" xfId="1264" xr:uid="{00000000-0005-0000-0000-000009050000}"/>
    <cellStyle name="Normal 6" xfId="1861" xr:uid="{00000000-0005-0000-0000-00000A050000}"/>
    <cellStyle name="Normal 7" xfId="1862" xr:uid="{00000000-0005-0000-0000-00000B050000}"/>
    <cellStyle name="Normal 8" xfId="1863" xr:uid="{00000000-0005-0000-0000-00000C050000}"/>
    <cellStyle name="Normal Cells" xfId="276" xr:uid="{00000000-0005-0000-0000-00000D050000}"/>
    <cellStyle name="Normal Number" xfId="804" xr:uid="{00000000-0005-0000-0000-00000E050000}"/>
    <cellStyle name="Normal(0)" xfId="805" xr:uid="{00000000-0005-0000-0000-00000F050000}"/>
    <cellStyle name="Normal_INDUST_TPLATE" xfId="277" xr:uid="{00000000-0005-0000-0000-000010050000}"/>
    <cellStyle name="Normal_JCP (cleared)" xfId="1984" xr:uid="{00000000-0005-0000-0000-000011050000}"/>
    <cellStyle name="Normal_PBLMODEL" xfId="278" xr:uid="{00000000-0005-0000-0000-000012050000}"/>
    <cellStyle name="Normal_PBLMODEL 2" xfId="629" xr:uid="{00000000-0005-0000-0000-000013050000}"/>
    <cellStyle name="Normal_sbcestimate" xfId="279" xr:uid="{00000000-0005-0000-0000-000015050000}"/>
    <cellStyle name="Normalny_SAQ_NEW" xfId="1864" xr:uid="{00000000-0005-0000-0000-000017050000}"/>
    <cellStyle name="Note" xfId="280" builtinId="10" customBuiltin="1"/>
    <cellStyle name="Note 2" xfId="1865" xr:uid="{00000000-0005-0000-0000-000019050000}"/>
    <cellStyle name="Note 3" xfId="1866" xr:uid="{00000000-0005-0000-0000-00001A050000}"/>
    <cellStyle name="Notes" xfId="281" xr:uid="{00000000-0005-0000-0000-00001B050000}"/>
    <cellStyle name="npercent" xfId="806" xr:uid="{00000000-0005-0000-0000-00001C050000}"/>
    <cellStyle name="Num_Date" xfId="282" xr:uid="{00000000-0005-0000-0000-00001D050000}"/>
    <cellStyle name="Number" xfId="283" xr:uid="{00000000-0005-0000-0000-00001E050000}"/>
    <cellStyle name="Numbers" xfId="598" xr:uid="{00000000-0005-0000-0000-00001F050000}"/>
    <cellStyle name="Numbers - Bold" xfId="599" xr:uid="{00000000-0005-0000-0000-000020050000}"/>
    <cellStyle name="Numbers - Bold - Italic" xfId="600" xr:uid="{00000000-0005-0000-0000-000021050000}"/>
    <cellStyle name="Numbers - Bold_Blend" xfId="601" xr:uid="{00000000-0005-0000-0000-000022050000}"/>
    <cellStyle name="Numbers - Large" xfId="602" xr:uid="{00000000-0005-0000-0000-000023050000}"/>
    <cellStyle name="Numbers Bold" xfId="284" xr:uid="{00000000-0005-0000-0000-000024050000}"/>
    <cellStyle name="Numbers Bold (0)" xfId="285" xr:uid="{00000000-0005-0000-0000-000025050000}"/>
    <cellStyle name="Numbers Bold (no point)" xfId="286" xr:uid="{00000000-0005-0000-0000-000026050000}"/>
    <cellStyle name="Numbers Light" xfId="287" xr:uid="{00000000-0005-0000-0000-000027050000}"/>
    <cellStyle name="Numbers_Comps" xfId="603" xr:uid="{00000000-0005-0000-0000-000028050000}"/>
    <cellStyle name="numero input" xfId="1867" xr:uid="{00000000-0005-0000-0000-000029050000}"/>
    <cellStyle name="numero normal" xfId="1868" xr:uid="{00000000-0005-0000-0000-00002A050000}"/>
    <cellStyle name="Œ…‹æØ‚è [0.00]_GE 3 MINIMUM" xfId="807" xr:uid="{00000000-0005-0000-0000-00002B050000}"/>
    <cellStyle name="Œ…‹æØ‚è_GE 3 MINIMUM" xfId="808" xr:uid="{00000000-0005-0000-0000-00002C050000}"/>
    <cellStyle name="oft Excel]_x000a__x000a_Comment=The open=/f lines load custom functions into the Paste Function list._x000a__x000a_Maximized=3_x000a__x000a_Basics=1_x000a__x000a_D" xfId="1869" xr:uid="{00000000-0005-0000-0000-00002D050000}"/>
    <cellStyle name="oft Excel]_x000a__x000a_Options5=18331_x000a__x000a_Basics=1_x000a__x000a_USER=TELECOM NZ LTD_x000a__x000a_CBTLOCATION=C:\APPS\MSOFFICE\EXCEL5\EXCELCBT_x000a__x000a_Font=Arial" xfId="1870" xr:uid="{00000000-0005-0000-0000-00002E050000}"/>
    <cellStyle name="oft Excel]_x000d__x000a_Comment=The open=/f lines load custom functions into the Paste Function list._x000d__x000a_Maximized=3_x000d__x000a_Basics=1_x000d__x000a_D" xfId="1871" xr:uid="{00000000-0005-0000-0000-00002F050000}"/>
    <cellStyle name="oft Excel]_x000d__x000a_Options5=18331_x000d__x000a_Basics=1_x000d__x000a_USER=TELECOM NZ LTD_x000d__x000a_CBTLOCATION=C:\APPS\MSOFFICE\EXCEL5\EXCELCBT_x000d__x000a_Font=Arial" xfId="1872" xr:uid="{00000000-0005-0000-0000-000030050000}"/>
    <cellStyle name="oft Word]_x000a__x000a_WPHelp=0_x000a__x000a_NoLongNetNames=Yes_x000a__x000a_USER-DOT-PATH=C:\MSOFFICE\WINWORD6\TEMPLATE_x000a__x000a_WORKGROUP-DOT-PATH=C:\MSOFFIC" xfId="1873" xr:uid="{00000000-0005-0000-0000-000031050000}"/>
    <cellStyle name="oft Word]_x000d__x000a_WPHelp=0_x000d__x000a_NoLongNetNames=Yes_x000d__x000a_USER-DOT-PATH=C:\MSOFFICE\WINWORD6\TEMPLATE_x000d__x000a_WORKGROUP-DOT-PATH=C:\MSOFFIC" xfId="1874" xr:uid="{00000000-0005-0000-0000-000032050000}"/>
    <cellStyle name="Onedec" xfId="1875" xr:uid="{00000000-0005-0000-0000-000033050000}"/>
    <cellStyle name="orh" xfId="809" xr:uid="{00000000-0005-0000-0000-000034050000}"/>
    <cellStyle name="OSW_ColumnLabels" xfId="604" xr:uid="{00000000-0005-0000-0000-000035050000}"/>
    <cellStyle name="Output" xfId="288" builtinId="21" customBuiltin="1"/>
    <cellStyle name="Output 2" xfId="357" xr:uid="{00000000-0005-0000-0000-000037050000}"/>
    <cellStyle name="Output 3" xfId="1876" xr:uid="{00000000-0005-0000-0000-000038050000}"/>
    <cellStyle name="over" xfId="810" xr:uid="{00000000-0005-0000-0000-000039050000}"/>
    <cellStyle name="p" xfId="811" xr:uid="{00000000-0005-0000-0000-00003A050000}"/>
    <cellStyle name="Page" xfId="605" xr:uid="{00000000-0005-0000-0000-00003B050000}"/>
    <cellStyle name="Page Head" xfId="289" xr:uid="{00000000-0005-0000-0000-00003C050000}"/>
    <cellStyle name="Page header" xfId="290" xr:uid="{00000000-0005-0000-0000-00003D050000}"/>
    <cellStyle name="Page Number" xfId="1877" xr:uid="{00000000-0005-0000-0000-00003E050000}"/>
    <cellStyle name="Pattern" xfId="1878" xr:uid="{00000000-0005-0000-0000-00003F050000}"/>
    <cellStyle name="patterns" xfId="291" xr:uid="{00000000-0005-0000-0000-000040050000}"/>
    <cellStyle name="PB Table Heading" xfId="812" xr:uid="{00000000-0005-0000-0000-000041050000}"/>
    <cellStyle name="PB Table Highlight1" xfId="813" xr:uid="{00000000-0005-0000-0000-000042050000}"/>
    <cellStyle name="PB Table Highlight2" xfId="814" xr:uid="{00000000-0005-0000-0000-000043050000}"/>
    <cellStyle name="PB Table Highlight3" xfId="815" xr:uid="{00000000-0005-0000-0000-000044050000}"/>
    <cellStyle name="PB Table Standard Row" xfId="816" xr:uid="{00000000-0005-0000-0000-000045050000}"/>
    <cellStyle name="PB Table Subtotal Row" xfId="817" xr:uid="{00000000-0005-0000-0000-000046050000}"/>
    <cellStyle name="PB Table Subtotal Row 2" xfId="818" xr:uid="{00000000-0005-0000-0000-000047050000}"/>
    <cellStyle name="PB Table Subtotal Row 2 2" xfId="819" xr:uid="{00000000-0005-0000-0000-000048050000}"/>
    <cellStyle name="PB Table Subtotal Row 2 3" xfId="820" xr:uid="{00000000-0005-0000-0000-000049050000}"/>
    <cellStyle name="PB Table Subtotal Row 3" xfId="821" xr:uid="{00000000-0005-0000-0000-00004A050000}"/>
    <cellStyle name="PB Table Subtotal Row 3 2" xfId="822" xr:uid="{00000000-0005-0000-0000-00004B050000}"/>
    <cellStyle name="PB Table Subtotal Row 3 3" xfId="823" xr:uid="{00000000-0005-0000-0000-00004C050000}"/>
    <cellStyle name="PB Table Subtotal Row 4" xfId="824" xr:uid="{00000000-0005-0000-0000-00004D050000}"/>
    <cellStyle name="PB Table Subtotal Row 4 2" xfId="825" xr:uid="{00000000-0005-0000-0000-00004E050000}"/>
    <cellStyle name="PB Table Subtotal Row 4 3" xfId="826" xr:uid="{00000000-0005-0000-0000-00004F050000}"/>
    <cellStyle name="PB Table Total Row" xfId="827" xr:uid="{00000000-0005-0000-0000-000050050000}"/>
    <cellStyle name="pe" xfId="828" xr:uid="{00000000-0005-0000-0000-000051050000}"/>
    <cellStyle name="PEG" xfId="829" xr:uid="{00000000-0005-0000-0000-000052050000}"/>
    <cellStyle name="Per" xfId="1879" xr:uid="{00000000-0005-0000-0000-000053050000}"/>
    <cellStyle name="Percent" xfId="292" builtinId="5"/>
    <cellStyle name="percent (0)" xfId="830" xr:uid="{00000000-0005-0000-0000-000055050000}"/>
    <cellStyle name="Percent [0]" xfId="293" xr:uid="{00000000-0005-0000-0000-000056050000}"/>
    <cellStyle name="Percent [00]" xfId="294" xr:uid="{00000000-0005-0000-0000-000057050000}"/>
    <cellStyle name="Percent [1]" xfId="295" xr:uid="{00000000-0005-0000-0000-000058050000}"/>
    <cellStyle name="Percent [2]" xfId="296" xr:uid="{00000000-0005-0000-0000-000059050000}"/>
    <cellStyle name="Percent 0.0" xfId="297" xr:uid="{00000000-0005-0000-0000-00005A050000}"/>
    <cellStyle name="Percent 1" xfId="831" xr:uid="{00000000-0005-0000-0000-00005B050000}"/>
    <cellStyle name="Percent 2" xfId="631" xr:uid="{00000000-0005-0000-0000-00005C050000}"/>
    <cellStyle name="Percent 2 2" xfId="640" xr:uid="{00000000-0005-0000-0000-00005D050000}"/>
    <cellStyle name="Percent 2 3" xfId="1982" xr:uid="{00000000-0005-0000-0000-00005E050000}"/>
    <cellStyle name="Percent 3" xfId="634" xr:uid="{00000000-0005-0000-0000-00005F050000}"/>
    <cellStyle name="Percent 3 2" xfId="1265" xr:uid="{00000000-0005-0000-0000-000060050000}"/>
    <cellStyle name="Percent 3 3" xfId="1269" xr:uid="{00000000-0005-0000-0000-000061050000}"/>
    <cellStyle name="Percent 3 3 2" xfId="1983" xr:uid="{00000000-0005-0000-0000-000062050000}"/>
    <cellStyle name="Percent 4" xfId="638" xr:uid="{00000000-0005-0000-0000-000063050000}"/>
    <cellStyle name="Percent 5" xfId="1880" xr:uid="{00000000-0005-0000-0000-000064050000}"/>
    <cellStyle name="Percent(1)" xfId="298" xr:uid="{00000000-0005-0000-0000-000065050000}"/>
    <cellStyle name="Percent(1) 2" xfId="1881" xr:uid="{00000000-0005-0000-0000-000066050000}"/>
    <cellStyle name="Percentage" xfId="606" xr:uid="{00000000-0005-0000-0000-000067050000}"/>
    <cellStyle name="PercentChange" xfId="832" xr:uid="{00000000-0005-0000-0000-000068050000}"/>
    <cellStyle name="PercentPresentation" xfId="833" xr:uid="{00000000-0005-0000-0000-000069050000}"/>
    <cellStyle name="PerShare" xfId="834" xr:uid="{00000000-0005-0000-0000-00006A050000}"/>
    <cellStyle name="PlainDollar" xfId="299" xr:uid="{00000000-0005-0000-0000-00006B050000}"/>
    <cellStyle name="POPS" xfId="835" xr:uid="{00000000-0005-0000-0000-00006C050000}"/>
    <cellStyle name="Porcentual_Macro2" xfId="1882" xr:uid="{00000000-0005-0000-0000-00006D050000}"/>
    <cellStyle name="posit" xfId="836" xr:uid="{00000000-0005-0000-0000-00006E050000}"/>
    <cellStyle name="Preffered" xfId="300" xr:uid="{00000000-0005-0000-0000-00006F050000}"/>
    <cellStyle name="PrePop Currency (0)" xfId="301" xr:uid="{00000000-0005-0000-0000-000070050000}"/>
    <cellStyle name="PrePop Currency (2)" xfId="302" xr:uid="{00000000-0005-0000-0000-000071050000}"/>
    <cellStyle name="PrePop Units (0)" xfId="303" xr:uid="{00000000-0005-0000-0000-000072050000}"/>
    <cellStyle name="PrePop Units (1)" xfId="304" xr:uid="{00000000-0005-0000-0000-000073050000}"/>
    <cellStyle name="PrePop Units (2)" xfId="305" xr:uid="{00000000-0005-0000-0000-000074050000}"/>
    <cellStyle name="Presentation" xfId="837" xr:uid="{00000000-0005-0000-0000-000075050000}"/>
    <cellStyle name="PresentationZero" xfId="838" xr:uid="{00000000-0005-0000-0000-000076050000}"/>
    <cellStyle name="Price" xfId="306" xr:uid="{00000000-0005-0000-0000-000077050000}"/>
    <cellStyle name="prot" xfId="607" xr:uid="{00000000-0005-0000-0000-000078050000}"/>
    <cellStyle name="PSChar" xfId="839" xr:uid="{00000000-0005-0000-0000-000079050000}"/>
    <cellStyle name="PSDate" xfId="840" xr:uid="{00000000-0005-0000-0000-00007A050000}"/>
    <cellStyle name="PSDec" xfId="841" xr:uid="{00000000-0005-0000-0000-00007B050000}"/>
    <cellStyle name="PSHeading" xfId="842" xr:uid="{00000000-0005-0000-0000-00007C050000}"/>
    <cellStyle name="PSHeading 2" xfId="843" xr:uid="{00000000-0005-0000-0000-00007D050000}"/>
    <cellStyle name="PSInt" xfId="844" xr:uid="{00000000-0005-0000-0000-00007E050000}"/>
    <cellStyle name="PSSpacer" xfId="845" xr:uid="{00000000-0005-0000-0000-00007F050000}"/>
    <cellStyle name="Publication_style" xfId="307" xr:uid="{00000000-0005-0000-0000-000080050000}"/>
    <cellStyle name="Punto" xfId="608" xr:uid="{00000000-0005-0000-0000-000081050000}"/>
    <cellStyle name="q" xfId="846" xr:uid="{00000000-0005-0000-0000-000082050000}"/>
    <cellStyle name="r" xfId="609" xr:uid="{00000000-0005-0000-0000-000083050000}"/>
    <cellStyle name="range" xfId="847" xr:uid="{00000000-0005-0000-0000-000084050000}"/>
    <cellStyle name="RangeBelow" xfId="848" xr:uid="{00000000-0005-0000-0000-000085050000}"/>
    <cellStyle name="RatioX" xfId="849" xr:uid="{00000000-0005-0000-0000-000086050000}"/>
    <cellStyle name="RED" xfId="308" xr:uid="{00000000-0005-0000-0000-000087050000}"/>
    <cellStyle name="Report" xfId="850" xr:uid="{00000000-0005-0000-0000-000088050000}"/>
    <cellStyle name="Reuters Cells" xfId="309" xr:uid="{00000000-0005-0000-0000-000089050000}"/>
    <cellStyle name="rh" xfId="851" xr:uid="{00000000-0005-0000-0000-00008A050000}"/>
    <cellStyle name="Right" xfId="852" xr:uid="{00000000-0005-0000-0000-00008B050000}"/>
    <cellStyle name="s" xfId="610" xr:uid="{00000000-0005-0000-0000-00008C050000}"/>
    <cellStyle name="s]_x000a__x000a_spooler=yes_x000a__x000a_NetWarn=1_x000a__x000a_NetMessage=Yes_x000a__x000a_;load=nwpopup.exe hpsrdman hpdjsw_x000a__x000a_load=_x000a__x000a_run=_x000a__x000a_Beep=yes_x000a__x000a_NullPort=None_x000a__x000a_Bo" xfId="1883" xr:uid="{00000000-0005-0000-0000-00008D050000}"/>
    <cellStyle name="s]_x000a__x000a_UsePmlPs=1_x000a__x000a_Location=17,528_x000a__x000a__x000a__x000a_[PDF]_x000a__x000a_HP DeskJet 1600C=hp16cqp.dll_x000a__x000a_HP DeskJet 1600CM=hp16cqp.dll_x000a__x000a__x000a__x000a_[Help" xfId="1884" xr:uid="{00000000-0005-0000-0000-00008E050000}"/>
    <cellStyle name="s]_x000d__x000a_spooler=yes_x000d__x000a_NetWarn=1_x000d__x000a_NetMessage=Yes_x000d__x000a_;load=nwpopup.exe hpsrdman hpdjsw_x000d__x000a_load=_x000d__x000a_run=_x000d__x000a_Beep=yes_x000d__x000a_NullPort=None_x000d__x000a_Bo" xfId="1885" xr:uid="{00000000-0005-0000-0000-00008F050000}"/>
    <cellStyle name="s]_x000d__x000a_UsePmlPs=1_x000d__x000a_Location=17,528_x000d__x000a__x000d__x000a_[PDF]_x000d__x000a_HP DeskJet 1600C=hp16cqp.dll_x000d__x000a_HP DeskJet 1600CM=hp16cqp.dll_x000d__x000a__x000d__x000a_[Help" xfId="1886" xr:uid="{00000000-0005-0000-0000-000090050000}"/>
    <cellStyle name="SAPBEXaggData" xfId="1887" xr:uid="{00000000-0005-0000-0000-000091050000}"/>
    <cellStyle name="SAPBEXaggDataEmph" xfId="1888" xr:uid="{00000000-0005-0000-0000-000092050000}"/>
    <cellStyle name="SAPBEXaggItem" xfId="1889" xr:uid="{00000000-0005-0000-0000-000093050000}"/>
    <cellStyle name="SAPBEXaggItemX" xfId="1890" xr:uid="{00000000-0005-0000-0000-000094050000}"/>
    <cellStyle name="SAPBEXchaText" xfId="1891" xr:uid="{00000000-0005-0000-0000-000095050000}"/>
    <cellStyle name="SAPBEXexcBad7" xfId="1892" xr:uid="{00000000-0005-0000-0000-000096050000}"/>
    <cellStyle name="SAPBEXexcBad8" xfId="1893" xr:uid="{00000000-0005-0000-0000-000097050000}"/>
    <cellStyle name="SAPBEXexcBad9" xfId="1894" xr:uid="{00000000-0005-0000-0000-000098050000}"/>
    <cellStyle name="SAPBEXexcCritical4" xfId="1895" xr:uid="{00000000-0005-0000-0000-000099050000}"/>
    <cellStyle name="SAPBEXexcCritical5" xfId="1896" xr:uid="{00000000-0005-0000-0000-00009A050000}"/>
    <cellStyle name="SAPBEXexcCritical6" xfId="1897" xr:uid="{00000000-0005-0000-0000-00009B050000}"/>
    <cellStyle name="SAPBEXexcGood1" xfId="1898" xr:uid="{00000000-0005-0000-0000-00009C050000}"/>
    <cellStyle name="SAPBEXexcGood2" xfId="1899" xr:uid="{00000000-0005-0000-0000-00009D050000}"/>
    <cellStyle name="SAPBEXexcGood3" xfId="1900" xr:uid="{00000000-0005-0000-0000-00009E050000}"/>
    <cellStyle name="SAPBEXfilterDrill" xfId="1901" xr:uid="{00000000-0005-0000-0000-00009F050000}"/>
    <cellStyle name="SAPBEXfilterItem" xfId="1902" xr:uid="{00000000-0005-0000-0000-0000A0050000}"/>
    <cellStyle name="SAPBEXfilterText" xfId="1903" xr:uid="{00000000-0005-0000-0000-0000A1050000}"/>
    <cellStyle name="SAPBEXformats" xfId="1904" xr:uid="{00000000-0005-0000-0000-0000A2050000}"/>
    <cellStyle name="SAPBEXheaderItem" xfId="1905" xr:uid="{00000000-0005-0000-0000-0000A3050000}"/>
    <cellStyle name="SAPBEXheaderItem 2" xfId="1906" xr:uid="{00000000-0005-0000-0000-0000A4050000}"/>
    <cellStyle name="SAPBEXheaderText" xfId="1907" xr:uid="{00000000-0005-0000-0000-0000A5050000}"/>
    <cellStyle name="SAPBEXheaderText 2" xfId="1908" xr:uid="{00000000-0005-0000-0000-0000A6050000}"/>
    <cellStyle name="SAPBEXHLevel0" xfId="1909" xr:uid="{00000000-0005-0000-0000-0000A7050000}"/>
    <cellStyle name="SAPBEXHLevel0X" xfId="1910" xr:uid="{00000000-0005-0000-0000-0000A8050000}"/>
    <cellStyle name="SAPBEXHLevel1" xfId="1911" xr:uid="{00000000-0005-0000-0000-0000A9050000}"/>
    <cellStyle name="SAPBEXHLevel1X" xfId="1912" xr:uid="{00000000-0005-0000-0000-0000AA050000}"/>
    <cellStyle name="SAPBEXHLevel2" xfId="1913" xr:uid="{00000000-0005-0000-0000-0000AB050000}"/>
    <cellStyle name="SAPBEXHLevel2X" xfId="1914" xr:uid="{00000000-0005-0000-0000-0000AC050000}"/>
    <cellStyle name="SAPBEXHLevel3" xfId="1915" xr:uid="{00000000-0005-0000-0000-0000AD050000}"/>
    <cellStyle name="SAPBEXHLevel3X" xfId="1916" xr:uid="{00000000-0005-0000-0000-0000AE050000}"/>
    <cellStyle name="SAPBEXresData" xfId="1917" xr:uid="{00000000-0005-0000-0000-0000AF050000}"/>
    <cellStyle name="SAPBEXresDataEmph" xfId="1918" xr:uid="{00000000-0005-0000-0000-0000B0050000}"/>
    <cellStyle name="SAPBEXresItem" xfId="1919" xr:uid="{00000000-0005-0000-0000-0000B1050000}"/>
    <cellStyle name="SAPBEXresItemX" xfId="1920" xr:uid="{00000000-0005-0000-0000-0000B2050000}"/>
    <cellStyle name="SAPBEXstdData" xfId="1921" xr:uid="{00000000-0005-0000-0000-0000B3050000}"/>
    <cellStyle name="SAPBEXstdDataEmph" xfId="1922" xr:uid="{00000000-0005-0000-0000-0000B4050000}"/>
    <cellStyle name="SAPBEXstdItem" xfId="1923" xr:uid="{00000000-0005-0000-0000-0000B5050000}"/>
    <cellStyle name="SAPBEXstdItemX" xfId="1924" xr:uid="{00000000-0005-0000-0000-0000B6050000}"/>
    <cellStyle name="SAPBEXtitle" xfId="1925" xr:uid="{00000000-0005-0000-0000-0000B7050000}"/>
    <cellStyle name="SAPBEXundefined" xfId="1926" xr:uid="{00000000-0005-0000-0000-0000B8050000}"/>
    <cellStyle name="SAPError" xfId="1927" xr:uid="{00000000-0005-0000-0000-0000B9050000}"/>
    <cellStyle name="SAPKey" xfId="1928" xr:uid="{00000000-0005-0000-0000-0000BA050000}"/>
    <cellStyle name="SAPLocked" xfId="1929" xr:uid="{00000000-0005-0000-0000-0000BB050000}"/>
    <cellStyle name="SAPOutput" xfId="1930" xr:uid="{00000000-0005-0000-0000-0000BC050000}"/>
    <cellStyle name="SAPSpace" xfId="1931" xr:uid="{00000000-0005-0000-0000-0000BD050000}"/>
    <cellStyle name="SAPText" xfId="1932" xr:uid="{00000000-0005-0000-0000-0000BE050000}"/>
    <cellStyle name="SAPUnLocked" xfId="1933" xr:uid="{00000000-0005-0000-0000-0000BF050000}"/>
    <cellStyle name="ScripFactor" xfId="853" xr:uid="{00000000-0005-0000-0000-0000C0050000}"/>
    <cellStyle name="SectionHeading" xfId="854" xr:uid="{00000000-0005-0000-0000-0000C1050000}"/>
    <cellStyle name="Shade" xfId="310" xr:uid="{00000000-0005-0000-0000-0000C2050000}"/>
    <cellStyle name="Shade 2" xfId="1934" xr:uid="{00000000-0005-0000-0000-0000C3050000}"/>
    <cellStyle name="shade bold" xfId="311" xr:uid="{00000000-0005-0000-0000-0000C4050000}"/>
    <cellStyle name="Shade_AMC_fin1b" xfId="312" xr:uid="{00000000-0005-0000-0000-0000C5050000}"/>
    <cellStyle name="ShadedCells_Database" xfId="313" xr:uid="{00000000-0005-0000-0000-0000C6050000}"/>
    <cellStyle name="shading" xfId="314" xr:uid="{00000000-0005-0000-0000-0000C7050000}"/>
    <cellStyle name="Shares" xfId="855" xr:uid="{00000000-0005-0000-0000-0000C8050000}"/>
    <cellStyle name="Sheet Title" xfId="611" xr:uid="{00000000-0005-0000-0000-0000C9050000}"/>
    <cellStyle name="ShOut" xfId="612" xr:uid="{00000000-0005-0000-0000-0000CA050000}"/>
    <cellStyle name="sin nada" xfId="1935" xr:uid="{00000000-0005-0000-0000-0000CB050000}"/>
    <cellStyle name="Single Border" xfId="856" xr:uid="{00000000-0005-0000-0000-0000CC050000}"/>
    <cellStyle name="Single Border 2" xfId="857" xr:uid="{00000000-0005-0000-0000-0000CD050000}"/>
    <cellStyle name="SingleTopDoubleBott" xfId="858" xr:uid="{00000000-0005-0000-0000-0000CE050000}"/>
    <cellStyle name="srh" xfId="859" xr:uid="{00000000-0005-0000-0000-0000CF050000}"/>
    <cellStyle name="SS1000" xfId="860" xr:uid="{00000000-0005-0000-0000-0000D0050000}"/>
    <cellStyle name="SSComma0" xfId="315" xr:uid="{00000000-0005-0000-0000-0000D1050000}"/>
    <cellStyle name="SSComma0 2" xfId="1936" xr:uid="{00000000-0005-0000-0000-0000D2050000}"/>
    <cellStyle name="SSComma2" xfId="316" xr:uid="{00000000-0005-0000-0000-0000D3050000}"/>
    <cellStyle name="SSComma2 2" xfId="1937" xr:uid="{00000000-0005-0000-0000-0000D4050000}"/>
    <cellStyle name="SSDecs3" xfId="317" xr:uid="{00000000-0005-0000-0000-0000D5050000}"/>
    <cellStyle name="SSDflt" xfId="318" xr:uid="{00000000-0005-0000-0000-0000D6050000}"/>
    <cellStyle name="SSDflt 2" xfId="1938" xr:uid="{00000000-0005-0000-0000-0000D7050000}"/>
    <cellStyle name="SSDfltPct" xfId="319" xr:uid="{00000000-0005-0000-0000-0000D8050000}"/>
    <cellStyle name="SSDfltPct 2" xfId="1939" xr:uid="{00000000-0005-0000-0000-0000D9050000}"/>
    <cellStyle name="SSDfltPct0" xfId="320" xr:uid="{00000000-0005-0000-0000-0000DA050000}"/>
    <cellStyle name="SSDfltPct0 2" xfId="1940" xr:uid="{00000000-0005-0000-0000-0000DB050000}"/>
    <cellStyle name="SSFixed2" xfId="321" xr:uid="{00000000-0005-0000-0000-0000DC050000}"/>
    <cellStyle name="SSFixed2 2" xfId="1941" xr:uid="{00000000-0005-0000-0000-0000DD050000}"/>
    <cellStyle name="Standard" xfId="1942" xr:uid="{00000000-0005-0000-0000-0000DE050000}"/>
    <cellStyle name="STYL1 - Style1" xfId="861" xr:uid="{00000000-0005-0000-0000-0000DF050000}"/>
    <cellStyle name="STYL2 - Style2" xfId="862" xr:uid="{00000000-0005-0000-0000-0000E0050000}"/>
    <cellStyle name="STYL3 - Style3" xfId="863" xr:uid="{00000000-0005-0000-0000-0000E1050000}"/>
    <cellStyle name="STYL4 - Style4" xfId="864" xr:uid="{00000000-0005-0000-0000-0000E2050000}"/>
    <cellStyle name="STYL5 - Style5" xfId="865" xr:uid="{00000000-0005-0000-0000-0000E3050000}"/>
    <cellStyle name="Style 1" xfId="322" xr:uid="{00000000-0005-0000-0000-0000E4050000}"/>
    <cellStyle name="Style 1 2" xfId="1943" xr:uid="{00000000-0005-0000-0000-0000E5050000}"/>
    <cellStyle name="Style 1090" xfId="866" xr:uid="{00000000-0005-0000-0000-0000E6050000}"/>
    <cellStyle name="Style 1094" xfId="867" xr:uid="{00000000-0005-0000-0000-0000E7050000}"/>
    <cellStyle name="Style 1256" xfId="868" xr:uid="{00000000-0005-0000-0000-0000E8050000}"/>
    <cellStyle name="Style 1261" xfId="869" xr:uid="{00000000-0005-0000-0000-0000E9050000}"/>
    <cellStyle name="Style 1263" xfId="870" xr:uid="{00000000-0005-0000-0000-0000EA050000}"/>
    <cellStyle name="Style 1265" xfId="871" xr:uid="{00000000-0005-0000-0000-0000EB050000}"/>
    <cellStyle name="Style 1267" xfId="872" xr:uid="{00000000-0005-0000-0000-0000EC050000}"/>
    <cellStyle name="Style 1269" xfId="873" xr:uid="{00000000-0005-0000-0000-0000ED050000}"/>
    <cellStyle name="Style 1271" xfId="874" xr:uid="{00000000-0005-0000-0000-0000EE050000}"/>
    <cellStyle name="Style 2" xfId="613" xr:uid="{00000000-0005-0000-0000-0000EF050000}"/>
    <cellStyle name="Style 21" xfId="875" xr:uid="{00000000-0005-0000-0000-0000F0050000}"/>
    <cellStyle name="Style 212" xfId="876" xr:uid="{00000000-0005-0000-0000-0000F1050000}"/>
    <cellStyle name="Style 213" xfId="877" xr:uid="{00000000-0005-0000-0000-0000F2050000}"/>
    <cellStyle name="Style 22" xfId="878" xr:uid="{00000000-0005-0000-0000-0000F3050000}"/>
    <cellStyle name="Style 227" xfId="879" xr:uid="{00000000-0005-0000-0000-0000F4050000}"/>
    <cellStyle name="Style 228" xfId="880" xr:uid="{00000000-0005-0000-0000-0000F5050000}"/>
    <cellStyle name="Style 229" xfId="881" xr:uid="{00000000-0005-0000-0000-0000F6050000}"/>
    <cellStyle name="Style 23" xfId="882" xr:uid="{00000000-0005-0000-0000-0000F7050000}"/>
    <cellStyle name="Style 230" xfId="883" xr:uid="{00000000-0005-0000-0000-0000F8050000}"/>
    <cellStyle name="Style 231" xfId="884" xr:uid="{00000000-0005-0000-0000-0000F9050000}"/>
    <cellStyle name="Style 232" xfId="885" xr:uid="{00000000-0005-0000-0000-0000FA050000}"/>
    <cellStyle name="Style 233" xfId="886" xr:uid="{00000000-0005-0000-0000-0000FB050000}"/>
    <cellStyle name="Style 234" xfId="887" xr:uid="{00000000-0005-0000-0000-0000FC050000}"/>
    <cellStyle name="Style 235" xfId="888" xr:uid="{00000000-0005-0000-0000-0000FD050000}"/>
    <cellStyle name="Style 236" xfId="889" xr:uid="{00000000-0005-0000-0000-0000FE050000}"/>
    <cellStyle name="Style 237" xfId="890" xr:uid="{00000000-0005-0000-0000-0000FF050000}"/>
    <cellStyle name="Style 238" xfId="891" xr:uid="{00000000-0005-0000-0000-000000060000}"/>
    <cellStyle name="Style 239" xfId="892" xr:uid="{00000000-0005-0000-0000-000001060000}"/>
    <cellStyle name="Style 24" xfId="893" xr:uid="{00000000-0005-0000-0000-000002060000}"/>
    <cellStyle name="Style 240" xfId="894" xr:uid="{00000000-0005-0000-0000-000003060000}"/>
    <cellStyle name="Style 241" xfId="895" xr:uid="{00000000-0005-0000-0000-000004060000}"/>
    <cellStyle name="Style 242" xfId="896" xr:uid="{00000000-0005-0000-0000-000005060000}"/>
    <cellStyle name="Style 243" xfId="897" xr:uid="{00000000-0005-0000-0000-000006060000}"/>
    <cellStyle name="Style 244" xfId="898" xr:uid="{00000000-0005-0000-0000-000007060000}"/>
    <cellStyle name="Style 245" xfId="899" xr:uid="{00000000-0005-0000-0000-000008060000}"/>
    <cellStyle name="Style 246" xfId="900" xr:uid="{00000000-0005-0000-0000-000009060000}"/>
    <cellStyle name="Style 247" xfId="901" xr:uid="{00000000-0005-0000-0000-00000A060000}"/>
    <cellStyle name="Style 248" xfId="902" xr:uid="{00000000-0005-0000-0000-00000B060000}"/>
    <cellStyle name="Style 249" xfId="903" xr:uid="{00000000-0005-0000-0000-00000C060000}"/>
    <cellStyle name="Style 25" xfId="904" xr:uid="{00000000-0005-0000-0000-00000D060000}"/>
    <cellStyle name="Style 250" xfId="905" xr:uid="{00000000-0005-0000-0000-00000E060000}"/>
    <cellStyle name="Style 251" xfId="906" xr:uid="{00000000-0005-0000-0000-00000F060000}"/>
    <cellStyle name="Style 252" xfId="907" xr:uid="{00000000-0005-0000-0000-000010060000}"/>
    <cellStyle name="Style 253" xfId="908" xr:uid="{00000000-0005-0000-0000-000011060000}"/>
    <cellStyle name="Style 254" xfId="909" xr:uid="{00000000-0005-0000-0000-000012060000}"/>
    <cellStyle name="Style 255" xfId="910" xr:uid="{00000000-0005-0000-0000-000013060000}"/>
    <cellStyle name="Style 256" xfId="911" xr:uid="{00000000-0005-0000-0000-000014060000}"/>
    <cellStyle name="Style 257" xfId="912" xr:uid="{00000000-0005-0000-0000-000015060000}"/>
    <cellStyle name="Style 258" xfId="913" xr:uid="{00000000-0005-0000-0000-000016060000}"/>
    <cellStyle name="Style 259" xfId="914" xr:uid="{00000000-0005-0000-0000-000017060000}"/>
    <cellStyle name="Style 26" xfId="915" xr:uid="{00000000-0005-0000-0000-000018060000}"/>
    <cellStyle name="Style 260" xfId="916" xr:uid="{00000000-0005-0000-0000-000019060000}"/>
    <cellStyle name="Style 27" xfId="917" xr:uid="{00000000-0005-0000-0000-00001A060000}"/>
    <cellStyle name="Style 28" xfId="918" xr:uid="{00000000-0005-0000-0000-00001B060000}"/>
    <cellStyle name="Style 29" xfId="919" xr:uid="{00000000-0005-0000-0000-00001C060000}"/>
    <cellStyle name="Style 3" xfId="614" xr:uid="{00000000-0005-0000-0000-00001D060000}"/>
    <cellStyle name="Style 30" xfId="920" xr:uid="{00000000-0005-0000-0000-00001E060000}"/>
    <cellStyle name="Style 307" xfId="921" xr:uid="{00000000-0005-0000-0000-00001F060000}"/>
    <cellStyle name="Style 308" xfId="922" xr:uid="{00000000-0005-0000-0000-000020060000}"/>
    <cellStyle name="Style 309" xfId="923" xr:uid="{00000000-0005-0000-0000-000021060000}"/>
    <cellStyle name="Style 31" xfId="924" xr:uid="{00000000-0005-0000-0000-000022060000}"/>
    <cellStyle name="Style 310" xfId="925" xr:uid="{00000000-0005-0000-0000-000023060000}"/>
    <cellStyle name="Style 311" xfId="926" xr:uid="{00000000-0005-0000-0000-000024060000}"/>
    <cellStyle name="Style 312" xfId="927" xr:uid="{00000000-0005-0000-0000-000025060000}"/>
    <cellStyle name="Style 313" xfId="928" xr:uid="{00000000-0005-0000-0000-000026060000}"/>
    <cellStyle name="Style 314" xfId="929" xr:uid="{00000000-0005-0000-0000-000027060000}"/>
    <cellStyle name="Style 315" xfId="930" xr:uid="{00000000-0005-0000-0000-000028060000}"/>
    <cellStyle name="Style 316" xfId="931" xr:uid="{00000000-0005-0000-0000-000029060000}"/>
    <cellStyle name="Style 317" xfId="932" xr:uid="{00000000-0005-0000-0000-00002A060000}"/>
    <cellStyle name="Style 318" xfId="933" xr:uid="{00000000-0005-0000-0000-00002B060000}"/>
    <cellStyle name="Style 319" xfId="934" xr:uid="{00000000-0005-0000-0000-00002C060000}"/>
    <cellStyle name="Style 32" xfId="935" xr:uid="{00000000-0005-0000-0000-00002D060000}"/>
    <cellStyle name="Style 320" xfId="936" xr:uid="{00000000-0005-0000-0000-00002E060000}"/>
    <cellStyle name="Style 321" xfId="937" xr:uid="{00000000-0005-0000-0000-00002F060000}"/>
    <cellStyle name="Style 322" xfId="938" xr:uid="{00000000-0005-0000-0000-000030060000}"/>
    <cellStyle name="Style 33" xfId="939" xr:uid="{00000000-0005-0000-0000-000031060000}"/>
    <cellStyle name="Style 34" xfId="940" xr:uid="{00000000-0005-0000-0000-000032060000}"/>
    <cellStyle name="Style 35" xfId="941" xr:uid="{00000000-0005-0000-0000-000033060000}"/>
    <cellStyle name="Style 351" xfId="942" xr:uid="{00000000-0005-0000-0000-000034060000}"/>
    <cellStyle name="Style 352" xfId="943" xr:uid="{00000000-0005-0000-0000-000035060000}"/>
    <cellStyle name="Style 353" xfId="944" xr:uid="{00000000-0005-0000-0000-000036060000}"/>
    <cellStyle name="Style 354" xfId="945" xr:uid="{00000000-0005-0000-0000-000037060000}"/>
    <cellStyle name="Style 355" xfId="946" xr:uid="{00000000-0005-0000-0000-000038060000}"/>
    <cellStyle name="Style 356" xfId="947" xr:uid="{00000000-0005-0000-0000-000039060000}"/>
    <cellStyle name="Style 357" xfId="948" xr:uid="{00000000-0005-0000-0000-00003A060000}"/>
    <cellStyle name="Style 358" xfId="949" xr:uid="{00000000-0005-0000-0000-00003B060000}"/>
    <cellStyle name="Style 359" xfId="950" xr:uid="{00000000-0005-0000-0000-00003C060000}"/>
    <cellStyle name="Style 36" xfId="951" xr:uid="{00000000-0005-0000-0000-00003D060000}"/>
    <cellStyle name="Style 360" xfId="952" xr:uid="{00000000-0005-0000-0000-00003E060000}"/>
    <cellStyle name="Style 361" xfId="953" xr:uid="{00000000-0005-0000-0000-00003F060000}"/>
    <cellStyle name="Style 362" xfId="954" xr:uid="{00000000-0005-0000-0000-000040060000}"/>
    <cellStyle name="Style 363" xfId="955" xr:uid="{00000000-0005-0000-0000-000041060000}"/>
    <cellStyle name="Style 364" xfId="956" xr:uid="{00000000-0005-0000-0000-000042060000}"/>
    <cellStyle name="Style 365" xfId="957" xr:uid="{00000000-0005-0000-0000-000043060000}"/>
    <cellStyle name="Style 366" xfId="958" xr:uid="{00000000-0005-0000-0000-000044060000}"/>
    <cellStyle name="Style 367" xfId="959" xr:uid="{00000000-0005-0000-0000-000045060000}"/>
    <cellStyle name="Style 368" xfId="960" xr:uid="{00000000-0005-0000-0000-000046060000}"/>
    <cellStyle name="Style 369" xfId="961" xr:uid="{00000000-0005-0000-0000-000047060000}"/>
    <cellStyle name="Style 370" xfId="962" xr:uid="{00000000-0005-0000-0000-000048060000}"/>
    <cellStyle name="Style 371" xfId="963" xr:uid="{00000000-0005-0000-0000-000049060000}"/>
    <cellStyle name="Style 372" xfId="964" xr:uid="{00000000-0005-0000-0000-00004A060000}"/>
    <cellStyle name="Style 373" xfId="965" xr:uid="{00000000-0005-0000-0000-00004B060000}"/>
    <cellStyle name="Style 374" xfId="966" xr:uid="{00000000-0005-0000-0000-00004C060000}"/>
    <cellStyle name="Style 375" xfId="967" xr:uid="{00000000-0005-0000-0000-00004D060000}"/>
    <cellStyle name="Style 376" xfId="968" xr:uid="{00000000-0005-0000-0000-00004E060000}"/>
    <cellStyle name="Style 377" xfId="969" xr:uid="{00000000-0005-0000-0000-00004F060000}"/>
    <cellStyle name="Style 378" xfId="970" xr:uid="{00000000-0005-0000-0000-000050060000}"/>
    <cellStyle name="Style 379" xfId="971" xr:uid="{00000000-0005-0000-0000-000051060000}"/>
    <cellStyle name="Style 380" xfId="972" xr:uid="{00000000-0005-0000-0000-000052060000}"/>
    <cellStyle name="Style 381" xfId="973" xr:uid="{00000000-0005-0000-0000-000053060000}"/>
    <cellStyle name="Style 382" xfId="974" xr:uid="{00000000-0005-0000-0000-000054060000}"/>
    <cellStyle name="Style 383" xfId="975" xr:uid="{00000000-0005-0000-0000-000055060000}"/>
    <cellStyle name="Style 384" xfId="976" xr:uid="{00000000-0005-0000-0000-000056060000}"/>
    <cellStyle name="Style 385" xfId="977" xr:uid="{00000000-0005-0000-0000-000057060000}"/>
    <cellStyle name="Style 386" xfId="978" xr:uid="{00000000-0005-0000-0000-000058060000}"/>
    <cellStyle name="Style 387" xfId="979" xr:uid="{00000000-0005-0000-0000-000059060000}"/>
    <cellStyle name="Style 388" xfId="980" xr:uid="{00000000-0005-0000-0000-00005A060000}"/>
    <cellStyle name="Style 389" xfId="981" xr:uid="{00000000-0005-0000-0000-00005B060000}"/>
    <cellStyle name="Style 39" xfId="982" xr:uid="{00000000-0005-0000-0000-00005C060000}"/>
    <cellStyle name="Style 39 2" xfId="983" xr:uid="{00000000-0005-0000-0000-00005D060000}"/>
    <cellStyle name="Style 390" xfId="984" xr:uid="{00000000-0005-0000-0000-00005E060000}"/>
    <cellStyle name="Style 391" xfId="985" xr:uid="{00000000-0005-0000-0000-00005F060000}"/>
    <cellStyle name="Style 392" xfId="986" xr:uid="{00000000-0005-0000-0000-000060060000}"/>
    <cellStyle name="Style 393" xfId="987" xr:uid="{00000000-0005-0000-0000-000061060000}"/>
    <cellStyle name="Style 394" xfId="988" xr:uid="{00000000-0005-0000-0000-000062060000}"/>
    <cellStyle name="Style 395" xfId="989" xr:uid="{00000000-0005-0000-0000-000063060000}"/>
    <cellStyle name="Style 396" xfId="990" xr:uid="{00000000-0005-0000-0000-000064060000}"/>
    <cellStyle name="Style 397" xfId="991" xr:uid="{00000000-0005-0000-0000-000065060000}"/>
    <cellStyle name="Style 398" xfId="992" xr:uid="{00000000-0005-0000-0000-000066060000}"/>
    <cellStyle name="Style 399" xfId="993" xr:uid="{00000000-0005-0000-0000-000067060000}"/>
    <cellStyle name="Style 400" xfId="994" xr:uid="{00000000-0005-0000-0000-000068060000}"/>
    <cellStyle name="Style 401" xfId="995" xr:uid="{00000000-0005-0000-0000-000069060000}"/>
    <cellStyle name="Style 402" xfId="996" xr:uid="{00000000-0005-0000-0000-00006A060000}"/>
    <cellStyle name="Style 403" xfId="997" xr:uid="{00000000-0005-0000-0000-00006B060000}"/>
    <cellStyle name="Style 404" xfId="998" xr:uid="{00000000-0005-0000-0000-00006C060000}"/>
    <cellStyle name="Style 405" xfId="999" xr:uid="{00000000-0005-0000-0000-00006D060000}"/>
    <cellStyle name="Style 406" xfId="1000" xr:uid="{00000000-0005-0000-0000-00006E060000}"/>
    <cellStyle name="Style 407" xfId="1001" xr:uid="{00000000-0005-0000-0000-00006F060000}"/>
    <cellStyle name="Style 408" xfId="1002" xr:uid="{00000000-0005-0000-0000-000070060000}"/>
    <cellStyle name="Style 409" xfId="1003" xr:uid="{00000000-0005-0000-0000-000071060000}"/>
    <cellStyle name="Style 410" xfId="1004" xr:uid="{00000000-0005-0000-0000-000072060000}"/>
    <cellStyle name="Style 411" xfId="1005" xr:uid="{00000000-0005-0000-0000-000073060000}"/>
    <cellStyle name="Style 438" xfId="1006" xr:uid="{00000000-0005-0000-0000-000074060000}"/>
    <cellStyle name="Style 439" xfId="1007" xr:uid="{00000000-0005-0000-0000-000075060000}"/>
    <cellStyle name="Style 440" xfId="1008" xr:uid="{00000000-0005-0000-0000-000076060000}"/>
    <cellStyle name="Style 441" xfId="1009" xr:uid="{00000000-0005-0000-0000-000077060000}"/>
    <cellStyle name="Style 442" xfId="1010" xr:uid="{00000000-0005-0000-0000-000078060000}"/>
    <cellStyle name="Style 443" xfId="1011" xr:uid="{00000000-0005-0000-0000-000079060000}"/>
    <cellStyle name="Style 444" xfId="1012" xr:uid="{00000000-0005-0000-0000-00007A060000}"/>
    <cellStyle name="Style 445" xfId="1013" xr:uid="{00000000-0005-0000-0000-00007B060000}"/>
    <cellStyle name="Style 446" xfId="1014" xr:uid="{00000000-0005-0000-0000-00007C060000}"/>
    <cellStyle name="Style 447" xfId="1015" xr:uid="{00000000-0005-0000-0000-00007D060000}"/>
    <cellStyle name="Style 448" xfId="1016" xr:uid="{00000000-0005-0000-0000-00007E060000}"/>
    <cellStyle name="Style 449" xfId="1017" xr:uid="{00000000-0005-0000-0000-00007F060000}"/>
    <cellStyle name="Style 450" xfId="1018" xr:uid="{00000000-0005-0000-0000-000080060000}"/>
    <cellStyle name="Style 451" xfId="1019" xr:uid="{00000000-0005-0000-0000-000081060000}"/>
    <cellStyle name="Style 452" xfId="1020" xr:uid="{00000000-0005-0000-0000-000082060000}"/>
    <cellStyle name="Style 453" xfId="1021" xr:uid="{00000000-0005-0000-0000-000083060000}"/>
    <cellStyle name="Style 454" xfId="1022" xr:uid="{00000000-0005-0000-0000-000084060000}"/>
    <cellStyle name="Style 459" xfId="1023" xr:uid="{00000000-0005-0000-0000-000085060000}"/>
    <cellStyle name="Style 460" xfId="1024" xr:uid="{00000000-0005-0000-0000-000086060000}"/>
    <cellStyle name="Style 461" xfId="1025" xr:uid="{00000000-0005-0000-0000-000087060000}"/>
    <cellStyle name="Style 462" xfId="1026" xr:uid="{00000000-0005-0000-0000-000088060000}"/>
    <cellStyle name="Style 463" xfId="1027" xr:uid="{00000000-0005-0000-0000-000089060000}"/>
    <cellStyle name="Style 464" xfId="1028" xr:uid="{00000000-0005-0000-0000-00008A060000}"/>
    <cellStyle name="Style 465" xfId="1029" xr:uid="{00000000-0005-0000-0000-00008B060000}"/>
    <cellStyle name="Style 466" xfId="1030" xr:uid="{00000000-0005-0000-0000-00008C060000}"/>
    <cellStyle name="Style 467" xfId="1031" xr:uid="{00000000-0005-0000-0000-00008D060000}"/>
    <cellStyle name="Style 468" xfId="1032" xr:uid="{00000000-0005-0000-0000-00008E060000}"/>
    <cellStyle name="Style 469" xfId="1033" xr:uid="{00000000-0005-0000-0000-00008F060000}"/>
    <cellStyle name="Style 470" xfId="1034" xr:uid="{00000000-0005-0000-0000-000090060000}"/>
    <cellStyle name="Style 471" xfId="1035" xr:uid="{00000000-0005-0000-0000-000091060000}"/>
    <cellStyle name="Style 482" xfId="1036" xr:uid="{00000000-0005-0000-0000-000092060000}"/>
    <cellStyle name="Style 483" xfId="1037" xr:uid="{00000000-0005-0000-0000-000093060000}"/>
    <cellStyle name="Style 484" xfId="1038" xr:uid="{00000000-0005-0000-0000-000094060000}"/>
    <cellStyle name="Style 485" xfId="1039" xr:uid="{00000000-0005-0000-0000-000095060000}"/>
    <cellStyle name="Style 486" xfId="1040" xr:uid="{00000000-0005-0000-0000-000096060000}"/>
    <cellStyle name="Style 487" xfId="1041" xr:uid="{00000000-0005-0000-0000-000097060000}"/>
    <cellStyle name="Style 488" xfId="1042" xr:uid="{00000000-0005-0000-0000-000098060000}"/>
    <cellStyle name="Style 489" xfId="1043" xr:uid="{00000000-0005-0000-0000-000099060000}"/>
    <cellStyle name="Style 490" xfId="1044" xr:uid="{00000000-0005-0000-0000-00009A060000}"/>
    <cellStyle name="Style 491" xfId="1045" xr:uid="{00000000-0005-0000-0000-00009B060000}"/>
    <cellStyle name="Style 492" xfId="1046" xr:uid="{00000000-0005-0000-0000-00009C060000}"/>
    <cellStyle name="Style 493" xfId="1047" xr:uid="{00000000-0005-0000-0000-00009D060000}"/>
    <cellStyle name="Style 494" xfId="1048" xr:uid="{00000000-0005-0000-0000-00009E060000}"/>
    <cellStyle name="Style 495" xfId="1049" xr:uid="{00000000-0005-0000-0000-00009F060000}"/>
    <cellStyle name="Style 496" xfId="1050" xr:uid="{00000000-0005-0000-0000-0000A0060000}"/>
    <cellStyle name="Style 497" xfId="1051" xr:uid="{00000000-0005-0000-0000-0000A1060000}"/>
    <cellStyle name="Style 498" xfId="1052" xr:uid="{00000000-0005-0000-0000-0000A2060000}"/>
    <cellStyle name="Style 499" xfId="1053" xr:uid="{00000000-0005-0000-0000-0000A3060000}"/>
    <cellStyle name="Style 500" xfId="1054" xr:uid="{00000000-0005-0000-0000-0000A4060000}"/>
    <cellStyle name="Style 501" xfId="1055" xr:uid="{00000000-0005-0000-0000-0000A5060000}"/>
    <cellStyle name="Style 502" xfId="1056" xr:uid="{00000000-0005-0000-0000-0000A6060000}"/>
    <cellStyle name="Style 503" xfId="1057" xr:uid="{00000000-0005-0000-0000-0000A7060000}"/>
    <cellStyle name="Style 504" xfId="1058" xr:uid="{00000000-0005-0000-0000-0000A8060000}"/>
    <cellStyle name="Style 514" xfId="1059" xr:uid="{00000000-0005-0000-0000-0000A9060000}"/>
    <cellStyle name="Style 515" xfId="1060" xr:uid="{00000000-0005-0000-0000-0000AA060000}"/>
    <cellStyle name="Style 516" xfId="1061" xr:uid="{00000000-0005-0000-0000-0000AB060000}"/>
    <cellStyle name="Style 517" xfId="1062" xr:uid="{00000000-0005-0000-0000-0000AC060000}"/>
    <cellStyle name="Style 518" xfId="1063" xr:uid="{00000000-0005-0000-0000-0000AD060000}"/>
    <cellStyle name="Style 519" xfId="1064" xr:uid="{00000000-0005-0000-0000-0000AE060000}"/>
    <cellStyle name="Style 520" xfId="1065" xr:uid="{00000000-0005-0000-0000-0000AF060000}"/>
    <cellStyle name="Style 521" xfId="1066" xr:uid="{00000000-0005-0000-0000-0000B0060000}"/>
    <cellStyle name="Style 522" xfId="1067" xr:uid="{00000000-0005-0000-0000-0000B1060000}"/>
    <cellStyle name="Style 523" xfId="1068" xr:uid="{00000000-0005-0000-0000-0000B2060000}"/>
    <cellStyle name="Style 524" xfId="1069" xr:uid="{00000000-0005-0000-0000-0000B3060000}"/>
    <cellStyle name="Style 525" xfId="1070" xr:uid="{00000000-0005-0000-0000-0000B4060000}"/>
    <cellStyle name="Style 526" xfId="1071" xr:uid="{00000000-0005-0000-0000-0000B5060000}"/>
    <cellStyle name="Style 527" xfId="1072" xr:uid="{00000000-0005-0000-0000-0000B6060000}"/>
    <cellStyle name="Style 528" xfId="1073" xr:uid="{00000000-0005-0000-0000-0000B7060000}"/>
    <cellStyle name="Style 529" xfId="1074" xr:uid="{00000000-0005-0000-0000-0000B8060000}"/>
    <cellStyle name="Style 530" xfId="1075" xr:uid="{00000000-0005-0000-0000-0000B9060000}"/>
    <cellStyle name="Style 531" xfId="1076" xr:uid="{00000000-0005-0000-0000-0000BA060000}"/>
    <cellStyle name="Style 532" xfId="1077" xr:uid="{00000000-0005-0000-0000-0000BB060000}"/>
    <cellStyle name="Style 533" xfId="1078" xr:uid="{00000000-0005-0000-0000-0000BC060000}"/>
    <cellStyle name="Style 534" xfId="1079" xr:uid="{00000000-0005-0000-0000-0000BD060000}"/>
    <cellStyle name="Style 535" xfId="1080" xr:uid="{00000000-0005-0000-0000-0000BE060000}"/>
    <cellStyle name="Style 536" xfId="1081" xr:uid="{00000000-0005-0000-0000-0000BF060000}"/>
    <cellStyle name="Style 537" xfId="1082" xr:uid="{00000000-0005-0000-0000-0000C0060000}"/>
    <cellStyle name="Style 538" xfId="1083" xr:uid="{00000000-0005-0000-0000-0000C1060000}"/>
    <cellStyle name="Style 539" xfId="1084" xr:uid="{00000000-0005-0000-0000-0000C2060000}"/>
    <cellStyle name="Style 541" xfId="1085" xr:uid="{00000000-0005-0000-0000-0000C3060000}"/>
    <cellStyle name="Style 543" xfId="1086" xr:uid="{00000000-0005-0000-0000-0000C4060000}"/>
    <cellStyle name="Style 545" xfId="1087" xr:uid="{00000000-0005-0000-0000-0000C5060000}"/>
    <cellStyle name="Style 547" xfId="1088" xr:uid="{00000000-0005-0000-0000-0000C6060000}"/>
    <cellStyle name="Style 548" xfId="1089" xr:uid="{00000000-0005-0000-0000-0000C7060000}"/>
    <cellStyle name="Style 549" xfId="1090" xr:uid="{00000000-0005-0000-0000-0000C8060000}"/>
    <cellStyle name="Style 550" xfId="1091" xr:uid="{00000000-0005-0000-0000-0000C9060000}"/>
    <cellStyle name="Style 551" xfId="1092" xr:uid="{00000000-0005-0000-0000-0000CA060000}"/>
    <cellStyle name="Style 552" xfId="1093" xr:uid="{00000000-0005-0000-0000-0000CB060000}"/>
    <cellStyle name="Style 553" xfId="1094" xr:uid="{00000000-0005-0000-0000-0000CC060000}"/>
    <cellStyle name="Style 554" xfId="1095" xr:uid="{00000000-0005-0000-0000-0000CD060000}"/>
    <cellStyle name="Style 555" xfId="1096" xr:uid="{00000000-0005-0000-0000-0000CE060000}"/>
    <cellStyle name="Style 556" xfId="1097" xr:uid="{00000000-0005-0000-0000-0000CF060000}"/>
    <cellStyle name="Style 557" xfId="1098" xr:uid="{00000000-0005-0000-0000-0000D0060000}"/>
    <cellStyle name="Style 558" xfId="1099" xr:uid="{00000000-0005-0000-0000-0000D1060000}"/>
    <cellStyle name="Style 559" xfId="1100" xr:uid="{00000000-0005-0000-0000-0000D2060000}"/>
    <cellStyle name="Style 560" xfId="1101" xr:uid="{00000000-0005-0000-0000-0000D3060000}"/>
    <cellStyle name="Style 561" xfId="1102" xr:uid="{00000000-0005-0000-0000-0000D4060000}"/>
    <cellStyle name="Style 562" xfId="1103" xr:uid="{00000000-0005-0000-0000-0000D5060000}"/>
    <cellStyle name="Style 563" xfId="1104" xr:uid="{00000000-0005-0000-0000-0000D6060000}"/>
    <cellStyle name="Style 564" xfId="1105" xr:uid="{00000000-0005-0000-0000-0000D7060000}"/>
    <cellStyle name="Style 565" xfId="1106" xr:uid="{00000000-0005-0000-0000-0000D8060000}"/>
    <cellStyle name="Style 566" xfId="1107" xr:uid="{00000000-0005-0000-0000-0000D9060000}"/>
    <cellStyle name="Style 567" xfId="1108" xr:uid="{00000000-0005-0000-0000-0000DA060000}"/>
    <cellStyle name="Style 568" xfId="1109" xr:uid="{00000000-0005-0000-0000-0000DB060000}"/>
    <cellStyle name="Style 569" xfId="1110" xr:uid="{00000000-0005-0000-0000-0000DC060000}"/>
    <cellStyle name="Style 570" xfId="1111" xr:uid="{00000000-0005-0000-0000-0000DD060000}"/>
    <cellStyle name="Style 582" xfId="1112" xr:uid="{00000000-0005-0000-0000-0000DE060000}"/>
    <cellStyle name="Style 583" xfId="1113" xr:uid="{00000000-0005-0000-0000-0000DF060000}"/>
    <cellStyle name="Style 584" xfId="1114" xr:uid="{00000000-0005-0000-0000-0000E0060000}"/>
    <cellStyle name="Style 585" xfId="1115" xr:uid="{00000000-0005-0000-0000-0000E1060000}"/>
    <cellStyle name="Style 586" xfId="1116" xr:uid="{00000000-0005-0000-0000-0000E2060000}"/>
    <cellStyle name="Style 587" xfId="1117" xr:uid="{00000000-0005-0000-0000-0000E3060000}"/>
    <cellStyle name="Style 588" xfId="1118" xr:uid="{00000000-0005-0000-0000-0000E4060000}"/>
    <cellStyle name="Style 589" xfId="1119" xr:uid="{00000000-0005-0000-0000-0000E5060000}"/>
    <cellStyle name="Style 590" xfId="1120" xr:uid="{00000000-0005-0000-0000-0000E6060000}"/>
    <cellStyle name="Style 591" xfId="1121" xr:uid="{00000000-0005-0000-0000-0000E7060000}"/>
    <cellStyle name="Style 592" xfId="1122" xr:uid="{00000000-0005-0000-0000-0000E8060000}"/>
    <cellStyle name="Style 593" xfId="1123" xr:uid="{00000000-0005-0000-0000-0000E9060000}"/>
    <cellStyle name="Style 594" xfId="1124" xr:uid="{00000000-0005-0000-0000-0000EA060000}"/>
    <cellStyle name="Style 595" xfId="1125" xr:uid="{00000000-0005-0000-0000-0000EB060000}"/>
    <cellStyle name="Style 596" xfId="1126" xr:uid="{00000000-0005-0000-0000-0000EC060000}"/>
    <cellStyle name="Style 597" xfId="1127" xr:uid="{00000000-0005-0000-0000-0000ED060000}"/>
    <cellStyle name="Style 598" xfId="1128" xr:uid="{00000000-0005-0000-0000-0000EE060000}"/>
    <cellStyle name="Style 599" xfId="1129" xr:uid="{00000000-0005-0000-0000-0000EF060000}"/>
    <cellStyle name="Style 609" xfId="1130" xr:uid="{00000000-0005-0000-0000-0000F0060000}"/>
    <cellStyle name="Style 610" xfId="1131" xr:uid="{00000000-0005-0000-0000-0000F1060000}"/>
    <cellStyle name="Style 611" xfId="1132" xr:uid="{00000000-0005-0000-0000-0000F2060000}"/>
    <cellStyle name="Style 612" xfId="1133" xr:uid="{00000000-0005-0000-0000-0000F3060000}"/>
    <cellStyle name="Style 613" xfId="1134" xr:uid="{00000000-0005-0000-0000-0000F4060000}"/>
    <cellStyle name="Style 614" xfId="1135" xr:uid="{00000000-0005-0000-0000-0000F5060000}"/>
    <cellStyle name="Style 615" xfId="1136" xr:uid="{00000000-0005-0000-0000-0000F6060000}"/>
    <cellStyle name="Style 616" xfId="1137" xr:uid="{00000000-0005-0000-0000-0000F7060000}"/>
    <cellStyle name="Style 617" xfId="1138" xr:uid="{00000000-0005-0000-0000-0000F8060000}"/>
    <cellStyle name="Style 618" xfId="1139" xr:uid="{00000000-0005-0000-0000-0000F9060000}"/>
    <cellStyle name="Style 619" xfId="1140" xr:uid="{00000000-0005-0000-0000-0000FA060000}"/>
    <cellStyle name="Style 620" xfId="1141" xr:uid="{00000000-0005-0000-0000-0000FB060000}"/>
    <cellStyle name="Style 621" xfId="1142" xr:uid="{00000000-0005-0000-0000-0000FC060000}"/>
    <cellStyle name="Style 622" xfId="1143" xr:uid="{00000000-0005-0000-0000-0000FD060000}"/>
    <cellStyle name="Style 623" xfId="1144" xr:uid="{00000000-0005-0000-0000-0000FE060000}"/>
    <cellStyle name="Style 624" xfId="1145" xr:uid="{00000000-0005-0000-0000-0000FF060000}"/>
    <cellStyle name="Style 625" xfId="1146" xr:uid="{00000000-0005-0000-0000-000000070000}"/>
    <cellStyle name="Style 626" xfId="1147" xr:uid="{00000000-0005-0000-0000-000001070000}"/>
    <cellStyle name="Style 627" xfId="1148" xr:uid="{00000000-0005-0000-0000-000002070000}"/>
    <cellStyle name="Style 628" xfId="1149" xr:uid="{00000000-0005-0000-0000-000003070000}"/>
    <cellStyle name="Style 629" xfId="1150" xr:uid="{00000000-0005-0000-0000-000004070000}"/>
    <cellStyle name="Style 630" xfId="1151" xr:uid="{00000000-0005-0000-0000-000005070000}"/>
    <cellStyle name="Style 631" xfId="1152" xr:uid="{00000000-0005-0000-0000-000006070000}"/>
    <cellStyle name="Style 643" xfId="1153" xr:uid="{00000000-0005-0000-0000-000007070000}"/>
    <cellStyle name="Style 644" xfId="1154" xr:uid="{00000000-0005-0000-0000-000008070000}"/>
    <cellStyle name="Style 645" xfId="1155" xr:uid="{00000000-0005-0000-0000-000009070000}"/>
    <cellStyle name="Style 646" xfId="1156" xr:uid="{00000000-0005-0000-0000-00000A070000}"/>
    <cellStyle name="Style 647" xfId="1157" xr:uid="{00000000-0005-0000-0000-00000B070000}"/>
    <cellStyle name="Style 648" xfId="1158" xr:uid="{00000000-0005-0000-0000-00000C070000}"/>
    <cellStyle name="Style 649" xfId="1159" xr:uid="{00000000-0005-0000-0000-00000D070000}"/>
    <cellStyle name="Style 650" xfId="1160" xr:uid="{00000000-0005-0000-0000-00000E070000}"/>
    <cellStyle name="Style 651" xfId="1161" xr:uid="{00000000-0005-0000-0000-00000F070000}"/>
    <cellStyle name="Style 652" xfId="1162" xr:uid="{00000000-0005-0000-0000-000010070000}"/>
    <cellStyle name="Style 653" xfId="1163" xr:uid="{00000000-0005-0000-0000-000011070000}"/>
    <cellStyle name="Style 654" xfId="1164" xr:uid="{00000000-0005-0000-0000-000012070000}"/>
    <cellStyle name="Style 655" xfId="1165" xr:uid="{00000000-0005-0000-0000-000013070000}"/>
    <cellStyle name="Style 656" xfId="1166" xr:uid="{00000000-0005-0000-0000-000014070000}"/>
    <cellStyle name="Style 657" xfId="1167" xr:uid="{00000000-0005-0000-0000-000015070000}"/>
    <cellStyle name="Style 658" xfId="1168" xr:uid="{00000000-0005-0000-0000-000016070000}"/>
    <cellStyle name="Style 659" xfId="1169" xr:uid="{00000000-0005-0000-0000-000017070000}"/>
    <cellStyle name="Style 660" xfId="1170" xr:uid="{00000000-0005-0000-0000-000018070000}"/>
    <cellStyle name="Style 661" xfId="1171" xr:uid="{00000000-0005-0000-0000-000019070000}"/>
    <cellStyle name="Style 662" xfId="1172" xr:uid="{00000000-0005-0000-0000-00001A070000}"/>
    <cellStyle name="Style 663" xfId="1173" xr:uid="{00000000-0005-0000-0000-00001B070000}"/>
    <cellStyle name="Style 664" xfId="1174" xr:uid="{00000000-0005-0000-0000-00001C070000}"/>
    <cellStyle name="Style 666" xfId="1175" xr:uid="{00000000-0005-0000-0000-00001D070000}"/>
    <cellStyle name="Style 673" xfId="1176" xr:uid="{00000000-0005-0000-0000-00001E070000}"/>
    <cellStyle name="Style 675" xfId="1177" xr:uid="{00000000-0005-0000-0000-00001F070000}"/>
    <cellStyle name="Style 677" xfId="1178" xr:uid="{00000000-0005-0000-0000-000020070000}"/>
    <cellStyle name="Style 679" xfId="1179" xr:uid="{00000000-0005-0000-0000-000021070000}"/>
    <cellStyle name="Style 681" xfId="1180" xr:uid="{00000000-0005-0000-0000-000022070000}"/>
    <cellStyle name="Style 682" xfId="1181" xr:uid="{00000000-0005-0000-0000-000023070000}"/>
    <cellStyle name="Style 683" xfId="1182" xr:uid="{00000000-0005-0000-0000-000024070000}"/>
    <cellStyle name="Style 684" xfId="1183" xr:uid="{00000000-0005-0000-0000-000025070000}"/>
    <cellStyle name="Style 685" xfId="1184" xr:uid="{00000000-0005-0000-0000-000026070000}"/>
    <cellStyle name="Style 686" xfId="1185" xr:uid="{00000000-0005-0000-0000-000027070000}"/>
    <cellStyle name="Style 687" xfId="1186" xr:uid="{00000000-0005-0000-0000-000028070000}"/>
    <cellStyle name="Style 688" xfId="1187" xr:uid="{00000000-0005-0000-0000-000029070000}"/>
    <cellStyle name="Style 689" xfId="1188" xr:uid="{00000000-0005-0000-0000-00002A070000}"/>
    <cellStyle name="Style 690" xfId="1189" xr:uid="{00000000-0005-0000-0000-00002B070000}"/>
    <cellStyle name="Style 691" xfId="1190" xr:uid="{00000000-0005-0000-0000-00002C070000}"/>
    <cellStyle name="Style 692" xfId="1191" xr:uid="{00000000-0005-0000-0000-00002D070000}"/>
    <cellStyle name="Style 693" xfId="1192" xr:uid="{00000000-0005-0000-0000-00002E070000}"/>
    <cellStyle name="Style 694" xfId="1193" xr:uid="{00000000-0005-0000-0000-00002F070000}"/>
    <cellStyle name="Style 695" xfId="1194" xr:uid="{00000000-0005-0000-0000-000030070000}"/>
    <cellStyle name="Style 696" xfId="1195" xr:uid="{00000000-0005-0000-0000-000031070000}"/>
    <cellStyle name="Style 697" xfId="1196" xr:uid="{00000000-0005-0000-0000-000032070000}"/>
    <cellStyle name="Style 698" xfId="1197" xr:uid="{00000000-0005-0000-0000-000033070000}"/>
    <cellStyle name="Style 699" xfId="1198" xr:uid="{00000000-0005-0000-0000-000034070000}"/>
    <cellStyle name="Style 700" xfId="1199" xr:uid="{00000000-0005-0000-0000-000035070000}"/>
    <cellStyle name="Style 702" xfId="1200" xr:uid="{00000000-0005-0000-0000-000036070000}"/>
    <cellStyle name="Style 704" xfId="1201" xr:uid="{00000000-0005-0000-0000-000037070000}"/>
    <cellStyle name="Style 713" xfId="1202" xr:uid="{00000000-0005-0000-0000-000038070000}"/>
    <cellStyle name="Style 714" xfId="1203" xr:uid="{00000000-0005-0000-0000-000039070000}"/>
    <cellStyle name="Style 715" xfId="1204" xr:uid="{00000000-0005-0000-0000-00003A070000}"/>
    <cellStyle name="Style 716" xfId="1205" xr:uid="{00000000-0005-0000-0000-00003B070000}"/>
    <cellStyle name="Style 717" xfId="1206" xr:uid="{00000000-0005-0000-0000-00003C070000}"/>
    <cellStyle name="Style 718" xfId="1207" xr:uid="{00000000-0005-0000-0000-00003D070000}"/>
    <cellStyle name="Style 719" xfId="1208" xr:uid="{00000000-0005-0000-0000-00003E070000}"/>
    <cellStyle name="Style 720" xfId="1209" xr:uid="{00000000-0005-0000-0000-00003F070000}"/>
    <cellStyle name="Style 721" xfId="1210" xr:uid="{00000000-0005-0000-0000-000040070000}"/>
    <cellStyle name="Style 735" xfId="1211" xr:uid="{00000000-0005-0000-0000-000041070000}"/>
    <cellStyle name="Style 736" xfId="1212" xr:uid="{00000000-0005-0000-0000-000042070000}"/>
    <cellStyle name="Style 737" xfId="1213" xr:uid="{00000000-0005-0000-0000-000043070000}"/>
    <cellStyle name="Style 738" xfId="1214" xr:uid="{00000000-0005-0000-0000-000044070000}"/>
    <cellStyle name="Style 739" xfId="1215" xr:uid="{00000000-0005-0000-0000-000045070000}"/>
    <cellStyle name="Style 740" xfId="1216" xr:uid="{00000000-0005-0000-0000-000046070000}"/>
    <cellStyle name="Style 741" xfId="1217" xr:uid="{00000000-0005-0000-0000-000047070000}"/>
    <cellStyle name="Style 742" xfId="1218" xr:uid="{00000000-0005-0000-0000-000048070000}"/>
    <cellStyle name="Style 743" xfId="1219" xr:uid="{00000000-0005-0000-0000-000049070000}"/>
    <cellStyle name="Style 773" xfId="1220" xr:uid="{00000000-0005-0000-0000-00004A070000}"/>
    <cellStyle name="Style 775" xfId="1221" xr:uid="{00000000-0005-0000-0000-00004B070000}"/>
    <cellStyle name="Style 777" xfId="1222" xr:uid="{00000000-0005-0000-0000-00004C070000}"/>
    <cellStyle name="Style 779" xfId="1223" xr:uid="{00000000-0005-0000-0000-00004D070000}"/>
    <cellStyle name="Style 80" xfId="1224" xr:uid="{00000000-0005-0000-0000-00004E070000}"/>
    <cellStyle name="Style 81" xfId="1225" xr:uid="{00000000-0005-0000-0000-00004F070000}"/>
    <cellStyle name="Style 818" xfId="1226" xr:uid="{00000000-0005-0000-0000-000050070000}"/>
    <cellStyle name="Style 824" xfId="1227" xr:uid="{00000000-0005-0000-0000-000051070000}"/>
    <cellStyle name="Style 826" xfId="1228" xr:uid="{00000000-0005-0000-0000-000052070000}"/>
    <cellStyle name="Style 829" xfId="1229" xr:uid="{00000000-0005-0000-0000-000053070000}"/>
    <cellStyle name="Style 831" xfId="1230" xr:uid="{00000000-0005-0000-0000-000054070000}"/>
    <cellStyle name="Style 833" xfId="1231" xr:uid="{00000000-0005-0000-0000-000055070000}"/>
    <cellStyle name="Style 835" xfId="1232" xr:uid="{00000000-0005-0000-0000-000056070000}"/>
    <cellStyle name="Style 837" xfId="1233" xr:uid="{00000000-0005-0000-0000-000057070000}"/>
    <cellStyle name="Style 839" xfId="1234" xr:uid="{00000000-0005-0000-0000-000058070000}"/>
    <cellStyle name="Style D green" xfId="323" xr:uid="{00000000-0005-0000-0000-000059070000}"/>
    <cellStyle name="Style E" xfId="324" xr:uid="{00000000-0005-0000-0000-00005A070000}"/>
    <cellStyle name="Style H" xfId="325" xr:uid="{00000000-0005-0000-0000-00005B070000}"/>
    <cellStyle name="Sub total" xfId="326" xr:uid="{00000000-0005-0000-0000-00005C070000}"/>
    <cellStyle name="SubCats" xfId="1944" xr:uid="{00000000-0005-0000-0000-00005D070000}"/>
    <cellStyle name="Subhead" xfId="1235" xr:uid="{00000000-0005-0000-0000-00005E070000}"/>
    <cellStyle name="subheading" xfId="327" xr:uid="{00000000-0005-0000-0000-00005F070000}"/>
    <cellStyle name="SubRoutine" xfId="1236" xr:uid="{00000000-0005-0000-0000-000060070000}"/>
    <cellStyle name="Subtotal_left" xfId="1237" xr:uid="{00000000-0005-0000-0000-000061070000}"/>
    <cellStyle name="Sum" xfId="615" xr:uid="{00000000-0005-0000-0000-000062070000}"/>
    <cellStyle name="Swiss" xfId="616" xr:uid="{00000000-0005-0000-0000-000063070000}"/>
    <cellStyle name="swisses" xfId="1945" xr:uid="{00000000-0005-0000-0000-000064070000}"/>
    <cellStyle name="t" xfId="617" xr:uid="{00000000-0005-0000-0000-000065070000}"/>
    <cellStyle name="Table end" xfId="328" xr:uid="{00000000-0005-0000-0000-000066070000}"/>
    <cellStyle name="Table head" xfId="329" xr:uid="{00000000-0005-0000-0000-000067070000}"/>
    <cellStyle name="Table head 2" xfId="1238" xr:uid="{00000000-0005-0000-0000-000068070000}"/>
    <cellStyle name="Table Head Aligned" xfId="1946" xr:uid="{00000000-0005-0000-0000-000069070000}"/>
    <cellStyle name="Table Head Blue" xfId="1947" xr:uid="{00000000-0005-0000-0000-00006A070000}"/>
    <cellStyle name="Table Head Green" xfId="1948" xr:uid="{00000000-0005-0000-0000-00006B070000}"/>
    <cellStyle name="Table Head_2010 TEL" xfId="1949" xr:uid="{00000000-0005-0000-0000-00006C070000}"/>
    <cellStyle name="Table Label" xfId="1239" xr:uid="{00000000-0005-0000-0000-00006D070000}"/>
    <cellStyle name="table text bold" xfId="330" xr:uid="{00000000-0005-0000-0000-00006E070000}"/>
    <cellStyle name="table text bold green" xfId="331" xr:uid="{00000000-0005-0000-0000-00006F070000}"/>
    <cellStyle name="table text bold_GS Banks Sector tables 2006-2008" xfId="1950" xr:uid="{00000000-0005-0000-0000-000070070000}"/>
    <cellStyle name="table text light" xfId="332" xr:uid="{00000000-0005-0000-0000-000071070000}"/>
    <cellStyle name="Table Title" xfId="618" xr:uid="{00000000-0005-0000-0000-000072070000}"/>
    <cellStyle name="Table Units" xfId="619" xr:uid="{00000000-0005-0000-0000-000073070000}"/>
    <cellStyle name="TableTitle" xfId="333" xr:uid="{00000000-0005-0000-0000-000074070000}"/>
    <cellStyle name="tcn" xfId="1240" xr:uid="{00000000-0005-0000-0000-000075070000}"/>
    <cellStyle name="TEXT" xfId="1951" xr:uid="{00000000-0005-0000-0000-000076070000}"/>
    <cellStyle name="Text Bold" xfId="334" xr:uid="{00000000-0005-0000-0000-000077070000}"/>
    <cellStyle name="Text Indent A" xfId="335" xr:uid="{00000000-0005-0000-0000-000078070000}"/>
    <cellStyle name="Text Indent A 2" xfId="1952" xr:uid="{00000000-0005-0000-0000-000079070000}"/>
    <cellStyle name="Text Indent B" xfId="336" xr:uid="{00000000-0005-0000-0000-00007A070000}"/>
    <cellStyle name="Text Indent C" xfId="337" xr:uid="{00000000-0005-0000-0000-00007B070000}"/>
    <cellStyle name="Text Light" xfId="338" xr:uid="{00000000-0005-0000-0000-00007C070000}"/>
    <cellStyle name="TextB" xfId="339" xr:uid="{00000000-0005-0000-0000-00007D070000}"/>
    <cellStyle name="TextB 2" xfId="1953" xr:uid="{00000000-0005-0000-0000-00007E070000}"/>
    <cellStyle name="þ_x001d_ð/_x000c_=ÿÿ_x000c_0ÿU_x0001_‡_x0005_œ+_x0007__x0001__x0001_" xfId="1954" xr:uid="{00000000-0005-0000-0000-00007F070000}"/>
    <cellStyle name="þ_x001d_ð/_x000c_=ÿÿ_x000c_0ÿU_x0001_‡_x0005_œ+_x000f__x0001__x0001_" xfId="1955" xr:uid="{00000000-0005-0000-0000-000080070000}"/>
    <cellStyle name="Thick Rule" xfId="340" xr:uid="{00000000-0005-0000-0000-000081070000}"/>
    <cellStyle name="Thin Rule" xfId="341" xr:uid="{00000000-0005-0000-0000-000082070000}"/>
    <cellStyle name="Thou" xfId="342" xr:uid="{00000000-0005-0000-0000-000083070000}"/>
    <cellStyle name="threedecplace_Global 1" xfId="1956" xr:uid="{00000000-0005-0000-0000-000084070000}"/>
    <cellStyle name="Time" xfId="620" xr:uid="{00000000-0005-0000-0000-000085070000}"/>
    <cellStyle name="times" xfId="1957" xr:uid="{00000000-0005-0000-0000-000086070000}"/>
    <cellStyle name="Title" xfId="343" builtinId="15" customBuiltin="1"/>
    <cellStyle name="Title - PROJECT" xfId="621" xr:uid="{00000000-0005-0000-0000-000088070000}"/>
    <cellStyle name="Title - Underline" xfId="622" xr:uid="{00000000-0005-0000-0000-000089070000}"/>
    <cellStyle name="Title 2" xfId="1958" xr:uid="{00000000-0005-0000-0000-00008A070000}"/>
    <cellStyle name="Title 3" xfId="1959" xr:uid="{00000000-0005-0000-0000-00008B070000}"/>
    <cellStyle name="Title 4" xfId="1960" xr:uid="{00000000-0005-0000-0000-00008C070000}"/>
    <cellStyle name="Title1" xfId="623" xr:uid="{00000000-0005-0000-0000-00008D070000}"/>
    <cellStyle name="Title1 2" xfId="1961" xr:uid="{00000000-0005-0000-0000-00008E070000}"/>
    <cellStyle name="Title2" xfId="624" xr:uid="{00000000-0005-0000-0000-00008F070000}"/>
    <cellStyle name="TitleII" xfId="1241" xr:uid="{00000000-0005-0000-0000-000090070000}"/>
    <cellStyle name="Titles" xfId="1242" xr:uid="{00000000-0005-0000-0000-000091070000}"/>
    <cellStyle name="Titles - Col. Headings" xfId="625" xr:uid="{00000000-0005-0000-0000-000092070000}"/>
    <cellStyle name="Titles - Other" xfId="626" xr:uid="{00000000-0005-0000-0000-000093070000}"/>
    <cellStyle name="Titulo fecha 2" xfId="1962" xr:uid="{00000000-0005-0000-0000-000094070000}"/>
    <cellStyle name="Titulos Fecha" xfId="1963" xr:uid="{00000000-0005-0000-0000-000095070000}"/>
    <cellStyle name="tn" xfId="1243" xr:uid="{00000000-0005-0000-0000-000096070000}"/>
    <cellStyle name="tom" xfId="1244" xr:uid="{00000000-0005-0000-0000-000097070000}"/>
    <cellStyle name="Top and Bottom Border" xfId="1245" xr:uid="{00000000-0005-0000-0000-000098070000}"/>
    <cellStyle name="Top Line Light" xfId="1246" xr:uid="{00000000-0005-0000-0000-000099070000}"/>
    <cellStyle name="Topline" xfId="1964" xr:uid="{00000000-0005-0000-0000-00009A070000}"/>
    <cellStyle name="Topline 2" xfId="1965" xr:uid="{00000000-0005-0000-0000-00009B070000}"/>
    <cellStyle name="Total" xfId="344" builtinId="25" customBuiltin="1"/>
    <cellStyle name="Total 2" xfId="1966" xr:uid="{00000000-0005-0000-0000-00009D070000}"/>
    <cellStyle name="Tusental (0)_laroux" xfId="1247" xr:uid="{00000000-0005-0000-0000-00009E070000}"/>
    <cellStyle name="Tusental_laroux" xfId="1248" xr:uid="{00000000-0005-0000-0000-00009F070000}"/>
    <cellStyle name="Twodig" xfId="1249" xr:uid="{00000000-0005-0000-0000-0000A0070000}"/>
    <cellStyle name="u" xfId="345" xr:uid="{00000000-0005-0000-0000-0000A1070000}"/>
    <cellStyle name="u 2" xfId="1967" xr:uid="{00000000-0005-0000-0000-0000A2070000}"/>
    <cellStyle name="un-bold" xfId="1968" xr:uid="{00000000-0005-0000-0000-0000A3070000}"/>
    <cellStyle name="un-bold 2" xfId="1969" xr:uid="{00000000-0005-0000-0000-0000A4070000}"/>
    <cellStyle name="UnderLine" xfId="346" xr:uid="{00000000-0005-0000-0000-0000A5070000}"/>
    <cellStyle name="Underline 2" xfId="1250" xr:uid="{00000000-0005-0000-0000-0000A6070000}"/>
    <cellStyle name="Underline(0)" xfId="1251" xr:uid="{00000000-0005-0000-0000-0000A7070000}"/>
    <cellStyle name="Underline_ANF" xfId="1252" xr:uid="{00000000-0005-0000-0000-0000A8070000}"/>
    <cellStyle name="UnderlineDouble" xfId="1253" xr:uid="{00000000-0005-0000-0000-0000A9070000}"/>
    <cellStyle name="unm" xfId="627" xr:uid="{00000000-0005-0000-0000-0000AA070000}"/>
    <cellStyle name="un-Pattern" xfId="1970" xr:uid="{00000000-0005-0000-0000-0000AB070000}"/>
    <cellStyle name="un-wrap" xfId="1971" xr:uid="{00000000-0005-0000-0000-0000AC070000}"/>
    <cellStyle name="User_Defined_C" xfId="1254" xr:uid="{00000000-0005-0000-0000-0000AD070000}"/>
    <cellStyle name="Valuation" xfId="347" xr:uid="{00000000-0005-0000-0000-0000AE070000}"/>
    <cellStyle name="Valuta (0)_laroux" xfId="1255" xr:uid="{00000000-0005-0000-0000-0000AF070000}"/>
    <cellStyle name="Valuta_laroux" xfId="1256" xr:uid="{00000000-0005-0000-0000-0000B0070000}"/>
    <cellStyle name="Vpershare" xfId="348" xr:uid="{00000000-0005-0000-0000-0000B1070000}"/>
    <cellStyle name="Vstandard" xfId="349" xr:uid="{00000000-0005-0000-0000-0000B2070000}"/>
    <cellStyle name="Währung [0]_laroux" xfId="1257" xr:uid="{00000000-0005-0000-0000-0000B3070000}"/>
    <cellStyle name="Währung_laroux" xfId="1258" xr:uid="{00000000-0005-0000-0000-0000B4070000}"/>
    <cellStyle name="Warning Text" xfId="350" builtinId="11" customBuiltin="1"/>
    <cellStyle name="Warning Text 2" xfId="1972" xr:uid="{00000000-0005-0000-0000-0000B6070000}"/>
    <cellStyle name="white/hidden" xfId="1973" xr:uid="{00000000-0005-0000-0000-0000B7070000}"/>
    <cellStyle name="WholeNumber" xfId="1259" xr:uid="{00000000-0005-0000-0000-0000B8070000}"/>
    <cellStyle name="wrap" xfId="1974" xr:uid="{00000000-0005-0000-0000-0000B9070000}"/>
    <cellStyle name="x" xfId="1260" xr:uid="{00000000-0005-0000-0000-0000BA070000}"/>
    <cellStyle name="xMillions ($0.0m)" xfId="1975" xr:uid="{00000000-0005-0000-0000-0000BB070000}"/>
    <cellStyle name="xMillions (0.0)" xfId="1976" xr:uid="{00000000-0005-0000-0000-0000BC070000}"/>
    <cellStyle name="xThousands ($0.0k)" xfId="1977" xr:uid="{00000000-0005-0000-0000-0000BD070000}"/>
    <cellStyle name="xThousands (0.0)" xfId="1978" xr:uid="{00000000-0005-0000-0000-0000BE070000}"/>
    <cellStyle name="Year" xfId="351" xr:uid="{00000000-0005-0000-0000-0000BF070000}"/>
    <cellStyle name="Years" xfId="628" xr:uid="{00000000-0005-0000-0000-0000C0070000}"/>
    <cellStyle name="Zaph Call 11pt" xfId="1261" xr:uid="{00000000-0005-0000-0000-0000C1070000}"/>
    <cellStyle name="콤마_SEC income  2002 march" xfId="1979" xr:uid="{00000000-0005-0000-0000-0000C2070000}"/>
    <cellStyle name="一般_Sheet1" xfId="352" xr:uid="{00000000-0005-0000-0000-0000C3070000}"/>
    <cellStyle name="桁区切り [0.0]" xfId="1262" xr:uid="{00000000-0005-0000-0000-0000C4070000}"/>
    <cellStyle name="標準_Book4" xfId="1263" xr:uid="{00000000-0005-0000-0000-0000C5070000}"/>
  </cellStyles>
  <dxfs count="8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5E76AA"/>
      <rgbColor rgb="00CFD6E6"/>
      <rgbColor rgb="009EADCC"/>
      <rgbColor rgb="00EFF1F6"/>
      <rgbColor rgb="00BFC8DD"/>
      <rgbColor rgb="008E9FC4"/>
      <rgbColor rgb="00DFE4EE"/>
      <rgbColor rgb="00AEBAD5"/>
      <rgbColor rgb="00000000"/>
      <rgbColor rgb="00AAAAAA"/>
      <rgbColor rgb="00444444"/>
      <rgbColor rgb="00CCCCCC"/>
      <rgbColor rgb="00888888"/>
      <rgbColor rgb="00666666"/>
      <rgbColor rgb="00EEEEEE"/>
      <rgbColor rgb="00222222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0000FF"/>
      <color rgb="FFFF00FF"/>
      <color rgb="FF008000"/>
      <color rgb="FF800080"/>
      <color rgb="FFF2B800"/>
      <color rgb="FF0AC26A"/>
      <color rgb="FF000000"/>
      <color rgb="FF0035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querytool.functions">
      <tp t="b">
        <v>0</v>
        <stp/>
        <stp>Keyword</stp>
        <stp>9c6d017f-2364-49ac-afe3-d270d50228d3</stp>
        <stp>DHG.AX</stp>
        <stp>TARGET_PRICE</stp>
        <stp/>
        <stp/>
        <stp/>
        <stp/>
        <stp>LIVE</stp>
        <stp>FALSE</stp>
        <stp>FALSE</stp>
        <stp>FALSE</stp>
        <stp>FALSE</stp>
        <stp/>
        <tr r="G15" s="23123"/>
      </tp>
      <tp t="b">
        <v>0</v>
        <stp/>
        <stp>Keyword</stp>
        <stp>9c6d017f-2364-49ac-afe3-d270d50228d3</stp>
        <stp>DHG.AX</stp>
        <stp>EPS_PUB</stp>
        <stp>2023</stp>
        <stp/>
        <stp/>
        <stp/>
        <stp>LIVE</stp>
        <stp>FALSE</stp>
        <stp>FALSE</stp>
        <stp>FALSE</stp>
        <stp>FALSE</stp>
        <stp/>
        <tr r="AH20" s="23123"/>
      </tp>
      <tp t="b">
        <v>0</v>
        <stp/>
        <stp>Keyword</stp>
        <stp>9c6d017f-2364-49ac-afe3-d270d50228d3</stp>
        <stp>DHG.AX</stp>
        <stp>EPS_PUB</stp>
        <stp>2022</stp>
        <stp/>
        <stp/>
        <stp/>
        <stp>LIVE</stp>
        <stp>FALSE</stp>
        <stp>FALSE</stp>
        <stp>FALSE</stp>
        <stp>FALSE</stp>
        <stp/>
        <tr r="AG20" s="23123"/>
      </tp>
      <tp t="b">
        <v>0</v>
        <stp/>
        <stp>Keyword</stp>
        <stp>9c6d017f-2364-49ac-afe3-d270d50228d3</stp>
        <stp>DHG.AX</stp>
        <stp>EPS_PUB</stp>
        <stp>2021</stp>
        <stp/>
        <stp/>
        <stp/>
        <stp>LIVE</stp>
        <stp>FALSE</stp>
        <stp>FALSE</stp>
        <stp>FALSE</stp>
        <stp>FALSE</stp>
        <stp/>
        <tr r="AF20" s="23123"/>
      </tp>
      <tp t="b">
        <v>0</v>
        <stp/>
        <stp>Keyword</stp>
        <stp>9c6d017f-2364-49ac-afe3-d270d50228d3</stp>
        <stp>DHG.AX</stp>
        <stp>EPS_PUB</stp>
        <stp>2020</stp>
        <stp/>
        <stp/>
        <stp/>
        <stp>LIVE</stp>
        <stp>FALSE</stp>
        <stp>FALSE</stp>
        <stp>FALSE</stp>
        <stp>FALSE</stp>
        <stp/>
        <tr r="AE20" s="23123"/>
      </tp>
      <tp t="b">
        <v>0</v>
        <stp/>
        <stp>Keyword</stp>
        <stp>9c6d017f-2364-49ac-afe3-d270d50228d3</stp>
        <stp>DHG.AX</stp>
        <stp>EPS_PUB</stp>
        <stp>2019</stp>
        <stp/>
        <stp/>
        <stp/>
        <stp>LIVE</stp>
        <stp>FALSE</stp>
        <stp>FALSE</stp>
        <stp>FALSE</stp>
        <stp>FALSE</stp>
        <stp/>
        <tr r="AD20" s="23123"/>
      </tp>
      <tp t="b">
        <v>0</v>
        <stp/>
        <stp>Keyword</stp>
        <stp>9c6d017f-2364-49ac-afe3-d270d50228d3</stp>
        <stp>DHG.AX</stp>
        <stp>EPS_PUB</stp>
        <stp>2018</stp>
        <stp/>
        <stp/>
        <stp/>
        <stp>LIVE</stp>
        <stp>FALSE</stp>
        <stp>FALSE</stp>
        <stp>FALSE</stp>
        <stp>FALSE</stp>
        <stp/>
        <tr r="AC20" s="23123"/>
      </tp>
      <tp t="b">
        <v>0</v>
        <stp/>
        <stp>Keyword</stp>
        <stp>9c6d017f-2364-49ac-afe3-d270d50228d3</stp>
        <stp>DHG.AX</stp>
        <stp>EPS_PUB</stp>
        <stp>2017</stp>
        <stp/>
        <stp/>
        <stp/>
        <stp>LIVE</stp>
        <stp>FALSE</stp>
        <stp>FALSE</stp>
        <stp>FALSE</stp>
        <stp>FALSE</stp>
        <stp/>
        <tr r="AB20" s="23123"/>
      </tp>
      <tp t="b">
        <v>0</v>
        <stp/>
        <stp>Keyword</stp>
        <stp>9c6d017f-2364-49ac-afe3-d270d50228d3</stp>
        <stp>DHG.AX</stp>
        <stp>EPS_PUB</stp>
        <stp>2016</stp>
        <stp/>
        <stp/>
        <stp/>
        <stp>LIVE</stp>
        <stp>FALSE</stp>
        <stp>FALSE</stp>
        <stp>FALSE</stp>
        <stp>FALSE</stp>
        <stp/>
        <tr r="AA20" s="23123"/>
      </tp>
      <tp t="b">
        <v>0</v>
        <stp/>
        <stp>Keyword</stp>
        <stp>9c6d017f-2364-49ac-afe3-d270d50228d3</stp>
        <stp>DHG.AX</stp>
        <stp>EPS_PUB</stp>
        <stp>2015</stp>
        <stp/>
        <stp/>
        <stp/>
        <stp>LIVE</stp>
        <stp>FALSE</stp>
        <stp>FALSE</stp>
        <stp>FALSE</stp>
        <stp>FALSE</stp>
        <stp/>
        <tr r="Z20" s="23123"/>
      </tp>
      <tp t="b">
        <v>0</v>
        <stp/>
        <stp>Keyword</stp>
        <stp>9c6d017f-2364-49ac-afe3-d270d50228d3</stp>
        <stp>DHG.AX</stp>
        <stp>EBITDA_PUB</stp>
        <stp>2023</stp>
        <stp/>
        <stp/>
        <stp/>
        <stp>LIVE</stp>
        <stp>FALSE</stp>
        <stp>FALSE</stp>
        <stp>FALSE</stp>
        <stp>FALSE</stp>
        <stp/>
        <tr r="AH17" s="23123"/>
      </tp>
      <tp t="b">
        <v>0</v>
        <stp/>
        <stp>Keyword</stp>
        <stp>9c6d017f-2364-49ac-afe3-d270d50228d3</stp>
        <stp>DHG.AX</stp>
        <stp>EBITDA_PUB</stp>
        <stp>2022</stp>
        <stp/>
        <stp/>
        <stp/>
        <stp>LIVE</stp>
        <stp>FALSE</stp>
        <stp>FALSE</stp>
        <stp>FALSE</stp>
        <stp>FALSE</stp>
        <stp/>
        <tr r="AG17" s="23123"/>
      </tp>
      <tp t="b">
        <v>0</v>
        <stp/>
        <stp>Keyword</stp>
        <stp>9c6d017f-2364-49ac-afe3-d270d50228d3</stp>
        <stp>DHG.AX</stp>
        <stp>EBITDA_PUB</stp>
        <stp>2021</stp>
        <stp/>
        <stp/>
        <stp/>
        <stp>LIVE</stp>
        <stp>FALSE</stp>
        <stp>FALSE</stp>
        <stp>FALSE</stp>
        <stp>FALSE</stp>
        <stp/>
        <tr r="AF17" s="23123"/>
      </tp>
      <tp t="b">
        <v>0</v>
        <stp/>
        <stp>Keyword</stp>
        <stp>9c6d017f-2364-49ac-afe3-d270d50228d3</stp>
        <stp>DHG.AX</stp>
        <stp>EBITDA_PUB</stp>
        <stp>2020</stp>
        <stp/>
        <stp/>
        <stp/>
        <stp>LIVE</stp>
        <stp>FALSE</stp>
        <stp>FALSE</stp>
        <stp>FALSE</stp>
        <stp>FALSE</stp>
        <stp/>
        <tr r="AE17" s="23123"/>
      </tp>
      <tp t="b">
        <v>0</v>
        <stp/>
        <stp>Keyword</stp>
        <stp>9c6d017f-2364-49ac-afe3-d270d50228d3</stp>
        <stp>DHG.AX</stp>
        <stp>EBITDA_PUB</stp>
        <stp>2017</stp>
        <stp/>
        <stp/>
        <stp/>
        <stp>LIVE</stp>
        <stp>FALSE</stp>
        <stp>FALSE</stp>
        <stp>FALSE</stp>
        <stp>FALSE</stp>
        <stp/>
        <tr r="AB17" s="23123"/>
      </tp>
      <tp t="b">
        <v>0</v>
        <stp/>
        <stp>Keyword</stp>
        <stp>9c6d017f-2364-49ac-afe3-d270d50228d3</stp>
        <stp>DHG.AX</stp>
        <stp>EBITDA_PUB</stp>
        <stp>2016</stp>
        <stp/>
        <stp/>
        <stp/>
        <stp>LIVE</stp>
        <stp>FALSE</stp>
        <stp>FALSE</stp>
        <stp>FALSE</stp>
        <stp>FALSE</stp>
        <stp/>
        <tr r="AA17" s="23123"/>
      </tp>
      <tp t="b">
        <v>0</v>
        <stp/>
        <stp>Keyword</stp>
        <stp>9c6d017f-2364-49ac-afe3-d270d50228d3</stp>
        <stp>DHG.AX</stp>
        <stp>EBITDA_PUB</stp>
        <stp>2015</stp>
        <stp/>
        <stp/>
        <stp/>
        <stp>LIVE</stp>
        <stp>FALSE</stp>
        <stp>FALSE</stp>
        <stp>FALSE</stp>
        <stp>FALSE</stp>
        <stp/>
        <tr r="Z17" s="23123"/>
      </tp>
      <tp t="b">
        <v>0</v>
        <stp/>
        <stp>Keyword</stp>
        <stp>9c6d017f-2364-49ac-afe3-d270d50228d3</stp>
        <stp>DHG.AX</stp>
        <stp>EBITDA_PUB</stp>
        <stp>2019</stp>
        <stp/>
        <stp/>
        <stp/>
        <stp>LIVE</stp>
        <stp>FALSE</stp>
        <stp>FALSE</stp>
        <stp>FALSE</stp>
        <stp>FALSE</stp>
        <stp/>
        <tr r="AD17" s="23123"/>
      </tp>
      <tp t="b">
        <v>0</v>
        <stp/>
        <stp>Keyword</stp>
        <stp>9c6d017f-2364-49ac-afe3-d270d50228d3</stp>
        <stp>DHG.AX</stp>
        <stp>EBITDA_PUB</stp>
        <stp>2018</stp>
        <stp/>
        <stp/>
        <stp/>
        <stp>LIVE</stp>
        <stp>FALSE</stp>
        <stp>FALSE</stp>
        <stp>FALSE</stp>
        <stp>FALSE</stp>
        <stp/>
        <tr r="AC17" s="23123"/>
      </tp>
      <tp t="b">
        <v>0</v>
        <stp/>
        <stp>Keyword</stp>
        <stp>9c6d017f-2364-49ac-afe3-d270d50228d3</stp>
        <stp>DHG.AX</stp>
        <stp>NI_PUB</stp>
        <stp>2018</stp>
        <stp/>
        <stp/>
        <stp/>
        <stp>LIVE</stp>
        <stp>FALSE</stp>
        <stp>FALSE</stp>
        <stp>FALSE</stp>
        <stp>FALSE</stp>
        <stp/>
        <tr r="AC19" s="23123"/>
      </tp>
      <tp t="b">
        <v>0</v>
        <stp/>
        <stp>Keyword</stp>
        <stp>9c6d017f-2364-49ac-afe3-d270d50228d3</stp>
        <stp>DHG.AX</stp>
        <stp>NI_PUB</stp>
        <stp>2019</stp>
        <stp/>
        <stp/>
        <stp/>
        <stp>LIVE</stp>
        <stp>FALSE</stp>
        <stp>FALSE</stp>
        <stp>FALSE</stp>
        <stp>FALSE</stp>
        <stp/>
        <tr r="AD19" s="23123"/>
      </tp>
      <tp t="b">
        <v>0</v>
        <stp/>
        <stp>Keyword</stp>
        <stp>9c6d017f-2364-49ac-afe3-d270d50228d3</stp>
        <stp>DHG.AX</stp>
        <stp>NI_PUB</stp>
        <stp>2016</stp>
        <stp/>
        <stp/>
        <stp/>
        <stp>LIVE</stp>
        <stp>FALSE</stp>
        <stp>FALSE</stp>
        <stp>FALSE</stp>
        <stp>FALSE</stp>
        <stp/>
        <tr r="AA19" s="23123"/>
      </tp>
      <tp t="b">
        <v>0</v>
        <stp/>
        <stp>Keyword</stp>
        <stp>9c6d017f-2364-49ac-afe3-d270d50228d3</stp>
        <stp>DHG.AX</stp>
        <stp>NI_PUB</stp>
        <stp>2017</stp>
        <stp/>
        <stp/>
        <stp/>
        <stp>LIVE</stp>
        <stp>FALSE</stp>
        <stp>FALSE</stp>
        <stp>FALSE</stp>
        <stp>FALSE</stp>
        <stp/>
        <tr r="AB19" s="23123"/>
      </tp>
      <tp t="b">
        <v>0</v>
        <stp/>
        <stp>Keyword</stp>
        <stp>9c6d017f-2364-49ac-afe3-d270d50228d3</stp>
        <stp>DHG.AX</stp>
        <stp>NI_PUB</stp>
        <stp>2015</stp>
        <stp/>
        <stp/>
        <stp/>
        <stp>LIVE</stp>
        <stp>FALSE</stp>
        <stp>FALSE</stp>
        <stp>FALSE</stp>
        <stp>FALSE</stp>
        <stp/>
        <tr r="Z19" s="23123"/>
      </tp>
      <tp t="b">
        <v>0</v>
        <stp/>
        <stp>Keyword</stp>
        <stp>9c6d017f-2364-49ac-afe3-d270d50228d3</stp>
        <stp>DHG.AX</stp>
        <stp>NI_PUB</stp>
        <stp>2022</stp>
        <stp/>
        <stp/>
        <stp/>
        <stp>LIVE</stp>
        <stp>FALSE</stp>
        <stp>FALSE</stp>
        <stp>FALSE</stp>
        <stp>FALSE</stp>
        <stp/>
        <tr r="AG19" s="23123"/>
      </tp>
      <tp t="b">
        <v>0</v>
        <stp/>
        <stp>Keyword</stp>
        <stp>9c6d017f-2364-49ac-afe3-d270d50228d3</stp>
        <stp>DHG.AX</stp>
        <stp>NI_PUB</stp>
        <stp>2023</stp>
        <stp/>
        <stp/>
        <stp/>
        <stp>LIVE</stp>
        <stp>FALSE</stp>
        <stp>FALSE</stp>
        <stp>FALSE</stp>
        <stp>FALSE</stp>
        <stp/>
        <tr r="AH19" s="23123"/>
      </tp>
      <tp t="b">
        <v>0</v>
        <stp/>
        <stp>Keyword</stp>
        <stp>9c6d017f-2364-49ac-afe3-d270d50228d3</stp>
        <stp>DHG.AX</stp>
        <stp>NI_PUB</stp>
        <stp>2020</stp>
        <stp/>
        <stp/>
        <stp/>
        <stp>LIVE</stp>
        <stp>FALSE</stp>
        <stp>FALSE</stp>
        <stp>FALSE</stp>
        <stp>FALSE</stp>
        <stp/>
        <tr r="AE19" s="23123"/>
      </tp>
      <tp t="b">
        <v>0</v>
        <stp/>
        <stp>Keyword</stp>
        <stp>9c6d017f-2364-49ac-afe3-d270d50228d3</stp>
        <stp>DHG.AX</stp>
        <stp>NI_PUB</stp>
        <stp>2021</stp>
        <stp/>
        <stp/>
        <stp/>
        <stp>LIVE</stp>
        <stp>FALSE</stp>
        <stp>FALSE</stp>
        <stp>FALSE</stp>
        <stp>FALSE</stp>
        <stp/>
        <tr r="AF19" s="23123"/>
      </tp>
      <tp t="b">
        <v>0</v>
        <stp/>
        <stp>Keyword</stp>
        <stp>9c6d017f-2364-49ac-afe3-d270d50228d3</stp>
        <stp>DHG.AX</stp>
        <stp>REVS_PUB</stp>
        <stp>2017</stp>
        <stp/>
        <stp/>
        <stp/>
        <stp>LIVE</stp>
        <stp>FALSE</stp>
        <stp>FALSE</stp>
        <stp>FALSE</stp>
        <stp>FALSE</stp>
        <stp/>
        <tr r="AB16" s="23123"/>
      </tp>
      <tp t="b">
        <v>0</v>
        <stp/>
        <stp>Keyword</stp>
        <stp>9c6d017f-2364-49ac-afe3-d270d50228d3</stp>
        <stp>DHG.AX</stp>
        <stp>REVS_PUB</stp>
        <stp>2016</stp>
        <stp/>
        <stp/>
        <stp/>
        <stp>LIVE</stp>
        <stp>FALSE</stp>
        <stp>FALSE</stp>
        <stp>FALSE</stp>
        <stp>FALSE</stp>
        <stp/>
        <tr r="AA16" s="23123"/>
      </tp>
      <tp t="b">
        <v>0</v>
        <stp/>
        <stp>Keyword</stp>
        <stp>9c6d017f-2364-49ac-afe3-d270d50228d3</stp>
        <stp>DHG.AX</stp>
        <stp>REVS_PUB</stp>
        <stp>2015</stp>
        <stp/>
        <stp/>
        <stp/>
        <stp>LIVE</stp>
        <stp>FALSE</stp>
        <stp>FALSE</stp>
        <stp>FALSE</stp>
        <stp>FALSE</stp>
        <stp/>
        <tr r="Z16" s="23123"/>
      </tp>
      <tp t="b">
        <v>0</v>
        <stp/>
        <stp>Keyword</stp>
        <stp>9c6d017f-2364-49ac-afe3-d270d50228d3</stp>
        <stp>DHG.AX</stp>
        <stp>REVS_PUB</stp>
        <stp>2019</stp>
        <stp/>
        <stp/>
        <stp/>
        <stp>LIVE</stp>
        <stp>FALSE</stp>
        <stp>FALSE</stp>
        <stp>FALSE</stp>
        <stp>FALSE</stp>
        <stp/>
        <tr r="AD16" s="23123"/>
      </tp>
      <tp t="b">
        <v>0</v>
        <stp/>
        <stp>Keyword</stp>
        <stp>9c6d017f-2364-49ac-afe3-d270d50228d3</stp>
        <stp>DHG.AX</stp>
        <stp>REVS_PUB</stp>
        <stp>2018</stp>
        <stp/>
        <stp/>
        <stp/>
        <stp>LIVE</stp>
        <stp>FALSE</stp>
        <stp>FALSE</stp>
        <stp>FALSE</stp>
        <stp>FALSE</stp>
        <stp/>
        <tr r="AC16" s="23123"/>
      </tp>
      <tp t="b">
        <v>0</v>
        <stp/>
        <stp>Keyword</stp>
        <stp>9c6d017f-2364-49ac-afe3-d270d50228d3</stp>
        <stp>DHG.AX</stp>
        <stp>REVS_PUB</stp>
        <stp>2023</stp>
        <stp/>
        <stp/>
        <stp/>
        <stp>LIVE</stp>
        <stp>FALSE</stp>
        <stp>FALSE</stp>
        <stp>FALSE</stp>
        <stp>FALSE</stp>
        <stp/>
        <tr r="AH16" s="23123"/>
      </tp>
      <tp t="b">
        <v>0</v>
        <stp/>
        <stp>Keyword</stp>
        <stp>9c6d017f-2364-49ac-afe3-d270d50228d3</stp>
        <stp>DHG.AX</stp>
        <stp>REVS_PUB</stp>
        <stp>2022</stp>
        <stp/>
        <stp/>
        <stp/>
        <stp>LIVE</stp>
        <stp>FALSE</stp>
        <stp>FALSE</stp>
        <stp>FALSE</stp>
        <stp>FALSE</stp>
        <stp/>
        <tr r="AG16" s="23123"/>
      </tp>
      <tp t="b">
        <v>0</v>
        <stp/>
        <stp>Keyword</stp>
        <stp>9c6d017f-2364-49ac-afe3-d270d50228d3</stp>
        <stp>DHG.AX</stp>
        <stp>REVS_PUB</stp>
        <stp>2021</stp>
        <stp/>
        <stp/>
        <stp/>
        <stp>LIVE</stp>
        <stp>FALSE</stp>
        <stp>FALSE</stp>
        <stp>FALSE</stp>
        <stp>FALSE</stp>
        <stp/>
        <tr r="AF16" s="23123"/>
      </tp>
      <tp t="b">
        <v>0</v>
        <stp/>
        <stp>Keyword</stp>
        <stp>9c6d017f-2364-49ac-afe3-d270d50228d3</stp>
        <stp>DHG.AX</stp>
        <stp>REVS_PUB</stp>
        <stp>2020</stp>
        <stp/>
        <stp/>
        <stp/>
        <stp>LIVE</stp>
        <stp>FALSE</stp>
        <stp>FALSE</stp>
        <stp>FALSE</stp>
        <stp>FALSE</stp>
        <stp/>
        <tr r="AE16" s="23123"/>
      </tp>
      <tp t="b">
        <v>0</v>
        <stp/>
        <stp>Keyword</stp>
        <stp>9c6d017f-2364-49ac-afe3-d270d50228d3</stp>
        <stp>DHG.AX</stp>
        <stp>EBIT_PUB</stp>
        <stp>2020</stp>
        <stp/>
        <stp/>
        <stp/>
        <stp>LIVE</stp>
        <stp>FALSE</stp>
        <stp>FALSE</stp>
        <stp>FALSE</stp>
        <stp>FALSE</stp>
        <stp/>
        <tr r="AE18" s="23123"/>
      </tp>
      <tp t="b">
        <v>0</v>
        <stp/>
        <stp>Keyword</stp>
        <stp>9c6d017f-2364-49ac-afe3-d270d50228d3</stp>
        <stp>DHG.AX</stp>
        <stp>EBIT_PUB</stp>
        <stp>2021</stp>
        <stp/>
        <stp/>
        <stp/>
        <stp>LIVE</stp>
        <stp>FALSE</stp>
        <stp>FALSE</stp>
        <stp>FALSE</stp>
        <stp>FALSE</stp>
        <stp/>
        <tr r="AF18" s="23123"/>
      </tp>
      <tp t="b">
        <v>0</v>
        <stp/>
        <stp>Keyword</stp>
        <stp>9c6d017f-2364-49ac-afe3-d270d50228d3</stp>
        <stp>DHG.AX</stp>
        <stp>EBIT_PUB</stp>
        <stp>2022</stp>
        <stp/>
        <stp/>
        <stp/>
        <stp>LIVE</stp>
        <stp>FALSE</stp>
        <stp>FALSE</stp>
        <stp>FALSE</stp>
        <stp>FALSE</stp>
        <stp/>
        <tr r="AG18" s="23123"/>
      </tp>
      <tp t="b">
        <v>0</v>
        <stp/>
        <stp>Keyword</stp>
        <stp>9c6d017f-2364-49ac-afe3-d270d50228d3</stp>
        <stp>DHG.AX</stp>
        <stp>EBIT_PUB</stp>
        <stp>2023</stp>
        <stp/>
        <stp/>
        <stp/>
        <stp>LIVE</stp>
        <stp>FALSE</stp>
        <stp>FALSE</stp>
        <stp>FALSE</stp>
        <stp>FALSE</stp>
        <stp/>
        <tr r="AH18" s="23123"/>
      </tp>
      <tp t="b">
        <v>0</v>
        <stp/>
        <stp>Keyword</stp>
        <stp>9c6d017f-2364-49ac-afe3-d270d50228d3</stp>
        <stp>DHG.AX</stp>
        <stp>EBIT_PUB</stp>
        <stp>2015</stp>
        <stp/>
        <stp/>
        <stp/>
        <stp>LIVE</stp>
        <stp>FALSE</stp>
        <stp>FALSE</stp>
        <stp>FALSE</stp>
        <stp>FALSE</stp>
        <stp/>
        <tr r="Z18" s="23123"/>
      </tp>
      <tp t="b">
        <v>0</v>
        <stp/>
        <stp>Keyword</stp>
        <stp>9c6d017f-2364-49ac-afe3-d270d50228d3</stp>
        <stp>DHG.AX</stp>
        <stp>EBIT_PUB</stp>
        <stp>2016</stp>
        <stp/>
        <stp/>
        <stp/>
        <stp>LIVE</stp>
        <stp>FALSE</stp>
        <stp>FALSE</stp>
        <stp>FALSE</stp>
        <stp>FALSE</stp>
        <stp/>
        <tr r="AA18" s="23123"/>
      </tp>
      <tp t="b">
        <v>0</v>
        <stp/>
        <stp>Keyword</stp>
        <stp>9c6d017f-2364-49ac-afe3-d270d50228d3</stp>
        <stp>DHG.AX</stp>
        <stp>EBIT_PUB</stp>
        <stp>2017</stp>
        <stp/>
        <stp/>
        <stp/>
        <stp>LIVE</stp>
        <stp>FALSE</stp>
        <stp>FALSE</stp>
        <stp>FALSE</stp>
        <stp>FALSE</stp>
        <stp/>
        <tr r="AB18" s="23123"/>
      </tp>
      <tp t="b">
        <v>0</v>
        <stp/>
        <stp>Keyword</stp>
        <stp>9c6d017f-2364-49ac-afe3-d270d50228d3</stp>
        <stp>DHG.AX</stp>
        <stp>EBIT_PUB</stp>
        <stp>2018</stp>
        <stp/>
        <stp/>
        <stp/>
        <stp>LIVE</stp>
        <stp>FALSE</stp>
        <stp>FALSE</stp>
        <stp>FALSE</stp>
        <stp>FALSE</stp>
        <stp/>
        <tr r="AC18" s="23123"/>
      </tp>
      <tp t="b">
        <v>0</v>
        <stp/>
        <stp>Keyword</stp>
        <stp>9c6d017f-2364-49ac-afe3-d270d50228d3</stp>
        <stp>DHG.AX</stp>
        <stp>EBIT_PUB</stp>
        <stp>2019</stp>
        <stp/>
        <stp/>
        <stp/>
        <stp>LIVE</stp>
        <stp>FALSE</stp>
        <stp>FALSE</stp>
        <stp>FALSE</stp>
        <stp>FALSE</stp>
        <stp/>
        <tr r="AD18" s="2312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42334</xdr:colOff>
      <xdr:row>3</xdr:row>
      <xdr:rowOff>74083</xdr:rowOff>
    </xdr:from>
    <xdr:to>
      <xdr:col>2</xdr:col>
      <xdr:colOff>86394</xdr:colOff>
      <xdr:row>7</xdr:row>
      <xdr:rowOff>31750</xdr:rowOff>
    </xdr:to>
    <xdr:pic>
      <xdr:nvPicPr>
        <xdr:cNvPr id="2" name="Picture 190" descr="Logo_solid_6in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85284" y="531283"/>
          <a:ext cx="844160" cy="843492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GIR Product">
  <a:themeElements>
    <a:clrScheme name="GIR Exhibits">
      <a:dk1>
        <a:srgbClr val="000000"/>
      </a:dk1>
      <a:lt1>
        <a:sysClr val="window" lastClr="FFFFFF"/>
      </a:lt1>
      <a:dk2>
        <a:srgbClr val="BE3232"/>
      </a:dk2>
      <a:lt2>
        <a:srgbClr val="F67F26"/>
      </a:lt2>
      <a:accent1>
        <a:srgbClr val="00355F"/>
      </a:accent1>
      <a:accent2>
        <a:srgbClr val="ACD4F1"/>
      </a:accent2>
      <a:accent3>
        <a:srgbClr val="A5A5A5"/>
      </a:accent3>
      <a:accent4>
        <a:srgbClr val="7399C6"/>
      </a:accent4>
      <a:accent5>
        <a:srgbClr val="078549"/>
      </a:accent5>
      <a:accent6>
        <a:srgbClr val="8BC346"/>
      </a:accent6>
      <a:hlink>
        <a:srgbClr val="7399C6"/>
      </a:hlink>
      <a:folHlink>
        <a:srgbClr val="A5A5A5"/>
      </a:folHlink>
    </a:clrScheme>
    <a:fontScheme name="GIR Product">
      <a:majorFont>
        <a:latin typeface="Univers LT Std 65 Bold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Jpan" typeface="MS Gothic"/>
      </a:majorFont>
      <a:minorFont>
        <a:latin typeface="Univers LT Std 55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GIR Product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ustomProperty" Target="../customProperty9.bin"/><Relationship Id="rId3" Type="http://schemas.openxmlformats.org/officeDocument/2006/relationships/customProperty" Target="../customProperty4.bin"/><Relationship Id="rId7" Type="http://schemas.openxmlformats.org/officeDocument/2006/relationships/customProperty" Target="../customProperty8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6" Type="http://schemas.openxmlformats.org/officeDocument/2006/relationships/customProperty" Target="../customProperty7.bin"/><Relationship Id="rId5" Type="http://schemas.openxmlformats.org/officeDocument/2006/relationships/customProperty" Target="../customProperty6.bin"/><Relationship Id="rId4" Type="http://schemas.openxmlformats.org/officeDocument/2006/relationships/customProperty" Target="../customProperty5.bin"/><Relationship Id="rId9" Type="http://schemas.openxmlformats.org/officeDocument/2006/relationships/customProperty" Target="../customProperty10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ustomProperty" Target="../customProperty18.bin"/><Relationship Id="rId3" Type="http://schemas.openxmlformats.org/officeDocument/2006/relationships/customProperty" Target="../customProperty13.bin"/><Relationship Id="rId7" Type="http://schemas.openxmlformats.org/officeDocument/2006/relationships/customProperty" Target="../customProperty17.bin"/><Relationship Id="rId2" Type="http://schemas.openxmlformats.org/officeDocument/2006/relationships/customProperty" Target="../customProperty12.bin"/><Relationship Id="rId1" Type="http://schemas.openxmlformats.org/officeDocument/2006/relationships/customProperty" Target="../customProperty11.bin"/><Relationship Id="rId6" Type="http://schemas.openxmlformats.org/officeDocument/2006/relationships/customProperty" Target="../customProperty16.bin"/><Relationship Id="rId5" Type="http://schemas.openxmlformats.org/officeDocument/2006/relationships/customProperty" Target="../customProperty15.bin"/><Relationship Id="rId4" Type="http://schemas.openxmlformats.org/officeDocument/2006/relationships/customProperty" Target="../customProperty14.bin"/><Relationship Id="rId9" Type="http://schemas.openxmlformats.org/officeDocument/2006/relationships/customProperty" Target="../customProperty19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ustomProperty" Target="../customProperty27.bin"/><Relationship Id="rId3" Type="http://schemas.openxmlformats.org/officeDocument/2006/relationships/customProperty" Target="../customProperty22.bin"/><Relationship Id="rId7" Type="http://schemas.openxmlformats.org/officeDocument/2006/relationships/customProperty" Target="../customProperty26.bin"/><Relationship Id="rId2" Type="http://schemas.openxmlformats.org/officeDocument/2006/relationships/customProperty" Target="../customProperty21.bin"/><Relationship Id="rId1" Type="http://schemas.openxmlformats.org/officeDocument/2006/relationships/customProperty" Target="../customProperty20.bin"/><Relationship Id="rId6" Type="http://schemas.openxmlformats.org/officeDocument/2006/relationships/customProperty" Target="../customProperty25.bin"/><Relationship Id="rId5" Type="http://schemas.openxmlformats.org/officeDocument/2006/relationships/customProperty" Target="../customProperty24.bin"/><Relationship Id="rId4" Type="http://schemas.openxmlformats.org/officeDocument/2006/relationships/customProperty" Target="../customProperty2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5" Type="http://schemas.openxmlformats.org/officeDocument/2006/relationships/customProperty" Target="../customProperty29.bin"/><Relationship Id="rId4" Type="http://schemas.openxmlformats.org/officeDocument/2006/relationships/customProperty" Target="../customProperty28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0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2.bin"/><Relationship Id="rId2" Type="http://schemas.openxmlformats.org/officeDocument/2006/relationships/customProperty" Target="../customProperty31.bin"/><Relationship Id="rId1" Type="http://schemas.openxmlformats.org/officeDocument/2006/relationships/printerSettings" Target="../printerSettings/printerSettings7.bin"/><Relationship Id="rId4" Type="http://schemas.openxmlformats.org/officeDocument/2006/relationships/customProperty" Target="../customProperty3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5.bin"/><Relationship Id="rId2" Type="http://schemas.openxmlformats.org/officeDocument/2006/relationships/customProperty" Target="../customProperty34.bin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mailto:elise.bailey@gs.com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mailto:elijah.mayr@gs.com" TargetMode="External"/><Relationship Id="rId1" Type="http://schemas.openxmlformats.org/officeDocument/2006/relationships/hyperlink" Target="mailto:chris.gawler@gs.com" TargetMode="External"/><Relationship Id="rId6" Type="http://schemas.openxmlformats.org/officeDocument/2006/relationships/customProperty" Target="../customProperty37.bin"/><Relationship Id="rId5" Type="http://schemas.openxmlformats.org/officeDocument/2006/relationships/customProperty" Target="../customProperty36.bin"/><Relationship Id="rId4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B4"/>
  <sheetViews>
    <sheetView workbookViewId="0"/>
  </sheetViews>
  <sheetFormatPr defaultRowHeight="12.75"/>
  <sheetData>
    <row r="1" spans="1:2">
      <c r="B1" t="s">
        <v>1119</v>
      </c>
    </row>
    <row r="2" spans="1:2"/>
    <row r="3" spans="1:2"/>
    <row r="4" spans="1:2"/>
  </sheetData>
  <pageMargins left="0.7" right="0.7" top="0.75" bottom="0.75" header="0.3" footer="0.3"/>
  <pageSetup paperSize="0" orientation="portrait" r:id="rId1"/>
  <customProperties>
    <customPr name="Qube.Worksheet.Visibility" r:id="rId2"/>
    <customPr name="QXL_SHEET_ID" r:id="rId3"/>
  </customProperties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D6505-FFF0-4AA1-AF99-955D024AEE5F}">
  <dimension ref="A1:AO453"/>
  <sheetViews>
    <sheetView workbookViewId="0"/>
  </sheetViews>
  <sheetFormatPr defaultRowHeight="12.75"/>
  <cols>
    <col min="6" max="6" width="11.28515625" bestFit="1" customWidth="1"/>
    <col min="7" max="7" width="11.7109375" bestFit="1" customWidth="1"/>
    <col min="8" max="9" width="11.28515625" bestFit="1" customWidth="1"/>
    <col min="10" max="10" width="11.7109375" bestFit="1" customWidth="1"/>
    <col min="11" max="12" width="11.28515625" bestFit="1" customWidth="1"/>
    <col min="13" max="13" width="11.7109375" bestFit="1" customWidth="1"/>
    <col min="14" max="15" width="11.28515625" bestFit="1" customWidth="1"/>
    <col min="16" max="16" width="11.7109375" bestFit="1" customWidth="1"/>
    <col min="17" max="18" width="11.28515625" bestFit="1" customWidth="1"/>
    <col min="19" max="19" width="11.7109375" bestFit="1" customWidth="1"/>
    <col min="20" max="21" width="11.28515625" bestFit="1" customWidth="1"/>
    <col min="22" max="22" width="11.7109375" bestFit="1" customWidth="1"/>
    <col min="23" max="24" width="11.28515625" bestFit="1" customWidth="1"/>
    <col min="25" max="25" width="11.7109375" bestFit="1" customWidth="1"/>
    <col min="26" max="27" width="11.28515625" bestFit="1" customWidth="1"/>
    <col min="28" max="28" width="11.7109375" bestFit="1" customWidth="1"/>
    <col min="29" max="30" width="11.28515625" bestFit="1" customWidth="1"/>
    <col min="31" max="31" width="11.7109375" bestFit="1" customWidth="1"/>
    <col min="32" max="33" width="11.28515625" bestFit="1" customWidth="1"/>
    <col min="34" max="34" width="11.7109375" bestFit="1" customWidth="1"/>
    <col min="35" max="36" width="11.28515625" bestFit="1" customWidth="1"/>
    <col min="37" max="37" width="11.7109375" bestFit="1" customWidth="1"/>
    <col min="38" max="40" width="11.28515625" bestFit="1" customWidth="1"/>
    <col min="41" max="41" width="11.28515625" customWidth="1"/>
  </cols>
  <sheetData>
    <row r="1" spans="1:41">
      <c r="A1" t="s">
        <v>1187</v>
      </c>
      <c r="C1">
        <v>836880816</v>
      </c>
      <c r="F1">
        <v>2014</v>
      </c>
      <c r="G1" t="s">
        <v>892</v>
      </c>
      <c r="H1" t="s">
        <v>893</v>
      </c>
      <c r="I1">
        <v>2015</v>
      </c>
      <c r="J1" t="s">
        <v>900</v>
      </c>
      <c r="K1" t="s">
        <v>901</v>
      </c>
      <c r="L1">
        <v>2016</v>
      </c>
      <c r="M1" t="s">
        <v>965</v>
      </c>
      <c r="N1" t="s">
        <v>966</v>
      </c>
      <c r="O1">
        <v>2017</v>
      </c>
      <c r="P1" t="s">
        <v>1190</v>
      </c>
      <c r="Q1" t="s">
        <v>1191</v>
      </c>
      <c r="R1">
        <v>2018</v>
      </c>
      <c r="S1" t="s">
        <v>1009</v>
      </c>
      <c r="T1" t="s">
        <v>1010</v>
      </c>
      <c r="U1">
        <v>2019</v>
      </c>
      <c r="V1" t="s">
        <v>1033</v>
      </c>
      <c r="W1" t="s">
        <v>1034</v>
      </c>
      <c r="X1">
        <v>2020</v>
      </c>
      <c r="Y1" t="s">
        <v>1038</v>
      </c>
      <c r="Z1" t="s">
        <v>1039</v>
      </c>
      <c r="AA1">
        <v>2021</v>
      </c>
      <c r="AB1" t="s">
        <v>1041</v>
      </c>
      <c r="AC1" t="s">
        <v>1042</v>
      </c>
      <c r="AD1">
        <v>2022</v>
      </c>
      <c r="AE1" t="s">
        <v>1123</v>
      </c>
      <c r="AF1" t="s">
        <v>1124</v>
      </c>
      <c r="AG1">
        <v>2023</v>
      </c>
      <c r="AH1" t="s">
        <v>1196</v>
      </c>
      <c r="AI1" t="s">
        <v>1197</v>
      </c>
      <c r="AJ1">
        <v>2024</v>
      </c>
      <c r="AK1" t="s">
        <v>1223</v>
      </c>
      <c r="AL1" t="s">
        <v>1224</v>
      </c>
      <c r="AM1">
        <v>2025</v>
      </c>
      <c r="AN1">
        <v>2026</v>
      </c>
      <c r="AO1">
        <v>2027</v>
      </c>
    </row>
    <row r="2" spans="1:41">
      <c r="F2" t="s">
        <v>104</v>
      </c>
      <c r="G2" t="s">
        <v>104</v>
      </c>
      <c r="H2" t="s">
        <v>104</v>
      </c>
      <c r="I2" t="s">
        <v>104</v>
      </c>
      <c r="J2" t="s">
        <v>104</v>
      </c>
      <c r="K2" t="s">
        <v>104</v>
      </c>
      <c r="L2" t="s">
        <v>104</v>
      </c>
      <c r="M2" t="s">
        <v>104</v>
      </c>
      <c r="N2" t="s">
        <v>104</v>
      </c>
      <c r="O2" t="s">
        <v>104</v>
      </c>
      <c r="P2" t="s">
        <v>104</v>
      </c>
      <c r="Q2" t="s">
        <v>104</v>
      </c>
      <c r="R2" t="s">
        <v>104</v>
      </c>
      <c r="S2" t="s">
        <v>104</v>
      </c>
      <c r="T2" t="s">
        <v>104</v>
      </c>
      <c r="U2" t="s">
        <v>104</v>
      </c>
      <c r="V2" t="s">
        <v>104</v>
      </c>
      <c r="W2" t="s">
        <v>104</v>
      </c>
      <c r="X2" t="s">
        <v>104</v>
      </c>
      <c r="Y2" t="s">
        <v>104</v>
      </c>
      <c r="Z2" t="s">
        <v>104</v>
      </c>
      <c r="AA2" t="s">
        <v>104</v>
      </c>
      <c r="AB2" t="s">
        <v>104</v>
      </c>
      <c r="AC2" t="s">
        <v>104</v>
      </c>
      <c r="AD2" t="s">
        <v>104</v>
      </c>
      <c r="AE2" t="s">
        <v>104</v>
      </c>
      <c r="AF2" t="s">
        <v>104</v>
      </c>
      <c r="AG2" t="s">
        <v>104</v>
      </c>
      <c r="AH2" t="s">
        <v>104</v>
      </c>
      <c r="AI2" t="s">
        <v>105</v>
      </c>
      <c r="AJ2" t="s">
        <v>105</v>
      </c>
      <c r="AK2" t="s">
        <v>105</v>
      </c>
      <c r="AL2" t="s">
        <v>105</v>
      </c>
      <c r="AM2" t="s">
        <v>105</v>
      </c>
      <c r="AN2" t="s">
        <v>105</v>
      </c>
      <c r="AO2" t="s">
        <v>105</v>
      </c>
    </row>
    <row r="3" spans="1:41" s="572" customFormat="1">
      <c r="F3" s="572">
        <v>41820</v>
      </c>
      <c r="G3" s="572">
        <v>42004</v>
      </c>
      <c r="H3" s="572">
        <v>42185</v>
      </c>
      <c r="I3" s="572">
        <v>42185</v>
      </c>
      <c r="J3" s="572">
        <v>42369</v>
      </c>
      <c r="K3" s="572">
        <v>42551</v>
      </c>
      <c r="L3" s="572">
        <v>42551</v>
      </c>
      <c r="M3" s="572">
        <v>42735</v>
      </c>
      <c r="N3" s="572">
        <v>42916</v>
      </c>
      <c r="O3" s="572">
        <v>42916</v>
      </c>
      <c r="P3" s="572">
        <v>43100</v>
      </c>
      <c r="Q3" s="572">
        <v>43281</v>
      </c>
      <c r="R3" s="572">
        <v>43281</v>
      </c>
      <c r="S3" s="572">
        <v>43465</v>
      </c>
      <c r="T3" s="572">
        <v>43646</v>
      </c>
      <c r="U3" s="572">
        <v>43646</v>
      </c>
      <c r="V3" s="572">
        <v>43830</v>
      </c>
      <c r="W3" s="572">
        <v>44012</v>
      </c>
      <c r="X3" s="572">
        <v>44012</v>
      </c>
      <c r="Y3" s="572">
        <v>44196</v>
      </c>
      <c r="Z3" s="572">
        <v>44377</v>
      </c>
      <c r="AA3" s="572">
        <v>44377</v>
      </c>
      <c r="AB3" s="572">
        <v>44561</v>
      </c>
      <c r="AC3" s="572">
        <v>44742</v>
      </c>
      <c r="AD3" s="572">
        <v>44742</v>
      </c>
      <c r="AE3" s="572">
        <v>44926</v>
      </c>
      <c r="AF3" s="572">
        <v>45107</v>
      </c>
      <c r="AG3" s="572">
        <v>45107</v>
      </c>
      <c r="AH3" s="572">
        <v>45291</v>
      </c>
      <c r="AI3" s="572">
        <v>45473</v>
      </c>
      <c r="AJ3" s="572">
        <v>45473</v>
      </c>
      <c r="AK3" s="572">
        <v>45657</v>
      </c>
      <c r="AL3" s="572">
        <v>45838</v>
      </c>
      <c r="AM3" s="572">
        <v>45838</v>
      </c>
      <c r="AN3" s="572">
        <v>46203</v>
      </c>
      <c r="AO3" s="572">
        <v>46568</v>
      </c>
    </row>
    <row r="4" spans="1:41">
      <c r="A4" t="s">
        <v>1187</v>
      </c>
      <c r="B4" t="s">
        <v>2056</v>
      </c>
    </row>
    <row r="5" spans="1:41">
      <c r="A5" t="s">
        <v>847</v>
      </c>
    </row>
    <row r="6" spans="1:41">
      <c r="B6" t="s">
        <v>848</v>
      </c>
      <c r="C6" t="s">
        <v>848</v>
      </c>
      <c r="E6" t="s">
        <v>1186</v>
      </c>
    </row>
    <row r="7" spans="1:41">
      <c r="B7" t="s">
        <v>849</v>
      </c>
      <c r="C7" t="s">
        <v>839</v>
      </c>
      <c r="E7" t="s">
        <v>842</v>
      </c>
    </row>
    <row r="8" spans="1:41">
      <c r="A8" t="s">
        <v>456</v>
      </c>
    </row>
    <row r="9" spans="1:41">
      <c r="B9" t="s">
        <v>997</v>
      </c>
      <c r="C9" t="s">
        <v>902</v>
      </c>
      <c r="E9">
        <v>3</v>
      </c>
    </row>
    <row r="10" spans="1:41">
      <c r="B10" t="s">
        <v>986</v>
      </c>
      <c r="C10" t="s">
        <v>987</v>
      </c>
    </row>
    <row r="11" spans="1:41">
      <c r="B11" t="s">
        <v>988</v>
      </c>
      <c r="C11" t="s">
        <v>989</v>
      </c>
    </row>
    <row r="12" spans="1:41">
      <c r="B12" t="s">
        <v>990</v>
      </c>
      <c r="C12" t="s">
        <v>991</v>
      </c>
    </row>
    <row r="13" spans="1:41">
      <c r="A13" t="s">
        <v>547</v>
      </c>
    </row>
    <row r="14" spans="1:41">
      <c r="B14" t="s">
        <v>548</v>
      </c>
      <c r="C14" t="s">
        <v>294</v>
      </c>
      <c r="D14" t="str">
        <f t="shared" ref="D14:D33" si="0">L_CURRENCY_ISSR_208017981_REP</f>
        <v>AUD</v>
      </c>
      <c r="F14">
        <v>48.581000000000003</v>
      </c>
      <c r="G14">
        <v>24.001999999999999</v>
      </c>
      <c r="H14">
        <v>26.004999999999999</v>
      </c>
      <c r="I14">
        <v>50.006999999999998</v>
      </c>
      <c r="J14">
        <v>22.785</v>
      </c>
      <c r="K14">
        <v>27.364999999999998</v>
      </c>
      <c r="L14">
        <v>50.15</v>
      </c>
      <c r="M14">
        <v>30.254999999999999</v>
      </c>
      <c r="N14">
        <v>32.344000000000001</v>
      </c>
      <c r="O14">
        <v>62.598999999999997</v>
      </c>
      <c r="P14">
        <v>33.328000000000003</v>
      </c>
      <c r="Q14">
        <v>29.782</v>
      </c>
      <c r="R14">
        <v>63.11</v>
      </c>
      <c r="S14">
        <v>29.166</v>
      </c>
      <c r="T14">
        <v>32.893999999999998</v>
      </c>
      <c r="U14">
        <v>62.06</v>
      </c>
      <c r="V14">
        <v>33.256999999999998</v>
      </c>
      <c r="W14">
        <v>36.783000000000001</v>
      </c>
      <c r="X14">
        <v>70.040000000000006</v>
      </c>
      <c r="Y14">
        <v>46.465000000000003</v>
      </c>
      <c r="Z14">
        <v>48.591000000000001</v>
      </c>
      <c r="AA14">
        <v>95.055999999999997</v>
      </c>
      <c r="AB14">
        <v>52.674999999999997</v>
      </c>
      <c r="AC14">
        <v>53.83</v>
      </c>
      <c r="AD14">
        <v>106.505</v>
      </c>
      <c r="AE14">
        <v>55.033000000000001</v>
      </c>
      <c r="AF14">
        <v>55.366999999999997</v>
      </c>
      <c r="AG14">
        <v>110.4</v>
      </c>
      <c r="AH14">
        <v>57.783000000000001</v>
      </c>
      <c r="AI14">
        <v>59.859000000000002</v>
      </c>
      <c r="AJ14">
        <v>117.642</v>
      </c>
      <c r="AK14">
        <v>63.301544999999997</v>
      </c>
      <c r="AL14">
        <v>66.812955000000002</v>
      </c>
      <c r="AM14">
        <v>130.11449999999999</v>
      </c>
      <c r="AN14">
        <v>145.179135</v>
      </c>
    </row>
    <row r="15" spans="1:41">
      <c r="B15" t="s">
        <v>549</v>
      </c>
      <c r="C15" t="s">
        <v>550</v>
      </c>
      <c r="D15" t="str">
        <f t="shared" si="0"/>
        <v>AUD</v>
      </c>
    </row>
    <row r="16" spans="1:41">
      <c r="B16" t="s">
        <v>551</v>
      </c>
      <c r="C16" t="s">
        <v>552</v>
      </c>
      <c r="D16" t="str">
        <f t="shared" si="0"/>
        <v>AUD</v>
      </c>
      <c r="F16">
        <v>-1.1240000000000001</v>
      </c>
      <c r="G16">
        <v>-0.219</v>
      </c>
      <c r="H16">
        <v>-1.131</v>
      </c>
      <c r="I16">
        <v>-1.35</v>
      </c>
      <c r="J16">
        <v>-0.185</v>
      </c>
      <c r="K16">
        <v>-1.218</v>
      </c>
      <c r="L16">
        <v>-1.403</v>
      </c>
      <c r="M16">
        <v>-0.93899999999999995</v>
      </c>
      <c r="N16">
        <v>-1.0860000000000001</v>
      </c>
      <c r="O16">
        <v>-2.0249999999999999</v>
      </c>
      <c r="P16">
        <v>-1.038</v>
      </c>
      <c r="Q16">
        <v>-1.006</v>
      </c>
      <c r="R16">
        <v>-2.044</v>
      </c>
      <c r="S16">
        <v>-1.17</v>
      </c>
      <c r="T16">
        <v>-1.2430000000000001</v>
      </c>
      <c r="U16">
        <v>-2.4129999999999998</v>
      </c>
      <c r="V16">
        <v>-1.4339999999999999</v>
      </c>
      <c r="W16">
        <v>-1.734</v>
      </c>
      <c r="X16">
        <v>-3.1680000000000001</v>
      </c>
      <c r="Y16">
        <v>-2.3730000000000002</v>
      </c>
      <c r="Z16">
        <v>-2.9540000000000002</v>
      </c>
      <c r="AA16">
        <v>-5.327</v>
      </c>
      <c r="AB16">
        <v>-2.65</v>
      </c>
      <c r="AC16">
        <v>-2.9710000000000001</v>
      </c>
      <c r="AD16">
        <v>-5.6210000000000004</v>
      </c>
      <c r="AE16">
        <v>-3.53</v>
      </c>
      <c r="AF16">
        <v>-3.7010000000000001</v>
      </c>
      <c r="AG16">
        <v>-7.2309999999999999</v>
      </c>
      <c r="AH16">
        <v>-3.802</v>
      </c>
      <c r="AI16">
        <v>-4.1901299999999999</v>
      </c>
      <c r="AJ16">
        <v>-7.9921300000000004</v>
      </c>
      <c r="AK16">
        <v>-4.7476158750000002</v>
      </c>
      <c r="AL16">
        <v>-5.0109716249999998</v>
      </c>
      <c r="AM16">
        <v>-9.7585875000000009</v>
      </c>
      <c r="AN16">
        <v>-11.614330799999999</v>
      </c>
    </row>
    <row r="17" spans="2:40">
      <c r="B17" t="s">
        <v>553</v>
      </c>
      <c r="C17" t="s">
        <v>554</v>
      </c>
      <c r="D17" t="str">
        <f t="shared" si="0"/>
        <v>AUD</v>
      </c>
      <c r="F17">
        <v>-30.611999999999998</v>
      </c>
      <c r="G17">
        <v>-16.448</v>
      </c>
      <c r="H17">
        <v>-15.85</v>
      </c>
      <c r="I17">
        <v>-32.298000000000002</v>
      </c>
      <c r="J17">
        <v>-15.645</v>
      </c>
      <c r="K17">
        <v>-15.065</v>
      </c>
      <c r="L17">
        <v>-30.71</v>
      </c>
      <c r="M17">
        <v>-18.385999999999999</v>
      </c>
      <c r="N17">
        <v>-18.613</v>
      </c>
      <c r="O17">
        <v>-36.999000000000002</v>
      </c>
      <c r="P17">
        <v>-19.911000000000001</v>
      </c>
      <c r="Q17">
        <v>-17.100000000000001</v>
      </c>
      <c r="R17">
        <v>-37.011000000000003</v>
      </c>
      <c r="S17">
        <v>-16.091999999999999</v>
      </c>
      <c r="T17">
        <v>-16.190000000000001</v>
      </c>
      <c r="U17">
        <v>-32.281999999999996</v>
      </c>
      <c r="V17">
        <v>-17.327999999999999</v>
      </c>
      <c r="W17">
        <v>-16.571000000000002</v>
      </c>
      <c r="X17">
        <v>-33.899000000000001</v>
      </c>
      <c r="Y17">
        <v>-21.024999999999999</v>
      </c>
      <c r="Z17">
        <v>-19.963999999999999</v>
      </c>
      <c r="AA17">
        <v>-40.988999999999997</v>
      </c>
      <c r="AB17">
        <v>-22.081</v>
      </c>
      <c r="AC17">
        <v>-23.084</v>
      </c>
      <c r="AD17">
        <v>-45.164999999999999</v>
      </c>
      <c r="AE17">
        <v>-25.402999999999999</v>
      </c>
      <c r="AF17">
        <v>-24.457999999999998</v>
      </c>
      <c r="AG17">
        <v>-49.860999999999997</v>
      </c>
      <c r="AH17">
        <v>-25.106000000000002</v>
      </c>
      <c r="AI17">
        <v>-25.923390000000001</v>
      </c>
      <c r="AJ17">
        <v>-51.029389999999999</v>
      </c>
      <c r="AK17">
        <v>-27.1982</v>
      </c>
      <c r="AL17">
        <v>-27.86304925</v>
      </c>
      <c r="AM17">
        <v>-55.061249250000003</v>
      </c>
      <c r="AN17">
        <v>-58.865350951250001</v>
      </c>
    </row>
    <row r="18" spans="2:40">
      <c r="B18" t="s">
        <v>555</v>
      </c>
      <c r="C18" t="s">
        <v>556</v>
      </c>
      <c r="D18" t="str">
        <f t="shared" si="0"/>
        <v>AUD</v>
      </c>
      <c r="F18">
        <v>-31.736000000000001</v>
      </c>
      <c r="G18">
        <v>-16.667000000000002</v>
      </c>
      <c r="H18">
        <v>-16.981000000000002</v>
      </c>
      <c r="I18">
        <v>-33.648000000000003</v>
      </c>
      <c r="J18">
        <v>-15.83</v>
      </c>
      <c r="K18">
        <v>-16.283000000000001</v>
      </c>
      <c r="L18">
        <v>-32.113</v>
      </c>
      <c r="M18">
        <v>-19.324999999999999</v>
      </c>
      <c r="N18">
        <v>-19.699000000000002</v>
      </c>
      <c r="O18">
        <v>-39.024000000000001</v>
      </c>
      <c r="P18">
        <v>-20.949000000000002</v>
      </c>
      <c r="Q18">
        <v>-18.106000000000002</v>
      </c>
      <c r="R18">
        <v>-39.055</v>
      </c>
      <c r="S18">
        <v>-17.262</v>
      </c>
      <c r="T18">
        <v>-17.433</v>
      </c>
      <c r="U18">
        <v>-34.695</v>
      </c>
      <c r="V18">
        <v>-18.762</v>
      </c>
      <c r="W18">
        <v>-18.305</v>
      </c>
      <c r="X18">
        <v>-37.067</v>
      </c>
      <c r="Y18">
        <v>-23.398</v>
      </c>
      <c r="Z18">
        <v>-22.917999999999999</v>
      </c>
      <c r="AA18">
        <v>-46.316000000000003</v>
      </c>
      <c r="AB18">
        <v>-24.731000000000002</v>
      </c>
      <c r="AC18">
        <v>-26.055</v>
      </c>
      <c r="AD18">
        <v>-50.786000000000001</v>
      </c>
      <c r="AE18">
        <v>-28.933</v>
      </c>
      <c r="AF18">
        <v>-28.158999999999999</v>
      </c>
      <c r="AG18">
        <v>-57.091999999999999</v>
      </c>
      <c r="AH18">
        <v>-28.908000000000001</v>
      </c>
      <c r="AI18">
        <v>-30.113520000000001</v>
      </c>
      <c r="AJ18">
        <v>-59.021520000000002</v>
      </c>
      <c r="AK18">
        <v>-31.945815875000001</v>
      </c>
      <c r="AL18">
        <v>-32.874020874999999</v>
      </c>
      <c r="AM18">
        <v>-64.819836749999993</v>
      </c>
      <c r="AN18">
        <v>-70.479681751249998</v>
      </c>
    </row>
    <row r="19" spans="2:40">
      <c r="B19" t="s">
        <v>557</v>
      </c>
      <c r="C19" t="s">
        <v>558</v>
      </c>
      <c r="D19" t="str">
        <f t="shared" si="0"/>
        <v>AUD</v>
      </c>
      <c r="F19">
        <v>-9.6989999999999998</v>
      </c>
      <c r="G19">
        <v>-5.4560000000000004</v>
      </c>
      <c r="H19">
        <v>-5.5030000000000001</v>
      </c>
      <c r="I19">
        <v>-10.959</v>
      </c>
      <c r="J19">
        <v>-5.4169999999999998</v>
      </c>
      <c r="K19">
        <v>-5.8419999999999996</v>
      </c>
      <c r="L19">
        <v>-11.259</v>
      </c>
      <c r="M19">
        <v>-6.23</v>
      </c>
      <c r="N19">
        <v>-6.6219999999999999</v>
      </c>
      <c r="O19">
        <v>-12.852</v>
      </c>
      <c r="P19">
        <v>-6.5789999999999997</v>
      </c>
      <c r="Q19">
        <v>-6.4930000000000003</v>
      </c>
      <c r="R19">
        <v>-13.071999999999999</v>
      </c>
      <c r="S19">
        <v>-6.282</v>
      </c>
      <c r="T19">
        <v>-6.9470000000000001</v>
      </c>
      <c r="U19">
        <v>-13.228999999999999</v>
      </c>
      <c r="V19">
        <v>-7.6820000000000004</v>
      </c>
      <c r="W19">
        <v>-8.0549999999999997</v>
      </c>
      <c r="X19">
        <v>-15.737</v>
      </c>
      <c r="Y19">
        <v>-11.249000000000001</v>
      </c>
      <c r="Z19">
        <v>-11.867000000000001</v>
      </c>
      <c r="AA19">
        <v>-23.116</v>
      </c>
      <c r="AB19">
        <v>-12.862</v>
      </c>
      <c r="AC19">
        <v>-12.157</v>
      </c>
      <c r="AD19">
        <v>-25.018999999999998</v>
      </c>
      <c r="AE19">
        <v>-13.435</v>
      </c>
      <c r="AF19">
        <v>-13.773</v>
      </c>
      <c r="AG19">
        <v>-27.207999999999998</v>
      </c>
      <c r="AH19">
        <v>-7.2089999999999996</v>
      </c>
      <c r="AI19">
        <v>-7.3327274999999998</v>
      </c>
      <c r="AJ19">
        <v>-14.411144999999999</v>
      </c>
      <c r="AK19">
        <v>-7.2796776750000003</v>
      </c>
      <c r="AL19">
        <v>-7.6834898249999997</v>
      </c>
      <c r="AM19">
        <v>-14.963167500000001</v>
      </c>
      <c r="AN19">
        <v>-15.969704849999999</v>
      </c>
    </row>
    <row r="20" spans="2:40">
      <c r="B20" t="s">
        <v>559</v>
      </c>
      <c r="C20" t="s">
        <v>560</v>
      </c>
      <c r="D20" t="str">
        <f t="shared" si="0"/>
        <v>AUD</v>
      </c>
      <c r="AB20">
        <v>-1.44</v>
      </c>
      <c r="AD20">
        <v>-1.44</v>
      </c>
      <c r="AH20">
        <v>0</v>
      </c>
      <c r="AI20">
        <v>-0.1</v>
      </c>
      <c r="AJ20">
        <v>-0.1</v>
      </c>
      <c r="AK20">
        <v>-0.05</v>
      </c>
      <c r="AL20">
        <v>-0.05</v>
      </c>
      <c r="AM20">
        <v>-0.1</v>
      </c>
      <c r="AN20">
        <v>-0.1</v>
      </c>
    </row>
    <row r="21" spans="2:40">
      <c r="B21" t="s">
        <v>561</v>
      </c>
      <c r="C21" t="s">
        <v>562</v>
      </c>
      <c r="D21" t="str">
        <f t="shared" si="0"/>
        <v>AUD</v>
      </c>
      <c r="F21">
        <v>-41.435000000000002</v>
      </c>
      <c r="G21">
        <v>-22.123000000000001</v>
      </c>
      <c r="H21">
        <v>-22.497</v>
      </c>
      <c r="I21">
        <v>-44.62</v>
      </c>
      <c r="J21">
        <v>-21.481000000000002</v>
      </c>
      <c r="K21">
        <v>-22.806999999999999</v>
      </c>
      <c r="L21">
        <v>-44.287999999999997</v>
      </c>
      <c r="M21">
        <v>-25.658000000000001</v>
      </c>
      <c r="N21">
        <v>-26.872</v>
      </c>
      <c r="O21">
        <v>-52.53</v>
      </c>
      <c r="P21">
        <v>-28.024999999999999</v>
      </c>
      <c r="Q21">
        <v>-25.640999999999998</v>
      </c>
      <c r="R21">
        <v>-53.665999999999997</v>
      </c>
      <c r="S21">
        <v>-24.957999999999998</v>
      </c>
      <c r="T21">
        <v>-25.809000000000001</v>
      </c>
      <c r="U21">
        <v>-50.767000000000003</v>
      </c>
      <c r="V21">
        <v>-27.815999999999999</v>
      </c>
      <c r="W21">
        <v>-28.09</v>
      </c>
      <c r="X21">
        <v>-55.905999999999999</v>
      </c>
      <c r="Y21">
        <v>-37.008000000000003</v>
      </c>
      <c r="Z21">
        <v>-37.209000000000003</v>
      </c>
      <c r="AA21">
        <v>-74.216999999999999</v>
      </c>
      <c r="AB21">
        <v>-41.44</v>
      </c>
      <c r="AC21">
        <v>-41.329000000000001</v>
      </c>
      <c r="AD21">
        <v>-82.769000000000005</v>
      </c>
      <c r="AE21">
        <v>-44.738</v>
      </c>
      <c r="AF21">
        <v>-43.076000000000001</v>
      </c>
      <c r="AG21">
        <v>-87.813999999999993</v>
      </c>
      <c r="AH21">
        <v>-39.220999999999997</v>
      </c>
      <c r="AI21">
        <v>-41.252361999999998</v>
      </c>
      <c r="AJ21">
        <v>-80.831894000000005</v>
      </c>
      <c r="AK21">
        <v>-44.421424799999997</v>
      </c>
      <c r="AL21">
        <v>-45.753441950000003</v>
      </c>
      <c r="AM21">
        <v>-90.174866750000007</v>
      </c>
      <c r="AN21">
        <v>-100.03519007125</v>
      </c>
    </row>
    <row r="22" spans="2:40">
      <c r="B22" t="s">
        <v>563</v>
      </c>
      <c r="C22" t="s">
        <v>564</v>
      </c>
      <c r="D22" t="str">
        <f t="shared" si="0"/>
        <v>AUD</v>
      </c>
      <c r="F22">
        <v>-41.435000000000002</v>
      </c>
      <c r="G22">
        <v>-22.123000000000001</v>
      </c>
      <c r="H22">
        <v>-22.484000000000002</v>
      </c>
      <c r="I22">
        <v>-44.606999999999999</v>
      </c>
      <c r="J22">
        <v>-21.247</v>
      </c>
      <c r="K22">
        <v>-22.125</v>
      </c>
      <c r="L22">
        <v>-43.372</v>
      </c>
      <c r="M22">
        <v>-25.555</v>
      </c>
      <c r="N22">
        <v>-26.321000000000002</v>
      </c>
      <c r="O22">
        <v>-51.875999999999998</v>
      </c>
      <c r="P22">
        <v>-27.527999999999999</v>
      </c>
      <c r="Q22">
        <v>-24.599</v>
      </c>
      <c r="R22">
        <v>-52.127000000000002</v>
      </c>
      <c r="S22">
        <v>-23.544</v>
      </c>
      <c r="T22">
        <v>-24.38</v>
      </c>
      <c r="U22">
        <v>-47.923999999999999</v>
      </c>
      <c r="V22">
        <v>-26.443999999999999</v>
      </c>
      <c r="W22">
        <v>-26.36</v>
      </c>
      <c r="X22">
        <v>-52.804000000000002</v>
      </c>
      <c r="Y22">
        <v>-34.646999999999998</v>
      </c>
      <c r="Z22">
        <v>-34.784999999999997</v>
      </c>
      <c r="AA22">
        <v>-69.432000000000002</v>
      </c>
      <c r="AB22">
        <v>-39.033000000000001</v>
      </c>
      <c r="AC22">
        <v>-38.212000000000003</v>
      </c>
      <c r="AD22">
        <v>-77.245000000000005</v>
      </c>
      <c r="AE22">
        <v>-42.368000000000002</v>
      </c>
      <c r="AF22">
        <v>-41.932000000000002</v>
      </c>
      <c r="AG22">
        <v>-84.3</v>
      </c>
      <c r="AH22">
        <v>-36.116999999999997</v>
      </c>
      <c r="AI22">
        <v>-37.5462475</v>
      </c>
      <c r="AJ22">
        <v>-73.532664999999994</v>
      </c>
      <c r="AK22">
        <v>-39.27549355</v>
      </c>
      <c r="AL22">
        <v>-40.607510699999999</v>
      </c>
      <c r="AM22">
        <v>-79.883004249999999</v>
      </c>
      <c r="AN22">
        <v>-86.549386601250006</v>
      </c>
    </row>
    <row r="23" spans="2:40">
      <c r="B23" t="s">
        <v>178</v>
      </c>
      <c r="C23" t="s">
        <v>565</v>
      </c>
      <c r="D23" t="str">
        <f t="shared" si="0"/>
        <v>AUD</v>
      </c>
      <c r="F23">
        <v>7.1</v>
      </c>
      <c r="G23">
        <v>1.879</v>
      </c>
      <c r="H23">
        <v>3.5209999999999999</v>
      </c>
      <c r="I23">
        <v>5.4</v>
      </c>
      <c r="J23">
        <v>1.538</v>
      </c>
      <c r="K23">
        <v>5.24</v>
      </c>
      <c r="L23">
        <v>6.7779999999999996</v>
      </c>
      <c r="M23">
        <v>4.7</v>
      </c>
      <c r="N23">
        <v>6.0229999999999997</v>
      </c>
      <c r="O23">
        <v>10.723000000000001</v>
      </c>
      <c r="P23">
        <v>5.8</v>
      </c>
      <c r="Q23">
        <v>5.1829999999999998</v>
      </c>
      <c r="R23">
        <v>10.983000000000001</v>
      </c>
      <c r="S23">
        <v>5.6219999999999999</v>
      </c>
      <c r="T23">
        <v>8.5139999999999993</v>
      </c>
      <c r="U23">
        <v>14.135999999999999</v>
      </c>
      <c r="V23">
        <v>6.8129999999999997</v>
      </c>
      <c r="W23">
        <v>10.423</v>
      </c>
      <c r="X23">
        <v>17.236000000000001</v>
      </c>
      <c r="Y23">
        <v>11.818</v>
      </c>
      <c r="Z23">
        <v>13.805999999999999</v>
      </c>
      <c r="AA23">
        <v>25.623999999999999</v>
      </c>
      <c r="AB23">
        <v>13.641999999999999</v>
      </c>
      <c r="AC23">
        <v>15.618</v>
      </c>
      <c r="AD23">
        <v>29.26</v>
      </c>
      <c r="AE23">
        <v>12.664999999999999</v>
      </c>
      <c r="AF23">
        <v>13.435</v>
      </c>
      <c r="AG23">
        <v>26.1</v>
      </c>
      <c r="AH23">
        <v>21.666</v>
      </c>
      <c r="AI23">
        <v>22.312752499999998</v>
      </c>
      <c r="AJ23">
        <v>44.109335000000002</v>
      </c>
      <c r="AK23">
        <v>24.026051450000001</v>
      </c>
      <c r="AL23">
        <v>26.2054443</v>
      </c>
      <c r="AM23">
        <v>50.231495750000001</v>
      </c>
      <c r="AN23">
        <v>58.629748398750003</v>
      </c>
    </row>
    <row r="24" spans="2:40">
      <c r="B24" t="s">
        <v>566</v>
      </c>
      <c r="C24" t="s">
        <v>567</v>
      </c>
      <c r="D24" t="str">
        <f t="shared" si="0"/>
        <v>AUD</v>
      </c>
      <c r="H24">
        <v>-1.2999999999999999E-2</v>
      </c>
      <c r="I24">
        <v>-1.2999999999999999E-2</v>
      </c>
      <c r="J24">
        <v>-0.23400000000000001</v>
      </c>
      <c r="K24">
        <v>-0.68200000000000005</v>
      </c>
      <c r="L24">
        <v>-0.91600000000000004</v>
      </c>
      <c r="M24">
        <v>-0.10299999999999999</v>
      </c>
      <c r="N24">
        <v>-0.55100000000000005</v>
      </c>
      <c r="O24">
        <v>-0.65400000000000003</v>
      </c>
      <c r="P24">
        <v>-0.497</v>
      </c>
      <c r="Q24">
        <v>-1.042</v>
      </c>
      <c r="R24">
        <v>-1.5389999999999999</v>
      </c>
      <c r="S24">
        <v>-1.4139999999999999</v>
      </c>
      <c r="T24">
        <v>-1.429</v>
      </c>
      <c r="U24">
        <v>-2.843</v>
      </c>
      <c r="V24">
        <v>-1.3720000000000001</v>
      </c>
      <c r="W24">
        <v>-1.73</v>
      </c>
      <c r="X24">
        <v>-3.1019999999999999</v>
      </c>
      <c r="Y24">
        <v>-2.3610000000000002</v>
      </c>
      <c r="Z24">
        <v>-2.4239999999999999</v>
      </c>
      <c r="AA24">
        <v>-4.7850000000000001</v>
      </c>
      <c r="AB24">
        <v>-2.407</v>
      </c>
      <c r="AC24">
        <v>-3.117</v>
      </c>
      <c r="AD24">
        <v>-5.524</v>
      </c>
      <c r="AE24">
        <v>-2.37</v>
      </c>
      <c r="AF24">
        <v>-2.0470000000000002</v>
      </c>
      <c r="AG24">
        <v>-4.4169999999999998</v>
      </c>
      <c r="AH24">
        <v>-2.1520000000000001</v>
      </c>
      <c r="AI24">
        <v>-2.2650000000000001</v>
      </c>
      <c r="AJ24">
        <v>-4.4169999999999998</v>
      </c>
      <c r="AK24">
        <v>-2.2084999999999999</v>
      </c>
      <c r="AL24">
        <v>-2.2084999999999999</v>
      </c>
      <c r="AM24">
        <v>-4.4169999999999998</v>
      </c>
      <c r="AN24">
        <v>-4.4169999999999998</v>
      </c>
    </row>
    <row r="25" spans="2:40">
      <c r="B25" t="s">
        <v>568</v>
      </c>
      <c r="C25" t="s">
        <v>569</v>
      </c>
      <c r="D25" t="str">
        <f t="shared" si="0"/>
        <v>AUD</v>
      </c>
      <c r="AF25">
        <v>0.90300000000000002</v>
      </c>
      <c r="AG25">
        <v>0.90300000000000002</v>
      </c>
      <c r="AH25">
        <v>-0.95199999999999996</v>
      </c>
      <c r="AI25">
        <v>-1.4411145000000001</v>
      </c>
      <c r="AJ25">
        <v>-2.8822290000000002</v>
      </c>
      <c r="AK25">
        <v>-2.9374312499999999</v>
      </c>
      <c r="AL25">
        <v>-2.9374312499999999</v>
      </c>
      <c r="AM25">
        <v>-5.8748624999999999</v>
      </c>
      <c r="AN25">
        <v>-9.0688034700000006</v>
      </c>
    </row>
    <row r="26" spans="2:40">
      <c r="B26" t="s">
        <v>570</v>
      </c>
      <c r="C26" t="s">
        <v>184</v>
      </c>
      <c r="D26" t="str">
        <f t="shared" si="0"/>
        <v>AUD</v>
      </c>
      <c r="F26">
        <v>7.1459999999999999</v>
      </c>
      <c r="G26">
        <v>1.879</v>
      </c>
      <c r="H26">
        <v>3.508</v>
      </c>
      <c r="I26">
        <v>5.3869999999999996</v>
      </c>
      <c r="J26">
        <v>1.304</v>
      </c>
      <c r="K26">
        <v>4.5579999999999998</v>
      </c>
      <c r="L26">
        <v>5.8620000000000001</v>
      </c>
      <c r="M26">
        <v>4.5970000000000004</v>
      </c>
      <c r="N26">
        <v>5.4720000000000004</v>
      </c>
      <c r="O26">
        <v>10.069000000000001</v>
      </c>
      <c r="P26">
        <v>5.3029999999999999</v>
      </c>
      <c r="Q26">
        <v>4.141</v>
      </c>
      <c r="R26">
        <v>9.4440000000000008</v>
      </c>
      <c r="S26">
        <v>4.2080000000000002</v>
      </c>
      <c r="T26">
        <v>7.085</v>
      </c>
      <c r="U26">
        <v>11.292999999999999</v>
      </c>
      <c r="V26">
        <v>5.4409999999999998</v>
      </c>
      <c r="W26">
        <v>8.6929999999999996</v>
      </c>
      <c r="X26">
        <v>14.134</v>
      </c>
      <c r="Y26">
        <v>9.4570000000000007</v>
      </c>
      <c r="Z26">
        <v>11.382</v>
      </c>
      <c r="AA26">
        <v>20.838999999999999</v>
      </c>
      <c r="AB26">
        <v>19.106000000000002</v>
      </c>
      <c r="AC26">
        <v>18.579499999999999</v>
      </c>
      <c r="AD26">
        <v>23.736000000000001</v>
      </c>
      <c r="AE26">
        <v>10.295</v>
      </c>
      <c r="AF26">
        <v>12.291</v>
      </c>
      <c r="AG26">
        <v>22.585999999999999</v>
      </c>
      <c r="AH26">
        <v>18.562000000000001</v>
      </c>
      <c r="AI26">
        <v>18.606638</v>
      </c>
      <c r="AJ26">
        <v>36.810105999999998</v>
      </c>
      <c r="AK26">
        <v>18.8801202</v>
      </c>
      <c r="AL26">
        <v>21.05951305</v>
      </c>
      <c r="AM26">
        <v>39.93963325</v>
      </c>
      <c r="AN26">
        <v>45.143944928750003</v>
      </c>
    </row>
    <row r="27" spans="2:40">
      <c r="B27" t="s">
        <v>350</v>
      </c>
      <c r="C27" t="s">
        <v>571</v>
      </c>
      <c r="D27" t="str">
        <f t="shared" si="0"/>
        <v>AUD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0.46</v>
      </c>
      <c r="AF27">
        <v>0</v>
      </c>
      <c r="AG27">
        <v>0</v>
      </c>
      <c r="AH27">
        <v>1.024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</row>
    <row r="28" spans="2:40">
      <c r="B28" t="s">
        <v>572</v>
      </c>
      <c r="C28" t="s">
        <v>573</v>
      </c>
      <c r="D28" t="str">
        <f t="shared" si="0"/>
        <v>AUD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-0.216</v>
      </c>
      <c r="T28">
        <v>-0.245</v>
      </c>
      <c r="U28">
        <v>-0.46100000000000002</v>
      </c>
      <c r="V28">
        <v>-0.23899999999999999</v>
      </c>
      <c r="W28">
        <v>-0.249</v>
      </c>
      <c r="X28">
        <v>-0.48799999999999999</v>
      </c>
      <c r="Y28">
        <v>-0.29299999999999998</v>
      </c>
      <c r="Z28">
        <v>-0.26900000000000002</v>
      </c>
      <c r="AA28">
        <v>-0.56200000000000006</v>
      </c>
      <c r="AB28">
        <v>-0.248</v>
      </c>
      <c r="AC28">
        <v>-0.16600000000000001</v>
      </c>
      <c r="AD28">
        <v>-0.41399999999999998</v>
      </c>
      <c r="AE28">
        <v>0</v>
      </c>
      <c r="AF28">
        <v>-0.95499999999999996</v>
      </c>
      <c r="AG28">
        <v>-0.495</v>
      </c>
      <c r="AH28">
        <v>0</v>
      </c>
      <c r="AI28">
        <v>-1.6427025</v>
      </c>
      <c r="AJ28">
        <v>-0.61870250000000004</v>
      </c>
      <c r="AK28">
        <v>-0.26611374999999998</v>
      </c>
      <c r="AL28">
        <v>-0.32352997410200002</v>
      </c>
      <c r="AM28">
        <v>-0.58964372410200006</v>
      </c>
      <c r="AN28">
        <v>-0.54445347987399995</v>
      </c>
    </row>
    <row r="29" spans="2:40">
      <c r="B29" t="s">
        <v>574</v>
      </c>
      <c r="C29" t="s">
        <v>575</v>
      </c>
      <c r="D29" t="str">
        <f t="shared" si="0"/>
        <v>AUD</v>
      </c>
      <c r="S29">
        <v>-0.216</v>
      </c>
      <c r="T29">
        <v>-0.245</v>
      </c>
      <c r="U29">
        <v>-0.46100000000000002</v>
      </c>
      <c r="V29">
        <v>-0.23899999999999999</v>
      </c>
      <c r="W29">
        <v>-0.249</v>
      </c>
      <c r="X29">
        <v>-0.48799999999999999</v>
      </c>
      <c r="Y29">
        <v>-0.29299999999999998</v>
      </c>
      <c r="Z29">
        <v>-0.26900000000000002</v>
      </c>
      <c r="AA29">
        <v>-0.56200000000000006</v>
      </c>
      <c r="AB29">
        <v>-0.248</v>
      </c>
      <c r="AC29">
        <v>-0.16600000000000001</v>
      </c>
      <c r="AD29">
        <v>-0.41399999999999998</v>
      </c>
      <c r="AE29">
        <v>0.46</v>
      </c>
      <c r="AF29">
        <v>-0.95499999999999996</v>
      </c>
      <c r="AG29">
        <v>-0.495</v>
      </c>
      <c r="AH29">
        <v>1.024</v>
      </c>
      <c r="AI29">
        <v>-1.6427025</v>
      </c>
      <c r="AJ29">
        <v>-0.61870250000000004</v>
      </c>
      <c r="AK29">
        <v>-0.26611374999999998</v>
      </c>
      <c r="AL29">
        <v>-0.32352997410200002</v>
      </c>
      <c r="AM29">
        <v>-0.58964372410200006</v>
      </c>
      <c r="AN29">
        <v>-0.54445347987399995</v>
      </c>
    </row>
    <row r="30" spans="2:40">
      <c r="B30" t="s">
        <v>576</v>
      </c>
      <c r="C30" t="s">
        <v>577</v>
      </c>
      <c r="D30" t="str">
        <f t="shared" si="0"/>
        <v>AUD</v>
      </c>
    </row>
    <row r="31" spans="2:40">
      <c r="B31" t="s">
        <v>578</v>
      </c>
      <c r="C31" t="s">
        <v>579</v>
      </c>
      <c r="D31" t="str">
        <f t="shared" si="0"/>
        <v>AUD</v>
      </c>
    </row>
    <row r="32" spans="2:40">
      <c r="B32" t="s">
        <v>580</v>
      </c>
      <c r="C32" t="s">
        <v>581</v>
      </c>
      <c r="D32" t="str">
        <f t="shared" si="0"/>
        <v>AUD</v>
      </c>
      <c r="F32">
        <v>-3.6999999999999998E-2</v>
      </c>
      <c r="G32">
        <v>-7.0000000000000007E-2</v>
      </c>
      <c r="H32">
        <v>-4.2000000000000003E-2</v>
      </c>
      <c r="I32">
        <v>-0.112</v>
      </c>
      <c r="J32">
        <v>-6.2E-2</v>
      </c>
      <c r="K32">
        <v>0.26500000000000001</v>
      </c>
      <c r="L32">
        <v>0.20300000000000001</v>
      </c>
      <c r="M32">
        <v>-0.01</v>
      </c>
      <c r="N32">
        <v>-0.22600000000000001</v>
      </c>
      <c r="O32">
        <v>-0.23599999999999999</v>
      </c>
      <c r="P32">
        <v>-6.4000000000000001E-2</v>
      </c>
      <c r="Q32">
        <v>-3.0000000000000001E-3</v>
      </c>
      <c r="R32">
        <v>-6.7000000000000004E-2</v>
      </c>
      <c r="S32">
        <v>4.8000000000000001E-2</v>
      </c>
      <c r="T32">
        <v>-7.4999999999999997E-2</v>
      </c>
      <c r="U32">
        <v>-2.7E-2</v>
      </c>
      <c r="V32">
        <v>-3.7999999999999999E-2</v>
      </c>
      <c r="W32">
        <v>-1.7000000000000001E-2</v>
      </c>
      <c r="X32">
        <v>-5.5E-2</v>
      </c>
      <c r="Y32">
        <v>-5.8999999999999997E-2</v>
      </c>
      <c r="Z32">
        <v>8.9999999999999993E-3</v>
      </c>
      <c r="AA32">
        <v>-0.05</v>
      </c>
      <c r="AB32">
        <v>0.05</v>
      </c>
      <c r="AC32">
        <v>-0.05</v>
      </c>
      <c r="AE32">
        <v>6.0000000000000001E-3</v>
      </c>
      <c r="AF32">
        <v>-0.11899999999999999</v>
      </c>
      <c r="AG32">
        <v>-0.113</v>
      </c>
      <c r="AH32">
        <v>-4.8000000000000001E-2</v>
      </c>
      <c r="AI32">
        <v>4.8000000000000001E-2</v>
      </c>
    </row>
    <row r="33" spans="1:40">
      <c r="B33" t="s">
        <v>582</v>
      </c>
      <c r="C33" t="s">
        <v>583</v>
      </c>
      <c r="D33" t="str">
        <f t="shared" si="0"/>
        <v>AUD</v>
      </c>
      <c r="F33">
        <v>7.109</v>
      </c>
      <c r="G33">
        <v>1.8089999999999999</v>
      </c>
      <c r="H33">
        <v>3.4660000000000002</v>
      </c>
      <c r="I33">
        <v>5.2750000000000004</v>
      </c>
      <c r="J33">
        <v>1.242</v>
      </c>
      <c r="K33">
        <v>4.8230000000000004</v>
      </c>
      <c r="L33">
        <v>6.0650000000000004</v>
      </c>
      <c r="M33">
        <v>4.5869999999999997</v>
      </c>
      <c r="N33">
        <v>5.2460000000000004</v>
      </c>
      <c r="O33">
        <v>9.8330000000000002</v>
      </c>
      <c r="P33">
        <v>5.2389999999999999</v>
      </c>
      <c r="Q33">
        <v>4.1379999999999999</v>
      </c>
      <c r="R33">
        <v>9.3770000000000007</v>
      </c>
      <c r="S33">
        <v>4.04</v>
      </c>
      <c r="T33">
        <v>6.7649999999999997</v>
      </c>
      <c r="U33">
        <v>10.805</v>
      </c>
      <c r="V33">
        <v>5.1639999999999997</v>
      </c>
      <c r="W33">
        <v>8.4269999999999996</v>
      </c>
      <c r="X33">
        <v>13.590999999999999</v>
      </c>
      <c r="Y33">
        <v>9.1050000000000004</v>
      </c>
      <c r="Z33">
        <v>11.122</v>
      </c>
      <c r="AA33">
        <v>20.227</v>
      </c>
      <c r="AB33">
        <v>12.477</v>
      </c>
      <c r="AC33">
        <v>10.845000000000001</v>
      </c>
      <c r="AD33">
        <v>23.321999999999999</v>
      </c>
      <c r="AE33">
        <v>10.749000000000001</v>
      </c>
      <c r="AF33">
        <v>11.228999999999999</v>
      </c>
      <c r="AG33">
        <v>21.978000000000002</v>
      </c>
      <c r="AH33">
        <v>19.634</v>
      </c>
      <c r="AI33">
        <v>17.0119355</v>
      </c>
      <c r="AJ33">
        <v>36.1914035</v>
      </c>
      <c r="AK33">
        <v>18.614006450000002</v>
      </c>
      <c r="AL33">
        <v>20.735983075898002</v>
      </c>
      <c r="AM33">
        <v>39.349989525898003</v>
      </c>
      <c r="AN33">
        <v>44.599491448876002</v>
      </c>
    </row>
    <row r="34" spans="1:40">
      <c r="A34" t="s">
        <v>613</v>
      </c>
    </row>
    <row r="35" spans="1:40">
      <c r="B35" t="s">
        <v>211</v>
      </c>
      <c r="C35" t="s">
        <v>245</v>
      </c>
      <c r="D35" t="str">
        <f t="shared" ref="D35:D58" si="1">L_CURRENCY_ISSR_208017981_REP</f>
        <v>AUD</v>
      </c>
    </row>
    <row r="36" spans="1:40">
      <c r="B36" t="s">
        <v>179</v>
      </c>
      <c r="C36" t="s">
        <v>246</v>
      </c>
      <c r="D36" t="str">
        <f t="shared" si="1"/>
        <v>AUD</v>
      </c>
    </row>
    <row r="37" spans="1:40">
      <c r="B37" t="s">
        <v>614</v>
      </c>
      <c r="C37" t="s">
        <v>248</v>
      </c>
      <c r="D37" t="str">
        <f t="shared" si="1"/>
        <v>AUD</v>
      </c>
    </row>
    <row r="38" spans="1:40">
      <c r="B38" t="s">
        <v>615</v>
      </c>
      <c r="C38" t="s">
        <v>110</v>
      </c>
      <c r="D38" t="str">
        <f t="shared" si="1"/>
        <v>AUD</v>
      </c>
    </row>
    <row r="39" spans="1:40">
      <c r="B39" t="s">
        <v>616</v>
      </c>
      <c r="C39" t="s">
        <v>112</v>
      </c>
      <c r="D39" t="str">
        <f t="shared" si="1"/>
        <v>AUD</v>
      </c>
    </row>
    <row r="40" spans="1:40">
      <c r="B40" t="s">
        <v>617</v>
      </c>
      <c r="C40" t="s">
        <v>618</v>
      </c>
      <c r="D40" t="str">
        <f t="shared" si="1"/>
        <v>AUD</v>
      </c>
    </row>
    <row r="41" spans="1:40">
      <c r="B41" t="s">
        <v>619</v>
      </c>
      <c r="C41" t="s">
        <v>111</v>
      </c>
      <c r="D41" t="str">
        <f t="shared" si="1"/>
        <v>AUD</v>
      </c>
    </row>
    <row r="42" spans="1:40">
      <c r="B42" t="s">
        <v>620</v>
      </c>
      <c r="C42" t="s">
        <v>113</v>
      </c>
      <c r="D42" t="str">
        <f t="shared" si="1"/>
        <v>AUD</v>
      </c>
    </row>
    <row r="43" spans="1:40">
      <c r="B43" t="s">
        <v>621</v>
      </c>
      <c r="C43" t="s">
        <v>622</v>
      </c>
      <c r="D43" t="str">
        <f t="shared" si="1"/>
        <v>AUD</v>
      </c>
    </row>
    <row r="44" spans="1:40">
      <c r="B44" t="s">
        <v>181</v>
      </c>
      <c r="C44" t="s">
        <v>249</v>
      </c>
      <c r="D44" t="str">
        <f t="shared" si="1"/>
        <v>AUD</v>
      </c>
    </row>
    <row r="45" spans="1:40">
      <c r="B45" t="s">
        <v>182</v>
      </c>
      <c r="C45" t="s">
        <v>623</v>
      </c>
      <c r="D45" t="str">
        <f t="shared" si="1"/>
        <v>AUD</v>
      </c>
    </row>
    <row r="46" spans="1:40">
      <c r="B46" t="s">
        <v>183</v>
      </c>
      <c r="C46" t="s">
        <v>250</v>
      </c>
      <c r="D46" t="str">
        <f t="shared" si="1"/>
        <v>AUD</v>
      </c>
    </row>
    <row r="47" spans="1:40">
      <c r="B47" t="s">
        <v>624</v>
      </c>
      <c r="C47" t="s">
        <v>625</v>
      </c>
      <c r="D47" t="str">
        <f t="shared" si="1"/>
        <v>AUD</v>
      </c>
    </row>
    <row r="48" spans="1:40">
      <c r="B48" t="s">
        <v>626</v>
      </c>
      <c r="C48" t="s">
        <v>627</v>
      </c>
      <c r="D48" t="str">
        <f t="shared" si="1"/>
        <v>AUD</v>
      </c>
    </row>
    <row r="49" spans="1:4">
      <c r="B49" t="s">
        <v>628</v>
      </c>
      <c r="C49" t="s">
        <v>629</v>
      </c>
      <c r="D49" t="str">
        <f t="shared" si="1"/>
        <v>AUD</v>
      </c>
    </row>
    <row r="50" spans="1:4">
      <c r="B50" t="s">
        <v>185</v>
      </c>
      <c r="C50" t="s">
        <v>252</v>
      </c>
      <c r="D50" t="str">
        <f t="shared" si="1"/>
        <v>AUD</v>
      </c>
    </row>
    <row r="51" spans="1:4">
      <c r="B51" t="s">
        <v>631</v>
      </c>
      <c r="C51" t="s">
        <v>114</v>
      </c>
      <c r="D51" t="str">
        <f t="shared" si="1"/>
        <v>AUD</v>
      </c>
    </row>
    <row r="52" spans="1:4">
      <c r="B52" t="s">
        <v>632</v>
      </c>
      <c r="C52" t="s">
        <v>115</v>
      </c>
      <c r="D52" t="str">
        <f t="shared" si="1"/>
        <v>AUD</v>
      </c>
    </row>
    <row r="53" spans="1:4">
      <c r="B53" t="s">
        <v>633</v>
      </c>
      <c r="C53" t="s">
        <v>116</v>
      </c>
      <c r="D53" t="str">
        <f t="shared" si="1"/>
        <v>AUD</v>
      </c>
    </row>
    <row r="54" spans="1:4">
      <c r="B54" t="s">
        <v>634</v>
      </c>
      <c r="C54" t="s">
        <v>117</v>
      </c>
      <c r="D54" t="str">
        <f t="shared" si="1"/>
        <v>AUD</v>
      </c>
    </row>
    <row r="55" spans="1:4">
      <c r="B55" t="s">
        <v>635</v>
      </c>
      <c r="C55" t="s">
        <v>118</v>
      </c>
      <c r="D55" t="str">
        <f t="shared" si="1"/>
        <v>AUD</v>
      </c>
    </row>
    <row r="56" spans="1:4">
      <c r="B56" t="s">
        <v>453</v>
      </c>
      <c r="C56" t="s">
        <v>119</v>
      </c>
      <c r="D56" t="str">
        <f t="shared" si="1"/>
        <v>AUD</v>
      </c>
    </row>
    <row r="57" spans="1:4">
      <c r="B57" t="s">
        <v>636</v>
      </c>
      <c r="C57" t="s">
        <v>120</v>
      </c>
      <c r="D57" t="str">
        <f t="shared" si="1"/>
        <v>AUD</v>
      </c>
    </row>
    <row r="58" spans="1:4">
      <c r="B58" t="s">
        <v>187</v>
      </c>
      <c r="C58" t="s">
        <v>254</v>
      </c>
      <c r="D58" t="str">
        <f t="shared" si="1"/>
        <v>AUD</v>
      </c>
    </row>
    <row r="59" spans="1:4">
      <c r="A59" t="s">
        <v>662</v>
      </c>
    </row>
    <row r="60" spans="1:4">
      <c r="B60" t="s">
        <v>1025</v>
      </c>
      <c r="C60" t="s">
        <v>663</v>
      </c>
      <c r="D60" t="str">
        <f t="shared" ref="D60:D70" si="2">L_CURRENCY_ISSR_208017981_REP</f>
        <v>AUD</v>
      </c>
    </row>
    <row r="61" spans="1:4">
      <c r="B61" t="s">
        <v>664</v>
      </c>
      <c r="C61" t="s">
        <v>665</v>
      </c>
      <c r="D61" t="str">
        <f t="shared" si="2"/>
        <v>AUD</v>
      </c>
    </row>
    <row r="62" spans="1:4">
      <c r="B62" t="s">
        <v>666</v>
      </c>
      <c r="C62" t="s">
        <v>667</v>
      </c>
      <c r="D62" t="str">
        <f t="shared" si="2"/>
        <v>AUD</v>
      </c>
    </row>
    <row r="63" spans="1:4">
      <c r="B63" t="s">
        <v>668</v>
      </c>
      <c r="C63" t="s">
        <v>669</v>
      </c>
      <c r="D63" t="str">
        <f t="shared" si="2"/>
        <v>AUD</v>
      </c>
    </row>
    <row r="64" spans="1:4">
      <c r="B64" t="s">
        <v>670</v>
      </c>
      <c r="C64" t="s">
        <v>671</v>
      </c>
      <c r="D64" t="str">
        <f t="shared" si="2"/>
        <v>AUD</v>
      </c>
    </row>
    <row r="65" spans="1:40">
      <c r="B65" t="s">
        <v>180</v>
      </c>
      <c r="C65" t="s">
        <v>247</v>
      </c>
      <c r="D65" t="str">
        <f t="shared" si="2"/>
        <v>AUD</v>
      </c>
    </row>
    <row r="66" spans="1:40">
      <c r="B66" t="s">
        <v>998</v>
      </c>
      <c r="C66" t="s">
        <v>992</v>
      </c>
      <c r="D66" t="str">
        <f t="shared" si="2"/>
        <v>AUD</v>
      </c>
    </row>
    <row r="67" spans="1:40">
      <c r="B67" t="s">
        <v>999</v>
      </c>
      <c r="C67" t="s">
        <v>993</v>
      </c>
      <c r="D67" t="str">
        <f t="shared" si="2"/>
        <v>AUD</v>
      </c>
    </row>
    <row r="68" spans="1:40">
      <c r="B68" t="s">
        <v>1000</v>
      </c>
      <c r="C68" t="s">
        <v>994</v>
      </c>
      <c r="D68" t="str">
        <f t="shared" si="2"/>
        <v>AUD</v>
      </c>
    </row>
    <row r="69" spans="1:40">
      <c r="B69" t="s">
        <v>1019</v>
      </c>
      <c r="C69" t="s">
        <v>1020</v>
      </c>
      <c r="D69" t="str">
        <f t="shared" si="2"/>
        <v>AUD</v>
      </c>
    </row>
    <row r="70" spans="1:40">
      <c r="B70" t="s">
        <v>1021</v>
      </c>
      <c r="C70" t="s">
        <v>1022</v>
      </c>
      <c r="D70" t="str">
        <f t="shared" si="2"/>
        <v>AUD</v>
      </c>
    </row>
    <row r="71" spans="1:40">
      <c r="B71" t="s">
        <v>1023</v>
      </c>
      <c r="C71" t="s">
        <v>1024</v>
      </c>
      <c r="E71" t="s">
        <v>1126</v>
      </c>
    </row>
    <row r="72" spans="1:40">
      <c r="A72" t="s">
        <v>676</v>
      </c>
    </row>
    <row r="73" spans="1:40">
      <c r="B73" t="s">
        <v>677</v>
      </c>
      <c r="C73" t="s">
        <v>678</v>
      </c>
      <c r="D73" t="str">
        <f t="shared" ref="D73:D104" si="3">L_CURRENCY_ISSR_208017981_REP</f>
        <v>AUD</v>
      </c>
      <c r="F73">
        <v>14.968999999999999</v>
      </c>
      <c r="G73">
        <v>17.254999999999999</v>
      </c>
      <c r="H73">
        <v>20.245000000000001</v>
      </c>
      <c r="I73">
        <v>20.245000000000001</v>
      </c>
      <c r="J73">
        <v>19.832000000000001</v>
      </c>
      <c r="K73">
        <v>12.468</v>
      </c>
      <c r="L73">
        <v>12.468</v>
      </c>
      <c r="M73">
        <v>10.724</v>
      </c>
      <c r="N73">
        <v>16.852</v>
      </c>
      <c r="O73">
        <v>16.852</v>
      </c>
      <c r="P73">
        <v>20.494</v>
      </c>
      <c r="Q73">
        <v>21.49</v>
      </c>
      <c r="R73">
        <v>21.49</v>
      </c>
      <c r="S73">
        <v>29.292000000000002</v>
      </c>
      <c r="T73">
        <v>34.555999999999997</v>
      </c>
      <c r="U73">
        <v>34.555999999999997</v>
      </c>
      <c r="V73">
        <v>33.953000000000003</v>
      </c>
      <c r="W73">
        <v>51.048000000000002</v>
      </c>
      <c r="X73">
        <v>51.048000000000002</v>
      </c>
      <c r="Y73">
        <v>27.669</v>
      </c>
      <c r="Z73">
        <v>48.36</v>
      </c>
      <c r="AA73">
        <v>48.36</v>
      </c>
      <c r="AB73">
        <v>43.969000000000001</v>
      </c>
      <c r="AC73">
        <v>63.793999999999997</v>
      </c>
      <c r="AD73">
        <v>63.793999999999997</v>
      </c>
      <c r="AE73">
        <v>53.969000000000001</v>
      </c>
      <c r="AF73">
        <v>72.519000000000005</v>
      </c>
      <c r="AG73">
        <v>72.519000000000005</v>
      </c>
      <c r="AH73">
        <v>67.108999999999995</v>
      </c>
      <c r="AI73">
        <v>84.14251035913</v>
      </c>
      <c r="AJ73">
        <v>84.14251035913</v>
      </c>
      <c r="AK73">
        <v>78.743627398201994</v>
      </c>
      <c r="AL73">
        <v>102.21860805054099</v>
      </c>
      <c r="AM73">
        <v>102.21860805054099</v>
      </c>
      <c r="AN73">
        <v>124.683553823342</v>
      </c>
    </row>
    <row r="74" spans="1:40">
      <c r="B74" t="s">
        <v>679</v>
      </c>
      <c r="C74" t="s">
        <v>680</v>
      </c>
      <c r="D74" t="str">
        <f t="shared" si="3"/>
        <v>AUD</v>
      </c>
      <c r="F74">
        <v>7.7190000000000003</v>
      </c>
      <c r="G74">
        <v>6.6139999999999999</v>
      </c>
      <c r="H74">
        <v>8.923</v>
      </c>
      <c r="I74">
        <v>8.923</v>
      </c>
      <c r="J74">
        <v>5.6719999999999997</v>
      </c>
      <c r="K74">
        <v>6.9690000000000003</v>
      </c>
      <c r="L74">
        <v>6.9690000000000003</v>
      </c>
      <c r="M74">
        <v>12.18</v>
      </c>
      <c r="N74">
        <v>8.7840000000000007</v>
      </c>
      <c r="O74">
        <v>8.7840000000000007</v>
      </c>
      <c r="P74">
        <v>6.2670000000000003</v>
      </c>
      <c r="Q74">
        <v>8.9860000000000007</v>
      </c>
      <c r="R74">
        <v>8.9860000000000007</v>
      </c>
      <c r="S74">
        <v>8.2829999999999995</v>
      </c>
      <c r="T74">
        <v>11.929</v>
      </c>
      <c r="U74">
        <v>11.929</v>
      </c>
      <c r="V74">
        <v>9.0289999999999999</v>
      </c>
      <c r="W74">
        <v>12.005000000000001</v>
      </c>
      <c r="X74">
        <v>12.005000000000001</v>
      </c>
      <c r="Y74">
        <v>9.0269999999999992</v>
      </c>
      <c r="Z74">
        <v>15.667</v>
      </c>
      <c r="AA74">
        <v>15.667</v>
      </c>
      <c r="AB74">
        <v>12.863</v>
      </c>
      <c r="AC74">
        <v>13.556433526785</v>
      </c>
      <c r="AD74">
        <v>17.638000000000002</v>
      </c>
      <c r="AE74">
        <v>11.69</v>
      </c>
      <c r="AF74">
        <v>11.856891417425</v>
      </c>
      <c r="AG74">
        <v>20.646999999999998</v>
      </c>
      <c r="AH74">
        <v>8.3789999999999996</v>
      </c>
      <c r="AI74">
        <v>8.7188998320300009</v>
      </c>
      <c r="AJ74">
        <v>21.324199157609002</v>
      </c>
      <c r="AK74">
        <v>22.342479210913002</v>
      </c>
      <c r="AL74">
        <v>23.640267304777002</v>
      </c>
      <c r="AM74">
        <v>22.45460357947</v>
      </c>
      <c r="AN74">
        <v>23.754498698748002</v>
      </c>
    </row>
    <row r="75" spans="1:40">
      <c r="B75" t="s">
        <v>681</v>
      </c>
      <c r="C75" t="s">
        <v>682</v>
      </c>
      <c r="D75" t="str">
        <f t="shared" si="3"/>
        <v>AUD</v>
      </c>
    </row>
    <row r="76" spans="1:40">
      <c r="B76" t="s">
        <v>683</v>
      </c>
      <c r="C76" t="s">
        <v>684</v>
      </c>
      <c r="D76" t="str">
        <f t="shared" si="3"/>
        <v>AUD</v>
      </c>
      <c r="F76">
        <v>2.1930000000000001</v>
      </c>
      <c r="G76">
        <v>2.5299999999999998</v>
      </c>
      <c r="H76">
        <v>2.5529999999999999</v>
      </c>
      <c r="I76">
        <v>2.5529999999999999</v>
      </c>
      <c r="J76">
        <v>3.427</v>
      </c>
      <c r="K76">
        <v>5.8040000000000003</v>
      </c>
      <c r="L76">
        <v>5.8040000000000003</v>
      </c>
      <c r="M76">
        <v>6.7220000000000004</v>
      </c>
      <c r="N76">
        <v>4.9530000000000003</v>
      </c>
      <c r="O76">
        <v>4.9530000000000003</v>
      </c>
      <c r="P76">
        <v>7.61</v>
      </c>
      <c r="Q76">
        <v>7.782</v>
      </c>
      <c r="R76">
        <v>7.782</v>
      </c>
      <c r="S76">
        <v>2.0169999999999999</v>
      </c>
      <c r="T76">
        <v>1.6559999999999999</v>
      </c>
      <c r="U76">
        <v>1.6559999999999999</v>
      </c>
      <c r="V76">
        <v>1.5780000000000001</v>
      </c>
      <c r="W76">
        <v>1.8340000000000001</v>
      </c>
      <c r="X76">
        <v>1.8340000000000001</v>
      </c>
      <c r="Y76">
        <v>2.0659999999999998</v>
      </c>
      <c r="Z76">
        <v>1.75</v>
      </c>
      <c r="AA76">
        <v>1.75</v>
      </c>
      <c r="AB76">
        <v>2.0950000000000002</v>
      </c>
      <c r="AC76">
        <v>2.0950000000000002</v>
      </c>
      <c r="AD76">
        <v>4.9790000000000001</v>
      </c>
      <c r="AE76">
        <v>6.7770000000000001</v>
      </c>
      <c r="AF76">
        <v>6.7770000000000001</v>
      </c>
      <c r="AG76">
        <v>6.53</v>
      </c>
      <c r="AH76">
        <v>7.5860000000000003</v>
      </c>
      <c r="AI76">
        <v>7.5860000000000003</v>
      </c>
      <c r="AJ76">
        <v>6.53</v>
      </c>
      <c r="AK76">
        <v>6.53</v>
      </c>
      <c r="AL76">
        <v>6.53</v>
      </c>
      <c r="AM76">
        <v>6.53</v>
      </c>
      <c r="AN76">
        <v>6.53</v>
      </c>
    </row>
    <row r="77" spans="1:40">
      <c r="B77" t="s">
        <v>315</v>
      </c>
      <c r="C77" t="s">
        <v>685</v>
      </c>
      <c r="D77" t="str">
        <f t="shared" si="3"/>
        <v>AUD</v>
      </c>
      <c r="F77">
        <v>24.881</v>
      </c>
      <c r="G77">
        <v>26.399000000000001</v>
      </c>
      <c r="H77">
        <v>31.721</v>
      </c>
      <c r="I77">
        <v>31.721</v>
      </c>
      <c r="J77">
        <v>28.931000000000001</v>
      </c>
      <c r="K77">
        <v>25.241</v>
      </c>
      <c r="L77">
        <v>25.241</v>
      </c>
      <c r="M77">
        <v>29.626000000000001</v>
      </c>
      <c r="N77">
        <v>30.588999999999999</v>
      </c>
      <c r="O77">
        <v>30.588999999999999</v>
      </c>
      <c r="P77">
        <v>34.371000000000002</v>
      </c>
      <c r="Q77">
        <v>38.258000000000003</v>
      </c>
      <c r="R77">
        <v>38.258000000000003</v>
      </c>
      <c r="S77">
        <v>39.591999999999999</v>
      </c>
      <c r="T77">
        <v>48.140999999999998</v>
      </c>
      <c r="U77">
        <v>48.140999999999998</v>
      </c>
      <c r="V77">
        <v>44.56</v>
      </c>
      <c r="W77">
        <v>64.887</v>
      </c>
      <c r="X77">
        <v>64.887</v>
      </c>
      <c r="Y77">
        <v>38.762</v>
      </c>
      <c r="Z77">
        <v>65.777000000000001</v>
      </c>
      <c r="AA77">
        <v>65.777000000000001</v>
      </c>
      <c r="AB77">
        <v>58.927</v>
      </c>
      <c r="AC77">
        <v>86.411000000000001</v>
      </c>
      <c r="AD77">
        <v>86.411000000000001</v>
      </c>
      <c r="AE77">
        <v>72.436000000000007</v>
      </c>
      <c r="AF77">
        <v>99.695999999999998</v>
      </c>
      <c r="AG77">
        <v>99.695999999999998</v>
      </c>
      <c r="AH77">
        <v>83.073999999999998</v>
      </c>
      <c r="AI77">
        <v>111.996709516739</v>
      </c>
      <c r="AJ77">
        <v>111.996709516739</v>
      </c>
      <c r="AK77">
        <v>107.61610660911499</v>
      </c>
      <c r="AL77">
        <v>131.203211630011</v>
      </c>
      <c r="AM77">
        <v>131.203211630011</v>
      </c>
      <c r="AN77">
        <v>154.96805252209001</v>
      </c>
    </row>
    <row r="78" spans="1:40">
      <c r="B78" t="s">
        <v>686</v>
      </c>
      <c r="C78" t="s">
        <v>687</v>
      </c>
      <c r="D78" t="str">
        <f t="shared" si="3"/>
        <v>AUD</v>
      </c>
      <c r="F78">
        <v>0.91100000000000003</v>
      </c>
      <c r="G78">
        <v>1.0129999999999999</v>
      </c>
      <c r="H78">
        <v>0.88300000000000001</v>
      </c>
      <c r="I78">
        <v>0.88300000000000001</v>
      </c>
      <c r="J78">
        <v>0.745</v>
      </c>
      <c r="K78">
        <v>0.60199999999999998</v>
      </c>
      <c r="L78">
        <v>0.60199999999999998</v>
      </c>
      <c r="M78">
        <v>3.8119999999999998</v>
      </c>
      <c r="N78">
        <v>4.4390000000000001</v>
      </c>
      <c r="O78">
        <v>4.4390000000000001</v>
      </c>
      <c r="P78">
        <v>4.577</v>
      </c>
      <c r="Q78">
        <v>5.7249999999999996</v>
      </c>
      <c r="R78">
        <v>5.7249999999999996</v>
      </c>
      <c r="S78">
        <v>5.9690000000000003</v>
      </c>
      <c r="T78">
        <v>5.1849999999999996</v>
      </c>
      <c r="U78">
        <v>5.1849999999999996</v>
      </c>
      <c r="V78">
        <v>4.8490000000000002</v>
      </c>
      <c r="W78">
        <v>5.01</v>
      </c>
      <c r="X78">
        <v>5.01</v>
      </c>
      <c r="Y78">
        <v>5.282</v>
      </c>
      <c r="Z78">
        <v>4.7069999999999999</v>
      </c>
      <c r="AA78">
        <v>4.7069999999999999</v>
      </c>
      <c r="AB78">
        <v>4.8529999999999998</v>
      </c>
      <c r="AC78">
        <v>4.258</v>
      </c>
      <c r="AD78">
        <v>4.258</v>
      </c>
      <c r="AE78">
        <v>3.669</v>
      </c>
      <c r="AF78">
        <v>2.9529999999999998</v>
      </c>
      <c r="AG78">
        <v>2.9529999999999998</v>
      </c>
      <c r="AH78">
        <v>2.3199999999999998</v>
      </c>
      <c r="AI78">
        <v>7.6294199999999996</v>
      </c>
      <c r="AJ78">
        <v>7.6294199999999996</v>
      </c>
      <c r="AK78">
        <v>8.7624354499999999</v>
      </c>
      <c r="AL78">
        <v>12.930565</v>
      </c>
      <c r="AM78">
        <v>12.930565</v>
      </c>
      <c r="AN78">
        <v>16.382356349999998</v>
      </c>
    </row>
    <row r="79" spans="1:40">
      <c r="B79" t="s">
        <v>317</v>
      </c>
      <c r="C79" t="s">
        <v>688</v>
      </c>
      <c r="D79" t="str">
        <f t="shared" si="3"/>
        <v>AUD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-4.4169999999999998</v>
      </c>
      <c r="AJ79">
        <v>-4.4169999999999998</v>
      </c>
      <c r="AK79">
        <v>-6.6254999999999997</v>
      </c>
      <c r="AL79">
        <v>-8.8339999999999996</v>
      </c>
      <c r="AM79">
        <v>-8.8339999999999996</v>
      </c>
      <c r="AN79">
        <v>-13.250999999999999</v>
      </c>
    </row>
    <row r="80" spans="1:40">
      <c r="B80" t="s">
        <v>689</v>
      </c>
      <c r="C80" t="s">
        <v>690</v>
      </c>
      <c r="D80" t="str">
        <f t="shared" si="3"/>
        <v>AUD</v>
      </c>
      <c r="F80">
        <v>0.91100000000000003</v>
      </c>
      <c r="G80">
        <v>1.0129999999999999</v>
      </c>
      <c r="H80">
        <v>0.88300000000000001</v>
      </c>
      <c r="I80">
        <v>0.88300000000000001</v>
      </c>
      <c r="J80">
        <v>0.745</v>
      </c>
      <c r="K80">
        <v>0.60199999999999998</v>
      </c>
      <c r="L80">
        <v>0.60199999999999998</v>
      </c>
      <c r="M80">
        <v>3.8119999999999998</v>
      </c>
      <c r="N80">
        <v>4.4390000000000001</v>
      </c>
      <c r="O80">
        <v>4.4390000000000001</v>
      </c>
      <c r="P80">
        <v>4.577</v>
      </c>
      <c r="Q80">
        <v>5.7249999999999996</v>
      </c>
      <c r="R80">
        <v>5.7249999999999996</v>
      </c>
      <c r="S80">
        <v>5.9690000000000003</v>
      </c>
      <c r="T80">
        <v>5.1849999999999996</v>
      </c>
      <c r="U80">
        <v>5.1849999999999996</v>
      </c>
      <c r="V80">
        <v>4.8490000000000002</v>
      </c>
      <c r="W80">
        <v>5.01</v>
      </c>
      <c r="X80">
        <v>5.01</v>
      </c>
      <c r="Y80">
        <v>5.282</v>
      </c>
      <c r="Z80">
        <v>4.7069999999999999</v>
      </c>
      <c r="AA80">
        <v>4.7069999999999999</v>
      </c>
      <c r="AB80">
        <v>4.8529999999999998</v>
      </c>
      <c r="AC80">
        <v>4.258</v>
      </c>
      <c r="AD80">
        <v>4.258</v>
      </c>
      <c r="AE80">
        <v>3.669</v>
      </c>
      <c r="AF80">
        <v>2.9529999999999998</v>
      </c>
      <c r="AG80">
        <v>2.9529999999999998</v>
      </c>
      <c r="AH80">
        <v>2.3199999999999998</v>
      </c>
      <c r="AI80">
        <v>3.2124199999999998</v>
      </c>
      <c r="AJ80">
        <v>3.2124199999999998</v>
      </c>
      <c r="AK80">
        <v>2.1369354500000002</v>
      </c>
      <c r="AL80">
        <v>4.096565</v>
      </c>
      <c r="AM80">
        <v>4.096565</v>
      </c>
      <c r="AN80">
        <v>3.1313563499999999</v>
      </c>
    </row>
    <row r="81" spans="2:40">
      <c r="B81" t="s">
        <v>691</v>
      </c>
      <c r="C81" t="s">
        <v>692</v>
      </c>
      <c r="D81" t="str">
        <f t="shared" si="3"/>
        <v>AUD</v>
      </c>
      <c r="F81">
        <v>6.923</v>
      </c>
      <c r="G81">
        <v>7.17</v>
      </c>
      <c r="H81">
        <v>7.6040000000000001</v>
      </c>
      <c r="I81">
        <v>7.6040000000000001</v>
      </c>
      <c r="J81">
        <v>7.3680000000000003</v>
      </c>
      <c r="K81">
        <v>10.754</v>
      </c>
      <c r="L81">
        <v>10.754</v>
      </c>
      <c r="M81">
        <v>10.552</v>
      </c>
      <c r="N81">
        <v>9.452</v>
      </c>
      <c r="O81">
        <v>9.452</v>
      </c>
      <c r="P81">
        <v>9.2949999999999999</v>
      </c>
      <c r="Q81">
        <v>9.3780000000000001</v>
      </c>
      <c r="R81">
        <v>9.3780000000000001</v>
      </c>
      <c r="S81">
        <v>9.5039999999999996</v>
      </c>
      <c r="T81">
        <v>13.228999999999999</v>
      </c>
      <c r="U81">
        <v>13.228999999999999</v>
      </c>
      <c r="V81">
        <v>18.204999999999998</v>
      </c>
      <c r="W81">
        <v>17.481000000000002</v>
      </c>
      <c r="X81">
        <v>17.481000000000002</v>
      </c>
      <c r="Y81">
        <v>35.506</v>
      </c>
      <c r="Z81">
        <v>35.543999999999997</v>
      </c>
      <c r="AA81">
        <v>35.543999999999997</v>
      </c>
      <c r="AB81">
        <v>35.365000000000002</v>
      </c>
      <c r="AC81">
        <v>40.725999999999999</v>
      </c>
      <c r="AD81">
        <v>40.725999999999999</v>
      </c>
      <c r="AE81">
        <v>40.725999999999999</v>
      </c>
      <c r="AF81">
        <v>41.115000000000002</v>
      </c>
      <c r="AG81">
        <v>41.115000000000002</v>
      </c>
      <c r="AH81">
        <v>47.231999999999999</v>
      </c>
      <c r="AI81">
        <v>57.213144999999997</v>
      </c>
      <c r="AJ81">
        <v>57.213144999999997</v>
      </c>
      <c r="AK81">
        <v>64.492822674999999</v>
      </c>
      <c r="AL81">
        <v>72.176312499999995</v>
      </c>
      <c r="AM81">
        <v>72.176312499999995</v>
      </c>
      <c r="AN81">
        <v>88.146017349999994</v>
      </c>
    </row>
    <row r="82" spans="2:40">
      <c r="B82" t="s">
        <v>693</v>
      </c>
      <c r="C82" t="s">
        <v>694</v>
      </c>
      <c r="D82" t="str">
        <f t="shared" si="3"/>
        <v>AUD</v>
      </c>
      <c r="AH82">
        <v>0</v>
      </c>
      <c r="AI82">
        <v>-2.8822290000000002</v>
      </c>
      <c r="AJ82">
        <v>-2.8822290000000002</v>
      </c>
      <c r="AK82">
        <v>-5.8196602500000001</v>
      </c>
      <c r="AL82">
        <v>-8.7570914999999996</v>
      </c>
      <c r="AM82">
        <v>-8.7570914999999996</v>
      </c>
      <c r="AN82">
        <v>-17.82589497</v>
      </c>
    </row>
    <row r="83" spans="2:40">
      <c r="B83" t="s">
        <v>695</v>
      </c>
      <c r="C83" t="s">
        <v>696</v>
      </c>
      <c r="D83" t="str">
        <f t="shared" si="3"/>
        <v>AUD</v>
      </c>
      <c r="F83">
        <v>6.923</v>
      </c>
      <c r="G83">
        <v>7.17</v>
      </c>
      <c r="H83">
        <v>7.6040000000000001</v>
      </c>
      <c r="I83">
        <v>7.6040000000000001</v>
      </c>
      <c r="J83">
        <v>7.3680000000000003</v>
      </c>
      <c r="K83">
        <v>10.754</v>
      </c>
      <c r="L83">
        <v>10.754</v>
      </c>
      <c r="M83">
        <v>10.552</v>
      </c>
      <c r="N83">
        <v>9.452</v>
      </c>
      <c r="O83">
        <v>9.452</v>
      </c>
      <c r="P83">
        <v>9.2949999999999999</v>
      </c>
      <c r="Q83">
        <v>9.3780000000000001</v>
      </c>
      <c r="R83">
        <v>9.3780000000000001</v>
      </c>
      <c r="S83">
        <v>9.5039999999999996</v>
      </c>
      <c r="T83">
        <v>13.228999999999999</v>
      </c>
      <c r="U83">
        <v>13.228999999999999</v>
      </c>
      <c r="V83">
        <v>18.204999999999998</v>
      </c>
      <c r="W83">
        <v>17.481000000000002</v>
      </c>
      <c r="X83">
        <v>17.481000000000002</v>
      </c>
      <c r="Y83">
        <v>35.506</v>
      </c>
      <c r="Z83">
        <v>35.543999999999997</v>
      </c>
      <c r="AA83">
        <v>35.543999999999997</v>
      </c>
      <c r="AB83">
        <v>35.365000000000002</v>
      </c>
      <c r="AC83">
        <v>40.725999999999999</v>
      </c>
      <c r="AD83">
        <v>40.725999999999999</v>
      </c>
      <c r="AE83">
        <v>40.725999999999999</v>
      </c>
      <c r="AF83">
        <v>41.115000000000002</v>
      </c>
      <c r="AG83">
        <v>41.115000000000002</v>
      </c>
      <c r="AH83">
        <v>47.231999999999999</v>
      </c>
      <c r="AI83">
        <v>54.330916000000002</v>
      </c>
      <c r="AJ83">
        <v>54.330916000000002</v>
      </c>
      <c r="AK83">
        <v>58.673162425000001</v>
      </c>
      <c r="AL83">
        <v>63.419221</v>
      </c>
      <c r="AM83">
        <v>63.419221</v>
      </c>
      <c r="AN83">
        <v>70.320122380000001</v>
      </c>
    </row>
    <row r="84" spans="2:40">
      <c r="B84" t="s">
        <v>697</v>
      </c>
      <c r="C84" t="s">
        <v>698</v>
      </c>
      <c r="D84" t="str">
        <f t="shared" si="3"/>
        <v>AUD</v>
      </c>
    </row>
    <row r="85" spans="2:40">
      <c r="B85" t="s">
        <v>699</v>
      </c>
      <c r="C85" t="s">
        <v>700</v>
      </c>
      <c r="D85" t="str">
        <f t="shared" si="3"/>
        <v>AUD</v>
      </c>
    </row>
    <row r="86" spans="2:40">
      <c r="B86" t="s">
        <v>701</v>
      </c>
      <c r="C86" t="s">
        <v>702</v>
      </c>
      <c r="D86" t="str">
        <f t="shared" si="3"/>
        <v>AUD</v>
      </c>
      <c r="F86">
        <v>0.309</v>
      </c>
      <c r="G86">
        <v>1.423</v>
      </c>
      <c r="H86">
        <v>1.264</v>
      </c>
      <c r="I86">
        <v>1.264</v>
      </c>
      <c r="J86">
        <v>1.17</v>
      </c>
      <c r="K86">
        <v>1.097</v>
      </c>
      <c r="L86">
        <v>1.097</v>
      </c>
      <c r="M86">
        <v>1.5980000000000001</v>
      </c>
      <c r="N86">
        <v>1.718</v>
      </c>
      <c r="O86">
        <v>1.718</v>
      </c>
      <c r="P86">
        <v>1.7110000000000001</v>
      </c>
      <c r="Q86">
        <v>1.7330000000000001</v>
      </c>
      <c r="R86">
        <v>1.7330000000000001</v>
      </c>
      <c r="S86">
        <v>10.742000000000001</v>
      </c>
      <c r="T86">
        <v>10.487</v>
      </c>
      <c r="U86">
        <v>10.487</v>
      </c>
      <c r="V86">
        <v>11.316000000000001</v>
      </c>
      <c r="W86">
        <v>11.473000000000001</v>
      </c>
      <c r="X86">
        <v>11.473000000000001</v>
      </c>
      <c r="Y86">
        <v>12.205</v>
      </c>
      <c r="Z86">
        <v>10.621</v>
      </c>
      <c r="AA86">
        <v>10.621</v>
      </c>
      <c r="AB86">
        <v>10.413</v>
      </c>
      <c r="AC86">
        <v>9.0210000000000008</v>
      </c>
      <c r="AD86">
        <v>9.0210000000000008</v>
      </c>
      <c r="AE86">
        <v>8.0960000000000001</v>
      </c>
      <c r="AF86">
        <v>16.088000000000001</v>
      </c>
      <c r="AG86">
        <v>16.088000000000001</v>
      </c>
      <c r="AH86">
        <v>12.904999999999999</v>
      </c>
      <c r="AI86">
        <v>19.25</v>
      </c>
      <c r="AJ86">
        <v>19.25</v>
      </c>
      <c r="AK86">
        <v>20.542999999999999</v>
      </c>
      <c r="AL86">
        <v>22.411999999999999</v>
      </c>
      <c r="AM86">
        <v>22.411999999999999</v>
      </c>
      <c r="AN86">
        <v>25.574000000000002</v>
      </c>
    </row>
    <row r="87" spans="2:40">
      <c r="B87" t="s">
        <v>323</v>
      </c>
      <c r="C87" t="s">
        <v>703</v>
      </c>
      <c r="D87" t="str">
        <f t="shared" si="3"/>
        <v>AUD</v>
      </c>
      <c r="F87">
        <v>33.024000000000001</v>
      </c>
      <c r="G87">
        <v>36.005000000000003</v>
      </c>
      <c r="H87">
        <v>41.472000000000001</v>
      </c>
      <c r="I87">
        <v>41.472000000000001</v>
      </c>
      <c r="J87">
        <v>38.213999999999999</v>
      </c>
      <c r="K87">
        <v>37.694000000000003</v>
      </c>
      <c r="L87">
        <v>37.694000000000003</v>
      </c>
      <c r="M87">
        <v>45.588000000000001</v>
      </c>
      <c r="N87">
        <v>46.198</v>
      </c>
      <c r="O87">
        <v>46.198</v>
      </c>
      <c r="P87">
        <v>49.954000000000001</v>
      </c>
      <c r="Q87">
        <v>55.094000000000001</v>
      </c>
      <c r="R87">
        <v>55.094000000000001</v>
      </c>
      <c r="S87">
        <v>65.807000000000002</v>
      </c>
      <c r="T87">
        <v>77.042000000000002</v>
      </c>
      <c r="U87">
        <v>77.042000000000002</v>
      </c>
      <c r="V87">
        <v>78.930000000000007</v>
      </c>
      <c r="W87">
        <v>98.850999999999999</v>
      </c>
      <c r="X87">
        <v>98.850999999999999</v>
      </c>
      <c r="Y87">
        <v>91.754999999999995</v>
      </c>
      <c r="Z87">
        <v>116.649</v>
      </c>
      <c r="AA87">
        <v>116.649</v>
      </c>
      <c r="AB87">
        <v>109.55800000000001</v>
      </c>
      <c r="AC87">
        <v>140.416</v>
      </c>
      <c r="AD87">
        <v>140.416</v>
      </c>
      <c r="AE87">
        <v>124.92700000000001</v>
      </c>
      <c r="AF87">
        <v>159.852</v>
      </c>
      <c r="AG87">
        <v>159.852</v>
      </c>
      <c r="AH87">
        <v>145.53100000000001</v>
      </c>
      <c r="AI87">
        <v>188.79004551673901</v>
      </c>
      <c r="AJ87">
        <v>188.79004551673901</v>
      </c>
      <c r="AK87">
        <v>188.96920448411501</v>
      </c>
      <c r="AL87">
        <v>221.130997630011</v>
      </c>
      <c r="AM87">
        <v>221.130997630011</v>
      </c>
      <c r="AN87">
        <v>253.99353125209001</v>
      </c>
    </row>
    <row r="88" spans="2:40">
      <c r="B88" t="s">
        <v>704</v>
      </c>
      <c r="C88" t="s">
        <v>705</v>
      </c>
      <c r="D88" t="str">
        <f t="shared" si="3"/>
        <v>AUD</v>
      </c>
      <c r="F88">
        <v>7.6349999999999998</v>
      </c>
      <c r="G88">
        <v>5.6230000000000002</v>
      </c>
      <c r="H88">
        <v>6.883</v>
      </c>
      <c r="I88">
        <v>6.883</v>
      </c>
      <c r="J88">
        <v>4.4660000000000002</v>
      </c>
      <c r="K88">
        <v>7.008</v>
      </c>
      <c r="L88">
        <v>7.008</v>
      </c>
      <c r="M88">
        <v>5.4180000000000001</v>
      </c>
      <c r="N88">
        <v>4.8360000000000003</v>
      </c>
      <c r="O88">
        <v>4.8360000000000003</v>
      </c>
      <c r="P88">
        <v>4.734</v>
      </c>
      <c r="Q88">
        <v>6.1120000000000001</v>
      </c>
      <c r="R88">
        <v>6.1120000000000001</v>
      </c>
      <c r="S88">
        <v>4.6020000000000003</v>
      </c>
      <c r="T88">
        <v>6.9240000000000004</v>
      </c>
      <c r="U88">
        <v>6.9240000000000004</v>
      </c>
      <c r="V88">
        <v>5.5529999999999999</v>
      </c>
      <c r="W88">
        <v>8.4849999999999994</v>
      </c>
      <c r="X88">
        <v>8.4849999999999994</v>
      </c>
      <c r="Y88">
        <v>7.78</v>
      </c>
      <c r="Z88">
        <v>11.196999999999999</v>
      </c>
      <c r="AA88">
        <v>11.196999999999999</v>
      </c>
      <c r="AB88">
        <v>7.968</v>
      </c>
      <c r="AC88">
        <v>8.8270963758719994</v>
      </c>
      <c r="AD88">
        <v>11.997999999999999</v>
      </c>
      <c r="AE88">
        <v>7.681</v>
      </c>
      <c r="AF88">
        <v>11.455</v>
      </c>
      <c r="AG88">
        <v>11.455</v>
      </c>
      <c r="AH88">
        <v>7.7229999999999999</v>
      </c>
      <c r="AI88">
        <v>12.206423097826001</v>
      </c>
      <c r="AJ88">
        <v>12.206423097826001</v>
      </c>
      <c r="AK88">
        <v>13.372193223199</v>
      </c>
      <c r="AL88">
        <v>13.50055794837</v>
      </c>
      <c r="AM88">
        <v>13.50055794837</v>
      </c>
      <c r="AN88">
        <v>15.063650284647</v>
      </c>
    </row>
    <row r="89" spans="2:40">
      <c r="B89" t="s">
        <v>706</v>
      </c>
      <c r="C89" t="s">
        <v>707</v>
      </c>
      <c r="D89" t="str">
        <f t="shared" si="3"/>
        <v>AUD</v>
      </c>
    </row>
    <row r="90" spans="2:40">
      <c r="B90" t="s">
        <v>1015</v>
      </c>
      <c r="C90" t="s">
        <v>1016</v>
      </c>
      <c r="D90" t="str">
        <f t="shared" si="3"/>
        <v>AUD</v>
      </c>
      <c r="S90">
        <v>1.5649999999999999</v>
      </c>
      <c r="T90">
        <v>1.6919999999999999</v>
      </c>
      <c r="U90">
        <v>1.6919999999999999</v>
      </c>
      <c r="V90">
        <v>2.2229999999999999</v>
      </c>
      <c r="W90">
        <v>2.492</v>
      </c>
      <c r="X90">
        <v>2.492</v>
      </c>
      <c r="Y90">
        <v>2.9209999999999998</v>
      </c>
      <c r="Z90">
        <v>3.01</v>
      </c>
      <c r="AA90">
        <v>3.01</v>
      </c>
      <c r="AB90">
        <v>3.262</v>
      </c>
      <c r="AC90">
        <v>3.3330000000000002</v>
      </c>
      <c r="AD90">
        <v>3.3330000000000002</v>
      </c>
      <c r="AE90">
        <v>2.927</v>
      </c>
      <c r="AF90">
        <v>2.532</v>
      </c>
      <c r="AG90">
        <v>2.532</v>
      </c>
      <c r="AH90">
        <v>2.669</v>
      </c>
      <c r="AI90">
        <v>2.532</v>
      </c>
      <c r="AJ90">
        <v>2.532</v>
      </c>
      <c r="AK90">
        <v>2.532</v>
      </c>
      <c r="AL90">
        <v>2.532</v>
      </c>
      <c r="AM90">
        <v>2.532</v>
      </c>
      <c r="AN90">
        <v>2.532</v>
      </c>
    </row>
    <row r="91" spans="2:40">
      <c r="B91" t="s">
        <v>708</v>
      </c>
      <c r="C91" t="s">
        <v>709</v>
      </c>
      <c r="D91" t="str">
        <f t="shared" si="3"/>
        <v>AUD</v>
      </c>
      <c r="F91">
        <v>11.811</v>
      </c>
      <c r="G91">
        <v>16.503</v>
      </c>
      <c r="H91">
        <v>15.471</v>
      </c>
      <c r="I91">
        <v>15.471</v>
      </c>
      <c r="J91">
        <v>17.495000000000001</v>
      </c>
      <c r="K91">
        <v>12.324999999999999</v>
      </c>
      <c r="L91">
        <v>12.324999999999999</v>
      </c>
      <c r="M91">
        <v>18.457999999999998</v>
      </c>
      <c r="N91">
        <v>16.920000000000002</v>
      </c>
      <c r="O91">
        <v>16.920000000000002</v>
      </c>
      <c r="P91">
        <v>21.556000000000001</v>
      </c>
      <c r="Q91">
        <v>21.611000000000001</v>
      </c>
      <c r="R91">
        <v>21.611000000000001</v>
      </c>
      <c r="S91">
        <v>24.574999999999999</v>
      </c>
      <c r="T91">
        <v>27.689</v>
      </c>
      <c r="U91">
        <v>27.689</v>
      </c>
      <c r="V91">
        <v>29.474</v>
      </c>
      <c r="W91">
        <v>41.186999999999998</v>
      </c>
      <c r="X91">
        <v>41.186999999999998</v>
      </c>
      <c r="Y91">
        <v>33.566000000000003</v>
      </c>
      <c r="Z91">
        <v>46.000999999999998</v>
      </c>
      <c r="AA91">
        <v>46.000999999999998</v>
      </c>
      <c r="AB91">
        <v>41.265000000000001</v>
      </c>
      <c r="AC91">
        <v>56.156999999999996</v>
      </c>
      <c r="AD91">
        <v>56.354999999999997</v>
      </c>
      <c r="AE91">
        <v>45.45</v>
      </c>
      <c r="AF91">
        <v>58.023000000000003</v>
      </c>
      <c r="AG91">
        <v>58.023000000000003</v>
      </c>
      <c r="AH91">
        <v>45.113999999999997</v>
      </c>
      <c r="AI91">
        <v>61.432053423912997</v>
      </c>
      <c r="AJ91">
        <v>61.432053423912997</v>
      </c>
      <c r="AK91">
        <v>56.695236000000001</v>
      </c>
      <c r="AL91">
        <v>67.303279442934993</v>
      </c>
      <c r="AM91">
        <v>67.303279442934993</v>
      </c>
      <c r="AN91">
        <v>74.394710750135999</v>
      </c>
    </row>
    <row r="92" spans="2:40">
      <c r="B92" t="s">
        <v>327</v>
      </c>
      <c r="C92" t="s">
        <v>710</v>
      </c>
      <c r="D92" t="str">
        <f t="shared" si="3"/>
        <v>AUD</v>
      </c>
      <c r="F92">
        <v>19.446000000000002</v>
      </c>
      <c r="G92">
        <v>22.126000000000001</v>
      </c>
      <c r="H92">
        <v>22.353999999999999</v>
      </c>
      <c r="I92">
        <v>22.353999999999999</v>
      </c>
      <c r="J92">
        <v>21.960999999999999</v>
      </c>
      <c r="K92">
        <v>19.332999999999998</v>
      </c>
      <c r="L92">
        <v>19.332999999999998</v>
      </c>
      <c r="M92">
        <v>23.876000000000001</v>
      </c>
      <c r="N92">
        <v>21.756</v>
      </c>
      <c r="O92">
        <v>21.756</v>
      </c>
      <c r="P92">
        <v>26.29</v>
      </c>
      <c r="Q92">
        <v>27.722999999999999</v>
      </c>
      <c r="R92">
        <v>27.722999999999999</v>
      </c>
      <c r="S92">
        <v>30.742000000000001</v>
      </c>
      <c r="T92">
        <v>36.305</v>
      </c>
      <c r="U92">
        <v>36.305</v>
      </c>
      <c r="V92">
        <v>37.25</v>
      </c>
      <c r="W92">
        <v>52.164000000000001</v>
      </c>
      <c r="X92">
        <v>52.164000000000001</v>
      </c>
      <c r="Y92">
        <v>44.267000000000003</v>
      </c>
      <c r="Z92">
        <v>60.207999999999998</v>
      </c>
      <c r="AA92">
        <v>60.207999999999998</v>
      </c>
      <c r="AB92">
        <v>52.494999999999997</v>
      </c>
      <c r="AC92">
        <v>71.686000000000007</v>
      </c>
      <c r="AD92">
        <v>71.686000000000007</v>
      </c>
      <c r="AE92">
        <v>56.058</v>
      </c>
      <c r="AF92">
        <v>72.010000000000005</v>
      </c>
      <c r="AG92">
        <v>72.010000000000005</v>
      </c>
      <c r="AH92">
        <v>55.506</v>
      </c>
      <c r="AI92">
        <v>76.170476521739005</v>
      </c>
      <c r="AJ92">
        <v>76.170476521739005</v>
      </c>
      <c r="AK92">
        <v>72.599429223198001</v>
      </c>
      <c r="AL92">
        <v>83.335837391303997</v>
      </c>
      <c r="AM92">
        <v>83.335837391303997</v>
      </c>
      <c r="AN92">
        <v>91.990361034783007</v>
      </c>
    </row>
    <row r="93" spans="2:40">
      <c r="B93" t="s">
        <v>711</v>
      </c>
      <c r="C93" t="s">
        <v>712</v>
      </c>
      <c r="D93" t="str">
        <f t="shared" si="3"/>
        <v>AUD</v>
      </c>
    </row>
    <row r="94" spans="2:40">
      <c r="B94" t="s">
        <v>1017</v>
      </c>
      <c r="C94" t="s">
        <v>1018</v>
      </c>
      <c r="D94" t="str">
        <f t="shared" si="3"/>
        <v>AUD</v>
      </c>
      <c r="S94">
        <v>10.973000000000001</v>
      </c>
      <c r="T94">
        <v>10.243</v>
      </c>
      <c r="U94">
        <v>10.243</v>
      </c>
      <c r="V94">
        <v>10.731999999999999</v>
      </c>
      <c r="W94">
        <v>10.253</v>
      </c>
      <c r="X94">
        <v>10.253</v>
      </c>
      <c r="Y94">
        <v>9.91</v>
      </c>
      <c r="Z94">
        <v>8.4879999999999995</v>
      </c>
      <c r="AA94">
        <v>8.4879999999999995</v>
      </c>
      <c r="AB94">
        <v>7.718</v>
      </c>
      <c r="AC94">
        <v>5.8840000000000003</v>
      </c>
      <c r="AD94">
        <v>5.8840000000000003</v>
      </c>
      <c r="AE94">
        <v>4.71</v>
      </c>
      <c r="AF94">
        <v>13.385</v>
      </c>
      <c r="AG94">
        <v>13.385</v>
      </c>
      <c r="AH94">
        <v>12.002000000000001</v>
      </c>
      <c r="AI94">
        <v>16.885000000000002</v>
      </c>
      <c r="AJ94">
        <v>16.885000000000002</v>
      </c>
      <c r="AK94">
        <v>17.385000000000002</v>
      </c>
      <c r="AL94">
        <v>20.885000000000002</v>
      </c>
      <c r="AM94">
        <v>20.885000000000002</v>
      </c>
      <c r="AN94">
        <v>22.885000000000002</v>
      </c>
    </row>
    <row r="95" spans="2:40">
      <c r="B95" t="s">
        <v>713</v>
      </c>
      <c r="C95" t="s">
        <v>714</v>
      </c>
      <c r="D95" t="str">
        <f t="shared" si="3"/>
        <v>AUD</v>
      </c>
      <c r="F95">
        <v>1.5960000000000001</v>
      </c>
      <c r="G95">
        <v>1.73</v>
      </c>
      <c r="H95">
        <v>3.496</v>
      </c>
      <c r="I95">
        <v>3.496</v>
      </c>
      <c r="J95">
        <v>2.3260000000000001</v>
      </c>
      <c r="K95">
        <v>0.40100000000000002</v>
      </c>
      <c r="L95">
        <v>0.40100000000000002</v>
      </c>
      <c r="M95">
        <v>4.1550000000000002</v>
      </c>
      <c r="N95">
        <v>3.1080000000000001</v>
      </c>
      <c r="O95">
        <v>3.1080000000000001</v>
      </c>
      <c r="P95">
        <v>2.9289999999999998</v>
      </c>
      <c r="Q95">
        <v>2.6429999999999998</v>
      </c>
      <c r="R95">
        <v>2.6429999999999998</v>
      </c>
      <c r="S95">
        <v>0.34399999999999997</v>
      </c>
      <c r="T95">
        <v>0.34399999999999997</v>
      </c>
      <c r="U95">
        <v>0.34399999999999997</v>
      </c>
      <c r="V95">
        <v>1.093</v>
      </c>
      <c r="W95">
        <v>1.091</v>
      </c>
      <c r="X95">
        <v>1.091</v>
      </c>
      <c r="Y95">
        <v>1.0169999999999999</v>
      </c>
      <c r="Z95">
        <v>1.002</v>
      </c>
      <c r="AA95">
        <v>1.002</v>
      </c>
      <c r="AB95">
        <v>0.747</v>
      </c>
      <c r="AC95">
        <v>0.88900000000000001</v>
      </c>
      <c r="AD95">
        <v>0.88900000000000001</v>
      </c>
      <c r="AE95">
        <v>0.82699999999999996</v>
      </c>
      <c r="AF95">
        <v>0.90800000000000003</v>
      </c>
      <c r="AG95">
        <v>0.90800000000000003</v>
      </c>
      <c r="AH95">
        <v>0.90600000000000003</v>
      </c>
      <c r="AI95">
        <v>2.851</v>
      </c>
      <c r="AJ95">
        <v>2.851</v>
      </c>
      <c r="AK95">
        <v>2.9009999999999998</v>
      </c>
      <c r="AL95">
        <v>2.9510000000000001</v>
      </c>
      <c r="AM95">
        <v>2.9510000000000001</v>
      </c>
      <c r="AN95">
        <v>3.0510000000000002</v>
      </c>
    </row>
    <row r="96" spans="2:40">
      <c r="B96" t="s">
        <v>715</v>
      </c>
      <c r="C96" t="s">
        <v>716</v>
      </c>
      <c r="D96" t="str">
        <f t="shared" si="3"/>
        <v>AUD</v>
      </c>
      <c r="F96">
        <v>1.5960000000000001</v>
      </c>
      <c r="G96">
        <v>1.73</v>
      </c>
      <c r="H96">
        <v>3.496</v>
      </c>
      <c r="I96">
        <v>3.496</v>
      </c>
      <c r="J96">
        <v>2.3260000000000001</v>
      </c>
      <c r="K96">
        <v>0.40100000000000002</v>
      </c>
      <c r="L96">
        <v>0.40100000000000002</v>
      </c>
      <c r="M96">
        <v>4.1550000000000002</v>
      </c>
      <c r="N96">
        <v>3.1080000000000001</v>
      </c>
      <c r="O96">
        <v>3.1080000000000001</v>
      </c>
      <c r="P96">
        <v>2.9289999999999998</v>
      </c>
      <c r="Q96">
        <v>2.6429999999999998</v>
      </c>
      <c r="R96">
        <v>2.6429999999999998</v>
      </c>
      <c r="S96">
        <v>11.317</v>
      </c>
      <c r="T96">
        <v>10.587</v>
      </c>
      <c r="U96">
        <v>10.587</v>
      </c>
      <c r="V96">
        <v>11.824999999999999</v>
      </c>
      <c r="W96">
        <v>11.343999999999999</v>
      </c>
      <c r="X96">
        <v>11.343999999999999</v>
      </c>
      <c r="Y96">
        <v>10.927</v>
      </c>
      <c r="Z96">
        <v>9.49</v>
      </c>
      <c r="AA96">
        <v>9.49</v>
      </c>
      <c r="AB96">
        <v>8.4649999999999999</v>
      </c>
      <c r="AC96">
        <v>6.7729999999999997</v>
      </c>
      <c r="AD96">
        <v>6.7729999999999997</v>
      </c>
      <c r="AE96">
        <v>5.5369999999999999</v>
      </c>
      <c r="AF96">
        <v>14.292999999999999</v>
      </c>
      <c r="AG96">
        <v>14.292999999999999</v>
      </c>
      <c r="AH96">
        <v>12.907999999999999</v>
      </c>
      <c r="AI96">
        <v>19.736000000000001</v>
      </c>
      <c r="AJ96">
        <v>19.736000000000001</v>
      </c>
      <c r="AK96">
        <v>20.286000000000001</v>
      </c>
      <c r="AL96">
        <v>23.835999999999999</v>
      </c>
      <c r="AM96">
        <v>23.835999999999999</v>
      </c>
      <c r="AN96">
        <v>25.936</v>
      </c>
    </row>
    <row r="97" spans="1:40">
      <c r="B97" t="s">
        <v>331</v>
      </c>
      <c r="C97" t="s">
        <v>717</v>
      </c>
      <c r="D97" t="str">
        <f t="shared" si="3"/>
        <v>AUD</v>
      </c>
      <c r="F97">
        <v>21.042000000000002</v>
      </c>
      <c r="G97">
        <v>23.856000000000002</v>
      </c>
      <c r="H97">
        <v>25.85</v>
      </c>
      <c r="I97">
        <v>25.85</v>
      </c>
      <c r="J97">
        <v>24.286999999999999</v>
      </c>
      <c r="K97">
        <v>19.734000000000002</v>
      </c>
      <c r="L97">
        <v>19.734000000000002</v>
      </c>
      <c r="M97">
        <v>28.030999999999999</v>
      </c>
      <c r="N97">
        <v>24.864000000000001</v>
      </c>
      <c r="O97">
        <v>24.864000000000001</v>
      </c>
      <c r="P97">
        <v>29.219000000000001</v>
      </c>
      <c r="Q97">
        <v>30.366</v>
      </c>
      <c r="R97">
        <v>30.366</v>
      </c>
      <c r="S97">
        <v>42.058999999999997</v>
      </c>
      <c r="T97">
        <v>46.892000000000003</v>
      </c>
      <c r="U97">
        <v>46.892000000000003</v>
      </c>
      <c r="V97">
        <v>49.075000000000003</v>
      </c>
      <c r="W97">
        <v>63.508000000000003</v>
      </c>
      <c r="X97">
        <v>63.508000000000003</v>
      </c>
      <c r="Y97">
        <v>55.194000000000003</v>
      </c>
      <c r="Z97">
        <v>69.697999999999993</v>
      </c>
      <c r="AA97">
        <v>69.697999999999993</v>
      </c>
      <c r="AB97">
        <v>60.96</v>
      </c>
      <c r="AC97">
        <v>78.459000000000003</v>
      </c>
      <c r="AD97">
        <v>78.459000000000003</v>
      </c>
      <c r="AE97">
        <v>61.594999999999999</v>
      </c>
      <c r="AF97">
        <v>86.302999999999997</v>
      </c>
      <c r="AG97">
        <v>86.302999999999997</v>
      </c>
      <c r="AH97">
        <v>68.414000000000001</v>
      </c>
      <c r="AI97">
        <v>95.906476521738995</v>
      </c>
      <c r="AJ97">
        <v>95.906476521738995</v>
      </c>
      <c r="AK97">
        <v>92.885429223198003</v>
      </c>
      <c r="AL97">
        <v>107.171837391304</v>
      </c>
      <c r="AM97">
        <v>107.171837391304</v>
      </c>
      <c r="AN97">
        <v>117.926361034783</v>
      </c>
    </row>
    <row r="98" spans="1:40">
      <c r="B98" t="s">
        <v>718</v>
      </c>
      <c r="C98" t="s">
        <v>719</v>
      </c>
      <c r="D98" t="str">
        <f t="shared" si="3"/>
        <v>AUD</v>
      </c>
    </row>
    <row r="99" spans="1:40">
      <c r="B99" t="s">
        <v>720</v>
      </c>
      <c r="C99" t="s">
        <v>721</v>
      </c>
      <c r="D99" t="str">
        <f t="shared" si="3"/>
        <v>AUD</v>
      </c>
      <c r="F99">
        <v>11.981999999999999</v>
      </c>
      <c r="G99">
        <v>12.148999999999999</v>
      </c>
      <c r="H99">
        <v>15.622</v>
      </c>
      <c r="I99">
        <v>15.622</v>
      </c>
      <c r="J99">
        <v>13.927</v>
      </c>
      <c r="K99">
        <v>17.96</v>
      </c>
      <c r="L99">
        <v>17.96</v>
      </c>
      <c r="M99">
        <v>17.556999999999999</v>
      </c>
      <c r="N99">
        <v>21.334</v>
      </c>
      <c r="O99">
        <v>21.334</v>
      </c>
      <c r="P99">
        <v>20.734999999999999</v>
      </c>
      <c r="Q99">
        <v>24.728000000000002</v>
      </c>
      <c r="R99">
        <v>24.728000000000002</v>
      </c>
      <c r="S99">
        <v>23.718</v>
      </c>
      <c r="T99">
        <v>30.15</v>
      </c>
      <c r="U99">
        <v>30.15</v>
      </c>
      <c r="V99">
        <v>29.855</v>
      </c>
      <c r="W99">
        <v>35.343000000000004</v>
      </c>
      <c r="X99">
        <v>35.343000000000004</v>
      </c>
      <c r="Y99">
        <v>36.561</v>
      </c>
      <c r="Z99">
        <v>46.951000000000001</v>
      </c>
      <c r="AA99">
        <v>46.951000000000001</v>
      </c>
      <c r="AB99">
        <v>48.597999999999999</v>
      </c>
      <c r="AC99">
        <v>62.808</v>
      </c>
      <c r="AD99">
        <v>61.957000000000001</v>
      </c>
      <c r="AE99">
        <v>63.332000000000001</v>
      </c>
      <c r="AF99">
        <v>74.043999999999997</v>
      </c>
      <c r="AG99">
        <v>73.549000000000007</v>
      </c>
      <c r="AH99">
        <v>77.117000000000004</v>
      </c>
      <c r="AI99">
        <v>92.318568995000007</v>
      </c>
      <c r="AJ99">
        <v>92.883568995000005</v>
      </c>
      <c r="AK99">
        <v>96.083775260916994</v>
      </c>
      <c r="AL99">
        <v>113.959160238707</v>
      </c>
      <c r="AM99">
        <v>113.959160238707</v>
      </c>
      <c r="AN99">
        <v>136.06717021730699</v>
      </c>
    </row>
    <row r="100" spans="1:40">
      <c r="B100" t="s">
        <v>586</v>
      </c>
      <c r="C100" t="s">
        <v>722</v>
      </c>
      <c r="D100" t="str">
        <f t="shared" si="3"/>
        <v>AUD</v>
      </c>
    </row>
    <row r="101" spans="1:40">
      <c r="B101" t="s">
        <v>723</v>
      </c>
      <c r="C101" t="s">
        <v>724</v>
      </c>
      <c r="D101" t="str">
        <f t="shared" si="3"/>
        <v>AUD</v>
      </c>
      <c r="F101">
        <v>11.981999999999999</v>
      </c>
      <c r="G101">
        <v>12.148999999999999</v>
      </c>
      <c r="H101">
        <v>15.622</v>
      </c>
      <c r="I101">
        <v>15.622</v>
      </c>
      <c r="J101">
        <v>13.927</v>
      </c>
      <c r="K101">
        <v>17.96</v>
      </c>
      <c r="L101">
        <v>17.96</v>
      </c>
      <c r="M101">
        <v>17.556999999999999</v>
      </c>
      <c r="N101">
        <v>21.334</v>
      </c>
      <c r="O101">
        <v>21.334</v>
      </c>
      <c r="P101">
        <v>20.734999999999999</v>
      </c>
      <c r="Q101">
        <v>24.728000000000002</v>
      </c>
      <c r="R101">
        <v>24.728000000000002</v>
      </c>
      <c r="S101">
        <v>23.718</v>
      </c>
      <c r="T101">
        <v>30.15</v>
      </c>
      <c r="U101">
        <v>30.15</v>
      </c>
      <c r="V101">
        <v>29.855</v>
      </c>
      <c r="W101">
        <v>35.343000000000004</v>
      </c>
      <c r="X101">
        <v>35.343000000000004</v>
      </c>
      <c r="Y101">
        <v>36.561</v>
      </c>
      <c r="Z101">
        <v>46.951000000000001</v>
      </c>
      <c r="AA101">
        <v>46.951000000000001</v>
      </c>
      <c r="AB101">
        <v>48.597999999999999</v>
      </c>
      <c r="AC101">
        <v>61.957000000000001</v>
      </c>
      <c r="AD101">
        <v>61.957000000000001</v>
      </c>
      <c r="AE101">
        <v>63.332000000000001</v>
      </c>
      <c r="AF101">
        <v>73.549000000000007</v>
      </c>
      <c r="AG101">
        <v>73.549000000000007</v>
      </c>
      <c r="AH101">
        <v>77.117000000000004</v>
      </c>
      <c r="AI101">
        <v>92.883568995000005</v>
      </c>
      <c r="AJ101">
        <v>92.883568995000005</v>
      </c>
      <c r="AK101">
        <v>96.083775260916994</v>
      </c>
      <c r="AL101">
        <v>113.959160238707</v>
      </c>
      <c r="AM101">
        <v>113.959160238707</v>
      </c>
      <c r="AN101">
        <v>136.06717021730699</v>
      </c>
    </row>
    <row r="102" spans="1:40">
      <c r="B102" t="s">
        <v>725</v>
      </c>
      <c r="C102" t="s">
        <v>726</v>
      </c>
      <c r="D102" t="str">
        <f t="shared" si="3"/>
        <v>AUD</v>
      </c>
      <c r="F102">
        <v>33.024000000000001</v>
      </c>
      <c r="G102">
        <v>36.005000000000003</v>
      </c>
      <c r="H102">
        <v>41.472000000000001</v>
      </c>
      <c r="I102">
        <v>41.472000000000001</v>
      </c>
      <c r="J102">
        <v>38.213999999999999</v>
      </c>
      <c r="K102">
        <v>37.694000000000003</v>
      </c>
      <c r="L102">
        <v>37.694000000000003</v>
      </c>
      <c r="M102">
        <v>45.588000000000001</v>
      </c>
      <c r="N102">
        <v>46.198</v>
      </c>
      <c r="O102">
        <v>46.198</v>
      </c>
      <c r="P102">
        <v>49.954000000000001</v>
      </c>
      <c r="Q102">
        <v>55.094000000000001</v>
      </c>
      <c r="R102">
        <v>55.094000000000001</v>
      </c>
      <c r="S102">
        <v>65.777000000000001</v>
      </c>
      <c r="T102">
        <v>77.042000000000002</v>
      </c>
      <c r="U102">
        <v>77.042000000000002</v>
      </c>
      <c r="V102">
        <v>78.930000000000007</v>
      </c>
      <c r="W102">
        <v>98.850999999999999</v>
      </c>
      <c r="X102">
        <v>98.850999999999999</v>
      </c>
      <c r="Y102">
        <v>91.754999999999995</v>
      </c>
      <c r="Z102">
        <v>116.649</v>
      </c>
      <c r="AA102">
        <v>116.649</v>
      </c>
      <c r="AB102">
        <v>109.55800000000001</v>
      </c>
      <c r="AC102">
        <v>140.416</v>
      </c>
      <c r="AD102">
        <v>140.416</v>
      </c>
      <c r="AE102">
        <v>124.92700000000001</v>
      </c>
      <c r="AF102">
        <v>159.852</v>
      </c>
      <c r="AG102">
        <v>159.852</v>
      </c>
      <c r="AH102">
        <v>145.53100000000001</v>
      </c>
      <c r="AI102">
        <v>188.79004551673901</v>
      </c>
      <c r="AJ102">
        <v>188.79004551673901</v>
      </c>
      <c r="AK102">
        <v>188.96920448411501</v>
      </c>
      <c r="AL102">
        <v>221.130997630011</v>
      </c>
      <c r="AM102">
        <v>221.130997630011</v>
      </c>
      <c r="AN102">
        <v>253.99353125209001</v>
      </c>
    </row>
    <row r="103" spans="1:40">
      <c r="B103" t="s">
        <v>204</v>
      </c>
      <c r="C103" t="s">
        <v>279</v>
      </c>
      <c r="D103" t="str">
        <f t="shared" si="3"/>
        <v>AUD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-11.074999999999999</v>
      </c>
      <c r="O103">
        <v>-11.074999999999999</v>
      </c>
      <c r="P103">
        <v>-11.27</v>
      </c>
      <c r="Q103">
        <v>-10.942</v>
      </c>
      <c r="R103">
        <v>-10.942</v>
      </c>
      <c r="S103">
        <v>-10.702</v>
      </c>
      <c r="T103">
        <v>-10.237</v>
      </c>
      <c r="U103">
        <v>-10.237</v>
      </c>
      <c r="V103">
        <v>-9.6630000000000003</v>
      </c>
      <c r="W103">
        <v>-10.95</v>
      </c>
      <c r="X103">
        <v>-10.95</v>
      </c>
      <c r="Y103">
        <v>-10.858000000000001</v>
      </c>
      <c r="Z103">
        <v>-10.372</v>
      </c>
      <c r="AA103">
        <v>-10.372</v>
      </c>
      <c r="AB103">
        <v>-9.9559999999999995</v>
      </c>
      <c r="AC103">
        <v>-9.9559999999999995</v>
      </c>
      <c r="AD103">
        <v>-10.807</v>
      </c>
      <c r="AE103">
        <v>-9.7970000000000006</v>
      </c>
      <c r="AF103">
        <v>-9.7970000000000006</v>
      </c>
      <c r="AG103">
        <v>-10.292</v>
      </c>
      <c r="AH103">
        <v>-10.856999999999999</v>
      </c>
      <c r="AI103">
        <v>-10.856999999999999</v>
      </c>
      <c r="AJ103">
        <v>-10.292</v>
      </c>
      <c r="AK103">
        <v>-10.292</v>
      </c>
      <c r="AL103">
        <v>-10.292</v>
      </c>
      <c r="AM103">
        <v>-10.292</v>
      </c>
      <c r="AN103">
        <v>-10.292</v>
      </c>
    </row>
    <row r="104" spans="1:40">
      <c r="B104" t="s">
        <v>205</v>
      </c>
      <c r="C104" t="s">
        <v>280</v>
      </c>
      <c r="D104" t="str">
        <f t="shared" si="3"/>
        <v>AUD</v>
      </c>
      <c r="F104">
        <v>10.381</v>
      </c>
      <c r="G104">
        <v>9.3620000000000001</v>
      </c>
      <c r="H104">
        <v>12.574</v>
      </c>
      <c r="I104">
        <v>12.574</v>
      </c>
      <c r="J104">
        <v>10.683999999999999</v>
      </c>
      <c r="K104">
        <v>14.329000000000001</v>
      </c>
      <c r="L104">
        <v>14.329000000000001</v>
      </c>
      <c r="M104">
        <v>13.51</v>
      </c>
      <c r="N104">
        <v>28.489000000000001</v>
      </c>
      <c r="O104">
        <v>28.489000000000001</v>
      </c>
      <c r="P104">
        <v>28.010999999999999</v>
      </c>
      <c r="Q104">
        <v>31.280999999999999</v>
      </c>
      <c r="R104">
        <v>31.280999999999999</v>
      </c>
      <c r="S104">
        <v>29.986000000000001</v>
      </c>
      <c r="T104">
        <v>35.393000000000001</v>
      </c>
      <c r="U104">
        <v>35.393000000000001</v>
      </c>
      <c r="V104">
        <v>34.07</v>
      </c>
      <c r="W104">
        <v>40.844999999999999</v>
      </c>
      <c r="X104">
        <v>40.844999999999999</v>
      </c>
      <c r="Y104">
        <v>41.521000000000001</v>
      </c>
      <c r="Z104">
        <v>50.38</v>
      </c>
      <c r="AA104">
        <v>50.38</v>
      </c>
      <c r="AB104">
        <v>50.566000000000003</v>
      </c>
      <c r="AC104">
        <v>61.454000000000001</v>
      </c>
      <c r="AD104">
        <v>61.454000000000001</v>
      </c>
      <c r="AE104">
        <v>61.756</v>
      </c>
      <c r="AF104">
        <v>72.119</v>
      </c>
      <c r="AG104">
        <v>72.119</v>
      </c>
      <c r="AH104">
        <v>75.694999999999993</v>
      </c>
      <c r="AI104">
        <v>91.850568995000003</v>
      </c>
      <c r="AJ104">
        <v>91.850568995000003</v>
      </c>
      <c r="AK104">
        <v>95.050775260917007</v>
      </c>
      <c r="AL104">
        <v>112.926160238707</v>
      </c>
      <c r="AM104">
        <v>112.926160238707</v>
      </c>
      <c r="AN104">
        <v>135.03417021730701</v>
      </c>
    </row>
    <row r="105" spans="1:40">
      <c r="A105" t="s">
        <v>729</v>
      </c>
    </row>
    <row r="106" spans="1:40">
      <c r="B106" t="s">
        <v>730</v>
      </c>
      <c r="C106" t="s">
        <v>260</v>
      </c>
      <c r="D106" t="str">
        <f t="shared" ref="D106:D138" si="4">L_CURRENCY_ISSR_208017981_REP</f>
        <v>AUD</v>
      </c>
    </row>
    <row r="107" spans="1:40">
      <c r="B107" t="s">
        <v>731</v>
      </c>
      <c r="C107" t="s">
        <v>261</v>
      </c>
      <c r="D107" t="str">
        <f t="shared" si="4"/>
        <v>AUD</v>
      </c>
    </row>
    <row r="108" spans="1:40">
      <c r="B108" t="s">
        <v>732</v>
      </c>
      <c r="C108" t="s">
        <v>130</v>
      </c>
      <c r="D108" t="str">
        <f t="shared" si="4"/>
        <v>AUD</v>
      </c>
    </row>
    <row r="109" spans="1:40">
      <c r="B109" t="s">
        <v>733</v>
      </c>
      <c r="C109" t="s">
        <v>734</v>
      </c>
      <c r="D109" t="str">
        <f t="shared" si="4"/>
        <v>AUD</v>
      </c>
    </row>
    <row r="110" spans="1:40">
      <c r="B110" t="s">
        <v>735</v>
      </c>
      <c r="C110" t="s">
        <v>262</v>
      </c>
      <c r="D110" t="str">
        <f t="shared" si="4"/>
        <v>AUD</v>
      </c>
    </row>
    <row r="111" spans="1:40">
      <c r="B111" t="s">
        <v>736</v>
      </c>
      <c r="C111" t="s">
        <v>263</v>
      </c>
      <c r="D111" t="str">
        <f t="shared" si="4"/>
        <v>AUD</v>
      </c>
    </row>
    <row r="112" spans="1:40">
      <c r="B112" t="s">
        <v>737</v>
      </c>
      <c r="C112" t="s">
        <v>264</v>
      </c>
      <c r="D112" t="str">
        <f t="shared" si="4"/>
        <v>AUD</v>
      </c>
    </row>
    <row r="113" spans="2:4">
      <c r="B113" t="s">
        <v>193</v>
      </c>
      <c r="C113" t="s">
        <v>265</v>
      </c>
      <c r="D113" t="str">
        <f t="shared" si="4"/>
        <v>AUD</v>
      </c>
    </row>
    <row r="114" spans="2:4">
      <c r="B114" t="s">
        <v>738</v>
      </c>
      <c r="C114" t="s">
        <v>266</v>
      </c>
      <c r="D114" t="str">
        <f t="shared" si="4"/>
        <v>AUD</v>
      </c>
    </row>
    <row r="115" spans="2:4">
      <c r="B115" t="s">
        <v>739</v>
      </c>
      <c r="C115" t="s">
        <v>267</v>
      </c>
      <c r="D115" t="str">
        <f t="shared" si="4"/>
        <v>AUD</v>
      </c>
    </row>
    <row r="116" spans="2:4">
      <c r="B116" t="s">
        <v>740</v>
      </c>
      <c r="C116" t="s">
        <v>131</v>
      </c>
      <c r="D116" t="str">
        <f t="shared" si="4"/>
        <v>AUD</v>
      </c>
    </row>
    <row r="117" spans="2:4">
      <c r="B117" t="s">
        <v>741</v>
      </c>
      <c r="C117" t="s">
        <v>742</v>
      </c>
      <c r="D117" t="str">
        <f t="shared" si="4"/>
        <v>AUD</v>
      </c>
    </row>
    <row r="118" spans="2:4">
      <c r="B118" t="s">
        <v>743</v>
      </c>
      <c r="C118" t="s">
        <v>132</v>
      </c>
      <c r="D118" t="str">
        <f t="shared" si="4"/>
        <v>AUD</v>
      </c>
    </row>
    <row r="119" spans="2:4">
      <c r="B119" t="s">
        <v>744</v>
      </c>
      <c r="C119" t="s">
        <v>133</v>
      </c>
      <c r="D119" t="str">
        <f t="shared" si="4"/>
        <v>AUD</v>
      </c>
    </row>
    <row r="120" spans="2:4">
      <c r="B120" t="s">
        <v>106</v>
      </c>
      <c r="C120" t="s">
        <v>134</v>
      </c>
      <c r="D120" t="str">
        <f t="shared" si="4"/>
        <v>AUD</v>
      </c>
    </row>
    <row r="121" spans="2:4">
      <c r="B121" t="s">
        <v>745</v>
      </c>
      <c r="C121" t="s">
        <v>135</v>
      </c>
      <c r="D121" t="str">
        <f t="shared" si="4"/>
        <v>AUD</v>
      </c>
    </row>
    <row r="122" spans="2:4">
      <c r="B122" t="s">
        <v>746</v>
      </c>
      <c r="C122" t="s">
        <v>747</v>
      </c>
      <c r="D122" t="str">
        <f t="shared" si="4"/>
        <v>AUD</v>
      </c>
    </row>
    <row r="123" spans="2:4">
      <c r="B123" t="s">
        <v>197</v>
      </c>
      <c r="C123" t="s">
        <v>268</v>
      </c>
      <c r="D123" t="str">
        <f t="shared" si="4"/>
        <v>AUD</v>
      </c>
    </row>
    <row r="124" spans="2:4">
      <c r="B124" t="s">
        <v>748</v>
      </c>
      <c r="C124" t="s">
        <v>270</v>
      </c>
      <c r="D124" t="str">
        <f t="shared" si="4"/>
        <v>AUD</v>
      </c>
    </row>
    <row r="125" spans="2:4">
      <c r="B125" t="s">
        <v>198</v>
      </c>
      <c r="C125" t="s">
        <v>269</v>
      </c>
      <c r="D125" t="str">
        <f t="shared" si="4"/>
        <v>AUD</v>
      </c>
    </row>
    <row r="126" spans="2:4">
      <c r="B126" t="s">
        <v>199</v>
      </c>
      <c r="C126" t="s">
        <v>271</v>
      </c>
      <c r="D126" t="str">
        <f t="shared" si="4"/>
        <v>AUD</v>
      </c>
    </row>
    <row r="127" spans="2:4">
      <c r="B127" t="s">
        <v>749</v>
      </c>
      <c r="C127" t="s">
        <v>272</v>
      </c>
      <c r="D127" t="str">
        <f t="shared" si="4"/>
        <v>AUD</v>
      </c>
    </row>
    <row r="128" spans="2:4">
      <c r="B128" t="s">
        <v>750</v>
      </c>
      <c r="C128" t="s">
        <v>136</v>
      </c>
      <c r="D128" t="str">
        <f t="shared" si="4"/>
        <v>AUD</v>
      </c>
    </row>
    <row r="129" spans="1:40">
      <c r="B129" t="s">
        <v>751</v>
      </c>
      <c r="C129" t="s">
        <v>752</v>
      </c>
      <c r="D129" t="str">
        <f t="shared" si="4"/>
        <v>AUD</v>
      </c>
    </row>
    <row r="130" spans="1:40">
      <c r="B130" t="s">
        <v>753</v>
      </c>
      <c r="C130" t="s">
        <v>273</v>
      </c>
      <c r="D130" t="str">
        <f t="shared" si="4"/>
        <v>AUD</v>
      </c>
    </row>
    <row r="131" spans="1:40">
      <c r="B131" t="s">
        <v>754</v>
      </c>
      <c r="C131" t="s">
        <v>274</v>
      </c>
      <c r="D131" t="str">
        <f t="shared" si="4"/>
        <v>AUD</v>
      </c>
    </row>
    <row r="132" spans="1:40">
      <c r="B132" t="s">
        <v>755</v>
      </c>
      <c r="C132" t="s">
        <v>275</v>
      </c>
      <c r="D132" t="str">
        <f t="shared" si="4"/>
        <v>AUD</v>
      </c>
    </row>
    <row r="133" spans="1:40">
      <c r="B133" t="s">
        <v>107</v>
      </c>
      <c r="C133" t="s">
        <v>137</v>
      </c>
      <c r="D133" t="str">
        <f t="shared" si="4"/>
        <v>AUD</v>
      </c>
    </row>
    <row r="134" spans="1:40">
      <c r="B134" t="s">
        <v>756</v>
      </c>
      <c r="C134" t="s">
        <v>138</v>
      </c>
      <c r="D134" t="str">
        <f t="shared" si="4"/>
        <v>AUD</v>
      </c>
    </row>
    <row r="135" spans="1:40">
      <c r="B135" t="s">
        <v>757</v>
      </c>
      <c r="C135" t="s">
        <v>758</v>
      </c>
      <c r="D135" t="str">
        <f t="shared" si="4"/>
        <v>AUD</v>
      </c>
    </row>
    <row r="136" spans="1:40">
      <c r="B136" t="s">
        <v>203</v>
      </c>
      <c r="C136" t="s">
        <v>278</v>
      </c>
      <c r="D136" t="str">
        <f t="shared" si="4"/>
        <v>AUD</v>
      </c>
    </row>
    <row r="137" spans="1:40">
      <c r="B137" t="s">
        <v>201</v>
      </c>
      <c r="C137" t="s">
        <v>276</v>
      </c>
      <c r="D137" t="str">
        <f t="shared" si="4"/>
        <v>AUD</v>
      </c>
    </row>
    <row r="138" spans="1:40">
      <c r="B138" t="s">
        <v>202</v>
      </c>
      <c r="C138" t="s">
        <v>277</v>
      </c>
      <c r="D138" t="str">
        <f t="shared" si="4"/>
        <v>AUD</v>
      </c>
    </row>
    <row r="139" spans="1:40">
      <c r="A139" t="s">
        <v>761</v>
      </c>
    </row>
    <row r="140" spans="1:40">
      <c r="B140" t="s">
        <v>968</v>
      </c>
      <c r="C140" t="s">
        <v>969</v>
      </c>
    </row>
    <row r="141" spans="1:40">
      <c r="B141" t="s">
        <v>970</v>
      </c>
      <c r="C141" t="s">
        <v>971</v>
      </c>
    </row>
    <row r="142" spans="1:40">
      <c r="B142" t="s">
        <v>972</v>
      </c>
      <c r="C142" t="s">
        <v>973</v>
      </c>
    </row>
    <row r="143" spans="1:40">
      <c r="B143" t="s">
        <v>974</v>
      </c>
      <c r="C143" t="s">
        <v>975</v>
      </c>
    </row>
    <row r="144" spans="1:40">
      <c r="B144" t="s">
        <v>353</v>
      </c>
      <c r="C144" t="s">
        <v>244</v>
      </c>
      <c r="D144" t="str">
        <f>L_CURRENCY_ISSR_208017981_REP</f>
        <v>AUD</v>
      </c>
      <c r="F144">
        <v>-14.968999999999999</v>
      </c>
      <c r="G144">
        <v>-17.254999999999999</v>
      </c>
      <c r="H144">
        <v>-20.245000000000001</v>
      </c>
      <c r="I144">
        <v>-20.245000000000001</v>
      </c>
      <c r="J144">
        <v>-19.832000000000001</v>
      </c>
      <c r="K144">
        <v>-12.468</v>
      </c>
      <c r="L144">
        <v>-12.468</v>
      </c>
      <c r="M144">
        <v>-10.724</v>
      </c>
      <c r="N144">
        <v>-16.852</v>
      </c>
      <c r="O144">
        <v>-16.852</v>
      </c>
      <c r="P144">
        <v>-20.494</v>
      </c>
      <c r="Q144">
        <v>-21.49</v>
      </c>
      <c r="R144">
        <v>-21.49</v>
      </c>
      <c r="S144">
        <v>-16.754000000000001</v>
      </c>
      <c r="T144">
        <v>-22.620999999999999</v>
      </c>
      <c r="U144">
        <v>-22.620999999999999</v>
      </c>
      <c r="V144">
        <v>-20.998000000000001</v>
      </c>
      <c r="W144">
        <v>-38.302999999999997</v>
      </c>
      <c r="X144">
        <v>-38.302999999999997</v>
      </c>
      <c r="Y144">
        <v>-14.837999999999999</v>
      </c>
      <c r="Z144">
        <v>-36.862000000000002</v>
      </c>
      <c r="AA144">
        <v>-36.862000000000002</v>
      </c>
      <c r="AB144">
        <v>-32.988999999999997</v>
      </c>
      <c r="AC144">
        <v>-54.576999999999998</v>
      </c>
      <c r="AD144">
        <v>-54.576999999999998</v>
      </c>
      <c r="AE144">
        <v>-46.332000000000001</v>
      </c>
      <c r="AF144">
        <v>-56.601999999999997</v>
      </c>
      <c r="AG144">
        <v>-56.601999999999997</v>
      </c>
      <c r="AH144">
        <v>-52.438000000000002</v>
      </c>
      <c r="AI144">
        <v>-64.725510359129999</v>
      </c>
      <c r="AJ144">
        <v>-64.725510359129999</v>
      </c>
      <c r="AK144">
        <v>-58.826627398202</v>
      </c>
      <c r="AL144">
        <v>-78.801608050541006</v>
      </c>
      <c r="AM144">
        <v>-78.801608050541006</v>
      </c>
      <c r="AN144">
        <v>-99.266553823341994</v>
      </c>
    </row>
    <row r="145" spans="1:40">
      <c r="B145" t="s">
        <v>1026</v>
      </c>
      <c r="C145" t="s">
        <v>762</v>
      </c>
      <c r="D145" t="str">
        <f>L_CURRENCY_ISSR_208017981_REP</f>
        <v>AUD</v>
      </c>
    </row>
    <row r="146" spans="1:40">
      <c r="B146" t="s">
        <v>329</v>
      </c>
      <c r="C146" t="s">
        <v>763</v>
      </c>
      <c r="D146" t="str">
        <f>L_CURRENCY_ISSR_208017981_REP</f>
        <v>AUD</v>
      </c>
    </row>
    <row r="147" spans="1:40">
      <c r="B147" t="s">
        <v>764</v>
      </c>
      <c r="C147" t="s">
        <v>765</v>
      </c>
      <c r="D147" t="str">
        <f>L_CURRENCY_ISSR_208017981_REP</f>
        <v>AUD</v>
      </c>
    </row>
    <row r="148" spans="1:40">
      <c r="B148" t="s">
        <v>766</v>
      </c>
      <c r="C148" t="s">
        <v>767</v>
      </c>
      <c r="D148" t="str">
        <f>L_CURRENCY_ISSR_208017981_REP</f>
        <v>AUD</v>
      </c>
    </row>
    <row r="149" spans="1:40">
      <c r="B149" t="s">
        <v>768</v>
      </c>
      <c r="C149" t="s">
        <v>769</v>
      </c>
    </row>
    <row r="150" spans="1:40">
      <c r="B150" t="s">
        <v>770</v>
      </c>
      <c r="C150" t="s">
        <v>771</v>
      </c>
      <c r="D150" t="str">
        <f>L_CURRENCY_ISSR_208017981_REP</f>
        <v>AUD</v>
      </c>
    </row>
    <row r="151" spans="1:40">
      <c r="B151" t="s">
        <v>772</v>
      </c>
      <c r="C151" t="s">
        <v>773</v>
      </c>
      <c r="D151" t="str">
        <f>L_CURRENCY_ISSR_208017981_REP</f>
        <v>AUD</v>
      </c>
    </row>
    <row r="152" spans="1:40">
      <c r="B152" t="s">
        <v>774</v>
      </c>
      <c r="C152" t="s">
        <v>775</v>
      </c>
      <c r="D152" t="str">
        <f>L_CURRENCY_ISSR_208017981_REP</f>
        <v>AUD</v>
      </c>
    </row>
    <row r="153" spans="1:40">
      <c r="B153" t="s">
        <v>776</v>
      </c>
      <c r="C153" t="s">
        <v>777</v>
      </c>
      <c r="D153" t="str">
        <f>L_CURRENCY_ISSR_208017981_REP</f>
        <v>AUD</v>
      </c>
    </row>
    <row r="154" spans="1:40">
      <c r="B154" t="s">
        <v>778</v>
      </c>
      <c r="C154" t="s">
        <v>779</v>
      </c>
      <c r="D154" t="str">
        <f>L_CURRENCY_ISSR_208017981_REP</f>
        <v>AUD</v>
      </c>
    </row>
    <row r="155" spans="1:40">
      <c r="B155" t="s">
        <v>780</v>
      </c>
      <c r="C155" t="s">
        <v>781</v>
      </c>
    </row>
    <row r="156" spans="1:40">
      <c r="B156" t="s">
        <v>586</v>
      </c>
      <c r="C156" t="s">
        <v>782</v>
      </c>
      <c r="D156" t="str">
        <f>L_CURRENCY_ISSR_208017981_REP</f>
        <v>AUD</v>
      </c>
    </row>
    <row r="157" spans="1:40">
      <c r="B157" t="s">
        <v>1011</v>
      </c>
      <c r="C157" t="s">
        <v>1012</v>
      </c>
      <c r="D157" t="str">
        <f>L_CURRENCY_ISSR_208017981_REP</f>
        <v>AUD</v>
      </c>
    </row>
    <row r="158" spans="1:40">
      <c r="A158" t="s">
        <v>783</v>
      </c>
    </row>
    <row r="159" spans="1:40">
      <c r="B159" t="s">
        <v>785</v>
      </c>
      <c r="C159" t="s">
        <v>786</v>
      </c>
      <c r="D159" t="str">
        <f t="shared" ref="D159:D176" si="5">L_CURRENCY_ISSR_208017981_REP</f>
        <v>AUD</v>
      </c>
    </row>
    <row r="160" spans="1:40">
      <c r="B160" t="s">
        <v>787</v>
      </c>
      <c r="C160" t="s">
        <v>788</v>
      </c>
      <c r="D160" t="str">
        <f t="shared" si="5"/>
        <v>AUD</v>
      </c>
      <c r="H160">
        <v>1.2999999999999999E-2</v>
      </c>
      <c r="I160">
        <v>1.2999999999999999E-2</v>
      </c>
      <c r="J160">
        <v>0.23400000000000001</v>
      </c>
      <c r="K160">
        <v>0.68200000000000005</v>
      </c>
      <c r="L160">
        <v>0.91600000000000004</v>
      </c>
      <c r="M160">
        <v>0.10299999999999999</v>
      </c>
      <c r="N160">
        <v>0.55100000000000005</v>
      </c>
      <c r="O160">
        <v>0.65400000000000003</v>
      </c>
      <c r="P160">
        <v>0.497</v>
      </c>
      <c r="Q160">
        <v>1.042</v>
      </c>
      <c r="R160">
        <v>1.5389999999999999</v>
      </c>
      <c r="S160">
        <v>1.4139999999999999</v>
      </c>
      <c r="T160">
        <v>1.429</v>
      </c>
      <c r="U160">
        <v>2.843</v>
      </c>
      <c r="V160">
        <v>1.3720000000000001</v>
      </c>
      <c r="W160">
        <v>1.73</v>
      </c>
      <c r="X160">
        <v>3.1019999999999999</v>
      </c>
      <c r="Y160">
        <v>2.3610000000000002</v>
      </c>
      <c r="Z160">
        <v>2.4239999999999999</v>
      </c>
      <c r="AA160">
        <v>4.7850000000000001</v>
      </c>
      <c r="AB160">
        <v>2.407</v>
      </c>
      <c r="AC160">
        <v>3.117</v>
      </c>
      <c r="AD160">
        <v>5.524</v>
      </c>
      <c r="AE160">
        <v>2.37</v>
      </c>
      <c r="AF160">
        <v>1.1439999999999999</v>
      </c>
      <c r="AG160">
        <v>3.5139999999999998</v>
      </c>
      <c r="AH160">
        <v>3.1040000000000001</v>
      </c>
      <c r="AI160">
        <v>3.7061145</v>
      </c>
      <c r="AJ160">
        <v>7.2992290000000004</v>
      </c>
      <c r="AK160">
        <v>5.1459312500000003</v>
      </c>
      <c r="AL160">
        <v>5.1459312500000003</v>
      </c>
      <c r="AM160">
        <v>10.291862500000001</v>
      </c>
      <c r="AN160">
        <v>13.48580347</v>
      </c>
    </row>
    <row r="161" spans="2:40">
      <c r="B161" t="s">
        <v>337</v>
      </c>
      <c r="C161" t="s">
        <v>789</v>
      </c>
      <c r="D161" t="str">
        <f t="shared" si="5"/>
        <v>AUD</v>
      </c>
      <c r="F161">
        <v>9.8659999999999997</v>
      </c>
      <c r="G161">
        <v>3.4119999999999999</v>
      </c>
      <c r="H161">
        <v>-1.7769999999999999</v>
      </c>
      <c r="I161">
        <v>1.635</v>
      </c>
      <c r="J161">
        <v>3.9489999999999998</v>
      </c>
      <c r="K161">
        <v>-3.9889999999999999</v>
      </c>
      <c r="L161">
        <v>-0.04</v>
      </c>
      <c r="M161">
        <v>-1.1950000000000001</v>
      </c>
      <c r="N161">
        <v>-1.4910000000000001</v>
      </c>
      <c r="O161">
        <v>-2.6859999999999999</v>
      </c>
      <c r="P161">
        <v>7.8959999999999999</v>
      </c>
      <c r="Q161">
        <v>-1.2889999999999999</v>
      </c>
      <c r="R161">
        <v>6.6070000000000002</v>
      </c>
      <c r="S161">
        <v>3.117</v>
      </c>
      <c r="T161">
        <v>0.90700000000000003</v>
      </c>
      <c r="U161">
        <v>4.024</v>
      </c>
      <c r="V161">
        <v>3.4260000000000002</v>
      </c>
      <c r="W161">
        <v>10.023</v>
      </c>
      <c r="X161">
        <v>13.449</v>
      </c>
      <c r="Y161">
        <v>-5.6520000000000001</v>
      </c>
      <c r="Z161">
        <v>8.4930000000000003</v>
      </c>
      <c r="AA161">
        <v>2.8410000000000002</v>
      </c>
      <c r="AB161">
        <v>-7.399</v>
      </c>
      <c r="AC161">
        <v>14.753</v>
      </c>
      <c r="AD161">
        <v>7.3540000000000001</v>
      </c>
      <c r="AE161">
        <v>-7.2690000000000001</v>
      </c>
      <c r="AF161">
        <v>6.9960000000000004</v>
      </c>
      <c r="AG161">
        <v>-0.27300000000000002</v>
      </c>
      <c r="AH161">
        <v>-4.0890000000000004</v>
      </c>
      <c r="AI161">
        <v>7.5722773641299996</v>
      </c>
      <c r="AJ161">
        <v>3.4832773641300001</v>
      </c>
      <c r="AK161">
        <v>-4.5893273518450002</v>
      </c>
      <c r="AL161">
        <v>10.624283799549</v>
      </c>
      <c r="AM161">
        <v>6.0349564477040003</v>
      </c>
      <c r="AN161">
        <v>7.3546285242009999</v>
      </c>
    </row>
    <row r="162" spans="2:40">
      <c r="B162" t="s">
        <v>790</v>
      </c>
      <c r="C162" t="s">
        <v>791</v>
      </c>
      <c r="D162" t="str">
        <f t="shared" si="5"/>
        <v>AUD</v>
      </c>
      <c r="F162">
        <v>-10.837999999999999</v>
      </c>
      <c r="G162">
        <v>0.24199999999999999</v>
      </c>
      <c r="H162">
        <v>1.1739999999999999</v>
      </c>
      <c r="I162">
        <v>1.4159999999999999</v>
      </c>
      <c r="J162">
        <v>-2.6</v>
      </c>
      <c r="K162">
        <v>-5.9489999999999998</v>
      </c>
      <c r="L162">
        <v>-8.5489999999999995</v>
      </c>
      <c r="M162">
        <v>2.3130000000000002</v>
      </c>
      <c r="N162">
        <v>-0.76300000000000001</v>
      </c>
      <c r="O162">
        <v>1.55</v>
      </c>
      <c r="P162">
        <v>-4.8259999999999996</v>
      </c>
      <c r="Q162">
        <v>-1.4890000000000001</v>
      </c>
      <c r="R162">
        <v>-6.3150000000000004</v>
      </c>
      <c r="S162">
        <v>5.5730000000000004</v>
      </c>
      <c r="T162">
        <v>-0.33400000000000002</v>
      </c>
      <c r="U162">
        <v>5.2389999999999999</v>
      </c>
      <c r="V162">
        <v>-1.0009999999999999</v>
      </c>
      <c r="W162">
        <v>-0.53100000000000003</v>
      </c>
      <c r="X162">
        <v>-1.532</v>
      </c>
      <c r="Y162">
        <v>-2.6440000000000001</v>
      </c>
      <c r="Z162">
        <v>-1.125</v>
      </c>
      <c r="AA162">
        <v>-3.7690000000000001</v>
      </c>
      <c r="AB162">
        <v>-2.29</v>
      </c>
      <c r="AC162">
        <v>-2.0859999999999999</v>
      </c>
      <c r="AD162">
        <v>-4.3760000000000003</v>
      </c>
      <c r="AE162">
        <v>-1.0049999999999999</v>
      </c>
      <c r="AF162">
        <v>-1.956</v>
      </c>
      <c r="AG162">
        <v>-2.9609999999999999</v>
      </c>
      <c r="AH162">
        <v>5.7450000000000001</v>
      </c>
      <c r="AI162">
        <v>-9.9828428500000008</v>
      </c>
      <c r="AJ162">
        <v>-4.2378428499999998</v>
      </c>
      <c r="AK162">
        <v>-2.1275143949999999</v>
      </c>
      <c r="AL162">
        <v>-3.18412807221</v>
      </c>
      <c r="AM162">
        <v>-5.3116424672100004</v>
      </c>
      <c r="AN162">
        <v>-6.7883822827160003</v>
      </c>
    </row>
    <row r="163" spans="2:40">
      <c r="B163" t="s">
        <v>792</v>
      </c>
      <c r="C163" t="s">
        <v>793</v>
      </c>
      <c r="D163" t="str">
        <f t="shared" si="5"/>
        <v>AUD</v>
      </c>
      <c r="F163">
        <v>6.1280000000000001</v>
      </c>
      <c r="G163">
        <v>5.5330000000000004</v>
      </c>
      <c r="H163">
        <v>2.9180000000000001</v>
      </c>
      <c r="I163">
        <v>8.4510000000000005</v>
      </c>
      <c r="J163">
        <v>2.887</v>
      </c>
      <c r="K163">
        <v>-4.6980000000000004</v>
      </c>
      <c r="L163">
        <v>-1.8109999999999999</v>
      </c>
      <c r="M163">
        <v>5.8179999999999996</v>
      </c>
      <c r="N163">
        <v>3.7690000000000001</v>
      </c>
      <c r="O163">
        <v>9.5869999999999997</v>
      </c>
      <c r="P163">
        <v>8.8699999999999992</v>
      </c>
      <c r="Q163">
        <v>2.4049999999999998</v>
      </c>
      <c r="R163">
        <v>11.275</v>
      </c>
      <c r="S163">
        <v>14.311999999999999</v>
      </c>
      <c r="T163">
        <v>9.0869999999999997</v>
      </c>
      <c r="U163">
        <v>23.399000000000001</v>
      </c>
      <c r="V163">
        <v>9.2379999999999995</v>
      </c>
      <c r="W163">
        <v>19.914999999999999</v>
      </c>
      <c r="X163">
        <v>29.152999999999999</v>
      </c>
      <c r="Y163">
        <v>3.5219999999999998</v>
      </c>
      <c r="Z163">
        <v>21.173999999999999</v>
      </c>
      <c r="AA163">
        <v>24.696000000000002</v>
      </c>
      <c r="AB163">
        <v>5.3929999999999998</v>
      </c>
      <c r="AC163">
        <v>25.146999999999998</v>
      </c>
      <c r="AD163">
        <v>30.54</v>
      </c>
      <c r="AE163">
        <v>4.391</v>
      </c>
      <c r="AF163">
        <v>19.036000000000001</v>
      </c>
      <c r="AG163">
        <v>23.427</v>
      </c>
      <c r="AH163">
        <v>16.274000000000001</v>
      </c>
      <c r="AI163">
        <v>27.180769514129999</v>
      </c>
      <c r="AJ163">
        <v>43.45476951413</v>
      </c>
      <c r="AK163">
        <v>17.359209703154999</v>
      </c>
      <c r="AL163">
        <v>33.695600027338998</v>
      </c>
      <c r="AM163">
        <v>51.054809730494</v>
      </c>
      <c r="AN163">
        <v>59.295994640235001</v>
      </c>
    </row>
    <row r="164" spans="2:40">
      <c r="B164" t="s">
        <v>794</v>
      </c>
      <c r="C164" t="s">
        <v>795</v>
      </c>
      <c r="D164" t="str">
        <f t="shared" si="5"/>
        <v>AUD</v>
      </c>
      <c r="F164">
        <v>-0.432</v>
      </c>
      <c r="G164">
        <v>-0.32700000000000001</v>
      </c>
      <c r="H164">
        <v>-0.115</v>
      </c>
      <c r="I164">
        <v>-0.442</v>
      </c>
      <c r="J164">
        <v>-9.6000000000000002E-2</v>
      </c>
      <c r="K164">
        <v>-7.4999999999999997E-2</v>
      </c>
      <c r="L164">
        <v>-0.17100000000000001</v>
      </c>
      <c r="M164">
        <v>-3.3340000000000001</v>
      </c>
      <c r="N164">
        <v>-1.0169999999999999</v>
      </c>
      <c r="O164">
        <v>-4.351</v>
      </c>
      <c r="P164">
        <v>-0.66900000000000004</v>
      </c>
      <c r="Q164">
        <v>-1.821</v>
      </c>
      <c r="R164">
        <v>-2.4900000000000002</v>
      </c>
      <c r="S164">
        <v>-1.2050000000000001</v>
      </c>
      <c r="T164">
        <v>-0.13700000000000001</v>
      </c>
      <c r="U164">
        <v>-1.3420000000000001</v>
      </c>
      <c r="V164">
        <v>-0.39600000000000002</v>
      </c>
      <c r="W164">
        <v>-0.83299999999999996</v>
      </c>
      <c r="X164">
        <v>-1.2290000000000001</v>
      </c>
      <c r="Y164">
        <v>-0.73199999999999998</v>
      </c>
      <c r="Z164">
        <v>-0.38400000000000001</v>
      </c>
      <c r="AA164">
        <v>-1.1160000000000001</v>
      </c>
      <c r="AB164">
        <v>-0.76200000000000001</v>
      </c>
      <c r="AC164">
        <v>-0.45100000000000001</v>
      </c>
      <c r="AD164">
        <v>-1.2130000000000001</v>
      </c>
      <c r="AE164">
        <v>-0.34300000000000003</v>
      </c>
      <c r="AF164">
        <v>-0.22900000000000001</v>
      </c>
      <c r="AG164">
        <v>-0.57199999999999995</v>
      </c>
      <c r="AH164">
        <v>-7.2869999999999999</v>
      </c>
      <c r="AI164">
        <v>-8.3005650000000006</v>
      </c>
      <c r="AJ164">
        <v>-15.587565</v>
      </c>
      <c r="AK164">
        <v>-7.9126931249999997</v>
      </c>
      <c r="AL164">
        <v>-8.3516193750000003</v>
      </c>
      <c r="AM164">
        <v>-16.264312499999999</v>
      </c>
      <c r="AN164">
        <v>-17.4214962</v>
      </c>
    </row>
    <row r="165" spans="2:40">
      <c r="B165" t="s">
        <v>796</v>
      </c>
      <c r="C165" t="s">
        <v>797</v>
      </c>
      <c r="D165" t="str">
        <f t="shared" si="5"/>
        <v>AUD</v>
      </c>
      <c r="K165">
        <v>-2.8740000000000001</v>
      </c>
      <c r="L165">
        <v>-2.8740000000000001</v>
      </c>
      <c r="T165">
        <v>-2.883</v>
      </c>
      <c r="U165">
        <v>-2.883</v>
      </c>
      <c r="V165">
        <v>-3.7930000000000001</v>
      </c>
      <c r="W165">
        <v>0.21199999999999999</v>
      </c>
      <c r="X165">
        <v>-3.581</v>
      </c>
      <c r="Y165">
        <v>-18.725000000000001</v>
      </c>
      <c r="AA165">
        <v>-18.725000000000001</v>
      </c>
      <c r="AB165">
        <v>-0.40100000000000002</v>
      </c>
      <c r="AC165">
        <v>-3.2719999999999998</v>
      </c>
      <c r="AD165">
        <v>-3.673</v>
      </c>
      <c r="AF165">
        <v>-0.185</v>
      </c>
      <c r="AG165">
        <v>-0.185</v>
      </c>
      <c r="AH165">
        <v>-8.1000000000000003E-2</v>
      </c>
      <c r="AI165">
        <v>8.1000000000000003E-2</v>
      </c>
    </row>
    <row r="166" spans="2:40">
      <c r="B166" t="s">
        <v>798</v>
      </c>
      <c r="C166" t="s">
        <v>799</v>
      </c>
      <c r="D166" t="str">
        <f t="shared" si="5"/>
        <v>AUD</v>
      </c>
      <c r="W166">
        <v>2.1999999999999999E-2</v>
      </c>
      <c r="X166">
        <v>2.1999999999999999E-2</v>
      </c>
      <c r="Z166">
        <v>4.8000000000000001E-2</v>
      </c>
      <c r="AA166">
        <v>4.8000000000000001E-2</v>
      </c>
      <c r="AB166">
        <v>1.4999999999999999E-2</v>
      </c>
      <c r="AC166">
        <v>0.13</v>
      </c>
      <c r="AD166">
        <v>0.14499999999999999</v>
      </c>
    </row>
    <row r="167" spans="2:40">
      <c r="B167" t="s">
        <v>800</v>
      </c>
      <c r="C167" t="s">
        <v>801</v>
      </c>
      <c r="D167" t="str">
        <f t="shared" si="5"/>
        <v>AUD</v>
      </c>
      <c r="K167">
        <v>0.18</v>
      </c>
      <c r="L167">
        <v>0.18</v>
      </c>
      <c r="M167">
        <v>5.6000000000000001E-2</v>
      </c>
      <c r="N167">
        <v>3.2669999999999999</v>
      </c>
      <c r="O167">
        <v>3.323</v>
      </c>
      <c r="P167">
        <v>8.3000000000000004E-2</v>
      </c>
      <c r="Q167">
        <v>-3.0000000000000001E-3</v>
      </c>
      <c r="R167">
        <v>0.08</v>
      </c>
      <c r="S167">
        <v>6.5000000000000002E-2</v>
      </c>
      <c r="T167">
        <v>2E-3</v>
      </c>
      <c r="U167">
        <v>6.7000000000000004E-2</v>
      </c>
      <c r="V167">
        <v>6.8000000000000005E-2</v>
      </c>
      <c r="W167">
        <v>2.3E-2</v>
      </c>
      <c r="X167">
        <v>9.0999999999999998E-2</v>
      </c>
      <c r="Y167">
        <v>0.21299999999999999</v>
      </c>
      <c r="Z167">
        <v>0.22800000000000001</v>
      </c>
      <c r="AA167">
        <v>0.441</v>
      </c>
      <c r="AB167">
        <v>5.0999999999999997E-2</v>
      </c>
      <c r="AD167">
        <v>5.2999999999999999E-2</v>
      </c>
    </row>
    <row r="168" spans="2:40">
      <c r="B168" t="s">
        <v>802</v>
      </c>
      <c r="C168" t="s">
        <v>803</v>
      </c>
      <c r="D168" t="str">
        <f t="shared" si="5"/>
        <v>AUD</v>
      </c>
      <c r="F168">
        <v>-0.432</v>
      </c>
      <c r="G168">
        <v>-0.32700000000000001</v>
      </c>
      <c r="H168">
        <v>-0.115</v>
      </c>
      <c r="I168">
        <v>-0.442</v>
      </c>
      <c r="J168">
        <v>-9.6000000000000002E-2</v>
      </c>
      <c r="K168">
        <v>-2.7690000000000001</v>
      </c>
      <c r="L168">
        <v>-2.8650000000000002</v>
      </c>
      <c r="M168">
        <v>-3.278</v>
      </c>
      <c r="N168">
        <v>2.25</v>
      </c>
      <c r="O168">
        <v>-1.028</v>
      </c>
      <c r="P168">
        <v>-0.58599999999999997</v>
      </c>
      <c r="Q168">
        <v>-1.8240000000000001</v>
      </c>
      <c r="R168">
        <v>-2.41</v>
      </c>
      <c r="S168">
        <v>-1.1399999999999999</v>
      </c>
      <c r="T168">
        <v>-3.0179999999999998</v>
      </c>
      <c r="U168">
        <v>-4.1580000000000004</v>
      </c>
      <c r="V168">
        <v>-4.1210000000000004</v>
      </c>
      <c r="W168">
        <v>-0.57599999999999996</v>
      </c>
      <c r="X168">
        <v>-4.6970000000000001</v>
      </c>
      <c r="Y168">
        <v>-19.244</v>
      </c>
      <c r="Z168">
        <v>-0.108</v>
      </c>
      <c r="AA168">
        <v>-19.352</v>
      </c>
      <c r="AB168">
        <v>-1.097</v>
      </c>
      <c r="AC168">
        <v>-3.593</v>
      </c>
      <c r="AD168">
        <v>-4.6879999999999997</v>
      </c>
      <c r="AE168">
        <v>-0.34300000000000003</v>
      </c>
      <c r="AF168">
        <v>-0.41399999999999998</v>
      </c>
      <c r="AG168">
        <v>-0.75700000000000001</v>
      </c>
      <c r="AH168">
        <v>-7.3680000000000003</v>
      </c>
      <c r="AI168">
        <v>-8.2195649999999993</v>
      </c>
      <c r="AJ168">
        <v>-15.587565</v>
      </c>
      <c r="AK168">
        <v>-7.9126931249999997</v>
      </c>
      <c r="AL168">
        <v>-8.3516193750000003</v>
      </c>
      <c r="AM168">
        <v>-16.264312499999999</v>
      </c>
      <c r="AN168">
        <v>-17.4214962</v>
      </c>
    </row>
    <row r="169" spans="2:40">
      <c r="B169" t="s">
        <v>219</v>
      </c>
      <c r="C169" t="s">
        <v>804</v>
      </c>
      <c r="D169" t="str">
        <f t="shared" si="5"/>
        <v>AUD</v>
      </c>
      <c r="F169">
        <v>-3.0230000000000001</v>
      </c>
      <c r="G169">
        <v>-3.0880000000000001</v>
      </c>
      <c r="H169">
        <v>-1E-3</v>
      </c>
      <c r="I169">
        <v>-3.089</v>
      </c>
      <c r="J169">
        <v>-3.4089999999999998</v>
      </c>
      <c r="L169">
        <v>-3.4089999999999998</v>
      </c>
      <c r="M169">
        <v>-3.6640000000000001</v>
      </c>
      <c r="O169">
        <v>-3.6640000000000001</v>
      </c>
      <c r="P169">
        <v>-4.4660000000000002</v>
      </c>
      <c r="Q169">
        <v>-1.2E-2</v>
      </c>
      <c r="R169">
        <v>-4.4779999999999998</v>
      </c>
      <c r="S169">
        <v>-4.5979999999999999</v>
      </c>
      <c r="T169">
        <v>-5.0000000000000001E-3</v>
      </c>
      <c r="U169">
        <v>-4.6029999999999998</v>
      </c>
      <c r="V169">
        <v>-5.5439999999999996</v>
      </c>
      <c r="W169">
        <v>-3.9E-2</v>
      </c>
      <c r="X169">
        <v>-5.5830000000000002</v>
      </c>
      <c r="Y169">
        <v>-6.4909999999999997</v>
      </c>
      <c r="Z169">
        <v>-7.3999999999999996E-2</v>
      </c>
      <c r="AA169">
        <v>-6.5650000000000004</v>
      </c>
      <c r="AB169">
        <v>-8.4550000000000001</v>
      </c>
      <c r="AC169">
        <v>-4.0000000000000001E-3</v>
      </c>
      <c r="AD169">
        <v>-8.4589999999999996</v>
      </c>
      <c r="AE169">
        <v>-10.43417298</v>
      </c>
      <c r="AF169">
        <v>4.5172980000000001E-2</v>
      </c>
      <c r="AG169">
        <v>-10.388999999999999</v>
      </c>
      <c r="AH169">
        <v>-12.782</v>
      </c>
      <c r="AI169">
        <v>-5.8694154999999998E-2</v>
      </c>
      <c r="AJ169">
        <v>-12.840694155</v>
      </c>
      <c r="AK169">
        <v>-13.552399539083</v>
      </c>
      <c r="AM169">
        <v>-13.552399539083</v>
      </c>
      <c r="AN169">
        <v>-16.247552667432998</v>
      </c>
    </row>
    <row r="170" spans="2:40">
      <c r="B170" t="s">
        <v>805</v>
      </c>
      <c r="C170" t="s">
        <v>806</v>
      </c>
      <c r="D170" t="str">
        <f t="shared" si="5"/>
        <v>AUD</v>
      </c>
      <c r="F170">
        <v>-5.6619999999999999</v>
      </c>
      <c r="G170">
        <v>0.21099999999999999</v>
      </c>
      <c r="H170">
        <v>0.30099999999999999</v>
      </c>
      <c r="I170">
        <v>0.51200000000000001</v>
      </c>
      <c r="J170">
        <v>0.19500000000000001</v>
      </c>
      <c r="K170">
        <v>-0.218</v>
      </c>
      <c r="L170">
        <v>-2.3E-2</v>
      </c>
      <c r="M170">
        <v>-0.70599999999999996</v>
      </c>
      <c r="N170">
        <v>0.185</v>
      </c>
      <c r="O170">
        <v>-0.52100000000000002</v>
      </c>
      <c r="P170">
        <v>0.05</v>
      </c>
      <c r="Q170">
        <v>0.39500000000000002</v>
      </c>
      <c r="R170">
        <v>0.44500000000000001</v>
      </c>
      <c r="S170">
        <v>2.4E-2</v>
      </c>
      <c r="T170">
        <v>-1.4999999999999999E-2</v>
      </c>
      <c r="U170">
        <v>8.9999999999999993E-3</v>
      </c>
      <c r="V170">
        <v>0.45400000000000001</v>
      </c>
      <c r="W170">
        <v>-0.53100000000000003</v>
      </c>
      <c r="X170">
        <v>-7.6999999999999999E-2</v>
      </c>
      <c r="Y170">
        <v>0.45</v>
      </c>
      <c r="Z170">
        <v>1.0449999999999999</v>
      </c>
      <c r="AA170">
        <v>1.4950000000000001</v>
      </c>
      <c r="AB170">
        <v>1.0449999999999999</v>
      </c>
      <c r="AD170">
        <v>1.1870000000000001</v>
      </c>
      <c r="AG170">
        <v>-0.54900000000000004</v>
      </c>
      <c r="AH170">
        <v>-0.39700000000000002</v>
      </c>
      <c r="AJ170">
        <v>-0.39700000000000002</v>
      </c>
    </row>
    <row r="171" spans="2:40">
      <c r="B171" t="s">
        <v>807</v>
      </c>
      <c r="C171" t="s">
        <v>808</v>
      </c>
      <c r="D171" t="str">
        <f t="shared" si="5"/>
        <v>AUD</v>
      </c>
    </row>
    <row r="172" spans="2:40">
      <c r="B172" t="s">
        <v>1013</v>
      </c>
      <c r="C172" t="s">
        <v>1014</v>
      </c>
      <c r="D172" t="str">
        <f t="shared" si="5"/>
        <v>AUD</v>
      </c>
    </row>
    <row r="173" spans="2:40">
      <c r="B173" t="s">
        <v>809</v>
      </c>
      <c r="C173" t="s">
        <v>810</v>
      </c>
      <c r="D173" t="str">
        <f t="shared" si="5"/>
        <v>AUD</v>
      </c>
      <c r="S173">
        <v>-0.71499999999999997</v>
      </c>
      <c r="T173">
        <v>-0.77300000000000002</v>
      </c>
      <c r="U173">
        <v>-1.488</v>
      </c>
      <c r="V173">
        <v>-0.89300000000000002</v>
      </c>
      <c r="W173">
        <v>-1.115</v>
      </c>
      <c r="X173">
        <v>-2.008</v>
      </c>
      <c r="Y173">
        <v>-1.4159999999999999</v>
      </c>
      <c r="Z173">
        <v>-1.5109999999999999</v>
      </c>
      <c r="AA173">
        <v>-2.927</v>
      </c>
      <c r="AB173">
        <v>-1.5309999999999999</v>
      </c>
      <c r="AC173">
        <v>-1.613</v>
      </c>
      <c r="AD173">
        <v>-3.1440000000000001</v>
      </c>
      <c r="AE173">
        <v>-1.613</v>
      </c>
      <c r="AF173">
        <v>-1.613</v>
      </c>
      <c r="AG173">
        <v>-3.1619999999999999</v>
      </c>
      <c r="AH173">
        <v>-1.2929999999999999</v>
      </c>
      <c r="AI173">
        <v>-1.2929999999999999</v>
      </c>
      <c r="AJ173">
        <v>-3.1619999999999999</v>
      </c>
      <c r="AK173">
        <v>-1.2929999999999999</v>
      </c>
      <c r="AL173">
        <v>-1.2929999999999999</v>
      </c>
      <c r="AM173">
        <v>-3.1619999999999999</v>
      </c>
      <c r="AN173">
        <v>-3.1619999999999999</v>
      </c>
    </row>
    <row r="174" spans="2:40">
      <c r="B174" t="s">
        <v>811</v>
      </c>
      <c r="C174" t="s">
        <v>812</v>
      </c>
      <c r="D174" t="str">
        <f t="shared" si="5"/>
        <v>AUD</v>
      </c>
      <c r="F174">
        <v>-8.6850000000000005</v>
      </c>
      <c r="G174">
        <v>-2.8769999999999998</v>
      </c>
      <c r="H174">
        <v>0.3</v>
      </c>
      <c r="I174">
        <v>-2.577</v>
      </c>
      <c r="J174">
        <v>-3.214</v>
      </c>
      <c r="K174">
        <v>-0.218</v>
      </c>
      <c r="L174">
        <v>-3.4319999999999999</v>
      </c>
      <c r="M174">
        <v>-4.37</v>
      </c>
      <c r="N174">
        <v>0.185</v>
      </c>
      <c r="O174">
        <v>-4.1849999999999996</v>
      </c>
      <c r="P174">
        <v>-4.4160000000000004</v>
      </c>
      <c r="Q174">
        <v>0.38300000000000001</v>
      </c>
      <c r="R174">
        <v>-4.0330000000000004</v>
      </c>
      <c r="S174">
        <v>-5.2889999999999997</v>
      </c>
      <c r="T174">
        <v>-0.79300000000000004</v>
      </c>
      <c r="U174">
        <v>-6.0819999999999999</v>
      </c>
      <c r="V174">
        <v>-5.9829999999999997</v>
      </c>
      <c r="W174">
        <v>-1.6850000000000001</v>
      </c>
      <c r="X174">
        <v>-7.6680000000000001</v>
      </c>
      <c r="Y174">
        <v>-7.4569999999999999</v>
      </c>
      <c r="Z174">
        <v>-0.54</v>
      </c>
      <c r="AA174">
        <v>-7.9969999999999999</v>
      </c>
      <c r="AB174">
        <v>-8.9410000000000007</v>
      </c>
      <c r="AC174">
        <v>-1.617</v>
      </c>
      <c r="AD174">
        <v>-10.416</v>
      </c>
      <c r="AE174">
        <v>-12.047172979999999</v>
      </c>
      <c r="AF174">
        <v>-1.56782702</v>
      </c>
      <c r="AG174">
        <v>-14.1</v>
      </c>
      <c r="AH174">
        <v>-14.472</v>
      </c>
      <c r="AI174">
        <v>-1.3516941549999999</v>
      </c>
      <c r="AJ174">
        <v>-16.399694154999999</v>
      </c>
      <c r="AK174">
        <v>-14.845399539082999</v>
      </c>
      <c r="AL174">
        <v>-1.2929999999999999</v>
      </c>
      <c r="AM174">
        <v>-16.714399539083001</v>
      </c>
      <c r="AN174">
        <v>-19.409552667433001</v>
      </c>
    </row>
    <row r="175" spans="2:40">
      <c r="B175" t="s">
        <v>846</v>
      </c>
      <c r="C175" t="s">
        <v>845</v>
      </c>
      <c r="D175" t="str">
        <f t="shared" si="5"/>
        <v>AUD</v>
      </c>
      <c r="F175">
        <v>-4.2000000000000003E-2</v>
      </c>
      <c r="G175">
        <v>-4.2999999999999997E-2</v>
      </c>
      <c r="H175">
        <v>-0.113</v>
      </c>
      <c r="I175">
        <v>-0.156</v>
      </c>
      <c r="J175">
        <v>0.01</v>
      </c>
      <c r="K175">
        <v>0.22500000000000001</v>
      </c>
      <c r="L175">
        <v>0.23499999999999999</v>
      </c>
      <c r="M175">
        <v>8.6999999999999994E-2</v>
      </c>
      <c r="N175">
        <v>1.4999999999999999E-2</v>
      </c>
      <c r="O175">
        <v>0.10199999999999999</v>
      </c>
      <c r="P175">
        <v>-0.22600000000000001</v>
      </c>
      <c r="Q175">
        <v>3.2000000000000001E-2</v>
      </c>
      <c r="R175">
        <v>-0.19400000000000001</v>
      </c>
      <c r="S175">
        <v>-8.1000000000000003E-2</v>
      </c>
      <c r="T175">
        <v>-1.2E-2</v>
      </c>
      <c r="U175">
        <v>-9.2999999999999999E-2</v>
      </c>
      <c r="V175">
        <v>0.26300000000000001</v>
      </c>
      <c r="W175">
        <v>-0.55900000000000005</v>
      </c>
      <c r="X175">
        <v>-0.29599999999999999</v>
      </c>
      <c r="Y175">
        <v>-0.2</v>
      </c>
      <c r="Z175">
        <v>0.16500000000000001</v>
      </c>
      <c r="AA175">
        <v>-3.5000000000000003E-2</v>
      </c>
      <c r="AB175">
        <v>0.254</v>
      </c>
      <c r="AC175">
        <v>0</v>
      </c>
      <c r="AD175">
        <v>-2E-3</v>
      </c>
      <c r="AE175">
        <v>0</v>
      </c>
      <c r="AF175">
        <v>0.155</v>
      </c>
      <c r="AG175">
        <v>0.155</v>
      </c>
      <c r="AH175">
        <v>0.156</v>
      </c>
      <c r="AI175">
        <v>0</v>
      </c>
      <c r="AJ175">
        <v>0.156</v>
      </c>
      <c r="AK175">
        <v>0</v>
      </c>
      <c r="AL175">
        <v>0</v>
      </c>
      <c r="AM175">
        <v>0</v>
      </c>
      <c r="AN175">
        <v>0</v>
      </c>
    </row>
    <row r="176" spans="2:40">
      <c r="B176" t="s">
        <v>813</v>
      </c>
      <c r="C176" t="s">
        <v>814</v>
      </c>
      <c r="D176" t="str">
        <f t="shared" si="5"/>
        <v>AUD</v>
      </c>
      <c r="F176">
        <v>-3.0310000000000001</v>
      </c>
      <c r="G176">
        <v>2.286</v>
      </c>
      <c r="H176">
        <v>2.99</v>
      </c>
      <c r="I176">
        <v>5.2759999999999998</v>
      </c>
      <c r="J176">
        <v>-0.41299999999999998</v>
      </c>
      <c r="K176">
        <v>-7.46</v>
      </c>
      <c r="L176">
        <v>-7.8730000000000002</v>
      </c>
      <c r="M176">
        <v>-1.7430000000000001</v>
      </c>
      <c r="N176">
        <v>6.2190000000000003</v>
      </c>
      <c r="O176">
        <v>4.476</v>
      </c>
      <c r="P176">
        <v>3.6419999999999999</v>
      </c>
      <c r="Q176">
        <v>0.996</v>
      </c>
      <c r="R176">
        <v>4.6379999999999999</v>
      </c>
      <c r="S176">
        <v>7.8019999999999996</v>
      </c>
      <c r="T176">
        <v>5.2640000000000002</v>
      </c>
      <c r="U176">
        <v>13.066000000000001</v>
      </c>
      <c r="V176">
        <v>-0.60299999999999998</v>
      </c>
      <c r="W176">
        <v>17.094999999999999</v>
      </c>
      <c r="X176">
        <v>16.492000000000001</v>
      </c>
      <c r="Y176">
        <v>-23.379000000000001</v>
      </c>
      <c r="Z176">
        <v>20.690999999999999</v>
      </c>
      <c r="AA176">
        <v>-2.6880000000000002</v>
      </c>
      <c r="AB176">
        <v>-4.391</v>
      </c>
      <c r="AC176">
        <v>19.824999999999999</v>
      </c>
      <c r="AD176">
        <v>15.433999999999999</v>
      </c>
      <c r="AE176">
        <v>-7.99917298</v>
      </c>
      <c r="AF176">
        <v>16.724172979999999</v>
      </c>
      <c r="AG176">
        <v>8.7249999999999996</v>
      </c>
      <c r="AH176">
        <v>-5.41</v>
      </c>
      <c r="AI176">
        <v>17.033510359129998</v>
      </c>
      <c r="AJ176">
        <v>11.62351035913</v>
      </c>
      <c r="AK176">
        <v>-5.3988829609289999</v>
      </c>
      <c r="AL176">
        <v>23.474980652338999</v>
      </c>
      <c r="AM176">
        <v>18.076097691411</v>
      </c>
      <c r="AN176">
        <v>22.464945772800998</v>
      </c>
    </row>
    <row r="177" spans="1:4">
      <c r="A177" t="s">
        <v>815</v>
      </c>
    </row>
    <row r="178" spans="1:4">
      <c r="B178" t="s">
        <v>209</v>
      </c>
      <c r="C178" t="s">
        <v>285</v>
      </c>
      <c r="D178" t="str">
        <f t="shared" ref="D178:D191" si="6">L_CURRENCY_ISSR_208017981_REP</f>
        <v>AUD</v>
      </c>
    </row>
    <row r="179" spans="1:4">
      <c r="B179" t="s">
        <v>210</v>
      </c>
      <c r="C179" t="s">
        <v>286</v>
      </c>
      <c r="D179" t="str">
        <f t="shared" si="6"/>
        <v>AUD</v>
      </c>
    </row>
    <row r="180" spans="1:4">
      <c r="B180" t="s">
        <v>212</v>
      </c>
      <c r="C180" t="s">
        <v>287</v>
      </c>
      <c r="D180" t="str">
        <f t="shared" si="6"/>
        <v>AUD</v>
      </c>
    </row>
    <row r="181" spans="1:4">
      <c r="B181" t="s">
        <v>816</v>
      </c>
      <c r="C181" t="s">
        <v>817</v>
      </c>
      <c r="D181" t="str">
        <f t="shared" si="6"/>
        <v>AUD</v>
      </c>
    </row>
    <row r="182" spans="1:4">
      <c r="B182" t="s">
        <v>385</v>
      </c>
      <c r="C182" t="s">
        <v>141</v>
      </c>
      <c r="D182" t="str">
        <f t="shared" si="6"/>
        <v>AUD</v>
      </c>
    </row>
    <row r="183" spans="1:4">
      <c r="B183" t="s">
        <v>214</v>
      </c>
      <c r="C183" t="s">
        <v>289</v>
      </c>
      <c r="D183" t="str">
        <f t="shared" si="6"/>
        <v>AUD</v>
      </c>
    </row>
    <row r="184" spans="1:4">
      <c r="B184" t="s">
        <v>213</v>
      </c>
      <c r="C184" t="s">
        <v>288</v>
      </c>
      <c r="D184" t="str">
        <f t="shared" si="6"/>
        <v>AUD</v>
      </c>
    </row>
    <row r="185" spans="1:4">
      <c r="B185" t="s">
        <v>384</v>
      </c>
      <c r="C185" t="s">
        <v>139</v>
      </c>
      <c r="D185" t="str">
        <f t="shared" si="6"/>
        <v>AUD</v>
      </c>
    </row>
    <row r="186" spans="1:4">
      <c r="B186" t="s">
        <v>386</v>
      </c>
      <c r="C186" t="s">
        <v>140</v>
      </c>
      <c r="D186" t="str">
        <f t="shared" si="6"/>
        <v>AUD</v>
      </c>
    </row>
    <row r="187" spans="1:4">
      <c r="B187" t="s">
        <v>215</v>
      </c>
      <c r="C187" t="s">
        <v>290</v>
      </c>
      <c r="D187" t="str">
        <f t="shared" si="6"/>
        <v>AUD</v>
      </c>
    </row>
    <row r="188" spans="1:4">
      <c r="B188" t="s">
        <v>216</v>
      </c>
      <c r="C188" t="s">
        <v>291</v>
      </c>
      <c r="D188" t="str">
        <f t="shared" si="6"/>
        <v>AUD</v>
      </c>
    </row>
    <row r="189" spans="1:4">
      <c r="B189" t="s">
        <v>820</v>
      </c>
      <c r="C189" t="s">
        <v>821</v>
      </c>
      <c r="D189" t="str">
        <f t="shared" si="6"/>
        <v>AUD</v>
      </c>
    </row>
    <row r="190" spans="1:4">
      <c r="B190" t="s">
        <v>217</v>
      </c>
      <c r="C190" t="s">
        <v>292</v>
      </c>
      <c r="D190" t="str">
        <f t="shared" si="6"/>
        <v>AUD</v>
      </c>
    </row>
    <row r="191" spans="1:4">
      <c r="B191" t="s">
        <v>218</v>
      </c>
      <c r="C191" t="s">
        <v>293</v>
      </c>
      <c r="D191" t="str">
        <f t="shared" si="6"/>
        <v>AUD</v>
      </c>
    </row>
    <row r="192" spans="1:4">
      <c r="A192" t="s">
        <v>822</v>
      </c>
    </row>
    <row r="193" spans="1:27">
      <c r="B193" t="s">
        <v>823</v>
      </c>
      <c r="C193" t="s">
        <v>824</v>
      </c>
      <c r="D193" t="str">
        <f t="shared" ref="D193:D203" si="7">L_CURRENCY_ISSR_208017981_REP</f>
        <v>AUD</v>
      </c>
    </row>
    <row r="194" spans="1:27">
      <c r="B194" t="s">
        <v>825</v>
      </c>
      <c r="C194" t="s">
        <v>826</v>
      </c>
      <c r="D194" t="str">
        <f t="shared" si="7"/>
        <v>AUD</v>
      </c>
    </row>
    <row r="195" spans="1:27">
      <c r="B195" t="s">
        <v>827</v>
      </c>
      <c r="C195" t="s">
        <v>828</v>
      </c>
      <c r="D195" t="str">
        <f t="shared" si="7"/>
        <v>AUD</v>
      </c>
    </row>
    <row r="196" spans="1:27">
      <c r="B196" t="s">
        <v>829</v>
      </c>
      <c r="C196" t="s">
        <v>830</v>
      </c>
      <c r="D196" t="str">
        <f t="shared" si="7"/>
        <v>AUD</v>
      </c>
    </row>
    <row r="197" spans="1:27">
      <c r="B197" t="s">
        <v>831</v>
      </c>
      <c r="C197" t="s">
        <v>832</v>
      </c>
      <c r="D197" t="str">
        <f t="shared" si="7"/>
        <v>AUD</v>
      </c>
    </row>
    <row r="198" spans="1:27">
      <c r="B198" t="s">
        <v>833</v>
      </c>
      <c r="C198" t="s">
        <v>834</v>
      </c>
      <c r="D198" t="str">
        <f t="shared" si="7"/>
        <v>AUD</v>
      </c>
    </row>
    <row r="199" spans="1:27">
      <c r="B199" t="s">
        <v>835</v>
      </c>
      <c r="C199" t="s">
        <v>836</v>
      </c>
      <c r="D199" t="str">
        <f t="shared" si="7"/>
        <v>AUD</v>
      </c>
    </row>
    <row r="200" spans="1:27">
      <c r="B200" t="s">
        <v>837</v>
      </c>
      <c r="C200" t="s">
        <v>838</v>
      </c>
      <c r="D200" t="str">
        <f t="shared" si="7"/>
        <v>AUD</v>
      </c>
    </row>
    <row r="201" spans="1:27">
      <c r="B201" t="s">
        <v>0</v>
      </c>
      <c r="C201" t="s">
        <v>1</v>
      </c>
      <c r="D201" t="str">
        <f t="shared" si="7"/>
        <v>AUD</v>
      </c>
    </row>
    <row r="202" spans="1:27">
      <c r="B202" t="s">
        <v>2</v>
      </c>
      <c r="C202" t="s">
        <v>3</v>
      </c>
      <c r="D202" t="str">
        <f t="shared" si="7"/>
        <v>AUD</v>
      </c>
    </row>
    <row r="203" spans="1:27">
      <c r="B203" t="s">
        <v>4</v>
      </c>
      <c r="C203" t="s">
        <v>5</v>
      </c>
      <c r="D203" t="str">
        <f t="shared" si="7"/>
        <v>AUD</v>
      </c>
    </row>
    <row r="204" spans="1:27">
      <c r="A204" t="s">
        <v>6</v>
      </c>
    </row>
    <row r="205" spans="1:27">
      <c r="B205" t="s">
        <v>7</v>
      </c>
      <c r="C205" t="s">
        <v>8</v>
      </c>
      <c r="AA205">
        <v>0.4</v>
      </c>
    </row>
    <row r="206" spans="1:27">
      <c r="A206" t="s">
        <v>13</v>
      </c>
    </row>
    <row r="207" spans="1:27">
      <c r="B207" t="s">
        <v>207</v>
      </c>
      <c r="C207" t="s">
        <v>14</v>
      </c>
      <c r="D207" t="str">
        <f>L_CURRENCY_ISSR_208017981_REP</f>
        <v>AUD</v>
      </c>
    </row>
    <row r="208" spans="1:27">
      <c r="B208" t="s">
        <v>16</v>
      </c>
      <c r="C208" t="s">
        <v>17</v>
      </c>
      <c r="D208" t="str">
        <f>L_CURRENCY_ISSR_208017981_REP</f>
        <v>AUD</v>
      </c>
    </row>
    <row r="209" spans="1:4">
      <c r="B209" t="s">
        <v>18</v>
      </c>
      <c r="C209" t="s">
        <v>19</v>
      </c>
      <c r="D209" t="str">
        <f>L_CURRENCY_ISSR_208017981_REP</f>
        <v>AUD</v>
      </c>
    </row>
    <row r="210" spans="1:4">
      <c r="B210" t="s">
        <v>425</v>
      </c>
      <c r="C210" t="s">
        <v>20</v>
      </c>
      <c r="D210" t="str">
        <f>L_CURRENCY_ISSR_208017981_REP</f>
        <v>AUD</v>
      </c>
    </row>
    <row r="211" spans="1:4">
      <c r="B211" t="s">
        <v>23</v>
      </c>
      <c r="C211" t="s">
        <v>24</v>
      </c>
    </row>
    <row r="212" spans="1:4">
      <c r="B212" t="s">
        <v>25</v>
      </c>
      <c r="C212" t="s">
        <v>26</v>
      </c>
    </row>
    <row r="213" spans="1:4">
      <c r="B213" t="s">
        <v>29</v>
      </c>
      <c r="C213" t="s">
        <v>30</v>
      </c>
      <c r="D213" t="str">
        <f>L_CURRENCY_ISSR_208017981_REP</f>
        <v>AUD</v>
      </c>
    </row>
    <row r="214" spans="1:4">
      <c r="B214" t="s">
        <v>346</v>
      </c>
      <c r="C214" t="s">
        <v>31</v>
      </c>
      <c r="D214" t="str">
        <f>L_CURRENCY_ISSR_208017981_REP</f>
        <v>AUD</v>
      </c>
    </row>
    <row r="215" spans="1:4">
      <c r="A215" t="s">
        <v>33</v>
      </c>
    </row>
    <row r="216" spans="1:4">
      <c r="B216" t="s">
        <v>37</v>
      </c>
      <c r="C216" t="s">
        <v>38</v>
      </c>
    </row>
    <row r="217" spans="1:4">
      <c r="B217" t="s">
        <v>35</v>
      </c>
      <c r="C217" t="s">
        <v>36</v>
      </c>
    </row>
    <row r="218" spans="1:4">
      <c r="B218" t="s">
        <v>913</v>
      </c>
      <c r="C218" t="s">
        <v>914</v>
      </c>
    </row>
    <row r="219" spans="1:4">
      <c r="B219" t="s">
        <v>915</v>
      </c>
      <c r="C219" t="s">
        <v>916</v>
      </c>
    </row>
    <row r="220" spans="1:4">
      <c r="B220" t="s">
        <v>39</v>
      </c>
      <c r="C220" t="s">
        <v>40</v>
      </c>
    </row>
    <row r="221" spans="1:4">
      <c r="B221" t="s">
        <v>917</v>
      </c>
      <c r="C221" t="s">
        <v>918</v>
      </c>
    </row>
    <row r="222" spans="1:4">
      <c r="B222" t="s">
        <v>919</v>
      </c>
      <c r="C222" t="s">
        <v>920</v>
      </c>
    </row>
    <row r="223" spans="1:4">
      <c r="B223" t="s">
        <v>921</v>
      </c>
      <c r="C223" t="s">
        <v>922</v>
      </c>
    </row>
    <row r="224" spans="1:4">
      <c r="B224" t="s">
        <v>923</v>
      </c>
      <c r="C224" t="s">
        <v>924</v>
      </c>
    </row>
    <row r="225" spans="2:40">
      <c r="B225" t="s">
        <v>925</v>
      </c>
      <c r="C225" t="s">
        <v>926</v>
      </c>
    </row>
    <row r="226" spans="2:40">
      <c r="B226" t="s">
        <v>48</v>
      </c>
      <c r="C226" t="s">
        <v>49</v>
      </c>
    </row>
    <row r="227" spans="2:40">
      <c r="B227" t="s">
        <v>50</v>
      </c>
      <c r="C227" t="s">
        <v>51</v>
      </c>
    </row>
    <row r="228" spans="2:40">
      <c r="B228" t="s">
        <v>52</v>
      </c>
      <c r="C228" t="s">
        <v>53</v>
      </c>
    </row>
    <row r="229" spans="2:40">
      <c r="B229" t="s">
        <v>54</v>
      </c>
      <c r="C229" t="s">
        <v>55</v>
      </c>
    </row>
    <row r="230" spans="2:40">
      <c r="B230" t="s">
        <v>56</v>
      </c>
      <c r="C230" t="s">
        <v>57</v>
      </c>
    </row>
    <row r="231" spans="2:40">
      <c r="B231" t="s">
        <v>58</v>
      </c>
      <c r="C231" t="s">
        <v>59</v>
      </c>
    </row>
    <row r="232" spans="2:40">
      <c r="B232" t="s">
        <v>60</v>
      </c>
      <c r="C232" t="s">
        <v>61</v>
      </c>
    </row>
    <row r="233" spans="2:40">
      <c r="B233" t="s">
        <v>62</v>
      </c>
      <c r="C233" t="s">
        <v>63</v>
      </c>
    </row>
    <row r="234" spans="2:40">
      <c r="B234" t="s">
        <v>64</v>
      </c>
      <c r="C234" t="s">
        <v>65</v>
      </c>
    </row>
    <row r="235" spans="2:40">
      <c r="B235" t="s">
        <v>66</v>
      </c>
      <c r="C235" t="s">
        <v>67</v>
      </c>
    </row>
    <row r="236" spans="2:40">
      <c r="B236" t="s">
        <v>68</v>
      </c>
      <c r="C236" t="s">
        <v>69</v>
      </c>
    </row>
    <row r="237" spans="2:40">
      <c r="B237" t="s">
        <v>70</v>
      </c>
      <c r="C237" t="s">
        <v>71</v>
      </c>
    </row>
    <row r="238" spans="2:40">
      <c r="B238" t="s">
        <v>72</v>
      </c>
      <c r="C238" t="s">
        <v>73</v>
      </c>
    </row>
    <row r="239" spans="2:40">
      <c r="B239" t="s">
        <v>45</v>
      </c>
      <c r="C239" t="s">
        <v>46</v>
      </c>
      <c r="S239">
        <v>0.14191181512699999</v>
      </c>
      <c r="T239">
        <v>0.129719705721</v>
      </c>
      <c r="U239">
        <v>0.135449564937</v>
      </c>
      <c r="V239">
        <v>0.12532699882699999</v>
      </c>
      <c r="W239">
        <v>0.13620422477800001</v>
      </c>
      <c r="X239">
        <v>0.131039406054</v>
      </c>
      <c r="Y239">
        <v>9.5577316260000003E-2</v>
      </c>
      <c r="Z239">
        <v>0.10376407153599999</v>
      </c>
      <c r="AA239">
        <v>9.9762245412999995E-2</v>
      </c>
      <c r="AB239">
        <v>9.871855719E-2</v>
      </c>
      <c r="AC239">
        <v>9.871855719E-2</v>
      </c>
      <c r="AD239">
        <v>9.871855719E-2</v>
      </c>
      <c r="AE239">
        <v>9.871855719E-2</v>
      </c>
      <c r="AF239">
        <v>9.871855719E-2</v>
      </c>
      <c r="AG239">
        <v>9.871855719E-2</v>
      </c>
      <c r="AH239">
        <v>9.871855719E-2</v>
      </c>
      <c r="AI239">
        <v>9.871855719E-2</v>
      </c>
      <c r="AJ239">
        <v>9.871855719E-2</v>
      </c>
      <c r="AK239">
        <v>9.871855719E-2</v>
      </c>
      <c r="AL239">
        <v>9.871855719E-2</v>
      </c>
      <c r="AM239">
        <v>9.871855719E-2</v>
      </c>
      <c r="AN239">
        <v>9.871855719E-2</v>
      </c>
    </row>
    <row r="240" spans="2:40">
      <c r="B240" t="s">
        <v>927</v>
      </c>
      <c r="C240" t="s">
        <v>928</v>
      </c>
    </row>
    <row r="241" spans="2:3">
      <c r="B241" t="s">
        <v>929</v>
      </c>
      <c r="C241" t="s">
        <v>930</v>
      </c>
    </row>
    <row r="242" spans="2:3">
      <c r="B242" t="s">
        <v>78</v>
      </c>
      <c r="C242" t="s">
        <v>79</v>
      </c>
    </row>
    <row r="243" spans="2:3">
      <c r="B243" t="s">
        <v>931</v>
      </c>
      <c r="C243" t="s">
        <v>932</v>
      </c>
    </row>
    <row r="244" spans="2:3">
      <c r="B244" t="s">
        <v>933</v>
      </c>
      <c r="C244" t="s">
        <v>934</v>
      </c>
    </row>
    <row r="245" spans="2:3">
      <c r="B245" t="s">
        <v>935</v>
      </c>
      <c r="C245" t="s">
        <v>936</v>
      </c>
    </row>
    <row r="246" spans="2:3">
      <c r="B246" t="s">
        <v>937</v>
      </c>
      <c r="C246" t="s">
        <v>938</v>
      </c>
    </row>
    <row r="247" spans="2:3">
      <c r="B247" t="s">
        <v>939</v>
      </c>
      <c r="C247" t="s">
        <v>940</v>
      </c>
    </row>
    <row r="248" spans="2:3">
      <c r="B248" t="s">
        <v>941</v>
      </c>
      <c r="C248" t="s">
        <v>942</v>
      </c>
    </row>
    <row r="249" spans="2:3">
      <c r="B249" t="s">
        <v>943</v>
      </c>
      <c r="C249" t="s">
        <v>944</v>
      </c>
    </row>
    <row r="250" spans="2:3">
      <c r="B250" t="s">
        <v>945</v>
      </c>
      <c r="C250" t="s">
        <v>946</v>
      </c>
    </row>
    <row r="251" spans="2:3">
      <c r="B251" t="s">
        <v>947</v>
      </c>
      <c r="C251" t="s">
        <v>948</v>
      </c>
    </row>
    <row r="252" spans="2:3">
      <c r="B252" t="s">
        <v>84</v>
      </c>
      <c r="C252" t="s">
        <v>85</v>
      </c>
    </row>
    <row r="253" spans="2:3">
      <c r="B253" t="s">
        <v>949</v>
      </c>
      <c r="C253" t="s">
        <v>950</v>
      </c>
    </row>
    <row r="254" spans="2:3">
      <c r="B254" t="s">
        <v>89</v>
      </c>
      <c r="C254" t="s">
        <v>90</v>
      </c>
    </row>
    <row r="255" spans="2:3">
      <c r="B255" t="s">
        <v>951</v>
      </c>
      <c r="C255" t="s">
        <v>952</v>
      </c>
    </row>
    <row r="256" spans="2:3">
      <c r="B256" t="s">
        <v>953</v>
      </c>
      <c r="C256" t="s">
        <v>954</v>
      </c>
    </row>
    <row r="257" spans="2:40">
      <c r="B257" t="s">
        <v>884</v>
      </c>
      <c r="C257" t="s">
        <v>86</v>
      </c>
    </row>
    <row r="258" spans="2:40">
      <c r="B258" t="s">
        <v>87</v>
      </c>
      <c r="C258" t="s">
        <v>88</v>
      </c>
    </row>
    <row r="259" spans="2:40">
      <c r="B259" t="s">
        <v>955</v>
      </c>
      <c r="C259" t="s">
        <v>956</v>
      </c>
    </row>
    <row r="260" spans="2:40">
      <c r="B260" t="s">
        <v>957</v>
      </c>
      <c r="C260" t="s">
        <v>958</v>
      </c>
    </row>
    <row r="261" spans="2:40">
      <c r="B261" t="s">
        <v>959</v>
      </c>
      <c r="C261" t="s">
        <v>960</v>
      </c>
    </row>
    <row r="262" spans="2:40">
      <c r="B262" t="s">
        <v>91</v>
      </c>
      <c r="C262" t="s">
        <v>92</v>
      </c>
      <c r="S262">
        <v>0.78094356442400004</v>
      </c>
      <c r="T262">
        <v>0.78585760320999998</v>
      </c>
      <c r="U262">
        <v>0.78354817918099995</v>
      </c>
      <c r="V262">
        <v>0.75987010253499998</v>
      </c>
      <c r="W262">
        <v>0.74545306255599997</v>
      </c>
      <c r="X262">
        <v>0.75229868646499998</v>
      </c>
      <c r="Y262">
        <v>0.804368879802</v>
      </c>
      <c r="Z262">
        <v>0.73723529048600001</v>
      </c>
      <c r="AA262">
        <v>0.77005133815899995</v>
      </c>
      <c r="AB262">
        <v>0.76934029425700001</v>
      </c>
      <c r="AC262">
        <v>0.76934029425700001</v>
      </c>
      <c r="AD262">
        <v>0.76934029425700001</v>
      </c>
      <c r="AE262">
        <v>0.76934029425700001</v>
      </c>
      <c r="AF262">
        <v>0.76934029425700001</v>
      </c>
      <c r="AG262">
        <v>0.76934029425700001</v>
      </c>
      <c r="AH262">
        <v>0.76934029425700001</v>
      </c>
      <c r="AI262">
        <v>0.76934029425700001</v>
      </c>
      <c r="AJ262">
        <v>0.76934029425700001</v>
      </c>
      <c r="AK262">
        <v>0.76934029425700001</v>
      </c>
      <c r="AL262">
        <v>0.76934029425700001</v>
      </c>
      <c r="AM262">
        <v>0.76934029425700001</v>
      </c>
      <c r="AN262">
        <v>0.76934029425700001</v>
      </c>
    </row>
    <row r="263" spans="2:40">
      <c r="B263" t="s">
        <v>93</v>
      </c>
      <c r="C263" t="s">
        <v>94</v>
      </c>
      <c r="S263">
        <v>7.7144620447999995E-2</v>
      </c>
      <c r="T263">
        <v>8.4422691068000003E-2</v>
      </c>
      <c r="U263">
        <v>8.1002255881000004E-2</v>
      </c>
      <c r="V263">
        <v>0.114802898638</v>
      </c>
      <c r="W263">
        <v>0.11834271266599999</v>
      </c>
      <c r="X263">
        <v>0.116661907481</v>
      </c>
      <c r="Y263">
        <v>0.10005380393799999</v>
      </c>
      <c r="Z263">
        <v>0.15900063797799999</v>
      </c>
      <c r="AA263">
        <v>0.130186416428</v>
      </c>
      <c r="AB263">
        <v>0.13194114855200001</v>
      </c>
      <c r="AC263">
        <v>0.13194114855200001</v>
      </c>
      <c r="AD263">
        <v>0.13194114855200001</v>
      </c>
      <c r="AE263">
        <v>0.13194114855200001</v>
      </c>
      <c r="AF263">
        <v>0.13194114855200001</v>
      </c>
      <c r="AG263">
        <v>0.13194114855200001</v>
      </c>
      <c r="AH263">
        <v>0.13194114855200001</v>
      </c>
      <c r="AI263">
        <v>0.13194114855200001</v>
      </c>
      <c r="AJ263">
        <v>0.13194114855200001</v>
      </c>
      <c r="AK263">
        <v>0.13194114855200001</v>
      </c>
      <c r="AL263">
        <v>0.13194114855200001</v>
      </c>
      <c r="AM263">
        <v>0.13194114855200001</v>
      </c>
      <c r="AN263">
        <v>0.13194114855200001</v>
      </c>
    </row>
    <row r="264" spans="2:40">
      <c r="B264" t="s">
        <v>96</v>
      </c>
      <c r="C264" t="s">
        <v>97</v>
      </c>
    </row>
    <row r="265" spans="2:40">
      <c r="B265" t="s">
        <v>976</v>
      </c>
      <c r="C265" t="s">
        <v>977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</row>
    <row r="266" spans="2:40">
      <c r="B266" t="s">
        <v>978</v>
      </c>
      <c r="C266" t="s">
        <v>979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>
        <v>1</v>
      </c>
      <c r="AH266">
        <v>1</v>
      </c>
      <c r="AI266">
        <v>1</v>
      </c>
      <c r="AJ266">
        <v>1</v>
      </c>
      <c r="AK266">
        <v>1</v>
      </c>
      <c r="AL266">
        <v>1</v>
      </c>
      <c r="AM266">
        <v>1</v>
      </c>
      <c r="AN266">
        <v>1</v>
      </c>
    </row>
    <row r="267" spans="2:40">
      <c r="B267" t="s">
        <v>980</v>
      </c>
      <c r="C267" t="s">
        <v>981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</row>
    <row r="268" spans="2:40">
      <c r="B268" t="s">
        <v>982</v>
      </c>
      <c r="C268" t="s">
        <v>983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>
        <v>1</v>
      </c>
      <c r="AH268">
        <v>1</v>
      </c>
      <c r="AI268">
        <v>1</v>
      </c>
      <c r="AJ268">
        <v>1</v>
      </c>
      <c r="AK268">
        <v>1</v>
      </c>
      <c r="AL268">
        <v>1</v>
      </c>
      <c r="AM268">
        <v>1</v>
      </c>
      <c r="AN268">
        <v>1</v>
      </c>
    </row>
    <row r="269" spans="2:40">
      <c r="B269" t="s">
        <v>98</v>
      </c>
      <c r="C269" t="s">
        <v>99</v>
      </c>
    </row>
    <row r="270" spans="2:40">
      <c r="B270" t="s">
        <v>100</v>
      </c>
      <c r="C270" t="s">
        <v>101</v>
      </c>
      <c r="S270">
        <v>0.1</v>
      </c>
      <c r="T270">
        <v>0.1</v>
      </c>
      <c r="U270">
        <v>0.1</v>
      </c>
      <c r="V270">
        <v>0.1</v>
      </c>
      <c r="W270">
        <v>0.1</v>
      </c>
      <c r="X270">
        <v>0.1</v>
      </c>
      <c r="Y270">
        <v>0.1</v>
      </c>
      <c r="Z270">
        <v>0.1</v>
      </c>
      <c r="AA270">
        <v>0.1</v>
      </c>
      <c r="AB270">
        <v>0.1</v>
      </c>
      <c r="AC270">
        <v>0.1</v>
      </c>
      <c r="AD270">
        <v>0.1</v>
      </c>
      <c r="AE270">
        <v>0.1</v>
      </c>
      <c r="AF270">
        <v>0.1</v>
      </c>
      <c r="AG270">
        <v>0.1</v>
      </c>
      <c r="AH270">
        <v>0.1</v>
      </c>
      <c r="AI270">
        <v>0.1</v>
      </c>
      <c r="AJ270">
        <v>0.1</v>
      </c>
      <c r="AK270">
        <v>0.1</v>
      </c>
      <c r="AL270">
        <v>0.1</v>
      </c>
      <c r="AM270">
        <v>0.1</v>
      </c>
      <c r="AN270">
        <v>0.1</v>
      </c>
    </row>
    <row r="271" spans="2:40">
      <c r="B271" t="s">
        <v>102</v>
      </c>
      <c r="C271" t="s">
        <v>103</v>
      </c>
      <c r="S271">
        <v>0.9</v>
      </c>
      <c r="T271">
        <v>0.9</v>
      </c>
      <c r="U271">
        <v>0.9</v>
      </c>
      <c r="V271">
        <v>0.9</v>
      </c>
      <c r="W271">
        <v>0.9</v>
      </c>
      <c r="X271">
        <v>0.9</v>
      </c>
      <c r="Y271">
        <v>0.9</v>
      </c>
      <c r="Z271">
        <v>0.9</v>
      </c>
      <c r="AA271">
        <v>0.9</v>
      </c>
      <c r="AB271">
        <v>0.9</v>
      </c>
      <c r="AC271">
        <v>0.9</v>
      </c>
      <c r="AD271">
        <v>0.9</v>
      </c>
      <c r="AE271">
        <v>0.9</v>
      </c>
      <c r="AF271">
        <v>0.9</v>
      </c>
      <c r="AG271">
        <v>0.9</v>
      </c>
      <c r="AH271">
        <v>0.9</v>
      </c>
      <c r="AI271">
        <v>0.9</v>
      </c>
      <c r="AJ271">
        <v>0.9</v>
      </c>
      <c r="AK271">
        <v>0.9</v>
      </c>
      <c r="AL271">
        <v>0.9</v>
      </c>
      <c r="AM271">
        <v>0.9</v>
      </c>
      <c r="AN271">
        <v>0.9</v>
      </c>
    </row>
    <row r="272" spans="2:40">
      <c r="B272" t="s">
        <v>876</v>
      </c>
      <c r="C272" t="s">
        <v>877</v>
      </c>
      <c r="S272">
        <v>0.05</v>
      </c>
      <c r="T272">
        <v>0.05</v>
      </c>
      <c r="U272">
        <v>0.05</v>
      </c>
      <c r="V272">
        <v>0.05</v>
      </c>
      <c r="W272">
        <v>0.05</v>
      </c>
      <c r="X272">
        <v>0.05</v>
      </c>
      <c r="Y272">
        <v>0.05</v>
      </c>
      <c r="Z272">
        <v>0.05</v>
      </c>
      <c r="AA272">
        <v>0.05</v>
      </c>
      <c r="AB272">
        <v>0.05</v>
      </c>
      <c r="AC272">
        <v>0.05</v>
      </c>
      <c r="AD272">
        <v>0.05</v>
      </c>
      <c r="AE272">
        <v>0.05</v>
      </c>
      <c r="AF272">
        <v>0.05</v>
      </c>
      <c r="AG272">
        <v>0.05</v>
      </c>
      <c r="AH272">
        <v>0.05</v>
      </c>
      <c r="AI272">
        <v>0.05</v>
      </c>
      <c r="AJ272">
        <v>0.05</v>
      </c>
      <c r="AK272">
        <v>0.05</v>
      </c>
      <c r="AL272">
        <v>0.05</v>
      </c>
      <c r="AM272">
        <v>0.05</v>
      </c>
      <c r="AN272">
        <v>0.05</v>
      </c>
    </row>
    <row r="273" spans="1:40">
      <c r="B273" t="s">
        <v>961</v>
      </c>
      <c r="C273" t="s">
        <v>962</v>
      </c>
    </row>
    <row r="274" spans="1:40">
      <c r="A274" t="s">
        <v>856</v>
      </c>
    </row>
    <row r="275" spans="1:40">
      <c r="B275" t="s">
        <v>911</v>
      </c>
      <c r="C275" t="s">
        <v>912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</row>
    <row r="276" spans="1:40">
      <c r="B276" t="s">
        <v>963</v>
      </c>
      <c r="C276" t="s">
        <v>964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</row>
    <row r="277" spans="1:40">
      <c r="A277" t="s">
        <v>857</v>
      </c>
    </row>
    <row r="278" spans="1:40">
      <c r="B278" t="s">
        <v>858</v>
      </c>
      <c r="C278" t="s">
        <v>859</v>
      </c>
    </row>
    <row r="279" spans="1:40">
      <c r="B279" t="s">
        <v>860</v>
      </c>
      <c r="C279" t="s">
        <v>861</v>
      </c>
    </row>
    <row r="280" spans="1:40">
      <c r="B280" t="s">
        <v>864</v>
      </c>
      <c r="C280" t="s">
        <v>865</v>
      </c>
    </row>
    <row r="281" spans="1:40">
      <c r="B281" t="s">
        <v>866</v>
      </c>
      <c r="C281" t="s">
        <v>867</v>
      </c>
    </row>
    <row r="282" spans="1:40">
      <c r="B282" t="s">
        <v>868</v>
      </c>
      <c r="C282" t="s">
        <v>869</v>
      </c>
    </row>
    <row r="283" spans="1:40">
      <c r="B283" t="s">
        <v>870</v>
      </c>
      <c r="C283" t="s">
        <v>871</v>
      </c>
    </row>
    <row r="284" spans="1:40">
      <c r="B284" t="s">
        <v>872</v>
      </c>
      <c r="C284" t="s">
        <v>873</v>
      </c>
    </row>
    <row r="285" spans="1:40">
      <c r="B285" t="s">
        <v>874</v>
      </c>
      <c r="C285" t="s">
        <v>875</v>
      </c>
    </row>
    <row r="286" spans="1:40">
      <c r="B286" t="s">
        <v>878</v>
      </c>
      <c r="C286" t="s">
        <v>879</v>
      </c>
    </row>
    <row r="287" spans="1:40">
      <c r="B287" t="s">
        <v>880</v>
      </c>
      <c r="C287" t="s">
        <v>881</v>
      </c>
    </row>
    <row r="288" spans="1:40">
      <c r="B288" t="s">
        <v>886</v>
      </c>
      <c r="C288" t="s">
        <v>887</v>
      </c>
    </row>
    <row r="289" spans="1:3">
      <c r="A289" t="s">
        <v>910</v>
      </c>
    </row>
    <row r="290" spans="1:3">
      <c r="B290" t="s">
        <v>882</v>
      </c>
      <c r="C290" t="s">
        <v>34</v>
      </c>
    </row>
    <row r="291" spans="1:3">
      <c r="B291" t="s">
        <v>41</v>
      </c>
      <c r="C291" t="s">
        <v>42</v>
      </c>
    </row>
    <row r="292" spans="1:3">
      <c r="B292" t="s">
        <v>43</v>
      </c>
      <c r="C292" t="s">
        <v>44</v>
      </c>
    </row>
    <row r="293" spans="1:3">
      <c r="B293" t="s">
        <v>883</v>
      </c>
      <c r="C293" t="s">
        <v>47</v>
      </c>
    </row>
    <row r="294" spans="1:3">
      <c r="B294" t="s">
        <v>74</v>
      </c>
      <c r="C294" t="s">
        <v>75</v>
      </c>
    </row>
    <row r="295" spans="1:3">
      <c r="B295" t="s">
        <v>76</v>
      </c>
      <c r="C295" t="s">
        <v>77</v>
      </c>
    </row>
    <row r="296" spans="1:3">
      <c r="B296" t="s">
        <v>862</v>
      </c>
      <c r="C296" t="s">
        <v>863</v>
      </c>
    </row>
    <row r="297" spans="1:3">
      <c r="B297" t="s">
        <v>80</v>
      </c>
      <c r="C297" t="s">
        <v>81</v>
      </c>
    </row>
    <row r="298" spans="1:3">
      <c r="B298" t="s">
        <v>82</v>
      </c>
      <c r="C298" t="s">
        <v>83</v>
      </c>
    </row>
    <row r="299" spans="1:3">
      <c r="B299" t="s">
        <v>885</v>
      </c>
      <c r="C299" t="s">
        <v>95</v>
      </c>
    </row>
    <row r="300" spans="1:3">
      <c r="A300" t="s">
        <v>1199</v>
      </c>
    </row>
    <row r="301" spans="1:3">
      <c r="B301" t="s">
        <v>1200</v>
      </c>
      <c r="C301" t="s">
        <v>1201</v>
      </c>
    </row>
    <row r="302" spans="1:3">
      <c r="B302" t="s">
        <v>1202</v>
      </c>
      <c r="C302" t="s">
        <v>1203</v>
      </c>
    </row>
    <row r="303" spans="1:3">
      <c r="B303" t="s">
        <v>1204</v>
      </c>
      <c r="C303" t="s">
        <v>1205</v>
      </c>
    </row>
    <row r="304" spans="1:3">
      <c r="B304" t="s">
        <v>1206</v>
      </c>
      <c r="C304" t="s">
        <v>1207</v>
      </c>
    </row>
    <row r="305" spans="1:5">
      <c r="A305" t="s">
        <v>1189</v>
      </c>
      <c r="B305" t="s">
        <v>2049</v>
      </c>
    </row>
    <row r="306" spans="1:5">
      <c r="A306" t="s">
        <v>847</v>
      </c>
    </row>
    <row r="307" spans="1:5">
      <c r="B307" t="s">
        <v>455</v>
      </c>
      <c r="C307" t="s">
        <v>455</v>
      </c>
      <c r="E307" t="s">
        <v>1188</v>
      </c>
    </row>
    <row r="308" spans="1:5">
      <c r="B308" t="s">
        <v>165</v>
      </c>
      <c r="C308" t="s">
        <v>165</v>
      </c>
      <c r="E308" t="s">
        <v>1186</v>
      </c>
    </row>
    <row r="309" spans="1:5">
      <c r="B309" t="s">
        <v>850</v>
      </c>
      <c r="C309" t="s">
        <v>850</v>
      </c>
      <c r="E309" t="s">
        <v>170</v>
      </c>
    </row>
    <row r="310" spans="1:5">
      <c r="B310" t="s">
        <v>851</v>
      </c>
      <c r="C310" t="s">
        <v>841</v>
      </c>
      <c r="E310" t="s">
        <v>842</v>
      </c>
    </row>
    <row r="311" spans="1:5">
      <c r="B311" t="s">
        <v>852</v>
      </c>
      <c r="C311" t="s">
        <v>840</v>
      </c>
      <c r="E311" t="s">
        <v>842</v>
      </c>
    </row>
    <row r="312" spans="1:5">
      <c r="B312" t="s">
        <v>849</v>
      </c>
      <c r="C312" t="s">
        <v>839</v>
      </c>
      <c r="E312" t="s">
        <v>842</v>
      </c>
    </row>
    <row r="313" spans="1:5">
      <c r="A313" t="s">
        <v>456</v>
      </c>
    </row>
    <row r="314" spans="1:5">
      <c r="B314" t="s">
        <v>843</v>
      </c>
      <c r="C314" t="s">
        <v>457</v>
      </c>
    </row>
    <row r="315" spans="1:5">
      <c r="B315" t="s">
        <v>844</v>
      </c>
      <c r="C315" t="s">
        <v>1220</v>
      </c>
    </row>
    <row r="316" spans="1:5">
      <c r="B316" t="s">
        <v>458</v>
      </c>
      <c r="C316" t="s">
        <v>459</v>
      </c>
    </row>
    <row r="317" spans="1:5">
      <c r="B317" t="s">
        <v>460</v>
      </c>
      <c r="C317" t="s">
        <v>461</v>
      </c>
      <c r="D317" t="str">
        <f>L_CURRENCY_EQTY_200019506_PRI</f>
        <v>AUD</v>
      </c>
      <c r="E317">
        <v>13.75</v>
      </c>
    </row>
    <row r="318" spans="1:5">
      <c r="B318" t="s">
        <v>462</v>
      </c>
      <c r="C318" t="s">
        <v>463</v>
      </c>
      <c r="E318" t="s">
        <v>1192</v>
      </c>
    </row>
    <row r="319" spans="1:5">
      <c r="B319" t="s">
        <v>1007</v>
      </c>
      <c r="C319" t="s">
        <v>1005</v>
      </c>
      <c r="D319" t="str">
        <f>L_CURRENCY_EQTY_200019506_PRI</f>
        <v>AUD</v>
      </c>
    </row>
    <row r="320" spans="1:5">
      <c r="B320" t="s">
        <v>1008</v>
      </c>
      <c r="C320" t="s">
        <v>1006</v>
      </c>
      <c r="D320" t="str">
        <f>L_CURRENCY_EQTY_200019506_PRI</f>
        <v>AUD</v>
      </c>
    </row>
    <row r="321" spans="1:5">
      <c r="B321" t="s">
        <v>464</v>
      </c>
      <c r="C321" t="s">
        <v>853</v>
      </c>
      <c r="E321">
        <v>94.856117999999995</v>
      </c>
    </row>
    <row r="322" spans="1:5">
      <c r="B322" t="s">
        <v>465</v>
      </c>
      <c r="C322" t="s">
        <v>229</v>
      </c>
    </row>
    <row r="323" spans="1:5">
      <c r="B323" t="s">
        <v>466</v>
      </c>
      <c r="C323" t="s">
        <v>467</v>
      </c>
    </row>
    <row r="324" spans="1:5">
      <c r="B324" t="s">
        <v>468</v>
      </c>
      <c r="C324" t="s">
        <v>469</v>
      </c>
    </row>
    <row r="325" spans="1:5">
      <c r="B325" t="s">
        <v>470</v>
      </c>
      <c r="C325" t="s">
        <v>471</v>
      </c>
    </row>
    <row r="326" spans="1:5">
      <c r="B326" t="s">
        <v>472</v>
      </c>
      <c r="C326" t="s">
        <v>473</v>
      </c>
    </row>
    <row r="327" spans="1:5">
      <c r="B327" t="s">
        <v>474</v>
      </c>
      <c r="C327" t="s">
        <v>475</v>
      </c>
    </row>
    <row r="328" spans="1:5">
      <c r="B328" t="s">
        <v>476</v>
      </c>
      <c r="C328" t="s">
        <v>477</v>
      </c>
    </row>
    <row r="329" spans="1:5">
      <c r="B329" t="s">
        <v>478</v>
      </c>
      <c r="C329" t="s">
        <v>479</v>
      </c>
    </row>
    <row r="330" spans="1:5">
      <c r="B330" t="s">
        <v>480</v>
      </c>
      <c r="C330" t="s">
        <v>481</v>
      </c>
    </row>
    <row r="331" spans="1:5">
      <c r="B331" t="s">
        <v>482</v>
      </c>
      <c r="C331" t="s">
        <v>483</v>
      </c>
    </row>
    <row r="332" spans="1:5">
      <c r="B332" t="s">
        <v>484</v>
      </c>
      <c r="C332" t="s">
        <v>485</v>
      </c>
    </row>
    <row r="333" spans="1:5">
      <c r="B333" t="s">
        <v>486</v>
      </c>
      <c r="C333" t="s">
        <v>487</v>
      </c>
    </row>
    <row r="334" spans="1:5">
      <c r="B334" t="s">
        <v>488</v>
      </c>
      <c r="C334" t="s">
        <v>489</v>
      </c>
    </row>
    <row r="335" spans="1:5">
      <c r="B335" t="s">
        <v>490</v>
      </c>
      <c r="C335" t="s">
        <v>491</v>
      </c>
      <c r="E335" t="s">
        <v>1194</v>
      </c>
    </row>
    <row r="336" spans="1:5">
      <c r="A336" t="s">
        <v>492</v>
      </c>
    </row>
    <row r="337" spans="2:40">
      <c r="B337" t="s">
        <v>493</v>
      </c>
      <c r="C337" t="s">
        <v>494</v>
      </c>
      <c r="D337" t="str">
        <f t="shared" ref="D337:D352" si="8">L_CURRENCY_EQTY_200019506_PUB</f>
        <v>AUD</v>
      </c>
      <c r="F337">
        <v>0.13576832959999999</v>
      </c>
      <c r="G337">
        <v>0.13457726637600001</v>
      </c>
      <c r="H337">
        <v>0.172053617863</v>
      </c>
      <c r="I337">
        <v>0.172053617863</v>
      </c>
      <c r="J337">
        <v>0.152998095285</v>
      </c>
      <c r="K337">
        <v>0.197005064511</v>
      </c>
      <c r="L337">
        <v>0.197005064511</v>
      </c>
      <c r="M337">
        <v>0.191946824356</v>
      </c>
      <c r="N337">
        <v>0.232477448222</v>
      </c>
      <c r="O337">
        <v>0.232477448222</v>
      </c>
      <c r="P337">
        <v>0.22570417061600001</v>
      </c>
      <c r="Q337">
        <v>0.26749444558000002</v>
      </c>
      <c r="R337">
        <v>0.26749444558000002</v>
      </c>
      <c r="S337">
        <v>0.25589943797300002</v>
      </c>
      <c r="T337">
        <v>0.32461550666</v>
      </c>
      <c r="U337">
        <v>0.32461550666</v>
      </c>
      <c r="V337">
        <v>0.32109790941499999</v>
      </c>
      <c r="W337">
        <v>0.378697163251</v>
      </c>
      <c r="X337">
        <v>0.378697163251</v>
      </c>
      <c r="Y337">
        <v>0.38890390082600002</v>
      </c>
      <c r="Z337">
        <v>0.49942362210199998</v>
      </c>
      <c r="AA337">
        <v>0.49942362210199998</v>
      </c>
      <c r="AB337">
        <v>0.51474595484399999</v>
      </c>
      <c r="AC337">
        <v>0.65624336648100001</v>
      </c>
      <c r="AD337">
        <v>0.65316820154900002</v>
      </c>
      <c r="AE337">
        <v>0.66766384009099999</v>
      </c>
      <c r="AF337">
        <v>0.77537434116799997</v>
      </c>
      <c r="AG337">
        <v>0.77325375716800004</v>
      </c>
      <c r="AH337">
        <v>0.81076574789</v>
      </c>
      <c r="AI337">
        <v>0.97652678764599998</v>
      </c>
      <c r="AJ337">
        <v>0.97652678764599998</v>
      </c>
      <c r="AK337">
        <v>1.0101719972180001</v>
      </c>
      <c r="AL337">
        <v>1.1981039690319999</v>
      </c>
      <c r="AM337">
        <v>1.1981039690319999</v>
      </c>
      <c r="AN337">
        <v>1.43053543349</v>
      </c>
    </row>
    <row r="338" spans="2:40">
      <c r="B338" t="s">
        <v>495</v>
      </c>
      <c r="C338" t="s">
        <v>496</v>
      </c>
      <c r="D338" t="str">
        <f t="shared" si="8"/>
        <v>AUD</v>
      </c>
      <c r="F338">
        <v>3.5000000000000003E-2</v>
      </c>
      <c r="G338">
        <v>0</v>
      </c>
      <c r="H338">
        <v>3.7499999999999999E-2</v>
      </c>
      <c r="I338">
        <v>3.7499999999999999E-2</v>
      </c>
      <c r="J338">
        <v>0</v>
      </c>
      <c r="K338">
        <v>0.04</v>
      </c>
      <c r="L338">
        <v>0.04</v>
      </c>
      <c r="M338">
        <v>0</v>
      </c>
      <c r="N338">
        <v>0.05</v>
      </c>
      <c r="O338">
        <v>0.05</v>
      </c>
      <c r="P338">
        <v>0</v>
      </c>
      <c r="Q338">
        <v>0.05</v>
      </c>
      <c r="R338">
        <v>0.05</v>
      </c>
      <c r="S338">
        <v>0</v>
      </c>
      <c r="T338">
        <v>0.06</v>
      </c>
      <c r="U338">
        <v>0.06</v>
      </c>
      <c r="V338">
        <v>0</v>
      </c>
      <c r="W338">
        <v>7.0000000000000007E-2</v>
      </c>
      <c r="X338">
        <v>7.0000000000000007E-2</v>
      </c>
      <c r="Y338">
        <v>0</v>
      </c>
      <c r="Z338">
        <v>0.09</v>
      </c>
      <c r="AA338">
        <v>0.09</v>
      </c>
      <c r="AB338">
        <v>0</v>
      </c>
      <c r="AC338">
        <v>0.11</v>
      </c>
      <c r="AD338">
        <v>0.11</v>
      </c>
      <c r="AE338">
        <v>0</v>
      </c>
      <c r="AF338">
        <v>0.13500000000000001</v>
      </c>
      <c r="AG338">
        <v>0.13500000000000001</v>
      </c>
      <c r="AH338">
        <v>0</v>
      </c>
      <c r="AI338">
        <v>0.14248247919400001</v>
      </c>
      <c r="AJ338">
        <v>0.14248247919400001</v>
      </c>
      <c r="AK338">
        <v>0</v>
      </c>
      <c r="AL338">
        <v>0.17081783769799999</v>
      </c>
      <c r="AM338">
        <v>0.17081783769799999</v>
      </c>
      <c r="AN338">
        <v>0.20782545317699999</v>
      </c>
    </row>
    <row r="339" spans="2:40">
      <c r="B339" t="s">
        <v>888</v>
      </c>
      <c r="C339" t="s">
        <v>889</v>
      </c>
      <c r="D339" t="str">
        <f t="shared" si="8"/>
        <v>AUD</v>
      </c>
    </row>
    <row r="340" spans="2:40">
      <c r="B340" t="s">
        <v>497</v>
      </c>
      <c r="C340" t="s">
        <v>498</v>
      </c>
      <c r="D340" t="str">
        <f t="shared" si="8"/>
        <v>AUD</v>
      </c>
      <c r="F340">
        <v>7.1</v>
      </c>
      <c r="G340">
        <v>1.879</v>
      </c>
      <c r="H340">
        <v>3.5209999999999999</v>
      </c>
      <c r="I340">
        <v>5.4</v>
      </c>
      <c r="J340">
        <v>1.538</v>
      </c>
      <c r="K340">
        <v>5.24</v>
      </c>
      <c r="L340">
        <v>6.7779999999999996</v>
      </c>
      <c r="M340">
        <v>4.7</v>
      </c>
      <c r="N340">
        <v>6.0229999999999997</v>
      </c>
      <c r="O340">
        <v>10.723000000000001</v>
      </c>
      <c r="P340">
        <v>5.8</v>
      </c>
      <c r="Q340">
        <v>5.1829999999999998</v>
      </c>
      <c r="R340">
        <v>10.983000000000001</v>
      </c>
      <c r="S340">
        <v>5.6219999999999999</v>
      </c>
      <c r="T340">
        <v>8.5139999999999993</v>
      </c>
      <c r="U340">
        <v>14.135999999999999</v>
      </c>
      <c r="V340">
        <v>6.8129999999999997</v>
      </c>
      <c r="W340">
        <v>10.423</v>
      </c>
      <c r="X340">
        <v>17.236000000000001</v>
      </c>
      <c r="Y340">
        <v>11.818</v>
      </c>
      <c r="Z340">
        <v>13.805999999999999</v>
      </c>
      <c r="AA340">
        <v>25.623999999999999</v>
      </c>
      <c r="AB340">
        <v>13.641999999999999</v>
      </c>
      <c r="AC340">
        <v>15.618</v>
      </c>
      <c r="AD340">
        <v>29.26</v>
      </c>
      <c r="AE340">
        <v>12.664999999999999</v>
      </c>
      <c r="AF340">
        <v>13.435</v>
      </c>
      <c r="AG340">
        <v>26.1</v>
      </c>
      <c r="AH340">
        <v>21.666</v>
      </c>
      <c r="AI340">
        <v>22.312752499999998</v>
      </c>
      <c r="AJ340">
        <v>44.109335000000002</v>
      </c>
      <c r="AK340">
        <v>24.026051450000001</v>
      </c>
      <c r="AL340">
        <v>26.2054443</v>
      </c>
      <c r="AM340">
        <v>50.231495750000001</v>
      </c>
      <c r="AN340">
        <v>58.629748398750003</v>
      </c>
    </row>
    <row r="341" spans="2:40">
      <c r="B341" t="s">
        <v>499</v>
      </c>
      <c r="C341" t="s">
        <v>500</v>
      </c>
      <c r="D341" t="str">
        <f t="shared" si="8"/>
        <v>AUD</v>
      </c>
      <c r="F341">
        <v>6.4416871454999997E-2</v>
      </c>
      <c r="G341">
        <v>1.8786910691999999E-2</v>
      </c>
      <c r="H341">
        <v>3.0849512400000001E-2</v>
      </c>
      <c r="I341">
        <v>4.9372474196E-2</v>
      </c>
      <c r="J341">
        <v>1.6070436779E-2</v>
      </c>
      <c r="K341">
        <v>4.1736088223999997E-2</v>
      </c>
      <c r="L341">
        <v>5.7774074782000001E-2</v>
      </c>
      <c r="M341">
        <v>4.0978308381E-2</v>
      </c>
      <c r="N341">
        <v>4.8680368531000003E-2</v>
      </c>
      <c r="O341">
        <v>8.9523852621999994E-2</v>
      </c>
      <c r="P341">
        <v>4.4762444887999998E-2</v>
      </c>
      <c r="Q341">
        <v>3.5483487639999998E-2</v>
      </c>
      <c r="R341">
        <v>8.0081999626999995E-2</v>
      </c>
      <c r="S341">
        <v>3.9356577326000002E-2</v>
      </c>
      <c r="T341">
        <v>5.8276403007000002E-2</v>
      </c>
      <c r="U341">
        <v>9.7540493288999996E-2</v>
      </c>
      <c r="V341">
        <v>4.5734090066000002E-2</v>
      </c>
      <c r="W341">
        <v>7.2729910815000007E-2</v>
      </c>
      <c r="X341">
        <v>0.11835384010900001</v>
      </c>
      <c r="Y341">
        <v>7.7154561960999998E-2</v>
      </c>
      <c r="Z341">
        <v>9.4234284003000005E-2</v>
      </c>
      <c r="AA341">
        <v>0.171108781179</v>
      </c>
      <c r="AB341">
        <v>0.10736538651999999</v>
      </c>
      <c r="AC341">
        <v>9.9193297400999997E-2</v>
      </c>
      <c r="AD341">
        <v>0.20633053212800001</v>
      </c>
      <c r="AE341">
        <v>0.113055438343</v>
      </c>
      <c r="AF341">
        <v>0.10924967433299999</v>
      </c>
      <c r="AG341">
        <v>0.22200070346</v>
      </c>
      <c r="AH341">
        <v>0.172452125506</v>
      </c>
      <c r="AI341">
        <v>0.16999474474699999</v>
      </c>
      <c r="AJ341">
        <v>0.34244687025300002</v>
      </c>
      <c r="AK341">
        <v>0.17612768876599999</v>
      </c>
      <c r="AL341">
        <v>0.187931971813</v>
      </c>
      <c r="AM341">
        <v>0.36405966058</v>
      </c>
      <c r="AN341">
        <v>0.403249302157</v>
      </c>
    </row>
    <row r="342" spans="2:40">
      <c r="B342" t="s">
        <v>501</v>
      </c>
      <c r="C342" t="s">
        <v>502</v>
      </c>
      <c r="D342" t="str">
        <f t="shared" si="8"/>
        <v>AUD</v>
      </c>
    </row>
    <row r="343" spans="2:40">
      <c r="B343" t="s">
        <v>503</v>
      </c>
      <c r="C343" t="s">
        <v>504</v>
      </c>
      <c r="D343" t="str">
        <f t="shared" si="8"/>
        <v>AUD</v>
      </c>
      <c r="F343">
        <v>-14.968999999999999</v>
      </c>
      <c r="G343">
        <v>-17.254999999999999</v>
      </c>
      <c r="H343">
        <v>-20.245000000000001</v>
      </c>
      <c r="I343">
        <v>-20.245000000000001</v>
      </c>
      <c r="J343">
        <v>-19.832000000000001</v>
      </c>
      <c r="K343">
        <v>-12.468</v>
      </c>
      <c r="L343">
        <v>-12.468</v>
      </c>
      <c r="M343">
        <v>-10.724</v>
      </c>
      <c r="N343">
        <v>-16.852</v>
      </c>
      <c r="O343">
        <v>-16.852</v>
      </c>
      <c r="P343">
        <v>-20.494</v>
      </c>
      <c r="Q343">
        <v>-21.49</v>
      </c>
      <c r="R343">
        <v>-21.49</v>
      </c>
      <c r="S343">
        <v>-16.754000000000001</v>
      </c>
      <c r="T343">
        <v>-22.620999999999999</v>
      </c>
      <c r="U343">
        <v>-22.620999999999999</v>
      </c>
      <c r="V343">
        <v>-20.998000000000001</v>
      </c>
      <c r="W343">
        <v>-38.302999999999997</v>
      </c>
      <c r="X343">
        <v>-38.302999999999997</v>
      </c>
      <c r="Y343">
        <v>-14.837999999999999</v>
      </c>
      <c r="Z343">
        <v>-36.862000000000002</v>
      </c>
      <c r="AA343">
        <v>-36.862000000000002</v>
      </c>
      <c r="AB343">
        <v>-32.988999999999997</v>
      </c>
      <c r="AC343">
        <v>-54.576999999999998</v>
      </c>
      <c r="AD343">
        <v>-54.576999999999998</v>
      </c>
      <c r="AE343">
        <v>-46.332000000000001</v>
      </c>
      <c r="AF343">
        <v>-56.601999999999997</v>
      </c>
      <c r="AG343">
        <v>-56.601999999999997</v>
      </c>
      <c r="AH343">
        <v>-52.438000000000002</v>
      </c>
      <c r="AI343">
        <v>-64.725510359129999</v>
      </c>
      <c r="AJ343">
        <v>-64.725510359129999</v>
      </c>
      <c r="AK343">
        <v>-58.826627398202</v>
      </c>
      <c r="AL343">
        <v>-78.801608050541006</v>
      </c>
      <c r="AM343">
        <v>-78.801608050541006</v>
      </c>
      <c r="AN343">
        <v>-99.266553823341994</v>
      </c>
    </row>
    <row r="344" spans="2:40">
      <c r="B344" t="s">
        <v>1030</v>
      </c>
      <c r="C344" t="s">
        <v>1027</v>
      </c>
      <c r="D344" t="str">
        <f t="shared" si="8"/>
        <v>AUD</v>
      </c>
      <c r="F344">
        <v>-14.968999999999999</v>
      </c>
      <c r="G344">
        <v>-17.254999999999999</v>
      </c>
      <c r="H344">
        <v>-20.245000000000001</v>
      </c>
      <c r="I344">
        <v>-20.245000000000001</v>
      </c>
      <c r="J344">
        <v>-19.832000000000001</v>
      </c>
      <c r="K344">
        <v>-12.468</v>
      </c>
      <c r="L344">
        <v>-12.468</v>
      </c>
      <c r="M344">
        <v>-10.724</v>
      </c>
      <c r="N344">
        <v>-16.852</v>
      </c>
      <c r="O344">
        <v>-16.852</v>
      </c>
      <c r="P344">
        <v>-20.494</v>
      </c>
      <c r="Q344">
        <v>-21.49</v>
      </c>
      <c r="R344">
        <v>-21.49</v>
      </c>
      <c r="S344">
        <v>-29.292000000000002</v>
      </c>
      <c r="T344">
        <v>-34.555999999999997</v>
      </c>
      <c r="U344">
        <v>-34.555999999999997</v>
      </c>
      <c r="V344">
        <v>-33.953000000000003</v>
      </c>
      <c r="W344">
        <v>-51.048000000000002</v>
      </c>
      <c r="X344">
        <v>-51.048000000000002</v>
      </c>
      <c r="Y344">
        <v>-27.669</v>
      </c>
      <c r="Z344">
        <v>-48.36</v>
      </c>
      <c r="AA344">
        <v>-48.36</v>
      </c>
      <c r="AB344">
        <v>-43.969000000000001</v>
      </c>
      <c r="AC344">
        <v>-63.793999999999997</v>
      </c>
      <c r="AD344">
        <v>-63.793999999999997</v>
      </c>
      <c r="AE344">
        <v>-53.969000000000001</v>
      </c>
      <c r="AF344">
        <v>-72.519000000000005</v>
      </c>
      <c r="AG344">
        <v>-72.519000000000005</v>
      </c>
      <c r="AH344">
        <v>-67.108999999999995</v>
      </c>
      <c r="AI344">
        <v>-84.14251035913</v>
      </c>
      <c r="AJ344">
        <v>-84.14251035913</v>
      </c>
      <c r="AK344">
        <v>-78.743627398201994</v>
      </c>
      <c r="AL344">
        <v>-102.21860805054099</v>
      </c>
      <c r="AM344">
        <v>-102.21860805054099</v>
      </c>
      <c r="AN344">
        <v>-124.683553823342</v>
      </c>
    </row>
    <row r="345" spans="2:40">
      <c r="B345" t="s">
        <v>1028</v>
      </c>
      <c r="C345" t="s">
        <v>1029</v>
      </c>
      <c r="D345" t="str">
        <f t="shared" si="8"/>
        <v>AUD</v>
      </c>
    </row>
    <row r="346" spans="2:40">
      <c r="B346" t="s">
        <v>505</v>
      </c>
      <c r="C346" t="s">
        <v>506</v>
      </c>
      <c r="D346" t="str">
        <f t="shared" si="8"/>
        <v>AUD</v>
      </c>
      <c r="F346">
        <v>5.6849999999999996</v>
      </c>
      <c r="G346">
        <v>1.677</v>
      </c>
      <c r="H346">
        <v>2.7930000000000001</v>
      </c>
      <c r="I346">
        <v>4.47</v>
      </c>
      <c r="J346">
        <v>1.4610000000000001</v>
      </c>
      <c r="K346">
        <v>3.802</v>
      </c>
      <c r="L346">
        <v>5.2629999999999999</v>
      </c>
      <c r="M346">
        <v>3.742</v>
      </c>
      <c r="N346">
        <v>4.46</v>
      </c>
      <c r="O346">
        <v>8.202</v>
      </c>
      <c r="P346">
        <v>4.1100000000000003</v>
      </c>
      <c r="Q346">
        <v>3.27</v>
      </c>
      <c r="R346">
        <v>7.38</v>
      </c>
      <c r="S346">
        <v>3.6429999999999998</v>
      </c>
      <c r="T346">
        <v>5.407</v>
      </c>
      <c r="U346">
        <v>9.0500000000000007</v>
      </c>
      <c r="V346">
        <v>4.25</v>
      </c>
      <c r="W346">
        <v>6.7750000000000004</v>
      </c>
      <c r="X346">
        <v>11.025</v>
      </c>
      <c r="Y346">
        <v>7.2270000000000003</v>
      </c>
      <c r="Z346">
        <v>8.859</v>
      </c>
      <c r="AA346">
        <v>16.085999999999999</v>
      </c>
      <c r="AB346">
        <v>10.115</v>
      </c>
      <c r="AC346">
        <v>9.3650000000000002</v>
      </c>
      <c r="AD346">
        <v>19.48</v>
      </c>
      <c r="AE346">
        <v>10.724</v>
      </c>
      <c r="AF346">
        <v>10.363</v>
      </c>
      <c r="AG346">
        <v>21.087</v>
      </c>
      <c r="AH346">
        <v>16.402999999999999</v>
      </c>
      <c r="AI346">
        <v>16.169263149999999</v>
      </c>
      <c r="AJ346">
        <v>32.572263149999998</v>
      </c>
      <c r="AK346">
        <v>16.752605805000002</v>
      </c>
      <c r="AL346">
        <v>17.875384977789999</v>
      </c>
      <c r="AM346">
        <v>34.62799078279</v>
      </c>
      <c r="AN346">
        <v>38.355562646034002</v>
      </c>
    </row>
    <row r="347" spans="2:40">
      <c r="B347" t="s">
        <v>507</v>
      </c>
      <c r="C347" t="s">
        <v>508</v>
      </c>
      <c r="D347" t="str">
        <f t="shared" si="8"/>
        <v>AUD</v>
      </c>
      <c r="F347">
        <v>7.1459999999999999</v>
      </c>
      <c r="G347">
        <v>1.879</v>
      </c>
      <c r="H347">
        <v>3.508</v>
      </c>
      <c r="I347">
        <v>5.3869999999999996</v>
      </c>
      <c r="J347">
        <v>1.304</v>
      </c>
      <c r="K347">
        <v>4.5579999999999998</v>
      </c>
      <c r="L347">
        <v>5.8620000000000001</v>
      </c>
      <c r="M347">
        <v>4.5970000000000004</v>
      </c>
      <c r="N347">
        <v>5.4720000000000004</v>
      </c>
      <c r="O347">
        <v>10.069000000000001</v>
      </c>
      <c r="P347">
        <v>5.3029999999999999</v>
      </c>
      <c r="Q347">
        <v>4.141</v>
      </c>
      <c r="R347">
        <v>9.4440000000000008</v>
      </c>
      <c r="S347">
        <v>4.2080000000000002</v>
      </c>
      <c r="T347">
        <v>7.085</v>
      </c>
      <c r="U347">
        <v>11.292999999999999</v>
      </c>
      <c r="V347">
        <v>5.4409999999999998</v>
      </c>
      <c r="W347">
        <v>8.6929999999999996</v>
      </c>
      <c r="X347">
        <v>14.134</v>
      </c>
      <c r="Y347">
        <v>9.4570000000000007</v>
      </c>
      <c r="Z347">
        <v>11.382</v>
      </c>
      <c r="AA347">
        <v>20.838999999999999</v>
      </c>
      <c r="AB347">
        <v>19.106000000000002</v>
      </c>
      <c r="AC347">
        <v>18.579499999999999</v>
      </c>
      <c r="AD347">
        <v>23.736000000000001</v>
      </c>
      <c r="AE347">
        <v>10.295</v>
      </c>
      <c r="AF347">
        <v>12.291</v>
      </c>
      <c r="AG347">
        <v>22.585999999999999</v>
      </c>
      <c r="AH347">
        <v>18.562000000000001</v>
      </c>
      <c r="AI347">
        <v>18.606638</v>
      </c>
      <c r="AJ347">
        <v>36.810105999999998</v>
      </c>
      <c r="AK347">
        <v>18.8801202</v>
      </c>
      <c r="AL347">
        <v>21.05951305</v>
      </c>
      <c r="AM347">
        <v>39.93963325</v>
      </c>
      <c r="AN347">
        <v>45.143944928750003</v>
      </c>
    </row>
    <row r="348" spans="2:40">
      <c r="B348" t="s">
        <v>509</v>
      </c>
      <c r="C348" t="s">
        <v>510</v>
      </c>
      <c r="D348" t="str">
        <f t="shared" si="8"/>
        <v>AUD</v>
      </c>
      <c r="F348">
        <v>7.109</v>
      </c>
      <c r="G348">
        <v>1.8089999999999999</v>
      </c>
      <c r="H348">
        <v>3.4660000000000002</v>
      </c>
      <c r="I348">
        <v>5.2750000000000004</v>
      </c>
      <c r="J348">
        <v>1.242</v>
      </c>
      <c r="K348">
        <v>4.8230000000000004</v>
      </c>
      <c r="L348">
        <v>6.0650000000000004</v>
      </c>
      <c r="M348">
        <v>4.5869999999999997</v>
      </c>
      <c r="N348">
        <v>5.2460000000000004</v>
      </c>
      <c r="O348">
        <v>9.8330000000000002</v>
      </c>
      <c r="P348">
        <v>5.2389999999999999</v>
      </c>
      <c r="Q348">
        <v>4.1379999999999999</v>
      </c>
      <c r="R348">
        <v>9.3770000000000007</v>
      </c>
      <c r="S348">
        <v>4.04</v>
      </c>
      <c r="T348">
        <v>6.7649999999999997</v>
      </c>
      <c r="U348">
        <v>10.805</v>
      </c>
      <c r="V348">
        <v>5.1639999999999997</v>
      </c>
      <c r="W348">
        <v>8.4269999999999996</v>
      </c>
      <c r="X348">
        <v>13.590999999999999</v>
      </c>
      <c r="Y348">
        <v>9.1050000000000004</v>
      </c>
      <c r="Z348">
        <v>11.122</v>
      </c>
      <c r="AA348">
        <v>20.227</v>
      </c>
      <c r="AB348">
        <v>12.477</v>
      </c>
      <c r="AC348">
        <v>10.845000000000001</v>
      </c>
      <c r="AD348">
        <v>23.321999999999999</v>
      </c>
      <c r="AE348">
        <v>10.749000000000001</v>
      </c>
      <c r="AF348">
        <v>11.228999999999999</v>
      </c>
      <c r="AG348">
        <v>21.978000000000002</v>
      </c>
      <c r="AH348">
        <v>19.634</v>
      </c>
      <c r="AI348">
        <v>17.0119355</v>
      </c>
      <c r="AJ348">
        <v>36.1914035</v>
      </c>
      <c r="AK348">
        <v>18.614006450000002</v>
      </c>
      <c r="AL348">
        <v>20.735983075898002</v>
      </c>
      <c r="AM348">
        <v>39.349989525898003</v>
      </c>
      <c r="AN348">
        <v>44.599491448876002</v>
      </c>
    </row>
    <row r="349" spans="2:40">
      <c r="B349" t="s">
        <v>511</v>
      </c>
      <c r="C349" t="s">
        <v>512</v>
      </c>
      <c r="D349" t="str">
        <f t="shared" si="8"/>
        <v>AUD</v>
      </c>
      <c r="F349">
        <v>48.581000000000003</v>
      </c>
      <c r="G349">
        <v>24.001999999999999</v>
      </c>
      <c r="H349">
        <v>26.004999999999999</v>
      </c>
      <c r="I349">
        <v>50.006999999999998</v>
      </c>
      <c r="J349">
        <v>22.785</v>
      </c>
      <c r="K349">
        <v>27.364999999999998</v>
      </c>
      <c r="L349">
        <v>50.15</v>
      </c>
      <c r="M349">
        <v>30.254999999999999</v>
      </c>
      <c r="N349">
        <v>32.344000000000001</v>
      </c>
      <c r="O349">
        <v>62.598999999999997</v>
      </c>
      <c r="P349">
        <v>33.328000000000003</v>
      </c>
      <c r="Q349">
        <v>29.782</v>
      </c>
      <c r="R349">
        <v>63.11</v>
      </c>
      <c r="S349">
        <v>29.166</v>
      </c>
      <c r="T349">
        <v>32.893999999999998</v>
      </c>
      <c r="U349">
        <v>62.06</v>
      </c>
      <c r="V349">
        <v>33.256999999999998</v>
      </c>
      <c r="W349">
        <v>36.783000000000001</v>
      </c>
      <c r="X349">
        <v>70.040000000000006</v>
      </c>
      <c r="Y349">
        <v>46.465000000000003</v>
      </c>
      <c r="Z349">
        <v>48.591000000000001</v>
      </c>
      <c r="AA349">
        <v>95.055999999999997</v>
      </c>
      <c r="AB349">
        <v>52.674999999999997</v>
      </c>
      <c r="AC349">
        <v>53.83</v>
      </c>
      <c r="AD349">
        <v>106.505</v>
      </c>
      <c r="AE349">
        <v>55.033000000000001</v>
      </c>
      <c r="AF349">
        <v>55.366999999999997</v>
      </c>
      <c r="AG349">
        <v>110.4</v>
      </c>
      <c r="AH349">
        <v>57.783000000000001</v>
      </c>
      <c r="AI349">
        <v>59.859000000000002</v>
      </c>
      <c r="AJ349">
        <v>117.642</v>
      </c>
      <c r="AK349">
        <v>63.301544999999997</v>
      </c>
      <c r="AL349">
        <v>66.812955000000002</v>
      </c>
      <c r="AM349">
        <v>130.11449999999999</v>
      </c>
      <c r="AN349">
        <v>145.179135</v>
      </c>
    </row>
    <row r="350" spans="2:40">
      <c r="B350" t="s">
        <v>513</v>
      </c>
      <c r="C350" t="s">
        <v>514</v>
      </c>
      <c r="D350" t="str">
        <f t="shared" si="8"/>
        <v>AUD</v>
      </c>
      <c r="F350">
        <v>11.981999999999999</v>
      </c>
      <c r="G350">
        <v>12.148999999999999</v>
      </c>
      <c r="H350">
        <v>15.622</v>
      </c>
      <c r="I350">
        <v>15.622</v>
      </c>
      <c r="J350">
        <v>13.927</v>
      </c>
      <c r="K350">
        <v>17.96</v>
      </c>
      <c r="L350">
        <v>17.96</v>
      </c>
      <c r="M350">
        <v>17.556999999999999</v>
      </c>
      <c r="N350">
        <v>21.334</v>
      </c>
      <c r="O350">
        <v>21.334</v>
      </c>
      <c r="P350">
        <v>20.734999999999999</v>
      </c>
      <c r="Q350">
        <v>24.728000000000002</v>
      </c>
      <c r="R350">
        <v>24.728000000000002</v>
      </c>
      <c r="S350">
        <v>23.718</v>
      </c>
      <c r="T350">
        <v>30.15</v>
      </c>
      <c r="U350">
        <v>30.15</v>
      </c>
      <c r="V350">
        <v>29.855</v>
      </c>
      <c r="W350">
        <v>35.343000000000004</v>
      </c>
      <c r="X350">
        <v>35.343000000000004</v>
      </c>
      <c r="Y350">
        <v>36.561</v>
      </c>
      <c r="Z350">
        <v>46.951000000000001</v>
      </c>
      <c r="AA350">
        <v>46.951000000000001</v>
      </c>
      <c r="AB350">
        <v>48.597999999999999</v>
      </c>
      <c r="AC350">
        <v>61.957000000000001</v>
      </c>
      <c r="AD350">
        <v>61.957000000000001</v>
      </c>
      <c r="AE350">
        <v>63.332000000000001</v>
      </c>
      <c r="AF350">
        <v>73.549000000000007</v>
      </c>
      <c r="AG350">
        <v>73.549000000000007</v>
      </c>
      <c r="AH350">
        <v>77.117000000000004</v>
      </c>
      <c r="AI350">
        <v>92.883568995000005</v>
      </c>
      <c r="AJ350">
        <v>92.883568995000005</v>
      </c>
      <c r="AK350">
        <v>96.083775260916994</v>
      </c>
      <c r="AL350">
        <v>113.959160238707</v>
      </c>
      <c r="AM350">
        <v>113.959160238707</v>
      </c>
      <c r="AN350">
        <v>136.06717021730699</v>
      </c>
    </row>
    <row r="351" spans="2:40">
      <c r="B351" t="s">
        <v>515</v>
      </c>
      <c r="C351" t="s">
        <v>516</v>
      </c>
      <c r="D351" t="str">
        <f t="shared" si="8"/>
        <v>AUD</v>
      </c>
    </row>
    <row r="352" spans="2:40">
      <c r="B352" t="s">
        <v>220</v>
      </c>
      <c r="C352" t="s">
        <v>242</v>
      </c>
      <c r="D352" t="str">
        <f t="shared" si="8"/>
        <v>AUD</v>
      </c>
    </row>
    <row r="353" spans="1:4">
      <c r="A353" t="s">
        <v>517</v>
      </c>
    </row>
    <row r="354" spans="1:4">
      <c r="B354" t="s">
        <v>450</v>
      </c>
      <c r="C354" t="s">
        <v>108</v>
      </c>
    </row>
    <row r="355" spans="1:4">
      <c r="B355" t="s">
        <v>519</v>
      </c>
      <c r="C355" t="s">
        <v>520</v>
      </c>
    </row>
    <row r="356" spans="1:4">
      <c r="B356" t="s">
        <v>521</v>
      </c>
      <c r="C356" t="s">
        <v>522</v>
      </c>
    </row>
    <row r="357" spans="1:4">
      <c r="B357" t="s">
        <v>523</v>
      </c>
      <c r="C357" t="s">
        <v>524</v>
      </c>
    </row>
    <row r="358" spans="1:4">
      <c r="B358" t="s">
        <v>525</v>
      </c>
      <c r="C358" t="s">
        <v>526</v>
      </c>
    </row>
    <row r="359" spans="1:4">
      <c r="B359" t="s">
        <v>356</v>
      </c>
      <c r="C359" t="s">
        <v>527</v>
      </c>
      <c r="D359" t="str">
        <f t="shared" ref="D359:D369" si="9">L_CURRENCY_EQTY_200019506_REP</f>
        <v>AUD</v>
      </c>
    </row>
    <row r="360" spans="1:4">
      <c r="B360" t="s">
        <v>357</v>
      </c>
      <c r="C360" t="s">
        <v>528</v>
      </c>
      <c r="D360" t="str">
        <f t="shared" si="9"/>
        <v>AUD</v>
      </c>
    </row>
    <row r="361" spans="1:4">
      <c r="B361" t="s">
        <v>529</v>
      </c>
      <c r="C361" t="s">
        <v>530</v>
      </c>
      <c r="D361" t="str">
        <f t="shared" si="9"/>
        <v>AUD</v>
      </c>
    </row>
    <row r="362" spans="1:4">
      <c r="B362" t="s">
        <v>531</v>
      </c>
      <c r="C362" t="s">
        <v>532</v>
      </c>
      <c r="D362" t="str">
        <f t="shared" si="9"/>
        <v>AUD</v>
      </c>
    </row>
    <row r="363" spans="1:4">
      <c r="B363" t="s">
        <v>533</v>
      </c>
      <c r="C363" t="s">
        <v>534</v>
      </c>
      <c r="D363" t="str">
        <f t="shared" si="9"/>
        <v>AUD</v>
      </c>
    </row>
    <row r="364" spans="1:4">
      <c r="B364" t="s">
        <v>358</v>
      </c>
      <c r="C364" t="s">
        <v>535</v>
      </c>
      <c r="D364" t="str">
        <f t="shared" si="9"/>
        <v>AUD</v>
      </c>
    </row>
    <row r="365" spans="1:4">
      <c r="B365" t="s">
        <v>360</v>
      </c>
      <c r="C365" t="s">
        <v>536</v>
      </c>
      <c r="D365" t="str">
        <f t="shared" si="9"/>
        <v>AUD</v>
      </c>
    </row>
    <row r="366" spans="1:4">
      <c r="B366" t="s">
        <v>537</v>
      </c>
      <c r="C366" t="s">
        <v>538</v>
      </c>
      <c r="D366" t="str">
        <f t="shared" si="9"/>
        <v>AUD</v>
      </c>
    </row>
    <row r="367" spans="1:4">
      <c r="B367" t="s">
        <v>539</v>
      </c>
      <c r="C367" t="s">
        <v>540</v>
      </c>
      <c r="D367" t="str">
        <f t="shared" si="9"/>
        <v>AUD</v>
      </c>
    </row>
    <row r="368" spans="1:4">
      <c r="B368" t="s">
        <v>359</v>
      </c>
      <c r="C368" t="s">
        <v>541</v>
      </c>
      <c r="D368" t="str">
        <f t="shared" si="9"/>
        <v>AUD</v>
      </c>
    </row>
    <row r="369" spans="1:40">
      <c r="B369" t="s">
        <v>345</v>
      </c>
      <c r="C369" t="s">
        <v>542</v>
      </c>
      <c r="D369" t="str">
        <f t="shared" si="9"/>
        <v>AUD</v>
      </c>
    </row>
    <row r="370" spans="1:40">
      <c r="B370" t="s">
        <v>451</v>
      </c>
      <c r="C370" t="s">
        <v>543</v>
      </c>
      <c r="D370" t="str">
        <f>L_CURRENCY_EQTY_200019506_PUB</f>
        <v>AUD</v>
      </c>
    </row>
    <row r="371" spans="1:40">
      <c r="B371" t="s">
        <v>544</v>
      </c>
      <c r="C371" t="s">
        <v>545</v>
      </c>
    </row>
    <row r="372" spans="1:40">
      <c r="B372" t="s">
        <v>890</v>
      </c>
      <c r="C372" t="s">
        <v>891</v>
      </c>
    </row>
    <row r="373" spans="1:40">
      <c r="B373" t="s">
        <v>546</v>
      </c>
      <c r="C373" t="s">
        <v>241</v>
      </c>
    </row>
    <row r="374" spans="1:40">
      <c r="A374" t="s">
        <v>547</v>
      </c>
    </row>
    <row r="375" spans="1:40">
      <c r="B375" t="s">
        <v>584</v>
      </c>
      <c r="C375" t="s">
        <v>585</v>
      </c>
      <c r="D375" t="str">
        <f t="shared" ref="D375:D387" si="10">L_CURRENCY_EQTY_200019506_REP</f>
        <v>AUD</v>
      </c>
      <c r="F375">
        <v>-1.4239999999999999</v>
      </c>
      <c r="G375">
        <v>-0.13200000000000001</v>
      </c>
      <c r="H375">
        <v>-0.67300000000000004</v>
      </c>
      <c r="I375">
        <v>-0.80500000000000005</v>
      </c>
      <c r="J375">
        <v>0.219</v>
      </c>
      <c r="K375">
        <v>-1.0209999999999999</v>
      </c>
      <c r="L375">
        <v>-0.80200000000000005</v>
      </c>
      <c r="M375">
        <v>-0.84499999999999997</v>
      </c>
      <c r="N375">
        <v>-0.78600000000000003</v>
      </c>
      <c r="O375">
        <v>-1.631</v>
      </c>
      <c r="P375">
        <v>-1.129</v>
      </c>
      <c r="Q375">
        <v>-0.86799999999999999</v>
      </c>
      <c r="R375">
        <v>-1.9970000000000001</v>
      </c>
      <c r="S375">
        <v>-0.39700000000000002</v>
      </c>
      <c r="T375">
        <v>-1.3580000000000001</v>
      </c>
      <c r="U375">
        <v>-1.7549999999999999</v>
      </c>
      <c r="V375">
        <v>-0.91400000000000003</v>
      </c>
      <c r="W375">
        <v>-1.6519999999999999</v>
      </c>
      <c r="X375">
        <v>-2.5659999999999998</v>
      </c>
      <c r="Y375">
        <v>-1.8779999999999999</v>
      </c>
      <c r="Z375">
        <v>-2.2629999999999999</v>
      </c>
      <c r="AA375">
        <v>-4.141</v>
      </c>
      <c r="AB375">
        <v>-2.3620000000000001</v>
      </c>
      <c r="AC375">
        <v>-1.48</v>
      </c>
      <c r="AD375">
        <v>-3.8420000000000001</v>
      </c>
      <c r="AE375">
        <v>-2.5000000000000001E-2</v>
      </c>
      <c r="AF375">
        <v>-0.86599999999999999</v>
      </c>
      <c r="AG375">
        <v>-0.89100000000000001</v>
      </c>
      <c r="AH375">
        <v>-3.2309999999999999</v>
      </c>
      <c r="AI375">
        <v>-0.38814035000000002</v>
      </c>
      <c r="AJ375">
        <v>-3.6191403499999999</v>
      </c>
      <c r="AK375">
        <v>-1.861400645</v>
      </c>
      <c r="AL375">
        <v>-2.8605980981079999</v>
      </c>
      <c r="AM375">
        <v>-4.7219987431080002</v>
      </c>
      <c r="AN375">
        <v>-6.2439288028429996</v>
      </c>
    </row>
    <row r="376" spans="1:40">
      <c r="B376" t="s">
        <v>586</v>
      </c>
      <c r="C376" t="s">
        <v>587</v>
      </c>
      <c r="D376" t="str">
        <f t="shared" si="10"/>
        <v>AUD</v>
      </c>
    </row>
    <row r="377" spans="1:40">
      <c r="B377" t="s">
        <v>588</v>
      </c>
      <c r="C377" t="s">
        <v>589</v>
      </c>
      <c r="D377" t="str">
        <f t="shared" si="10"/>
        <v>AUD</v>
      </c>
      <c r="F377">
        <v>5.6849999999999996</v>
      </c>
      <c r="G377">
        <v>1.677</v>
      </c>
      <c r="H377">
        <v>2.7930000000000001</v>
      </c>
      <c r="I377">
        <v>4.47</v>
      </c>
      <c r="J377">
        <v>1.4610000000000001</v>
      </c>
      <c r="K377">
        <v>3.802</v>
      </c>
      <c r="L377">
        <v>5.2629999999999999</v>
      </c>
      <c r="M377">
        <v>3.742</v>
      </c>
      <c r="N377">
        <v>4.46</v>
      </c>
      <c r="O377">
        <v>8.202</v>
      </c>
      <c r="P377">
        <v>4.1100000000000003</v>
      </c>
      <c r="Q377">
        <v>3.27</v>
      </c>
      <c r="R377">
        <v>7.38</v>
      </c>
      <c r="S377">
        <v>3.6429999999999998</v>
      </c>
      <c r="T377">
        <v>5.407</v>
      </c>
      <c r="U377">
        <v>9.0500000000000007</v>
      </c>
      <c r="V377">
        <v>4.25</v>
      </c>
      <c r="W377">
        <v>6.7750000000000004</v>
      </c>
      <c r="X377">
        <v>11.025</v>
      </c>
      <c r="Y377">
        <v>7.2270000000000003</v>
      </c>
      <c r="Z377">
        <v>8.859</v>
      </c>
      <c r="AA377">
        <v>16.085999999999999</v>
      </c>
      <c r="AB377">
        <v>10.115</v>
      </c>
      <c r="AC377">
        <v>9.3650000000000002</v>
      </c>
      <c r="AD377">
        <v>19.48</v>
      </c>
      <c r="AE377">
        <v>10.724</v>
      </c>
      <c r="AF377">
        <v>10.363</v>
      </c>
      <c r="AG377">
        <v>21.087</v>
      </c>
      <c r="AH377">
        <v>16.402999999999999</v>
      </c>
      <c r="AI377">
        <v>16.623795149999999</v>
      </c>
      <c r="AJ377">
        <v>32.572263149999998</v>
      </c>
      <c r="AK377">
        <v>16.752605805000002</v>
      </c>
      <c r="AL377">
        <v>17.875384977789999</v>
      </c>
      <c r="AM377">
        <v>34.62799078279</v>
      </c>
      <c r="AN377">
        <v>38.355562646034002</v>
      </c>
    </row>
    <row r="378" spans="1:40">
      <c r="B378" t="s">
        <v>590</v>
      </c>
      <c r="C378" t="s">
        <v>591</v>
      </c>
      <c r="D378" t="str">
        <f t="shared" si="10"/>
        <v>AUD</v>
      </c>
    </row>
    <row r="379" spans="1:40">
      <c r="B379" t="s">
        <v>592</v>
      </c>
      <c r="C379" t="s">
        <v>593</v>
      </c>
      <c r="D379" t="str">
        <f t="shared" si="10"/>
        <v>AUD</v>
      </c>
      <c r="F379">
        <v>5.6849999999999996</v>
      </c>
      <c r="G379">
        <v>1.677</v>
      </c>
      <c r="H379">
        <v>2.7930000000000001</v>
      </c>
      <c r="I379">
        <v>4.47</v>
      </c>
      <c r="J379">
        <v>1.4610000000000001</v>
      </c>
      <c r="K379">
        <v>3.802</v>
      </c>
      <c r="L379">
        <v>5.2629999999999999</v>
      </c>
      <c r="M379">
        <v>3.742</v>
      </c>
      <c r="N379">
        <v>4.46</v>
      </c>
      <c r="O379">
        <v>8.202</v>
      </c>
      <c r="P379">
        <v>4.1100000000000003</v>
      </c>
      <c r="Q379">
        <v>3.27</v>
      </c>
      <c r="R379">
        <v>7.38</v>
      </c>
      <c r="S379">
        <v>3.6429999999999998</v>
      </c>
      <c r="T379">
        <v>5.407</v>
      </c>
      <c r="U379">
        <v>9.0500000000000007</v>
      </c>
      <c r="V379">
        <v>4.25</v>
      </c>
      <c r="W379">
        <v>6.7750000000000004</v>
      </c>
      <c r="X379">
        <v>11.025</v>
      </c>
      <c r="Y379">
        <v>7.2270000000000003</v>
      </c>
      <c r="Z379">
        <v>8.859</v>
      </c>
      <c r="AA379">
        <v>16.085999999999999</v>
      </c>
      <c r="AB379">
        <v>10.115</v>
      </c>
      <c r="AC379">
        <v>9.3650000000000002</v>
      </c>
      <c r="AD379">
        <v>19.48</v>
      </c>
      <c r="AE379">
        <v>10.724</v>
      </c>
      <c r="AF379">
        <v>10.363</v>
      </c>
      <c r="AG379">
        <v>21.087</v>
      </c>
      <c r="AH379">
        <v>16.402999999999999</v>
      </c>
      <c r="AI379">
        <v>16.169263149999999</v>
      </c>
      <c r="AJ379">
        <v>32.572263149999998</v>
      </c>
      <c r="AK379">
        <v>16.752605805000002</v>
      </c>
      <c r="AL379">
        <v>17.875384977789999</v>
      </c>
      <c r="AM379">
        <v>34.62799078279</v>
      </c>
      <c r="AN379">
        <v>38.355562646034002</v>
      </c>
    </row>
    <row r="380" spans="1:40">
      <c r="B380" t="s">
        <v>594</v>
      </c>
      <c r="C380" t="s">
        <v>595</v>
      </c>
      <c r="D380" t="str">
        <f t="shared" si="10"/>
        <v>AUD</v>
      </c>
      <c r="AB380">
        <v>-1.44</v>
      </c>
      <c r="AC380">
        <v>1.5229999999999999</v>
      </c>
      <c r="AD380">
        <v>8.3000000000000004E-2</v>
      </c>
    </row>
    <row r="381" spans="1:40">
      <c r="B381" t="s">
        <v>596</v>
      </c>
      <c r="C381" t="s">
        <v>597</v>
      </c>
      <c r="D381" t="str">
        <f t="shared" si="10"/>
        <v>AUD</v>
      </c>
      <c r="F381">
        <v>5.6849999999999996</v>
      </c>
      <c r="G381">
        <v>1.677</v>
      </c>
      <c r="H381">
        <v>2.7930000000000001</v>
      </c>
      <c r="I381">
        <v>4.47</v>
      </c>
      <c r="J381">
        <v>1.4610000000000001</v>
      </c>
      <c r="K381">
        <v>3.802</v>
      </c>
      <c r="L381">
        <v>5.2629999999999999</v>
      </c>
      <c r="M381">
        <v>3.742</v>
      </c>
      <c r="N381">
        <v>4.46</v>
      </c>
      <c r="O381">
        <v>8.202</v>
      </c>
      <c r="P381">
        <v>4.1100000000000003</v>
      </c>
      <c r="Q381">
        <v>3.27</v>
      </c>
      <c r="R381">
        <v>7.38</v>
      </c>
      <c r="S381">
        <v>3.6429999999999998</v>
      </c>
      <c r="T381">
        <v>5.407</v>
      </c>
      <c r="U381">
        <v>9.0500000000000007</v>
      </c>
      <c r="V381">
        <v>4.25</v>
      </c>
      <c r="W381">
        <v>6.7750000000000004</v>
      </c>
      <c r="X381">
        <v>11.025</v>
      </c>
      <c r="Y381">
        <v>7.2270000000000003</v>
      </c>
      <c r="Z381">
        <v>8.859</v>
      </c>
      <c r="AA381">
        <v>16.085999999999999</v>
      </c>
      <c r="AB381">
        <v>8.6750000000000007</v>
      </c>
      <c r="AC381">
        <v>10.888</v>
      </c>
      <c r="AD381">
        <v>19.562999999999999</v>
      </c>
      <c r="AE381">
        <v>10.724</v>
      </c>
      <c r="AF381">
        <v>10.363</v>
      </c>
      <c r="AG381">
        <v>21.087</v>
      </c>
      <c r="AH381">
        <v>16.402999999999999</v>
      </c>
      <c r="AI381">
        <v>16.169263149999999</v>
      </c>
      <c r="AJ381">
        <v>32.572263149999998</v>
      </c>
      <c r="AK381">
        <v>16.752605805000002</v>
      </c>
      <c r="AL381">
        <v>17.875384977789999</v>
      </c>
      <c r="AM381">
        <v>34.62799078279</v>
      </c>
      <c r="AN381">
        <v>38.355562646034002</v>
      </c>
    </row>
    <row r="382" spans="1:40">
      <c r="B382" t="s">
        <v>598</v>
      </c>
      <c r="C382" t="s">
        <v>446</v>
      </c>
      <c r="D382" t="str">
        <f t="shared" si="10"/>
        <v>AUD</v>
      </c>
      <c r="F382">
        <v>6.4416871454999997E-2</v>
      </c>
      <c r="G382">
        <v>1.8786910691999999E-2</v>
      </c>
      <c r="H382">
        <v>3.0849512400000001E-2</v>
      </c>
      <c r="I382">
        <v>4.9372474196E-2</v>
      </c>
      <c r="J382">
        <v>1.6070436779E-2</v>
      </c>
      <c r="K382">
        <v>4.1736088223999997E-2</v>
      </c>
      <c r="L382">
        <v>5.7774074782000001E-2</v>
      </c>
      <c r="M382">
        <v>4.0978308381E-2</v>
      </c>
      <c r="N382">
        <v>4.8680368531000003E-2</v>
      </c>
      <c r="O382">
        <v>8.9523852621999994E-2</v>
      </c>
      <c r="P382">
        <v>4.4762444887999998E-2</v>
      </c>
      <c r="Q382">
        <v>3.5483487639999998E-2</v>
      </c>
      <c r="R382">
        <v>8.0081999626999995E-2</v>
      </c>
      <c r="S382">
        <v>3.9356577326000002E-2</v>
      </c>
      <c r="T382">
        <v>5.8276403007000002E-2</v>
      </c>
      <c r="U382">
        <v>9.7540493288999996E-2</v>
      </c>
      <c r="V382">
        <v>4.5734090066000002E-2</v>
      </c>
      <c r="W382">
        <v>7.2729910815000007E-2</v>
      </c>
      <c r="X382">
        <v>0.11835384010900001</v>
      </c>
      <c r="Y382">
        <v>7.7154561960999998E-2</v>
      </c>
      <c r="Z382">
        <v>9.4234284003000005E-2</v>
      </c>
      <c r="AA382">
        <v>0.171108781179</v>
      </c>
      <c r="AB382">
        <v>0.10736538651999999</v>
      </c>
      <c r="AC382">
        <v>9.9193297400999997E-2</v>
      </c>
      <c r="AD382">
        <v>0.20633053212800001</v>
      </c>
      <c r="AE382">
        <v>0.113055438343</v>
      </c>
      <c r="AF382">
        <v>0.10924967433299999</v>
      </c>
      <c r="AG382">
        <v>0.22200070346</v>
      </c>
      <c r="AH382">
        <v>0.172452125506</v>
      </c>
      <c r="AI382">
        <v>0.16999474474699999</v>
      </c>
      <c r="AJ382">
        <v>0.34244687025300002</v>
      </c>
      <c r="AK382">
        <v>0.17612768876599999</v>
      </c>
      <c r="AL382">
        <v>0.187931971813</v>
      </c>
      <c r="AM382">
        <v>0.36405966058</v>
      </c>
      <c r="AN382">
        <v>0.403249302157</v>
      </c>
    </row>
    <row r="383" spans="1:40">
      <c r="B383" t="s">
        <v>599</v>
      </c>
      <c r="C383" t="s">
        <v>600</v>
      </c>
      <c r="D383" t="str">
        <f t="shared" si="10"/>
        <v>AUD</v>
      </c>
      <c r="F383">
        <v>6.4416871454999997E-2</v>
      </c>
      <c r="G383">
        <v>1.8786910691999999E-2</v>
      </c>
      <c r="H383">
        <v>3.0849512400000001E-2</v>
      </c>
      <c r="I383">
        <v>4.9372474196E-2</v>
      </c>
      <c r="J383">
        <v>1.6070436779E-2</v>
      </c>
      <c r="K383">
        <v>4.1736088223999997E-2</v>
      </c>
      <c r="L383">
        <v>5.7774074782000001E-2</v>
      </c>
      <c r="M383">
        <v>4.0978308381E-2</v>
      </c>
      <c r="N383">
        <v>4.8680368531000003E-2</v>
      </c>
      <c r="O383">
        <v>8.9523852621999994E-2</v>
      </c>
      <c r="P383">
        <v>4.4762444887999998E-2</v>
      </c>
      <c r="Q383">
        <v>3.5483487639999998E-2</v>
      </c>
      <c r="R383">
        <v>8.0081999626999995E-2</v>
      </c>
      <c r="S383">
        <v>3.9356577326000002E-2</v>
      </c>
      <c r="T383">
        <v>5.8276403007000002E-2</v>
      </c>
      <c r="U383">
        <v>9.7540493288999996E-2</v>
      </c>
      <c r="V383">
        <v>4.5734090066000002E-2</v>
      </c>
      <c r="W383">
        <v>7.2729910815000007E-2</v>
      </c>
      <c r="X383">
        <v>0.11835384010900001</v>
      </c>
      <c r="Y383">
        <v>7.7154561960999998E-2</v>
      </c>
      <c r="Z383">
        <v>9.4234284003000005E-2</v>
      </c>
      <c r="AA383">
        <v>0.171108781179</v>
      </c>
      <c r="AB383">
        <v>0.10736538651999999</v>
      </c>
      <c r="AC383">
        <v>9.9193297400999997E-2</v>
      </c>
      <c r="AD383">
        <v>0.20633053212800001</v>
      </c>
      <c r="AE383">
        <v>0.113055438343</v>
      </c>
      <c r="AF383">
        <v>0.10924967433299999</v>
      </c>
      <c r="AG383">
        <v>0.22200070346</v>
      </c>
      <c r="AH383">
        <v>0.172452125506</v>
      </c>
      <c r="AI383">
        <v>0.16999474474699999</v>
      </c>
      <c r="AJ383">
        <v>0.34244687025300002</v>
      </c>
      <c r="AK383">
        <v>0.17612768876599999</v>
      </c>
      <c r="AL383">
        <v>0.187931971813</v>
      </c>
      <c r="AM383">
        <v>0.36405966058</v>
      </c>
      <c r="AN383">
        <v>0.403249302157</v>
      </c>
    </row>
    <row r="384" spans="1:40">
      <c r="B384" t="s">
        <v>601</v>
      </c>
      <c r="C384" t="s">
        <v>602</v>
      </c>
      <c r="D384" t="str">
        <f t="shared" si="10"/>
        <v>AUD</v>
      </c>
      <c r="F384">
        <v>6.4416871454999997E-2</v>
      </c>
      <c r="G384">
        <v>1.8786910691999999E-2</v>
      </c>
      <c r="H384">
        <v>3.0849512400000001E-2</v>
      </c>
      <c r="I384">
        <v>4.9372474196E-2</v>
      </c>
      <c r="J384">
        <v>1.6070436779E-2</v>
      </c>
      <c r="K384">
        <v>4.1736088223999997E-2</v>
      </c>
      <c r="L384">
        <v>5.7774074782000001E-2</v>
      </c>
      <c r="M384">
        <v>4.0978308381E-2</v>
      </c>
      <c r="N384">
        <v>4.8680368531000003E-2</v>
      </c>
      <c r="O384">
        <v>8.9523852621999994E-2</v>
      </c>
      <c r="P384">
        <v>4.4762444887999998E-2</v>
      </c>
      <c r="Q384">
        <v>3.5483487639999998E-2</v>
      </c>
      <c r="R384">
        <v>8.0081999626999995E-2</v>
      </c>
      <c r="S384">
        <v>3.9356577326000002E-2</v>
      </c>
      <c r="T384">
        <v>5.8276403007000002E-2</v>
      </c>
      <c r="U384">
        <v>9.7540493288999996E-2</v>
      </c>
      <c r="V384">
        <v>4.5734090066000002E-2</v>
      </c>
      <c r="W384">
        <v>7.2729910815000007E-2</v>
      </c>
      <c r="X384">
        <v>0.11835384010900001</v>
      </c>
      <c r="Y384">
        <v>7.7154561960999998E-2</v>
      </c>
      <c r="Z384">
        <v>9.4234284003000005E-2</v>
      </c>
      <c r="AA384">
        <v>0.171108781179</v>
      </c>
      <c r="AB384">
        <v>9.2080546521000006E-2</v>
      </c>
      <c r="AC384">
        <v>0.11532478613</v>
      </c>
      <c r="AD384">
        <v>0.20720966119199999</v>
      </c>
      <c r="AE384">
        <v>0.113055438343</v>
      </c>
      <c r="AF384">
        <v>0.10924967433299999</v>
      </c>
      <c r="AG384">
        <v>0.22200070346</v>
      </c>
      <c r="AH384">
        <v>0.172452125506</v>
      </c>
      <c r="AI384">
        <v>0.16999474474699999</v>
      </c>
      <c r="AJ384">
        <v>0.34244687025300002</v>
      </c>
      <c r="AK384">
        <v>0.17612768876599999</v>
      </c>
      <c r="AL384">
        <v>0.187931971813</v>
      </c>
      <c r="AM384">
        <v>0.36405966058</v>
      </c>
      <c r="AN384">
        <v>0.403249302157</v>
      </c>
    </row>
    <row r="385" spans="1:40">
      <c r="B385" t="s">
        <v>603</v>
      </c>
      <c r="C385" t="s">
        <v>604</v>
      </c>
      <c r="D385" t="str">
        <f t="shared" si="10"/>
        <v>AUD</v>
      </c>
      <c r="F385">
        <v>6.4416871454999997E-2</v>
      </c>
      <c r="G385">
        <v>1.8786910691999999E-2</v>
      </c>
      <c r="H385">
        <v>3.0849512400000001E-2</v>
      </c>
      <c r="I385">
        <v>4.9372474196E-2</v>
      </c>
      <c r="J385">
        <v>1.6070436779E-2</v>
      </c>
      <c r="K385">
        <v>4.1736088223999997E-2</v>
      </c>
      <c r="L385">
        <v>5.7774074782000001E-2</v>
      </c>
      <c r="M385">
        <v>4.0978308381E-2</v>
      </c>
      <c r="N385">
        <v>4.8680368531000003E-2</v>
      </c>
      <c r="O385">
        <v>8.9523852621999994E-2</v>
      </c>
      <c r="P385">
        <v>4.4762444887999998E-2</v>
      </c>
      <c r="Q385">
        <v>3.5483487639999998E-2</v>
      </c>
      <c r="R385">
        <v>8.0081999626999995E-2</v>
      </c>
      <c r="S385">
        <v>3.9356577326000002E-2</v>
      </c>
      <c r="T385">
        <v>5.8276403007000002E-2</v>
      </c>
      <c r="U385">
        <v>9.7540493288999996E-2</v>
      </c>
      <c r="V385">
        <v>4.5734090066000002E-2</v>
      </c>
      <c r="W385">
        <v>7.2729910815000007E-2</v>
      </c>
      <c r="X385">
        <v>0.11835384010900001</v>
      </c>
      <c r="Y385">
        <v>7.7154561960999998E-2</v>
      </c>
      <c r="Z385">
        <v>9.4234284003000005E-2</v>
      </c>
      <c r="AA385">
        <v>0.171108781179</v>
      </c>
      <c r="AB385">
        <v>9.2080546521000006E-2</v>
      </c>
      <c r="AC385">
        <v>0.11532478613</v>
      </c>
      <c r="AD385">
        <v>0.20720966119199999</v>
      </c>
      <c r="AE385">
        <v>0.113055438343</v>
      </c>
      <c r="AF385">
        <v>0.10924967433299999</v>
      </c>
      <c r="AG385">
        <v>0.22200070346</v>
      </c>
      <c r="AH385">
        <v>0.172452125506</v>
      </c>
      <c r="AI385">
        <v>0.16999474474699999</v>
      </c>
      <c r="AJ385">
        <v>0.34244687025300002</v>
      </c>
      <c r="AK385">
        <v>0.17612768876599999</v>
      </c>
      <c r="AL385">
        <v>0.187931971813</v>
      </c>
      <c r="AM385">
        <v>0.36405966058</v>
      </c>
      <c r="AN385">
        <v>0.403249302157</v>
      </c>
    </row>
    <row r="386" spans="1:40">
      <c r="B386" t="s">
        <v>605</v>
      </c>
      <c r="C386" t="s">
        <v>606</v>
      </c>
      <c r="D386" t="str">
        <f t="shared" si="10"/>
        <v>AUD</v>
      </c>
      <c r="F386">
        <v>-3.0230000000000001</v>
      </c>
      <c r="G386">
        <v>-3.0880000000000001</v>
      </c>
      <c r="H386">
        <v>-1E-3</v>
      </c>
      <c r="I386">
        <v>-3.089</v>
      </c>
      <c r="J386">
        <v>-3.4089999999999998</v>
      </c>
      <c r="K386">
        <v>0</v>
      </c>
      <c r="L386">
        <v>-3.4089999999999998</v>
      </c>
      <c r="M386">
        <v>-3.6640000000000001</v>
      </c>
      <c r="N386">
        <v>0</v>
      </c>
      <c r="O386">
        <v>-3.6640000000000001</v>
      </c>
      <c r="P386">
        <v>-4.4660000000000002</v>
      </c>
      <c r="Q386">
        <v>-1.2E-2</v>
      </c>
      <c r="R386">
        <v>-4.4779999999999998</v>
      </c>
      <c r="S386">
        <v>-4.5979999999999999</v>
      </c>
      <c r="T386">
        <v>-5.0000000000000001E-3</v>
      </c>
      <c r="U386">
        <v>-4.6029999999999998</v>
      </c>
      <c r="V386">
        <v>-5.5439999999999996</v>
      </c>
      <c r="W386">
        <v>-3.9E-2</v>
      </c>
      <c r="X386">
        <v>-5.5830000000000002</v>
      </c>
      <c r="Y386">
        <v>-6.4909999999999997</v>
      </c>
      <c r="Z386">
        <v>-7.3999999999999996E-2</v>
      </c>
      <c r="AA386">
        <v>-6.5650000000000004</v>
      </c>
      <c r="AB386">
        <v>-8.4550000000000001</v>
      </c>
      <c r="AC386">
        <v>-4.0000000000000001E-3</v>
      </c>
      <c r="AD386">
        <v>-8.4589999999999996</v>
      </c>
      <c r="AE386">
        <v>-10.43417298</v>
      </c>
      <c r="AF386">
        <v>4.5172980000000001E-2</v>
      </c>
      <c r="AG386">
        <v>-10.388999999999999</v>
      </c>
      <c r="AH386">
        <v>-12.782</v>
      </c>
      <c r="AI386">
        <v>-5.8694154999999998E-2</v>
      </c>
      <c r="AJ386">
        <v>-12.840694155</v>
      </c>
      <c r="AK386">
        <v>-13.552399539083</v>
      </c>
      <c r="AL386">
        <v>0</v>
      </c>
      <c r="AM386">
        <v>-13.552399539083</v>
      </c>
      <c r="AN386">
        <v>-16.247552667432998</v>
      </c>
    </row>
    <row r="387" spans="1:40">
      <c r="B387" t="s">
        <v>607</v>
      </c>
      <c r="C387" t="s">
        <v>239</v>
      </c>
      <c r="D387" t="str">
        <f t="shared" si="10"/>
        <v>AUD</v>
      </c>
      <c r="F387">
        <v>3.5000000000000003E-2</v>
      </c>
      <c r="H387">
        <v>3.7499999999999999E-2</v>
      </c>
      <c r="I387">
        <v>3.7499999999999999E-2</v>
      </c>
      <c r="K387">
        <v>0.04</v>
      </c>
      <c r="L387">
        <v>0.04</v>
      </c>
      <c r="N387">
        <v>0.05</v>
      </c>
      <c r="O387">
        <v>0.05</v>
      </c>
      <c r="Q387">
        <v>0.05</v>
      </c>
      <c r="R387">
        <v>0.05</v>
      </c>
      <c r="T387">
        <v>0.06</v>
      </c>
      <c r="U387">
        <v>0.06</v>
      </c>
      <c r="W387">
        <v>7.0000000000000007E-2</v>
      </c>
      <c r="X387">
        <v>7.0000000000000007E-2</v>
      </c>
      <c r="Z387">
        <v>0.09</v>
      </c>
      <c r="AA387">
        <v>0.09</v>
      </c>
      <c r="AC387">
        <v>0.11</v>
      </c>
      <c r="AD387">
        <v>0.11</v>
      </c>
      <c r="AF387">
        <v>0.13500000000000001</v>
      </c>
      <c r="AG387">
        <v>0.13500000000000001</v>
      </c>
      <c r="AI387">
        <v>0.14248247919400001</v>
      </c>
      <c r="AJ387">
        <v>0.14248247919400001</v>
      </c>
      <c r="AL387">
        <v>0.17081783769799999</v>
      </c>
      <c r="AM387">
        <v>0.17081783769799999</v>
      </c>
      <c r="AN387">
        <v>0.20782545317699999</v>
      </c>
    </row>
    <row r="388" spans="1:40">
      <c r="B388" t="s">
        <v>608</v>
      </c>
      <c r="C388" t="s">
        <v>854</v>
      </c>
      <c r="F388">
        <v>88.253276999999997</v>
      </c>
      <c r="G388">
        <v>89.264277000000007</v>
      </c>
      <c r="H388">
        <v>90.536276999999998</v>
      </c>
      <c r="I388">
        <v>90.536276999999998</v>
      </c>
      <c r="J388">
        <v>90.912277000000003</v>
      </c>
      <c r="K388">
        <v>91.096222999999995</v>
      </c>
      <c r="L388">
        <v>91.096222999999995</v>
      </c>
      <c r="M388">
        <v>91.316604999999996</v>
      </c>
      <c r="N388">
        <v>91.618041000000005</v>
      </c>
      <c r="O388">
        <v>91.618041000000005</v>
      </c>
      <c r="P388">
        <v>91.818040999999994</v>
      </c>
      <c r="Q388">
        <v>92.155540999999999</v>
      </c>
      <c r="R388">
        <v>92.155540999999999</v>
      </c>
      <c r="S388">
        <v>92.563943499999993</v>
      </c>
      <c r="T388">
        <v>92.781979000000007</v>
      </c>
      <c r="U388">
        <v>92.781979000000007</v>
      </c>
      <c r="V388">
        <v>92.928491500000007</v>
      </c>
      <c r="W388">
        <v>93.152871000000005</v>
      </c>
      <c r="X388">
        <v>93.152871000000005</v>
      </c>
      <c r="Y388">
        <v>93.669121000000004</v>
      </c>
      <c r="Z388">
        <v>94.010371000000006</v>
      </c>
      <c r="AA388">
        <v>94.010371000000006</v>
      </c>
      <c r="AB388">
        <v>94.210995999999994</v>
      </c>
      <c r="AC388">
        <v>94.411620999999997</v>
      </c>
      <c r="AD388">
        <v>94.411620999999997</v>
      </c>
      <c r="AE388">
        <v>94.856117999999995</v>
      </c>
      <c r="AF388">
        <v>94.856117999999995</v>
      </c>
      <c r="AG388">
        <v>94.986185500000005</v>
      </c>
      <c r="AH388">
        <v>95.116253</v>
      </c>
      <c r="AI388">
        <v>95.116253</v>
      </c>
      <c r="AJ388">
        <v>95.116253</v>
      </c>
      <c r="AK388">
        <v>95.116253</v>
      </c>
      <c r="AL388">
        <v>95.116253</v>
      </c>
      <c r="AM388">
        <v>95.116253</v>
      </c>
      <c r="AN388">
        <v>95.116253</v>
      </c>
    </row>
    <row r="389" spans="1:40">
      <c r="B389" t="s">
        <v>609</v>
      </c>
      <c r="C389" t="s">
        <v>610</v>
      </c>
      <c r="F389">
        <v>88.253276999999997</v>
      </c>
      <c r="G389">
        <v>89.264277000000007</v>
      </c>
      <c r="H389">
        <v>90.536276999999998</v>
      </c>
      <c r="I389">
        <v>90.536276999999998</v>
      </c>
      <c r="J389">
        <v>90.912277000000003</v>
      </c>
      <c r="K389">
        <v>91.096222999999995</v>
      </c>
      <c r="L389">
        <v>91.096222999999995</v>
      </c>
      <c r="M389">
        <v>91.316604999999996</v>
      </c>
      <c r="N389">
        <v>91.618041000000005</v>
      </c>
      <c r="O389">
        <v>91.618041000000005</v>
      </c>
      <c r="P389">
        <v>91.818040999999994</v>
      </c>
      <c r="Q389">
        <v>92.155540999999999</v>
      </c>
      <c r="R389">
        <v>92.155540999999999</v>
      </c>
      <c r="S389">
        <v>92.563943499999993</v>
      </c>
      <c r="T389">
        <v>92.781979000000007</v>
      </c>
      <c r="U389">
        <v>92.781979000000007</v>
      </c>
      <c r="V389">
        <v>92.928491500000007</v>
      </c>
      <c r="W389">
        <v>93.152871000000005</v>
      </c>
      <c r="X389">
        <v>93.152871000000005</v>
      </c>
      <c r="Y389">
        <v>93.669121000000004</v>
      </c>
      <c r="Z389">
        <v>94.010371000000006</v>
      </c>
      <c r="AA389">
        <v>94.010371000000006</v>
      </c>
      <c r="AB389">
        <v>94.210995999999994</v>
      </c>
      <c r="AC389">
        <v>94.411620999999997</v>
      </c>
      <c r="AD389">
        <v>94.411620999999997</v>
      </c>
      <c r="AE389">
        <v>94.856117999999995</v>
      </c>
      <c r="AF389">
        <v>94.856117999999995</v>
      </c>
      <c r="AG389">
        <v>94.986185500000005</v>
      </c>
      <c r="AH389">
        <v>95.116253</v>
      </c>
      <c r="AI389">
        <v>95.116253</v>
      </c>
      <c r="AJ389">
        <v>95.116253</v>
      </c>
      <c r="AK389">
        <v>95.116253</v>
      </c>
      <c r="AL389">
        <v>95.116253</v>
      </c>
      <c r="AM389">
        <v>95.116253</v>
      </c>
      <c r="AN389">
        <v>95.116253</v>
      </c>
    </row>
    <row r="390" spans="1:40">
      <c r="B390" t="s">
        <v>611</v>
      </c>
      <c r="C390" t="s">
        <v>612</v>
      </c>
      <c r="F390">
        <v>88.253276999999997</v>
      </c>
      <c r="G390">
        <v>90.275277000000003</v>
      </c>
      <c r="H390">
        <v>90.797276999999994</v>
      </c>
      <c r="I390">
        <v>90.797276999999994</v>
      </c>
      <c r="J390">
        <v>91.027276999999998</v>
      </c>
      <c r="K390">
        <v>91.165169000000006</v>
      </c>
      <c r="L390">
        <v>91.165169000000006</v>
      </c>
      <c r="M390">
        <v>91.468040999999999</v>
      </c>
      <c r="N390">
        <v>91.768040999999997</v>
      </c>
      <c r="O390">
        <v>91.768040999999997</v>
      </c>
      <c r="P390">
        <v>91.868041000000005</v>
      </c>
      <c r="Q390">
        <v>92.443040999999994</v>
      </c>
      <c r="R390">
        <v>92.443040999999994</v>
      </c>
      <c r="S390">
        <v>92.684845999999993</v>
      </c>
      <c r="T390">
        <v>92.879112000000006</v>
      </c>
      <c r="U390">
        <v>92.879112000000006</v>
      </c>
      <c r="V390">
        <v>92.977870999999993</v>
      </c>
      <c r="W390">
        <v>93.327871000000002</v>
      </c>
      <c r="X390">
        <v>93.327871000000002</v>
      </c>
      <c r="Y390">
        <v>94.010371000000006</v>
      </c>
      <c r="Z390">
        <v>94.010371000000006</v>
      </c>
      <c r="AA390">
        <v>94.010371000000006</v>
      </c>
      <c r="AB390">
        <v>94.411620999999997</v>
      </c>
      <c r="AC390">
        <v>94.411620999999997</v>
      </c>
      <c r="AD390">
        <v>94.856117999999995</v>
      </c>
      <c r="AE390">
        <v>94.856117999999995</v>
      </c>
      <c r="AF390">
        <v>94.856117999999995</v>
      </c>
      <c r="AG390">
        <v>95.116253</v>
      </c>
      <c r="AH390">
        <v>95.116253</v>
      </c>
      <c r="AI390">
        <v>95.116253</v>
      </c>
      <c r="AJ390">
        <v>95.116253</v>
      </c>
      <c r="AK390">
        <v>95.116253</v>
      </c>
      <c r="AL390">
        <v>95.116253</v>
      </c>
      <c r="AM390">
        <v>95.116253</v>
      </c>
      <c r="AN390">
        <v>95.116253</v>
      </c>
    </row>
    <row r="391" spans="1:40">
      <c r="B391" t="s">
        <v>175</v>
      </c>
      <c r="C391" t="s">
        <v>240</v>
      </c>
      <c r="F391">
        <v>0</v>
      </c>
      <c r="G391">
        <v>0</v>
      </c>
      <c r="H391">
        <v>0</v>
      </c>
      <c r="I391">
        <v>1</v>
      </c>
      <c r="J391">
        <v>0</v>
      </c>
      <c r="K391">
        <v>0</v>
      </c>
      <c r="L391">
        <v>1</v>
      </c>
      <c r="M391">
        <v>0</v>
      </c>
      <c r="N391">
        <v>0</v>
      </c>
      <c r="O391">
        <v>1</v>
      </c>
      <c r="P391">
        <v>0</v>
      </c>
      <c r="Q391">
        <v>0</v>
      </c>
      <c r="R391">
        <v>0.8</v>
      </c>
      <c r="S391">
        <v>0</v>
      </c>
      <c r="T391">
        <v>0</v>
      </c>
      <c r="U391">
        <v>1</v>
      </c>
      <c r="V391">
        <v>0</v>
      </c>
      <c r="W391">
        <v>0</v>
      </c>
      <c r="X391">
        <v>0.83333333333299997</v>
      </c>
      <c r="Y391">
        <v>0</v>
      </c>
      <c r="Z391">
        <v>0</v>
      </c>
      <c r="AA391">
        <v>1</v>
      </c>
      <c r="AB391">
        <v>0</v>
      </c>
      <c r="AC391">
        <v>0</v>
      </c>
      <c r="AD391">
        <v>1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</row>
    <row r="392" spans="1:40">
      <c r="A392" t="s">
        <v>613</v>
      </c>
    </row>
    <row r="393" spans="1:40">
      <c r="B393" t="s">
        <v>630</v>
      </c>
      <c r="C393" t="s">
        <v>251</v>
      </c>
      <c r="D393" t="str">
        <f t="shared" ref="D393:D410" si="11">L_CURRENCY_EQTY_200019506_REP</f>
        <v>AUD</v>
      </c>
    </row>
    <row r="394" spans="1:40">
      <c r="B394" t="s">
        <v>186</v>
      </c>
      <c r="C394" t="s">
        <v>253</v>
      </c>
      <c r="D394" t="str">
        <f t="shared" si="11"/>
        <v>AUD</v>
      </c>
    </row>
    <row r="395" spans="1:40">
      <c r="B395" t="s">
        <v>637</v>
      </c>
      <c r="C395" t="s">
        <v>121</v>
      </c>
      <c r="D395" t="str">
        <f t="shared" si="11"/>
        <v>AUD</v>
      </c>
    </row>
    <row r="396" spans="1:40">
      <c r="B396" t="s">
        <v>638</v>
      </c>
      <c r="C396" t="s">
        <v>122</v>
      </c>
      <c r="D396" t="str">
        <f t="shared" si="11"/>
        <v>AUD</v>
      </c>
    </row>
    <row r="397" spans="1:40">
      <c r="B397" t="s">
        <v>639</v>
      </c>
      <c r="C397" t="s">
        <v>123</v>
      </c>
      <c r="D397" t="str">
        <f t="shared" si="11"/>
        <v>AUD</v>
      </c>
    </row>
    <row r="398" spans="1:40">
      <c r="B398" t="s">
        <v>640</v>
      </c>
      <c r="C398" t="s">
        <v>124</v>
      </c>
      <c r="D398" t="str">
        <f t="shared" si="11"/>
        <v>AUD</v>
      </c>
    </row>
    <row r="399" spans="1:40">
      <c r="B399" t="s">
        <v>454</v>
      </c>
      <c r="C399" t="s">
        <v>125</v>
      </c>
      <c r="D399" t="str">
        <f t="shared" si="11"/>
        <v>AUD</v>
      </c>
    </row>
    <row r="400" spans="1:40">
      <c r="B400" t="s">
        <v>188</v>
      </c>
      <c r="C400" t="s">
        <v>255</v>
      </c>
      <c r="D400" t="str">
        <f t="shared" si="11"/>
        <v>AUD</v>
      </c>
    </row>
    <row r="401" spans="2:4">
      <c r="B401" t="s">
        <v>189</v>
      </c>
      <c r="C401" t="s">
        <v>256</v>
      </c>
      <c r="D401" t="str">
        <f t="shared" si="11"/>
        <v>AUD</v>
      </c>
    </row>
    <row r="402" spans="2:4">
      <c r="B402" t="s">
        <v>641</v>
      </c>
      <c r="C402" t="s">
        <v>230</v>
      </c>
      <c r="D402" t="str">
        <f t="shared" si="11"/>
        <v>AUD</v>
      </c>
    </row>
    <row r="403" spans="2:4">
      <c r="B403" t="s">
        <v>642</v>
      </c>
      <c r="C403" t="s">
        <v>126</v>
      </c>
      <c r="D403" t="str">
        <f t="shared" si="11"/>
        <v>AUD</v>
      </c>
    </row>
    <row r="404" spans="2:4">
      <c r="B404" t="s">
        <v>643</v>
      </c>
      <c r="C404" t="s">
        <v>127</v>
      </c>
      <c r="D404" t="str">
        <f t="shared" si="11"/>
        <v>AUD</v>
      </c>
    </row>
    <row r="405" spans="2:4">
      <c r="B405" t="s">
        <v>644</v>
      </c>
      <c r="C405" t="s">
        <v>128</v>
      </c>
      <c r="D405" t="str">
        <f t="shared" si="11"/>
        <v>AUD</v>
      </c>
    </row>
    <row r="406" spans="2:4">
      <c r="B406" t="s">
        <v>645</v>
      </c>
      <c r="C406" t="s">
        <v>129</v>
      </c>
      <c r="D406" t="str">
        <f t="shared" si="11"/>
        <v>AUD</v>
      </c>
    </row>
    <row r="407" spans="2:4">
      <c r="B407" t="s">
        <v>646</v>
      </c>
      <c r="C407" t="s">
        <v>647</v>
      </c>
      <c r="D407" t="str">
        <f t="shared" si="11"/>
        <v>AUD</v>
      </c>
    </row>
    <row r="408" spans="2:4">
      <c r="B408" t="s">
        <v>191</v>
      </c>
      <c r="C408" t="s">
        <v>259</v>
      </c>
      <c r="D408" t="str">
        <f t="shared" si="11"/>
        <v>AUD</v>
      </c>
    </row>
    <row r="409" spans="2:4">
      <c r="B409" t="s">
        <v>648</v>
      </c>
      <c r="C409" t="s">
        <v>238</v>
      </c>
      <c r="D409" t="str">
        <f t="shared" si="11"/>
        <v>AUD</v>
      </c>
    </row>
    <row r="410" spans="2:4">
      <c r="B410" t="s">
        <v>452</v>
      </c>
      <c r="C410" t="s">
        <v>109</v>
      </c>
      <c r="D410" t="str">
        <f t="shared" si="11"/>
        <v>AUD</v>
      </c>
    </row>
    <row r="411" spans="2:4">
      <c r="B411" t="s">
        <v>190</v>
      </c>
      <c r="C411" t="s">
        <v>258</v>
      </c>
    </row>
    <row r="412" spans="2:4">
      <c r="B412" t="s">
        <v>649</v>
      </c>
      <c r="C412" t="s">
        <v>650</v>
      </c>
    </row>
    <row r="413" spans="2:4">
      <c r="B413" t="s">
        <v>166</v>
      </c>
      <c r="C413" t="s">
        <v>221</v>
      </c>
      <c r="D413" t="str">
        <f>L_CURRENCY_EQTY_200019506_PRI</f>
        <v>AUD</v>
      </c>
    </row>
    <row r="414" spans="2:4">
      <c r="B414" t="s">
        <v>167</v>
      </c>
      <c r="C414" t="s">
        <v>222</v>
      </c>
    </row>
    <row r="415" spans="2:4">
      <c r="B415" t="s">
        <v>168</v>
      </c>
      <c r="C415" t="s">
        <v>223</v>
      </c>
    </row>
    <row r="416" spans="2:4">
      <c r="B416" t="s">
        <v>169</v>
      </c>
      <c r="C416" t="s">
        <v>224</v>
      </c>
    </row>
    <row r="417" spans="1:40">
      <c r="B417" t="s">
        <v>171</v>
      </c>
      <c r="C417" t="s">
        <v>225</v>
      </c>
      <c r="D417" t="str">
        <f>L_CURRENCY_EQTY_200019506_PRI</f>
        <v>AUD</v>
      </c>
    </row>
    <row r="418" spans="1:40">
      <c r="B418" t="s">
        <v>172</v>
      </c>
      <c r="C418" t="s">
        <v>226</v>
      </c>
    </row>
    <row r="419" spans="1:40">
      <c r="B419" t="s">
        <v>173</v>
      </c>
      <c r="C419" t="s">
        <v>227</v>
      </c>
    </row>
    <row r="420" spans="1:40">
      <c r="B420" t="s">
        <v>174</v>
      </c>
      <c r="C420" t="s">
        <v>228</v>
      </c>
    </row>
    <row r="421" spans="1:40">
      <c r="B421" t="s">
        <v>651</v>
      </c>
      <c r="C421" t="s">
        <v>282</v>
      </c>
    </row>
    <row r="422" spans="1:40">
      <c r="B422" t="s">
        <v>652</v>
      </c>
      <c r="C422" t="s">
        <v>283</v>
      </c>
    </row>
    <row r="423" spans="1:40">
      <c r="B423" t="s">
        <v>653</v>
      </c>
      <c r="C423" t="s">
        <v>654</v>
      </c>
    </row>
    <row r="424" spans="1:40">
      <c r="B424" t="s">
        <v>655</v>
      </c>
      <c r="C424" t="s">
        <v>284</v>
      </c>
    </row>
    <row r="425" spans="1:40">
      <c r="B425" t="s">
        <v>656</v>
      </c>
      <c r="C425" t="s">
        <v>657</v>
      </c>
    </row>
    <row r="426" spans="1:40">
      <c r="B426" t="s">
        <v>658</v>
      </c>
      <c r="C426" t="s">
        <v>659</v>
      </c>
    </row>
    <row r="427" spans="1:40">
      <c r="B427" t="s">
        <v>660</v>
      </c>
      <c r="C427" t="s">
        <v>243</v>
      </c>
    </row>
    <row r="428" spans="1:40">
      <c r="B428" t="s">
        <v>661</v>
      </c>
      <c r="C428" t="s">
        <v>176</v>
      </c>
    </row>
    <row r="429" spans="1:40">
      <c r="A429" t="s">
        <v>662</v>
      </c>
    </row>
    <row r="430" spans="1:40">
      <c r="B430" t="s">
        <v>672</v>
      </c>
      <c r="C430" t="s">
        <v>673</v>
      </c>
      <c r="G430">
        <v>0.3</v>
      </c>
      <c r="H430">
        <v>0.3</v>
      </c>
      <c r="I430">
        <v>0.3</v>
      </c>
      <c r="J430">
        <v>0.3</v>
      </c>
      <c r="K430">
        <v>0.3</v>
      </c>
      <c r="L430">
        <v>0.3</v>
      </c>
      <c r="M430">
        <v>0.3</v>
      </c>
      <c r="N430">
        <v>0.3</v>
      </c>
      <c r="O430">
        <v>0.165870029493</v>
      </c>
      <c r="P430">
        <v>0.21549914105699999</v>
      </c>
      <c r="Q430">
        <v>0.20976317061399999</v>
      </c>
      <c r="R430">
        <v>0.21296790018100001</v>
      </c>
      <c r="S430">
        <v>9.8267326732999996E-2</v>
      </c>
      <c r="T430">
        <v>0.2007390983</v>
      </c>
      <c r="U430">
        <v>0.16242480333199999</v>
      </c>
      <c r="V430">
        <v>0.17699457784700001</v>
      </c>
      <c r="W430">
        <v>0.196036549187</v>
      </c>
      <c r="X430">
        <v>0.1888014127</v>
      </c>
      <c r="Y430">
        <v>0.20626029654</v>
      </c>
      <c r="Z430">
        <v>0.203470598813</v>
      </c>
      <c r="AA430">
        <v>0.20472635586099999</v>
      </c>
      <c r="AB430">
        <v>0.18930832732200001</v>
      </c>
      <c r="AC430">
        <v>0.13646841862600001</v>
      </c>
      <c r="AD430">
        <v>0.16473715804799999</v>
      </c>
      <c r="AE430">
        <v>2.3257977490000002E-3</v>
      </c>
      <c r="AF430">
        <v>7.7121738356000002E-2</v>
      </c>
      <c r="AG430">
        <v>4.0540540541000002E-2</v>
      </c>
      <c r="AH430">
        <v>0.164561474992</v>
      </c>
      <c r="AI430">
        <v>2.2815766612999999E-2</v>
      </c>
      <c r="AJ430">
        <v>0.1</v>
      </c>
      <c r="AK430">
        <v>0.1</v>
      </c>
      <c r="AL430">
        <v>0.13795333877499999</v>
      </c>
      <c r="AM430">
        <v>0.12</v>
      </c>
      <c r="AN430">
        <v>0.14000000000000001</v>
      </c>
    </row>
    <row r="431" spans="1:40">
      <c r="B431" t="s">
        <v>674</v>
      </c>
      <c r="C431" t="s">
        <v>675</v>
      </c>
      <c r="D431" t="str">
        <f>L_CURRENCY_EQTY_200019506_REP</f>
        <v>AUD</v>
      </c>
    </row>
    <row r="432" spans="1:40">
      <c r="A432" t="s">
        <v>676</v>
      </c>
    </row>
    <row r="433" spans="1:40">
      <c r="B433" t="s">
        <v>727</v>
      </c>
      <c r="C433" t="s">
        <v>728</v>
      </c>
      <c r="D433" t="str">
        <f>L_CURRENCY_EQTY_200019506_REP</f>
        <v>AUD</v>
      </c>
      <c r="F433">
        <v>0.13576832959999999</v>
      </c>
      <c r="G433">
        <v>0.13457726637600001</v>
      </c>
      <c r="H433">
        <v>0.172053617863</v>
      </c>
      <c r="I433">
        <v>0.172053617863</v>
      </c>
      <c r="J433">
        <v>0.152998095285</v>
      </c>
      <c r="K433">
        <v>0.197005064511</v>
      </c>
      <c r="L433">
        <v>0.197005064511</v>
      </c>
      <c r="M433">
        <v>0.191946824356</v>
      </c>
      <c r="N433">
        <v>0.232477448222</v>
      </c>
      <c r="O433">
        <v>0.232477448222</v>
      </c>
      <c r="P433">
        <v>0.22570417061600001</v>
      </c>
      <c r="Q433">
        <v>0.26749444558000002</v>
      </c>
      <c r="R433">
        <v>0.26749444558000002</v>
      </c>
      <c r="S433">
        <v>0.25589943797300002</v>
      </c>
      <c r="T433">
        <v>0.32461550666</v>
      </c>
      <c r="U433">
        <v>0.32461550666</v>
      </c>
      <c r="V433">
        <v>0.32109790941499999</v>
      </c>
      <c r="W433">
        <v>0.378697163251</v>
      </c>
      <c r="X433">
        <v>0.378697163251</v>
      </c>
      <c r="Y433">
        <v>0.38890390082600002</v>
      </c>
      <c r="Z433">
        <v>0.49942362210199998</v>
      </c>
      <c r="AA433">
        <v>0.49942362210199998</v>
      </c>
      <c r="AB433">
        <v>0.51474595484399999</v>
      </c>
      <c r="AC433">
        <v>0.65624336648100001</v>
      </c>
      <c r="AD433">
        <v>0.65316820154900002</v>
      </c>
      <c r="AE433">
        <v>0.66766384009099999</v>
      </c>
      <c r="AF433">
        <v>0.77537434116799997</v>
      </c>
      <c r="AG433">
        <v>0.77325375716800004</v>
      </c>
      <c r="AH433">
        <v>0.81076574789</v>
      </c>
      <c r="AI433">
        <v>0.97652678764599998</v>
      </c>
      <c r="AJ433">
        <v>0.97652678764599998</v>
      </c>
      <c r="AK433">
        <v>1.0101719972180001</v>
      </c>
      <c r="AL433">
        <v>1.1981039690319999</v>
      </c>
      <c r="AM433">
        <v>1.1981039690319999</v>
      </c>
      <c r="AN433">
        <v>1.43053543349</v>
      </c>
    </row>
    <row r="434" spans="1:40">
      <c r="A434" t="s">
        <v>729</v>
      </c>
    </row>
    <row r="435" spans="1:40">
      <c r="B435" t="s">
        <v>206</v>
      </c>
      <c r="C435" t="s">
        <v>281</v>
      </c>
      <c r="D435" t="str">
        <f>L_CURRENCY_EQTY_200019506_REP</f>
        <v>AUD</v>
      </c>
    </row>
    <row r="436" spans="1:40">
      <c r="B436" t="s">
        <v>759</v>
      </c>
      <c r="C436" t="s">
        <v>760</v>
      </c>
      <c r="D436" t="str">
        <f>L_CURRENCY_EQTY_200019506_REP</f>
        <v>AUD</v>
      </c>
    </row>
    <row r="437" spans="1:40">
      <c r="A437" t="s">
        <v>783</v>
      </c>
    </row>
    <row r="438" spans="1:40">
      <c r="B438" t="s">
        <v>588</v>
      </c>
      <c r="C438" t="s">
        <v>784</v>
      </c>
      <c r="D438" t="str">
        <f>L_CURRENCY_EQTY_200019506_REP</f>
        <v>AUD</v>
      </c>
      <c r="F438">
        <v>7.1459999999999999</v>
      </c>
      <c r="G438">
        <v>1.879</v>
      </c>
      <c r="H438">
        <v>3.508</v>
      </c>
      <c r="I438">
        <v>5.3869999999999996</v>
      </c>
      <c r="J438">
        <v>1.304</v>
      </c>
      <c r="K438">
        <v>4.5579999999999998</v>
      </c>
      <c r="L438">
        <v>5.8620000000000001</v>
      </c>
      <c r="M438">
        <v>4.5970000000000004</v>
      </c>
      <c r="N438">
        <v>5.4720000000000004</v>
      </c>
      <c r="O438">
        <v>10.069000000000001</v>
      </c>
      <c r="P438">
        <v>5.3029999999999999</v>
      </c>
      <c r="Q438">
        <v>4.141</v>
      </c>
      <c r="R438">
        <v>9.4440000000000008</v>
      </c>
      <c r="S438">
        <v>4.2080000000000002</v>
      </c>
      <c r="T438">
        <v>7.085</v>
      </c>
      <c r="U438">
        <v>11.292999999999999</v>
      </c>
      <c r="V438">
        <v>5.4409999999999998</v>
      </c>
      <c r="W438">
        <v>8.6929999999999996</v>
      </c>
      <c r="X438">
        <v>14.134</v>
      </c>
      <c r="Y438">
        <v>9.4570000000000007</v>
      </c>
      <c r="Z438">
        <v>11.382</v>
      </c>
      <c r="AA438">
        <v>20.838999999999999</v>
      </c>
      <c r="AB438">
        <v>19.106000000000002</v>
      </c>
      <c r="AC438">
        <v>18.579499999999999</v>
      </c>
      <c r="AD438">
        <v>23.736000000000001</v>
      </c>
      <c r="AE438">
        <v>10.295</v>
      </c>
      <c r="AF438">
        <v>12.291</v>
      </c>
      <c r="AG438">
        <v>22.585999999999999</v>
      </c>
      <c r="AH438">
        <v>18.562000000000001</v>
      </c>
      <c r="AI438">
        <v>18.606638</v>
      </c>
      <c r="AJ438">
        <v>36.810105999999998</v>
      </c>
      <c r="AK438">
        <v>18.8801202</v>
      </c>
      <c r="AL438">
        <v>21.05951305</v>
      </c>
      <c r="AM438">
        <v>39.93963325</v>
      </c>
      <c r="AN438">
        <v>45.143944928750003</v>
      </c>
    </row>
    <row r="439" spans="1:40">
      <c r="A439" t="s">
        <v>815</v>
      </c>
    </row>
    <row r="440" spans="1:40">
      <c r="B440" t="s">
        <v>818</v>
      </c>
      <c r="C440" t="s">
        <v>819</v>
      </c>
      <c r="D440" t="str">
        <f>L_CURRENCY_EQTY_200019506_REP</f>
        <v>AUD</v>
      </c>
    </row>
    <row r="441" spans="1:40">
      <c r="A441" t="s">
        <v>822</v>
      </c>
    </row>
    <row r="442" spans="1:40">
      <c r="B442" t="s">
        <v>257</v>
      </c>
      <c r="C442" t="s">
        <v>518</v>
      </c>
      <c r="D442" t="str">
        <f>L_CURRENCY_EQTY_200019506_REP</f>
        <v>AUD</v>
      </c>
    </row>
    <row r="443" spans="1:40">
      <c r="A443" t="s">
        <v>6</v>
      </c>
    </row>
    <row r="444" spans="1:40">
      <c r="B444" t="s">
        <v>354</v>
      </c>
      <c r="C444" t="s">
        <v>9</v>
      </c>
    </row>
    <row r="445" spans="1:40">
      <c r="B445" t="s">
        <v>10</v>
      </c>
      <c r="C445" t="s">
        <v>11</v>
      </c>
    </row>
    <row r="446" spans="1:40">
      <c r="B446" t="s">
        <v>157</v>
      </c>
      <c r="C446" t="s">
        <v>12</v>
      </c>
    </row>
    <row r="447" spans="1:40">
      <c r="A447" t="s">
        <v>13</v>
      </c>
    </row>
    <row r="448" spans="1:40">
      <c r="B448" t="s">
        <v>208</v>
      </c>
      <c r="C448" t="s">
        <v>15</v>
      </c>
      <c r="D448" t="str">
        <f>L_CURRENCY_EQTY_200019506_REP</f>
        <v>AUD</v>
      </c>
    </row>
    <row r="449" spans="2:4">
      <c r="B449" t="s">
        <v>21</v>
      </c>
      <c r="C449" t="s">
        <v>22</v>
      </c>
    </row>
    <row r="450" spans="2:4">
      <c r="B450" t="s">
        <v>343</v>
      </c>
      <c r="C450" t="s">
        <v>27</v>
      </c>
    </row>
    <row r="451" spans="2:4">
      <c r="B451" t="s">
        <v>355</v>
      </c>
      <c r="C451" t="s">
        <v>28</v>
      </c>
      <c r="D451" t="str">
        <f>L_CURRENCY_EQTY_200019506_REP</f>
        <v>AUD</v>
      </c>
    </row>
    <row r="452" spans="2:4">
      <c r="B452" t="s">
        <v>344</v>
      </c>
      <c r="C452" t="s">
        <v>352</v>
      </c>
      <c r="D452" t="str">
        <f>L_CURRENCY_EQTY_200019506_REP</f>
        <v>AUD</v>
      </c>
    </row>
    <row r="453" spans="2:4">
      <c r="B453" t="s">
        <v>347</v>
      </c>
      <c r="C453" t="s">
        <v>32</v>
      </c>
    </row>
  </sheetData>
  <dataValidations count="1">
    <dataValidation type="list" allowBlank="1" showInputMessage="1" showErrorMessage="1" sqref="AO2" xr:uid="{E864BF89-2DC0-4CDC-BEB4-87CBC91BC376}">
      <formula1>"Estimate,Preliminary,Actual,Restated"</formula1>
    </dataValidation>
  </dataValidations>
  <pageMargins left="0.7" right="0.7" top="0.75" bottom="0.75" header="0.3" footer="0.3"/>
  <pageSetup paperSize="9" orientation="portrait" r:id="rId1"/>
  <customProperties>
    <customPr name="Exchange.ContributionType" r:id="rId2"/>
    <customPr name="Exchange.CreationEntityId" r:id="rId3"/>
    <customPr name="Exchange.CreationEntityIdType" r:id="rId4"/>
    <customPr name="Exchange.CreationEntityType" r:id="rId5"/>
    <customPr name="Exchange.ExchangeSheetId" r:id="rId6"/>
    <customPr name="Exchange.SheetType" r:id="rId7"/>
    <customPr name="Qube.Worksheet.Visibility" r:id="rId8"/>
    <customPr name="QXL_SHEET_ID" r:id="rId9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11E8C-1C5E-426E-A3A7-185350AE7175}">
  <dimension ref="A1:AO453"/>
  <sheetViews>
    <sheetView workbookViewId="0"/>
  </sheetViews>
  <sheetFormatPr defaultRowHeight="12.75"/>
  <sheetData>
    <row r="1" spans="1:36">
      <c r="A1" t="s">
        <v>2060</v>
      </c>
    </row>
    <row r="2" spans="1:36">
      <c r="A2" t="str">
        <f ca="1">CELL("filename",OCL.AX_Validation_Sheet!$A2)</f>
        <v>M:\CJG\OCL\Model\[OCL Model - send - FY24 Review.xlsm]OCL.AX_Validation_Sheet</v>
      </c>
    </row>
    <row r="3" spans="1:36">
      <c r="A3" t="e">
        <f>_xll.Exchange.Rtd.QVS(OCL.AX_Validation_Sheet!$A1,OCL.AX_Validation_Sheet!$A2,#REF!,OCL.AX_Annotation_Sheet!B2:AO453,OCL.AX_Live_Sheet!B2:AO453)</f>
        <v>#VALUE!</v>
      </c>
      <c r="AI3" t="s">
        <v>2055</v>
      </c>
      <c r="AJ3" t="s">
        <v>2055</v>
      </c>
    </row>
    <row r="7" spans="1:36">
      <c r="A7" t="s">
        <v>1225</v>
      </c>
      <c r="C7" t="s">
        <v>1226</v>
      </c>
    </row>
    <row r="9" spans="1:36">
      <c r="A9" t="s">
        <v>1227</v>
      </c>
      <c r="C9" t="s">
        <v>1228</v>
      </c>
    </row>
    <row r="10" spans="1:36">
      <c r="A10" t="s">
        <v>1229</v>
      </c>
      <c r="C10" t="s">
        <v>1230</v>
      </c>
    </row>
    <row r="11" spans="1:36">
      <c r="A11" t="s">
        <v>1231</v>
      </c>
      <c r="C11" t="s">
        <v>1232</v>
      </c>
    </row>
    <row r="12" spans="1:36">
      <c r="A12" t="s">
        <v>1233</v>
      </c>
      <c r="C12" t="s">
        <v>1234</v>
      </c>
    </row>
    <row r="14" spans="1:36">
      <c r="A14" t="s">
        <v>1235</v>
      </c>
      <c r="C14" t="s">
        <v>1236</v>
      </c>
    </row>
    <row r="15" spans="1:36">
      <c r="A15" t="s">
        <v>1237</v>
      </c>
      <c r="C15" t="s">
        <v>1238</v>
      </c>
    </row>
    <row r="16" spans="1:36">
      <c r="A16" t="s">
        <v>1239</v>
      </c>
      <c r="C16" t="s">
        <v>1240</v>
      </c>
    </row>
    <row r="17" spans="1:3">
      <c r="A17" t="s">
        <v>1241</v>
      </c>
      <c r="C17" t="s">
        <v>1242</v>
      </c>
    </row>
    <row r="18" spans="1:3">
      <c r="A18" t="s">
        <v>1243</v>
      </c>
      <c r="C18" t="s">
        <v>1244</v>
      </c>
    </row>
    <row r="19" spans="1:3">
      <c r="A19" t="s">
        <v>1245</v>
      </c>
      <c r="C19" t="s">
        <v>1246</v>
      </c>
    </row>
    <row r="20" spans="1:3">
      <c r="A20" t="s">
        <v>1247</v>
      </c>
      <c r="C20" t="s">
        <v>1248</v>
      </c>
    </row>
    <row r="21" spans="1:3">
      <c r="A21" t="s">
        <v>1249</v>
      </c>
      <c r="C21" t="s">
        <v>1250</v>
      </c>
    </row>
    <row r="22" spans="1:3">
      <c r="A22" t="s">
        <v>1251</v>
      </c>
      <c r="C22" t="s">
        <v>1252</v>
      </c>
    </row>
    <row r="23" spans="1:3">
      <c r="A23" t="s">
        <v>1253</v>
      </c>
      <c r="C23" t="s">
        <v>1254</v>
      </c>
    </row>
    <row r="24" spans="1:3">
      <c r="A24" t="s">
        <v>1255</v>
      </c>
      <c r="C24" t="s">
        <v>1256</v>
      </c>
    </row>
    <row r="25" spans="1:3">
      <c r="A25" t="s">
        <v>1257</v>
      </c>
      <c r="C25" t="s">
        <v>1258</v>
      </c>
    </row>
    <row r="26" spans="1:3">
      <c r="A26" t="s">
        <v>1259</v>
      </c>
      <c r="C26" t="s">
        <v>1260</v>
      </c>
    </row>
    <row r="27" spans="1:3">
      <c r="A27" t="s">
        <v>1261</v>
      </c>
      <c r="C27" t="s">
        <v>1262</v>
      </c>
    </row>
    <row r="28" spans="1:3">
      <c r="A28" t="s">
        <v>1263</v>
      </c>
      <c r="C28" t="s">
        <v>1264</v>
      </c>
    </row>
    <row r="29" spans="1:3">
      <c r="A29" t="s">
        <v>1265</v>
      </c>
      <c r="C29" t="s">
        <v>1266</v>
      </c>
    </row>
    <row r="30" spans="1:3">
      <c r="A30" t="s">
        <v>1267</v>
      </c>
      <c r="C30" t="s">
        <v>1268</v>
      </c>
    </row>
    <row r="31" spans="1:3">
      <c r="A31" t="s">
        <v>1269</v>
      </c>
      <c r="C31" t="s">
        <v>1270</v>
      </c>
    </row>
    <row r="32" spans="1:3">
      <c r="A32" t="s">
        <v>1271</v>
      </c>
      <c r="C32" t="s">
        <v>1272</v>
      </c>
    </row>
    <row r="33" spans="1:3">
      <c r="A33" t="s">
        <v>1273</v>
      </c>
      <c r="C33" t="s">
        <v>1274</v>
      </c>
    </row>
    <row r="35" spans="1:3">
      <c r="A35" t="s">
        <v>1275</v>
      </c>
      <c r="C35" t="s">
        <v>1276</v>
      </c>
    </row>
    <row r="36" spans="1:3">
      <c r="A36" t="s">
        <v>1277</v>
      </c>
      <c r="C36" t="s">
        <v>1278</v>
      </c>
    </row>
    <row r="37" spans="1:3">
      <c r="A37" t="s">
        <v>1279</v>
      </c>
      <c r="C37" t="s">
        <v>1280</v>
      </c>
    </row>
    <row r="38" spans="1:3">
      <c r="A38" t="s">
        <v>1281</v>
      </c>
      <c r="C38" t="s">
        <v>1282</v>
      </c>
    </row>
    <row r="39" spans="1:3">
      <c r="A39" t="s">
        <v>1283</v>
      </c>
      <c r="C39" t="s">
        <v>1284</v>
      </c>
    </row>
    <row r="40" spans="1:3">
      <c r="A40" t="s">
        <v>1285</v>
      </c>
      <c r="C40" t="s">
        <v>1286</v>
      </c>
    </row>
    <row r="41" spans="1:3">
      <c r="A41" t="s">
        <v>1287</v>
      </c>
      <c r="C41" t="s">
        <v>1288</v>
      </c>
    </row>
    <row r="42" spans="1:3">
      <c r="A42" t="s">
        <v>1289</v>
      </c>
      <c r="C42" t="s">
        <v>1290</v>
      </c>
    </row>
    <row r="43" spans="1:3">
      <c r="A43" t="s">
        <v>1291</v>
      </c>
      <c r="C43" t="s">
        <v>1292</v>
      </c>
    </row>
    <row r="44" spans="1:3">
      <c r="A44" t="s">
        <v>1293</v>
      </c>
      <c r="C44" t="s">
        <v>1294</v>
      </c>
    </row>
    <row r="45" spans="1:3">
      <c r="A45" t="s">
        <v>1295</v>
      </c>
      <c r="C45" t="s">
        <v>1296</v>
      </c>
    </row>
    <row r="46" spans="1:3">
      <c r="A46" t="s">
        <v>1297</v>
      </c>
      <c r="C46" t="s">
        <v>1298</v>
      </c>
    </row>
    <row r="47" spans="1:3">
      <c r="A47" t="s">
        <v>1299</v>
      </c>
      <c r="C47" t="s">
        <v>1300</v>
      </c>
    </row>
    <row r="48" spans="1:3">
      <c r="A48" t="s">
        <v>1301</v>
      </c>
      <c r="C48" t="s">
        <v>1302</v>
      </c>
    </row>
    <row r="49" spans="1:3">
      <c r="A49" t="s">
        <v>1303</v>
      </c>
      <c r="C49" t="s">
        <v>1304</v>
      </c>
    </row>
    <row r="50" spans="1:3">
      <c r="A50" t="s">
        <v>1305</v>
      </c>
      <c r="C50" t="s">
        <v>1306</v>
      </c>
    </row>
    <row r="51" spans="1:3">
      <c r="A51" t="s">
        <v>1307</v>
      </c>
      <c r="C51" t="s">
        <v>1308</v>
      </c>
    </row>
    <row r="52" spans="1:3">
      <c r="A52" t="s">
        <v>1309</v>
      </c>
      <c r="C52" t="s">
        <v>1310</v>
      </c>
    </row>
    <row r="53" spans="1:3">
      <c r="A53" t="s">
        <v>1311</v>
      </c>
      <c r="C53" t="s">
        <v>1312</v>
      </c>
    </row>
    <row r="54" spans="1:3">
      <c r="A54" t="s">
        <v>1313</v>
      </c>
      <c r="C54" t="s">
        <v>1314</v>
      </c>
    </row>
    <row r="55" spans="1:3">
      <c r="A55" t="s">
        <v>1315</v>
      </c>
      <c r="C55" t="s">
        <v>1316</v>
      </c>
    </row>
    <row r="56" spans="1:3">
      <c r="A56" t="s">
        <v>1317</v>
      </c>
      <c r="C56" t="s">
        <v>1318</v>
      </c>
    </row>
    <row r="57" spans="1:3">
      <c r="A57" t="s">
        <v>1319</v>
      </c>
      <c r="C57" t="s">
        <v>1320</v>
      </c>
    </row>
    <row r="58" spans="1:3">
      <c r="A58" t="s">
        <v>1321</v>
      </c>
      <c r="C58" t="s">
        <v>1322</v>
      </c>
    </row>
    <row r="60" spans="1:3">
      <c r="A60" t="s">
        <v>1323</v>
      </c>
      <c r="C60" t="s">
        <v>1324</v>
      </c>
    </row>
    <row r="61" spans="1:3">
      <c r="A61" t="s">
        <v>1325</v>
      </c>
      <c r="C61" t="s">
        <v>1326</v>
      </c>
    </row>
    <row r="62" spans="1:3">
      <c r="A62" t="s">
        <v>1327</v>
      </c>
      <c r="C62" t="s">
        <v>1328</v>
      </c>
    </row>
    <row r="63" spans="1:3">
      <c r="A63" t="s">
        <v>1329</v>
      </c>
      <c r="C63" t="s">
        <v>1330</v>
      </c>
    </row>
    <row r="64" spans="1:3">
      <c r="A64" t="s">
        <v>1331</v>
      </c>
      <c r="C64" t="s">
        <v>1332</v>
      </c>
    </row>
    <row r="65" spans="1:3">
      <c r="A65" t="s">
        <v>1333</v>
      </c>
      <c r="C65" t="s">
        <v>1334</v>
      </c>
    </row>
    <row r="66" spans="1:3">
      <c r="A66" t="s">
        <v>1335</v>
      </c>
      <c r="C66" t="s">
        <v>1336</v>
      </c>
    </row>
    <row r="67" spans="1:3">
      <c r="A67" t="s">
        <v>1337</v>
      </c>
      <c r="C67" t="s">
        <v>1338</v>
      </c>
    </row>
    <row r="68" spans="1:3">
      <c r="A68" t="s">
        <v>1339</v>
      </c>
      <c r="C68" t="s">
        <v>1340</v>
      </c>
    </row>
    <row r="69" spans="1:3">
      <c r="A69" t="s">
        <v>1341</v>
      </c>
      <c r="C69" t="s">
        <v>1342</v>
      </c>
    </row>
    <row r="70" spans="1:3">
      <c r="A70" t="s">
        <v>1343</v>
      </c>
      <c r="C70" t="s">
        <v>1344</v>
      </c>
    </row>
    <row r="71" spans="1:3">
      <c r="A71" t="s">
        <v>1345</v>
      </c>
      <c r="C71" t="s">
        <v>1346</v>
      </c>
    </row>
    <row r="73" spans="1:3">
      <c r="A73" t="s">
        <v>1347</v>
      </c>
      <c r="C73" t="s">
        <v>1348</v>
      </c>
    </row>
    <row r="74" spans="1:3">
      <c r="A74" t="s">
        <v>1349</v>
      </c>
      <c r="C74" t="s">
        <v>1350</v>
      </c>
    </row>
    <row r="75" spans="1:3">
      <c r="A75" t="s">
        <v>1351</v>
      </c>
      <c r="C75" t="s">
        <v>1352</v>
      </c>
    </row>
    <row r="76" spans="1:3">
      <c r="A76" t="s">
        <v>1353</v>
      </c>
      <c r="C76" t="s">
        <v>1354</v>
      </c>
    </row>
    <row r="77" spans="1:3">
      <c r="A77" t="s">
        <v>1355</v>
      </c>
      <c r="C77" t="s">
        <v>1356</v>
      </c>
    </row>
    <row r="78" spans="1:3">
      <c r="A78" t="s">
        <v>1357</v>
      </c>
      <c r="C78" t="s">
        <v>1358</v>
      </c>
    </row>
    <row r="79" spans="1:3">
      <c r="A79" t="s">
        <v>1359</v>
      </c>
      <c r="C79" t="s">
        <v>1360</v>
      </c>
    </row>
    <row r="80" spans="1:3">
      <c r="A80" t="s">
        <v>1361</v>
      </c>
      <c r="C80" t="s">
        <v>1362</v>
      </c>
    </row>
    <row r="81" spans="1:3">
      <c r="A81" t="s">
        <v>1363</v>
      </c>
      <c r="C81" t="s">
        <v>1364</v>
      </c>
    </row>
    <row r="82" spans="1:3">
      <c r="A82" t="s">
        <v>1365</v>
      </c>
      <c r="C82" t="s">
        <v>1366</v>
      </c>
    </row>
    <row r="83" spans="1:3">
      <c r="A83" t="s">
        <v>1367</v>
      </c>
      <c r="C83" t="s">
        <v>1368</v>
      </c>
    </row>
    <row r="84" spans="1:3">
      <c r="A84" t="s">
        <v>1369</v>
      </c>
      <c r="C84" t="s">
        <v>1370</v>
      </c>
    </row>
    <row r="85" spans="1:3">
      <c r="A85" t="s">
        <v>1371</v>
      </c>
      <c r="C85" t="s">
        <v>1372</v>
      </c>
    </row>
    <row r="86" spans="1:3">
      <c r="A86" t="s">
        <v>1373</v>
      </c>
      <c r="C86" t="s">
        <v>1374</v>
      </c>
    </row>
    <row r="87" spans="1:3">
      <c r="A87" t="s">
        <v>1375</v>
      </c>
      <c r="C87" t="s">
        <v>1376</v>
      </c>
    </row>
    <row r="88" spans="1:3">
      <c r="A88" t="s">
        <v>1377</v>
      </c>
      <c r="C88" t="s">
        <v>1378</v>
      </c>
    </row>
    <row r="89" spans="1:3">
      <c r="A89" t="s">
        <v>1379</v>
      </c>
      <c r="C89" t="s">
        <v>1380</v>
      </c>
    </row>
    <row r="90" spans="1:3">
      <c r="A90" t="s">
        <v>1381</v>
      </c>
      <c r="C90" t="s">
        <v>1382</v>
      </c>
    </row>
    <row r="91" spans="1:3">
      <c r="A91" t="s">
        <v>1383</v>
      </c>
      <c r="C91" t="s">
        <v>1384</v>
      </c>
    </row>
    <row r="92" spans="1:3">
      <c r="A92" t="s">
        <v>1385</v>
      </c>
      <c r="C92" t="s">
        <v>1386</v>
      </c>
    </row>
    <row r="93" spans="1:3">
      <c r="A93" t="s">
        <v>1387</v>
      </c>
      <c r="C93" t="s">
        <v>1388</v>
      </c>
    </row>
    <row r="94" spans="1:3">
      <c r="A94" t="s">
        <v>1389</v>
      </c>
      <c r="C94" t="s">
        <v>1390</v>
      </c>
    </row>
    <row r="95" spans="1:3">
      <c r="A95" t="s">
        <v>1391</v>
      </c>
      <c r="C95" t="s">
        <v>1392</v>
      </c>
    </row>
    <row r="96" spans="1:3">
      <c r="A96" t="s">
        <v>1393</v>
      </c>
      <c r="C96" t="s">
        <v>1394</v>
      </c>
    </row>
    <row r="97" spans="1:3">
      <c r="A97" t="s">
        <v>1395</v>
      </c>
      <c r="C97" t="s">
        <v>1396</v>
      </c>
    </row>
    <row r="98" spans="1:3">
      <c r="A98" t="s">
        <v>1397</v>
      </c>
      <c r="C98" t="s">
        <v>1398</v>
      </c>
    </row>
    <row r="99" spans="1:3">
      <c r="A99" t="s">
        <v>1399</v>
      </c>
      <c r="C99" t="s">
        <v>1400</v>
      </c>
    </row>
    <row r="100" spans="1:3">
      <c r="A100" t="s">
        <v>1401</v>
      </c>
      <c r="C100" t="s">
        <v>1402</v>
      </c>
    </row>
    <row r="101" spans="1:3">
      <c r="A101" t="s">
        <v>1403</v>
      </c>
      <c r="C101" t="s">
        <v>1404</v>
      </c>
    </row>
    <row r="102" spans="1:3">
      <c r="A102" t="s">
        <v>1405</v>
      </c>
      <c r="C102" t="s">
        <v>1406</v>
      </c>
    </row>
    <row r="103" spans="1:3">
      <c r="A103" t="s">
        <v>1407</v>
      </c>
      <c r="C103" t="s">
        <v>1408</v>
      </c>
    </row>
    <row r="104" spans="1:3">
      <c r="A104" t="s">
        <v>1409</v>
      </c>
      <c r="C104" t="s">
        <v>1410</v>
      </c>
    </row>
    <row r="106" spans="1:3">
      <c r="A106" t="s">
        <v>1411</v>
      </c>
      <c r="C106" t="s">
        <v>1412</v>
      </c>
    </row>
    <row r="107" spans="1:3">
      <c r="A107" t="s">
        <v>1413</v>
      </c>
      <c r="C107" t="s">
        <v>1414</v>
      </c>
    </row>
    <row r="108" spans="1:3">
      <c r="A108" t="s">
        <v>1415</v>
      </c>
      <c r="C108" t="s">
        <v>1416</v>
      </c>
    </row>
    <row r="109" spans="1:3">
      <c r="A109" t="s">
        <v>1417</v>
      </c>
      <c r="C109" t="s">
        <v>1418</v>
      </c>
    </row>
    <row r="110" spans="1:3">
      <c r="A110" t="s">
        <v>1419</v>
      </c>
      <c r="C110" t="s">
        <v>1420</v>
      </c>
    </row>
    <row r="111" spans="1:3">
      <c r="A111" t="s">
        <v>1421</v>
      </c>
      <c r="C111" t="s">
        <v>1422</v>
      </c>
    </row>
    <row r="112" spans="1:3">
      <c r="A112" t="s">
        <v>1423</v>
      </c>
      <c r="C112" t="s">
        <v>1424</v>
      </c>
    </row>
    <row r="113" spans="1:3">
      <c r="A113" t="s">
        <v>1425</v>
      </c>
      <c r="C113" t="s">
        <v>1426</v>
      </c>
    </row>
    <row r="114" spans="1:3">
      <c r="A114" t="s">
        <v>1427</v>
      </c>
      <c r="C114" t="s">
        <v>1428</v>
      </c>
    </row>
    <row r="115" spans="1:3">
      <c r="A115" t="s">
        <v>1429</v>
      </c>
      <c r="C115" t="s">
        <v>1430</v>
      </c>
    </row>
    <row r="116" spans="1:3">
      <c r="A116" t="s">
        <v>1431</v>
      </c>
      <c r="C116" t="s">
        <v>1432</v>
      </c>
    </row>
    <row r="117" spans="1:3">
      <c r="A117" t="s">
        <v>1433</v>
      </c>
      <c r="C117" t="s">
        <v>1434</v>
      </c>
    </row>
    <row r="118" spans="1:3">
      <c r="A118" t="s">
        <v>1435</v>
      </c>
      <c r="C118" t="s">
        <v>1436</v>
      </c>
    </row>
    <row r="119" spans="1:3">
      <c r="A119" t="s">
        <v>1437</v>
      </c>
      <c r="C119" t="s">
        <v>1438</v>
      </c>
    </row>
    <row r="120" spans="1:3">
      <c r="A120" t="s">
        <v>1439</v>
      </c>
      <c r="C120" t="s">
        <v>1440</v>
      </c>
    </row>
    <row r="121" spans="1:3">
      <c r="A121" t="s">
        <v>1441</v>
      </c>
      <c r="C121" t="s">
        <v>1442</v>
      </c>
    </row>
    <row r="122" spans="1:3">
      <c r="A122" t="s">
        <v>1443</v>
      </c>
      <c r="C122" t="s">
        <v>1444</v>
      </c>
    </row>
    <row r="123" spans="1:3">
      <c r="A123" t="s">
        <v>1445</v>
      </c>
      <c r="C123" t="s">
        <v>1446</v>
      </c>
    </row>
    <row r="124" spans="1:3">
      <c r="A124" t="s">
        <v>1447</v>
      </c>
      <c r="C124" t="s">
        <v>1448</v>
      </c>
    </row>
    <row r="125" spans="1:3">
      <c r="A125" t="s">
        <v>1449</v>
      </c>
      <c r="C125" t="s">
        <v>1450</v>
      </c>
    </row>
    <row r="126" spans="1:3">
      <c r="A126" t="s">
        <v>1451</v>
      </c>
      <c r="C126" t="s">
        <v>1452</v>
      </c>
    </row>
    <row r="127" spans="1:3">
      <c r="A127" t="s">
        <v>1453</v>
      </c>
      <c r="C127" t="s">
        <v>1454</v>
      </c>
    </row>
    <row r="128" spans="1:3">
      <c r="A128" t="s">
        <v>1455</v>
      </c>
      <c r="C128" t="s">
        <v>1456</v>
      </c>
    </row>
    <row r="129" spans="1:3">
      <c r="A129" t="s">
        <v>1457</v>
      </c>
      <c r="C129" t="s">
        <v>1458</v>
      </c>
    </row>
    <row r="130" spans="1:3">
      <c r="A130" t="s">
        <v>1459</v>
      </c>
      <c r="C130" t="s">
        <v>1460</v>
      </c>
    </row>
    <row r="131" spans="1:3">
      <c r="A131" t="s">
        <v>1461</v>
      </c>
      <c r="C131" t="s">
        <v>1462</v>
      </c>
    </row>
    <row r="132" spans="1:3">
      <c r="A132" t="s">
        <v>1463</v>
      </c>
      <c r="C132" t="s">
        <v>1464</v>
      </c>
    </row>
    <row r="133" spans="1:3">
      <c r="A133" t="s">
        <v>1465</v>
      </c>
      <c r="C133" t="s">
        <v>1466</v>
      </c>
    </row>
    <row r="134" spans="1:3">
      <c r="A134" t="s">
        <v>1467</v>
      </c>
      <c r="C134" t="s">
        <v>1468</v>
      </c>
    </row>
    <row r="135" spans="1:3">
      <c r="A135" t="s">
        <v>1469</v>
      </c>
      <c r="C135" t="s">
        <v>1470</v>
      </c>
    </row>
    <row r="136" spans="1:3">
      <c r="A136" t="s">
        <v>1471</v>
      </c>
      <c r="C136" t="s">
        <v>1472</v>
      </c>
    </row>
    <row r="137" spans="1:3">
      <c r="A137" t="s">
        <v>1473</v>
      </c>
      <c r="C137" t="s">
        <v>1474</v>
      </c>
    </row>
    <row r="138" spans="1:3">
      <c r="A138" t="s">
        <v>1475</v>
      </c>
      <c r="C138" t="s">
        <v>1476</v>
      </c>
    </row>
    <row r="140" spans="1:3">
      <c r="A140" t="s">
        <v>1477</v>
      </c>
      <c r="C140" t="s">
        <v>1478</v>
      </c>
    </row>
    <row r="141" spans="1:3">
      <c r="A141" t="s">
        <v>1479</v>
      </c>
      <c r="C141" t="s">
        <v>1480</v>
      </c>
    </row>
    <row r="142" spans="1:3">
      <c r="A142" t="s">
        <v>1481</v>
      </c>
      <c r="C142" t="s">
        <v>1482</v>
      </c>
    </row>
    <row r="143" spans="1:3">
      <c r="A143" t="s">
        <v>1483</v>
      </c>
      <c r="C143" t="s">
        <v>1484</v>
      </c>
    </row>
    <row r="144" spans="1:3">
      <c r="A144" t="s">
        <v>1485</v>
      </c>
      <c r="C144" t="s">
        <v>1486</v>
      </c>
    </row>
    <row r="145" spans="1:3">
      <c r="A145" t="s">
        <v>1487</v>
      </c>
      <c r="C145" t="s">
        <v>1488</v>
      </c>
    </row>
    <row r="146" spans="1:3">
      <c r="A146" t="s">
        <v>1489</v>
      </c>
      <c r="C146" t="s">
        <v>1490</v>
      </c>
    </row>
    <row r="147" spans="1:3">
      <c r="A147" t="s">
        <v>1491</v>
      </c>
      <c r="C147" t="s">
        <v>1492</v>
      </c>
    </row>
    <row r="148" spans="1:3">
      <c r="A148" t="s">
        <v>1493</v>
      </c>
      <c r="C148" t="s">
        <v>1494</v>
      </c>
    </row>
    <row r="149" spans="1:3">
      <c r="A149" t="s">
        <v>1495</v>
      </c>
      <c r="C149" t="s">
        <v>1496</v>
      </c>
    </row>
    <row r="150" spans="1:3">
      <c r="A150" t="s">
        <v>1497</v>
      </c>
      <c r="C150" t="s">
        <v>1498</v>
      </c>
    </row>
    <row r="151" spans="1:3">
      <c r="A151" t="s">
        <v>1499</v>
      </c>
      <c r="C151" t="s">
        <v>1500</v>
      </c>
    </row>
    <row r="152" spans="1:3">
      <c r="A152" t="s">
        <v>1501</v>
      </c>
      <c r="C152" t="s">
        <v>1502</v>
      </c>
    </row>
    <row r="153" spans="1:3">
      <c r="A153" t="s">
        <v>1503</v>
      </c>
      <c r="C153" t="s">
        <v>1504</v>
      </c>
    </row>
    <row r="154" spans="1:3">
      <c r="A154" t="s">
        <v>1505</v>
      </c>
      <c r="C154" t="s">
        <v>1506</v>
      </c>
    </row>
    <row r="155" spans="1:3">
      <c r="A155" t="s">
        <v>1507</v>
      </c>
      <c r="C155" t="s">
        <v>1508</v>
      </c>
    </row>
    <row r="156" spans="1:3">
      <c r="A156" t="s">
        <v>1509</v>
      </c>
      <c r="C156" t="s">
        <v>1510</v>
      </c>
    </row>
    <row r="157" spans="1:3">
      <c r="A157" t="s">
        <v>1511</v>
      </c>
      <c r="C157" t="s">
        <v>1512</v>
      </c>
    </row>
    <row r="159" spans="1:3">
      <c r="A159" t="s">
        <v>1513</v>
      </c>
      <c r="C159" t="s">
        <v>1514</v>
      </c>
    </row>
    <row r="160" spans="1:3">
      <c r="A160" t="s">
        <v>1515</v>
      </c>
      <c r="C160" t="s">
        <v>1516</v>
      </c>
    </row>
    <row r="161" spans="1:3">
      <c r="A161" t="s">
        <v>1517</v>
      </c>
      <c r="C161" t="s">
        <v>1518</v>
      </c>
    </row>
    <row r="162" spans="1:3">
      <c r="A162" t="s">
        <v>1519</v>
      </c>
      <c r="C162" t="s">
        <v>1520</v>
      </c>
    </row>
    <row r="163" spans="1:3">
      <c r="A163" t="s">
        <v>1521</v>
      </c>
      <c r="C163" t="s">
        <v>1522</v>
      </c>
    </row>
    <row r="164" spans="1:3">
      <c r="A164" t="s">
        <v>1523</v>
      </c>
      <c r="C164" t="s">
        <v>1524</v>
      </c>
    </row>
    <row r="165" spans="1:3">
      <c r="A165" t="s">
        <v>1525</v>
      </c>
      <c r="C165" t="s">
        <v>1526</v>
      </c>
    </row>
    <row r="166" spans="1:3">
      <c r="A166" t="s">
        <v>1527</v>
      </c>
      <c r="C166" t="s">
        <v>1528</v>
      </c>
    </row>
    <row r="167" spans="1:3">
      <c r="A167" t="s">
        <v>1529</v>
      </c>
      <c r="C167" t="s">
        <v>1530</v>
      </c>
    </row>
    <row r="168" spans="1:3">
      <c r="A168" t="s">
        <v>1531</v>
      </c>
      <c r="C168" t="s">
        <v>1532</v>
      </c>
    </row>
    <row r="169" spans="1:3">
      <c r="A169" t="s">
        <v>1533</v>
      </c>
      <c r="C169" t="s">
        <v>1534</v>
      </c>
    </row>
    <row r="170" spans="1:3">
      <c r="A170" t="s">
        <v>1535</v>
      </c>
      <c r="C170" t="s">
        <v>1536</v>
      </c>
    </row>
    <row r="171" spans="1:3">
      <c r="A171" t="s">
        <v>1537</v>
      </c>
      <c r="C171" t="s">
        <v>1538</v>
      </c>
    </row>
    <row r="172" spans="1:3">
      <c r="A172" t="s">
        <v>1539</v>
      </c>
      <c r="C172" t="s">
        <v>1540</v>
      </c>
    </row>
    <row r="173" spans="1:3">
      <c r="A173" t="s">
        <v>1541</v>
      </c>
      <c r="C173" t="s">
        <v>1542</v>
      </c>
    </row>
    <row r="174" spans="1:3">
      <c r="A174" t="s">
        <v>1543</v>
      </c>
      <c r="C174" t="s">
        <v>1544</v>
      </c>
    </row>
    <row r="175" spans="1:3">
      <c r="A175" t="s">
        <v>1545</v>
      </c>
      <c r="C175" t="s">
        <v>1546</v>
      </c>
    </row>
    <row r="176" spans="1:3">
      <c r="A176" t="s">
        <v>1547</v>
      </c>
      <c r="C176" t="s">
        <v>1548</v>
      </c>
    </row>
    <row r="178" spans="1:3">
      <c r="A178" t="s">
        <v>1549</v>
      </c>
      <c r="C178" t="s">
        <v>1550</v>
      </c>
    </row>
    <row r="179" spans="1:3">
      <c r="A179" t="s">
        <v>1551</v>
      </c>
      <c r="C179" t="s">
        <v>1552</v>
      </c>
    </row>
    <row r="180" spans="1:3">
      <c r="A180" t="s">
        <v>1553</v>
      </c>
      <c r="C180" t="s">
        <v>1554</v>
      </c>
    </row>
    <row r="181" spans="1:3">
      <c r="A181" t="s">
        <v>1555</v>
      </c>
      <c r="C181" t="s">
        <v>1556</v>
      </c>
    </row>
    <row r="182" spans="1:3">
      <c r="A182" t="s">
        <v>1557</v>
      </c>
      <c r="C182" t="s">
        <v>1558</v>
      </c>
    </row>
    <row r="183" spans="1:3">
      <c r="A183" t="s">
        <v>1559</v>
      </c>
      <c r="C183" t="s">
        <v>1560</v>
      </c>
    </row>
    <row r="184" spans="1:3">
      <c r="A184" t="s">
        <v>1561</v>
      </c>
      <c r="C184" t="s">
        <v>1562</v>
      </c>
    </row>
    <row r="185" spans="1:3">
      <c r="A185" t="s">
        <v>1563</v>
      </c>
      <c r="C185" t="s">
        <v>1564</v>
      </c>
    </row>
    <row r="186" spans="1:3">
      <c r="A186" t="s">
        <v>1565</v>
      </c>
      <c r="C186" t="s">
        <v>1566</v>
      </c>
    </row>
    <row r="187" spans="1:3">
      <c r="A187" t="s">
        <v>1567</v>
      </c>
      <c r="C187" t="s">
        <v>1568</v>
      </c>
    </row>
    <row r="188" spans="1:3">
      <c r="A188" t="s">
        <v>1569</v>
      </c>
      <c r="C188" t="s">
        <v>1570</v>
      </c>
    </row>
    <row r="189" spans="1:3">
      <c r="A189" t="s">
        <v>1571</v>
      </c>
      <c r="C189" t="s">
        <v>1572</v>
      </c>
    </row>
    <row r="190" spans="1:3">
      <c r="A190" t="s">
        <v>1573</v>
      </c>
      <c r="C190" t="s">
        <v>1574</v>
      </c>
    </row>
    <row r="191" spans="1:3">
      <c r="A191" t="s">
        <v>1575</v>
      </c>
      <c r="C191" t="s">
        <v>1576</v>
      </c>
    </row>
    <row r="193" spans="1:3">
      <c r="A193" t="s">
        <v>1577</v>
      </c>
      <c r="C193" t="s">
        <v>1578</v>
      </c>
    </row>
    <row r="194" spans="1:3">
      <c r="A194" t="s">
        <v>1579</v>
      </c>
      <c r="C194" t="s">
        <v>1580</v>
      </c>
    </row>
    <row r="195" spans="1:3">
      <c r="A195" t="s">
        <v>1581</v>
      </c>
      <c r="C195" t="s">
        <v>1582</v>
      </c>
    </row>
    <row r="196" spans="1:3">
      <c r="A196" t="s">
        <v>1583</v>
      </c>
      <c r="C196" t="s">
        <v>1584</v>
      </c>
    </row>
    <row r="197" spans="1:3">
      <c r="A197" t="s">
        <v>1585</v>
      </c>
      <c r="C197" t="s">
        <v>1586</v>
      </c>
    </row>
    <row r="198" spans="1:3">
      <c r="A198" t="s">
        <v>1587</v>
      </c>
      <c r="C198" t="s">
        <v>1588</v>
      </c>
    </row>
    <row r="199" spans="1:3">
      <c r="A199" t="s">
        <v>1589</v>
      </c>
      <c r="C199" t="s">
        <v>1590</v>
      </c>
    </row>
    <row r="200" spans="1:3">
      <c r="A200" t="s">
        <v>1591</v>
      </c>
      <c r="C200" t="s">
        <v>1592</v>
      </c>
    </row>
    <row r="201" spans="1:3">
      <c r="A201" t="s">
        <v>1593</v>
      </c>
      <c r="C201" t="s">
        <v>1594</v>
      </c>
    </row>
    <row r="202" spans="1:3">
      <c r="A202" t="s">
        <v>1595</v>
      </c>
      <c r="C202" t="s">
        <v>1596</v>
      </c>
    </row>
    <row r="203" spans="1:3">
      <c r="A203" t="s">
        <v>1597</v>
      </c>
      <c r="C203" t="s">
        <v>1598</v>
      </c>
    </row>
    <row r="205" spans="1:3">
      <c r="A205" t="s">
        <v>1599</v>
      </c>
      <c r="C205" t="s">
        <v>1600</v>
      </c>
    </row>
    <row r="207" spans="1:3">
      <c r="A207" t="s">
        <v>1601</v>
      </c>
      <c r="C207" t="s">
        <v>1602</v>
      </c>
    </row>
    <row r="208" spans="1:3">
      <c r="A208" t="s">
        <v>1603</v>
      </c>
      <c r="C208" t="s">
        <v>1604</v>
      </c>
    </row>
    <row r="209" spans="1:3">
      <c r="A209" t="s">
        <v>1605</v>
      </c>
      <c r="C209" t="s">
        <v>1606</v>
      </c>
    </row>
    <row r="210" spans="1:3">
      <c r="A210" t="s">
        <v>1607</v>
      </c>
      <c r="C210" t="s">
        <v>1608</v>
      </c>
    </row>
    <row r="211" spans="1:3">
      <c r="A211" t="s">
        <v>1609</v>
      </c>
      <c r="C211" t="s">
        <v>1610</v>
      </c>
    </row>
    <row r="212" spans="1:3">
      <c r="A212" t="s">
        <v>1611</v>
      </c>
      <c r="C212" t="s">
        <v>1612</v>
      </c>
    </row>
    <row r="213" spans="1:3">
      <c r="A213" t="s">
        <v>1613</v>
      </c>
      <c r="C213" t="s">
        <v>1614</v>
      </c>
    </row>
    <row r="214" spans="1:3">
      <c r="A214" t="s">
        <v>1615</v>
      </c>
      <c r="C214" t="s">
        <v>1616</v>
      </c>
    </row>
    <row r="216" spans="1:3">
      <c r="A216" t="s">
        <v>1617</v>
      </c>
      <c r="C216" t="s">
        <v>1618</v>
      </c>
    </row>
    <row r="217" spans="1:3">
      <c r="A217" t="s">
        <v>1619</v>
      </c>
      <c r="C217" t="s">
        <v>1620</v>
      </c>
    </row>
    <row r="218" spans="1:3">
      <c r="A218" t="s">
        <v>1621</v>
      </c>
      <c r="C218" t="s">
        <v>1622</v>
      </c>
    </row>
    <row r="219" spans="1:3">
      <c r="A219" t="s">
        <v>1623</v>
      </c>
      <c r="C219" t="s">
        <v>1624</v>
      </c>
    </row>
    <row r="220" spans="1:3">
      <c r="A220" t="s">
        <v>1625</v>
      </c>
      <c r="C220" t="s">
        <v>1626</v>
      </c>
    </row>
    <row r="221" spans="1:3">
      <c r="A221" t="s">
        <v>1627</v>
      </c>
      <c r="C221" t="s">
        <v>1628</v>
      </c>
    </row>
    <row r="222" spans="1:3">
      <c r="A222" t="s">
        <v>1629</v>
      </c>
      <c r="C222" t="s">
        <v>1630</v>
      </c>
    </row>
    <row r="223" spans="1:3">
      <c r="A223" t="s">
        <v>1631</v>
      </c>
      <c r="C223" t="s">
        <v>1632</v>
      </c>
    </row>
    <row r="224" spans="1:3">
      <c r="A224" t="s">
        <v>1633</v>
      </c>
      <c r="C224" t="s">
        <v>1634</v>
      </c>
    </row>
    <row r="225" spans="1:3">
      <c r="A225" t="s">
        <v>1635</v>
      </c>
      <c r="C225" t="s">
        <v>1636</v>
      </c>
    </row>
    <row r="226" spans="1:3">
      <c r="A226" t="s">
        <v>1637</v>
      </c>
      <c r="C226" t="s">
        <v>1638</v>
      </c>
    </row>
    <row r="227" spans="1:3">
      <c r="A227" t="s">
        <v>1639</v>
      </c>
      <c r="C227" t="s">
        <v>1640</v>
      </c>
    </row>
    <row r="228" spans="1:3">
      <c r="A228" t="s">
        <v>1641</v>
      </c>
      <c r="C228" t="s">
        <v>1642</v>
      </c>
    </row>
    <row r="229" spans="1:3">
      <c r="A229" t="s">
        <v>1643</v>
      </c>
      <c r="C229" t="s">
        <v>1644</v>
      </c>
    </row>
    <row r="230" spans="1:3">
      <c r="A230" t="s">
        <v>1645</v>
      </c>
      <c r="C230" t="s">
        <v>1646</v>
      </c>
    </row>
    <row r="231" spans="1:3">
      <c r="A231" t="s">
        <v>1647</v>
      </c>
      <c r="C231" t="s">
        <v>1648</v>
      </c>
    </row>
    <row r="232" spans="1:3">
      <c r="A232" t="s">
        <v>1649</v>
      </c>
      <c r="C232" t="s">
        <v>1650</v>
      </c>
    </row>
    <row r="233" spans="1:3">
      <c r="A233" t="s">
        <v>1651</v>
      </c>
      <c r="C233" t="s">
        <v>1652</v>
      </c>
    </row>
    <row r="234" spans="1:3">
      <c r="A234" t="s">
        <v>1653</v>
      </c>
      <c r="C234" t="s">
        <v>1654</v>
      </c>
    </row>
    <row r="235" spans="1:3">
      <c r="A235" t="s">
        <v>1655</v>
      </c>
      <c r="C235" t="s">
        <v>1656</v>
      </c>
    </row>
    <row r="236" spans="1:3">
      <c r="A236" t="s">
        <v>1657</v>
      </c>
      <c r="C236" t="s">
        <v>1658</v>
      </c>
    </row>
    <row r="237" spans="1:3">
      <c r="A237" t="s">
        <v>1659</v>
      </c>
      <c r="C237" t="s">
        <v>1660</v>
      </c>
    </row>
    <row r="238" spans="1:3">
      <c r="A238" t="s">
        <v>1661</v>
      </c>
      <c r="C238" t="s">
        <v>1662</v>
      </c>
    </row>
    <row r="239" spans="1:3">
      <c r="A239" t="s">
        <v>1663</v>
      </c>
      <c r="C239" t="s">
        <v>1664</v>
      </c>
    </row>
    <row r="240" spans="1:3">
      <c r="A240" t="s">
        <v>1665</v>
      </c>
      <c r="C240" t="s">
        <v>1666</v>
      </c>
    </row>
    <row r="241" spans="1:3">
      <c r="A241" t="s">
        <v>1667</v>
      </c>
      <c r="C241" t="s">
        <v>1668</v>
      </c>
    </row>
    <row r="242" spans="1:3">
      <c r="A242" t="s">
        <v>1669</v>
      </c>
      <c r="C242" t="s">
        <v>1670</v>
      </c>
    </row>
    <row r="243" spans="1:3">
      <c r="A243" t="s">
        <v>1671</v>
      </c>
      <c r="C243" t="s">
        <v>1672</v>
      </c>
    </row>
    <row r="244" spans="1:3">
      <c r="A244" t="s">
        <v>1673</v>
      </c>
      <c r="C244" t="s">
        <v>1674</v>
      </c>
    </row>
    <row r="245" spans="1:3">
      <c r="A245" t="s">
        <v>1675</v>
      </c>
      <c r="C245" t="s">
        <v>1676</v>
      </c>
    </row>
    <row r="246" spans="1:3">
      <c r="A246" t="s">
        <v>1677</v>
      </c>
      <c r="C246" t="s">
        <v>1678</v>
      </c>
    </row>
    <row r="247" spans="1:3">
      <c r="A247" t="s">
        <v>1679</v>
      </c>
      <c r="C247" t="s">
        <v>1680</v>
      </c>
    </row>
    <row r="248" spans="1:3">
      <c r="A248" t="s">
        <v>1681</v>
      </c>
      <c r="C248" t="s">
        <v>1682</v>
      </c>
    </row>
    <row r="249" spans="1:3">
      <c r="A249" t="s">
        <v>1683</v>
      </c>
      <c r="C249" t="s">
        <v>1684</v>
      </c>
    </row>
    <row r="250" spans="1:3">
      <c r="A250" t="s">
        <v>1685</v>
      </c>
      <c r="C250" t="s">
        <v>1686</v>
      </c>
    </row>
    <row r="251" spans="1:3">
      <c r="A251" t="s">
        <v>1687</v>
      </c>
      <c r="C251" t="s">
        <v>1688</v>
      </c>
    </row>
    <row r="252" spans="1:3">
      <c r="A252" t="s">
        <v>1689</v>
      </c>
      <c r="C252" t="s">
        <v>1690</v>
      </c>
    </row>
    <row r="253" spans="1:3">
      <c r="A253" t="s">
        <v>1691</v>
      </c>
      <c r="C253" t="s">
        <v>1692</v>
      </c>
    </row>
    <row r="254" spans="1:3">
      <c r="A254" t="s">
        <v>1693</v>
      </c>
      <c r="C254" t="s">
        <v>1694</v>
      </c>
    </row>
    <row r="255" spans="1:3">
      <c r="A255" t="s">
        <v>1695</v>
      </c>
      <c r="C255" t="s">
        <v>1696</v>
      </c>
    </row>
    <row r="256" spans="1:3">
      <c r="A256" t="s">
        <v>1697</v>
      </c>
      <c r="C256" t="s">
        <v>1698</v>
      </c>
    </row>
    <row r="257" spans="1:3">
      <c r="A257" t="s">
        <v>1699</v>
      </c>
      <c r="C257" t="s">
        <v>1700</v>
      </c>
    </row>
    <row r="258" spans="1:3">
      <c r="A258" t="s">
        <v>1701</v>
      </c>
      <c r="C258" t="s">
        <v>1702</v>
      </c>
    </row>
    <row r="259" spans="1:3">
      <c r="A259" t="s">
        <v>1703</v>
      </c>
      <c r="C259" t="s">
        <v>1704</v>
      </c>
    </row>
    <row r="260" spans="1:3">
      <c r="A260" t="s">
        <v>1705</v>
      </c>
      <c r="C260" t="s">
        <v>1706</v>
      </c>
    </row>
    <row r="261" spans="1:3">
      <c r="A261" t="s">
        <v>1707</v>
      </c>
      <c r="C261" t="s">
        <v>1708</v>
      </c>
    </row>
    <row r="262" spans="1:3">
      <c r="A262" t="s">
        <v>1709</v>
      </c>
      <c r="C262" t="s">
        <v>1710</v>
      </c>
    </row>
    <row r="263" spans="1:3">
      <c r="A263" t="s">
        <v>1711</v>
      </c>
      <c r="C263" t="s">
        <v>1712</v>
      </c>
    </row>
    <row r="264" spans="1:3">
      <c r="A264" t="s">
        <v>1713</v>
      </c>
      <c r="C264" t="s">
        <v>1714</v>
      </c>
    </row>
    <row r="265" spans="1:3">
      <c r="A265" t="s">
        <v>1715</v>
      </c>
      <c r="C265" t="s">
        <v>1716</v>
      </c>
    </row>
    <row r="266" spans="1:3">
      <c r="A266" t="s">
        <v>1717</v>
      </c>
      <c r="C266" t="s">
        <v>1718</v>
      </c>
    </row>
    <row r="267" spans="1:3">
      <c r="A267" t="s">
        <v>1719</v>
      </c>
      <c r="C267" t="s">
        <v>1720</v>
      </c>
    </row>
    <row r="268" spans="1:3">
      <c r="A268" t="s">
        <v>1721</v>
      </c>
      <c r="C268" t="s">
        <v>1722</v>
      </c>
    </row>
    <row r="269" spans="1:3">
      <c r="A269" t="s">
        <v>1723</v>
      </c>
      <c r="C269" t="s">
        <v>1724</v>
      </c>
    </row>
    <row r="270" spans="1:3">
      <c r="A270" t="s">
        <v>1725</v>
      </c>
      <c r="C270" t="s">
        <v>1726</v>
      </c>
    </row>
    <row r="271" spans="1:3">
      <c r="A271" t="s">
        <v>1727</v>
      </c>
      <c r="C271" t="s">
        <v>1728</v>
      </c>
    </row>
    <row r="272" spans="1:3">
      <c r="A272" t="s">
        <v>1729</v>
      </c>
      <c r="C272" t="s">
        <v>1730</v>
      </c>
    </row>
    <row r="273" spans="1:3">
      <c r="A273" t="s">
        <v>1731</v>
      </c>
      <c r="C273" t="s">
        <v>1732</v>
      </c>
    </row>
    <row r="275" spans="1:3">
      <c r="A275" t="s">
        <v>1733</v>
      </c>
      <c r="C275" t="s">
        <v>1734</v>
      </c>
    </row>
    <row r="276" spans="1:3">
      <c r="A276" t="s">
        <v>1735</v>
      </c>
      <c r="C276" t="s">
        <v>1736</v>
      </c>
    </row>
    <row r="278" spans="1:3">
      <c r="A278" t="s">
        <v>1737</v>
      </c>
      <c r="C278" t="s">
        <v>1738</v>
      </c>
    </row>
    <row r="279" spans="1:3">
      <c r="A279" t="s">
        <v>1739</v>
      </c>
      <c r="C279" t="s">
        <v>1740</v>
      </c>
    </row>
    <row r="280" spans="1:3">
      <c r="A280" t="s">
        <v>1741</v>
      </c>
      <c r="C280" t="s">
        <v>1742</v>
      </c>
    </row>
    <row r="281" spans="1:3">
      <c r="A281" t="s">
        <v>1743</v>
      </c>
      <c r="C281" t="s">
        <v>1744</v>
      </c>
    </row>
    <row r="282" spans="1:3">
      <c r="A282" t="s">
        <v>1745</v>
      </c>
      <c r="C282" t="s">
        <v>1746</v>
      </c>
    </row>
    <row r="283" spans="1:3">
      <c r="A283" t="s">
        <v>1747</v>
      </c>
      <c r="C283" t="s">
        <v>1748</v>
      </c>
    </row>
    <row r="284" spans="1:3">
      <c r="A284" t="s">
        <v>1749</v>
      </c>
      <c r="C284" t="s">
        <v>1750</v>
      </c>
    </row>
    <row r="285" spans="1:3">
      <c r="A285" t="s">
        <v>1751</v>
      </c>
      <c r="C285" t="s">
        <v>1752</v>
      </c>
    </row>
    <row r="286" spans="1:3">
      <c r="A286" t="s">
        <v>1753</v>
      </c>
      <c r="C286" t="s">
        <v>1754</v>
      </c>
    </row>
    <row r="287" spans="1:3">
      <c r="A287" t="s">
        <v>1755</v>
      </c>
      <c r="C287" t="s">
        <v>1756</v>
      </c>
    </row>
    <row r="288" spans="1:3">
      <c r="A288" t="s">
        <v>1757</v>
      </c>
      <c r="C288" t="s">
        <v>1758</v>
      </c>
    </row>
    <row r="290" spans="1:3">
      <c r="A290" t="s">
        <v>1759</v>
      </c>
      <c r="C290" t="s">
        <v>1760</v>
      </c>
    </row>
    <row r="291" spans="1:3">
      <c r="A291" t="s">
        <v>1761</v>
      </c>
      <c r="C291" t="s">
        <v>1762</v>
      </c>
    </row>
    <row r="292" spans="1:3">
      <c r="A292" t="s">
        <v>1763</v>
      </c>
      <c r="C292" t="s">
        <v>1764</v>
      </c>
    </row>
    <row r="293" spans="1:3">
      <c r="A293" t="s">
        <v>1765</v>
      </c>
      <c r="C293" t="s">
        <v>1766</v>
      </c>
    </row>
    <row r="294" spans="1:3">
      <c r="A294" t="s">
        <v>1767</v>
      </c>
      <c r="C294" t="s">
        <v>1768</v>
      </c>
    </row>
    <row r="295" spans="1:3">
      <c r="A295" t="s">
        <v>1769</v>
      </c>
      <c r="C295" t="s">
        <v>1770</v>
      </c>
    </row>
    <row r="296" spans="1:3">
      <c r="A296" t="s">
        <v>1771</v>
      </c>
      <c r="C296" t="s">
        <v>1772</v>
      </c>
    </row>
    <row r="297" spans="1:3">
      <c r="A297" t="s">
        <v>1773</v>
      </c>
      <c r="C297" t="s">
        <v>1774</v>
      </c>
    </row>
    <row r="298" spans="1:3">
      <c r="A298" t="s">
        <v>1775</v>
      </c>
      <c r="C298" t="s">
        <v>1776</v>
      </c>
    </row>
    <row r="299" spans="1:3">
      <c r="A299" t="s">
        <v>1777</v>
      </c>
      <c r="C299" t="s">
        <v>1778</v>
      </c>
    </row>
    <row r="301" spans="1:3">
      <c r="A301" t="s">
        <v>1779</v>
      </c>
      <c r="C301" t="s">
        <v>1780</v>
      </c>
    </row>
    <row r="302" spans="1:3">
      <c r="A302" t="s">
        <v>1781</v>
      </c>
      <c r="C302" t="s">
        <v>1782</v>
      </c>
    </row>
    <row r="303" spans="1:3">
      <c r="A303" t="s">
        <v>1783</v>
      </c>
      <c r="C303" t="s">
        <v>1784</v>
      </c>
    </row>
    <row r="304" spans="1:3">
      <c r="A304" t="s">
        <v>1785</v>
      </c>
      <c r="C304" t="s">
        <v>1786</v>
      </c>
    </row>
    <row r="310" spans="1:3">
      <c r="A310" t="s">
        <v>1787</v>
      </c>
      <c r="C310" t="s">
        <v>1788</v>
      </c>
    </row>
    <row r="311" spans="1:3">
      <c r="A311" t="s">
        <v>1789</v>
      </c>
      <c r="C311" t="s">
        <v>1790</v>
      </c>
    </row>
    <row r="312" spans="1:3">
      <c r="A312" t="s">
        <v>1791</v>
      </c>
      <c r="C312" t="s">
        <v>1792</v>
      </c>
    </row>
    <row r="314" spans="1:3">
      <c r="A314" t="s">
        <v>1793</v>
      </c>
      <c r="C314" t="s">
        <v>1794</v>
      </c>
    </row>
    <row r="315" spans="1:3">
      <c r="A315" t="s">
        <v>1795</v>
      </c>
      <c r="C315" t="s">
        <v>1796</v>
      </c>
    </row>
    <row r="316" spans="1:3">
      <c r="A316" t="s">
        <v>1797</v>
      </c>
      <c r="C316" t="s">
        <v>1798</v>
      </c>
    </row>
    <row r="317" spans="1:3">
      <c r="A317" t="s">
        <v>1799</v>
      </c>
      <c r="C317" t="s">
        <v>1800</v>
      </c>
    </row>
    <row r="318" spans="1:3">
      <c r="A318" t="s">
        <v>1801</v>
      </c>
      <c r="C318" t="s">
        <v>1802</v>
      </c>
    </row>
    <row r="319" spans="1:3">
      <c r="A319" t="s">
        <v>1803</v>
      </c>
      <c r="C319" t="s">
        <v>1804</v>
      </c>
    </row>
    <row r="320" spans="1:3">
      <c r="A320" t="s">
        <v>1805</v>
      </c>
      <c r="C320" t="s">
        <v>1806</v>
      </c>
    </row>
    <row r="321" spans="1:3">
      <c r="A321" t="s">
        <v>1807</v>
      </c>
      <c r="C321" t="s">
        <v>1808</v>
      </c>
    </row>
    <row r="322" spans="1:3">
      <c r="A322" t="s">
        <v>1809</v>
      </c>
      <c r="C322" t="s">
        <v>1810</v>
      </c>
    </row>
    <row r="323" spans="1:3">
      <c r="A323" t="s">
        <v>1811</v>
      </c>
      <c r="C323" t="s">
        <v>1812</v>
      </c>
    </row>
    <row r="324" spans="1:3">
      <c r="A324" t="s">
        <v>1813</v>
      </c>
      <c r="C324" t="s">
        <v>1814</v>
      </c>
    </row>
    <row r="325" spans="1:3">
      <c r="A325" t="s">
        <v>1815</v>
      </c>
      <c r="C325" t="s">
        <v>1816</v>
      </c>
    </row>
    <row r="326" spans="1:3">
      <c r="A326" t="s">
        <v>1817</v>
      </c>
      <c r="C326" t="s">
        <v>1818</v>
      </c>
    </row>
    <row r="327" spans="1:3">
      <c r="A327" t="s">
        <v>1819</v>
      </c>
      <c r="C327" t="s">
        <v>1820</v>
      </c>
    </row>
    <row r="328" spans="1:3">
      <c r="A328" t="s">
        <v>1821</v>
      </c>
      <c r="C328" t="s">
        <v>1822</v>
      </c>
    </row>
    <row r="329" spans="1:3">
      <c r="A329" t="s">
        <v>1823</v>
      </c>
      <c r="C329" t="s">
        <v>1824</v>
      </c>
    </row>
    <row r="330" spans="1:3">
      <c r="A330" t="s">
        <v>1825</v>
      </c>
      <c r="C330" t="s">
        <v>1826</v>
      </c>
    </row>
    <row r="331" spans="1:3">
      <c r="A331" t="s">
        <v>1827</v>
      </c>
      <c r="C331" t="s">
        <v>1828</v>
      </c>
    </row>
    <row r="332" spans="1:3">
      <c r="A332" t="s">
        <v>1829</v>
      </c>
      <c r="C332" t="s">
        <v>1830</v>
      </c>
    </row>
    <row r="333" spans="1:3">
      <c r="A333" t="s">
        <v>1831</v>
      </c>
      <c r="C333" t="s">
        <v>1832</v>
      </c>
    </row>
    <row r="334" spans="1:3">
      <c r="A334" t="s">
        <v>1833</v>
      </c>
      <c r="C334" t="s">
        <v>1834</v>
      </c>
    </row>
    <row r="335" spans="1:3">
      <c r="A335" t="s">
        <v>1835</v>
      </c>
      <c r="C335" t="s">
        <v>1836</v>
      </c>
    </row>
    <row r="337" spans="1:41">
      <c r="A337" t="s">
        <v>1837</v>
      </c>
      <c r="C337" t="s">
        <v>1838</v>
      </c>
    </row>
    <row r="338" spans="1:41">
      <c r="A338" t="s">
        <v>1839</v>
      </c>
      <c r="C338" t="s">
        <v>1840</v>
      </c>
    </row>
    <row r="339" spans="1:41">
      <c r="A339" t="s">
        <v>1841</v>
      </c>
      <c r="C339" t="s">
        <v>1842</v>
      </c>
    </row>
    <row r="340" spans="1:41">
      <c r="A340" t="s">
        <v>1843</v>
      </c>
      <c r="C340" t="s">
        <v>1844</v>
      </c>
    </row>
    <row r="341" spans="1:41">
      <c r="A341" t="s">
        <v>1845</v>
      </c>
      <c r="C341" t="s">
        <v>1846</v>
      </c>
      <c r="AI341" t="s">
        <v>2055</v>
      </c>
      <c r="AJ341" t="s">
        <v>2055</v>
      </c>
      <c r="AK341" t="s">
        <v>2055</v>
      </c>
      <c r="AM341" t="s">
        <v>2055</v>
      </c>
      <c r="AN341" t="s">
        <v>2055</v>
      </c>
      <c r="AO341" t="s">
        <v>2055</v>
      </c>
    </row>
    <row r="342" spans="1:41">
      <c r="A342" t="s">
        <v>1847</v>
      </c>
      <c r="C342" t="s">
        <v>1848</v>
      </c>
    </row>
    <row r="343" spans="1:41">
      <c r="A343" t="s">
        <v>1849</v>
      </c>
      <c r="C343" t="s">
        <v>1850</v>
      </c>
    </row>
    <row r="344" spans="1:41">
      <c r="A344" t="s">
        <v>1851</v>
      </c>
      <c r="C344" t="s">
        <v>1852</v>
      </c>
    </row>
    <row r="345" spans="1:41">
      <c r="A345" t="s">
        <v>1853</v>
      </c>
      <c r="C345" t="s">
        <v>1854</v>
      </c>
    </row>
    <row r="346" spans="1:41">
      <c r="A346" t="s">
        <v>1855</v>
      </c>
      <c r="C346" t="s">
        <v>1856</v>
      </c>
    </row>
    <row r="347" spans="1:41">
      <c r="A347" t="s">
        <v>1857</v>
      </c>
      <c r="C347" t="s">
        <v>1858</v>
      </c>
    </row>
    <row r="348" spans="1:41">
      <c r="A348" t="s">
        <v>1859</v>
      </c>
      <c r="C348" t="s">
        <v>1860</v>
      </c>
    </row>
    <row r="349" spans="1:41">
      <c r="A349" t="s">
        <v>1861</v>
      </c>
      <c r="C349" t="s">
        <v>1862</v>
      </c>
    </row>
    <row r="350" spans="1:41">
      <c r="A350" t="s">
        <v>1863</v>
      </c>
      <c r="C350" t="s">
        <v>1864</v>
      </c>
    </row>
    <row r="351" spans="1:41">
      <c r="A351" t="s">
        <v>1865</v>
      </c>
      <c r="C351" t="s">
        <v>1866</v>
      </c>
    </row>
    <row r="352" spans="1:41">
      <c r="A352" t="s">
        <v>1867</v>
      </c>
      <c r="C352" t="s">
        <v>1868</v>
      </c>
    </row>
    <row r="354" spans="1:3">
      <c r="A354" t="s">
        <v>1869</v>
      </c>
      <c r="C354" t="s">
        <v>1870</v>
      </c>
    </row>
    <row r="355" spans="1:3">
      <c r="A355" t="s">
        <v>1871</v>
      </c>
      <c r="C355" t="s">
        <v>1872</v>
      </c>
    </row>
    <row r="356" spans="1:3">
      <c r="A356" t="s">
        <v>1873</v>
      </c>
      <c r="C356" t="s">
        <v>1874</v>
      </c>
    </row>
    <row r="357" spans="1:3">
      <c r="A357" t="s">
        <v>1875</v>
      </c>
      <c r="C357" t="s">
        <v>1876</v>
      </c>
    </row>
    <row r="358" spans="1:3">
      <c r="A358" t="s">
        <v>1877</v>
      </c>
      <c r="C358" t="s">
        <v>1878</v>
      </c>
    </row>
    <row r="359" spans="1:3">
      <c r="A359" t="s">
        <v>1879</v>
      </c>
      <c r="C359" t="s">
        <v>1880</v>
      </c>
    </row>
    <row r="360" spans="1:3">
      <c r="A360" t="s">
        <v>1881</v>
      </c>
      <c r="C360" t="s">
        <v>1882</v>
      </c>
    </row>
    <row r="361" spans="1:3">
      <c r="A361" t="s">
        <v>1883</v>
      </c>
      <c r="C361" t="s">
        <v>1884</v>
      </c>
    </row>
    <row r="362" spans="1:3">
      <c r="A362" t="s">
        <v>1885</v>
      </c>
      <c r="C362" t="s">
        <v>1886</v>
      </c>
    </row>
    <row r="363" spans="1:3">
      <c r="A363" t="s">
        <v>1887</v>
      </c>
      <c r="C363" t="s">
        <v>1888</v>
      </c>
    </row>
    <row r="364" spans="1:3">
      <c r="A364" t="s">
        <v>1889</v>
      </c>
      <c r="C364" t="s">
        <v>1890</v>
      </c>
    </row>
    <row r="365" spans="1:3">
      <c r="A365" t="s">
        <v>1891</v>
      </c>
      <c r="C365" t="s">
        <v>1892</v>
      </c>
    </row>
    <row r="366" spans="1:3">
      <c r="A366" t="s">
        <v>1893</v>
      </c>
      <c r="C366" t="s">
        <v>1894</v>
      </c>
    </row>
    <row r="367" spans="1:3">
      <c r="A367" t="s">
        <v>1895</v>
      </c>
      <c r="C367" t="s">
        <v>1896</v>
      </c>
    </row>
    <row r="368" spans="1:3">
      <c r="A368" t="s">
        <v>1897</v>
      </c>
      <c r="C368" t="s">
        <v>1898</v>
      </c>
    </row>
    <row r="369" spans="1:3">
      <c r="A369" t="s">
        <v>1899</v>
      </c>
      <c r="C369" t="s">
        <v>1900</v>
      </c>
    </row>
    <row r="370" spans="1:3">
      <c r="A370" t="s">
        <v>1901</v>
      </c>
      <c r="C370" t="s">
        <v>1902</v>
      </c>
    </row>
    <row r="371" spans="1:3">
      <c r="A371" t="s">
        <v>1903</v>
      </c>
      <c r="C371" t="s">
        <v>1904</v>
      </c>
    </row>
    <row r="372" spans="1:3">
      <c r="A372" t="s">
        <v>1905</v>
      </c>
      <c r="C372" t="s">
        <v>1906</v>
      </c>
    </row>
    <row r="373" spans="1:3">
      <c r="A373" t="s">
        <v>1907</v>
      </c>
      <c r="C373" t="s">
        <v>1908</v>
      </c>
    </row>
    <row r="375" spans="1:3">
      <c r="A375" t="s">
        <v>1909</v>
      </c>
      <c r="C375" t="s">
        <v>1910</v>
      </c>
    </row>
    <row r="376" spans="1:3">
      <c r="A376" t="s">
        <v>1911</v>
      </c>
      <c r="C376" t="s">
        <v>1912</v>
      </c>
    </row>
    <row r="377" spans="1:3">
      <c r="A377" t="s">
        <v>1913</v>
      </c>
      <c r="C377" t="s">
        <v>1914</v>
      </c>
    </row>
    <row r="378" spans="1:3">
      <c r="A378" t="s">
        <v>1915</v>
      </c>
      <c r="C378" t="s">
        <v>1916</v>
      </c>
    </row>
    <row r="379" spans="1:3">
      <c r="A379" t="s">
        <v>1917</v>
      </c>
      <c r="C379" t="s">
        <v>1918</v>
      </c>
    </row>
    <row r="380" spans="1:3">
      <c r="A380" t="s">
        <v>1919</v>
      </c>
      <c r="C380" t="s">
        <v>1920</v>
      </c>
    </row>
    <row r="381" spans="1:3">
      <c r="A381" t="s">
        <v>1921</v>
      </c>
      <c r="C381" t="s">
        <v>1922</v>
      </c>
    </row>
    <row r="382" spans="1:3">
      <c r="A382" t="s">
        <v>1923</v>
      </c>
      <c r="C382" t="s">
        <v>1924</v>
      </c>
    </row>
    <row r="383" spans="1:3">
      <c r="A383" t="s">
        <v>1925</v>
      </c>
      <c r="C383" t="s">
        <v>1926</v>
      </c>
    </row>
    <row r="384" spans="1:3">
      <c r="A384" t="s">
        <v>1927</v>
      </c>
      <c r="C384" t="s">
        <v>1928</v>
      </c>
    </row>
    <row r="385" spans="1:3">
      <c r="A385" t="s">
        <v>1929</v>
      </c>
      <c r="C385" t="s">
        <v>1930</v>
      </c>
    </row>
    <row r="386" spans="1:3">
      <c r="A386" t="s">
        <v>1931</v>
      </c>
      <c r="C386" t="s">
        <v>1932</v>
      </c>
    </row>
    <row r="387" spans="1:3">
      <c r="A387" t="s">
        <v>1933</v>
      </c>
      <c r="C387" t="s">
        <v>1934</v>
      </c>
    </row>
    <row r="388" spans="1:3">
      <c r="A388" t="s">
        <v>1935</v>
      </c>
      <c r="C388" t="s">
        <v>1936</v>
      </c>
    </row>
    <row r="389" spans="1:3">
      <c r="A389" t="s">
        <v>1937</v>
      </c>
      <c r="C389" t="s">
        <v>1938</v>
      </c>
    </row>
    <row r="390" spans="1:3">
      <c r="A390" t="s">
        <v>1939</v>
      </c>
      <c r="C390" t="s">
        <v>1940</v>
      </c>
    </row>
    <row r="391" spans="1:3">
      <c r="A391" t="s">
        <v>1941</v>
      </c>
      <c r="C391" t="s">
        <v>1942</v>
      </c>
    </row>
    <row r="393" spans="1:3">
      <c r="A393" t="s">
        <v>1943</v>
      </c>
      <c r="C393" t="s">
        <v>1944</v>
      </c>
    </row>
    <row r="394" spans="1:3">
      <c r="A394" t="s">
        <v>1945</v>
      </c>
      <c r="C394" t="s">
        <v>1946</v>
      </c>
    </row>
    <row r="395" spans="1:3">
      <c r="A395" t="s">
        <v>1947</v>
      </c>
      <c r="C395" t="s">
        <v>1948</v>
      </c>
    </row>
    <row r="396" spans="1:3">
      <c r="A396" t="s">
        <v>1949</v>
      </c>
      <c r="C396" t="s">
        <v>1950</v>
      </c>
    </row>
    <row r="397" spans="1:3">
      <c r="A397" t="s">
        <v>1951</v>
      </c>
      <c r="C397" t="s">
        <v>1952</v>
      </c>
    </row>
    <row r="398" spans="1:3">
      <c r="A398" t="s">
        <v>1953</v>
      </c>
      <c r="C398" t="s">
        <v>1954</v>
      </c>
    </row>
    <row r="399" spans="1:3">
      <c r="A399" t="s">
        <v>1955</v>
      </c>
      <c r="C399" t="s">
        <v>1956</v>
      </c>
    </row>
    <row r="400" spans="1:3">
      <c r="A400" t="s">
        <v>1957</v>
      </c>
      <c r="C400" t="s">
        <v>1958</v>
      </c>
    </row>
    <row r="401" spans="1:3">
      <c r="A401" t="s">
        <v>1959</v>
      </c>
      <c r="C401" t="s">
        <v>1960</v>
      </c>
    </row>
    <row r="402" spans="1:3">
      <c r="A402" t="s">
        <v>1961</v>
      </c>
      <c r="C402" t="s">
        <v>1962</v>
      </c>
    </row>
    <row r="403" spans="1:3">
      <c r="A403" t="s">
        <v>1963</v>
      </c>
      <c r="C403" t="s">
        <v>1964</v>
      </c>
    </row>
    <row r="404" spans="1:3">
      <c r="A404" t="s">
        <v>1965</v>
      </c>
      <c r="C404" t="s">
        <v>1966</v>
      </c>
    </row>
    <row r="405" spans="1:3">
      <c r="A405" t="s">
        <v>1967</v>
      </c>
      <c r="C405" t="s">
        <v>1968</v>
      </c>
    </row>
    <row r="406" spans="1:3">
      <c r="A406" t="s">
        <v>1969</v>
      </c>
      <c r="C406" t="s">
        <v>1970</v>
      </c>
    </row>
    <row r="407" spans="1:3">
      <c r="A407" t="s">
        <v>1971</v>
      </c>
      <c r="C407" t="s">
        <v>1972</v>
      </c>
    </row>
    <row r="408" spans="1:3">
      <c r="A408" t="s">
        <v>1973</v>
      </c>
      <c r="C408" t="s">
        <v>1974</v>
      </c>
    </row>
    <row r="409" spans="1:3">
      <c r="A409" t="s">
        <v>1975</v>
      </c>
      <c r="C409" t="s">
        <v>1976</v>
      </c>
    </row>
    <row r="410" spans="1:3">
      <c r="A410" t="s">
        <v>1977</v>
      </c>
      <c r="C410" t="s">
        <v>1978</v>
      </c>
    </row>
    <row r="411" spans="1:3">
      <c r="A411" t="s">
        <v>1979</v>
      </c>
      <c r="C411" t="s">
        <v>1980</v>
      </c>
    </row>
    <row r="412" spans="1:3">
      <c r="A412" t="s">
        <v>1981</v>
      </c>
      <c r="C412" t="s">
        <v>1982</v>
      </c>
    </row>
    <row r="413" spans="1:3">
      <c r="A413" t="s">
        <v>1983</v>
      </c>
      <c r="C413" t="s">
        <v>1984</v>
      </c>
    </row>
    <row r="414" spans="1:3">
      <c r="A414" t="s">
        <v>1985</v>
      </c>
      <c r="C414" t="s">
        <v>1986</v>
      </c>
    </row>
    <row r="415" spans="1:3">
      <c r="A415" t="s">
        <v>1987</v>
      </c>
      <c r="C415" t="s">
        <v>1988</v>
      </c>
    </row>
    <row r="416" spans="1:3">
      <c r="A416" t="s">
        <v>1989</v>
      </c>
      <c r="C416" t="s">
        <v>1990</v>
      </c>
    </row>
    <row r="417" spans="1:3">
      <c r="A417" t="s">
        <v>1991</v>
      </c>
      <c r="C417" t="s">
        <v>1992</v>
      </c>
    </row>
    <row r="418" spans="1:3">
      <c r="A418" t="s">
        <v>1993</v>
      </c>
      <c r="C418" t="s">
        <v>1994</v>
      </c>
    </row>
    <row r="419" spans="1:3">
      <c r="A419" t="s">
        <v>1995</v>
      </c>
      <c r="C419" t="s">
        <v>1996</v>
      </c>
    </row>
    <row r="420" spans="1:3">
      <c r="A420" t="s">
        <v>1997</v>
      </c>
      <c r="C420" t="s">
        <v>1998</v>
      </c>
    </row>
    <row r="421" spans="1:3">
      <c r="A421" t="s">
        <v>1999</v>
      </c>
      <c r="C421" t="s">
        <v>2000</v>
      </c>
    </row>
    <row r="422" spans="1:3">
      <c r="A422" t="s">
        <v>2001</v>
      </c>
      <c r="C422" t="s">
        <v>2002</v>
      </c>
    </row>
    <row r="423" spans="1:3">
      <c r="A423" t="s">
        <v>2003</v>
      </c>
      <c r="C423" t="s">
        <v>2004</v>
      </c>
    </row>
    <row r="424" spans="1:3">
      <c r="A424" t="s">
        <v>2005</v>
      </c>
      <c r="C424" t="s">
        <v>2006</v>
      </c>
    </row>
    <row r="425" spans="1:3">
      <c r="A425" t="s">
        <v>2007</v>
      </c>
      <c r="C425" t="s">
        <v>2008</v>
      </c>
    </row>
    <row r="426" spans="1:3">
      <c r="A426" t="s">
        <v>2009</v>
      </c>
      <c r="C426" t="s">
        <v>2010</v>
      </c>
    </row>
    <row r="427" spans="1:3">
      <c r="A427" t="s">
        <v>2011</v>
      </c>
      <c r="C427" t="s">
        <v>2012</v>
      </c>
    </row>
    <row r="428" spans="1:3">
      <c r="A428" t="s">
        <v>2013</v>
      </c>
      <c r="C428" t="s">
        <v>2014</v>
      </c>
    </row>
    <row r="430" spans="1:3">
      <c r="A430" t="s">
        <v>2015</v>
      </c>
      <c r="C430" t="s">
        <v>2016</v>
      </c>
    </row>
    <row r="431" spans="1:3">
      <c r="A431" t="s">
        <v>2017</v>
      </c>
      <c r="C431" t="s">
        <v>2018</v>
      </c>
    </row>
    <row r="433" spans="1:3">
      <c r="A433" t="s">
        <v>2019</v>
      </c>
      <c r="C433" t="s">
        <v>2020</v>
      </c>
    </row>
    <row r="435" spans="1:3">
      <c r="A435" t="s">
        <v>2021</v>
      </c>
      <c r="C435" t="s">
        <v>2022</v>
      </c>
    </row>
    <row r="436" spans="1:3">
      <c r="A436" t="s">
        <v>2023</v>
      </c>
      <c r="C436" t="s">
        <v>2024</v>
      </c>
    </row>
    <row r="438" spans="1:3">
      <c r="A438" t="s">
        <v>2025</v>
      </c>
      <c r="C438" t="s">
        <v>2026</v>
      </c>
    </row>
    <row r="440" spans="1:3">
      <c r="A440" t="s">
        <v>2027</v>
      </c>
      <c r="C440" t="s">
        <v>2028</v>
      </c>
    </row>
    <row r="442" spans="1:3">
      <c r="A442" t="s">
        <v>2029</v>
      </c>
      <c r="C442" t="s">
        <v>2030</v>
      </c>
    </row>
    <row r="444" spans="1:3">
      <c r="A444" t="s">
        <v>2031</v>
      </c>
      <c r="C444" t="s">
        <v>2032</v>
      </c>
    </row>
    <row r="445" spans="1:3">
      <c r="A445" t="s">
        <v>2033</v>
      </c>
      <c r="C445" t="s">
        <v>2034</v>
      </c>
    </row>
    <row r="446" spans="1:3">
      <c r="A446" t="s">
        <v>2035</v>
      </c>
      <c r="C446" t="s">
        <v>2036</v>
      </c>
    </row>
    <row r="448" spans="1:3">
      <c r="A448" t="s">
        <v>2037</v>
      </c>
      <c r="C448" t="s">
        <v>2038</v>
      </c>
    </row>
    <row r="449" spans="1:3">
      <c r="A449" t="s">
        <v>2039</v>
      </c>
      <c r="C449" t="s">
        <v>2040</v>
      </c>
    </row>
    <row r="450" spans="1:3">
      <c r="A450" t="s">
        <v>2041</v>
      </c>
      <c r="C450" t="s">
        <v>2042</v>
      </c>
    </row>
    <row r="451" spans="1:3">
      <c r="A451" t="s">
        <v>2043</v>
      </c>
      <c r="C451" t="s">
        <v>2044</v>
      </c>
    </row>
    <row r="452" spans="1:3">
      <c r="A452" t="s">
        <v>2045</v>
      </c>
      <c r="C452" t="s">
        <v>2046</v>
      </c>
    </row>
    <row r="453" spans="1:3">
      <c r="A453" t="s">
        <v>2047</v>
      </c>
      <c r="C453" t="s">
        <v>2048</v>
      </c>
    </row>
  </sheetData>
  <pageMargins left="0.7" right="0.7" top="0.75" bottom="0.75" header="0.3" footer="0.3"/>
  <customProperties>
    <customPr name="Exchange.ContributionType" r:id="rId1"/>
    <customPr name="Exchange.CreationEntityId" r:id="rId2"/>
    <customPr name="Exchange.CreationEntityIdType" r:id="rId3"/>
    <customPr name="Exchange.CreationEntityType" r:id="rId4"/>
    <customPr name="Exchange.ExchangeSheetId" r:id="rId5"/>
    <customPr name="Exchange.SheetType" r:id="rId6"/>
    <customPr name="FormulaVersion" r:id="rId7"/>
    <customPr name="Qube.Worksheet.Visibility" r:id="rId8"/>
    <customPr name="QXL_SHEET_ID" r:id="rId9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D3183-A4BA-4FD4-BB24-B87D3C87858D}">
  <dimension ref="A1:AO453"/>
  <sheetViews>
    <sheetView workbookViewId="0"/>
  </sheetViews>
  <sheetFormatPr defaultRowHeight="12.75"/>
  <sheetData>
    <row r="1" spans="1:41">
      <c r="A1" t="s">
        <v>1187</v>
      </c>
      <c r="F1">
        <v>2014</v>
      </c>
      <c r="G1" t="s">
        <v>892</v>
      </c>
      <c r="H1" t="s">
        <v>893</v>
      </c>
      <c r="I1">
        <v>2015</v>
      </c>
      <c r="J1" t="s">
        <v>900</v>
      </c>
      <c r="K1" t="s">
        <v>901</v>
      </c>
      <c r="L1">
        <v>2016</v>
      </c>
      <c r="M1" t="s">
        <v>965</v>
      </c>
      <c r="N1" t="s">
        <v>966</v>
      </c>
      <c r="O1">
        <v>2017</v>
      </c>
      <c r="P1" t="s">
        <v>1190</v>
      </c>
      <c r="Q1" t="s">
        <v>1191</v>
      </c>
      <c r="R1">
        <v>2018</v>
      </c>
      <c r="S1" t="s">
        <v>1009</v>
      </c>
      <c r="T1" t="s">
        <v>1010</v>
      </c>
      <c r="U1">
        <v>2019</v>
      </c>
      <c r="V1" t="s">
        <v>1033</v>
      </c>
      <c r="W1" t="s">
        <v>1034</v>
      </c>
      <c r="X1">
        <v>2020</v>
      </c>
      <c r="Y1" t="s">
        <v>1038</v>
      </c>
      <c r="Z1" t="s">
        <v>1039</v>
      </c>
      <c r="AA1">
        <v>2021</v>
      </c>
      <c r="AB1" t="s">
        <v>1041</v>
      </c>
      <c r="AC1" t="s">
        <v>1042</v>
      </c>
      <c r="AD1">
        <v>2022</v>
      </c>
      <c r="AE1" t="s">
        <v>1123</v>
      </c>
      <c r="AF1" t="s">
        <v>1124</v>
      </c>
      <c r="AG1">
        <v>2023</v>
      </c>
      <c r="AH1" t="s">
        <v>1196</v>
      </c>
      <c r="AI1" t="s">
        <v>1197</v>
      </c>
      <c r="AJ1">
        <v>2024</v>
      </c>
      <c r="AK1" t="s">
        <v>1223</v>
      </c>
      <c r="AL1" t="s">
        <v>1224</v>
      </c>
      <c r="AM1">
        <v>2025</v>
      </c>
      <c r="AN1">
        <v>2026</v>
      </c>
      <c r="AO1">
        <v>2027</v>
      </c>
    </row>
    <row r="4" spans="1:41">
      <c r="A4" t="s">
        <v>1187</v>
      </c>
    </row>
    <row r="5" spans="1:41">
      <c r="A5" t="s">
        <v>847</v>
      </c>
    </row>
    <row r="6" spans="1:41">
      <c r="B6" t="s">
        <v>848</v>
      </c>
      <c r="C6" t="s">
        <v>848</v>
      </c>
      <c r="E6" t="s">
        <v>1186</v>
      </c>
    </row>
    <row r="7" spans="1:41">
      <c r="B7" t="s">
        <v>849</v>
      </c>
      <c r="C7" t="s">
        <v>839</v>
      </c>
      <c r="E7" t="s">
        <v>842</v>
      </c>
    </row>
    <row r="8" spans="1:41">
      <c r="A8" t="s">
        <v>456</v>
      </c>
    </row>
    <row r="9" spans="1:41">
      <c r="B9" t="s">
        <v>997</v>
      </c>
      <c r="C9" t="s">
        <v>902</v>
      </c>
    </row>
    <row r="10" spans="1:41">
      <c r="B10" t="s">
        <v>986</v>
      </c>
      <c r="C10" t="s">
        <v>987</v>
      </c>
    </row>
    <row r="11" spans="1:41">
      <c r="B11" t="s">
        <v>988</v>
      </c>
      <c r="C11" t="s">
        <v>989</v>
      </c>
    </row>
    <row r="12" spans="1:41">
      <c r="B12" t="s">
        <v>990</v>
      </c>
      <c r="C12" t="s">
        <v>991</v>
      </c>
    </row>
    <row r="13" spans="1:41">
      <c r="A13" t="s">
        <v>547</v>
      </c>
    </row>
    <row r="14" spans="1:41">
      <c r="B14" t="s">
        <v>548</v>
      </c>
      <c r="C14" t="s">
        <v>294</v>
      </c>
      <c r="D14" t="e">
        <f t="shared" ref="D14:D33" si="0">E_CURRENCY_ISSR_208017981_REP</f>
        <v>#NAME?</v>
      </c>
    </row>
    <row r="15" spans="1:41">
      <c r="B15" t="s">
        <v>549</v>
      </c>
      <c r="C15" t="s">
        <v>550</v>
      </c>
      <c r="D15" t="e">
        <f t="shared" si="0"/>
        <v>#NAME?</v>
      </c>
    </row>
    <row r="16" spans="1:41">
      <c r="B16" t="s">
        <v>551</v>
      </c>
      <c r="C16" t="s">
        <v>552</v>
      </c>
      <c r="D16" t="e">
        <f t="shared" si="0"/>
        <v>#NAME?</v>
      </c>
    </row>
    <row r="17" spans="2:4">
      <c r="B17" t="s">
        <v>553</v>
      </c>
      <c r="C17" t="s">
        <v>554</v>
      </c>
      <c r="D17" t="e">
        <f t="shared" si="0"/>
        <v>#NAME?</v>
      </c>
    </row>
    <row r="18" spans="2:4">
      <c r="B18" t="s">
        <v>555</v>
      </c>
      <c r="C18" t="s">
        <v>556</v>
      </c>
      <c r="D18" t="e">
        <f t="shared" si="0"/>
        <v>#NAME?</v>
      </c>
    </row>
    <row r="19" spans="2:4">
      <c r="B19" t="s">
        <v>557</v>
      </c>
      <c r="C19" t="s">
        <v>558</v>
      </c>
      <c r="D19" t="e">
        <f t="shared" si="0"/>
        <v>#NAME?</v>
      </c>
    </row>
    <row r="20" spans="2:4">
      <c r="B20" t="s">
        <v>559</v>
      </c>
      <c r="C20" t="s">
        <v>560</v>
      </c>
      <c r="D20" t="e">
        <f t="shared" si="0"/>
        <v>#NAME?</v>
      </c>
    </row>
    <row r="21" spans="2:4">
      <c r="B21" t="s">
        <v>561</v>
      </c>
      <c r="C21" t="s">
        <v>562</v>
      </c>
      <c r="D21" t="e">
        <f t="shared" si="0"/>
        <v>#NAME?</v>
      </c>
    </row>
    <row r="22" spans="2:4">
      <c r="B22" t="s">
        <v>563</v>
      </c>
      <c r="C22" t="s">
        <v>564</v>
      </c>
      <c r="D22" t="e">
        <f t="shared" si="0"/>
        <v>#NAME?</v>
      </c>
    </row>
    <row r="23" spans="2:4">
      <c r="B23" t="s">
        <v>178</v>
      </c>
      <c r="C23" t="s">
        <v>565</v>
      </c>
      <c r="D23" t="e">
        <f t="shared" si="0"/>
        <v>#NAME?</v>
      </c>
    </row>
    <row r="24" spans="2:4">
      <c r="B24" t="s">
        <v>566</v>
      </c>
      <c r="C24" t="s">
        <v>567</v>
      </c>
      <c r="D24" t="e">
        <f t="shared" si="0"/>
        <v>#NAME?</v>
      </c>
    </row>
    <row r="25" spans="2:4">
      <c r="B25" t="s">
        <v>568</v>
      </c>
      <c r="C25" t="s">
        <v>569</v>
      </c>
      <c r="D25" t="e">
        <f t="shared" si="0"/>
        <v>#NAME?</v>
      </c>
    </row>
    <row r="26" spans="2:4">
      <c r="B26" t="s">
        <v>570</v>
      </c>
      <c r="C26" t="s">
        <v>184</v>
      </c>
      <c r="D26" t="e">
        <f t="shared" si="0"/>
        <v>#NAME?</v>
      </c>
    </row>
    <row r="27" spans="2:4">
      <c r="B27" t="s">
        <v>350</v>
      </c>
      <c r="C27" t="s">
        <v>571</v>
      </c>
      <c r="D27" t="e">
        <f t="shared" si="0"/>
        <v>#NAME?</v>
      </c>
    </row>
    <row r="28" spans="2:4">
      <c r="B28" t="s">
        <v>572</v>
      </c>
      <c r="C28" t="s">
        <v>573</v>
      </c>
      <c r="D28" t="e">
        <f t="shared" si="0"/>
        <v>#NAME?</v>
      </c>
    </row>
    <row r="29" spans="2:4">
      <c r="B29" t="s">
        <v>574</v>
      </c>
      <c r="C29" t="s">
        <v>575</v>
      </c>
      <c r="D29" t="e">
        <f t="shared" si="0"/>
        <v>#NAME?</v>
      </c>
    </row>
    <row r="30" spans="2:4">
      <c r="B30" t="s">
        <v>576</v>
      </c>
      <c r="C30" t="s">
        <v>577</v>
      </c>
      <c r="D30" t="e">
        <f t="shared" si="0"/>
        <v>#NAME?</v>
      </c>
    </row>
    <row r="31" spans="2:4">
      <c r="B31" t="s">
        <v>578</v>
      </c>
      <c r="C31" t="s">
        <v>579</v>
      </c>
      <c r="D31" t="e">
        <f t="shared" si="0"/>
        <v>#NAME?</v>
      </c>
    </row>
    <row r="32" spans="2:4">
      <c r="B32" t="s">
        <v>580</v>
      </c>
      <c r="C32" t="s">
        <v>581</v>
      </c>
      <c r="D32" t="e">
        <f t="shared" si="0"/>
        <v>#NAME?</v>
      </c>
    </row>
    <row r="33" spans="1:4">
      <c r="B33" t="s">
        <v>582</v>
      </c>
      <c r="C33" t="s">
        <v>583</v>
      </c>
      <c r="D33" t="e">
        <f t="shared" si="0"/>
        <v>#NAME?</v>
      </c>
    </row>
    <row r="34" spans="1:4">
      <c r="A34" t="s">
        <v>613</v>
      </c>
    </row>
    <row r="35" spans="1:4">
      <c r="B35" t="s">
        <v>211</v>
      </c>
      <c r="C35" t="s">
        <v>245</v>
      </c>
      <c r="D35" t="e">
        <f t="shared" ref="D35:D58" si="1">E_CURRENCY_ISSR_208017981_REP</f>
        <v>#NAME?</v>
      </c>
    </row>
    <row r="36" spans="1:4">
      <c r="B36" t="s">
        <v>179</v>
      </c>
      <c r="C36" t="s">
        <v>246</v>
      </c>
      <c r="D36" t="e">
        <f t="shared" si="1"/>
        <v>#NAME?</v>
      </c>
    </row>
    <row r="37" spans="1:4">
      <c r="B37" t="s">
        <v>614</v>
      </c>
      <c r="C37" t="s">
        <v>248</v>
      </c>
      <c r="D37" t="e">
        <f t="shared" si="1"/>
        <v>#NAME?</v>
      </c>
    </row>
    <row r="38" spans="1:4">
      <c r="B38" t="s">
        <v>615</v>
      </c>
      <c r="C38" t="s">
        <v>110</v>
      </c>
      <c r="D38" t="e">
        <f t="shared" si="1"/>
        <v>#NAME?</v>
      </c>
    </row>
    <row r="39" spans="1:4">
      <c r="B39" t="s">
        <v>616</v>
      </c>
      <c r="C39" t="s">
        <v>112</v>
      </c>
      <c r="D39" t="e">
        <f t="shared" si="1"/>
        <v>#NAME?</v>
      </c>
    </row>
    <row r="40" spans="1:4">
      <c r="B40" t="s">
        <v>617</v>
      </c>
      <c r="C40" t="s">
        <v>618</v>
      </c>
      <c r="D40" t="e">
        <f t="shared" si="1"/>
        <v>#NAME?</v>
      </c>
    </row>
    <row r="41" spans="1:4">
      <c r="B41" t="s">
        <v>619</v>
      </c>
      <c r="C41" t="s">
        <v>111</v>
      </c>
      <c r="D41" t="e">
        <f t="shared" si="1"/>
        <v>#NAME?</v>
      </c>
    </row>
    <row r="42" spans="1:4">
      <c r="B42" t="s">
        <v>620</v>
      </c>
      <c r="C42" t="s">
        <v>113</v>
      </c>
      <c r="D42" t="e">
        <f t="shared" si="1"/>
        <v>#NAME?</v>
      </c>
    </row>
    <row r="43" spans="1:4">
      <c r="B43" t="s">
        <v>621</v>
      </c>
      <c r="C43" t="s">
        <v>622</v>
      </c>
      <c r="D43" t="e">
        <f t="shared" si="1"/>
        <v>#NAME?</v>
      </c>
    </row>
    <row r="44" spans="1:4">
      <c r="B44" t="s">
        <v>181</v>
      </c>
      <c r="C44" t="s">
        <v>249</v>
      </c>
      <c r="D44" t="e">
        <f t="shared" si="1"/>
        <v>#NAME?</v>
      </c>
    </row>
    <row r="45" spans="1:4">
      <c r="B45" t="s">
        <v>182</v>
      </c>
      <c r="C45" t="s">
        <v>623</v>
      </c>
      <c r="D45" t="e">
        <f t="shared" si="1"/>
        <v>#NAME?</v>
      </c>
    </row>
    <row r="46" spans="1:4">
      <c r="B46" t="s">
        <v>183</v>
      </c>
      <c r="C46" t="s">
        <v>250</v>
      </c>
      <c r="D46" t="e">
        <f t="shared" si="1"/>
        <v>#NAME?</v>
      </c>
    </row>
    <row r="47" spans="1:4">
      <c r="B47" t="s">
        <v>624</v>
      </c>
      <c r="C47" t="s">
        <v>625</v>
      </c>
      <c r="D47" t="e">
        <f t="shared" si="1"/>
        <v>#NAME?</v>
      </c>
    </row>
    <row r="48" spans="1:4">
      <c r="B48" t="s">
        <v>626</v>
      </c>
      <c r="C48" t="s">
        <v>627</v>
      </c>
      <c r="D48" t="e">
        <f t="shared" si="1"/>
        <v>#NAME?</v>
      </c>
    </row>
    <row r="49" spans="1:4">
      <c r="B49" t="s">
        <v>628</v>
      </c>
      <c r="C49" t="s">
        <v>629</v>
      </c>
      <c r="D49" t="e">
        <f t="shared" si="1"/>
        <v>#NAME?</v>
      </c>
    </row>
    <row r="50" spans="1:4">
      <c r="B50" t="s">
        <v>185</v>
      </c>
      <c r="C50" t="s">
        <v>252</v>
      </c>
      <c r="D50" t="e">
        <f t="shared" si="1"/>
        <v>#NAME?</v>
      </c>
    </row>
    <row r="51" spans="1:4">
      <c r="B51" t="s">
        <v>631</v>
      </c>
      <c r="C51" t="s">
        <v>114</v>
      </c>
      <c r="D51" t="e">
        <f t="shared" si="1"/>
        <v>#NAME?</v>
      </c>
    </row>
    <row r="52" spans="1:4">
      <c r="B52" t="s">
        <v>632</v>
      </c>
      <c r="C52" t="s">
        <v>115</v>
      </c>
      <c r="D52" t="e">
        <f t="shared" si="1"/>
        <v>#NAME?</v>
      </c>
    </row>
    <row r="53" spans="1:4">
      <c r="B53" t="s">
        <v>633</v>
      </c>
      <c r="C53" t="s">
        <v>116</v>
      </c>
      <c r="D53" t="e">
        <f t="shared" si="1"/>
        <v>#NAME?</v>
      </c>
    </row>
    <row r="54" spans="1:4">
      <c r="B54" t="s">
        <v>634</v>
      </c>
      <c r="C54" t="s">
        <v>117</v>
      </c>
      <c r="D54" t="e">
        <f t="shared" si="1"/>
        <v>#NAME?</v>
      </c>
    </row>
    <row r="55" spans="1:4">
      <c r="B55" t="s">
        <v>635</v>
      </c>
      <c r="C55" t="s">
        <v>118</v>
      </c>
      <c r="D55" t="e">
        <f t="shared" si="1"/>
        <v>#NAME?</v>
      </c>
    </row>
    <row r="56" spans="1:4">
      <c r="B56" t="s">
        <v>453</v>
      </c>
      <c r="C56" t="s">
        <v>119</v>
      </c>
      <c r="D56" t="e">
        <f t="shared" si="1"/>
        <v>#NAME?</v>
      </c>
    </row>
    <row r="57" spans="1:4">
      <c r="B57" t="s">
        <v>636</v>
      </c>
      <c r="C57" t="s">
        <v>120</v>
      </c>
      <c r="D57" t="e">
        <f t="shared" si="1"/>
        <v>#NAME?</v>
      </c>
    </row>
    <row r="58" spans="1:4">
      <c r="B58" t="s">
        <v>187</v>
      </c>
      <c r="C58" t="s">
        <v>254</v>
      </c>
      <c r="D58" t="e">
        <f t="shared" si="1"/>
        <v>#NAME?</v>
      </c>
    </row>
    <row r="59" spans="1:4">
      <c r="A59" t="s">
        <v>662</v>
      </c>
    </row>
    <row r="60" spans="1:4">
      <c r="B60" t="s">
        <v>1025</v>
      </c>
      <c r="C60" t="s">
        <v>663</v>
      </c>
      <c r="D60" t="e">
        <f t="shared" ref="D60:D70" si="2">E_CURRENCY_ISSR_208017981_REP</f>
        <v>#NAME?</v>
      </c>
    </row>
    <row r="61" spans="1:4">
      <c r="B61" t="s">
        <v>664</v>
      </c>
      <c r="C61" t="s">
        <v>665</v>
      </c>
      <c r="D61" t="e">
        <f t="shared" si="2"/>
        <v>#NAME?</v>
      </c>
    </row>
    <row r="62" spans="1:4">
      <c r="B62" t="s">
        <v>666</v>
      </c>
      <c r="C62" t="s">
        <v>667</v>
      </c>
      <c r="D62" t="e">
        <f t="shared" si="2"/>
        <v>#NAME?</v>
      </c>
    </row>
    <row r="63" spans="1:4">
      <c r="B63" t="s">
        <v>668</v>
      </c>
      <c r="C63" t="s">
        <v>669</v>
      </c>
      <c r="D63" t="e">
        <f t="shared" si="2"/>
        <v>#NAME?</v>
      </c>
    </row>
    <row r="64" spans="1:4">
      <c r="B64" t="s">
        <v>670</v>
      </c>
      <c r="C64" t="s">
        <v>671</v>
      </c>
      <c r="D64" t="e">
        <f t="shared" si="2"/>
        <v>#NAME?</v>
      </c>
    </row>
    <row r="65" spans="1:4">
      <c r="B65" t="s">
        <v>180</v>
      </c>
      <c r="C65" t="s">
        <v>247</v>
      </c>
      <c r="D65" t="e">
        <f t="shared" si="2"/>
        <v>#NAME?</v>
      </c>
    </row>
    <row r="66" spans="1:4">
      <c r="B66" t="s">
        <v>998</v>
      </c>
      <c r="C66" t="s">
        <v>992</v>
      </c>
      <c r="D66" t="e">
        <f t="shared" si="2"/>
        <v>#NAME?</v>
      </c>
    </row>
    <row r="67" spans="1:4">
      <c r="B67" t="s">
        <v>999</v>
      </c>
      <c r="C67" t="s">
        <v>993</v>
      </c>
      <c r="D67" t="e">
        <f t="shared" si="2"/>
        <v>#NAME?</v>
      </c>
    </row>
    <row r="68" spans="1:4">
      <c r="B68" t="s">
        <v>1000</v>
      </c>
      <c r="C68" t="s">
        <v>994</v>
      </c>
      <c r="D68" t="e">
        <f t="shared" si="2"/>
        <v>#NAME?</v>
      </c>
    </row>
    <row r="69" spans="1:4">
      <c r="B69" t="s">
        <v>1019</v>
      </c>
      <c r="C69" t="s">
        <v>1020</v>
      </c>
      <c r="D69" t="e">
        <f t="shared" si="2"/>
        <v>#NAME?</v>
      </c>
    </row>
    <row r="70" spans="1:4">
      <c r="B70" t="s">
        <v>1021</v>
      </c>
      <c r="C70" t="s">
        <v>1022</v>
      </c>
      <c r="D70" t="e">
        <f t="shared" si="2"/>
        <v>#NAME?</v>
      </c>
    </row>
    <row r="71" spans="1:4">
      <c r="B71" t="s">
        <v>1023</v>
      </c>
      <c r="C71" t="s">
        <v>1024</v>
      </c>
    </row>
    <row r="72" spans="1:4">
      <c r="A72" t="s">
        <v>676</v>
      </c>
    </row>
    <row r="73" spans="1:4">
      <c r="B73" t="s">
        <v>677</v>
      </c>
      <c r="C73" t="s">
        <v>678</v>
      </c>
      <c r="D73" t="e">
        <f t="shared" ref="D73:D104" si="3">E_CURRENCY_ISSR_208017981_REP</f>
        <v>#NAME?</v>
      </c>
    </row>
    <row r="74" spans="1:4">
      <c r="B74" t="s">
        <v>679</v>
      </c>
      <c r="C74" t="s">
        <v>680</v>
      </c>
      <c r="D74" t="e">
        <f t="shared" si="3"/>
        <v>#NAME?</v>
      </c>
    </row>
    <row r="75" spans="1:4">
      <c r="B75" t="s">
        <v>681</v>
      </c>
      <c r="C75" t="s">
        <v>682</v>
      </c>
      <c r="D75" t="e">
        <f t="shared" si="3"/>
        <v>#NAME?</v>
      </c>
    </row>
    <row r="76" spans="1:4">
      <c r="B76" t="s">
        <v>683</v>
      </c>
      <c r="C76" t="s">
        <v>684</v>
      </c>
      <c r="D76" t="e">
        <f t="shared" si="3"/>
        <v>#NAME?</v>
      </c>
    </row>
    <row r="77" spans="1:4">
      <c r="B77" t="s">
        <v>315</v>
      </c>
      <c r="C77" t="s">
        <v>685</v>
      </c>
      <c r="D77" t="e">
        <f t="shared" si="3"/>
        <v>#NAME?</v>
      </c>
    </row>
    <row r="78" spans="1:4">
      <c r="B78" t="s">
        <v>686</v>
      </c>
      <c r="C78" t="s">
        <v>687</v>
      </c>
      <c r="D78" t="e">
        <f t="shared" si="3"/>
        <v>#NAME?</v>
      </c>
    </row>
    <row r="79" spans="1:4">
      <c r="B79" t="s">
        <v>317</v>
      </c>
      <c r="C79" t="s">
        <v>688</v>
      </c>
      <c r="D79" t="e">
        <f t="shared" si="3"/>
        <v>#NAME?</v>
      </c>
    </row>
    <row r="80" spans="1:4">
      <c r="B80" t="s">
        <v>689</v>
      </c>
      <c r="C80" t="s">
        <v>690</v>
      </c>
      <c r="D80" t="e">
        <f t="shared" si="3"/>
        <v>#NAME?</v>
      </c>
    </row>
    <row r="81" spans="2:4">
      <c r="B81" t="s">
        <v>691</v>
      </c>
      <c r="C81" t="s">
        <v>692</v>
      </c>
      <c r="D81" t="e">
        <f t="shared" si="3"/>
        <v>#NAME?</v>
      </c>
    </row>
    <row r="82" spans="2:4">
      <c r="B82" t="s">
        <v>693</v>
      </c>
      <c r="C82" t="s">
        <v>694</v>
      </c>
      <c r="D82" t="e">
        <f t="shared" si="3"/>
        <v>#NAME?</v>
      </c>
    </row>
    <row r="83" spans="2:4">
      <c r="B83" t="s">
        <v>695</v>
      </c>
      <c r="C83" t="s">
        <v>696</v>
      </c>
      <c r="D83" t="e">
        <f t="shared" si="3"/>
        <v>#NAME?</v>
      </c>
    </row>
    <row r="84" spans="2:4">
      <c r="B84" t="s">
        <v>697</v>
      </c>
      <c r="C84" t="s">
        <v>698</v>
      </c>
      <c r="D84" t="e">
        <f t="shared" si="3"/>
        <v>#NAME?</v>
      </c>
    </row>
    <row r="85" spans="2:4">
      <c r="B85" t="s">
        <v>699</v>
      </c>
      <c r="C85" t="s">
        <v>700</v>
      </c>
      <c r="D85" t="e">
        <f t="shared" si="3"/>
        <v>#NAME?</v>
      </c>
    </row>
    <row r="86" spans="2:4">
      <c r="B86" t="s">
        <v>701</v>
      </c>
      <c r="C86" t="s">
        <v>702</v>
      </c>
      <c r="D86" t="e">
        <f t="shared" si="3"/>
        <v>#NAME?</v>
      </c>
    </row>
    <row r="87" spans="2:4">
      <c r="B87" t="s">
        <v>323</v>
      </c>
      <c r="C87" t="s">
        <v>703</v>
      </c>
      <c r="D87" t="e">
        <f t="shared" si="3"/>
        <v>#NAME?</v>
      </c>
    </row>
    <row r="88" spans="2:4">
      <c r="B88" t="s">
        <v>704</v>
      </c>
      <c r="C88" t="s">
        <v>705</v>
      </c>
      <c r="D88" t="e">
        <f t="shared" si="3"/>
        <v>#NAME?</v>
      </c>
    </row>
    <row r="89" spans="2:4">
      <c r="B89" t="s">
        <v>706</v>
      </c>
      <c r="C89" t="s">
        <v>707</v>
      </c>
      <c r="D89" t="e">
        <f t="shared" si="3"/>
        <v>#NAME?</v>
      </c>
    </row>
    <row r="90" spans="2:4">
      <c r="B90" t="s">
        <v>1015</v>
      </c>
      <c r="C90" t="s">
        <v>1016</v>
      </c>
      <c r="D90" t="e">
        <f t="shared" si="3"/>
        <v>#NAME?</v>
      </c>
    </row>
    <row r="91" spans="2:4">
      <c r="B91" t="s">
        <v>708</v>
      </c>
      <c r="C91" t="s">
        <v>709</v>
      </c>
      <c r="D91" t="e">
        <f t="shared" si="3"/>
        <v>#NAME?</v>
      </c>
    </row>
    <row r="92" spans="2:4">
      <c r="B92" t="s">
        <v>327</v>
      </c>
      <c r="C92" t="s">
        <v>710</v>
      </c>
      <c r="D92" t="e">
        <f t="shared" si="3"/>
        <v>#NAME?</v>
      </c>
    </row>
    <row r="93" spans="2:4">
      <c r="B93" t="s">
        <v>711</v>
      </c>
      <c r="C93" t="s">
        <v>712</v>
      </c>
      <c r="D93" t="e">
        <f t="shared" si="3"/>
        <v>#NAME?</v>
      </c>
    </row>
    <row r="94" spans="2:4">
      <c r="B94" t="s">
        <v>1017</v>
      </c>
      <c r="C94" t="s">
        <v>1018</v>
      </c>
      <c r="D94" t="e">
        <f t="shared" si="3"/>
        <v>#NAME?</v>
      </c>
    </row>
    <row r="95" spans="2:4">
      <c r="B95" t="s">
        <v>713</v>
      </c>
      <c r="C95" t="s">
        <v>714</v>
      </c>
      <c r="D95" t="e">
        <f t="shared" si="3"/>
        <v>#NAME?</v>
      </c>
    </row>
    <row r="96" spans="2:4">
      <c r="B96" t="s">
        <v>715</v>
      </c>
      <c r="C96" t="s">
        <v>716</v>
      </c>
      <c r="D96" t="e">
        <f t="shared" si="3"/>
        <v>#NAME?</v>
      </c>
    </row>
    <row r="97" spans="1:4">
      <c r="B97" t="s">
        <v>331</v>
      </c>
      <c r="C97" t="s">
        <v>717</v>
      </c>
      <c r="D97" t="e">
        <f t="shared" si="3"/>
        <v>#NAME?</v>
      </c>
    </row>
    <row r="98" spans="1:4">
      <c r="B98" t="s">
        <v>718</v>
      </c>
      <c r="C98" t="s">
        <v>719</v>
      </c>
      <c r="D98" t="e">
        <f t="shared" si="3"/>
        <v>#NAME?</v>
      </c>
    </row>
    <row r="99" spans="1:4">
      <c r="B99" t="s">
        <v>720</v>
      </c>
      <c r="C99" t="s">
        <v>721</v>
      </c>
      <c r="D99" t="e">
        <f t="shared" si="3"/>
        <v>#NAME?</v>
      </c>
    </row>
    <row r="100" spans="1:4">
      <c r="B100" t="s">
        <v>586</v>
      </c>
      <c r="C100" t="s">
        <v>722</v>
      </c>
      <c r="D100" t="e">
        <f t="shared" si="3"/>
        <v>#NAME?</v>
      </c>
    </row>
    <row r="101" spans="1:4">
      <c r="B101" t="s">
        <v>723</v>
      </c>
      <c r="C101" t="s">
        <v>724</v>
      </c>
      <c r="D101" t="e">
        <f t="shared" si="3"/>
        <v>#NAME?</v>
      </c>
    </row>
    <row r="102" spans="1:4">
      <c r="B102" t="s">
        <v>725</v>
      </c>
      <c r="C102" t="s">
        <v>726</v>
      </c>
      <c r="D102" t="e">
        <f t="shared" si="3"/>
        <v>#NAME?</v>
      </c>
    </row>
    <row r="103" spans="1:4">
      <c r="B103" t="s">
        <v>204</v>
      </c>
      <c r="C103" t="s">
        <v>279</v>
      </c>
      <c r="D103" t="e">
        <f t="shared" si="3"/>
        <v>#NAME?</v>
      </c>
    </row>
    <row r="104" spans="1:4">
      <c r="B104" t="s">
        <v>205</v>
      </c>
      <c r="C104" t="s">
        <v>280</v>
      </c>
      <c r="D104" t="e">
        <f t="shared" si="3"/>
        <v>#NAME?</v>
      </c>
    </row>
    <row r="105" spans="1:4">
      <c r="A105" t="s">
        <v>729</v>
      </c>
    </row>
    <row r="106" spans="1:4">
      <c r="B106" t="s">
        <v>730</v>
      </c>
      <c r="C106" t="s">
        <v>260</v>
      </c>
      <c r="D106" t="e">
        <f t="shared" ref="D106:D138" si="4">E_CURRENCY_ISSR_208017981_REP</f>
        <v>#NAME?</v>
      </c>
    </row>
    <row r="107" spans="1:4">
      <c r="B107" t="s">
        <v>731</v>
      </c>
      <c r="C107" t="s">
        <v>261</v>
      </c>
      <c r="D107" t="e">
        <f t="shared" si="4"/>
        <v>#NAME?</v>
      </c>
    </row>
    <row r="108" spans="1:4">
      <c r="B108" t="s">
        <v>732</v>
      </c>
      <c r="C108" t="s">
        <v>130</v>
      </c>
      <c r="D108" t="e">
        <f t="shared" si="4"/>
        <v>#NAME?</v>
      </c>
    </row>
    <row r="109" spans="1:4">
      <c r="B109" t="s">
        <v>733</v>
      </c>
      <c r="C109" t="s">
        <v>734</v>
      </c>
      <c r="D109" t="e">
        <f t="shared" si="4"/>
        <v>#NAME?</v>
      </c>
    </row>
    <row r="110" spans="1:4">
      <c r="B110" t="s">
        <v>735</v>
      </c>
      <c r="C110" t="s">
        <v>262</v>
      </c>
      <c r="D110" t="e">
        <f t="shared" si="4"/>
        <v>#NAME?</v>
      </c>
    </row>
    <row r="111" spans="1:4">
      <c r="B111" t="s">
        <v>736</v>
      </c>
      <c r="C111" t="s">
        <v>263</v>
      </c>
      <c r="D111" t="e">
        <f t="shared" si="4"/>
        <v>#NAME?</v>
      </c>
    </row>
    <row r="112" spans="1:4">
      <c r="B112" t="s">
        <v>737</v>
      </c>
      <c r="C112" t="s">
        <v>264</v>
      </c>
      <c r="D112" t="e">
        <f t="shared" si="4"/>
        <v>#NAME?</v>
      </c>
    </row>
    <row r="113" spans="2:4">
      <c r="B113" t="s">
        <v>193</v>
      </c>
      <c r="C113" t="s">
        <v>265</v>
      </c>
      <c r="D113" t="e">
        <f t="shared" si="4"/>
        <v>#NAME?</v>
      </c>
    </row>
    <row r="114" spans="2:4">
      <c r="B114" t="s">
        <v>738</v>
      </c>
      <c r="C114" t="s">
        <v>266</v>
      </c>
      <c r="D114" t="e">
        <f t="shared" si="4"/>
        <v>#NAME?</v>
      </c>
    </row>
    <row r="115" spans="2:4">
      <c r="B115" t="s">
        <v>739</v>
      </c>
      <c r="C115" t="s">
        <v>267</v>
      </c>
      <c r="D115" t="e">
        <f t="shared" si="4"/>
        <v>#NAME?</v>
      </c>
    </row>
    <row r="116" spans="2:4">
      <c r="B116" t="s">
        <v>740</v>
      </c>
      <c r="C116" t="s">
        <v>131</v>
      </c>
      <c r="D116" t="e">
        <f t="shared" si="4"/>
        <v>#NAME?</v>
      </c>
    </row>
    <row r="117" spans="2:4">
      <c r="B117" t="s">
        <v>741</v>
      </c>
      <c r="C117" t="s">
        <v>742</v>
      </c>
      <c r="D117" t="e">
        <f t="shared" si="4"/>
        <v>#NAME?</v>
      </c>
    </row>
    <row r="118" spans="2:4">
      <c r="B118" t="s">
        <v>743</v>
      </c>
      <c r="C118" t="s">
        <v>132</v>
      </c>
      <c r="D118" t="e">
        <f t="shared" si="4"/>
        <v>#NAME?</v>
      </c>
    </row>
    <row r="119" spans="2:4">
      <c r="B119" t="s">
        <v>744</v>
      </c>
      <c r="C119" t="s">
        <v>133</v>
      </c>
      <c r="D119" t="e">
        <f t="shared" si="4"/>
        <v>#NAME?</v>
      </c>
    </row>
    <row r="120" spans="2:4">
      <c r="B120" t="s">
        <v>106</v>
      </c>
      <c r="C120" t="s">
        <v>134</v>
      </c>
      <c r="D120" t="e">
        <f t="shared" si="4"/>
        <v>#NAME?</v>
      </c>
    </row>
    <row r="121" spans="2:4">
      <c r="B121" t="s">
        <v>745</v>
      </c>
      <c r="C121" t="s">
        <v>135</v>
      </c>
      <c r="D121" t="e">
        <f t="shared" si="4"/>
        <v>#NAME?</v>
      </c>
    </row>
    <row r="122" spans="2:4">
      <c r="B122" t="s">
        <v>746</v>
      </c>
      <c r="C122" t="s">
        <v>747</v>
      </c>
      <c r="D122" t="e">
        <f t="shared" si="4"/>
        <v>#NAME?</v>
      </c>
    </row>
    <row r="123" spans="2:4">
      <c r="B123" t="s">
        <v>197</v>
      </c>
      <c r="C123" t="s">
        <v>268</v>
      </c>
      <c r="D123" t="e">
        <f t="shared" si="4"/>
        <v>#NAME?</v>
      </c>
    </row>
    <row r="124" spans="2:4">
      <c r="B124" t="s">
        <v>748</v>
      </c>
      <c r="C124" t="s">
        <v>270</v>
      </c>
      <c r="D124" t="e">
        <f t="shared" si="4"/>
        <v>#NAME?</v>
      </c>
    </row>
    <row r="125" spans="2:4">
      <c r="B125" t="s">
        <v>198</v>
      </c>
      <c r="C125" t="s">
        <v>269</v>
      </c>
      <c r="D125" t="e">
        <f t="shared" si="4"/>
        <v>#NAME?</v>
      </c>
    </row>
    <row r="126" spans="2:4">
      <c r="B126" t="s">
        <v>199</v>
      </c>
      <c r="C126" t="s">
        <v>271</v>
      </c>
      <c r="D126" t="e">
        <f t="shared" si="4"/>
        <v>#NAME?</v>
      </c>
    </row>
    <row r="127" spans="2:4">
      <c r="B127" t="s">
        <v>749</v>
      </c>
      <c r="C127" t="s">
        <v>272</v>
      </c>
      <c r="D127" t="e">
        <f t="shared" si="4"/>
        <v>#NAME?</v>
      </c>
    </row>
    <row r="128" spans="2:4">
      <c r="B128" t="s">
        <v>750</v>
      </c>
      <c r="C128" t="s">
        <v>136</v>
      </c>
      <c r="D128" t="e">
        <f t="shared" si="4"/>
        <v>#NAME?</v>
      </c>
    </row>
    <row r="129" spans="1:4">
      <c r="B129" t="s">
        <v>751</v>
      </c>
      <c r="C129" t="s">
        <v>752</v>
      </c>
      <c r="D129" t="e">
        <f t="shared" si="4"/>
        <v>#NAME?</v>
      </c>
    </row>
    <row r="130" spans="1:4">
      <c r="B130" t="s">
        <v>753</v>
      </c>
      <c r="C130" t="s">
        <v>273</v>
      </c>
      <c r="D130" t="e">
        <f t="shared" si="4"/>
        <v>#NAME?</v>
      </c>
    </row>
    <row r="131" spans="1:4">
      <c r="B131" t="s">
        <v>754</v>
      </c>
      <c r="C131" t="s">
        <v>274</v>
      </c>
      <c r="D131" t="e">
        <f t="shared" si="4"/>
        <v>#NAME?</v>
      </c>
    </row>
    <row r="132" spans="1:4">
      <c r="B132" t="s">
        <v>755</v>
      </c>
      <c r="C132" t="s">
        <v>275</v>
      </c>
      <c r="D132" t="e">
        <f t="shared" si="4"/>
        <v>#NAME?</v>
      </c>
    </row>
    <row r="133" spans="1:4">
      <c r="B133" t="s">
        <v>107</v>
      </c>
      <c r="C133" t="s">
        <v>137</v>
      </c>
      <c r="D133" t="e">
        <f t="shared" si="4"/>
        <v>#NAME?</v>
      </c>
    </row>
    <row r="134" spans="1:4">
      <c r="B134" t="s">
        <v>756</v>
      </c>
      <c r="C134" t="s">
        <v>138</v>
      </c>
      <c r="D134" t="e">
        <f t="shared" si="4"/>
        <v>#NAME?</v>
      </c>
    </row>
    <row r="135" spans="1:4">
      <c r="B135" t="s">
        <v>757</v>
      </c>
      <c r="C135" t="s">
        <v>758</v>
      </c>
      <c r="D135" t="e">
        <f t="shared" si="4"/>
        <v>#NAME?</v>
      </c>
    </row>
    <row r="136" spans="1:4">
      <c r="B136" t="s">
        <v>203</v>
      </c>
      <c r="C136" t="s">
        <v>278</v>
      </c>
      <c r="D136" t="e">
        <f t="shared" si="4"/>
        <v>#NAME?</v>
      </c>
    </row>
    <row r="137" spans="1:4">
      <c r="B137" t="s">
        <v>201</v>
      </c>
      <c r="C137" t="s">
        <v>276</v>
      </c>
      <c r="D137" t="e">
        <f t="shared" si="4"/>
        <v>#NAME?</v>
      </c>
    </row>
    <row r="138" spans="1:4">
      <c r="B138" t="s">
        <v>202</v>
      </c>
      <c r="C138" t="s">
        <v>277</v>
      </c>
      <c r="D138" t="e">
        <f t="shared" si="4"/>
        <v>#NAME?</v>
      </c>
    </row>
    <row r="139" spans="1:4">
      <c r="A139" t="s">
        <v>761</v>
      </c>
    </row>
    <row r="140" spans="1:4">
      <c r="B140" t="s">
        <v>968</v>
      </c>
      <c r="C140" t="s">
        <v>969</v>
      </c>
    </row>
    <row r="141" spans="1:4">
      <c r="B141" t="s">
        <v>970</v>
      </c>
      <c r="C141" t="s">
        <v>971</v>
      </c>
    </row>
    <row r="142" spans="1:4">
      <c r="B142" t="s">
        <v>972</v>
      </c>
      <c r="C142" t="s">
        <v>973</v>
      </c>
    </row>
    <row r="143" spans="1:4">
      <c r="B143" t="s">
        <v>974</v>
      </c>
      <c r="C143" t="s">
        <v>975</v>
      </c>
    </row>
    <row r="144" spans="1:4">
      <c r="B144" t="s">
        <v>353</v>
      </c>
      <c r="C144" t="s">
        <v>244</v>
      </c>
      <c r="D144" t="e">
        <f>E_CURRENCY_ISSR_208017981_REP</f>
        <v>#NAME?</v>
      </c>
    </row>
    <row r="145" spans="1:4">
      <c r="B145" t="s">
        <v>1026</v>
      </c>
      <c r="C145" t="s">
        <v>762</v>
      </c>
      <c r="D145" t="e">
        <f>E_CURRENCY_ISSR_208017981_REP</f>
        <v>#NAME?</v>
      </c>
    </row>
    <row r="146" spans="1:4">
      <c r="B146" t="s">
        <v>329</v>
      </c>
      <c r="C146" t="s">
        <v>763</v>
      </c>
      <c r="D146" t="e">
        <f>E_CURRENCY_ISSR_208017981_REP</f>
        <v>#NAME?</v>
      </c>
    </row>
    <row r="147" spans="1:4">
      <c r="B147" t="s">
        <v>764</v>
      </c>
      <c r="C147" t="s">
        <v>765</v>
      </c>
      <c r="D147" t="e">
        <f>E_CURRENCY_ISSR_208017981_REP</f>
        <v>#NAME?</v>
      </c>
    </row>
    <row r="148" spans="1:4">
      <c r="B148" t="s">
        <v>766</v>
      </c>
      <c r="C148" t="s">
        <v>767</v>
      </c>
      <c r="D148" t="e">
        <f>E_CURRENCY_ISSR_208017981_REP</f>
        <v>#NAME?</v>
      </c>
    </row>
    <row r="149" spans="1:4">
      <c r="B149" t="s">
        <v>768</v>
      </c>
      <c r="C149" t="s">
        <v>769</v>
      </c>
    </row>
    <row r="150" spans="1:4">
      <c r="B150" t="s">
        <v>770</v>
      </c>
      <c r="C150" t="s">
        <v>771</v>
      </c>
      <c r="D150" t="e">
        <f>E_CURRENCY_ISSR_208017981_REP</f>
        <v>#NAME?</v>
      </c>
    </row>
    <row r="151" spans="1:4">
      <c r="B151" t="s">
        <v>772</v>
      </c>
      <c r="C151" t="s">
        <v>773</v>
      </c>
      <c r="D151" t="e">
        <f>E_CURRENCY_ISSR_208017981_REP</f>
        <v>#NAME?</v>
      </c>
    </row>
    <row r="152" spans="1:4">
      <c r="B152" t="s">
        <v>774</v>
      </c>
      <c r="C152" t="s">
        <v>775</v>
      </c>
      <c r="D152" t="e">
        <f>E_CURRENCY_ISSR_208017981_REP</f>
        <v>#NAME?</v>
      </c>
    </row>
    <row r="153" spans="1:4">
      <c r="B153" t="s">
        <v>776</v>
      </c>
      <c r="C153" t="s">
        <v>777</v>
      </c>
      <c r="D153" t="e">
        <f>E_CURRENCY_ISSR_208017981_REP</f>
        <v>#NAME?</v>
      </c>
    </row>
    <row r="154" spans="1:4">
      <c r="B154" t="s">
        <v>778</v>
      </c>
      <c r="C154" t="s">
        <v>779</v>
      </c>
      <c r="D154" t="e">
        <f>E_CURRENCY_ISSR_208017981_REP</f>
        <v>#NAME?</v>
      </c>
    </row>
    <row r="155" spans="1:4">
      <c r="B155" t="s">
        <v>780</v>
      </c>
      <c r="C155" t="s">
        <v>781</v>
      </c>
    </row>
    <row r="156" spans="1:4">
      <c r="B156" t="s">
        <v>586</v>
      </c>
      <c r="C156" t="s">
        <v>782</v>
      </c>
      <c r="D156" t="e">
        <f>E_CURRENCY_ISSR_208017981_REP</f>
        <v>#NAME?</v>
      </c>
    </row>
    <row r="157" spans="1:4">
      <c r="B157" t="s">
        <v>1011</v>
      </c>
      <c r="C157" t="s">
        <v>1012</v>
      </c>
      <c r="D157" t="e">
        <f>E_CURRENCY_ISSR_208017981_REP</f>
        <v>#NAME?</v>
      </c>
    </row>
    <row r="158" spans="1:4">
      <c r="A158" t="s">
        <v>783</v>
      </c>
    </row>
    <row r="159" spans="1:4">
      <c r="B159" t="s">
        <v>785</v>
      </c>
      <c r="C159" t="s">
        <v>786</v>
      </c>
      <c r="D159" t="e">
        <f t="shared" ref="D159:D176" si="5">E_CURRENCY_ISSR_208017981_REP</f>
        <v>#NAME?</v>
      </c>
    </row>
    <row r="160" spans="1:4">
      <c r="B160" t="s">
        <v>787</v>
      </c>
      <c r="C160" t="s">
        <v>788</v>
      </c>
      <c r="D160" t="e">
        <f t="shared" si="5"/>
        <v>#NAME?</v>
      </c>
    </row>
    <row r="161" spans="2:4">
      <c r="B161" t="s">
        <v>337</v>
      </c>
      <c r="C161" t="s">
        <v>789</v>
      </c>
      <c r="D161" t="e">
        <f t="shared" si="5"/>
        <v>#NAME?</v>
      </c>
    </row>
    <row r="162" spans="2:4">
      <c r="B162" t="s">
        <v>790</v>
      </c>
      <c r="C162" t="s">
        <v>791</v>
      </c>
      <c r="D162" t="e">
        <f t="shared" si="5"/>
        <v>#NAME?</v>
      </c>
    </row>
    <row r="163" spans="2:4">
      <c r="B163" t="s">
        <v>792</v>
      </c>
      <c r="C163" t="s">
        <v>793</v>
      </c>
      <c r="D163" t="e">
        <f t="shared" si="5"/>
        <v>#NAME?</v>
      </c>
    </row>
    <row r="164" spans="2:4">
      <c r="B164" t="s">
        <v>794</v>
      </c>
      <c r="C164" t="s">
        <v>795</v>
      </c>
      <c r="D164" t="e">
        <f t="shared" si="5"/>
        <v>#NAME?</v>
      </c>
    </row>
    <row r="165" spans="2:4">
      <c r="B165" t="s">
        <v>796</v>
      </c>
      <c r="C165" t="s">
        <v>797</v>
      </c>
      <c r="D165" t="e">
        <f t="shared" si="5"/>
        <v>#NAME?</v>
      </c>
    </row>
    <row r="166" spans="2:4">
      <c r="B166" t="s">
        <v>798</v>
      </c>
      <c r="C166" t="s">
        <v>799</v>
      </c>
      <c r="D166" t="e">
        <f t="shared" si="5"/>
        <v>#NAME?</v>
      </c>
    </row>
    <row r="167" spans="2:4">
      <c r="B167" t="s">
        <v>800</v>
      </c>
      <c r="C167" t="s">
        <v>801</v>
      </c>
      <c r="D167" t="e">
        <f t="shared" si="5"/>
        <v>#NAME?</v>
      </c>
    </row>
    <row r="168" spans="2:4">
      <c r="B168" t="s">
        <v>802</v>
      </c>
      <c r="C168" t="s">
        <v>803</v>
      </c>
      <c r="D168" t="e">
        <f t="shared" si="5"/>
        <v>#NAME?</v>
      </c>
    </row>
    <row r="169" spans="2:4">
      <c r="B169" t="s">
        <v>219</v>
      </c>
      <c r="C169" t="s">
        <v>804</v>
      </c>
      <c r="D169" t="e">
        <f t="shared" si="5"/>
        <v>#NAME?</v>
      </c>
    </row>
    <row r="170" spans="2:4">
      <c r="B170" t="s">
        <v>805</v>
      </c>
      <c r="C170" t="s">
        <v>806</v>
      </c>
      <c r="D170" t="e">
        <f t="shared" si="5"/>
        <v>#NAME?</v>
      </c>
    </row>
    <row r="171" spans="2:4">
      <c r="B171" t="s">
        <v>807</v>
      </c>
      <c r="C171" t="s">
        <v>808</v>
      </c>
      <c r="D171" t="e">
        <f t="shared" si="5"/>
        <v>#NAME?</v>
      </c>
    </row>
    <row r="172" spans="2:4">
      <c r="B172" t="s">
        <v>1013</v>
      </c>
      <c r="C172" t="s">
        <v>1014</v>
      </c>
      <c r="D172" t="e">
        <f t="shared" si="5"/>
        <v>#NAME?</v>
      </c>
    </row>
    <row r="173" spans="2:4">
      <c r="B173" t="s">
        <v>809</v>
      </c>
      <c r="C173" t="s">
        <v>810</v>
      </c>
      <c r="D173" t="e">
        <f t="shared" si="5"/>
        <v>#NAME?</v>
      </c>
    </row>
    <row r="174" spans="2:4">
      <c r="B174" t="s">
        <v>811</v>
      </c>
      <c r="C174" t="s">
        <v>812</v>
      </c>
      <c r="D174" t="e">
        <f t="shared" si="5"/>
        <v>#NAME?</v>
      </c>
    </row>
    <row r="175" spans="2:4">
      <c r="B175" t="s">
        <v>846</v>
      </c>
      <c r="C175" t="s">
        <v>845</v>
      </c>
      <c r="D175" t="e">
        <f t="shared" si="5"/>
        <v>#NAME?</v>
      </c>
    </row>
    <row r="176" spans="2:4">
      <c r="B176" t="s">
        <v>813</v>
      </c>
      <c r="C176" t="s">
        <v>814</v>
      </c>
      <c r="D176" t="e">
        <f t="shared" si="5"/>
        <v>#NAME?</v>
      </c>
    </row>
    <row r="177" spans="1:4">
      <c r="A177" t="s">
        <v>815</v>
      </c>
    </row>
    <row r="178" spans="1:4">
      <c r="B178" t="s">
        <v>209</v>
      </c>
      <c r="C178" t="s">
        <v>285</v>
      </c>
      <c r="D178" t="e">
        <f t="shared" ref="D178:D191" si="6">E_CURRENCY_ISSR_208017981_REP</f>
        <v>#NAME?</v>
      </c>
    </row>
    <row r="179" spans="1:4">
      <c r="B179" t="s">
        <v>210</v>
      </c>
      <c r="C179" t="s">
        <v>286</v>
      </c>
      <c r="D179" t="e">
        <f t="shared" si="6"/>
        <v>#NAME?</v>
      </c>
    </row>
    <row r="180" spans="1:4">
      <c r="B180" t="s">
        <v>212</v>
      </c>
      <c r="C180" t="s">
        <v>287</v>
      </c>
      <c r="D180" t="e">
        <f t="shared" si="6"/>
        <v>#NAME?</v>
      </c>
    </row>
    <row r="181" spans="1:4">
      <c r="B181" t="s">
        <v>816</v>
      </c>
      <c r="C181" t="s">
        <v>817</v>
      </c>
      <c r="D181" t="e">
        <f t="shared" si="6"/>
        <v>#NAME?</v>
      </c>
    </row>
    <row r="182" spans="1:4">
      <c r="B182" t="s">
        <v>385</v>
      </c>
      <c r="C182" t="s">
        <v>141</v>
      </c>
      <c r="D182" t="e">
        <f t="shared" si="6"/>
        <v>#NAME?</v>
      </c>
    </row>
    <row r="183" spans="1:4">
      <c r="B183" t="s">
        <v>214</v>
      </c>
      <c r="C183" t="s">
        <v>289</v>
      </c>
      <c r="D183" t="e">
        <f t="shared" si="6"/>
        <v>#NAME?</v>
      </c>
    </row>
    <row r="184" spans="1:4">
      <c r="B184" t="s">
        <v>213</v>
      </c>
      <c r="C184" t="s">
        <v>288</v>
      </c>
      <c r="D184" t="e">
        <f t="shared" si="6"/>
        <v>#NAME?</v>
      </c>
    </row>
    <row r="185" spans="1:4">
      <c r="B185" t="s">
        <v>384</v>
      </c>
      <c r="C185" t="s">
        <v>139</v>
      </c>
      <c r="D185" t="e">
        <f t="shared" si="6"/>
        <v>#NAME?</v>
      </c>
    </row>
    <row r="186" spans="1:4">
      <c r="B186" t="s">
        <v>386</v>
      </c>
      <c r="C186" t="s">
        <v>140</v>
      </c>
      <c r="D186" t="e">
        <f t="shared" si="6"/>
        <v>#NAME?</v>
      </c>
    </row>
    <row r="187" spans="1:4">
      <c r="B187" t="s">
        <v>215</v>
      </c>
      <c r="C187" t="s">
        <v>290</v>
      </c>
      <c r="D187" t="e">
        <f t="shared" si="6"/>
        <v>#NAME?</v>
      </c>
    </row>
    <row r="188" spans="1:4">
      <c r="B188" t="s">
        <v>216</v>
      </c>
      <c r="C188" t="s">
        <v>291</v>
      </c>
      <c r="D188" t="e">
        <f t="shared" si="6"/>
        <v>#NAME?</v>
      </c>
    </row>
    <row r="189" spans="1:4">
      <c r="B189" t="s">
        <v>820</v>
      </c>
      <c r="C189" t="s">
        <v>821</v>
      </c>
      <c r="D189" t="e">
        <f t="shared" si="6"/>
        <v>#NAME?</v>
      </c>
    </row>
    <row r="190" spans="1:4">
      <c r="B190" t="s">
        <v>217</v>
      </c>
      <c r="C190" t="s">
        <v>292</v>
      </c>
      <c r="D190" t="e">
        <f t="shared" si="6"/>
        <v>#NAME?</v>
      </c>
    </row>
    <row r="191" spans="1:4">
      <c r="B191" t="s">
        <v>218</v>
      </c>
      <c r="C191" t="s">
        <v>293</v>
      </c>
      <c r="D191" t="e">
        <f t="shared" si="6"/>
        <v>#NAME?</v>
      </c>
    </row>
    <row r="192" spans="1:4">
      <c r="A192" t="s">
        <v>822</v>
      </c>
    </row>
    <row r="193" spans="1:4">
      <c r="B193" t="s">
        <v>823</v>
      </c>
      <c r="C193" t="s">
        <v>824</v>
      </c>
      <c r="D193" t="e">
        <f t="shared" ref="D193:D203" si="7">E_CURRENCY_ISSR_208017981_REP</f>
        <v>#NAME?</v>
      </c>
    </row>
    <row r="194" spans="1:4">
      <c r="B194" t="s">
        <v>825</v>
      </c>
      <c r="C194" t="s">
        <v>826</v>
      </c>
      <c r="D194" t="e">
        <f t="shared" si="7"/>
        <v>#NAME?</v>
      </c>
    </row>
    <row r="195" spans="1:4">
      <c r="B195" t="s">
        <v>827</v>
      </c>
      <c r="C195" t="s">
        <v>828</v>
      </c>
      <c r="D195" t="e">
        <f t="shared" si="7"/>
        <v>#NAME?</v>
      </c>
    </row>
    <row r="196" spans="1:4">
      <c r="B196" t="s">
        <v>829</v>
      </c>
      <c r="C196" t="s">
        <v>830</v>
      </c>
      <c r="D196" t="e">
        <f t="shared" si="7"/>
        <v>#NAME?</v>
      </c>
    </row>
    <row r="197" spans="1:4">
      <c r="B197" t="s">
        <v>831</v>
      </c>
      <c r="C197" t="s">
        <v>832</v>
      </c>
      <c r="D197" t="e">
        <f t="shared" si="7"/>
        <v>#NAME?</v>
      </c>
    </row>
    <row r="198" spans="1:4">
      <c r="B198" t="s">
        <v>833</v>
      </c>
      <c r="C198" t="s">
        <v>834</v>
      </c>
      <c r="D198" t="e">
        <f t="shared" si="7"/>
        <v>#NAME?</v>
      </c>
    </row>
    <row r="199" spans="1:4">
      <c r="B199" t="s">
        <v>835</v>
      </c>
      <c r="C199" t="s">
        <v>836</v>
      </c>
      <c r="D199" t="e">
        <f t="shared" si="7"/>
        <v>#NAME?</v>
      </c>
    </row>
    <row r="200" spans="1:4">
      <c r="B200" t="s">
        <v>837</v>
      </c>
      <c r="C200" t="s">
        <v>838</v>
      </c>
      <c r="D200" t="e">
        <f t="shared" si="7"/>
        <v>#NAME?</v>
      </c>
    </row>
    <row r="201" spans="1:4">
      <c r="B201" t="s">
        <v>0</v>
      </c>
      <c r="C201" t="s">
        <v>1</v>
      </c>
      <c r="D201" t="e">
        <f t="shared" si="7"/>
        <v>#NAME?</v>
      </c>
    </row>
    <row r="202" spans="1:4">
      <c r="B202" t="s">
        <v>2</v>
      </c>
      <c r="C202" t="s">
        <v>3</v>
      </c>
      <c r="D202" t="e">
        <f t="shared" si="7"/>
        <v>#NAME?</v>
      </c>
    </row>
    <row r="203" spans="1:4">
      <c r="B203" t="s">
        <v>4</v>
      </c>
      <c r="C203" t="s">
        <v>5</v>
      </c>
      <c r="D203" t="e">
        <f t="shared" si="7"/>
        <v>#NAME?</v>
      </c>
    </row>
    <row r="204" spans="1:4">
      <c r="A204" t="s">
        <v>6</v>
      </c>
    </row>
    <row r="205" spans="1:4">
      <c r="B205" t="s">
        <v>7</v>
      </c>
      <c r="C205" t="s">
        <v>8</v>
      </c>
    </row>
    <row r="206" spans="1:4">
      <c r="A206" t="s">
        <v>13</v>
      </c>
    </row>
    <row r="207" spans="1:4">
      <c r="B207" t="s">
        <v>207</v>
      </c>
      <c r="C207" t="s">
        <v>14</v>
      </c>
      <c r="D207" t="e">
        <f>E_CURRENCY_ISSR_208017981_REP</f>
        <v>#NAME?</v>
      </c>
    </row>
    <row r="208" spans="1:4">
      <c r="B208" t="s">
        <v>16</v>
      </c>
      <c r="C208" t="s">
        <v>17</v>
      </c>
      <c r="D208" t="e">
        <f>E_CURRENCY_ISSR_208017981_REP</f>
        <v>#NAME?</v>
      </c>
    </row>
    <row r="209" spans="1:4">
      <c r="B209" t="s">
        <v>18</v>
      </c>
      <c r="C209" t="s">
        <v>19</v>
      </c>
      <c r="D209" t="e">
        <f>E_CURRENCY_ISSR_208017981_REP</f>
        <v>#NAME?</v>
      </c>
    </row>
    <row r="210" spans="1:4">
      <c r="B210" t="s">
        <v>425</v>
      </c>
      <c r="C210" t="s">
        <v>20</v>
      </c>
      <c r="D210" t="e">
        <f>E_CURRENCY_ISSR_208017981_REP</f>
        <v>#NAME?</v>
      </c>
    </row>
    <row r="211" spans="1:4">
      <c r="B211" t="s">
        <v>23</v>
      </c>
      <c r="C211" t="s">
        <v>24</v>
      </c>
    </row>
    <row r="212" spans="1:4">
      <c r="B212" t="s">
        <v>25</v>
      </c>
      <c r="C212" t="s">
        <v>26</v>
      </c>
    </row>
    <row r="213" spans="1:4">
      <c r="B213" t="s">
        <v>29</v>
      </c>
      <c r="C213" t="s">
        <v>30</v>
      </c>
      <c r="D213" t="e">
        <f>E_CURRENCY_ISSR_208017981_REP</f>
        <v>#NAME?</v>
      </c>
    </row>
    <row r="214" spans="1:4">
      <c r="B214" t="s">
        <v>346</v>
      </c>
      <c r="C214" t="s">
        <v>31</v>
      </c>
      <c r="D214" t="e">
        <f>E_CURRENCY_ISSR_208017981_REP</f>
        <v>#NAME?</v>
      </c>
    </row>
    <row r="215" spans="1:4">
      <c r="A215" t="s">
        <v>33</v>
      </c>
    </row>
    <row r="216" spans="1:4">
      <c r="B216" t="s">
        <v>37</v>
      </c>
      <c r="C216" t="s">
        <v>38</v>
      </c>
    </row>
    <row r="217" spans="1:4">
      <c r="B217" t="s">
        <v>35</v>
      </c>
      <c r="C217" t="s">
        <v>36</v>
      </c>
    </row>
    <row r="218" spans="1:4">
      <c r="B218" t="s">
        <v>913</v>
      </c>
      <c r="C218" t="s">
        <v>914</v>
      </c>
    </row>
    <row r="219" spans="1:4">
      <c r="B219" t="s">
        <v>915</v>
      </c>
      <c r="C219" t="s">
        <v>916</v>
      </c>
    </row>
    <row r="220" spans="1:4">
      <c r="B220" t="s">
        <v>39</v>
      </c>
      <c r="C220" t="s">
        <v>40</v>
      </c>
    </row>
    <row r="221" spans="1:4">
      <c r="B221" t="s">
        <v>917</v>
      </c>
      <c r="C221" t="s">
        <v>918</v>
      </c>
    </row>
    <row r="222" spans="1:4">
      <c r="B222" t="s">
        <v>919</v>
      </c>
      <c r="C222" t="s">
        <v>920</v>
      </c>
    </row>
    <row r="223" spans="1:4">
      <c r="B223" t="s">
        <v>921</v>
      </c>
      <c r="C223" t="s">
        <v>922</v>
      </c>
    </row>
    <row r="224" spans="1:4">
      <c r="B224" t="s">
        <v>923</v>
      </c>
      <c r="C224" t="s">
        <v>924</v>
      </c>
    </row>
    <row r="225" spans="2:3">
      <c r="B225" t="s">
        <v>925</v>
      </c>
      <c r="C225" t="s">
        <v>926</v>
      </c>
    </row>
    <row r="226" spans="2:3">
      <c r="B226" t="s">
        <v>48</v>
      </c>
      <c r="C226" t="s">
        <v>49</v>
      </c>
    </row>
    <row r="227" spans="2:3">
      <c r="B227" t="s">
        <v>50</v>
      </c>
      <c r="C227" t="s">
        <v>51</v>
      </c>
    </row>
    <row r="228" spans="2:3">
      <c r="B228" t="s">
        <v>52</v>
      </c>
      <c r="C228" t="s">
        <v>53</v>
      </c>
    </row>
    <row r="229" spans="2:3">
      <c r="B229" t="s">
        <v>54</v>
      </c>
      <c r="C229" t="s">
        <v>55</v>
      </c>
    </row>
    <row r="230" spans="2:3">
      <c r="B230" t="s">
        <v>56</v>
      </c>
      <c r="C230" t="s">
        <v>57</v>
      </c>
    </row>
    <row r="231" spans="2:3">
      <c r="B231" t="s">
        <v>58</v>
      </c>
      <c r="C231" t="s">
        <v>59</v>
      </c>
    </row>
    <row r="232" spans="2:3">
      <c r="B232" t="s">
        <v>60</v>
      </c>
      <c r="C232" t="s">
        <v>61</v>
      </c>
    </row>
    <row r="233" spans="2:3">
      <c r="B233" t="s">
        <v>62</v>
      </c>
      <c r="C233" t="s">
        <v>63</v>
      </c>
    </row>
    <row r="234" spans="2:3">
      <c r="B234" t="s">
        <v>64</v>
      </c>
      <c r="C234" t="s">
        <v>65</v>
      </c>
    </row>
    <row r="235" spans="2:3">
      <c r="B235" t="s">
        <v>66</v>
      </c>
      <c r="C235" t="s">
        <v>67</v>
      </c>
    </row>
    <row r="236" spans="2:3">
      <c r="B236" t="s">
        <v>68</v>
      </c>
      <c r="C236" t="s">
        <v>69</v>
      </c>
    </row>
    <row r="237" spans="2:3">
      <c r="B237" t="s">
        <v>70</v>
      </c>
      <c r="C237" t="s">
        <v>71</v>
      </c>
    </row>
    <row r="238" spans="2:3">
      <c r="B238" t="s">
        <v>72</v>
      </c>
      <c r="C238" t="s">
        <v>73</v>
      </c>
    </row>
    <row r="239" spans="2:3">
      <c r="B239" t="s">
        <v>45</v>
      </c>
      <c r="C239" t="s">
        <v>46</v>
      </c>
    </row>
    <row r="240" spans="2:3">
      <c r="B240" t="s">
        <v>927</v>
      </c>
      <c r="C240" t="s">
        <v>928</v>
      </c>
    </row>
    <row r="241" spans="2:3">
      <c r="B241" t="s">
        <v>929</v>
      </c>
      <c r="C241" t="s">
        <v>930</v>
      </c>
    </row>
    <row r="242" spans="2:3">
      <c r="B242" t="s">
        <v>78</v>
      </c>
      <c r="C242" t="s">
        <v>79</v>
      </c>
    </row>
    <row r="243" spans="2:3">
      <c r="B243" t="s">
        <v>931</v>
      </c>
      <c r="C243" t="s">
        <v>932</v>
      </c>
    </row>
    <row r="244" spans="2:3">
      <c r="B244" t="s">
        <v>933</v>
      </c>
      <c r="C244" t="s">
        <v>934</v>
      </c>
    </row>
    <row r="245" spans="2:3">
      <c r="B245" t="s">
        <v>935</v>
      </c>
      <c r="C245" t="s">
        <v>936</v>
      </c>
    </row>
    <row r="246" spans="2:3">
      <c r="B246" t="s">
        <v>937</v>
      </c>
      <c r="C246" t="s">
        <v>938</v>
      </c>
    </row>
    <row r="247" spans="2:3">
      <c r="B247" t="s">
        <v>939</v>
      </c>
      <c r="C247" t="s">
        <v>940</v>
      </c>
    </row>
    <row r="248" spans="2:3">
      <c r="B248" t="s">
        <v>941</v>
      </c>
      <c r="C248" t="s">
        <v>942</v>
      </c>
    </row>
    <row r="249" spans="2:3">
      <c r="B249" t="s">
        <v>943</v>
      </c>
      <c r="C249" t="s">
        <v>944</v>
      </c>
    </row>
    <row r="250" spans="2:3">
      <c r="B250" t="s">
        <v>945</v>
      </c>
      <c r="C250" t="s">
        <v>946</v>
      </c>
    </row>
    <row r="251" spans="2:3">
      <c r="B251" t="s">
        <v>947</v>
      </c>
      <c r="C251" t="s">
        <v>948</v>
      </c>
    </row>
    <row r="252" spans="2:3">
      <c r="B252" t="s">
        <v>84</v>
      </c>
      <c r="C252" t="s">
        <v>85</v>
      </c>
    </row>
    <row r="253" spans="2:3">
      <c r="B253" t="s">
        <v>949</v>
      </c>
      <c r="C253" t="s">
        <v>950</v>
      </c>
    </row>
    <row r="254" spans="2:3">
      <c r="B254" t="s">
        <v>89</v>
      </c>
      <c r="C254" t="s">
        <v>90</v>
      </c>
    </row>
    <row r="255" spans="2:3">
      <c r="B255" t="s">
        <v>951</v>
      </c>
      <c r="C255" t="s">
        <v>952</v>
      </c>
    </row>
    <row r="256" spans="2:3">
      <c r="B256" t="s">
        <v>953</v>
      </c>
      <c r="C256" t="s">
        <v>954</v>
      </c>
    </row>
    <row r="257" spans="2:3">
      <c r="B257" t="s">
        <v>884</v>
      </c>
      <c r="C257" t="s">
        <v>86</v>
      </c>
    </row>
    <row r="258" spans="2:3">
      <c r="B258" t="s">
        <v>87</v>
      </c>
      <c r="C258" t="s">
        <v>88</v>
      </c>
    </row>
    <row r="259" spans="2:3">
      <c r="B259" t="s">
        <v>955</v>
      </c>
      <c r="C259" t="s">
        <v>956</v>
      </c>
    </row>
    <row r="260" spans="2:3">
      <c r="B260" t="s">
        <v>957</v>
      </c>
      <c r="C260" t="s">
        <v>958</v>
      </c>
    </row>
    <row r="261" spans="2:3">
      <c r="B261" t="s">
        <v>959</v>
      </c>
      <c r="C261" t="s">
        <v>960</v>
      </c>
    </row>
    <row r="262" spans="2:3">
      <c r="B262" t="s">
        <v>91</v>
      </c>
      <c r="C262" t="s">
        <v>92</v>
      </c>
    </row>
    <row r="263" spans="2:3">
      <c r="B263" t="s">
        <v>93</v>
      </c>
      <c r="C263" t="s">
        <v>94</v>
      </c>
    </row>
    <row r="264" spans="2:3">
      <c r="B264" t="s">
        <v>96</v>
      </c>
      <c r="C264" t="s">
        <v>97</v>
      </c>
    </row>
    <row r="265" spans="2:3">
      <c r="B265" t="s">
        <v>976</v>
      </c>
      <c r="C265" t="s">
        <v>977</v>
      </c>
    </row>
    <row r="266" spans="2:3">
      <c r="B266" t="s">
        <v>978</v>
      </c>
      <c r="C266" t="s">
        <v>979</v>
      </c>
    </row>
    <row r="267" spans="2:3">
      <c r="B267" t="s">
        <v>980</v>
      </c>
      <c r="C267" t="s">
        <v>981</v>
      </c>
    </row>
    <row r="268" spans="2:3">
      <c r="B268" t="s">
        <v>982</v>
      </c>
      <c r="C268" t="s">
        <v>983</v>
      </c>
    </row>
    <row r="269" spans="2:3">
      <c r="B269" t="s">
        <v>98</v>
      </c>
      <c r="C269" t="s">
        <v>99</v>
      </c>
    </row>
    <row r="270" spans="2:3">
      <c r="B270" t="s">
        <v>100</v>
      </c>
      <c r="C270" t="s">
        <v>101</v>
      </c>
    </row>
    <row r="271" spans="2:3">
      <c r="B271" t="s">
        <v>102</v>
      </c>
      <c r="C271" t="s">
        <v>103</v>
      </c>
    </row>
    <row r="272" spans="2:3">
      <c r="B272" t="s">
        <v>876</v>
      </c>
      <c r="C272" t="s">
        <v>877</v>
      </c>
    </row>
    <row r="273" spans="1:3">
      <c r="B273" t="s">
        <v>961</v>
      </c>
      <c r="C273" t="s">
        <v>962</v>
      </c>
    </row>
    <row r="274" spans="1:3">
      <c r="A274" t="s">
        <v>856</v>
      </c>
    </row>
    <row r="275" spans="1:3">
      <c r="B275" t="s">
        <v>911</v>
      </c>
      <c r="C275" t="s">
        <v>912</v>
      </c>
    </row>
    <row r="276" spans="1:3">
      <c r="B276" t="s">
        <v>963</v>
      </c>
      <c r="C276" t="s">
        <v>964</v>
      </c>
    </row>
    <row r="277" spans="1:3">
      <c r="A277" t="s">
        <v>857</v>
      </c>
    </row>
    <row r="278" spans="1:3">
      <c r="B278" t="s">
        <v>858</v>
      </c>
      <c r="C278" t="s">
        <v>859</v>
      </c>
    </row>
    <row r="279" spans="1:3">
      <c r="B279" t="s">
        <v>860</v>
      </c>
      <c r="C279" t="s">
        <v>861</v>
      </c>
    </row>
    <row r="280" spans="1:3">
      <c r="B280" t="s">
        <v>864</v>
      </c>
      <c r="C280" t="s">
        <v>865</v>
      </c>
    </row>
    <row r="281" spans="1:3">
      <c r="B281" t="s">
        <v>866</v>
      </c>
      <c r="C281" t="s">
        <v>867</v>
      </c>
    </row>
    <row r="282" spans="1:3">
      <c r="B282" t="s">
        <v>868</v>
      </c>
      <c r="C282" t="s">
        <v>869</v>
      </c>
    </row>
    <row r="283" spans="1:3">
      <c r="B283" t="s">
        <v>870</v>
      </c>
      <c r="C283" t="s">
        <v>871</v>
      </c>
    </row>
    <row r="284" spans="1:3">
      <c r="B284" t="s">
        <v>872</v>
      </c>
      <c r="C284" t="s">
        <v>873</v>
      </c>
    </row>
    <row r="285" spans="1:3">
      <c r="B285" t="s">
        <v>874</v>
      </c>
      <c r="C285" t="s">
        <v>875</v>
      </c>
    </row>
    <row r="286" spans="1:3">
      <c r="B286" t="s">
        <v>878</v>
      </c>
      <c r="C286" t="s">
        <v>879</v>
      </c>
    </row>
    <row r="287" spans="1:3">
      <c r="B287" t="s">
        <v>880</v>
      </c>
      <c r="C287" t="s">
        <v>881</v>
      </c>
    </row>
    <row r="288" spans="1:3">
      <c r="B288" t="s">
        <v>886</v>
      </c>
      <c r="C288" t="s">
        <v>887</v>
      </c>
    </row>
    <row r="289" spans="1:3">
      <c r="A289" t="s">
        <v>910</v>
      </c>
    </row>
    <row r="290" spans="1:3">
      <c r="B290" t="s">
        <v>882</v>
      </c>
      <c r="C290" t="s">
        <v>34</v>
      </c>
    </row>
    <row r="291" spans="1:3">
      <c r="B291" t="s">
        <v>41</v>
      </c>
      <c r="C291" t="s">
        <v>42</v>
      </c>
    </row>
    <row r="292" spans="1:3">
      <c r="B292" t="s">
        <v>43</v>
      </c>
      <c r="C292" t="s">
        <v>44</v>
      </c>
    </row>
    <row r="293" spans="1:3">
      <c r="B293" t="s">
        <v>883</v>
      </c>
      <c r="C293" t="s">
        <v>47</v>
      </c>
    </row>
    <row r="294" spans="1:3">
      <c r="B294" t="s">
        <v>74</v>
      </c>
      <c r="C294" t="s">
        <v>75</v>
      </c>
    </row>
    <row r="295" spans="1:3">
      <c r="B295" t="s">
        <v>76</v>
      </c>
      <c r="C295" t="s">
        <v>77</v>
      </c>
    </row>
    <row r="296" spans="1:3">
      <c r="B296" t="s">
        <v>862</v>
      </c>
      <c r="C296" t="s">
        <v>863</v>
      </c>
    </row>
    <row r="297" spans="1:3">
      <c r="B297" t="s">
        <v>80</v>
      </c>
      <c r="C297" t="s">
        <v>81</v>
      </c>
    </row>
    <row r="298" spans="1:3">
      <c r="B298" t="s">
        <v>82</v>
      </c>
      <c r="C298" t="s">
        <v>83</v>
      </c>
    </row>
    <row r="299" spans="1:3">
      <c r="B299" t="s">
        <v>885</v>
      </c>
      <c r="C299" t="s">
        <v>95</v>
      </c>
    </row>
    <row r="300" spans="1:3">
      <c r="A300" t="s">
        <v>1199</v>
      </c>
    </row>
    <row r="301" spans="1:3">
      <c r="B301" t="s">
        <v>1200</v>
      </c>
      <c r="C301" t="s">
        <v>1201</v>
      </c>
    </row>
    <row r="302" spans="1:3">
      <c r="B302" t="s">
        <v>1202</v>
      </c>
      <c r="C302" t="s">
        <v>1203</v>
      </c>
    </row>
    <row r="303" spans="1:3">
      <c r="B303" t="s">
        <v>1204</v>
      </c>
      <c r="C303" t="s">
        <v>1205</v>
      </c>
    </row>
    <row r="304" spans="1:3">
      <c r="B304" t="s">
        <v>1206</v>
      </c>
      <c r="C304" t="s">
        <v>1207</v>
      </c>
    </row>
    <row r="305" spans="1:5">
      <c r="A305" t="s">
        <v>1189</v>
      </c>
    </row>
    <row r="306" spans="1:5">
      <c r="A306" t="s">
        <v>847</v>
      </c>
    </row>
    <row r="307" spans="1:5">
      <c r="B307" t="s">
        <v>455</v>
      </c>
      <c r="C307" t="s">
        <v>455</v>
      </c>
      <c r="E307" t="s">
        <v>1188</v>
      </c>
    </row>
    <row r="308" spans="1:5">
      <c r="B308" t="s">
        <v>165</v>
      </c>
      <c r="C308" t="s">
        <v>165</v>
      </c>
      <c r="E308" t="s">
        <v>1186</v>
      </c>
    </row>
    <row r="309" spans="1:5">
      <c r="B309" t="s">
        <v>850</v>
      </c>
      <c r="C309" t="s">
        <v>850</v>
      </c>
      <c r="E309" t="s">
        <v>170</v>
      </c>
    </row>
    <row r="310" spans="1:5">
      <c r="B310" t="s">
        <v>851</v>
      </c>
      <c r="C310" t="s">
        <v>841</v>
      </c>
      <c r="E310" t="s">
        <v>842</v>
      </c>
    </row>
    <row r="311" spans="1:5">
      <c r="B311" t="s">
        <v>852</v>
      </c>
      <c r="C311" t="s">
        <v>840</v>
      </c>
      <c r="E311" t="s">
        <v>842</v>
      </c>
    </row>
    <row r="312" spans="1:5">
      <c r="B312" t="s">
        <v>849</v>
      </c>
      <c r="C312" t="s">
        <v>839</v>
      </c>
      <c r="E312" t="s">
        <v>842</v>
      </c>
    </row>
    <row r="313" spans="1:5">
      <c r="A313" t="s">
        <v>456</v>
      </c>
    </row>
    <row r="314" spans="1:5">
      <c r="B314" t="s">
        <v>843</v>
      </c>
      <c r="C314" t="s">
        <v>457</v>
      </c>
    </row>
    <row r="315" spans="1:5">
      <c r="B315" t="s">
        <v>844</v>
      </c>
      <c r="C315" t="s">
        <v>1220</v>
      </c>
    </row>
    <row r="316" spans="1:5">
      <c r="B316" t="s">
        <v>458</v>
      </c>
      <c r="C316" t="s">
        <v>459</v>
      </c>
    </row>
    <row r="317" spans="1:5">
      <c r="B317" t="s">
        <v>460</v>
      </c>
      <c r="C317" t="s">
        <v>461</v>
      </c>
      <c r="D317" t="e">
        <f>E_CURRENCY_EQTY_200019506_PRI</f>
        <v>#NAME?</v>
      </c>
    </row>
    <row r="318" spans="1:5">
      <c r="B318" t="s">
        <v>462</v>
      </c>
      <c r="C318" t="s">
        <v>463</v>
      </c>
    </row>
    <row r="319" spans="1:5">
      <c r="B319" t="s">
        <v>1007</v>
      </c>
      <c r="C319" t="s">
        <v>1005</v>
      </c>
      <c r="D319" t="e">
        <f>E_CURRENCY_EQTY_200019506_PRI</f>
        <v>#NAME?</v>
      </c>
    </row>
    <row r="320" spans="1:5">
      <c r="B320" t="s">
        <v>1008</v>
      </c>
      <c r="C320" t="s">
        <v>1006</v>
      </c>
      <c r="D320" t="e">
        <f>E_CURRENCY_EQTY_200019506_PRI</f>
        <v>#NAME?</v>
      </c>
    </row>
    <row r="321" spans="1:3">
      <c r="B321" t="s">
        <v>464</v>
      </c>
      <c r="C321" t="s">
        <v>853</v>
      </c>
    </row>
    <row r="322" spans="1:3">
      <c r="B322" t="s">
        <v>465</v>
      </c>
      <c r="C322" t="s">
        <v>229</v>
      </c>
    </row>
    <row r="323" spans="1:3">
      <c r="B323" t="s">
        <v>466</v>
      </c>
      <c r="C323" t="s">
        <v>467</v>
      </c>
    </row>
    <row r="324" spans="1:3">
      <c r="B324" t="s">
        <v>468</v>
      </c>
      <c r="C324" t="s">
        <v>469</v>
      </c>
    </row>
    <row r="325" spans="1:3">
      <c r="B325" t="s">
        <v>470</v>
      </c>
      <c r="C325" t="s">
        <v>471</v>
      </c>
    </row>
    <row r="326" spans="1:3">
      <c r="B326" t="s">
        <v>472</v>
      </c>
      <c r="C326" t="s">
        <v>473</v>
      </c>
    </row>
    <row r="327" spans="1:3">
      <c r="B327" t="s">
        <v>474</v>
      </c>
      <c r="C327" t="s">
        <v>475</v>
      </c>
    </row>
    <row r="328" spans="1:3">
      <c r="B328" t="s">
        <v>476</v>
      </c>
      <c r="C328" t="s">
        <v>477</v>
      </c>
    </row>
    <row r="329" spans="1:3">
      <c r="B329" t="s">
        <v>478</v>
      </c>
      <c r="C329" t="s">
        <v>479</v>
      </c>
    </row>
    <row r="330" spans="1:3">
      <c r="B330" t="s">
        <v>480</v>
      </c>
      <c r="C330" t="s">
        <v>481</v>
      </c>
    </row>
    <row r="331" spans="1:3">
      <c r="B331" t="s">
        <v>482</v>
      </c>
      <c r="C331" t="s">
        <v>483</v>
      </c>
    </row>
    <row r="332" spans="1:3">
      <c r="B332" t="s">
        <v>484</v>
      </c>
      <c r="C332" t="s">
        <v>485</v>
      </c>
    </row>
    <row r="333" spans="1:3">
      <c r="B333" t="s">
        <v>486</v>
      </c>
      <c r="C333" t="s">
        <v>487</v>
      </c>
    </row>
    <row r="334" spans="1:3">
      <c r="B334" t="s">
        <v>488</v>
      </c>
      <c r="C334" t="s">
        <v>489</v>
      </c>
    </row>
    <row r="335" spans="1:3">
      <c r="B335" t="s">
        <v>490</v>
      </c>
      <c r="C335" t="s">
        <v>491</v>
      </c>
    </row>
    <row r="336" spans="1:3">
      <c r="A336" t="s">
        <v>492</v>
      </c>
    </row>
    <row r="337" spans="2:4">
      <c r="B337" t="s">
        <v>493</v>
      </c>
      <c r="C337" t="s">
        <v>494</v>
      </c>
      <c r="D337" t="e">
        <f t="shared" ref="D337:D352" si="8">E_CURRENCY_EQTY_200019506_PUB</f>
        <v>#NAME?</v>
      </c>
    </row>
    <row r="338" spans="2:4">
      <c r="B338" t="s">
        <v>495</v>
      </c>
      <c r="C338" t="s">
        <v>496</v>
      </c>
      <c r="D338" t="e">
        <f t="shared" si="8"/>
        <v>#NAME?</v>
      </c>
    </row>
    <row r="339" spans="2:4">
      <c r="B339" t="s">
        <v>888</v>
      </c>
      <c r="C339" t="s">
        <v>889</v>
      </c>
      <c r="D339" t="e">
        <f t="shared" si="8"/>
        <v>#NAME?</v>
      </c>
    </row>
    <row r="340" spans="2:4">
      <c r="B340" t="s">
        <v>497</v>
      </c>
      <c r="C340" t="s">
        <v>498</v>
      </c>
      <c r="D340" t="e">
        <f t="shared" si="8"/>
        <v>#NAME?</v>
      </c>
    </row>
    <row r="341" spans="2:4">
      <c r="B341" t="s">
        <v>499</v>
      </c>
      <c r="C341" t="s">
        <v>500</v>
      </c>
      <c r="D341" t="e">
        <f t="shared" si="8"/>
        <v>#NAME?</v>
      </c>
    </row>
    <row r="342" spans="2:4">
      <c r="B342" t="s">
        <v>501</v>
      </c>
      <c r="C342" t="s">
        <v>502</v>
      </c>
      <c r="D342" t="e">
        <f t="shared" si="8"/>
        <v>#NAME?</v>
      </c>
    </row>
    <row r="343" spans="2:4">
      <c r="B343" t="s">
        <v>503</v>
      </c>
      <c r="C343" t="s">
        <v>504</v>
      </c>
      <c r="D343" t="e">
        <f t="shared" si="8"/>
        <v>#NAME?</v>
      </c>
    </row>
    <row r="344" spans="2:4">
      <c r="B344" t="s">
        <v>1030</v>
      </c>
      <c r="C344" t="s">
        <v>1027</v>
      </c>
      <c r="D344" t="e">
        <f t="shared" si="8"/>
        <v>#NAME?</v>
      </c>
    </row>
    <row r="345" spans="2:4">
      <c r="B345" t="s">
        <v>1028</v>
      </c>
      <c r="C345" t="s">
        <v>1029</v>
      </c>
      <c r="D345" t="e">
        <f t="shared" si="8"/>
        <v>#NAME?</v>
      </c>
    </row>
    <row r="346" spans="2:4">
      <c r="B346" t="s">
        <v>505</v>
      </c>
      <c r="C346" t="s">
        <v>506</v>
      </c>
      <c r="D346" t="e">
        <f t="shared" si="8"/>
        <v>#NAME?</v>
      </c>
    </row>
    <row r="347" spans="2:4">
      <c r="B347" t="s">
        <v>507</v>
      </c>
      <c r="C347" t="s">
        <v>508</v>
      </c>
      <c r="D347" t="e">
        <f t="shared" si="8"/>
        <v>#NAME?</v>
      </c>
    </row>
    <row r="348" spans="2:4">
      <c r="B348" t="s">
        <v>509</v>
      </c>
      <c r="C348" t="s">
        <v>510</v>
      </c>
      <c r="D348" t="e">
        <f t="shared" si="8"/>
        <v>#NAME?</v>
      </c>
    </row>
    <row r="349" spans="2:4">
      <c r="B349" t="s">
        <v>511</v>
      </c>
      <c r="C349" t="s">
        <v>512</v>
      </c>
      <c r="D349" t="e">
        <f t="shared" si="8"/>
        <v>#NAME?</v>
      </c>
    </row>
    <row r="350" spans="2:4">
      <c r="B350" t="s">
        <v>513</v>
      </c>
      <c r="C350" t="s">
        <v>514</v>
      </c>
      <c r="D350" t="e">
        <f t="shared" si="8"/>
        <v>#NAME?</v>
      </c>
    </row>
    <row r="351" spans="2:4">
      <c r="B351" t="s">
        <v>515</v>
      </c>
      <c r="C351" t="s">
        <v>516</v>
      </c>
      <c r="D351" t="e">
        <f t="shared" si="8"/>
        <v>#NAME?</v>
      </c>
    </row>
    <row r="352" spans="2:4">
      <c r="B352" t="s">
        <v>220</v>
      </c>
      <c r="C352" t="s">
        <v>242</v>
      </c>
      <c r="D352" t="e">
        <f t="shared" si="8"/>
        <v>#NAME?</v>
      </c>
    </row>
    <row r="353" spans="1:4">
      <c r="A353" t="s">
        <v>517</v>
      </c>
    </row>
    <row r="354" spans="1:4">
      <c r="B354" t="s">
        <v>450</v>
      </c>
      <c r="C354" t="s">
        <v>108</v>
      </c>
    </row>
    <row r="355" spans="1:4">
      <c r="B355" t="s">
        <v>519</v>
      </c>
      <c r="C355" t="s">
        <v>520</v>
      </c>
    </row>
    <row r="356" spans="1:4">
      <c r="B356" t="s">
        <v>521</v>
      </c>
      <c r="C356" t="s">
        <v>522</v>
      </c>
    </row>
    <row r="357" spans="1:4">
      <c r="B357" t="s">
        <v>523</v>
      </c>
      <c r="C357" t="s">
        <v>524</v>
      </c>
    </row>
    <row r="358" spans="1:4">
      <c r="B358" t="s">
        <v>525</v>
      </c>
      <c r="C358" t="s">
        <v>526</v>
      </c>
    </row>
    <row r="359" spans="1:4">
      <c r="B359" t="s">
        <v>356</v>
      </c>
      <c r="C359" t="s">
        <v>527</v>
      </c>
      <c r="D359" t="e">
        <f t="shared" ref="D359:D369" si="9">E_CURRENCY_EQTY_200019506_REP</f>
        <v>#NAME?</v>
      </c>
    </row>
    <row r="360" spans="1:4">
      <c r="B360" t="s">
        <v>357</v>
      </c>
      <c r="C360" t="s">
        <v>528</v>
      </c>
      <c r="D360" t="e">
        <f t="shared" si="9"/>
        <v>#NAME?</v>
      </c>
    </row>
    <row r="361" spans="1:4">
      <c r="B361" t="s">
        <v>529</v>
      </c>
      <c r="C361" t="s">
        <v>530</v>
      </c>
      <c r="D361" t="e">
        <f t="shared" si="9"/>
        <v>#NAME?</v>
      </c>
    </row>
    <row r="362" spans="1:4">
      <c r="B362" t="s">
        <v>531</v>
      </c>
      <c r="C362" t="s">
        <v>532</v>
      </c>
      <c r="D362" t="e">
        <f t="shared" si="9"/>
        <v>#NAME?</v>
      </c>
    </row>
    <row r="363" spans="1:4">
      <c r="B363" t="s">
        <v>533</v>
      </c>
      <c r="C363" t="s">
        <v>534</v>
      </c>
      <c r="D363" t="e">
        <f t="shared" si="9"/>
        <v>#NAME?</v>
      </c>
    </row>
    <row r="364" spans="1:4">
      <c r="B364" t="s">
        <v>358</v>
      </c>
      <c r="C364" t="s">
        <v>535</v>
      </c>
      <c r="D364" t="e">
        <f t="shared" si="9"/>
        <v>#NAME?</v>
      </c>
    </row>
    <row r="365" spans="1:4">
      <c r="B365" t="s">
        <v>360</v>
      </c>
      <c r="C365" t="s">
        <v>536</v>
      </c>
      <c r="D365" t="e">
        <f t="shared" si="9"/>
        <v>#NAME?</v>
      </c>
    </row>
    <row r="366" spans="1:4">
      <c r="B366" t="s">
        <v>537</v>
      </c>
      <c r="C366" t="s">
        <v>538</v>
      </c>
      <c r="D366" t="e">
        <f t="shared" si="9"/>
        <v>#NAME?</v>
      </c>
    </row>
    <row r="367" spans="1:4">
      <c r="B367" t="s">
        <v>539</v>
      </c>
      <c r="C367" t="s">
        <v>540</v>
      </c>
      <c r="D367" t="e">
        <f t="shared" si="9"/>
        <v>#NAME?</v>
      </c>
    </row>
    <row r="368" spans="1:4">
      <c r="B368" t="s">
        <v>359</v>
      </c>
      <c r="C368" t="s">
        <v>541</v>
      </c>
      <c r="D368" t="e">
        <f t="shared" si="9"/>
        <v>#NAME?</v>
      </c>
    </row>
    <row r="369" spans="1:4">
      <c r="B369" t="s">
        <v>345</v>
      </c>
      <c r="C369" t="s">
        <v>542</v>
      </c>
      <c r="D369" t="e">
        <f t="shared" si="9"/>
        <v>#NAME?</v>
      </c>
    </row>
    <row r="370" spans="1:4">
      <c r="B370" t="s">
        <v>451</v>
      </c>
      <c r="C370" t="s">
        <v>543</v>
      </c>
      <c r="D370" t="e">
        <f>E_CURRENCY_EQTY_200019506_PUB</f>
        <v>#NAME?</v>
      </c>
    </row>
    <row r="371" spans="1:4">
      <c r="B371" t="s">
        <v>544</v>
      </c>
      <c r="C371" t="s">
        <v>545</v>
      </c>
    </row>
    <row r="372" spans="1:4">
      <c r="B372" t="s">
        <v>890</v>
      </c>
      <c r="C372" t="s">
        <v>891</v>
      </c>
    </row>
    <row r="373" spans="1:4">
      <c r="B373" t="s">
        <v>546</v>
      </c>
      <c r="C373" t="s">
        <v>241</v>
      </c>
    </row>
    <row r="374" spans="1:4">
      <c r="A374" t="s">
        <v>547</v>
      </c>
    </row>
    <row r="375" spans="1:4">
      <c r="B375" t="s">
        <v>584</v>
      </c>
      <c r="C375" t="s">
        <v>585</v>
      </c>
      <c r="D375" t="e">
        <f t="shared" ref="D375:D387" si="10">E_CURRENCY_EQTY_200019506_REP</f>
        <v>#NAME?</v>
      </c>
    </row>
    <row r="376" spans="1:4">
      <c r="B376" t="s">
        <v>586</v>
      </c>
      <c r="C376" t="s">
        <v>587</v>
      </c>
      <c r="D376" t="e">
        <f t="shared" si="10"/>
        <v>#NAME?</v>
      </c>
    </row>
    <row r="377" spans="1:4">
      <c r="B377" t="s">
        <v>588</v>
      </c>
      <c r="C377" t="s">
        <v>589</v>
      </c>
      <c r="D377" t="e">
        <f t="shared" si="10"/>
        <v>#NAME?</v>
      </c>
    </row>
    <row r="378" spans="1:4">
      <c r="B378" t="s">
        <v>590</v>
      </c>
      <c r="C378" t="s">
        <v>591</v>
      </c>
      <c r="D378" t="e">
        <f t="shared" si="10"/>
        <v>#NAME?</v>
      </c>
    </row>
    <row r="379" spans="1:4">
      <c r="B379" t="s">
        <v>592</v>
      </c>
      <c r="C379" t="s">
        <v>593</v>
      </c>
      <c r="D379" t="e">
        <f t="shared" si="10"/>
        <v>#NAME?</v>
      </c>
    </row>
    <row r="380" spans="1:4">
      <c r="B380" t="s">
        <v>594</v>
      </c>
      <c r="C380" t="s">
        <v>595</v>
      </c>
      <c r="D380" t="e">
        <f t="shared" si="10"/>
        <v>#NAME?</v>
      </c>
    </row>
    <row r="381" spans="1:4">
      <c r="B381" t="s">
        <v>596</v>
      </c>
      <c r="C381" t="s">
        <v>597</v>
      </c>
      <c r="D381" t="e">
        <f t="shared" si="10"/>
        <v>#NAME?</v>
      </c>
    </row>
    <row r="382" spans="1:4">
      <c r="B382" t="s">
        <v>598</v>
      </c>
      <c r="C382" t="s">
        <v>446</v>
      </c>
      <c r="D382" t="e">
        <f t="shared" si="10"/>
        <v>#NAME?</v>
      </c>
    </row>
    <row r="383" spans="1:4">
      <c r="B383" t="s">
        <v>599</v>
      </c>
      <c r="C383" t="s">
        <v>600</v>
      </c>
      <c r="D383" t="e">
        <f t="shared" si="10"/>
        <v>#NAME?</v>
      </c>
    </row>
    <row r="384" spans="1:4">
      <c r="B384" t="s">
        <v>601</v>
      </c>
      <c r="C384" t="s">
        <v>602</v>
      </c>
      <c r="D384" t="e">
        <f t="shared" si="10"/>
        <v>#NAME?</v>
      </c>
    </row>
    <row r="385" spans="1:4">
      <c r="B385" t="s">
        <v>603</v>
      </c>
      <c r="C385" t="s">
        <v>604</v>
      </c>
      <c r="D385" t="e">
        <f t="shared" si="10"/>
        <v>#NAME?</v>
      </c>
    </row>
    <row r="386" spans="1:4">
      <c r="B386" t="s">
        <v>605</v>
      </c>
      <c r="C386" t="s">
        <v>606</v>
      </c>
      <c r="D386" t="e">
        <f t="shared" si="10"/>
        <v>#NAME?</v>
      </c>
    </row>
    <row r="387" spans="1:4">
      <c r="B387" t="s">
        <v>607</v>
      </c>
      <c r="C387" t="s">
        <v>239</v>
      </c>
      <c r="D387" t="e">
        <f t="shared" si="10"/>
        <v>#NAME?</v>
      </c>
    </row>
    <row r="388" spans="1:4">
      <c r="B388" t="s">
        <v>608</v>
      </c>
      <c r="C388" t="s">
        <v>854</v>
      </c>
    </row>
    <row r="389" spans="1:4">
      <c r="B389" t="s">
        <v>609</v>
      </c>
      <c r="C389" t="s">
        <v>610</v>
      </c>
    </row>
    <row r="390" spans="1:4">
      <c r="B390" t="s">
        <v>611</v>
      </c>
      <c r="C390" t="s">
        <v>612</v>
      </c>
    </row>
    <row r="391" spans="1:4">
      <c r="B391" t="s">
        <v>175</v>
      </c>
      <c r="C391" t="s">
        <v>240</v>
      </c>
    </row>
    <row r="392" spans="1:4">
      <c r="A392" t="s">
        <v>613</v>
      </c>
    </row>
    <row r="393" spans="1:4">
      <c r="B393" t="s">
        <v>630</v>
      </c>
      <c r="C393" t="s">
        <v>251</v>
      </c>
      <c r="D393" t="e">
        <f t="shared" ref="D393:D410" si="11">E_CURRENCY_EQTY_200019506_REP</f>
        <v>#NAME?</v>
      </c>
    </row>
    <row r="394" spans="1:4">
      <c r="B394" t="s">
        <v>186</v>
      </c>
      <c r="C394" t="s">
        <v>253</v>
      </c>
      <c r="D394" t="e">
        <f t="shared" si="11"/>
        <v>#NAME?</v>
      </c>
    </row>
    <row r="395" spans="1:4">
      <c r="B395" t="s">
        <v>637</v>
      </c>
      <c r="C395" t="s">
        <v>121</v>
      </c>
      <c r="D395" t="e">
        <f t="shared" si="11"/>
        <v>#NAME?</v>
      </c>
    </row>
    <row r="396" spans="1:4">
      <c r="B396" t="s">
        <v>638</v>
      </c>
      <c r="C396" t="s">
        <v>122</v>
      </c>
      <c r="D396" t="e">
        <f t="shared" si="11"/>
        <v>#NAME?</v>
      </c>
    </row>
    <row r="397" spans="1:4">
      <c r="B397" t="s">
        <v>639</v>
      </c>
      <c r="C397" t="s">
        <v>123</v>
      </c>
      <c r="D397" t="e">
        <f t="shared" si="11"/>
        <v>#NAME?</v>
      </c>
    </row>
    <row r="398" spans="1:4">
      <c r="B398" t="s">
        <v>640</v>
      </c>
      <c r="C398" t="s">
        <v>124</v>
      </c>
      <c r="D398" t="e">
        <f t="shared" si="11"/>
        <v>#NAME?</v>
      </c>
    </row>
    <row r="399" spans="1:4">
      <c r="B399" t="s">
        <v>454</v>
      </c>
      <c r="C399" t="s">
        <v>125</v>
      </c>
      <c r="D399" t="e">
        <f t="shared" si="11"/>
        <v>#NAME?</v>
      </c>
    </row>
    <row r="400" spans="1:4">
      <c r="B400" t="s">
        <v>188</v>
      </c>
      <c r="C400" t="s">
        <v>255</v>
      </c>
      <c r="D400" t="e">
        <f t="shared" si="11"/>
        <v>#NAME?</v>
      </c>
    </row>
    <row r="401" spans="2:4">
      <c r="B401" t="s">
        <v>189</v>
      </c>
      <c r="C401" t="s">
        <v>256</v>
      </c>
      <c r="D401" t="e">
        <f t="shared" si="11"/>
        <v>#NAME?</v>
      </c>
    </row>
    <row r="402" spans="2:4">
      <c r="B402" t="s">
        <v>641</v>
      </c>
      <c r="C402" t="s">
        <v>230</v>
      </c>
      <c r="D402" t="e">
        <f t="shared" si="11"/>
        <v>#NAME?</v>
      </c>
    </row>
    <row r="403" spans="2:4">
      <c r="B403" t="s">
        <v>642</v>
      </c>
      <c r="C403" t="s">
        <v>126</v>
      </c>
      <c r="D403" t="e">
        <f t="shared" si="11"/>
        <v>#NAME?</v>
      </c>
    </row>
    <row r="404" spans="2:4">
      <c r="B404" t="s">
        <v>643</v>
      </c>
      <c r="C404" t="s">
        <v>127</v>
      </c>
      <c r="D404" t="e">
        <f t="shared" si="11"/>
        <v>#NAME?</v>
      </c>
    </row>
    <row r="405" spans="2:4">
      <c r="B405" t="s">
        <v>644</v>
      </c>
      <c r="C405" t="s">
        <v>128</v>
      </c>
      <c r="D405" t="e">
        <f t="shared" si="11"/>
        <v>#NAME?</v>
      </c>
    </row>
    <row r="406" spans="2:4">
      <c r="B406" t="s">
        <v>645</v>
      </c>
      <c r="C406" t="s">
        <v>129</v>
      </c>
      <c r="D406" t="e">
        <f t="shared" si="11"/>
        <v>#NAME?</v>
      </c>
    </row>
    <row r="407" spans="2:4">
      <c r="B407" t="s">
        <v>646</v>
      </c>
      <c r="C407" t="s">
        <v>647</v>
      </c>
      <c r="D407" t="e">
        <f t="shared" si="11"/>
        <v>#NAME?</v>
      </c>
    </row>
    <row r="408" spans="2:4">
      <c r="B408" t="s">
        <v>191</v>
      </c>
      <c r="C408" t="s">
        <v>259</v>
      </c>
      <c r="D408" t="e">
        <f t="shared" si="11"/>
        <v>#NAME?</v>
      </c>
    </row>
    <row r="409" spans="2:4">
      <c r="B409" t="s">
        <v>648</v>
      </c>
      <c r="C409" t="s">
        <v>238</v>
      </c>
      <c r="D409" t="e">
        <f t="shared" si="11"/>
        <v>#NAME?</v>
      </c>
    </row>
    <row r="410" spans="2:4">
      <c r="B410" t="s">
        <v>452</v>
      </c>
      <c r="C410" t="s">
        <v>109</v>
      </c>
      <c r="D410" t="e">
        <f t="shared" si="11"/>
        <v>#NAME?</v>
      </c>
    </row>
    <row r="411" spans="2:4">
      <c r="B411" t="s">
        <v>190</v>
      </c>
      <c r="C411" t="s">
        <v>258</v>
      </c>
    </row>
    <row r="412" spans="2:4">
      <c r="B412" t="s">
        <v>649</v>
      </c>
      <c r="C412" t="s">
        <v>650</v>
      </c>
    </row>
    <row r="413" spans="2:4">
      <c r="B413" t="s">
        <v>166</v>
      </c>
      <c r="C413" t="s">
        <v>221</v>
      </c>
      <c r="D413" t="e">
        <f>E_CURRENCY_EQTY_200019506_PRI</f>
        <v>#NAME?</v>
      </c>
    </row>
    <row r="414" spans="2:4">
      <c r="B414" t="s">
        <v>167</v>
      </c>
      <c r="C414" t="s">
        <v>222</v>
      </c>
    </row>
    <row r="415" spans="2:4">
      <c r="B415" t="s">
        <v>168</v>
      </c>
      <c r="C415" t="s">
        <v>223</v>
      </c>
    </row>
    <row r="416" spans="2:4">
      <c r="B416" t="s">
        <v>169</v>
      </c>
      <c r="C416" t="s">
        <v>224</v>
      </c>
    </row>
    <row r="417" spans="1:4">
      <c r="B417" t="s">
        <v>171</v>
      </c>
      <c r="C417" t="s">
        <v>225</v>
      </c>
      <c r="D417" t="e">
        <f>E_CURRENCY_EQTY_200019506_PRI</f>
        <v>#NAME?</v>
      </c>
    </row>
    <row r="418" spans="1:4">
      <c r="B418" t="s">
        <v>172</v>
      </c>
      <c r="C418" t="s">
        <v>226</v>
      </c>
    </row>
    <row r="419" spans="1:4">
      <c r="B419" t="s">
        <v>173</v>
      </c>
      <c r="C419" t="s">
        <v>227</v>
      </c>
    </row>
    <row r="420" spans="1:4">
      <c r="B420" t="s">
        <v>174</v>
      </c>
      <c r="C420" t="s">
        <v>228</v>
      </c>
    </row>
    <row r="421" spans="1:4">
      <c r="B421" t="s">
        <v>651</v>
      </c>
      <c r="C421" t="s">
        <v>282</v>
      </c>
    </row>
    <row r="422" spans="1:4">
      <c r="B422" t="s">
        <v>652</v>
      </c>
      <c r="C422" t="s">
        <v>283</v>
      </c>
    </row>
    <row r="423" spans="1:4">
      <c r="B423" t="s">
        <v>653</v>
      </c>
      <c r="C423" t="s">
        <v>654</v>
      </c>
    </row>
    <row r="424" spans="1:4">
      <c r="B424" t="s">
        <v>655</v>
      </c>
      <c r="C424" t="s">
        <v>284</v>
      </c>
    </row>
    <row r="425" spans="1:4">
      <c r="B425" t="s">
        <v>656</v>
      </c>
      <c r="C425" t="s">
        <v>657</v>
      </c>
    </row>
    <row r="426" spans="1:4">
      <c r="B426" t="s">
        <v>658</v>
      </c>
      <c r="C426" t="s">
        <v>659</v>
      </c>
    </row>
    <row r="427" spans="1:4">
      <c r="B427" t="s">
        <v>660</v>
      </c>
      <c r="C427" t="s">
        <v>243</v>
      </c>
    </row>
    <row r="428" spans="1:4">
      <c r="B428" t="s">
        <v>661</v>
      </c>
      <c r="C428" t="s">
        <v>176</v>
      </c>
    </row>
    <row r="429" spans="1:4">
      <c r="A429" t="s">
        <v>662</v>
      </c>
    </row>
    <row r="430" spans="1:4">
      <c r="B430" t="s">
        <v>672</v>
      </c>
      <c r="C430" t="s">
        <v>673</v>
      </c>
    </row>
    <row r="431" spans="1:4">
      <c r="B431" t="s">
        <v>674</v>
      </c>
      <c r="C431" t="s">
        <v>675</v>
      </c>
      <c r="D431" t="e">
        <f>E_CURRENCY_EQTY_200019506_REP</f>
        <v>#NAME?</v>
      </c>
    </row>
    <row r="432" spans="1:4">
      <c r="A432" t="s">
        <v>676</v>
      </c>
    </row>
    <row r="433" spans="1:4">
      <c r="B433" t="s">
        <v>727</v>
      </c>
      <c r="C433" t="s">
        <v>728</v>
      </c>
      <c r="D433" t="e">
        <f>E_CURRENCY_EQTY_200019506_REP</f>
        <v>#NAME?</v>
      </c>
    </row>
    <row r="434" spans="1:4">
      <c r="A434" t="s">
        <v>729</v>
      </c>
    </row>
    <row r="435" spans="1:4">
      <c r="B435" t="s">
        <v>206</v>
      </c>
      <c r="C435" t="s">
        <v>281</v>
      </c>
      <c r="D435" t="e">
        <f>E_CURRENCY_EQTY_200019506_REP</f>
        <v>#NAME?</v>
      </c>
    </row>
    <row r="436" spans="1:4">
      <c r="B436" t="s">
        <v>759</v>
      </c>
      <c r="C436" t="s">
        <v>760</v>
      </c>
      <c r="D436" t="e">
        <f>E_CURRENCY_EQTY_200019506_REP</f>
        <v>#NAME?</v>
      </c>
    </row>
    <row r="437" spans="1:4">
      <c r="A437" t="s">
        <v>783</v>
      </c>
    </row>
    <row r="438" spans="1:4">
      <c r="B438" t="s">
        <v>588</v>
      </c>
      <c r="C438" t="s">
        <v>784</v>
      </c>
      <c r="D438" t="e">
        <f>E_CURRENCY_EQTY_200019506_REP</f>
        <v>#NAME?</v>
      </c>
    </row>
    <row r="439" spans="1:4">
      <c r="A439" t="s">
        <v>815</v>
      </c>
    </row>
    <row r="440" spans="1:4">
      <c r="B440" t="s">
        <v>818</v>
      </c>
      <c r="C440" t="s">
        <v>819</v>
      </c>
      <c r="D440" t="e">
        <f>E_CURRENCY_EQTY_200019506_REP</f>
        <v>#NAME?</v>
      </c>
    </row>
    <row r="441" spans="1:4">
      <c r="A441" t="s">
        <v>822</v>
      </c>
    </row>
    <row r="442" spans="1:4">
      <c r="B442" t="s">
        <v>257</v>
      </c>
      <c r="C442" t="s">
        <v>518</v>
      </c>
      <c r="D442" t="e">
        <f>E_CURRENCY_EQTY_200019506_REP</f>
        <v>#NAME?</v>
      </c>
    </row>
    <row r="443" spans="1:4">
      <c r="A443" t="s">
        <v>6</v>
      </c>
    </row>
    <row r="444" spans="1:4">
      <c r="B444" t="s">
        <v>354</v>
      </c>
      <c r="C444" t="s">
        <v>9</v>
      </c>
    </row>
    <row r="445" spans="1:4">
      <c r="B445" t="s">
        <v>10</v>
      </c>
      <c r="C445" t="s">
        <v>11</v>
      </c>
    </row>
    <row r="446" spans="1:4">
      <c r="B446" t="s">
        <v>157</v>
      </c>
      <c r="C446" t="s">
        <v>12</v>
      </c>
    </row>
    <row r="447" spans="1:4">
      <c r="A447" t="s">
        <v>13</v>
      </c>
    </row>
    <row r="448" spans="1:4">
      <c r="B448" t="s">
        <v>208</v>
      </c>
      <c r="C448" t="s">
        <v>15</v>
      </c>
      <c r="D448" t="e">
        <f>E_CURRENCY_EQTY_200019506_REP</f>
        <v>#NAME?</v>
      </c>
    </row>
    <row r="449" spans="2:4">
      <c r="B449" t="s">
        <v>21</v>
      </c>
      <c r="C449" t="s">
        <v>22</v>
      </c>
    </row>
    <row r="450" spans="2:4">
      <c r="B450" t="s">
        <v>343</v>
      </c>
      <c r="C450" t="s">
        <v>27</v>
      </c>
    </row>
    <row r="451" spans="2:4">
      <c r="B451" t="s">
        <v>355</v>
      </c>
      <c r="C451" t="s">
        <v>28</v>
      </c>
      <c r="D451" t="e">
        <f>E_CURRENCY_EQTY_200019506_REP</f>
        <v>#NAME?</v>
      </c>
    </row>
    <row r="452" spans="2:4">
      <c r="B452" t="s">
        <v>344</v>
      </c>
      <c r="C452" t="s">
        <v>352</v>
      </c>
      <c r="D452" t="e">
        <f>E_CURRENCY_EQTY_200019506_REP</f>
        <v>#NAME?</v>
      </c>
    </row>
    <row r="453" spans="2:4">
      <c r="B453" t="s">
        <v>347</v>
      </c>
      <c r="C453" t="s">
        <v>32</v>
      </c>
    </row>
  </sheetData>
  <pageMargins left="0.7" right="0.7" top="0.75" bottom="0.75" header="0.3" footer="0.3"/>
  <customProperties>
    <customPr name="Exchange.ContributionType" r:id="rId1"/>
    <customPr name="Exchange.CreationEntityId" r:id="rId2"/>
    <customPr name="Exchange.CreationEntityIdType" r:id="rId3"/>
    <customPr name="Exchange.CreationEntityType" r:id="rId4"/>
    <customPr name="Exchange.ExchangeSheetId" r:id="rId5"/>
    <customPr name="Exchange.SheetType" r:id="rId6"/>
    <customPr name="Qube.Worksheet.Visibility" r:id="rId7"/>
    <customPr name="QXL_SHEET_ID" r:id="rId8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pageSetUpPr autoPageBreaks="0"/>
  </sheetPr>
  <dimension ref="A1:AU346"/>
  <sheetViews>
    <sheetView showGridLines="0" zoomScale="85" zoomScaleNormal="85" workbookViewId="0">
      <pane xSplit="3" ySplit="2" topLeftCell="X3" activePane="bottomRight" state="frozen"/>
      <selection pane="topRight" activeCell="D1" sqref="D1"/>
      <selection pane="bottomLeft" activeCell="A3" sqref="A3"/>
      <selection pane="bottomRight"/>
    </sheetView>
  </sheetViews>
  <sheetFormatPr defaultColWidth="10.28515625" defaultRowHeight="12.75" outlineLevelRow="1" outlineLevelCol="1"/>
  <cols>
    <col min="1" max="1" width="5" style="217" customWidth="1"/>
    <col min="2" max="2" width="45.7109375" style="1" customWidth="1"/>
    <col min="3" max="3" width="10.7109375" style="25" customWidth="1"/>
    <col min="4" max="9" width="10.7109375" style="1" hidden="1" customWidth="1" outlineLevel="1"/>
    <col min="10" max="10" width="10.7109375" style="1" hidden="1" customWidth="1" outlineLevel="1" collapsed="1"/>
    <col min="11" max="11" width="10.7109375" style="1" hidden="1" customWidth="1" outlineLevel="1"/>
    <col min="12" max="12" width="10.7109375" style="1" hidden="1" customWidth="1" outlineLevel="1" collapsed="1"/>
    <col min="13" max="17" width="10.7109375" style="1" hidden="1" customWidth="1" outlineLevel="1"/>
    <col min="18" max="18" width="11.28515625" style="1" hidden="1" customWidth="1" outlineLevel="1"/>
    <col min="19" max="23" width="10.7109375" style="1" hidden="1" customWidth="1" outlineLevel="1"/>
    <col min="24" max="24" width="10.7109375" style="1" customWidth="1" collapsed="1"/>
    <col min="25" max="26" width="10.7109375" style="1" hidden="1" customWidth="1" outlineLevel="1"/>
    <col min="27" max="27" width="10.7109375" style="1" customWidth="1" collapsed="1"/>
    <col min="28" max="29" width="10.7109375" style="1" hidden="1" customWidth="1" outlineLevel="1"/>
    <col min="30" max="30" width="10.7109375" style="1" customWidth="1" collapsed="1"/>
    <col min="31" max="31" width="10.7109375" style="19" hidden="1" customWidth="1" outlineLevel="1"/>
    <col min="32" max="32" width="10.7109375" style="1" hidden="1" customWidth="1" outlineLevel="1"/>
    <col min="33" max="33" width="10.7109375" style="1" customWidth="1" collapsed="1"/>
    <col min="34" max="34" width="10.7109375" style="19" hidden="1" customWidth="1" outlineLevel="1"/>
    <col min="35" max="35" width="10.7109375" style="1" hidden="1" customWidth="1" outlineLevel="1"/>
    <col min="36" max="36" width="10.7109375" style="1" customWidth="1" collapsed="1"/>
    <col min="37" max="38" width="10.7109375" style="1" customWidth="1" outlineLevel="1"/>
    <col min="39" max="39" width="10.7109375" style="1" customWidth="1"/>
    <col min="40" max="41" width="10.7109375" style="1" customWidth="1" outlineLevel="1"/>
    <col min="42" max="42" width="10.7109375" style="1" customWidth="1"/>
    <col min="43" max="44" width="10.7109375" style="1" customWidth="1" outlineLevel="1"/>
    <col min="45" max="45" width="10.7109375" style="1" customWidth="1"/>
    <col min="46" max="47" width="10.7109375" style="1" customWidth="1" outlineLevel="1"/>
    <col min="48" max="16384" width="10.28515625" style="1"/>
  </cols>
  <sheetData>
    <row r="1" spans="1:47" s="48" customFormat="1" ht="30" customHeight="1">
      <c r="A1" s="217"/>
      <c r="B1" s="46" t="s">
        <v>1150</v>
      </c>
      <c r="C1" s="46"/>
      <c r="D1" s="220" t="s">
        <v>104</v>
      </c>
      <c r="E1" s="220" t="s">
        <v>104</v>
      </c>
      <c r="F1" s="278" t="s">
        <v>104</v>
      </c>
      <c r="G1" s="278" t="s">
        <v>104</v>
      </c>
      <c r="H1" s="220" t="s">
        <v>104</v>
      </c>
      <c r="I1" s="278" t="s">
        <v>104</v>
      </c>
      <c r="J1" s="278" t="s">
        <v>104</v>
      </c>
      <c r="K1" s="220" t="s">
        <v>104</v>
      </c>
      <c r="L1" s="278" t="s">
        <v>104</v>
      </c>
      <c r="M1" s="278" t="s">
        <v>104</v>
      </c>
      <c r="N1" s="220" t="s">
        <v>104</v>
      </c>
      <c r="O1" s="278" t="s">
        <v>104</v>
      </c>
      <c r="P1" s="278" t="s">
        <v>104</v>
      </c>
      <c r="Q1" s="220" t="s">
        <v>104</v>
      </c>
      <c r="R1" s="278" t="s">
        <v>104</v>
      </c>
      <c r="S1" s="278" t="s">
        <v>104</v>
      </c>
      <c r="T1" s="220" t="s">
        <v>104</v>
      </c>
      <c r="U1" s="432" t="s">
        <v>104</v>
      </c>
      <c r="V1" s="432" t="s">
        <v>104</v>
      </c>
      <c r="W1" s="433" t="s">
        <v>104</v>
      </c>
      <c r="X1" s="432" t="s">
        <v>104</v>
      </c>
      <c r="Y1" s="432" t="s">
        <v>104</v>
      </c>
      <c r="Z1" s="220" t="s">
        <v>104</v>
      </c>
      <c r="AA1" s="278" t="s">
        <v>104</v>
      </c>
      <c r="AB1" s="278" t="s">
        <v>104</v>
      </c>
      <c r="AC1" s="220" t="s">
        <v>104</v>
      </c>
      <c r="AD1" s="278" t="s">
        <v>104</v>
      </c>
      <c r="AE1" s="369" t="s">
        <v>104</v>
      </c>
      <c r="AF1" s="220" t="s">
        <v>104</v>
      </c>
      <c r="AG1" s="278" t="s">
        <v>104</v>
      </c>
      <c r="AH1" s="369" t="s">
        <v>104</v>
      </c>
      <c r="AI1" s="220" t="s">
        <v>104</v>
      </c>
      <c r="AJ1" s="278" t="s">
        <v>104</v>
      </c>
      <c r="AK1" s="369" t="s">
        <v>104</v>
      </c>
      <c r="AL1" s="220" t="s">
        <v>104</v>
      </c>
      <c r="AM1" s="278" t="s">
        <v>104</v>
      </c>
      <c r="AN1" s="369" t="s">
        <v>104</v>
      </c>
      <c r="AO1" s="220" t="s">
        <v>104</v>
      </c>
      <c r="AP1" s="278" t="s">
        <v>104</v>
      </c>
      <c r="AQ1" s="406" t="s">
        <v>105</v>
      </c>
      <c r="AR1" s="405" t="s">
        <v>105</v>
      </c>
      <c r="AS1" s="406" t="s">
        <v>105</v>
      </c>
      <c r="AT1" s="406" t="s">
        <v>105</v>
      </c>
      <c r="AU1" s="406" t="s">
        <v>105</v>
      </c>
    </row>
    <row r="2" spans="1:47">
      <c r="B2" s="249" t="s">
        <v>1127</v>
      </c>
      <c r="C2" s="235" t="s">
        <v>1103</v>
      </c>
      <c r="D2" s="43" t="s">
        <v>449</v>
      </c>
      <c r="E2" s="43" t="s">
        <v>448</v>
      </c>
      <c r="F2" s="279">
        <v>2012</v>
      </c>
      <c r="G2" s="323" t="s">
        <v>449</v>
      </c>
      <c r="H2" s="43" t="s">
        <v>448</v>
      </c>
      <c r="I2" s="279">
        <v>2013</v>
      </c>
      <c r="J2" s="323" t="s">
        <v>449</v>
      </c>
      <c r="K2" s="43" t="s">
        <v>448</v>
      </c>
      <c r="L2" s="279">
        <v>2014</v>
      </c>
      <c r="M2" s="323" t="str">
        <f>"1H"&amp;RIGHT(O2,2)</f>
        <v>1H15</v>
      </c>
      <c r="N2" s="197" t="str">
        <f>"2H"&amp;RIGHT(O2,2)</f>
        <v>2H15</v>
      </c>
      <c r="O2" s="279">
        <v>2015</v>
      </c>
      <c r="P2" s="323" t="str">
        <f>"1H"&amp;RIGHT(R2,2)</f>
        <v>1H16</v>
      </c>
      <c r="Q2" s="197" t="str">
        <f>"2H"&amp;RIGHT(R2,2)</f>
        <v>2H16</v>
      </c>
      <c r="R2" s="279">
        <v>2016</v>
      </c>
      <c r="S2" s="323" t="str">
        <f>"1H"&amp;RIGHT(U2,2)</f>
        <v>1H17</v>
      </c>
      <c r="T2" s="197" t="str">
        <f>"2H"&amp;RIGHT(U2,2)</f>
        <v>2H17</v>
      </c>
      <c r="U2" s="279">
        <v>2017</v>
      </c>
      <c r="V2" s="323" t="str">
        <f>"1H"&amp;RIGHT(X2,2)</f>
        <v>1H18</v>
      </c>
      <c r="W2" s="197" t="str">
        <f>"2H"&amp;RIGHT(X2,2)</f>
        <v>2H18</v>
      </c>
      <c r="X2" s="279">
        <v>2018</v>
      </c>
      <c r="Y2" s="323" t="str">
        <f>"1H"&amp;RIGHT(AA2,2)</f>
        <v>1H19</v>
      </c>
      <c r="Z2" s="197" t="str">
        <f>"2H"&amp;RIGHT(AA2,2)</f>
        <v>2H19</v>
      </c>
      <c r="AA2" s="279">
        <v>2019</v>
      </c>
      <c r="AB2" s="323" t="str">
        <f>"1H"&amp;RIGHT(AD2,2)</f>
        <v>1H20</v>
      </c>
      <c r="AC2" s="197" t="str">
        <f>"2H"&amp;RIGHT(AD2,2)</f>
        <v>2H20</v>
      </c>
      <c r="AD2" s="279">
        <v>2020</v>
      </c>
      <c r="AE2" s="352" t="s">
        <v>1043</v>
      </c>
      <c r="AF2" s="197" t="s">
        <v>1138</v>
      </c>
      <c r="AG2" s="279">
        <v>2021</v>
      </c>
      <c r="AH2" s="352" t="s">
        <v>1117</v>
      </c>
      <c r="AI2" s="197" t="s">
        <v>1118</v>
      </c>
      <c r="AJ2" s="279">
        <v>2022</v>
      </c>
      <c r="AK2" s="362" t="s">
        <v>1198</v>
      </c>
      <c r="AL2" s="197" t="s">
        <v>1208</v>
      </c>
      <c r="AM2" s="279">
        <v>2023</v>
      </c>
      <c r="AN2" s="362" t="s">
        <v>2054</v>
      </c>
      <c r="AO2" s="197" t="s">
        <v>2057</v>
      </c>
      <c r="AP2" s="279">
        <v>2024</v>
      </c>
      <c r="AQ2" s="362" t="s">
        <v>1221</v>
      </c>
      <c r="AR2" s="197" t="s">
        <v>1222</v>
      </c>
      <c r="AS2" s="279" t="s">
        <v>897</v>
      </c>
      <c r="AT2" s="279" t="s">
        <v>898</v>
      </c>
      <c r="AU2" s="279" t="s">
        <v>899</v>
      </c>
    </row>
    <row r="3" spans="1:47" s="54" customFormat="1">
      <c r="A3" s="217"/>
      <c r="B3" s="200" t="s">
        <v>295</v>
      </c>
      <c r="C3" s="231"/>
      <c r="D3" s="201"/>
      <c r="E3" s="201"/>
      <c r="F3" s="280"/>
      <c r="G3" s="280"/>
      <c r="H3" s="201"/>
      <c r="I3" s="280"/>
      <c r="J3" s="280"/>
      <c r="K3" s="201"/>
      <c r="L3" s="280"/>
      <c r="M3" s="280"/>
      <c r="N3" s="201"/>
      <c r="O3" s="280"/>
      <c r="P3" s="280"/>
      <c r="Q3" s="201"/>
      <c r="R3" s="280"/>
      <c r="S3" s="280"/>
      <c r="T3" s="201"/>
      <c r="U3" s="280"/>
      <c r="V3" s="280"/>
      <c r="W3" s="201"/>
      <c r="X3" s="280"/>
      <c r="Y3" s="280"/>
      <c r="Z3" s="201"/>
      <c r="AA3" s="280"/>
      <c r="AB3" s="280"/>
      <c r="AC3" s="201"/>
      <c r="AD3" s="280"/>
      <c r="AE3" s="353"/>
      <c r="AF3" s="201"/>
      <c r="AG3" s="280"/>
      <c r="AH3" s="353"/>
      <c r="AI3" s="201"/>
      <c r="AJ3" s="280"/>
      <c r="AK3" s="280"/>
      <c r="AL3" s="201"/>
      <c r="AM3" s="280"/>
      <c r="AN3" s="280"/>
      <c r="AO3" s="201"/>
      <c r="AP3" s="280"/>
      <c r="AQ3" s="280"/>
      <c r="AR3" s="201"/>
      <c r="AS3" s="280"/>
      <c r="AT3" s="280"/>
      <c r="AU3" s="280"/>
    </row>
    <row r="4" spans="1:47">
      <c r="B4" s="226" t="s">
        <v>366</v>
      </c>
      <c r="C4" s="244"/>
      <c r="D4" s="53"/>
      <c r="E4" s="18"/>
      <c r="F4" s="281"/>
      <c r="G4" s="324"/>
      <c r="H4" s="18"/>
      <c r="I4" s="281"/>
      <c r="J4" s="324"/>
      <c r="K4" s="18"/>
      <c r="L4" s="281"/>
      <c r="M4" s="324"/>
      <c r="N4" s="18"/>
      <c r="O4" s="281"/>
      <c r="P4" s="324"/>
      <c r="Q4" s="18"/>
      <c r="R4" s="281"/>
      <c r="S4" s="324"/>
      <c r="T4" s="18"/>
      <c r="U4" s="281"/>
      <c r="V4" s="324"/>
      <c r="W4" s="18"/>
      <c r="X4" s="281"/>
      <c r="Y4" s="324"/>
      <c r="Z4" s="18"/>
      <c r="AA4" s="281"/>
      <c r="AB4" s="324"/>
      <c r="AC4" s="18"/>
      <c r="AD4" s="281"/>
      <c r="AE4" s="281"/>
      <c r="AF4" s="18"/>
      <c r="AG4" s="281"/>
      <c r="AH4" s="281"/>
      <c r="AI4" s="18"/>
      <c r="AJ4" s="281"/>
      <c r="AK4" s="281"/>
      <c r="AL4" s="18"/>
      <c r="AM4" s="281"/>
      <c r="AN4" s="281"/>
      <c r="AO4" s="18"/>
      <c r="AP4" s="281"/>
      <c r="AQ4" s="281"/>
      <c r="AR4" s="18"/>
      <c r="AS4" s="281"/>
      <c r="AT4" s="281"/>
      <c r="AU4" s="281"/>
    </row>
    <row r="5" spans="1:47">
      <c r="B5" s="222" t="str">
        <f>+'REVENUE + GM'!B64</f>
        <v>Content &amp; Processes</v>
      </c>
      <c r="C5" s="245"/>
      <c r="D5" s="42"/>
      <c r="E5" s="42"/>
      <c r="F5" s="282"/>
      <c r="G5" s="282"/>
      <c r="H5" s="42"/>
      <c r="I5" s="282"/>
      <c r="J5" s="282"/>
      <c r="K5" s="219"/>
      <c r="L5" s="329">
        <f>'REVENUE + GM'!D64</f>
        <v>48.581000000000003</v>
      </c>
      <c r="M5" s="329">
        <f>'REVENUE + GM'!E64</f>
        <v>24.001999999999999</v>
      </c>
      <c r="N5" s="219">
        <f>'REVENUE + GM'!F64</f>
        <v>26.004999999999999</v>
      </c>
      <c r="O5" s="329">
        <f>'REVENUE + GM'!G64</f>
        <v>50.006999999999998</v>
      </c>
      <c r="P5" s="329">
        <f>'REVENUE + GM'!H64</f>
        <v>22.5</v>
      </c>
      <c r="Q5" s="219">
        <f>'REVENUE + GM'!I64</f>
        <v>26.184999999999995</v>
      </c>
      <c r="R5" s="329">
        <f>'REVENUE + GM'!J64</f>
        <v>48.684999999999995</v>
      </c>
      <c r="S5" s="329">
        <f>'REVENUE + GM'!K64</f>
        <v>28.494999999999997</v>
      </c>
      <c r="T5" s="219">
        <f>'REVENUE + GM'!L64</f>
        <v>30.878</v>
      </c>
      <c r="U5" s="329">
        <f>'REVENUE + GM'!M64</f>
        <v>59.372999999999998</v>
      </c>
      <c r="V5" s="329">
        <f>'REVENUE + GM'!N64</f>
        <v>31.914999999999999</v>
      </c>
      <c r="W5" s="219">
        <f>'REVENUE + GM'!O64</f>
        <v>28.222000000000001</v>
      </c>
      <c r="X5" s="329">
        <f>'REVENUE + GM'!P64</f>
        <v>60.137</v>
      </c>
      <c r="Y5" s="329">
        <f>'REVENUE + GM'!Q64</f>
        <v>27.474000000000004</v>
      </c>
      <c r="Z5" s="219">
        <f>'REVENUE + GM'!R64</f>
        <v>30.685999999999993</v>
      </c>
      <c r="AA5" s="329">
        <f>'REVENUE + GM'!S64</f>
        <v>58.16</v>
      </c>
      <c r="AB5" s="329">
        <f>'REVENUE + GM'!T64</f>
        <v>29.484999999999999</v>
      </c>
      <c r="AC5" s="219">
        <f>'REVENUE + GM'!U64</f>
        <v>32.058</v>
      </c>
      <c r="AD5" s="329">
        <f>'REVENUE + GM'!V64</f>
        <v>61.542999999999999</v>
      </c>
      <c r="AE5" s="329">
        <f>'REVENUE + GM'!W64</f>
        <v>33.435000000000002</v>
      </c>
      <c r="AF5" s="219">
        <f>'REVENUE + GM'!X64</f>
        <v>35.480999999999995</v>
      </c>
      <c r="AG5" s="329">
        <f>'REVENUE + GM'!Y64</f>
        <v>68.915999999999997</v>
      </c>
      <c r="AH5" s="329">
        <f>'REVENUE + GM'!Z64</f>
        <v>36.667000000000002</v>
      </c>
      <c r="AI5" s="219">
        <f>'REVENUE + GM'!AA64</f>
        <v>37.552999999999997</v>
      </c>
      <c r="AJ5" s="329">
        <f>'REVENUE + GM'!AB64</f>
        <v>74.22</v>
      </c>
      <c r="AK5" s="329">
        <f>'REVENUE + GM'!AC64</f>
        <v>38.082000000000001</v>
      </c>
      <c r="AL5" s="219">
        <f>'REVENUE + GM'!AD64</f>
        <v>38.017999999999994</v>
      </c>
      <c r="AM5" s="329">
        <f>'REVENUE + GM'!AE64</f>
        <v>76.099999999999994</v>
      </c>
      <c r="AN5" s="329">
        <f>'REVENUE + GM'!AF64</f>
        <v>39.506999999999998</v>
      </c>
      <c r="AO5" s="219">
        <f>'REVENUE + GM'!AG64</f>
        <v>40.776000000000003</v>
      </c>
      <c r="AP5" s="329">
        <f>'REVENUE + GM'!AH64</f>
        <v>80.283000000000001</v>
      </c>
      <c r="AQ5" s="329">
        <f>'REVENUE + GM'!AI64</f>
        <v>43.133976048407646</v>
      </c>
      <c r="AR5" s="219">
        <f>'REVENUE + GM'!AJ64</f>
        <v>44.894546499363059</v>
      </c>
      <c r="AS5" s="329">
        <f>'REVENUE + GM'!AK64</f>
        <v>88.028522547770706</v>
      </c>
      <c r="AT5" s="329">
        <f>'REVENUE + GM'!AL64</f>
        <v>95.153167347770719</v>
      </c>
      <c r="AU5" s="329">
        <f>'REVENUE + GM'!AM64</f>
        <v>102.91903017977073</v>
      </c>
    </row>
    <row r="6" spans="1:47">
      <c r="B6" s="222" t="str">
        <f>+'REVENUE + GM'!B65</f>
        <v>RegTech</v>
      </c>
      <c r="C6" s="246"/>
      <c r="D6" s="42"/>
      <c r="E6" s="42"/>
      <c r="F6" s="282"/>
      <c r="G6" s="282"/>
      <c r="H6" s="42"/>
      <c r="I6" s="282"/>
      <c r="J6" s="282"/>
      <c r="K6" s="219"/>
      <c r="L6" s="329">
        <f>'REVENUE + GM'!D65</f>
        <v>0</v>
      </c>
      <c r="M6" s="329">
        <f>'REVENUE + GM'!E65</f>
        <v>0</v>
      </c>
      <c r="N6" s="219">
        <f>'REVENUE + GM'!F65</f>
        <v>0</v>
      </c>
      <c r="O6" s="329">
        <f>'REVENUE + GM'!G65</f>
        <v>0</v>
      </c>
      <c r="P6" s="329">
        <f>'REVENUE + GM'!H65</f>
        <v>0</v>
      </c>
      <c r="Q6" s="219">
        <f>'REVENUE + GM'!I65</f>
        <v>0</v>
      </c>
      <c r="R6" s="329">
        <f>'REVENUE + GM'!J65</f>
        <v>0</v>
      </c>
      <c r="S6" s="329">
        <f>'REVENUE + GM'!K65</f>
        <v>0</v>
      </c>
      <c r="T6" s="219">
        <f>'REVENUE + GM'!L65</f>
        <v>0</v>
      </c>
      <c r="U6" s="329">
        <f>'REVENUE + GM'!M65</f>
        <v>0</v>
      </c>
      <c r="V6" s="329">
        <f>'REVENUE + GM'!N65</f>
        <v>0</v>
      </c>
      <c r="W6" s="219">
        <f>'REVENUE + GM'!O65</f>
        <v>0</v>
      </c>
      <c r="X6" s="329">
        <f>'REVENUE + GM'!P65</f>
        <v>0</v>
      </c>
      <c r="Y6" s="329">
        <f>'REVENUE + GM'!Q65</f>
        <v>0</v>
      </c>
      <c r="Z6" s="219">
        <f>'REVENUE + GM'!R65</f>
        <v>0</v>
      </c>
      <c r="AA6" s="329">
        <f>'REVENUE + GM'!S65</f>
        <v>0</v>
      </c>
      <c r="AB6" s="329">
        <f>'REVENUE + GM'!T65</f>
        <v>0</v>
      </c>
      <c r="AC6" s="219">
        <f>'REVENUE + GM'!U65</f>
        <v>0</v>
      </c>
      <c r="AD6" s="329">
        <f>'REVENUE + GM'!V65</f>
        <v>0</v>
      </c>
      <c r="AE6" s="329">
        <f>'REVENUE + GM'!W65</f>
        <v>7.6459999999999999</v>
      </c>
      <c r="AF6" s="219">
        <f>'REVENUE + GM'!X65</f>
        <v>7.6060000000000008</v>
      </c>
      <c r="AG6" s="329">
        <f>'REVENUE + GM'!Y65</f>
        <v>15.252000000000001</v>
      </c>
      <c r="AH6" s="329">
        <f>'REVENUE + GM'!Z65</f>
        <v>9.89</v>
      </c>
      <c r="AI6" s="219">
        <f>'REVENUE + GM'!AA65</f>
        <v>10.477</v>
      </c>
      <c r="AJ6" s="329">
        <f>'REVENUE + GM'!AB65</f>
        <v>20.367000000000001</v>
      </c>
      <c r="AK6" s="329">
        <f>'REVENUE + GM'!AC65</f>
        <v>10.369</v>
      </c>
      <c r="AL6" s="219">
        <f>'REVENUE + GM'!AD65</f>
        <v>10.731000000000002</v>
      </c>
      <c r="AM6" s="329">
        <f>'REVENUE + GM'!AE65</f>
        <v>21.1</v>
      </c>
      <c r="AN6" s="329">
        <f>'REVENUE + GM'!AF65</f>
        <v>10.77</v>
      </c>
      <c r="AO6" s="219">
        <f>'REVENUE + GM'!AG65</f>
        <v>11.448</v>
      </c>
      <c r="AP6" s="329">
        <f>'REVENUE + GM'!AH65</f>
        <v>22.218</v>
      </c>
      <c r="AQ6" s="329">
        <f>'REVENUE + GM'!AI65</f>
        <v>11.766950399999999</v>
      </c>
      <c r="AR6" s="219">
        <f>'REVENUE + GM'!AJ65</f>
        <v>12.7475296</v>
      </c>
      <c r="AS6" s="329">
        <f>'REVENUE + GM'!AK65</f>
        <v>24.514479999999999</v>
      </c>
      <c r="AT6" s="329">
        <f>'REVENUE + GM'!AL65</f>
        <v>29.018824000000002</v>
      </c>
      <c r="AU6" s="329">
        <f>'REVENUE + GM'!AM65</f>
        <v>33.898530000000001</v>
      </c>
    </row>
    <row r="7" spans="1:47">
      <c r="B7" s="222" t="str">
        <f>+'REVENUE + GM'!B66</f>
        <v>Planning &amp; Building</v>
      </c>
      <c r="C7" s="246"/>
      <c r="D7" s="42"/>
      <c r="E7" s="42"/>
      <c r="F7" s="282"/>
      <c r="G7" s="282"/>
      <c r="H7" s="42"/>
      <c r="I7" s="282"/>
      <c r="J7" s="282"/>
      <c r="K7" s="219"/>
      <c r="L7" s="329">
        <f>'REVENUE + GM'!D66</f>
        <v>0</v>
      </c>
      <c r="M7" s="329">
        <f>'REVENUE + GM'!E66</f>
        <v>0</v>
      </c>
      <c r="N7" s="219">
        <f>'REVENUE + GM'!F66</f>
        <v>0</v>
      </c>
      <c r="O7" s="329">
        <f>'REVENUE + GM'!G66</f>
        <v>0</v>
      </c>
      <c r="P7" s="329">
        <f>'REVENUE + GM'!H66</f>
        <v>0</v>
      </c>
      <c r="Q7" s="219">
        <f>'REVENUE + GM'!I66</f>
        <v>0.97</v>
      </c>
      <c r="R7" s="329">
        <f>'REVENUE + GM'!J66</f>
        <v>0.97</v>
      </c>
      <c r="S7" s="329">
        <f>'REVENUE + GM'!K66</f>
        <v>1.593</v>
      </c>
      <c r="T7" s="219">
        <f>'REVENUE + GM'!L66</f>
        <v>1.2890000000000001</v>
      </c>
      <c r="U7" s="329">
        <f>'REVENUE + GM'!M66</f>
        <v>2.8820000000000001</v>
      </c>
      <c r="V7" s="329">
        <f>'REVENUE + GM'!N66</f>
        <v>1.2030000000000001</v>
      </c>
      <c r="W7" s="219">
        <f>'REVENUE + GM'!O66</f>
        <v>1.236</v>
      </c>
      <c r="X7" s="329">
        <f>'REVENUE + GM'!P66</f>
        <v>2.4390000000000001</v>
      </c>
      <c r="Y7" s="329">
        <f>'REVENUE + GM'!Q66</f>
        <v>1.415</v>
      </c>
      <c r="Z7" s="219">
        <f>'REVENUE + GM'!R66</f>
        <v>1.972</v>
      </c>
      <c r="AA7" s="329">
        <f>'REVENUE + GM'!S66</f>
        <v>3.387</v>
      </c>
      <c r="AB7" s="329">
        <f>'REVENUE + GM'!T66</f>
        <v>3.4889999999999999</v>
      </c>
      <c r="AC7" s="219">
        <f>'REVENUE + GM'!U66</f>
        <v>4.5979999999999999</v>
      </c>
      <c r="AD7" s="329">
        <f>'REVENUE + GM'!V66</f>
        <v>8.0869999999999997</v>
      </c>
      <c r="AE7" s="329">
        <f>'REVENUE + GM'!W66</f>
        <v>5.2629999999999999</v>
      </c>
      <c r="AF7" s="219">
        <f>'REVENUE + GM'!X66</f>
        <v>5.484</v>
      </c>
      <c r="AG7" s="329">
        <f>'REVENUE + GM'!Y66</f>
        <v>10.747</v>
      </c>
      <c r="AH7" s="329">
        <f>'REVENUE + GM'!Z66</f>
        <v>6.1189999999999998</v>
      </c>
      <c r="AI7" s="219">
        <f>'REVENUE + GM'!AA66</f>
        <v>5.66</v>
      </c>
      <c r="AJ7" s="329">
        <f>'REVENUE + GM'!AB66</f>
        <v>11.779</v>
      </c>
      <c r="AK7" s="329">
        <f>'REVENUE + GM'!AC66</f>
        <v>5.9260000000000002</v>
      </c>
      <c r="AL7" s="219">
        <f>'REVENUE + GM'!AD66</f>
        <v>5.7739999999999991</v>
      </c>
      <c r="AM7" s="329">
        <f>'REVENUE + GM'!AE66</f>
        <v>11.7</v>
      </c>
      <c r="AN7" s="329">
        <f>'REVENUE + GM'!AF66</f>
        <v>6.1449999999999996</v>
      </c>
      <c r="AO7" s="219">
        <f>'REVENUE + GM'!AG66</f>
        <v>6.1580000000000013</v>
      </c>
      <c r="AP7" s="586">
        <f>'REVENUE + GM'!AH66</f>
        <v>12.303000000000001</v>
      </c>
      <c r="AQ7" s="329">
        <f>'REVENUE + GM'!AI66</f>
        <v>6.8126263031847145</v>
      </c>
      <c r="AR7" s="219">
        <f>'REVENUE + GM'!AJ66</f>
        <v>7.3803451617834419</v>
      </c>
      <c r="AS7" s="329">
        <f>'REVENUE + GM'!AK66</f>
        <v>14.192971464968156</v>
      </c>
      <c r="AT7" s="329">
        <f>'REVENUE + GM'!AL66</f>
        <v>17.096443464968154</v>
      </c>
      <c r="AU7" s="329">
        <f>'REVENUE + GM'!AM66</f>
        <v>20.145089064968154</v>
      </c>
    </row>
    <row r="8" spans="1:47">
      <c r="B8" s="222" t="str">
        <f>+'REVENUE + GM'!B67</f>
        <v>Other revenue</v>
      </c>
      <c r="C8" s="246"/>
      <c r="D8" s="42"/>
      <c r="E8" s="42"/>
      <c r="F8" s="282"/>
      <c r="G8" s="282"/>
      <c r="H8" s="42"/>
      <c r="I8" s="282"/>
      <c r="J8" s="282"/>
      <c r="K8" s="219"/>
      <c r="L8" s="329">
        <f>'REVENUE + GM'!D67</f>
        <v>0</v>
      </c>
      <c r="M8" s="329">
        <f>'REVENUE + GM'!E67</f>
        <v>0</v>
      </c>
      <c r="N8" s="219">
        <f>'REVENUE + GM'!F67</f>
        <v>0</v>
      </c>
      <c r="O8" s="329">
        <f>'REVENUE + GM'!G67</f>
        <v>0</v>
      </c>
      <c r="P8" s="329">
        <f>'REVENUE + GM'!H67</f>
        <v>0.28500000000000014</v>
      </c>
      <c r="Q8" s="219">
        <f>'REVENUE + GM'!I67</f>
        <v>0.21000000000000441</v>
      </c>
      <c r="R8" s="329">
        <f>'REVENUE + GM'!J67</f>
        <v>0.49500000000000455</v>
      </c>
      <c r="S8" s="329">
        <f>'REVENUE + GM'!K67</f>
        <v>0.16700000000000159</v>
      </c>
      <c r="T8" s="219">
        <f>'REVENUE + GM'!L67</f>
        <v>0.1769999999999925</v>
      </c>
      <c r="U8" s="329">
        <f>'REVENUE + GM'!M67</f>
        <v>0.34400000000000119</v>
      </c>
      <c r="V8" s="329">
        <f>'REVENUE + GM'!N67</f>
        <v>0.21000000000000085</v>
      </c>
      <c r="W8" s="219">
        <f>'REVENUE + GM'!O67</f>
        <v>0.32399999999999451</v>
      </c>
      <c r="X8" s="329">
        <f>'REVENUE + GM'!P67</f>
        <v>0.53399999999999892</v>
      </c>
      <c r="Y8" s="329">
        <f>'REVENUE + GM'!Q67</f>
        <v>0.27699999999999747</v>
      </c>
      <c r="Z8" s="219">
        <f>'REVENUE + GM'!R67</f>
        <v>0.23600000000001131</v>
      </c>
      <c r="AA8" s="329">
        <f>'REVENUE + GM'!S67</f>
        <v>0.51300000000000523</v>
      </c>
      <c r="AB8" s="329">
        <f>'REVENUE + GM'!T67</f>
        <v>0.28300000000000125</v>
      </c>
      <c r="AC8" s="219">
        <f>'REVENUE + GM'!U67</f>
        <v>0.12700000000000955</v>
      </c>
      <c r="AD8" s="329">
        <f>'REVENUE + GM'!V67</f>
        <v>0.4100000000000108</v>
      </c>
      <c r="AE8" s="329">
        <f>'REVENUE + GM'!W67</f>
        <v>0.12100000000000222</v>
      </c>
      <c r="AF8" s="219">
        <f>'REVENUE + GM'!X67</f>
        <v>1.9999999999996021E-2</v>
      </c>
      <c r="AG8" s="329">
        <f>'REVENUE + GM'!Y67</f>
        <v>0.14100000000000534</v>
      </c>
      <c r="AH8" s="329">
        <f>'REVENUE + GM'!Z67</f>
        <v>-1.0000000000047748E-3</v>
      </c>
      <c r="AI8" s="219">
        <f>'REVENUE + GM'!AA67</f>
        <v>0.14000000000000057</v>
      </c>
      <c r="AJ8" s="329">
        <f>'REVENUE + GM'!AB67</f>
        <v>0.13899999999999579</v>
      </c>
      <c r="AK8" s="329">
        <f>'REVENUE + GM'!AC67</f>
        <v>0.65599999999999881</v>
      </c>
      <c r="AL8" s="219">
        <f>'REVENUE + GM'!AD67</f>
        <v>0.8440000000000083</v>
      </c>
      <c r="AM8" s="329">
        <f>'REVENUE + GM'!AE67</f>
        <v>1.5000000000000142</v>
      </c>
      <c r="AN8" s="329">
        <f>'REVENUE + GM'!AF67</f>
        <v>1.3610000000000042</v>
      </c>
      <c r="AO8" s="219">
        <f>'REVENUE + GM'!AG67</f>
        <v>1.3349999999999937</v>
      </c>
      <c r="AP8" s="586">
        <f>'REVENUE + GM'!AH67</f>
        <v>2.695999999999998</v>
      </c>
      <c r="AQ8" s="329">
        <f>'REVENUE + GM'!AI67</f>
        <v>0</v>
      </c>
      <c r="AR8" s="219">
        <f>'REVENUE + GM'!AJ67</f>
        <v>0</v>
      </c>
      <c r="AS8" s="329">
        <f>'REVENUE + GM'!AK67</f>
        <v>0</v>
      </c>
      <c r="AT8" s="329">
        <f>'REVENUE + GM'!AL67</f>
        <v>0</v>
      </c>
      <c r="AU8" s="329">
        <f>'REVENUE + GM'!AM67</f>
        <v>0</v>
      </c>
    </row>
    <row r="9" spans="1:47">
      <c r="A9" s="217" t="s">
        <v>1060</v>
      </c>
      <c r="B9" s="226" t="s">
        <v>364</v>
      </c>
      <c r="C9" s="247"/>
      <c r="D9" s="9"/>
      <c r="E9" s="9"/>
      <c r="F9" s="283"/>
      <c r="G9" s="283"/>
      <c r="H9" s="9"/>
      <c r="I9" s="283"/>
      <c r="J9" s="283"/>
      <c r="K9" s="9"/>
      <c r="L9" s="283">
        <f>SUM(L5:L8)</f>
        <v>48.581000000000003</v>
      </c>
      <c r="M9" s="283">
        <f t="shared" ref="M9" si="0">SUM(M5:M8)</f>
        <v>24.001999999999999</v>
      </c>
      <c r="N9" s="9">
        <f t="shared" ref="N9:AU9" si="1">SUM(N5:N8)</f>
        <v>26.004999999999999</v>
      </c>
      <c r="O9" s="283">
        <f>SUM(O5:O8)</f>
        <v>50.006999999999998</v>
      </c>
      <c r="P9" s="283">
        <f t="shared" si="1"/>
        <v>22.785</v>
      </c>
      <c r="Q9" s="9">
        <f t="shared" si="1"/>
        <v>27.364999999999998</v>
      </c>
      <c r="R9" s="283">
        <f t="shared" si="1"/>
        <v>50.15</v>
      </c>
      <c r="S9" s="283">
        <f t="shared" si="1"/>
        <v>30.254999999999999</v>
      </c>
      <c r="T9" s="9">
        <f t="shared" si="1"/>
        <v>32.343999999999994</v>
      </c>
      <c r="U9" s="283">
        <f t="shared" si="1"/>
        <v>62.598999999999997</v>
      </c>
      <c r="V9" s="283">
        <f t="shared" si="1"/>
        <v>33.328000000000003</v>
      </c>
      <c r="W9" s="9">
        <f t="shared" si="1"/>
        <v>29.781999999999996</v>
      </c>
      <c r="X9" s="283">
        <f t="shared" si="1"/>
        <v>63.11</v>
      </c>
      <c r="Y9" s="283">
        <f t="shared" si="1"/>
        <v>29.166</v>
      </c>
      <c r="Z9" s="9">
        <f t="shared" si="1"/>
        <v>32.894000000000005</v>
      </c>
      <c r="AA9" s="283">
        <f t="shared" si="1"/>
        <v>62.06</v>
      </c>
      <c r="AB9" s="283">
        <f t="shared" si="1"/>
        <v>33.256999999999998</v>
      </c>
      <c r="AC9" s="9">
        <f t="shared" si="1"/>
        <v>36.783000000000008</v>
      </c>
      <c r="AD9" s="283">
        <f t="shared" si="1"/>
        <v>70.040000000000006</v>
      </c>
      <c r="AE9" s="283">
        <f t="shared" si="1"/>
        <v>46.465000000000003</v>
      </c>
      <c r="AF9" s="9">
        <f t="shared" si="1"/>
        <v>48.590999999999994</v>
      </c>
      <c r="AG9" s="283">
        <f t="shared" si="1"/>
        <v>95.055999999999997</v>
      </c>
      <c r="AH9" s="283">
        <f t="shared" si="1"/>
        <v>52.674999999999997</v>
      </c>
      <c r="AI9" s="9">
        <f t="shared" si="1"/>
        <v>53.83</v>
      </c>
      <c r="AJ9" s="283">
        <f t="shared" si="1"/>
        <v>106.505</v>
      </c>
      <c r="AK9" s="283">
        <f t="shared" ref="AK9" si="2">SUM(AK5:AK8)</f>
        <v>55.033000000000001</v>
      </c>
      <c r="AL9" s="9">
        <f t="shared" si="1"/>
        <v>55.367000000000004</v>
      </c>
      <c r="AM9" s="283">
        <f t="shared" si="1"/>
        <v>110.4</v>
      </c>
      <c r="AN9" s="283">
        <f t="shared" ref="AN9:AO9" si="3">SUM(AN5:AN8)</f>
        <v>57.783000000000001</v>
      </c>
      <c r="AO9" s="9">
        <f t="shared" si="3"/>
        <v>59.716999999999999</v>
      </c>
      <c r="AP9" s="283">
        <f t="shared" si="1"/>
        <v>117.5</v>
      </c>
      <c r="AQ9" s="283">
        <f t="shared" si="1"/>
        <v>61.71355275159236</v>
      </c>
      <c r="AR9" s="9">
        <f t="shared" si="1"/>
        <v>65.022421261146505</v>
      </c>
      <c r="AS9" s="283">
        <f t="shared" si="1"/>
        <v>126.73597401273885</v>
      </c>
      <c r="AT9" s="283">
        <f t="shared" si="1"/>
        <v>141.26843481273889</v>
      </c>
      <c r="AU9" s="283">
        <f t="shared" si="1"/>
        <v>156.96264924473888</v>
      </c>
    </row>
    <row r="10" spans="1:47" s="100" customFormat="1">
      <c r="A10" s="217" t="s">
        <v>1062</v>
      </c>
      <c r="B10" s="250" t="s">
        <v>967</v>
      </c>
      <c r="C10" s="247"/>
      <c r="D10" s="99"/>
      <c r="E10" s="99"/>
      <c r="F10" s="284"/>
      <c r="G10" s="284"/>
      <c r="H10" s="99"/>
      <c r="I10" s="284"/>
      <c r="J10" s="284"/>
      <c r="K10" s="99"/>
      <c r="L10" s="284"/>
      <c r="M10" s="284"/>
      <c r="N10" s="99"/>
      <c r="O10" s="284">
        <f t="shared" ref="O10" si="4">+O9/L9-1</f>
        <v>2.9353039254029323E-2</v>
      </c>
      <c r="P10" s="284">
        <f t="shared" ref="P10" si="5">+P9/M9-1</f>
        <v>-5.0704107991000669E-2</v>
      </c>
      <c r="Q10" s="99">
        <f t="shared" ref="Q10" si="6">+Q9/N9-1</f>
        <v>5.2297635070178705E-2</v>
      </c>
      <c r="R10" s="284">
        <f t="shared" ref="R10:U10" si="7">+R9/O9-1</f>
        <v>2.8595996560480952E-3</v>
      </c>
      <c r="S10" s="284">
        <f t="shared" si="7"/>
        <v>0.32784726793943375</v>
      </c>
      <c r="T10" s="99">
        <f t="shared" si="7"/>
        <v>0.1819477434679333</v>
      </c>
      <c r="U10" s="284">
        <f t="shared" si="7"/>
        <v>0.24823529411764711</v>
      </c>
      <c r="V10" s="284">
        <f>+V9/S9-1</f>
        <v>0.10156998843166432</v>
      </c>
      <c r="W10" s="106">
        <f>+W9/T9-1</f>
        <v>-7.9210981944100811E-2</v>
      </c>
      <c r="X10" s="284">
        <f>+X9/U9-1</f>
        <v>8.1630696975989459E-3</v>
      </c>
      <c r="Y10" s="284">
        <f>+Y9/V9-1</f>
        <v>-0.12487998079692753</v>
      </c>
      <c r="Z10" s="106">
        <f>+Z9/W9-1</f>
        <v>0.10449264656503954</v>
      </c>
      <c r="AA10" s="284">
        <f t="shared" ref="AA10:AK10" si="8">+AA9/X9-1</f>
        <v>-1.6637616859451754E-2</v>
      </c>
      <c r="AB10" s="284">
        <f t="shared" si="8"/>
        <v>0.14026606322430224</v>
      </c>
      <c r="AC10" s="106">
        <f t="shared" si="8"/>
        <v>0.11822824831276235</v>
      </c>
      <c r="AD10" s="332">
        <f t="shared" si="8"/>
        <v>0.12858524009023542</v>
      </c>
      <c r="AE10" s="332">
        <f t="shared" si="8"/>
        <v>0.39714947229154784</v>
      </c>
      <c r="AF10" s="106">
        <f t="shared" si="8"/>
        <v>0.32101786151211109</v>
      </c>
      <c r="AG10" s="332">
        <f t="shared" si="8"/>
        <v>0.35716733295259839</v>
      </c>
      <c r="AH10" s="332">
        <f t="shared" si="8"/>
        <v>0.13364898310556317</v>
      </c>
      <c r="AI10" s="106">
        <f t="shared" si="8"/>
        <v>0.10781832026506977</v>
      </c>
      <c r="AJ10" s="332">
        <f t="shared" si="8"/>
        <v>0.12044479043931999</v>
      </c>
      <c r="AK10" s="332">
        <f t="shared" si="8"/>
        <v>4.4765068818225062E-2</v>
      </c>
      <c r="AL10" s="106">
        <f t="shared" ref="AL10" si="9">+AL9/AI9-1</f>
        <v>2.8552851569756843E-2</v>
      </c>
      <c r="AM10" s="332">
        <f>+AM9/AJ9-1</f>
        <v>3.6571053002206533E-2</v>
      </c>
      <c r="AN10" s="332">
        <f t="shared" ref="AN10" si="10">+AN9/AK9-1</f>
        <v>4.9970017989206417E-2</v>
      </c>
      <c r="AO10" s="106">
        <f t="shared" ref="AO10" si="11">+AO9/AL9-1</f>
        <v>7.856665522784323E-2</v>
      </c>
      <c r="AP10" s="333">
        <f>+AP9/AM9-1</f>
        <v>6.4311594202898448E-2</v>
      </c>
      <c r="AQ10" s="332">
        <f t="shared" ref="AQ10" si="12">+AQ9/AN9-1</f>
        <v>6.8022649422708303E-2</v>
      </c>
      <c r="AR10" s="106">
        <f t="shared" ref="AR10" si="13">+AR9/AO9-1</f>
        <v>8.8842729225287798E-2</v>
      </c>
      <c r="AS10" s="332">
        <f>+AS9/AP9-1</f>
        <v>7.8604034150968838E-2</v>
      </c>
      <c r="AT10" s="332">
        <f>+AT9/AS9-1</f>
        <v>0.11466721199885455</v>
      </c>
      <c r="AU10" s="332">
        <f>+AU9/AT9-1</f>
        <v>0.11109498348165148</v>
      </c>
    </row>
    <row r="11" spans="1:47">
      <c r="B11" s="251"/>
      <c r="C11" s="247"/>
      <c r="D11" s="3"/>
      <c r="E11" s="3"/>
      <c r="F11" s="285"/>
      <c r="G11" s="265"/>
      <c r="H11" s="3"/>
      <c r="I11" s="285"/>
      <c r="J11" s="265"/>
      <c r="K11" s="42"/>
      <c r="L11" s="285"/>
      <c r="M11" s="265"/>
      <c r="N11" s="42"/>
      <c r="O11" s="285"/>
      <c r="P11" s="265"/>
      <c r="Q11" s="42"/>
      <c r="R11" s="285"/>
      <c r="S11" s="265"/>
      <c r="T11" s="42"/>
      <c r="U11" s="285"/>
      <c r="V11" s="265"/>
      <c r="W11" s="42"/>
      <c r="X11" s="285"/>
      <c r="Y11" s="285"/>
      <c r="Z11" s="42"/>
      <c r="AA11" s="285"/>
      <c r="AB11" s="265"/>
      <c r="AC11" s="42"/>
      <c r="AD11" s="282"/>
      <c r="AE11" s="282"/>
      <c r="AF11" s="42"/>
      <c r="AG11" s="282"/>
      <c r="AH11" s="282"/>
      <c r="AI11" s="42"/>
      <c r="AJ11" s="282"/>
      <c r="AK11" s="282"/>
      <c r="AL11" s="42"/>
      <c r="AM11" s="282"/>
      <c r="AN11" s="282"/>
      <c r="AO11" s="42"/>
      <c r="AP11" s="363"/>
      <c r="AQ11" s="282"/>
      <c r="AR11" s="42"/>
      <c r="AS11" s="282"/>
      <c r="AT11" s="363"/>
      <c r="AU11" s="282"/>
    </row>
    <row r="12" spans="1:47">
      <c r="A12" s="217" t="s">
        <v>1061</v>
      </c>
      <c r="B12" s="251" t="s">
        <v>1046</v>
      </c>
      <c r="C12" s="247"/>
      <c r="D12" s="3"/>
      <c r="E12" s="3"/>
      <c r="F12" s="285"/>
      <c r="G12" s="265"/>
      <c r="H12" s="3"/>
      <c r="I12" s="285"/>
      <c r="J12" s="265"/>
      <c r="K12" s="23"/>
      <c r="L12" s="285">
        <f>L9-L13</f>
        <v>1.1240000000000023</v>
      </c>
      <c r="M12" s="265">
        <f t="shared" ref="M12:N12" si="14">M9-M13</f>
        <v>0.21899999999999764</v>
      </c>
      <c r="N12" s="23">
        <f t="shared" si="14"/>
        <v>1.1310000000000038</v>
      </c>
      <c r="O12" s="285">
        <f>O9-O13</f>
        <v>1.3500000000000014</v>
      </c>
      <c r="P12" s="265">
        <f t="shared" ref="P12:Q12" si="15">P9-P13</f>
        <v>0.18499999999999872</v>
      </c>
      <c r="Q12" s="23">
        <f t="shared" si="15"/>
        <v>1.218</v>
      </c>
      <c r="R12" s="285">
        <f>R9-R13</f>
        <v>1.4029999999999987</v>
      </c>
      <c r="S12" s="265">
        <f t="shared" ref="S12:T12" si="16">S9-S13</f>
        <v>0.93900000000000006</v>
      </c>
      <c r="T12" s="23">
        <f t="shared" si="16"/>
        <v>1.085999999999995</v>
      </c>
      <c r="U12" s="285">
        <f>U9-U13</f>
        <v>2.0249999999999986</v>
      </c>
      <c r="V12" s="265">
        <f t="shared" ref="V12:W12" si="17">V9-V13</f>
        <v>1.0380000000000038</v>
      </c>
      <c r="W12" s="23">
        <f t="shared" si="17"/>
        <v>1.0059999999999931</v>
      </c>
      <c r="X12" s="285">
        <f>X9-X13</f>
        <v>2.0439999999999969</v>
      </c>
      <c r="Y12" s="285">
        <f t="shared" ref="Y12:Z12" si="18">Y9-Y13</f>
        <v>1.1700000000000017</v>
      </c>
      <c r="Z12" s="23">
        <f t="shared" si="18"/>
        <v>1.2430000000000057</v>
      </c>
      <c r="AA12" s="285">
        <f>AA9-AA13</f>
        <v>2.4130000000000038</v>
      </c>
      <c r="AB12" s="265">
        <f t="shared" ref="AB12:AC12" si="19">AB9-AB13</f>
        <v>1.4339999999999975</v>
      </c>
      <c r="AC12" s="23">
        <f t="shared" si="19"/>
        <v>1.7340000000000089</v>
      </c>
      <c r="AD12" s="265">
        <f>AD9-AD13</f>
        <v>3.1680000000000064</v>
      </c>
      <c r="AE12" s="265">
        <f t="shared" ref="AE12:AF12" si="20">AE9-AE13</f>
        <v>2.3730000000000047</v>
      </c>
      <c r="AF12" s="23">
        <f t="shared" si="20"/>
        <v>2.9539999999999935</v>
      </c>
      <c r="AG12" s="265">
        <f>AG9-AG13</f>
        <v>5.3269999999999982</v>
      </c>
      <c r="AH12" s="265">
        <f t="shared" ref="AH12" si="21">AH9-AH13</f>
        <v>2.6499999999999986</v>
      </c>
      <c r="AI12" s="23">
        <f t="shared" ref="AI12" si="22">AI9-AI13</f>
        <v>2.9709999999999965</v>
      </c>
      <c r="AJ12" s="265">
        <f>AJ9-AJ13</f>
        <v>5.6209999999999951</v>
      </c>
      <c r="AK12" s="265">
        <f t="shared" ref="AK12" si="23">AK9-AK13</f>
        <v>3.5300000000000011</v>
      </c>
      <c r="AL12" s="23">
        <f t="shared" ref="AL12" si="24">AL9-AL13</f>
        <v>3.7010000000000076</v>
      </c>
      <c r="AM12" s="265">
        <f t="shared" ref="AM12:AU12" si="25">AM9-AM13</f>
        <v>7.2310000000000088</v>
      </c>
      <c r="AN12" s="265">
        <f>AN9-AN13</f>
        <v>3.8019999999999996</v>
      </c>
      <c r="AO12" s="23">
        <f t="shared" ref="AO12" si="26">AO9-AO13</f>
        <v>3.7949999999999946</v>
      </c>
      <c r="AP12" s="285">
        <f t="shared" si="25"/>
        <v>7.5969999999999942</v>
      </c>
      <c r="AQ12" s="265">
        <f>AQ9-AQ13</f>
        <v>4.6285164563694252</v>
      </c>
      <c r="AR12" s="23">
        <f t="shared" ref="AR12" si="27">AR9-AR13</f>
        <v>4.8766815945859818</v>
      </c>
      <c r="AS12" s="265">
        <f t="shared" si="25"/>
        <v>9.5051980509553999</v>
      </c>
      <c r="AT12" s="285">
        <f t="shared" si="25"/>
        <v>11.30147478501911</v>
      </c>
      <c r="AU12" s="265">
        <f t="shared" si="25"/>
        <v>12.557011939579098</v>
      </c>
    </row>
    <row r="13" spans="1:47" s="15" customFormat="1">
      <c r="A13" s="217" t="s">
        <v>1063</v>
      </c>
      <c r="B13" s="252" t="s">
        <v>1045</v>
      </c>
      <c r="C13" s="247"/>
      <c r="D13" s="8"/>
      <c r="E13" s="8"/>
      <c r="F13" s="283"/>
      <c r="G13" s="287"/>
      <c r="H13" s="8"/>
      <c r="I13" s="283"/>
      <c r="J13" s="287"/>
      <c r="K13" s="274"/>
      <c r="L13" s="330">
        <f>+'REVENUE + GM'!D82</f>
        <v>47.457000000000001</v>
      </c>
      <c r="M13" s="331">
        <f>+'REVENUE + GM'!E82</f>
        <v>23.783000000000001</v>
      </c>
      <c r="N13" s="274">
        <f>+'REVENUE + GM'!F82</f>
        <v>24.873999999999995</v>
      </c>
      <c r="O13" s="330">
        <f>+'REVENUE + GM'!G82</f>
        <v>48.656999999999996</v>
      </c>
      <c r="P13" s="331">
        <f>+'REVENUE + GM'!H82</f>
        <v>22.6</v>
      </c>
      <c r="Q13" s="274">
        <f>+'REVENUE + GM'!I82</f>
        <v>26.146999999999998</v>
      </c>
      <c r="R13" s="330">
        <f>+'REVENUE + GM'!J82</f>
        <v>48.747</v>
      </c>
      <c r="S13" s="331">
        <f>+'REVENUE + GM'!K82</f>
        <v>29.315999999999999</v>
      </c>
      <c r="T13" s="274">
        <f>+'REVENUE + GM'!L82</f>
        <v>31.257999999999999</v>
      </c>
      <c r="U13" s="330">
        <f>+'REVENUE + GM'!M82</f>
        <v>60.573999999999998</v>
      </c>
      <c r="V13" s="331">
        <f>+'REVENUE + GM'!N82</f>
        <v>32.29</v>
      </c>
      <c r="W13" s="274">
        <f>+'REVENUE + GM'!O82</f>
        <v>28.776000000000003</v>
      </c>
      <c r="X13" s="330">
        <f>+'REVENUE + GM'!P82</f>
        <v>61.066000000000003</v>
      </c>
      <c r="Y13" s="330">
        <f>+'REVENUE + GM'!Q82</f>
        <v>27.995999999999999</v>
      </c>
      <c r="Z13" s="274">
        <f>+'REVENUE + GM'!R82</f>
        <v>31.651</v>
      </c>
      <c r="AA13" s="330">
        <f>+'REVENUE + GM'!S82</f>
        <v>59.646999999999998</v>
      </c>
      <c r="AB13" s="331">
        <f>+'REVENUE + GM'!T82</f>
        <v>31.823</v>
      </c>
      <c r="AC13" s="274">
        <f>+'REVENUE + GM'!U82</f>
        <v>35.048999999999999</v>
      </c>
      <c r="AD13" s="331">
        <f>+'REVENUE + GM'!V82</f>
        <v>66.872</v>
      </c>
      <c r="AE13" s="331">
        <f>+'REVENUE + GM'!W82</f>
        <v>44.091999999999999</v>
      </c>
      <c r="AF13" s="274">
        <f>+'REVENUE + GM'!X82</f>
        <v>45.637</v>
      </c>
      <c r="AG13" s="331">
        <f>+'REVENUE + GM'!Y82</f>
        <v>89.728999999999999</v>
      </c>
      <c r="AH13" s="331">
        <f>+'REVENUE + GM'!Z82</f>
        <v>50.024999999999999</v>
      </c>
      <c r="AI13" s="274">
        <f>+'REVENUE + GM'!AA82</f>
        <v>50.859000000000002</v>
      </c>
      <c r="AJ13" s="331">
        <f>+'REVENUE + GM'!AB82</f>
        <v>100.884</v>
      </c>
      <c r="AK13" s="331">
        <f>+'REVENUE + GM'!AC82</f>
        <v>51.503</v>
      </c>
      <c r="AL13" s="274">
        <f>+'REVENUE + GM'!AD82</f>
        <v>51.665999999999997</v>
      </c>
      <c r="AM13" s="331">
        <f>+'REVENUE + GM'!AE82</f>
        <v>103.169</v>
      </c>
      <c r="AN13" s="331">
        <f>+'REVENUE + GM'!AF82</f>
        <v>53.981000000000002</v>
      </c>
      <c r="AO13" s="274">
        <f>+'REVENUE + GM'!AG82</f>
        <v>55.922000000000004</v>
      </c>
      <c r="AP13" s="330">
        <f>+'REVENUE + GM'!AH82</f>
        <v>109.90300000000001</v>
      </c>
      <c r="AQ13" s="331">
        <f>+'REVENUE + GM'!AI82</f>
        <v>57.085036295222935</v>
      </c>
      <c r="AR13" s="274">
        <f>+'REVENUE + GM'!AJ82</f>
        <v>60.145739666560523</v>
      </c>
      <c r="AS13" s="331">
        <f>+'REVENUE + GM'!AK82</f>
        <v>117.23077596178345</v>
      </c>
      <c r="AT13" s="330">
        <f>+'REVENUE + GM'!AL82</f>
        <v>129.96696002771978</v>
      </c>
      <c r="AU13" s="331">
        <f>+'REVENUE + GM'!AM82</f>
        <v>144.40563730515979</v>
      </c>
    </row>
    <row r="14" spans="1:47" s="210" customFormat="1">
      <c r="A14" s="217" t="s">
        <v>1075</v>
      </c>
      <c r="B14" s="250" t="s">
        <v>1094</v>
      </c>
      <c r="C14" s="247"/>
      <c r="D14" s="209"/>
      <c r="E14" s="209"/>
      <c r="F14" s="286"/>
      <c r="G14" s="286"/>
      <c r="H14" s="209"/>
      <c r="I14" s="286"/>
      <c r="J14" s="286"/>
      <c r="K14" s="223"/>
      <c r="L14" s="333">
        <f t="shared" ref="L14:N14" si="28">L13/L9</f>
        <v>0.97686338280397678</v>
      </c>
      <c r="M14" s="333">
        <f t="shared" si="28"/>
        <v>0.99087576035330394</v>
      </c>
      <c r="N14" s="223">
        <f t="shared" si="28"/>
        <v>0.95650836377619675</v>
      </c>
      <c r="O14" s="333">
        <f t="shared" ref="O14:U14" si="29">O13/O9</f>
        <v>0.97300377947087402</v>
      </c>
      <c r="P14" s="333">
        <f t="shared" si="29"/>
        <v>0.99188062321702886</v>
      </c>
      <c r="Q14" s="223">
        <f t="shared" ref="Q14" si="30">Q13/Q9</f>
        <v>0.9554905901699251</v>
      </c>
      <c r="R14" s="333">
        <f t="shared" si="29"/>
        <v>0.97202392821535399</v>
      </c>
      <c r="S14" s="333">
        <f t="shared" si="29"/>
        <v>0.96896380763510159</v>
      </c>
      <c r="T14" s="223">
        <f t="shared" si="29"/>
        <v>0.96642344793470214</v>
      </c>
      <c r="U14" s="333">
        <f t="shared" si="29"/>
        <v>0.96765124043515072</v>
      </c>
      <c r="V14" s="333">
        <f t="shared" ref="V14" si="31">V13/V9</f>
        <v>0.96885501680268837</v>
      </c>
      <c r="W14" s="223">
        <f t="shared" ref="W14" si="32">W13/W9</f>
        <v>0.96622120744073625</v>
      </c>
      <c r="X14" s="333">
        <f t="shared" ref="X14" si="33">X13/X9</f>
        <v>0.96761210584693402</v>
      </c>
      <c r="Y14" s="333">
        <f t="shared" ref="Y14" si="34">Y13/Y9</f>
        <v>0.95988479736679688</v>
      </c>
      <c r="Z14" s="223">
        <f t="shared" ref="Z14" si="35">Z13/Z9</f>
        <v>0.96221195354775935</v>
      </c>
      <c r="AA14" s="333">
        <f t="shared" ref="AA14" si="36">AA13/AA9</f>
        <v>0.96111827263938121</v>
      </c>
      <c r="AB14" s="333">
        <f t="shared" ref="AB14" si="37">AB13/AB9</f>
        <v>0.95688125808100555</v>
      </c>
      <c r="AC14" s="223">
        <f t="shared" ref="AC14" si="38">AC13/AC9</f>
        <v>0.95285865753201182</v>
      </c>
      <c r="AD14" s="333">
        <f t="shared" ref="AD14" si="39">AD13/AD9</f>
        <v>0.95476870359794397</v>
      </c>
      <c r="AE14" s="333">
        <f t="shared" ref="AE14" si="40">AE13/AE9</f>
        <v>0.94892930162487887</v>
      </c>
      <c r="AF14" s="223">
        <f t="shared" ref="AF14:AH14" si="41">AF13/AF9</f>
        <v>0.93920684900495988</v>
      </c>
      <c r="AG14" s="333">
        <f t="shared" si="41"/>
        <v>0.94395935027773104</v>
      </c>
      <c r="AH14" s="333">
        <f t="shared" si="41"/>
        <v>0.94969150450878026</v>
      </c>
      <c r="AI14" s="223">
        <f t="shared" ref="AI14" si="42">AI13/AI9</f>
        <v>0.94480772803269564</v>
      </c>
      <c r="AJ14" s="333">
        <f t="shared" ref="AJ14:AK14" si="43">AJ13/AJ9</f>
        <v>0.94722313506408151</v>
      </c>
      <c r="AK14" s="333">
        <f t="shared" si="43"/>
        <v>0.93585666781749133</v>
      </c>
      <c r="AL14" s="223">
        <f t="shared" ref="AL14" si="44">AL13/AL9</f>
        <v>0.93315512850614979</v>
      </c>
      <c r="AM14" s="333">
        <f t="shared" ref="AM14:AO14" si="45">AM13/AM9</f>
        <v>0.93450181159420287</v>
      </c>
      <c r="AN14" s="333">
        <f t="shared" si="45"/>
        <v>0.9342021009639514</v>
      </c>
      <c r="AO14" s="223">
        <f t="shared" si="45"/>
        <v>0.93645025704573248</v>
      </c>
      <c r="AP14" s="333">
        <f t="shared" ref="AP14:AR14" si="46">AP13/AP9</f>
        <v>0.93534468085106393</v>
      </c>
      <c r="AQ14" s="333">
        <f t="shared" si="46"/>
        <v>0.92500000000000004</v>
      </c>
      <c r="AR14" s="223">
        <f t="shared" si="46"/>
        <v>0.92500000000000004</v>
      </c>
      <c r="AS14" s="333">
        <f t="shared" ref="AS14" si="47">AS13/AS9</f>
        <v>0.92500000000000016</v>
      </c>
      <c r="AT14" s="333">
        <f t="shared" ref="AT14" si="48">AT13/AT9</f>
        <v>0.92</v>
      </c>
      <c r="AU14" s="333">
        <f t="shared" ref="AU14" si="49">AU13/AU9</f>
        <v>0.92</v>
      </c>
    </row>
    <row r="15" spans="1:47">
      <c r="A15" s="217" t="s">
        <v>1064</v>
      </c>
      <c r="B15" s="250" t="s">
        <v>967</v>
      </c>
      <c r="C15" s="247"/>
      <c r="D15" s="99"/>
      <c r="E15" s="99"/>
      <c r="F15" s="284"/>
      <c r="G15" s="284"/>
      <c r="H15" s="99"/>
      <c r="I15" s="284"/>
      <c r="J15" s="284"/>
      <c r="K15" s="106"/>
      <c r="L15" s="284"/>
      <c r="M15" s="284"/>
      <c r="N15" s="106"/>
      <c r="O15" s="332">
        <f t="shared" ref="O15" si="50">+O13/L13-1</f>
        <v>2.5286048422782592E-2</v>
      </c>
      <c r="P15" s="332">
        <f t="shared" ref="P15:Q15" si="51">+P13/M13-1</f>
        <v>-4.9741411932893276E-2</v>
      </c>
      <c r="Q15" s="106">
        <f t="shared" si="51"/>
        <v>5.1177936801479529E-2</v>
      </c>
      <c r="R15" s="332">
        <f t="shared" ref="R15" si="52">+R13/O13-1</f>
        <v>1.8496824711757842E-3</v>
      </c>
      <c r="S15" s="332">
        <f t="shared" ref="S15" si="53">+S13/P13-1</f>
        <v>0.29716814159292015</v>
      </c>
      <c r="T15" s="106">
        <f t="shared" ref="T15" si="54">+T13/Q13-1</f>
        <v>0.19547175584197052</v>
      </c>
      <c r="U15" s="332">
        <f t="shared" ref="U15" si="55">+U13/R13-1</f>
        <v>0.24262005867027714</v>
      </c>
      <c r="V15" s="333">
        <f t="shared" ref="V15" si="56">+V13/S13-1</f>
        <v>0.10144630918269892</v>
      </c>
      <c r="W15" s="106">
        <f t="shared" ref="W15" si="57">+W13/T13-1</f>
        <v>-7.9403672659798974E-2</v>
      </c>
      <c r="X15" s="332">
        <f t="shared" ref="X15" si="58">+X13/U13-1</f>
        <v>8.1222966949516806E-3</v>
      </c>
      <c r="Y15" s="333">
        <f t="shared" ref="Y15" si="59">+Y13/V13-1</f>
        <v>-0.1329823474759988</v>
      </c>
      <c r="Z15" s="106">
        <f t="shared" ref="Z15" si="60">+Z13/W13-1</f>
        <v>9.9909646927995421E-2</v>
      </c>
      <c r="AA15" s="333">
        <f t="shared" ref="AA15" si="61">+AA13/X13-1</f>
        <v>-2.3237153244031084E-2</v>
      </c>
      <c r="AB15" s="332">
        <f t="shared" ref="AB15:AC15" si="62">+AB13/Y13-1</f>
        <v>0.13669809972853275</v>
      </c>
      <c r="AC15" s="106">
        <f t="shared" si="62"/>
        <v>0.1073583773024549</v>
      </c>
      <c r="AD15" s="332">
        <f t="shared" ref="AD15" si="63">+AD13/AA13-1</f>
        <v>0.12112931077841305</v>
      </c>
      <c r="AE15" s="332">
        <f t="shared" ref="AE15" si="64">+AE13/AB13-1</f>
        <v>0.38553876127329278</v>
      </c>
      <c r="AF15" s="106">
        <f t="shared" ref="AF15" si="65">+AF13/AC13-1</f>
        <v>0.30209135781334706</v>
      </c>
      <c r="AG15" s="332">
        <f t="shared" ref="AG15:AK15" si="66">+AG13/AD13-1</f>
        <v>0.34180224907285561</v>
      </c>
      <c r="AH15" s="332">
        <f t="shared" si="66"/>
        <v>0.13455955728930413</v>
      </c>
      <c r="AI15" s="106">
        <f t="shared" si="66"/>
        <v>0.11442469925718179</v>
      </c>
      <c r="AJ15" s="332">
        <f t="shared" si="66"/>
        <v>0.12431878211057734</v>
      </c>
      <c r="AK15" s="332">
        <f t="shared" si="66"/>
        <v>2.9545227386306827E-2</v>
      </c>
      <c r="AL15" s="106">
        <f t="shared" ref="AL15" si="67">+AL13/AI13-1</f>
        <v>1.5867398100630981E-2</v>
      </c>
      <c r="AM15" s="332">
        <f>+AM13/AJ13-1</f>
        <v>2.2649775980333908E-2</v>
      </c>
      <c r="AN15" s="332">
        <f t="shared" ref="AN15" si="68">+AN13/AK13-1</f>
        <v>4.8113702114439993E-2</v>
      </c>
      <c r="AO15" s="106">
        <f t="shared" ref="AO15" si="69">+AO13/AL13-1</f>
        <v>8.2375256454922052E-2</v>
      </c>
      <c r="AP15" s="333">
        <f>+AP13/AM13-1</f>
        <v>6.5271544746968724E-2</v>
      </c>
      <c r="AQ15" s="332">
        <f t="shared" ref="AQ15" si="70">+AQ13/AN13-1</f>
        <v>5.7502385936217149E-2</v>
      </c>
      <c r="AR15" s="106">
        <f t="shared" ref="AR15" si="71">+AR13/AO13-1</f>
        <v>7.5529123896865613E-2</v>
      </c>
      <c r="AS15" s="332">
        <f>+AS13/AP13-1</f>
        <v>6.6674940281734374E-2</v>
      </c>
      <c r="AT15" s="333">
        <f>+AT13/AS13-1</f>
        <v>0.10864198382588763</v>
      </c>
      <c r="AU15" s="332">
        <f>+AU13/AT13-1</f>
        <v>0.1110949834816517</v>
      </c>
    </row>
    <row r="16" spans="1:47">
      <c r="B16" s="251"/>
      <c r="C16" s="248"/>
      <c r="D16" s="3"/>
      <c r="E16" s="3"/>
      <c r="F16" s="285"/>
      <c r="G16" s="265"/>
      <c r="H16" s="3"/>
      <c r="I16" s="285"/>
      <c r="J16" s="265"/>
      <c r="K16" s="457"/>
      <c r="L16" s="285"/>
      <c r="M16" s="265"/>
      <c r="N16" s="457"/>
      <c r="O16" s="285"/>
      <c r="P16" s="285"/>
      <c r="Q16" s="457"/>
      <c r="R16" s="285"/>
      <c r="S16" s="285"/>
      <c r="T16" s="457"/>
      <c r="U16" s="285"/>
      <c r="V16" s="285"/>
      <c r="W16" s="457"/>
      <c r="X16" s="285"/>
      <c r="Y16" s="285"/>
      <c r="Z16" s="457"/>
      <c r="AA16" s="285"/>
      <c r="AB16" s="265"/>
      <c r="AC16" s="42"/>
      <c r="AD16" s="282"/>
      <c r="AE16" s="282"/>
      <c r="AF16" s="42"/>
      <c r="AG16" s="282"/>
      <c r="AH16" s="282"/>
      <c r="AI16" s="42"/>
      <c r="AJ16" s="282"/>
      <c r="AK16" s="282"/>
      <c r="AL16" s="42"/>
      <c r="AM16" s="282"/>
      <c r="AN16" s="282"/>
      <c r="AO16" s="42"/>
      <c r="AP16" s="363"/>
      <c r="AQ16" s="282"/>
      <c r="AR16" s="42"/>
      <c r="AS16" s="282"/>
      <c r="AT16" s="363"/>
      <c r="AU16" s="282"/>
    </row>
    <row r="17" spans="1:47">
      <c r="A17" s="217" t="s">
        <v>1066</v>
      </c>
      <c r="B17" s="251" t="s">
        <v>1174</v>
      </c>
      <c r="C17" s="247"/>
      <c r="D17" s="3"/>
      <c r="E17" s="3"/>
      <c r="F17" s="285"/>
      <c r="G17" s="265"/>
      <c r="H17" s="3"/>
      <c r="I17" s="285"/>
      <c r="J17" s="265"/>
      <c r="K17" s="38"/>
      <c r="L17" s="355">
        <v>25.178999999999998</v>
      </c>
      <c r="M17" s="355">
        <v>13.49</v>
      </c>
      <c r="N17" s="38">
        <f>O17-M17</f>
        <v>12.799000000000001</v>
      </c>
      <c r="O17" s="355">
        <v>26.289000000000001</v>
      </c>
      <c r="P17" s="355">
        <v>12.858000000000001</v>
      </c>
      <c r="Q17" s="38">
        <f>R17-P17</f>
        <v>11.838999999999999</v>
      </c>
      <c r="R17" s="355">
        <v>24.696999999999999</v>
      </c>
      <c r="S17" s="355">
        <v>13.067</v>
      </c>
      <c r="T17" s="38">
        <f>U17-S17</f>
        <v>17.635999999999999</v>
      </c>
      <c r="U17" s="355">
        <v>30.702999999999999</v>
      </c>
      <c r="V17" s="355">
        <v>16.338999999999999</v>
      </c>
      <c r="W17" s="23">
        <f>X17-V17</f>
        <v>13.889000000000003</v>
      </c>
      <c r="X17" s="355">
        <v>30.228000000000002</v>
      </c>
      <c r="Y17" s="354">
        <v>13.667</v>
      </c>
      <c r="Z17" s="23">
        <f>AA17-Y17</f>
        <v>13.180000000000001</v>
      </c>
      <c r="AA17" s="355">
        <v>26.847000000000001</v>
      </c>
      <c r="AB17" s="354">
        <v>14.531000000000001</v>
      </c>
      <c r="AC17" s="23">
        <f>AD17-AB17</f>
        <v>14.415999999999999</v>
      </c>
      <c r="AD17" s="354">
        <v>28.946999999999999</v>
      </c>
      <c r="AE17" s="354">
        <v>18.114000000000001</v>
      </c>
      <c r="AF17" s="23">
        <f>AG17-AE17</f>
        <v>18.060999999999996</v>
      </c>
      <c r="AG17" s="354">
        <v>36.174999999999997</v>
      </c>
      <c r="AH17" s="354">
        <v>19.61</v>
      </c>
      <c r="AI17" s="23">
        <f>AJ17-AH17</f>
        <v>19.814999999999998</v>
      </c>
      <c r="AJ17" s="354">
        <v>39.424999999999997</v>
      </c>
      <c r="AK17" s="354">
        <v>21.523</v>
      </c>
      <c r="AL17" s="23">
        <f>AM17-AK17</f>
        <v>20.895999999999997</v>
      </c>
      <c r="AM17" s="354">
        <v>42.418999999999997</v>
      </c>
      <c r="AN17" s="354">
        <v>20.92</v>
      </c>
      <c r="AO17" s="23">
        <f>AP17-AN17</f>
        <v>21.098999999999997</v>
      </c>
      <c r="AP17" s="355">
        <v>42.018999999999998</v>
      </c>
      <c r="AQ17" s="265">
        <f>AN17*(1+AQ75)</f>
        <v>22.593600000000002</v>
      </c>
      <c r="AR17" s="23">
        <f>AS17-AQ17</f>
        <v>20.265779999999999</v>
      </c>
      <c r="AS17" s="265">
        <f>AP17*(1+AS75)</f>
        <v>42.859380000000002</v>
      </c>
      <c r="AT17" s="285">
        <f t="shared" ref="AT17:AU17" si="72">AS17*(1+AT75)</f>
        <v>45.859536600000006</v>
      </c>
      <c r="AU17" s="265">
        <f t="shared" si="72"/>
        <v>49.069704162000008</v>
      </c>
    </row>
    <row r="18" spans="1:47">
      <c r="A18" s="217" t="s">
        <v>1065</v>
      </c>
      <c r="B18" s="251" t="s">
        <v>1175</v>
      </c>
      <c r="C18" s="245"/>
      <c r="D18" s="3"/>
      <c r="E18" s="3"/>
      <c r="F18" s="285"/>
      <c r="G18" s="265"/>
      <c r="H18" s="3"/>
      <c r="I18" s="285"/>
      <c r="J18" s="265"/>
      <c r="K18" s="38"/>
      <c r="L18" s="355">
        <v>9.6989999999999998</v>
      </c>
      <c r="M18" s="355">
        <v>5.4560000000000004</v>
      </c>
      <c r="N18" s="38">
        <f>O18-M18</f>
        <v>5.5029999999999992</v>
      </c>
      <c r="O18" s="355">
        <v>10.959</v>
      </c>
      <c r="P18" s="355">
        <v>5.4169999999999998</v>
      </c>
      <c r="Q18" s="38">
        <f>R18-P18</f>
        <v>5.8420000000000005</v>
      </c>
      <c r="R18" s="355">
        <v>11.259</v>
      </c>
      <c r="S18" s="355">
        <v>6.23</v>
      </c>
      <c r="T18" s="38">
        <f>U18-S18</f>
        <v>6.6219999999999999</v>
      </c>
      <c r="U18" s="355">
        <v>12.852</v>
      </c>
      <c r="V18" s="355">
        <v>6.5789999999999997</v>
      </c>
      <c r="W18" s="23">
        <f>X18-V18</f>
        <v>6.4929999999999994</v>
      </c>
      <c r="X18" s="355">
        <v>13.071999999999999</v>
      </c>
      <c r="Y18" s="354">
        <v>6.282</v>
      </c>
      <c r="Z18" s="23">
        <f>AA18-Y18</f>
        <v>6.9469999999999992</v>
      </c>
      <c r="AA18" s="355">
        <v>13.228999999999999</v>
      </c>
      <c r="AB18" s="354">
        <v>7.6820000000000004</v>
      </c>
      <c r="AC18" s="23">
        <f>AD18-AB18</f>
        <v>8.0549999999999997</v>
      </c>
      <c r="AD18" s="354">
        <v>15.737</v>
      </c>
      <c r="AE18" s="354">
        <v>11.249000000000001</v>
      </c>
      <c r="AF18" s="23">
        <f>AG18-AE18</f>
        <v>11.866999999999999</v>
      </c>
      <c r="AG18" s="354">
        <v>23.116</v>
      </c>
      <c r="AH18" s="354">
        <v>12.862</v>
      </c>
      <c r="AI18" s="23">
        <f>AJ18-AH18</f>
        <v>12.156999999999998</v>
      </c>
      <c r="AJ18" s="354">
        <v>25.018999999999998</v>
      </c>
      <c r="AK18" s="354">
        <v>13.435</v>
      </c>
      <c r="AL18" s="23">
        <f>AM18-AK18</f>
        <v>13.772999999999998</v>
      </c>
      <c r="AM18" s="354">
        <v>27.207999999999998</v>
      </c>
      <c r="AN18" s="354">
        <v>7.2089999999999996</v>
      </c>
      <c r="AO18" s="23">
        <f>AP18-AN18</f>
        <v>9.8369999999999997</v>
      </c>
      <c r="AP18" s="355">
        <v>17.045999999999999</v>
      </c>
      <c r="AQ18" s="302">
        <f t="shared" ref="AQ18:AU18" si="73">+AQ315</f>
        <v>8.4856135033439504</v>
      </c>
      <c r="AR18" s="63">
        <f t="shared" si="73"/>
        <v>8.9405829234076446</v>
      </c>
      <c r="AS18" s="302">
        <f t="shared" si="73"/>
        <v>17.426196426751595</v>
      </c>
      <c r="AT18" s="311">
        <f t="shared" si="73"/>
        <v>18.647433395281531</v>
      </c>
      <c r="AU18" s="302">
        <f t="shared" si="73"/>
        <v>19.855775129459474</v>
      </c>
    </row>
    <row r="19" spans="1:47">
      <c r="A19" s="217" t="s">
        <v>1067</v>
      </c>
      <c r="B19" s="251" t="s">
        <v>1176</v>
      </c>
      <c r="C19" s="246"/>
      <c r="D19" s="3"/>
      <c r="E19" s="3"/>
      <c r="F19" s="285"/>
      <c r="G19" s="265"/>
      <c r="H19" s="3"/>
      <c r="I19" s="285"/>
      <c r="J19" s="265"/>
      <c r="K19" s="38"/>
      <c r="L19" s="355">
        <f>5.433-L43</f>
        <v>5.4329999999999998</v>
      </c>
      <c r="M19" s="355">
        <f>2.958-M43</f>
        <v>2.9580000000000002</v>
      </c>
      <c r="N19" s="38">
        <f>O19-M19</f>
        <v>3.0510000000000002</v>
      </c>
      <c r="O19" s="355">
        <f>6.022-O43</f>
        <v>6.0090000000000003</v>
      </c>
      <c r="P19" s="355">
        <f>3.021-P43</f>
        <v>2.7869999999999999</v>
      </c>
      <c r="Q19" s="38">
        <f t="shared" ref="Q19" si="74">R19-P19</f>
        <v>3.2260000000000009</v>
      </c>
      <c r="R19" s="355">
        <f>6.929-R43</f>
        <v>6.0130000000000008</v>
      </c>
      <c r="S19" s="355">
        <f>5.422-S43</f>
        <v>5.3189999999999991</v>
      </c>
      <c r="T19" s="38">
        <f t="shared" ref="T19" si="75">U19-S19</f>
        <v>0.9770000000000012</v>
      </c>
      <c r="U19" s="355">
        <f>6.95-U43</f>
        <v>6.2960000000000003</v>
      </c>
      <c r="V19" s="355">
        <f>4.069-V43</f>
        <v>3.5720000000000001</v>
      </c>
      <c r="W19" s="23">
        <f t="shared" ref="W19" si="76">X19-V19</f>
        <v>3.2109999999999994</v>
      </c>
      <c r="X19" s="355">
        <f>8.322-X43</f>
        <v>6.7829999999999995</v>
      </c>
      <c r="Y19" s="354">
        <f>3.839-Y43</f>
        <v>2.4250000000000003</v>
      </c>
      <c r="Z19" s="23">
        <f t="shared" ref="Z19" si="77">AA19-Y19</f>
        <v>3.0100000000000002</v>
      </c>
      <c r="AA19" s="355">
        <f>8.278-AA43</f>
        <v>5.4350000000000005</v>
      </c>
      <c r="AB19" s="354">
        <f>4.169-AB43</f>
        <v>2.7969999999999997</v>
      </c>
      <c r="AC19" s="23">
        <f t="shared" ref="AC19" si="78">AD19-AB19</f>
        <v>2.1549999999999985</v>
      </c>
      <c r="AD19" s="354">
        <f>8.054-AD43</f>
        <v>4.9519999999999982</v>
      </c>
      <c r="AE19" s="354">
        <f>5.272-AE43</f>
        <v>2.9109999999999996</v>
      </c>
      <c r="AF19" s="23">
        <f t="shared" ref="AF19" si="79">AG19-AE19</f>
        <v>1.903000000000004</v>
      </c>
      <c r="AG19" s="354">
        <f>9.599-AG43</f>
        <v>4.8140000000000036</v>
      </c>
      <c r="AH19" s="354">
        <f>4.878-AH43</f>
        <v>2.4709999999999983</v>
      </c>
      <c r="AI19" s="23">
        <f t="shared" ref="AI19" si="80">AJ19-AH19</f>
        <v>3.2690000000000108</v>
      </c>
      <c r="AJ19" s="302">
        <f>+AJ20-SUM(AJ17:AJ18)</f>
        <v>5.7400000000000091</v>
      </c>
      <c r="AK19" s="302">
        <f>+AK20-SUM(AK17:AK18)</f>
        <v>3.8800000000000026</v>
      </c>
      <c r="AL19" s="23">
        <f t="shared" ref="AL19" si="81">AM19-AK19</f>
        <v>3.5619999999999905</v>
      </c>
      <c r="AM19" s="302">
        <f>+AM20-SUM(AM17:AM18)</f>
        <v>7.4419999999999931</v>
      </c>
      <c r="AN19" s="302">
        <f>+AN20-SUM(AN17:AN18)</f>
        <v>4.1859999999999964</v>
      </c>
      <c r="AO19" s="23">
        <f t="shared" ref="AO19" si="82">AP19-AN19</f>
        <v>4.3310000000000137</v>
      </c>
      <c r="AP19" s="311">
        <f>+AP20-SUM(AP17:AP18)</f>
        <v>8.5170000000000101</v>
      </c>
      <c r="AQ19" s="265">
        <f>AN19*(1+AQ77)</f>
        <v>4.604599999999996</v>
      </c>
      <c r="AR19" s="23">
        <f t="shared" ref="AR19" si="83">AS19-AQ19</f>
        <v>4.7641000000000151</v>
      </c>
      <c r="AS19" s="265">
        <f>AP19*(1+AS77)</f>
        <v>9.3687000000000111</v>
      </c>
      <c r="AT19" s="285">
        <f t="shared" ref="AT19:AU19" si="84">AS19*(1+AT77)</f>
        <v>10.305570000000014</v>
      </c>
      <c r="AU19" s="265">
        <f t="shared" si="84"/>
        <v>11.336127000000015</v>
      </c>
    </row>
    <row r="20" spans="1:47" s="15" customFormat="1">
      <c r="A20" s="217" t="s">
        <v>1068</v>
      </c>
      <c r="B20" s="226" t="s">
        <v>1098</v>
      </c>
      <c r="C20" s="247"/>
      <c r="D20" s="9"/>
      <c r="E20" s="8"/>
      <c r="F20" s="287"/>
      <c r="G20" s="283"/>
      <c r="H20" s="8"/>
      <c r="I20" s="287"/>
      <c r="J20" s="283"/>
      <c r="K20" s="439"/>
      <c r="L20" s="283">
        <f t="shared" ref="L20:AU20" si="85">SUM(L17:L19)</f>
        <v>40.311</v>
      </c>
      <c r="M20" s="283">
        <f t="shared" si="85"/>
        <v>21.904000000000003</v>
      </c>
      <c r="N20" s="439">
        <f t="shared" si="85"/>
        <v>21.353000000000002</v>
      </c>
      <c r="O20" s="283">
        <f t="shared" si="85"/>
        <v>43.257000000000005</v>
      </c>
      <c r="P20" s="283">
        <f t="shared" si="85"/>
        <v>21.061999999999998</v>
      </c>
      <c r="Q20" s="439">
        <f t="shared" si="85"/>
        <v>20.906999999999996</v>
      </c>
      <c r="R20" s="283">
        <f t="shared" si="85"/>
        <v>41.969000000000001</v>
      </c>
      <c r="S20" s="283">
        <f t="shared" si="85"/>
        <v>24.616</v>
      </c>
      <c r="T20" s="439">
        <f t="shared" si="85"/>
        <v>25.234999999999999</v>
      </c>
      <c r="U20" s="283">
        <f t="shared" si="85"/>
        <v>49.850999999999999</v>
      </c>
      <c r="V20" s="283">
        <f t="shared" si="85"/>
        <v>26.49</v>
      </c>
      <c r="W20" s="27">
        <f t="shared" si="85"/>
        <v>23.593</v>
      </c>
      <c r="X20" s="283">
        <f t="shared" si="85"/>
        <v>50.082999999999998</v>
      </c>
      <c r="Y20" s="283">
        <f t="shared" si="85"/>
        <v>22.373999999999999</v>
      </c>
      <c r="Z20" s="27">
        <f t="shared" si="85"/>
        <v>23.137000000000004</v>
      </c>
      <c r="AA20" s="283">
        <f t="shared" si="85"/>
        <v>45.511000000000003</v>
      </c>
      <c r="AB20" s="283">
        <f t="shared" si="85"/>
        <v>25.01</v>
      </c>
      <c r="AC20" s="27">
        <f t="shared" si="85"/>
        <v>24.625999999999994</v>
      </c>
      <c r="AD20" s="283">
        <f t="shared" si="85"/>
        <v>49.635999999999996</v>
      </c>
      <c r="AE20" s="287">
        <f t="shared" si="85"/>
        <v>32.274000000000001</v>
      </c>
      <c r="AF20" s="27">
        <f t="shared" si="85"/>
        <v>31.831000000000003</v>
      </c>
      <c r="AG20" s="287">
        <f t="shared" si="85"/>
        <v>64.105000000000004</v>
      </c>
      <c r="AH20" s="287">
        <f t="shared" si="85"/>
        <v>34.942999999999998</v>
      </c>
      <c r="AI20" s="27">
        <f t="shared" si="85"/>
        <v>35.241000000000007</v>
      </c>
      <c r="AJ20" s="506">
        <f>+AJ13-AJ27</f>
        <v>70.183999999999997</v>
      </c>
      <c r="AK20" s="506">
        <f>+AK13-AK27</f>
        <v>38.838000000000001</v>
      </c>
      <c r="AL20" s="27">
        <f t="shared" si="85"/>
        <v>38.230999999999987</v>
      </c>
      <c r="AM20" s="506">
        <f>+AM13-AM27</f>
        <v>77.068999999999988</v>
      </c>
      <c r="AN20" s="506">
        <f>+AN13-AN23</f>
        <v>32.314999999999998</v>
      </c>
      <c r="AO20" s="27">
        <f t="shared" ref="AO20" si="86">SUM(AO17:AO19)</f>
        <v>35.26700000000001</v>
      </c>
      <c r="AP20" s="570">
        <f>+AP13-AP23</f>
        <v>67.582000000000008</v>
      </c>
      <c r="AQ20" s="287">
        <f t="shared" ref="AQ20:AR20" si="87">SUM(AQ17:AQ19)</f>
        <v>35.683813503343949</v>
      </c>
      <c r="AR20" s="27">
        <f t="shared" si="87"/>
        <v>33.970462923407659</v>
      </c>
      <c r="AS20" s="287">
        <f t="shared" si="85"/>
        <v>69.654276426751608</v>
      </c>
      <c r="AT20" s="283">
        <f t="shared" si="85"/>
        <v>74.812539995281554</v>
      </c>
      <c r="AU20" s="287">
        <f t="shared" si="85"/>
        <v>80.261606291459501</v>
      </c>
    </row>
    <row r="21" spans="1:47" s="100" customFormat="1">
      <c r="A21" s="217"/>
      <c r="B21" s="250" t="s">
        <v>967</v>
      </c>
      <c r="C21" s="247"/>
      <c r="D21" s="99"/>
      <c r="E21" s="99"/>
      <c r="F21" s="284"/>
      <c r="G21" s="284"/>
      <c r="H21" s="99"/>
      <c r="I21" s="284"/>
      <c r="J21" s="284"/>
      <c r="K21" s="179"/>
      <c r="L21" s="399"/>
      <c r="M21" s="399"/>
      <c r="N21" s="179"/>
      <c r="O21" s="399">
        <f>+O20/L20-1</f>
        <v>7.3081789089826765E-2</v>
      </c>
      <c r="P21" s="399">
        <f t="shared" ref="P21" si="88">+P20/M20-1</f>
        <v>-3.8440467494521791E-2</v>
      </c>
      <c r="Q21" s="179">
        <f t="shared" ref="Q21" si="89">+Q20/N20-1</f>
        <v>-2.0886994801667447E-2</v>
      </c>
      <c r="R21" s="399">
        <f>+R20/O20-1</f>
        <v>-2.9775527660263146E-2</v>
      </c>
      <c r="S21" s="399">
        <f t="shared" ref="S21" si="90">+S20/P20-1</f>
        <v>0.16873991073972094</v>
      </c>
      <c r="T21" s="179">
        <f t="shared" ref="T21" si="91">+T20/Q20-1</f>
        <v>0.20701200554838106</v>
      </c>
      <c r="U21" s="399">
        <f t="shared" ref="U21" si="92">+U20/R20-1</f>
        <v>0.18780528485310577</v>
      </c>
      <c r="V21" s="399">
        <f t="shared" ref="V21" si="93">+V20/S20-1</f>
        <v>7.6129346766330874E-2</v>
      </c>
      <c r="W21" s="106">
        <f t="shared" ref="W21" si="94">+W20/T20-1</f>
        <v>-6.506835744006334E-2</v>
      </c>
      <c r="X21" s="333">
        <f t="shared" ref="X21" si="95">+X20/U20-1</f>
        <v>4.6538685282140335E-3</v>
      </c>
      <c r="Y21" s="333">
        <f t="shared" ref="Y21" si="96">+Y20/V20-1</f>
        <v>-0.1553793884484711</v>
      </c>
      <c r="Z21" s="106">
        <f t="shared" ref="Z21" si="97">+Z20/W20-1</f>
        <v>-1.9327766710464767E-2</v>
      </c>
      <c r="AA21" s="333">
        <f t="shared" ref="AA21" si="98">+AA20/X20-1</f>
        <v>-9.1288461154483524E-2</v>
      </c>
      <c r="AB21" s="399">
        <f t="shared" ref="AB21" si="99">+AB20/Y20-1</f>
        <v>0.1178153213551445</v>
      </c>
      <c r="AC21" s="106">
        <f t="shared" ref="AC21:AM21" si="100">+AC20/Z20-1</f>
        <v>6.4355793750269674E-2</v>
      </c>
      <c r="AD21" s="333">
        <f t="shared" si="100"/>
        <v>9.0637428314033874E-2</v>
      </c>
      <c r="AE21" s="332">
        <f t="shared" si="100"/>
        <v>0.29044382247101153</v>
      </c>
      <c r="AF21" s="106">
        <f t="shared" si="100"/>
        <v>0.29257695118979976</v>
      </c>
      <c r="AG21" s="332">
        <f t="shared" si="100"/>
        <v>0.29150213554678084</v>
      </c>
      <c r="AH21" s="332">
        <f t="shared" si="100"/>
        <v>8.2698147115324971E-2</v>
      </c>
      <c r="AI21" s="106">
        <f t="shared" si="100"/>
        <v>0.10712827118218105</v>
      </c>
      <c r="AJ21" s="332">
        <f t="shared" si="100"/>
        <v>9.4828796505732615E-2</v>
      </c>
      <c r="AK21" s="332">
        <f t="shared" si="100"/>
        <v>0.11146724665884444</v>
      </c>
      <c r="AL21" s="106">
        <f t="shared" ref="AL21" si="101">+AL20/AI20-1</f>
        <v>8.4844357424590067E-2</v>
      </c>
      <c r="AM21" s="332">
        <f t="shared" si="100"/>
        <v>9.8099281887609635E-2</v>
      </c>
      <c r="AN21" s="332">
        <f t="shared" ref="AN21" si="102">+AN20/AK20-1</f>
        <v>-0.16795406560585002</v>
      </c>
      <c r="AO21" s="106">
        <f t="shared" ref="AO21" si="103">+AO20/AL20-1</f>
        <v>-7.7528707070178116E-2</v>
      </c>
      <c r="AP21" s="333">
        <f t="shared" ref="AP21" si="104">+AP20/AM20-1</f>
        <v>-0.12309748407271381</v>
      </c>
      <c r="AQ21" s="332">
        <f t="shared" ref="AQ21" si="105">+AQ20/AN20-1</f>
        <v>0.1042492187325994</v>
      </c>
      <c r="AR21" s="106">
        <f t="shared" ref="AR21" si="106">+AR20/AO20-1</f>
        <v>-3.6763463764775905E-2</v>
      </c>
      <c r="AS21" s="332">
        <f>+AS20/AP20-1</f>
        <v>3.0663141468905808E-2</v>
      </c>
      <c r="AT21" s="333">
        <f>+AT20/AS20-1</f>
        <v>7.4055231539938093E-2</v>
      </c>
      <c r="AU21" s="332">
        <f>+AU20/AT20-1</f>
        <v>7.283626911372898E-2</v>
      </c>
    </row>
    <row r="22" spans="1:47">
      <c r="B22" s="226"/>
      <c r="C22" s="247"/>
      <c r="D22" s="56"/>
      <c r="E22" s="18"/>
      <c r="F22" s="281"/>
      <c r="G22" s="325"/>
      <c r="H22" s="18"/>
      <c r="I22" s="281"/>
      <c r="J22" s="325"/>
      <c r="K22" s="179"/>
      <c r="L22" s="289"/>
      <c r="M22" s="325"/>
      <c r="N22" s="179"/>
      <c r="O22" s="289"/>
      <c r="P22" s="325"/>
      <c r="Q22" s="179"/>
      <c r="R22" s="289"/>
      <c r="S22" s="325"/>
      <c r="T22" s="179"/>
      <c r="U22" s="289"/>
      <c r="V22" s="325"/>
      <c r="W22" s="179"/>
      <c r="X22" s="333"/>
      <c r="Y22" s="325"/>
      <c r="Z22" s="179"/>
      <c r="AA22" s="289"/>
      <c r="AB22" s="325"/>
      <c r="AC22" s="179"/>
      <c r="AD22" s="333"/>
      <c r="AE22" s="325"/>
      <c r="AF22" s="179"/>
      <c r="AG22" s="281"/>
      <c r="AH22" s="325"/>
      <c r="AI22" s="179"/>
      <c r="AJ22" s="294"/>
      <c r="AK22" s="325"/>
      <c r="AL22" s="179"/>
      <c r="AM22" s="281"/>
      <c r="AN22" s="281"/>
      <c r="AO22" s="179"/>
      <c r="AP22" s="289"/>
      <c r="AQ22" s="281"/>
      <c r="AR22" s="179"/>
      <c r="AS22" s="281"/>
      <c r="AT22" s="289"/>
      <c r="AU22" s="281"/>
    </row>
    <row r="23" spans="1:47" s="15" customFormat="1" ht="13.5" customHeight="1">
      <c r="A23" s="217" t="s">
        <v>1069</v>
      </c>
      <c r="B23" s="226" t="s">
        <v>1214</v>
      </c>
      <c r="C23" s="247"/>
      <c r="D23" s="9"/>
      <c r="E23" s="9"/>
      <c r="F23" s="283"/>
      <c r="G23" s="283"/>
      <c r="H23" s="9"/>
      <c r="I23" s="283"/>
      <c r="J23" s="283"/>
      <c r="K23" s="9"/>
      <c r="L23" s="558">
        <f t="shared" ref="L23:AL23" si="107">+L27+(L18*50%)</f>
        <v>11.9495</v>
      </c>
      <c r="M23" s="558">
        <f t="shared" si="107"/>
        <v>4.6069999999999975</v>
      </c>
      <c r="N23" s="559">
        <f t="shared" si="107"/>
        <v>6.2725000000000026</v>
      </c>
      <c r="O23" s="558">
        <f t="shared" si="107"/>
        <v>10.8795</v>
      </c>
      <c r="P23" s="558">
        <f t="shared" si="107"/>
        <v>4.2465000000000037</v>
      </c>
      <c r="Q23" s="559">
        <f t="shared" si="107"/>
        <v>8.160999999999996</v>
      </c>
      <c r="R23" s="558">
        <f t="shared" si="107"/>
        <v>12.407499999999999</v>
      </c>
      <c r="S23" s="558">
        <f t="shared" si="107"/>
        <v>7.8150000000000004</v>
      </c>
      <c r="T23" s="559">
        <f t="shared" si="107"/>
        <v>9.3339999999999996</v>
      </c>
      <c r="U23" s="558">
        <f t="shared" si="107"/>
        <v>17.149000000000001</v>
      </c>
      <c r="V23" s="558">
        <f t="shared" si="107"/>
        <v>9.0894999999999992</v>
      </c>
      <c r="W23" s="559">
        <f t="shared" si="107"/>
        <v>8.4295000000000044</v>
      </c>
      <c r="X23" s="558">
        <f t="shared" si="107"/>
        <v>17.519000000000005</v>
      </c>
      <c r="Y23" s="558">
        <f t="shared" si="107"/>
        <v>8.7629999999999999</v>
      </c>
      <c r="Z23" s="559">
        <f t="shared" si="107"/>
        <v>11.987499999999999</v>
      </c>
      <c r="AA23" s="558">
        <f t="shared" si="107"/>
        <v>20.750499999999999</v>
      </c>
      <c r="AB23" s="558">
        <f t="shared" si="107"/>
        <v>10.654</v>
      </c>
      <c r="AC23" s="559">
        <f t="shared" si="107"/>
        <v>14.450500000000002</v>
      </c>
      <c r="AD23" s="558">
        <f t="shared" si="107"/>
        <v>25.104500000000002</v>
      </c>
      <c r="AE23" s="558">
        <f t="shared" si="107"/>
        <v>17.442499999999999</v>
      </c>
      <c r="AF23" s="559">
        <f t="shared" si="107"/>
        <v>19.7395</v>
      </c>
      <c r="AG23" s="558">
        <f t="shared" si="107"/>
        <v>37.182000000000002</v>
      </c>
      <c r="AH23" s="558">
        <f t="shared" si="107"/>
        <v>21.513000000000002</v>
      </c>
      <c r="AI23" s="559">
        <f t="shared" si="107"/>
        <v>21.696499999999997</v>
      </c>
      <c r="AJ23" s="558">
        <f t="shared" si="107"/>
        <v>43.209499999999998</v>
      </c>
      <c r="AK23" s="558">
        <f>+AK27+(AK18*50%)</f>
        <v>19.3825</v>
      </c>
      <c r="AL23" s="559">
        <f t="shared" si="107"/>
        <v>20.3215</v>
      </c>
      <c r="AM23" s="558">
        <f>+AM27+(AM18*50%)+1</f>
        <v>40.704000000000001</v>
      </c>
      <c r="AN23" s="505">
        <v>21.666</v>
      </c>
      <c r="AO23" s="9">
        <f t="shared" ref="AO23" si="108">AO13-AO20</f>
        <v>20.654999999999994</v>
      </c>
      <c r="AP23" s="505">
        <f>44.326-2.005</f>
        <v>42.320999999999998</v>
      </c>
      <c r="AQ23" s="283">
        <f t="shared" ref="AQ23:AU23" si="109">AQ13-AQ20</f>
        <v>21.401222791878986</v>
      </c>
      <c r="AR23" s="9">
        <f t="shared" si="109"/>
        <v>26.175276743152864</v>
      </c>
      <c r="AS23" s="283">
        <f>AS13-AS20</f>
        <v>47.576499535031843</v>
      </c>
      <c r="AT23" s="283">
        <f t="shared" si="109"/>
        <v>55.154420032438225</v>
      </c>
      <c r="AU23" s="283">
        <f t="shared" si="109"/>
        <v>64.144031013700285</v>
      </c>
    </row>
    <row r="24" spans="1:47" s="50" customFormat="1">
      <c r="A24" s="217" t="s">
        <v>1076</v>
      </c>
      <c r="B24" s="250" t="s">
        <v>1177</v>
      </c>
      <c r="C24" s="247"/>
      <c r="D24" s="31"/>
      <c r="E24" s="31"/>
      <c r="F24" s="288"/>
      <c r="G24" s="288"/>
      <c r="H24" s="31"/>
      <c r="I24" s="288"/>
      <c r="J24" s="288"/>
      <c r="K24" s="223"/>
      <c r="L24" s="333">
        <f>+L23/L$9</f>
        <v>0.24597064696074597</v>
      </c>
      <c r="M24" s="333">
        <f t="shared" ref="M24" si="110">+M23/M$9</f>
        <v>0.19194233813848838</v>
      </c>
      <c r="N24" s="223">
        <f t="shared" ref="N24" si="111">+N23/N$9</f>
        <v>0.2412036146894829</v>
      </c>
      <c r="O24" s="333">
        <f>+O23/O$9</f>
        <v>0.21755954166416702</v>
      </c>
      <c r="P24" s="333">
        <f t="shared" ref="P24:Q24" si="112">+P23/P$9</f>
        <v>0.18637261356155382</v>
      </c>
      <c r="Q24" s="223">
        <f t="shared" si="112"/>
        <v>0.29822766307326865</v>
      </c>
      <c r="R24" s="333">
        <f t="shared" ref="R24" si="113">+R23/R$9</f>
        <v>0.24740777666999</v>
      </c>
      <c r="S24" s="333">
        <f t="shared" ref="S24" si="114">+S23/S$9</f>
        <v>0.2583044124938027</v>
      </c>
      <c r="T24" s="223">
        <f t="shared" ref="T24" si="115">+T23/T$9</f>
        <v>0.28858520900321549</v>
      </c>
      <c r="U24" s="333">
        <f t="shared" ref="U24:AA24" si="116">+U23/U$9</f>
        <v>0.27395006310004955</v>
      </c>
      <c r="V24" s="333">
        <f t="shared" si="116"/>
        <v>0.27272863658185303</v>
      </c>
      <c r="W24" s="224">
        <f t="shared" si="116"/>
        <v>0.28304009133033392</v>
      </c>
      <c r="X24" s="333">
        <f t="shared" si="116"/>
        <v>0.27759467596260506</v>
      </c>
      <c r="Y24" s="333">
        <f t="shared" si="116"/>
        <v>0.30045258177329764</v>
      </c>
      <c r="Z24" s="224">
        <f t="shared" si="116"/>
        <v>0.36442816319085536</v>
      </c>
      <c r="AA24" s="333">
        <f t="shared" si="116"/>
        <v>0.33436190783113112</v>
      </c>
      <c r="AB24" s="333">
        <f t="shared" ref="AB24" si="117">+AB23/AB$9</f>
        <v>0.32035360976636501</v>
      </c>
      <c r="AC24" s="224">
        <f t="shared" ref="AC24" si="118">+AC23/AC$9</f>
        <v>0.3928581138025718</v>
      </c>
      <c r="AD24" s="333">
        <f t="shared" ref="AD24" si="119">+AD23/AD$9</f>
        <v>0.35843089663049688</v>
      </c>
      <c r="AE24" s="332">
        <f t="shared" ref="AE24" si="120">+AE23/AE$9</f>
        <v>0.37539007855375006</v>
      </c>
      <c r="AF24" s="224">
        <f t="shared" ref="AF24:AH24" si="121">+AF23/AF$9</f>
        <v>0.40623778065896982</v>
      </c>
      <c r="AG24" s="332">
        <f t="shared" si="121"/>
        <v>0.39115889580878643</v>
      </c>
      <c r="AH24" s="332">
        <f t="shared" si="121"/>
        <v>0.40841006169909827</v>
      </c>
      <c r="AI24" s="224">
        <f t="shared" ref="AI24" si="122">+AI23/AI$9</f>
        <v>0.40305591677503244</v>
      </c>
      <c r="AJ24" s="332">
        <f t="shared" ref="AJ24:AL24" si="123">+AJ23/AJ$9</f>
        <v>0.4057039575606779</v>
      </c>
      <c r="AK24" s="332">
        <f t="shared" si="123"/>
        <v>0.35219777224574345</v>
      </c>
      <c r="AL24" s="224">
        <f t="shared" si="123"/>
        <v>0.36703270901439483</v>
      </c>
      <c r="AM24" s="333">
        <f t="shared" ref="AM24:AO24" si="124">+AM23/AM$9</f>
        <v>0.36869565217391304</v>
      </c>
      <c r="AN24" s="332">
        <f t="shared" si="124"/>
        <v>0.37495457141373761</v>
      </c>
      <c r="AO24" s="224">
        <f t="shared" si="124"/>
        <v>0.34588140730445255</v>
      </c>
      <c r="AP24" s="333">
        <f t="shared" ref="AP24" si="125">+AP23/AP$9</f>
        <v>0.36017872340425527</v>
      </c>
      <c r="AQ24" s="332">
        <f t="shared" ref="AQ24:AR24" si="126">+AQ23/AQ$9</f>
        <v>0.34678319166006499</v>
      </c>
      <c r="AR24" s="224">
        <f t="shared" si="126"/>
        <v>0.40255770602614638</v>
      </c>
      <c r="AS24" s="333">
        <f t="shared" ref="AS24" si="127">+AS23/AS$9</f>
        <v>0.37539853940957363</v>
      </c>
      <c r="AT24" s="333">
        <f t="shared" ref="AT24" si="128">+AT23/AT$9</f>
        <v>0.39042281529875539</v>
      </c>
      <c r="AU24" s="333">
        <f t="shared" ref="AU24" si="129">+AU23/AU$9</f>
        <v>0.40865792799971029</v>
      </c>
    </row>
    <row r="25" spans="1:47" s="100" customFormat="1">
      <c r="A25" s="217"/>
      <c r="B25" s="250" t="s">
        <v>967</v>
      </c>
      <c r="C25" s="247"/>
      <c r="D25" s="99"/>
      <c r="E25" s="99"/>
      <c r="F25" s="284"/>
      <c r="G25" s="284"/>
      <c r="H25" s="99"/>
      <c r="I25" s="284"/>
      <c r="J25" s="284"/>
      <c r="K25" s="179"/>
      <c r="L25" s="333"/>
      <c r="M25" s="399"/>
      <c r="N25" s="179"/>
      <c r="O25" s="333">
        <f>+O23/L23-1</f>
        <v>-8.9543495543746632E-2</v>
      </c>
      <c r="P25" s="333">
        <f t="shared" ref="P25" si="130">+P23/M23-1</f>
        <v>-7.8250488387235473E-2</v>
      </c>
      <c r="Q25" s="179">
        <f t="shared" ref="Q25" si="131">+Q23/N23-1</f>
        <v>0.30107612594659106</v>
      </c>
      <c r="R25" s="333">
        <f>+R23/O23-1</f>
        <v>0.14044763086538881</v>
      </c>
      <c r="S25" s="333">
        <f t="shared" ref="S25" si="132">+S23/P23-1</f>
        <v>0.84033910279053181</v>
      </c>
      <c r="T25" s="179">
        <f t="shared" ref="T25" si="133">+T23/Q23-1</f>
        <v>0.1437323857370425</v>
      </c>
      <c r="U25" s="333">
        <f t="shared" ref="U25:AK25" si="134">+U23/R23-1</f>
        <v>0.38214789441869867</v>
      </c>
      <c r="V25" s="333">
        <f t="shared" ref="V25" si="135">+V23/S23-1</f>
        <v>0.16308381317978227</v>
      </c>
      <c r="W25" s="106">
        <f t="shared" ref="W25" si="136">+W23/T23-1</f>
        <v>-9.6903792586243376E-2</v>
      </c>
      <c r="X25" s="333">
        <f t="shared" ref="X25" si="137">+X23/U23-1</f>
        <v>2.1575602075923017E-2</v>
      </c>
      <c r="Y25" s="333">
        <f t="shared" ref="Y25" si="138">+Y23/V23-1</f>
        <v>-3.5920567687991567E-2</v>
      </c>
      <c r="Z25" s="106">
        <f t="shared" ref="Z25" si="139">+Z23/W23-1</f>
        <v>0.42208909187970733</v>
      </c>
      <c r="AA25" s="333">
        <f t="shared" ref="AA25" si="140">+AA23/X23-1</f>
        <v>0.18445687539243072</v>
      </c>
      <c r="AB25" s="333">
        <f t="shared" ref="AB25" si="141">+AB23/Y23-1</f>
        <v>0.2157936779641676</v>
      </c>
      <c r="AC25" s="106">
        <f t="shared" si="134"/>
        <v>0.20546402502606909</v>
      </c>
      <c r="AD25" s="333">
        <f t="shared" si="134"/>
        <v>0.20982626924652426</v>
      </c>
      <c r="AE25" s="332">
        <f t="shared" si="134"/>
        <v>0.63717852449784118</v>
      </c>
      <c r="AF25" s="106">
        <f t="shared" si="134"/>
        <v>0.36600809660565359</v>
      </c>
      <c r="AG25" s="332">
        <f t="shared" si="134"/>
        <v>0.4810890477802785</v>
      </c>
      <c r="AH25" s="332">
        <f t="shared" si="134"/>
        <v>0.2333667765515266</v>
      </c>
      <c r="AI25" s="106">
        <f t="shared" si="134"/>
        <v>9.9141315636160909E-2</v>
      </c>
      <c r="AJ25" s="332">
        <f t="shared" si="134"/>
        <v>0.16210800925178837</v>
      </c>
      <c r="AK25" s="332">
        <f t="shared" si="134"/>
        <v>-9.903314275089492E-2</v>
      </c>
      <c r="AL25" s="106">
        <f t="shared" ref="AL25" si="142">+AL23/AI23-1</f>
        <v>-6.337427695711273E-2</v>
      </c>
      <c r="AM25" s="333">
        <f>+AM23/AJ23-1</f>
        <v>-5.7984933868709398E-2</v>
      </c>
      <c r="AN25" s="332">
        <f t="shared" ref="AN25:AO25" si="143">+AN23/AK23-1</f>
        <v>0.11781245969302212</v>
      </c>
      <c r="AO25" s="106">
        <f t="shared" si="143"/>
        <v>1.6411190118839292E-2</v>
      </c>
      <c r="AP25" s="333">
        <f>+AP23/AM23-1</f>
        <v>3.9725825471698117E-2</v>
      </c>
      <c r="AQ25" s="332">
        <f t="shared" ref="AQ25" si="144">+AQ23/AN23-1</f>
        <v>-1.2220862555202383E-2</v>
      </c>
      <c r="AR25" s="106">
        <f t="shared" ref="AR25" si="145">+AR23/AO23-1</f>
        <v>0.26726103815797009</v>
      </c>
      <c r="AS25" s="333">
        <f>+AS23/AP23-1</f>
        <v>0.12418183726830279</v>
      </c>
      <c r="AT25" s="333">
        <f>+AT23/AS23-1</f>
        <v>0.15927864747230003</v>
      </c>
      <c r="AU25" s="333">
        <f>+AU23/AT23-1</f>
        <v>0.16298985604372151</v>
      </c>
    </row>
    <row r="26" spans="1:47">
      <c r="B26" s="226"/>
      <c r="C26" s="247"/>
      <c r="D26" s="18"/>
      <c r="E26" s="36"/>
      <c r="F26" s="289"/>
      <c r="G26" s="289"/>
      <c r="H26" s="36"/>
      <c r="I26" s="289"/>
      <c r="J26" s="289"/>
      <c r="K26" s="4"/>
      <c r="L26" s="289"/>
      <c r="M26" s="289"/>
      <c r="N26" s="4"/>
      <c r="O26" s="289"/>
      <c r="P26" s="289"/>
      <c r="Q26" s="4"/>
      <c r="R26" s="289"/>
      <c r="S26" s="289"/>
      <c r="T26" s="4"/>
      <c r="U26" s="289"/>
      <c r="V26" s="289"/>
      <c r="W26" s="4"/>
      <c r="X26" s="289"/>
      <c r="Y26" s="289"/>
      <c r="Z26" s="4"/>
      <c r="AA26" s="289"/>
      <c r="AB26" s="289"/>
      <c r="AC26" s="4"/>
      <c r="AD26" s="289"/>
      <c r="AE26" s="281"/>
      <c r="AF26" s="4"/>
      <c r="AG26" s="281"/>
      <c r="AH26" s="281"/>
      <c r="AI26" s="4"/>
      <c r="AJ26" s="281"/>
      <c r="AK26" s="281"/>
      <c r="AL26" s="4"/>
      <c r="AM26" s="281"/>
      <c r="AN26" s="281"/>
      <c r="AO26" s="4"/>
      <c r="AP26" s="281"/>
      <c r="AQ26" s="281"/>
      <c r="AR26" s="4"/>
      <c r="AS26" s="281"/>
      <c r="AT26" s="281"/>
      <c r="AU26" s="281"/>
    </row>
    <row r="27" spans="1:47" s="15" customFormat="1" ht="13.5" customHeight="1">
      <c r="A27" s="217" t="s">
        <v>1069</v>
      </c>
      <c r="B27" s="226" t="s">
        <v>1213</v>
      </c>
      <c r="C27" s="247"/>
      <c r="D27" s="9"/>
      <c r="E27" s="9"/>
      <c r="F27" s="283"/>
      <c r="G27" s="283"/>
      <c r="H27" s="9"/>
      <c r="I27" s="283"/>
      <c r="J27" s="283"/>
      <c r="K27" s="9"/>
      <c r="L27" s="505">
        <v>7.1</v>
      </c>
      <c r="M27" s="283">
        <f>+M13-M20</f>
        <v>1.8789999999999978</v>
      </c>
      <c r="N27" s="9">
        <f>+O27-M27</f>
        <v>3.5210000000000026</v>
      </c>
      <c r="O27" s="505">
        <v>5.4</v>
      </c>
      <c r="P27" s="283">
        <f>+P13-P20</f>
        <v>1.5380000000000038</v>
      </c>
      <c r="Q27" s="9">
        <f>+R27-P27</f>
        <v>5.2399999999999958</v>
      </c>
      <c r="R27" s="505">
        <v>6.7779999999999996</v>
      </c>
      <c r="S27" s="505">
        <v>4.7</v>
      </c>
      <c r="T27" s="9">
        <f>+U27-S27</f>
        <v>6.0230000000000006</v>
      </c>
      <c r="U27" s="505">
        <v>10.723000000000001</v>
      </c>
      <c r="V27" s="505">
        <v>5.8</v>
      </c>
      <c r="W27" s="9">
        <f>+X27-V27</f>
        <v>5.1830000000000043</v>
      </c>
      <c r="X27" s="283">
        <f>+X13-X20</f>
        <v>10.983000000000004</v>
      </c>
      <c r="Y27" s="505">
        <v>5.6219999999999999</v>
      </c>
      <c r="Z27" s="9">
        <f>+AA27-Y27</f>
        <v>8.5139999999999993</v>
      </c>
      <c r="AA27" s="505">
        <v>14.135999999999999</v>
      </c>
      <c r="AB27" s="505">
        <v>6.8129999999999997</v>
      </c>
      <c r="AC27" s="9">
        <f>+AD27-AB27</f>
        <v>10.423000000000002</v>
      </c>
      <c r="AD27" s="505">
        <v>17.236000000000001</v>
      </c>
      <c r="AE27" s="505">
        <v>11.818</v>
      </c>
      <c r="AF27" s="9">
        <f>+AG27-AE27</f>
        <v>13.805999999999999</v>
      </c>
      <c r="AG27" s="505">
        <v>25.623999999999999</v>
      </c>
      <c r="AH27" s="505">
        <v>15.082000000000001</v>
      </c>
      <c r="AI27" s="9">
        <f>+AJ27-AH27</f>
        <v>15.617999999999999</v>
      </c>
      <c r="AJ27" s="505">
        <v>30.7</v>
      </c>
      <c r="AK27" s="505">
        <v>12.664999999999999</v>
      </c>
      <c r="AL27" s="9">
        <f>+AM27-AK27</f>
        <v>13.435000000000002</v>
      </c>
      <c r="AM27" s="505">
        <v>26.1</v>
      </c>
      <c r="AN27" s="570">
        <f>+AN23-AN311</f>
        <v>14.618</v>
      </c>
      <c r="AO27" s="9">
        <f t="shared" ref="AO27" si="146">+AO23-AO316</f>
        <v>13.614999999999995</v>
      </c>
      <c r="AP27" s="570">
        <f>+AP23-AP311</f>
        <v>28.232999999999997</v>
      </c>
      <c r="AQ27" s="283">
        <f t="shared" ref="AQ27:AR27" si="147">+AQ23-AQ316</f>
        <v>14.458448107324845</v>
      </c>
      <c r="AR27" s="9">
        <f t="shared" si="147"/>
        <v>18.860254351273884</v>
      </c>
      <c r="AS27" s="283">
        <f>+AS23-AS316</f>
        <v>33.318702458598722</v>
      </c>
      <c r="AT27" s="283">
        <f t="shared" ref="AT27:AU27" si="148">+AT23-AT316</f>
        <v>39.897429072662426</v>
      </c>
      <c r="AU27" s="283">
        <f t="shared" si="148"/>
        <v>47.898396816869806</v>
      </c>
    </row>
    <row r="28" spans="1:47" s="50" customFormat="1">
      <c r="A28" s="217" t="s">
        <v>1076</v>
      </c>
      <c r="B28" s="250" t="s">
        <v>1177</v>
      </c>
      <c r="C28" s="247"/>
      <c r="D28" s="31"/>
      <c r="E28" s="31"/>
      <c r="F28" s="288"/>
      <c r="G28" s="288"/>
      <c r="H28" s="31"/>
      <c r="I28" s="288"/>
      <c r="J28" s="288"/>
      <c r="K28" s="223"/>
      <c r="L28" s="333">
        <f>+L27/L$9</f>
        <v>0.14614767090014613</v>
      </c>
      <c r="M28" s="333">
        <f t="shared" ref="M28:N28" si="149">+M27/M$9</f>
        <v>7.8285142904757854E-2</v>
      </c>
      <c r="N28" s="223">
        <f t="shared" si="149"/>
        <v>0.13539703903095568</v>
      </c>
      <c r="O28" s="333">
        <f>+O27/O$9</f>
        <v>0.1079848821165037</v>
      </c>
      <c r="P28" s="333">
        <f t="shared" ref="P28:AM28" si="150">+P27/P$9</f>
        <v>6.7500548606539562E-2</v>
      </c>
      <c r="Q28" s="223">
        <f t="shared" si="150"/>
        <v>0.19148547414580655</v>
      </c>
      <c r="R28" s="333">
        <f t="shared" si="150"/>
        <v>0.1351545363908275</v>
      </c>
      <c r="S28" s="333">
        <f t="shared" si="150"/>
        <v>0.155346223764667</v>
      </c>
      <c r="T28" s="223">
        <f t="shared" si="150"/>
        <v>0.18621691813010147</v>
      </c>
      <c r="U28" s="333">
        <f t="shared" si="150"/>
        <v>0.17129666608092783</v>
      </c>
      <c r="V28" s="333">
        <f t="shared" si="150"/>
        <v>0.1740278444551128</v>
      </c>
      <c r="W28" s="224">
        <f t="shared" si="150"/>
        <v>0.17403129407024392</v>
      </c>
      <c r="X28" s="333">
        <f t="shared" si="150"/>
        <v>0.17402947234986538</v>
      </c>
      <c r="Y28" s="333">
        <f t="shared" si="150"/>
        <v>0.19275869162723719</v>
      </c>
      <c r="Z28" s="224">
        <f t="shared" si="150"/>
        <v>0.25883139782331116</v>
      </c>
      <c r="AA28" s="333">
        <f t="shared" si="150"/>
        <v>0.22777956815984529</v>
      </c>
      <c r="AB28" s="333">
        <f t="shared" si="150"/>
        <v>0.20485912740175002</v>
      </c>
      <c r="AC28" s="224">
        <f t="shared" si="150"/>
        <v>0.28336459777614659</v>
      </c>
      <c r="AD28" s="333">
        <f t="shared" si="150"/>
        <v>0.24608794974300399</v>
      </c>
      <c r="AE28" s="332">
        <f t="shared" si="150"/>
        <v>0.25434197783277734</v>
      </c>
      <c r="AF28" s="224">
        <f t="shared" si="150"/>
        <v>0.28412669012780145</v>
      </c>
      <c r="AG28" s="332">
        <f t="shared" si="150"/>
        <v>0.26956741289345226</v>
      </c>
      <c r="AH28" s="332">
        <f t="shared" si="150"/>
        <v>0.28632178452776463</v>
      </c>
      <c r="AI28" s="224">
        <f t="shared" si="150"/>
        <v>0.29013561211220507</v>
      </c>
      <c r="AJ28" s="332">
        <f t="shared" si="150"/>
        <v>0.28824937796347588</v>
      </c>
      <c r="AK28" s="332">
        <f t="shared" si="150"/>
        <v>0.23013464648483636</v>
      </c>
      <c r="AL28" s="224">
        <f t="shared" si="150"/>
        <v>0.24265356620369535</v>
      </c>
      <c r="AM28" s="333">
        <f t="shared" si="150"/>
        <v>0.23641304347826086</v>
      </c>
      <c r="AN28" s="333">
        <f t="shared" ref="AN28:AU28" si="151">+AN27/AN$9</f>
        <v>0.25298098056521812</v>
      </c>
      <c r="AO28" s="224">
        <f t="shared" si="151"/>
        <v>0.22799202907044888</v>
      </c>
      <c r="AP28" s="333">
        <f t="shared" si="151"/>
        <v>0.24028085106382976</v>
      </c>
      <c r="AQ28" s="332">
        <f t="shared" ref="AQ28:AR28" si="152">+AQ27/AQ$9</f>
        <v>0.234283191660065</v>
      </c>
      <c r="AR28" s="224">
        <f t="shared" si="152"/>
        <v>0.29005770602614639</v>
      </c>
      <c r="AS28" s="333">
        <f t="shared" si="151"/>
        <v>0.26289853940957358</v>
      </c>
      <c r="AT28" s="333">
        <f t="shared" si="151"/>
        <v>0.2824228152987554</v>
      </c>
      <c r="AU28" s="333">
        <f t="shared" si="151"/>
        <v>0.30515792799971025</v>
      </c>
    </row>
    <row r="29" spans="1:47" s="100" customFormat="1">
      <c r="A29" s="217"/>
      <c r="B29" s="250" t="s">
        <v>967</v>
      </c>
      <c r="C29" s="247"/>
      <c r="D29" s="99"/>
      <c r="E29" s="99"/>
      <c r="F29" s="284"/>
      <c r="G29" s="284"/>
      <c r="H29" s="99"/>
      <c r="I29" s="284"/>
      <c r="J29" s="284"/>
      <c r="K29" s="179"/>
      <c r="L29" s="333"/>
      <c r="M29" s="399"/>
      <c r="N29" s="179"/>
      <c r="O29" s="333">
        <f>+O27/L27-1</f>
        <v>-0.23943661971830976</v>
      </c>
      <c r="P29" s="333">
        <f t="shared" ref="P29" si="153">+P27/M27-1</f>
        <v>-0.18147951037785759</v>
      </c>
      <c r="Q29" s="179">
        <f t="shared" ref="Q29" si="154">+Q27/N27-1</f>
        <v>0.48821357568872248</v>
      </c>
      <c r="R29" s="333">
        <f>+R27/O27-1</f>
        <v>0.25518518518518496</v>
      </c>
      <c r="S29" s="333">
        <f t="shared" ref="S29" si="155">+S27/P27-1</f>
        <v>2.0559167750325025</v>
      </c>
      <c r="T29" s="179">
        <f t="shared" ref="T29" si="156">+T27/Q27-1</f>
        <v>0.14942748091603164</v>
      </c>
      <c r="U29" s="333">
        <f t="shared" ref="U29" si="157">+U27/R27-1</f>
        <v>0.5820300973738568</v>
      </c>
      <c r="V29" s="333">
        <f t="shared" ref="V29" si="158">+V27/S27-1</f>
        <v>0.23404255319148937</v>
      </c>
      <c r="W29" s="106">
        <f t="shared" ref="W29" si="159">+W27/T27-1</f>
        <v>-0.1394653826996507</v>
      </c>
      <c r="X29" s="333">
        <f t="shared" ref="X29" si="160">+X27/U27-1</f>
        <v>2.4246945817402166E-2</v>
      </c>
      <c r="Y29" s="333">
        <f t="shared" ref="Y29" si="161">+Y27/V27-1</f>
        <v>-3.0689655172413732E-2</v>
      </c>
      <c r="Z29" s="106">
        <f t="shared" ref="Z29" si="162">+Z27/W27-1</f>
        <v>0.64267798572255308</v>
      </c>
      <c r="AA29" s="333">
        <f t="shared" ref="AA29" si="163">+AA27/X27-1</f>
        <v>0.28708003277792904</v>
      </c>
      <c r="AB29" s="333">
        <f t="shared" ref="AB29" si="164">+AB27/Y27-1</f>
        <v>0.21184631803628595</v>
      </c>
      <c r="AC29" s="106">
        <f t="shared" ref="AC29" si="165">+AC27/Z27-1</f>
        <v>0.22421893352125943</v>
      </c>
      <c r="AD29" s="333">
        <f t="shared" ref="AD29" si="166">+AD27/AA27-1</f>
        <v>0.2192982456140351</v>
      </c>
      <c r="AE29" s="332">
        <f t="shared" ref="AE29" si="167">+AE27/AB27-1</f>
        <v>0.73462498165272283</v>
      </c>
      <c r="AF29" s="106">
        <f t="shared" ref="AF29" si="168">+AF27/AC27-1</f>
        <v>0.32457066103808851</v>
      </c>
      <c r="AG29" s="332">
        <f t="shared" ref="AG29" si="169">+AG27/AD27-1</f>
        <v>0.48665583662102563</v>
      </c>
      <c r="AH29" s="332">
        <f t="shared" ref="AH29" si="170">+AH27/AE27-1</f>
        <v>0.27618886444406843</v>
      </c>
      <c r="AI29" s="106">
        <f t="shared" ref="AI29" si="171">+AI27/AF27-1</f>
        <v>0.13124728378965655</v>
      </c>
      <c r="AJ29" s="332">
        <f t="shared" ref="AJ29" si="172">+AJ27/AG27-1</f>
        <v>0.19809553543552916</v>
      </c>
      <c r="AK29" s="332">
        <f t="shared" ref="AK29" si="173">+AK27/AH27-1</f>
        <v>-0.16025726031030374</v>
      </c>
      <c r="AL29" s="106">
        <f t="shared" ref="AL29" si="174">+AL27/AI27-1</f>
        <v>-0.13977461902932486</v>
      </c>
      <c r="AM29" s="333">
        <f>+AM27/AJ27-1</f>
        <v>-0.14983713355048855</v>
      </c>
      <c r="AN29" s="333">
        <f t="shared" ref="AN29:AO29" si="175">+AN27/AK27-1</f>
        <v>0.15420450059218327</v>
      </c>
      <c r="AO29" s="106">
        <f t="shared" si="175"/>
        <v>1.339784145887557E-2</v>
      </c>
      <c r="AP29" s="333">
        <f>+AP27/AM27-1</f>
        <v>8.172413793103428E-2</v>
      </c>
      <c r="AQ29" s="332">
        <f t="shared" ref="AQ29" si="176">+AQ27/AN27-1</f>
        <v>-1.091475527946062E-2</v>
      </c>
      <c r="AR29" s="106">
        <f t="shared" ref="AR29" si="177">+AR27/AO27-1</f>
        <v>0.38525555279279411</v>
      </c>
      <c r="AS29" s="332">
        <f>+AS27/AP27-1</f>
        <v>0.1801332645697844</v>
      </c>
      <c r="AT29" s="332">
        <f>+AT27/AS27-1</f>
        <v>0.19744846373409408</v>
      </c>
      <c r="AU29" s="332">
        <f>+AU27/AT27-1</f>
        <v>0.20053842892071483</v>
      </c>
    </row>
    <row r="30" spans="1:47">
      <c r="B30" s="226"/>
      <c r="C30" s="247"/>
      <c r="D30" s="18"/>
      <c r="E30" s="36"/>
      <c r="F30" s="289"/>
      <c r="G30" s="289"/>
      <c r="H30" s="36"/>
      <c r="I30" s="289"/>
      <c r="J30" s="289"/>
      <c r="K30" s="4"/>
      <c r="L30" s="289"/>
      <c r="M30" s="289"/>
      <c r="N30" s="4"/>
      <c r="O30" s="289"/>
      <c r="P30" s="289"/>
      <c r="Q30" s="4"/>
      <c r="R30" s="289"/>
      <c r="S30" s="289"/>
      <c r="T30" s="4"/>
      <c r="U30" s="289"/>
      <c r="V30" s="289"/>
      <c r="W30" s="4"/>
      <c r="X30" s="289"/>
      <c r="Y30" s="289"/>
      <c r="Z30" s="4"/>
      <c r="AA30" s="289"/>
      <c r="AB30" s="289"/>
      <c r="AC30" s="4"/>
      <c r="AD30" s="289"/>
      <c r="AE30" s="281"/>
      <c r="AF30" s="4"/>
      <c r="AG30" s="281"/>
      <c r="AH30" s="281"/>
      <c r="AI30" s="4"/>
      <c r="AJ30" s="281"/>
      <c r="AK30" s="281"/>
      <c r="AL30" s="4"/>
      <c r="AM30" s="281"/>
      <c r="AN30" s="289"/>
      <c r="AO30" s="4"/>
      <c r="AP30" s="281"/>
      <c r="AQ30" s="281"/>
      <c r="AR30" s="4"/>
      <c r="AS30" s="281"/>
      <c r="AT30" s="281"/>
      <c r="AU30" s="281"/>
    </row>
    <row r="31" spans="1:47" outlineLevel="1">
      <c r="A31" s="217" t="s">
        <v>1066</v>
      </c>
      <c r="B31" s="251" t="s">
        <v>620</v>
      </c>
      <c r="C31" s="247"/>
      <c r="D31" s="3"/>
      <c r="E31" s="3"/>
      <c r="F31" s="285"/>
      <c r="G31" s="265"/>
      <c r="H31" s="3"/>
      <c r="I31" s="285"/>
      <c r="J31" s="265"/>
      <c r="K31" s="38"/>
      <c r="L31" s="355"/>
      <c r="M31" s="285"/>
      <c r="N31" s="38"/>
      <c r="O31" s="355"/>
      <c r="P31" s="285"/>
      <c r="Q31" s="38"/>
      <c r="R31" s="355"/>
      <c r="S31" s="355"/>
      <c r="T31" s="38"/>
      <c r="U31" s="355"/>
      <c r="V31" s="355"/>
      <c r="W31" s="23"/>
      <c r="X31" s="355"/>
      <c r="Y31" s="355"/>
      <c r="Z31" s="23"/>
      <c r="AA31" s="355"/>
      <c r="AB31" s="355"/>
      <c r="AC31" s="23"/>
      <c r="AD31" s="355"/>
      <c r="AE31" s="354"/>
      <c r="AF31" s="23"/>
      <c r="AG31" s="355"/>
      <c r="AH31" s="354"/>
      <c r="AI31" s="38"/>
      <c r="AJ31" s="355"/>
      <c r="AK31" s="354"/>
      <c r="AL31" s="23">
        <f>AM31-AK31</f>
        <v>0</v>
      </c>
      <c r="AM31" s="421">
        <v>0</v>
      </c>
      <c r="AN31" s="355"/>
      <c r="AO31" s="23">
        <f>AP31-AN31</f>
        <v>0</v>
      </c>
      <c r="AP31" s="421">
        <v>0</v>
      </c>
      <c r="AQ31" s="421">
        <v>0</v>
      </c>
      <c r="AR31" s="23">
        <f>AS31-AQ31</f>
        <v>0</v>
      </c>
      <c r="AS31" s="421">
        <v>0</v>
      </c>
      <c r="AT31" s="421">
        <v>0</v>
      </c>
      <c r="AU31" s="421">
        <v>0</v>
      </c>
    </row>
    <row r="32" spans="1:47" outlineLevel="1">
      <c r="A32" s="217" t="s">
        <v>1065</v>
      </c>
      <c r="B32" s="251" t="s">
        <v>1112</v>
      </c>
      <c r="C32" s="245"/>
      <c r="D32" s="3"/>
      <c r="E32" s="3"/>
      <c r="F32" s="285"/>
      <c r="G32" s="265"/>
      <c r="H32" s="3"/>
      <c r="I32" s="285"/>
      <c r="J32" s="265"/>
      <c r="K32" s="38"/>
      <c r="L32" s="355"/>
      <c r="M32" s="285"/>
      <c r="N32" s="38"/>
      <c r="O32" s="355"/>
      <c r="P32" s="285"/>
      <c r="Q32" s="38"/>
      <c r="R32" s="355"/>
      <c r="S32" s="355"/>
      <c r="T32" s="38"/>
      <c r="U32" s="355"/>
      <c r="V32" s="355"/>
      <c r="W32" s="23"/>
      <c r="X32" s="355"/>
      <c r="Y32" s="355"/>
      <c r="Z32" s="23"/>
      <c r="AA32" s="355"/>
      <c r="AB32" s="355"/>
      <c r="AC32" s="23"/>
      <c r="AD32" s="355"/>
      <c r="AE32" s="354"/>
      <c r="AF32" s="23"/>
      <c r="AG32" s="355"/>
      <c r="AH32" s="354"/>
      <c r="AI32" s="38"/>
      <c r="AJ32" s="355"/>
      <c r="AK32" s="354"/>
      <c r="AL32" s="23">
        <f>AM32-AK32</f>
        <v>0</v>
      </c>
      <c r="AM32" s="421">
        <v>0</v>
      </c>
      <c r="AN32" s="355"/>
      <c r="AO32" s="23">
        <f>AP32-AN32</f>
        <v>0</v>
      </c>
      <c r="AP32" s="421">
        <v>0</v>
      </c>
      <c r="AQ32" s="421">
        <v>0</v>
      </c>
      <c r="AR32" s="23">
        <f>AS32-AQ32</f>
        <v>0</v>
      </c>
      <c r="AS32" s="421">
        <v>0</v>
      </c>
      <c r="AT32" s="421">
        <v>0</v>
      </c>
      <c r="AU32" s="421">
        <v>0</v>
      </c>
    </row>
    <row r="33" spans="1:47" outlineLevel="1">
      <c r="A33" s="217" t="s">
        <v>1067</v>
      </c>
      <c r="B33" s="251" t="s">
        <v>1143</v>
      </c>
      <c r="C33" s="246"/>
      <c r="D33" s="3"/>
      <c r="E33" s="3"/>
      <c r="F33" s="285"/>
      <c r="G33" s="265"/>
      <c r="H33" s="3"/>
      <c r="I33" s="285"/>
      <c r="J33" s="265"/>
      <c r="K33" s="38"/>
      <c r="L33" s="355"/>
      <c r="M33" s="285"/>
      <c r="N33" s="38"/>
      <c r="O33" s="355"/>
      <c r="P33" s="285"/>
      <c r="Q33" s="38"/>
      <c r="R33" s="355"/>
      <c r="S33" s="355"/>
      <c r="T33" s="38"/>
      <c r="U33" s="355"/>
      <c r="V33" s="355"/>
      <c r="W33" s="23"/>
      <c r="X33" s="355"/>
      <c r="Y33" s="355"/>
      <c r="Z33" s="23"/>
      <c r="AA33" s="355"/>
      <c r="AB33" s="355"/>
      <c r="AC33" s="23"/>
      <c r="AD33" s="355"/>
      <c r="AE33" s="354"/>
      <c r="AF33" s="23"/>
      <c r="AG33" s="355"/>
      <c r="AH33" s="504">
        <v>1.44</v>
      </c>
      <c r="AI33" s="23">
        <f t="shared" ref="AI33" si="178">AJ33-AH33</f>
        <v>0</v>
      </c>
      <c r="AJ33" s="510">
        <f>+AH33</f>
        <v>1.44</v>
      </c>
      <c r="AK33" s="355">
        <v>0</v>
      </c>
      <c r="AL33" s="23">
        <f t="shared" ref="AL33" si="179">AM33-AK33</f>
        <v>0</v>
      </c>
      <c r="AM33" s="421">
        <v>0</v>
      </c>
      <c r="AN33" s="355">
        <v>0</v>
      </c>
      <c r="AO33" s="23">
        <f t="shared" ref="AO33" si="180">AP33-AN33</f>
        <v>0</v>
      </c>
      <c r="AP33" s="421">
        <v>0</v>
      </c>
      <c r="AQ33" s="421">
        <v>0.05</v>
      </c>
      <c r="AR33" s="23">
        <f t="shared" ref="AR33" si="181">AS33-AQ33</f>
        <v>0.05</v>
      </c>
      <c r="AS33" s="421">
        <v>0.1</v>
      </c>
      <c r="AT33" s="421">
        <v>0.1</v>
      </c>
      <c r="AU33" s="421">
        <v>0</v>
      </c>
    </row>
    <row r="34" spans="1:47" s="15" customFormat="1" outlineLevel="1">
      <c r="A34" s="217" t="s">
        <v>1068</v>
      </c>
      <c r="B34" s="275" t="s">
        <v>1114</v>
      </c>
      <c r="C34" s="247"/>
      <c r="D34" s="9"/>
      <c r="E34" s="9"/>
      <c r="F34" s="283"/>
      <c r="G34" s="283"/>
      <c r="H34" s="9"/>
      <c r="I34" s="283"/>
      <c r="J34" s="283"/>
      <c r="K34" s="439"/>
      <c r="L34" s="283">
        <f>SUM(L31:L33)</f>
        <v>0</v>
      </c>
      <c r="M34" s="283">
        <f t="shared" ref="M34" si="182">SUM(M31:M33)</f>
        <v>0</v>
      </c>
      <c r="N34" s="439">
        <f t="shared" ref="N34" si="183">SUM(N31:N33)</f>
        <v>0</v>
      </c>
      <c r="O34" s="283">
        <f>SUM(O31:O33)</f>
        <v>0</v>
      </c>
      <c r="P34" s="283">
        <f t="shared" ref="P34:AD34" si="184">SUM(P31:P33)</f>
        <v>0</v>
      </c>
      <c r="Q34" s="439">
        <f t="shared" ref="Q34" si="185">SUM(Q31:Q33)</f>
        <v>0</v>
      </c>
      <c r="R34" s="283">
        <f t="shared" si="184"/>
        <v>0</v>
      </c>
      <c r="S34" s="283">
        <f t="shared" si="184"/>
        <v>0</v>
      </c>
      <c r="T34" s="439">
        <f t="shared" si="184"/>
        <v>0</v>
      </c>
      <c r="U34" s="283">
        <f t="shared" si="184"/>
        <v>0</v>
      </c>
      <c r="V34" s="283">
        <f t="shared" ref="V34:X34" si="186">SUM(V31:V33)</f>
        <v>0</v>
      </c>
      <c r="W34" s="439">
        <f t="shared" si="186"/>
        <v>0</v>
      </c>
      <c r="X34" s="283">
        <f t="shared" si="186"/>
        <v>0</v>
      </c>
      <c r="Y34" s="283">
        <f>SUM(Y31:Y33)</f>
        <v>0</v>
      </c>
      <c r="Z34" s="439">
        <f t="shared" ref="Z34:AA34" si="187">SUM(Z31:Z33)</f>
        <v>0</v>
      </c>
      <c r="AA34" s="283">
        <f t="shared" si="187"/>
        <v>0</v>
      </c>
      <c r="AB34" s="283">
        <f t="shared" si="184"/>
        <v>0</v>
      </c>
      <c r="AC34" s="439">
        <f t="shared" si="184"/>
        <v>0</v>
      </c>
      <c r="AD34" s="283">
        <f t="shared" si="184"/>
        <v>0</v>
      </c>
      <c r="AE34" s="283">
        <f>SUM(AE31:AE33)</f>
        <v>0</v>
      </c>
      <c r="AF34" s="439">
        <f t="shared" ref="AF34:AU34" si="188">SUM(AF31:AF33)</f>
        <v>0</v>
      </c>
      <c r="AG34" s="283">
        <f t="shared" si="188"/>
        <v>0</v>
      </c>
      <c r="AH34" s="283">
        <f>SUM(AH31:AH33)</f>
        <v>1.44</v>
      </c>
      <c r="AI34" s="439">
        <f t="shared" si="188"/>
        <v>0</v>
      </c>
      <c r="AJ34" s="283">
        <f t="shared" si="188"/>
        <v>1.44</v>
      </c>
      <c r="AK34" s="283">
        <f>SUM(AK31:AK33)</f>
        <v>0</v>
      </c>
      <c r="AL34" s="439">
        <f t="shared" si="188"/>
        <v>0</v>
      </c>
      <c r="AM34" s="283">
        <f t="shared" si="188"/>
        <v>0</v>
      </c>
      <c r="AN34" s="283">
        <f>SUM(AN31:AN33)</f>
        <v>0</v>
      </c>
      <c r="AO34" s="439">
        <f t="shared" ref="AO34:AP34" si="189">SUM(AO31:AO33)</f>
        <v>0</v>
      </c>
      <c r="AP34" s="283">
        <f t="shared" si="189"/>
        <v>0</v>
      </c>
      <c r="AQ34" s="283">
        <f t="shared" si="188"/>
        <v>0.05</v>
      </c>
      <c r="AR34" s="439">
        <f t="shared" si="188"/>
        <v>0.05</v>
      </c>
      <c r="AS34" s="283">
        <f t="shared" si="188"/>
        <v>0.1</v>
      </c>
      <c r="AT34" s="283">
        <f t="shared" si="188"/>
        <v>0.1</v>
      </c>
      <c r="AU34" s="283">
        <f t="shared" si="188"/>
        <v>0</v>
      </c>
    </row>
    <row r="35" spans="1:47" s="100" customFormat="1" outlineLevel="1">
      <c r="A35" s="217"/>
      <c r="B35" s="250" t="s">
        <v>967</v>
      </c>
      <c r="C35" s="247"/>
      <c r="D35" s="99"/>
      <c r="E35" s="99"/>
      <c r="F35" s="284"/>
      <c r="G35" s="284"/>
      <c r="H35" s="99"/>
      <c r="I35" s="284"/>
      <c r="J35" s="284"/>
      <c r="K35" s="179"/>
      <c r="L35" s="399"/>
      <c r="M35" s="399"/>
      <c r="N35" s="179"/>
      <c r="O35" s="399"/>
      <c r="P35" s="399"/>
      <c r="Q35" s="179"/>
      <c r="R35" s="399"/>
      <c r="S35" s="399"/>
      <c r="T35" s="179"/>
      <c r="U35" s="399"/>
      <c r="V35" s="399"/>
      <c r="W35" s="106"/>
      <c r="X35" s="333"/>
      <c r="Y35" s="333"/>
      <c r="Z35" s="106"/>
      <c r="AA35" s="333"/>
      <c r="AB35" s="399"/>
      <c r="AC35" s="106"/>
      <c r="AD35" s="333"/>
      <c r="AE35" s="332"/>
      <c r="AF35" s="106"/>
      <c r="AG35" s="332"/>
      <c r="AH35" s="332"/>
      <c r="AI35" s="106"/>
      <c r="AJ35" s="332"/>
      <c r="AK35" s="332"/>
      <c r="AL35" s="106"/>
      <c r="AM35" s="332"/>
      <c r="AN35" s="333"/>
      <c r="AO35" s="106"/>
      <c r="AP35" s="332"/>
      <c r="AQ35" s="332"/>
      <c r="AR35" s="106"/>
      <c r="AS35" s="332"/>
      <c r="AT35" s="332"/>
      <c r="AU35" s="332"/>
    </row>
    <row r="36" spans="1:47" outlineLevel="1">
      <c r="B36" s="226"/>
      <c r="C36" s="247"/>
      <c r="D36" s="56"/>
      <c r="E36" s="18"/>
      <c r="F36" s="281"/>
      <c r="G36" s="325"/>
      <c r="H36" s="18"/>
      <c r="I36" s="281"/>
      <c r="J36" s="325"/>
      <c r="K36" s="179"/>
      <c r="L36" s="289"/>
      <c r="M36" s="325"/>
      <c r="N36" s="179"/>
      <c r="O36" s="289"/>
      <c r="P36" s="325"/>
      <c r="Q36" s="179"/>
      <c r="R36" s="289"/>
      <c r="S36" s="325"/>
      <c r="T36" s="179"/>
      <c r="U36" s="289"/>
      <c r="V36" s="325"/>
      <c r="W36" s="179"/>
      <c r="X36" s="333"/>
      <c r="Y36" s="325"/>
      <c r="Z36" s="179"/>
      <c r="AA36" s="289"/>
      <c r="AB36" s="325"/>
      <c r="AC36" s="179"/>
      <c r="AD36" s="333"/>
      <c r="AE36" s="325"/>
      <c r="AF36" s="179"/>
      <c r="AG36" s="281"/>
      <c r="AH36" s="325"/>
      <c r="AI36" s="179"/>
      <c r="AJ36" s="281"/>
      <c r="AK36" s="325"/>
      <c r="AL36" s="179"/>
      <c r="AM36" s="281"/>
      <c r="AN36" s="325"/>
      <c r="AO36" s="179"/>
      <c r="AP36" s="281"/>
      <c r="AQ36" s="281"/>
      <c r="AR36" s="179"/>
      <c r="AS36" s="281"/>
      <c r="AT36" s="281"/>
      <c r="AU36" s="281"/>
    </row>
    <row r="37" spans="1:47" s="15" customFormat="1" ht="13.5" customHeight="1">
      <c r="A37" s="217" t="s">
        <v>1069</v>
      </c>
      <c r="B37" s="226" t="s">
        <v>143</v>
      </c>
      <c r="C37" s="247"/>
      <c r="D37" s="9"/>
      <c r="E37" s="9"/>
      <c r="F37" s="283"/>
      <c r="G37" s="283"/>
      <c r="H37" s="9"/>
      <c r="I37" s="283"/>
      <c r="J37" s="283"/>
      <c r="K37" s="9"/>
      <c r="L37" s="283">
        <f t="shared" ref="L37:AH37" si="190">L27-L34</f>
        <v>7.1</v>
      </c>
      <c r="M37" s="283">
        <f t="shared" si="190"/>
        <v>1.8789999999999978</v>
      </c>
      <c r="N37" s="9">
        <f t="shared" si="190"/>
        <v>3.5210000000000026</v>
      </c>
      <c r="O37" s="283">
        <f t="shared" si="190"/>
        <v>5.4</v>
      </c>
      <c r="P37" s="283">
        <f t="shared" si="190"/>
        <v>1.5380000000000038</v>
      </c>
      <c r="Q37" s="9">
        <f t="shared" si="190"/>
        <v>5.2399999999999958</v>
      </c>
      <c r="R37" s="283">
        <f t="shared" si="190"/>
        <v>6.7779999999999996</v>
      </c>
      <c r="S37" s="283">
        <f t="shared" si="190"/>
        <v>4.7</v>
      </c>
      <c r="T37" s="9">
        <f t="shared" si="190"/>
        <v>6.0230000000000006</v>
      </c>
      <c r="U37" s="283">
        <f t="shared" si="190"/>
        <v>10.723000000000001</v>
      </c>
      <c r="V37" s="283">
        <f t="shared" si="190"/>
        <v>5.8</v>
      </c>
      <c r="W37" s="9">
        <f t="shared" si="190"/>
        <v>5.1830000000000043</v>
      </c>
      <c r="X37" s="283">
        <f t="shared" si="190"/>
        <v>10.983000000000004</v>
      </c>
      <c r="Y37" s="283">
        <f t="shared" si="190"/>
        <v>5.6219999999999999</v>
      </c>
      <c r="Z37" s="9">
        <f t="shared" si="190"/>
        <v>8.5139999999999993</v>
      </c>
      <c r="AA37" s="283">
        <f t="shared" si="190"/>
        <v>14.135999999999999</v>
      </c>
      <c r="AB37" s="283">
        <f t="shared" si="190"/>
        <v>6.8129999999999997</v>
      </c>
      <c r="AC37" s="9">
        <f t="shared" si="190"/>
        <v>10.423000000000002</v>
      </c>
      <c r="AD37" s="283">
        <f t="shared" si="190"/>
        <v>17.236000000000001</v>
      </c>
      <c r="AE37" s="283">
        <f t="shared" si="190"/>
        <v>11.818</v>
      </c>
      <c r="AF37" s="9">
        <f t="shared" si="190"/>
        <v>13.805999999999999</v>
      </c>
      <c r="AG37" s="283">
        <f t="shared" si="190"/>
        <v>25.623999999999999</v>
      </c>
      <c r="AH37" s="283">
        <f t="shared" si="190"/>
        <v>13.642000000000001</v>
      </c>
      <c r="AI37" s="9">
        <f>AI27-AI34</f>
        <v>15.617999999999999</v>
      </c>
      <c r="AJ37" s="283">
        <f>AJ27-AJ34</f>
        <v>29.259999999999998</v>
      </c>
      <c r="AK37" s="283">
        <f t="shared" ref="AK37:AL37" si="191">AK27-AK34</f>
        <v>12.664999999999999</v>
      </c>
      <c r="AL37" s="9">
        <f t="shared" si="191"/>
        <v>13.435000000000002</v>
      </c>
      <c r="AM37" s="283">
        <f>AM27-AM34</f>
        <v>26.1</v>
      </c>
      <c r="AN37" s="283">
        <f t="shared" ref="AN37:AU37" si="192">AN23-AN34</f>
        <v>21.666</v>
      </c>
      <c r="AO37" s="9">
        <f t="shared" ref="AO37" si="193">AO23-AO34</f>
        <v>20.654999999999994</v>
      </c>
      <c r="AP37" s="283">
        <f>AP23-AP34</f>
        <v>42.320999999999998</v>
      </c>
      <c r="AQ37" s="283">
        <f>AQ23-AQ34</f>
        <v>21.351222791878985</v>
      </c>
      <c r="AR37" s="9">
        <f t="shared" ref="AR37" si="194">AR23-AR34</f>
        <v>26.125276743152863</v>
      </c>
      <c r="AS37" s="283">
        <f>AS23-AS34</f>
        <v>47.476499535031842</v>
      </c>
      <c r="AT37" s="283">
        <f t="shared" si="192"/>
        <v>55.054420032438223</v>
      </c>
      <c r="AU37" s="283">
        <f t="shared" si="192"/>
        <v>64.144031013700285</v>
      </c>
    </row>
    <row r="38" spans="1:47" s="50" customFormat="1">
      <c r="A38" s="217" t="s">
        <v>1076</v>
      </c>
      <c r="B38" s="250" t="s">
        <v>1095</v>
      </c>
      <c r="C38" s="247"/>
      <c r="D38" s="31"/>
      <c r="E38" s="31"/>
      <c r="F38" s="288"/>
      <c r="G38" s="288"/>
      <c r="H38" s="31"/>
      <c r="I38" s="288"/>
      <c r="J38" s="288"/>
      <c r="K38" s="223"/>
      <c r="L38" s="296">
        <f>+L37/L$9</f>
        <v>0.14614767090014613</v>
      </c>
      <c r="M38" s="296">
        <f t="shared" ref="M38" si="195">+M37/M$9</f>
        <v>7.8285142904757854E-2</v>
      </c>
      <c r="N38" s="223">
        <f t="shared" ref="N38" si="196">+N37/N$9</f>
        <v>0.13539703903095568</v>
      </c>
      <c r="O38" s="296">
        <f>+O37/O$9</f>
        <v>0.1079848821165037</v>
      </c>
      <c r="P38" s="296">
        <f t="shared" ref="P38:AU38" si="197">+P37/P$9</f>
        <v>6.7500548606539562E-2</v>
      </c>
      <c r="Q38" s="223">
        <f t="shared" ref="Q38" si="198">+Q37/Q$9</f>
        <v>0.19148547414580655</v>
      </c>
      <c r="R38" s="296">
        <f t="shared" si="197"/>
        <v>0.1351545363908275</v>
      </c>
      <c r="S38" s="296">
        <f t="shared" si="197"/>
        <v>0.155346223764667</v>
      </c>
      <c r="T38" s="223">
        <f t="shared" si="197"/>
        <v>0.18621691813010147</v>
      </c>
      <c r="U38" s="296">
        <f t="shared" si="197"/>
        <v>0.17129666608092783</v>
      </c>
      <c r="V38" s="296">
        <f t="shared" ref="V38:AA38" si="199">+V37/V$9</f>
        <v>0.1740278444551128</v>
      </c>
      <c r="W38" s="224">
        <f t="shared" si="199"/>
        <v>0.17403129407024392</v>
      </c>
      <c r="X38" s="333">
        <f t="shared" si="199"/>
        <v>0.17402947234986538</v>
      </c>
      <c r="Y38" s="333">
        <f t="shared" si="199"/>
        <v>0.19275869162723719</v>
      </c>
      <c r="Z38" s="224">
        <f t="shared" si="199"/>
        <v>0.25883139782331116</v>
      </c>
      <c r="AA38" s="333">
        <f t="shared" si="199"/>
        <v>0.22777956815984529</v>
      </c>
      <c r="AB38" s="296">
        <f t="shared" si="197"/>
        <v>0.20485912740175002</v>
      </c>
      <c r="AC38" s="224">
        <f t="shared" si="197"/>
        <v>0.28336459777614659</v>
      </c>
      <c r="AD38" s="333">
        <f t="shared" si="197"/>
        <v>0.24608794974300399</v>
      </c>
      <c r="AE38" s="332">
        <f t="shared" si="197"/>
        <v>0.25434197783277734</v>
      </c>
      <c r="AF38" s="224">
        <f t="shared" si="197"/>
        <v>0.28412669012780145</v>
      </c>
      <c r="AG38" s="332">
        <f t="shared" ref="AG38:AH38" si="200">+AG37/AG$9</f>
        <v>0.26956741289345226</v>
      </c>
      <c r="AH38" s="332">
        <f t="shared" si="200"/>
        <v>0.25898433792121506</v>
      </c>
      <c r="AI38" s="224">
        <f t="shared" si="197"/>
        <v>0.29013561211220507</v>
      </c>
      <c r="AJ38" s="332">
        <f t="shared" si="197"/>
        <v>0.27472888596779493</v>
      </c>
      <c r="AK38" s="332">
        <f t="shared" si="197"/>
        <v>0.23013464648483636</v>
      </c>
      <c r="AL38" s="224">
        <f t="shared" si="197"/>
        <v>0.24265356620369535</v>
      </c>
      <c r="AM38" s="332">
        <f t="shared" si="197"/>
        <v>0.23641304347826086</v>
      </c>
      <c r="AN38" s="333">
        <f t="shared" ref="AN38" si="201">+AN37/AN$9</f>
        <v>0.37495457141373761</v>
      </c>
      <c r="AO38" s="224">
        <f t="shared" ref="AO38" si="202">+AO37/AO$9</f>
        <v>0.34588140730445255</v>
      </c>
      <c r="AP38" s="332">
        <f t="shared" ref="AP38" si="203">+AP37/AP$9</f>
        <v>0.36017872340425527</v>
      </c>
      <c r="AQ38" s="332">
        <f t="shared" si="197"/>
        <v>0.34597299685243077</v>
      </c>
      <c r="AR38" s="224">
        <f t="shared" si="197"/>
        <v>0.40178874050578856</v>
      </c>
      <c r="AS38" s="332">
        <f t="shared" ref="AS38" si="204">+AS37/AS$9</f>
        <v>0.37460949746012723</v>
      </c>
      <c r="AT38" s="332">
        <f t="shared" si="197"/>
        <v>0.38971494308276777</v>
      </c>
      <c r="AU38" s="332">
        <f t="shared" si="197"/>
        <v>0.40865792799971029</v>
      </c>
    </row>
    <row r="39" spans="1:47" s="100" customFormat="1">
      <c r="A39" s="217"/>
      <c r="B39" s="250" t="s">
        <v>967</v>
      </c>
      <c r="C39" s="247"/>
      <c r="D39" s="99"/>
      <c r="E39" s="99"/>
      <c r="F39" s="284"/>
      <c r="G39" s="284"/>
      <c r="H39" s="99"/>
      <c r="I39" s="284"/>
      <c r="J39" s="284"/>
      <c r="K39" s="179"/>
      <c r="L39" s="399"/>
      <c r="M39" s="284"/>
      <c r="N39" s="179"/>
      <c r="O39" s="399">
        <f>+O37/L37-1</f>
        <v>-0.23943661971830976</v>
      </c>
      <c r="P39" s="399">
        <f t="shared" ref="P39" si="205">+P37/M37-1</f>
        <v>-0.18147951037785759</v>
      </c>
      <c r="Q39" s="179">
        <f t="shared" ref="Q39" si="206">+Q37/N37-1</f>
        <v>0.48821357568872248</v>
      </c>
      <c r="R39" s="399">
        <f>+R37/O37-1</f>
        <v>0.25518518518518496</v>
      </c>
      <c r="S39" s="399">
        <f t="shared" ref="S39" si="207">+S37/P37-1</f>
        <v>2.0559167750325025</v>
      </c>
      <c r="T39" s="179">
        <f t="shared" ref="T39" si="208">+T37/Q37-1</f>
        <v>0.14942748091603164</v>
      </c>
      <c r="U39" s="399">
        <f t="shared" ref="U39" si="209">+U37/R37-1</f>
        <v>0.5820300973738568</v>
      </c>
      <c r="V39" s="399">
        <f t="shared" ref="V39" si="210">+V37/S37-1</f>
        <v>0.23404255319148937</v>
      </c>
      <c r="W39" s="106">
        <f t="shared" ref="W39" si="211">+W37/T37-1</f>
        <v>-0.1394653826996507</v>
      </c>
      <c r="X39" s="333">
        <f t="shared" ref="X39" si="212">+X37/U37-1</f>
        <v>2.4246945817402166E-2</v>
      </c>
      <c r="Y39" s="333">
        <f t="shared" ref="Y39" si="213">+Y37/V37-1</f>
        <v>-3.0689655172413732E-2</v>
      </c>
      <c r="Z39" s="106">
        <f t="shared" ref="Z39" si="214">+Z37/W37-1</f>
        <v>0.64267798572255308</v>
      </c>
      <c r="AA39" s="333">
        <f t="shared" ref="AA39" si="215">+AA37/X37-1</f>
        <v>0.28708003277792904</v>
      </c>
      <c r="AB39" s="399">
        <f t="shared" ref="AB39" si="216">+AB37/Y37-1</f>
        <v>0.21184631803628595</v>
      </c>
      <c r="AC39" s="106">
        <f t="shared" ref="AC39" si="217">+AC37/Z37-1</f>
        <v>0.22421893352125943</v>
      </c>
      <c r="AD39" s="333">
        <f t="shared" ref="AD39" si="218">+AD37/AA37-1</f>
        <v>0.2192982456140351</v>
      </c>
      <c r="AE39" s="332">
        <f t="shared" ref="AE39" si="219">+AE37/AB37-1</f>
        <v>0.73462498165272283</v>
      </c>
      <c r="AF39" s="106">
        <f t="shared" ref="AF39:AH39" si="220">+AF37/AC37-1</f>
        <v>0.32457066103808851</v>
      </c>
      <c r="AG39" s="332">
        <f t="shared" si="220"/>
        <v>0.48665583662102563</v>
      </c>
      <c r="AH39" s="332">
        <f t="shared" si="220"/>
        <v>0.15434083601286197</v>
      </c>
      <c r="AI39" s="106">
        <f t="shared" ref="AI39" si="221">+AI37/AF37-1</f>
        <v>0.13124728378965655</v>
      </c>
      <c r="AJ39" s="332">
        <f t="shared" ref="AJ39:AK39" si="222">+AJ37/AG37-1</f>
        <v>0.14189822041835787</v>
      </c>
      <c r="AK39" s="332">
        <f t="shared" si="222"/>
        <v>-7.1617064946488895E-2</v>
      </c>
      <c r="AL39" s="106">
        <f t="shared" ref="AL39" si="223">+AL37/AI37-1</f>
        <v>-0.13977461902932486</v>
      </c>
      <c r="AM39" s="332">
        <f>+AM37/AJ37-1</f>
        <v>-0.10799726589200265</v>
      </c>
      <c r="AN39" s="333">
        <f t="shared" ref="AN39:AP39" si="224">+AN37/AK37-1</f>
        <v>0.71069877615475741</v>
      </c>
      <c r="AO39" s="106">
        <f t="shared" si="224"/>
        <v>0.53740230740602835</v>
      </c>
      <c r="AP39" s="332">
        <f t="shared" si="224"/>
        <v>0.62149425287356297</v>
      </c>
      <c r="AQ39" s="332">
        <f t="shared" ref="AQ39:AS39" si="225">+AQ37/AN37-1</f>
        <v>-1.4528625870996681E-2</v>
      </c>
      <c r="AR39" s="106">
        <f t="shared" ref="AR39" si="226">+AR37/AO37-1</f>
        <v>0.26484031678300024</v>
      </c>
      <c r="AS39" s="332">
        <f t="shared" si="225"/>
        <v>0.12181894414195882</v>
      </c>
      <c r="AT39" s="332">
        <f>+AT37/AS37-1</f>
        <v>0.15961413692293824</v>
      </c>
      <c r="AU39" s="332">
        <f>+AU37/AT37-1</f>
        <v>0.16510229289322154</v>
      </c>
    </row>
    <row r="40" spans="1:47">
      <c r="B40" s="226"/>
      <c r="C40" s="247"/>
      <c r="D40" s="18"/>
      <c r="E40" s="36"/>
      <c r="F40" s="289"/>
      <c r="G40" s="289"/>
      <c r="H40" s="36"/>
      <c r="I40" s="289"/>
      <c r="J40" s="289"/>
      <c r="K40" s="4"/>
      <c r="L40" s="289"/>
      <c r="M40" s="289"/>
      <c r="N40" s="4"/>
      <c r="O40" s="289"/>
      <c r="P40" s="289"/>
      <c r="Q40" s="4"/>
      <c r="R40" s="289"/>
      <c r="S40" s="289"/>
      <c r="T40" s="4"/>
      <c r="U40" s="289"/>
      <c r="V40" s="289"/>
      <c r="W40" s="4"/>
      <c r="X40" s="289"/>
      <c r="Y40" s="289"/>
      <c r="Z40" s="4"/>
      <c r="AA40" s="289"/>
      <c r="AB40" s="289"/>
      <c r="AC40" s="4"/>
      <c r="AD40" s="289"/>
      <c r="AE40" s="281"/>
      <c r="AF40" s="4"/>
      <c r="AG40" s="281"/>
      <c r="AH40" s="281"/>
      <c r="AI40" s="4"/>
      <c r="AJ40" s="281"/>
      <c r="AK40" s="281"/>
      <c r="AL40" s="4"/>
      <c r="AM40" s="281"/>
      <c r="AN40" s="289"/>
      <c r="AO40" s="4"/>
      <c r="AP40" s="281"/>
      <c r="AQ40" s="281"/>
      <c r="AR40" s="4"/>
      <c r="AS40" s="281"/>
      <c r="AT40" s="281"/>
      <c r="AU40" s="281"/>
    </row>
    <row r="41" spans="1:47" ht="13.5" customHeight="1">
      <c r="B41" s="253" t="s">
        <v>566</v>
      </c>
      <c r="C41" s="248"/>
      <c r="D41" s="7"/>
      <c r="E41" s="4"/>
      <c r="F41" s="290"/>
      <c r="G41" s="290"/>
      <c r="H41" s="4"/>
      <c r="I41" s="290"/>
      <c r="J41" s="290"/>
      <c r="K41" s="4"/>
      <c r="L41" s="290"/>
      <c r="M41" s="290"/>
      <c r="N41" s="4"/>
      <c r="O41" s="290"/>
      <c r="P41" s="290"/>
      <c r="Q41" s="4"/>
      <c r="R41" s="290"/>
      <c r="S41" s="290"/>
      <c r="T41" s="4"/>
      <c r="U41" s="355"/>
      <c r="V41" s="355"/>
      <c r="W41" s="4">
        <f>+X41-V41</f>
        <v>0</v>
      </c>
      <c r="X41" s="355"/>
      <c r="Y41" s="355"/>
      <c r="Z41" s="4">
        <f>+AA41-Y41</f>
        <v>0</v>
      </c>
      <c r="AA41" s="355"/>
      <c r="AB41" s="355"/>
      <c r="AC41" s="4">
        <f>+AD41-AB41</f>
        <v>0</v>
      </c>
      <c r="AD41" s="359"/>
      <c r="AE41" s="359"/>
      <c r="AF41" s="4"/>
      <c r="AG41" s="359"/>
      <c r="AH41" s="359"/>
      <c r="AI41" s="484"/>
      <c r="AJ41" s="465"/>
      <c r="AK41" s="359">
        <v>2.37</v>
      </c>
      <c r="AL41" s="484">
        <f>+AM41-AK41</f>
        <v>2.0469999999999997</v>
      </c>
      <c r="AM41" s="359">
        <f>1.877+2.54</f>
        <v>4.4169999999999998</v>
      </c>
      <c r="AN41" s="305">
        <f>+AN43-AN42</f>
        <v>2.1520000000000001</v>
      </c>
      <c r="AO41" s="484">
        <f>+AP41-AN41</f>
        <v>1.9559999999999995</v>
      </c>
      <c r="AP41" s="305">
        <f>+AP43-AP42</f>
        <v>4.1079999999999997</v>
      </c>
      <c r="AQ41" s="303">
        <f>+AS41/2</f>
        <v>2.2154526861460897</v>
      </c>
      <c r="AR41" s="484">
        <f>+AS41-AQ41</f>
        <v>2.2154526861460897</v>
      </c>
      <c r="AS41" s="575">
        <f>AP41*(1+AS$74)</f>
        <v>4.4309053722921794</v>
      </c>
      <c r="AT41" s="574">
        <f>AS41*(1+AT$74)</f>
        <v>4.9389849379636699</v>
      </c>
      <c r="AU41" s="576">
        <v>2</v>
      </c>
    </row>
    <row r="42" spans="1:47">
      <c r="B42" s="253" t="s">
        <v>984</v>
      </c>
      <c r="C42" s="247"/>
      <c r="D42" s="7"/>
      <c r="E42" s="3"/>
      <c r="F42" s="290"/>
      <c r="G42" s="290"/>
      <c r="H42" s="7"/>
      <c r="I42" s="290"/>
      <c r="J42" s="290"/>
      <c r="K42" s="4"/>
      <c r="L42" s="290"/>
      <c r="M42" s="290"/>
      <c r="N42" s="4"/>
      <c r="O42" s="290"/>
      <c r="P42" s="290"/>
      <c r="Q42" s="4"/>
      <c r="R42" s="290"/>
      <c r="S42" s="290"/>
      <c r="T42" s="4"/>
      <c r="U42" s="355"/>
      <c r="V42" s="355"/>
      <c r="W42" s="4">
        <f>+X42-V42</f>
        <v>0</v>
      </c>
      <c r="X42" s="355"/>
      <c r="Y42" s="355"/>
      <c r="Z42" s="4">
        <f>+AA42-Y42</f>
        <v>0</v>
      </c>
      <c r="AA42" s="355"/>
      <c r="AB42" s="355"/>
      <c r="AC42" s="4">
        <f>+AD42-AB42</f>
        <v>0</v>
      </c>
      <c r="AD42" s="355"/>
      <c r="AE42" s="355"/>
      <c r="AF42" s="4"/>
      <c r="AG42" s="355"/>
      <c r="AH42" s="355"/>
      <c r="AI42" s="484"/>
      <c r="AJ42" s="480"/>
      <c r="AK42" s="355"/>
      <c r="AL42" s="484">
        <f>+AM42-AK42</f>
        <v>-0.90300000000000047</v>
      </c>
      <c r="AM42" s="311">
        <f>+AM37-AM44-AM41</f>
        <v>-0.90300000000000047</v>
      </c>
      <c r="AN42" s="355">
        <v>0.95199999999999996</v>
      </c>
      <c r="AO42" s="484">
        <f>+AP42-AN42</f>
        <v>0.91800000000000015</v>
      </c>
      <c r="AP42" s="355">
        <v>1.87</v>
      </c>
      <c r="AQ42" s="480">
        <f t="shared" ref="AQ42:AR42" si="227">+AQ330*-1</f>
        <v>1.7426196426751595</v>
      </c>
      <c r="AR42" s="484">
        <f t="shared" si="227"/>
        <v>1.7426196426751595</v>
      </c>
      <c r="AS42" s="480">
        <f t="shared" ref="AS42" si="228">+AS330*-1</f>
        <v>3.4852392853503189</v>
      </c>
      <c r="AT42" s="480">
        <f t="shared" ref="AT42:AU42" si="229">+AT330*-1</f>
        <v>7.2147259644066253</v>
      </c>
      <c r="AU42" s="480">
        <f t="shared" si="229"/>
        <v>11.18588099029852</v>
      </c>
    </row>
    <row r="43" spans="1:47">
      <c r="A43" s="217" t="s">
        <v>1071</v>
      </c>
      <c r="B43" s="225" t="s">
        <v>1059</v>
      </c>
      <c r="C43" s="248"/>
      <c r="D43" s="7"/>
      <c r="E43" s="3"/>
      <c r="F43" s="290"/>
      <c r="G43" s="290"/>
      <c r="H43" s="7"/>
      <c r="I43" s="290"/>
      <c r="J43" s="290"/>
      <c r="K43" s="4"/>
      <c r="L43" s="311">
        <v>0</v>
      </c>
      <c r="M43" s="355">
        <v>0</v>
      </c>
      <c r="N43" s="4">
        <f>+O43-M43</f>
        <v>1.2999999999999901E-2</v>
      </c>
      <c r="O43" s="311">
        <f>+O37-O44</f>
        <v>1.2999999999999901E-2</v>
      </c>
      <c r="P43" s="355">
        <f>0.883+0.096-0.745</f>
        <v>0.23399999999999999</v>
      </c>
      <c r="Q43" s="4">
        <f>+R43-P43</f>
        <v>0.6819999999999995</v>
      </c>
      <c r="R43" s="311">
        <f>+R37-R44</f>
        <v>0.91599999999999948</v>
      </c>
      <c r="S43" s="311">
        <f>+S37-S44</f>
        <v>0.10300000000000065</v>
      </c>
      <c r="T43" s="4">
        <f>+U43-S43</f>
        <v>0.55099999999999927</v>
      </c>
      <c r="U43" s="311">
        <f>+U37-U44</f>
        <v>0.65399999999999991</v>
      </c>
      <c r="V43" s="311">
        <f>+V37-V44</f>
        <v>0.49699999999999989</v>
      </c>
      <c r="W43" s="4">
        <f>+X43-V43</f>
        <v>1.042</v>
      </c>
      <c r="X43" s="355">
        <v>1.5389999999999999</v>
      </c>
      <c r="Y43" s="311">
        <f>+Y37-Y44</f>
        <v>1.4139999999999997</v>
      </c>
      <c r="Z43" s="4">
        <f>+AA43-Y43</f>
        <v>1.4290000000000003</v>
      </c>
      <c r="AA43" s="311">
        <f>+AA37-AA44</f>
        <v>2.843</v>
      </c>
      <c r="AB43" s="311">
        <f>+AB37-AB44</f>
        <v>1.3719999999999999</v>
      </c>
      <c r="AC43" s="4">
        <f>+AD43-AB43</f>
        <v>1.7300000000000022</v>
      </c>
      <c r="AD43" s="311">
        <f>+AD37-AD44</f>
        <v>3.1020000000000021</v>
      </c>
      <c r="AE43" s="311">
        <f>+AE37-AE44</f>
        <v>2.3610000000000007</v>
      </c>
      <c r="AF43" s="4">
        <f>+AG43-AE43</f>
        <v>2.4239999999999959</v>
      </c>
      <c r="AG43" s="311">
        <f>+AG37-AG44</f>
        <v>4.7849999999999966</v>
      </c>
      <c r="AH43" s="355">
        <v>2.4070000000000018</v>
      </c>
      <c r="AI43" s="4">
        <f>+AJ43-AH43</f>
        <v>3.1169999999999973</v>
      </c>
      <c r="AJ43" s="355">
        <f>1.877+2.441+1.206</f>
        <v>5.5239999999999991</v>
      </c>
      <c r="AK43" s="355">
        <v>2.37</v>
      </c>
      <c r="AL43" s="484">
        <f>+AL41+AL42</f>
        <v>1.1439999999999992</v>
      </c>
      <c r="AM43" s="480">
        <f>+AM41+AM42</f>
        <v>3.5139999999999993</v>
      </c>
      <c r="AN43" s="359">
        <v>3.1040000000000001</v>
      </c>
      <c r="AO43" s="484">
        <f>+AO41+AO42</f>
        <v>2.8739999999999997</v>
      </c>
      <c r="AP43" s="359">
        <v>5.9779999999999998</v>
      </c>
      <c r="AQ43" s="480">
        <f t="shared" ref="AQ43:AR43" si="230">+AQ41+AQ42</f>
        <v>3.9580723288212489</v>
      </c>
      <c r="AR43" s="484">
        <f t="shared" si="230"/>
        <v>3.9580723288212489</v>
      </c>
      <c r="AS43" s="480">
        <f>+AS41+AS42</f>
        <v>7.9161446576424979</v>
      </c>
      <c r="AT43" s="480">
        <f t="shared" ref="AT43:AU43" si="231">+AT41+AT42</f>
        <v>12.153710902370296</v>
      </c>
      <c r="AU43" s="480">
        <f t="shared" si="231"/>
        <v>13.18588099029852</v>
      </c>
    </row>
    <row r="44" spans="1:47">
      <c r="A44" s="217" t="s">
        <v>1070</v>
      </c>
      <c r="B44" s="226" t="s">
        <v>184</v>
      </c>
      <c r="C44" s="247"/>
      <c r="D44" s="18"/>
      <c r="E44" s="18"/>
      <c r="F44" s="281"/>
      <c r="G44" s="281"/>
      <c r="H44" s="18"/>
      <c r="I44" s="281"/>
      <c r="J44" s="281"/>
      <c r="K44" s="439"/>
      <c r="L44" s="528">
        <f>+L49+L48+L47</f>
        <v>7.1459999999999999</v>
      </c>
      <c r="M44" s="283">
        <f t="shared" ref="M44" si="232">M37-M43</f>
        <v>1.8789999999999978</v>
      </c>
      <c r="N44" s="439">
        <f t="shared" ref="N44" si="233">N37-N43</f>
        <v>3.5080000000000027</v>
      </c>
      <c r="O44" s="506">
        <f>+O49+O48+O47</f>
        <v>5.3870000000000005</v>
      </c>
      <c r="P44" s="283">
        <f t="shared" ref="P44:AC44" si="234">P37-P43</f>
        <v>1.3040000000000038</v>
      </c>
      <c r="Q44" s="439">
        <f t="shared" ref="Q44" si="235">Q37-Q43</f>
        <v>4.5579999999999963</v>
      </c>
      <c r="R44" s="506">
        <f>+R49+R48+R47</f>
        <v>5.8620000000000001</v>
      </c>
      <c r="S44" s="506">
        <f>+S49+S48+S47</f>
        <v>4.5969999999999995</v>
      </c>
      <c r="T44" s="439">
        <f t="shared" si="234"/>
        <v>5.4720000000000013</v>
      </c>
      <c r="U44" s="506">
        <f>+U49+U48+U47</f>
        <v>10.069000000000001</v>
      </c>
      <c r="V44" s="506">
        <f>+V49+V48+V47</f>
        <v>5.3029999999999999</v>
      </c>
      <c r="W44" s="27">
        <f t="shared" ref="W44" si="236">W37-W43</f>
        <v>4.1410000000000045</v>
      </c>
      <c r="X44" s="506">
        <f>+X49+X48+X47</f>
        <v>9.4440000000000008</v>
      </c>
      <c r="Y44" s="506">
        <f>+Y49+Y48+Y47</f>
        <v>4.2080000000000002</v>
      </c>
      <c r="Z44" s="27">
        <f t="shared" ref="Z44" si="237">Z37-Z43</f>
        <v>7.0849999999999991</v>
      </c>
      <c r="AA44" s="506">
        <f>+AA49+AA48+AA47</f>
        <v>11.292999999999999</v>
      </c>
      <c r="AB44" s="506">
        <f>+AB49+AB48+AB47</f>
        <v>5.4409999999999998</v>
      </c>
      <c r="AC44" s="27">
        <f t="shared" si="234"/>
        <v>8.6929999999999996</v>
      </c>
      <c r="AD44" s="506">
        <f>+AD49+AD48+AD47</f>
        <v>14.133999999999999</v>
      </c>
      <c r="AE44" s="506">
        <f>+AE49+AE48+AE47</f>
        <v>9.456999999999999</v>
      </c>
      <c r="AF44" s="27">
        <f t="shared" ref="AF44:AU44" si="238">AF37-AF43</f>
        <v>11.382000000000003</v>
      </c>
      <c r="AG44" s="539">
        <f>+AG49+AG48+AG47</f>
        <v>20.839000000000002</v>
      </c>
      <c r="AH44" s="27">
        <f>AH23-AH43</f>
        <v>19.106000000000002</v>
      </c>
      <c r="AI44" s="27">
        <f>AI23-AI43</f>
        <v>18.579499999999999</v>
      </c>
      <c r="AJ44" s="541">
        <f>AJ37-AJ43</f>
        <v>23.735999999999997</v>
      </c>
      <c r="AK44" s="27">
        <f>AK27-AK43</f>
        <v>10.294999999999998</v>
      </c>
      <c r="AL44" s="27">
        <f t="shared" si="238"/>
        <v>12.291000000000004</v>
      </c>
      <c r="AM44" s="287">
        <f>+AM49+AM48+AM47</f>
        <v>22.586000000000002</v>
      </c>
      <c r="AN44" s="283">
        <f>AN37-AN43</f>
        <v>18.562000000000001</v>
      </c>
      <c r="AO44" s="27">
        <f t="shared" ref="AO44" si="239">AO37-AO43</f>
        <v>17.780999999999995</v>
      </c>
      <c r="AP44" s="287">
        <f>AP37-AP43</f>
        <v>36.342999999999996</v>
      </c>
      <c r="AQ44" s="287">
        <f t="shared" si="238"/>
        <v>17.393150463057736</v>
      </c>
      <c r="AR44" s="27">
        <f t="shared" si="238"/>
        <v>22.167204414331614</v>
      </c>
      <c r="AS44" s="287">
        <f t="shared" ref="AS44" si="240">AS37-AS43</f>
        <v>39.560354877389344</v>
      </c>
      <c r="AT44" s="287">
        <f t="shared" si="238"/>
        <v>42.900709130067924</v>
      </c>
      <c r="AU44" s="287">
        <f t="shared" si="238"/>
        <v>50.958150023401764</v>
      </c>
    </row>
    <row r="45" spans="1:47" s="50" customFormat="1">
      <c r="A45" s="217"/>
      <c r="B45" s="250" t="s">
        <v>1096</v>
      </c>
      <c r="C45" s="247"/>
      <c r="D45" s="31"/>
      <c r="E45" s="31"/>
      <c r="F45" s="288"/>
      <c r="G45" s="288"/>
      <c r="H45" s="31"/>
      <c r="I45" s="288"/>
      <c r="J45" s="288"/>
      <c r="K45" s="223"/>
      <c r="L45" s="296">
        <f>+L44/L$9</f>
        <v>0.14709454313414708</v>
      </c>
      <c r="M45" s="296">
        <f t="shared" ref="M45" si="241">+M44/M$9</f>
        <v>7.8285142904757854E-2</v>
      </c>
      <c r="N45" s="223">
        <f t="shared" ref="N45" si="242">+N44/N$9</f>
        <v>0.13489713516631427</v>
      </c>
      <c r="O45" s="296">
        <f>+O44/O$9</f>
        <v>0.10772491851140842</v>
      </c>
      <c r="P45" s="296">
        <f t="shared" ref="P45:AU45" si="243">+P44/P$9</f>
        <v>5.7230634189159704E-2</v>
      </c>
      <c r="Q45" s="223">
        <f t="shared" ref="Q45" si="244">+Q44/Q$9</f>
        <v>0.16656312808331797</v>
      </c>
      <c r="R45" s="296">
        <f t="shared" si="243"/>
        <v>0.11688933200398804</v>
      </c>
      <c r="S45" s="296">
        <f t="shared" si="243"/>
        <v>0.15194182779705834</v>
      </c>
      <c r="T45" s="223">
        <f t="shared" si="243"/>
        <v>0.16918130101409851</v>
      </c>
      <c r="U45" s="296">
        <f t="shared" si="243"/>
        <v>0.16084921484368761</v>
      </c>
      <c r="V45" s="296">
        <f t="shared" ref="V45:AA45" si="245">+V44/V$9</f>
        <v>0.15911545847335573</v>
      </c>
      <c r="W45" s="224">
        <f t="shared" si="245"/>
        <v>0.13904371768182139</v>
      </c>
      <c r="X45" s="333">
        <f t="shared" si="245"/>
        <v>0.14964347963872604</v>
      </c>
      <c r="Y45" s="333">
        <f t="shared" si="245"/>
        <v>0.14427758348762257</v>
      </c>
      <c r="Z45" s="224">
        <f t="shared" si="245"/>
        <v>0.21538882470967344</v>
      </c>
      <c r="AA45" s="333">
        <f t="shared" si="245"/>
        <v>0.18196906219787301</v>
      </c>
      <c r="AB45" s="296">
        <f t="shared" si="243"/>
        <v>0.16360465465916951</v>
      </c>
      <c r="AC45" s="224">
        <f t="shared" ref="AC45" si="246">+AC44/AC$9</f>
        <v>0.23633200119620471</v>
      </c>
      <c r="AD45" s="333">
        <f t="shared" si="243"/>
        <v>0.20179897201599081</v>
      </c>
      <c r="AE45" s="332">
        <f t="shared" si="243"/>
        <v>0.20352953836220808</v>
      </c>
      <c r="AF45" s="224">
        <f t="shared" si="243"/>
        <v>0.2342409088102736</v>
      </c>
      <c r="AG45" s="332">
        <f t="shared" ref="AG45:AH45" si="247">+AG44/AG$9</f>
        <v>0.21922866520787748</v>
      </c>
      <c r="AH45" s="332">
        <f t="shared" si="247"/>
        <v>0.36271476032273381</v>
      </c>
      <c r="AI45" s="224">
        <f t="shared" si="243"/>
        <v>0.34515140256362625</v>
      </c>
      <c r="AJ45" s="332">
        <f t="shared" si="243"/>
        <v>0.22286277639547436</v>
      </c>
      <c r="AK45" s="332">
        <f t="shared" si="243"/>
        <v>0.18706957643595656</v>
      </c>
      <c r="AL45" s="224">
        <f t="shared" ref="AL45" si="248">+AL44/AL$9</f>
        <v>0.22199143894377524</v>
      </c>
      <c r="AM45" s="332">
        <f t="shared" si="243"/>
        <v>0.20458333333333334</v>
      </c>
      <c r="AN45" s="332">
        <f t="shared" ref="AN45:AP45" si="249">+AN44/AN$9</f>
        <v>0.32123634979146115</v>
      </c>
      <c r="AO45" s="224">
        <f t="shared" si="249"/>
        <v>0.29775440829244598</v>
      </c>
      <c r="AP45" s="332">
        <f t="shared" si="249"/>
        <v>0.30930212765957443</v>
      </c>
      <c r="AQ45" s="332">
        <f t="shared" ref="AQ45:AR45" si="250">+AQ44/AQ$9</f>
        <v>0.28183680387139842</v>
      </c>
      <c r="AR45" s="224">
        <f t="shared" si="250"/>
        <v>0.34091631754687368</v>
      </c>
      <c r="AS45" s="332">
        <f t="shared" ref="AS45" si="251">+AS44/AS$9</f>
        <v>0.31214779533246761</v>
      </c>
      <c r="AT45" s="332">
        <f t="shared" si="243"/>
        <v>0.3036822003934268</v>
      </c>
      <c r="AU45" s="332">
        <f t="shared" si="243"/>
        <v>0.3246514394895752</v>
      </c>
    </row>
    <row r="46" spans="1:47">
      <c r="B46" s="226"/>
      <c r="C46" s="248"/>
      <c r="D46" s="52"/>
      <c r="E46" s="49"/>
      <c r="F46" s="291"/>
      <c r="G46" s="296"/>
      <c r="H46" s="49"/>
      <c r="I46" s="291"/>
      <c r="J46" s="296"/>
      <c r="K46" s="459"/>
      <c r="L46" s="418"/>
      <c r="M46" s="296"/>
      <c r="N46" s="459"/>
      <c r="O46" s="418"/>
      <c r="P46" s="296"/>
      <c r="Q46" s="459"/>
      <c r="R46" s="418"/>
      <c r="S46" s="296"/>
      <c r="T46" s="459"/>
      <c r="U46" s="418"/>
      <c r="V46" s="296"/>
      <c r="W46" s="98"/>
      <c r="X46" s="419"/>
      <c r="Y46" s="419"/>
      <c r="Z46" s="98"/>
      <c r="AA46" s="419"/>
      <c r="AB46" s="296"/>
      <c r="AC46" s="98"/>
      <c r="AD46" s="419"/>
      <c r="AE46" s="335"/>
      <c r="AF46" s="98"/>
      <c r="AG46" s="335"/>
      <c r="AH46" s="335"/>
      <c r="AI46" s="98"/>
      <c r="AJ46" s="335"/>
      <c r="AK46" s="419"/>
      <c r="AL46" s="459"/>
      <c r="AM46" s="419"/>
      <c r="AN46" s="419"/>
      <c r="AO46" s="98"/>
      <c r="AP46" s="419"/>
      <c r="AQ46" s="335"/>
      <c r="AR46" s="98"/>
      <c r="AS46" s="368"/>
      <c r="AT46" s="335"/>
      <c r="AU46" s="368"/>
    </row>
    <row r="47" spans="1:47">
      <c r="B47" s="225" t="s">
        <v>1097</v>
      </c>
      <c r="C47" s="247"/>
      <c r="D47" s="52"/>
      <c r="E47" s="49"/>
      <c r="F47" s="291"/>
      <c r="G47" s="296"/>
      <c r="H47" s="49"/>
      <c r="I47" s="291"/>
      <c r="J47" s="296"/>
      <c r="K47" s="4"/>
      <c r="L47" s="355">
        <v>3.6999999999999998E-2</v>
      </c>
      <c r="M47" s="355">
        <v>7.0000000000000007E-2</v>
      </c>
      <c r="N47" s="4">
        <f>+O47-M47</f>
        <v>4.1999999999999996E-2</v>
      </c>
      <c r="O47" s="355">
        <v>0.112</v>
      </c>
      <c r="P47" s="355">
        <v>6.2E-2</v>
      </c>
      <c r="Q47" s="4">
        <f>+R47-P47</f>
        <v>-0.26500000000000001</v>
      </c>
      <c r="R47" s="355">
        <v>-0.20300000000000001</v>
      </c>
      <c r="S47" s="355">
        <v>0.01</v>
      </c>
      <c r="T47" s="4">
        <f>+U47-S47</f>
        <v>0.22599999999999998</v>
      </c>
      <c r="U47" s="355">
        <v>0.23599999999999999</v>
      </c>
      <c r="V47" s="355">
        <v>6.4000000000000001E-2</v>
      </c>
      <c r="W47" s="4">
        <f>+X47-V47</f>
        <v>3.0000000000000027E-3</v>
      </c>
      <c r="X47" s="355">
        <v>6.7000000000000004E-2</v>
      </c>
      <c r="Y47" s="355">
        <v>-4.8000000000000001E-2</v>
      </c>
      <c r="Z47" s="4">
        <f>+AA47-Y47</f>
        <v>7.4999999999999997E-2</v>
      </c>
      <c r="AA47" s="355">
        <v>2.7E-2</v>
      </c>
      <c r="AB47" s="355">
        <v>3.7999999999999999E-2</v>
      </c>
      <c r="AC47" s="4">
        <f>+AD47-AB47</f>
        <v>1.7000000000000001E-2</v>
      </c>
      <c r="AD47" s="354">
        <v>5.5E-2</v>
      </c>
      <c r="AE47" s="354">
        <v>5.8999999999999997E-2</v>
      </c>
      <c r="AF47" s="4">
        <f>+AG47-AE47</f>
        <v>-9.0000000000000011E-3</v>
      </c>
      <c r="AG47" s="354">
        <f>0.044+0.006</f>
        <v>4.9999999999999996E-2</v>
      </c>
      <c r="AH47" s="354">
        <v>-0.05</v>
      </c>
      <c r="AI47" s="4">
        <f>+AJ47-AH47</f>
        <v>0.05</v>
      </c>
      <c r="AJ47" s="355">
        <v>0</v>
      </c>
      <c r="AK47" s="355">
        <v>-6.0000000000000001E-3</v>
      </c>
      <c r="AL47" s="4">
        <f>+AM47-AK47</f>
        <v>0.11900000000000001</v>
      </c>
      <c r="AM47" s="355">
        <v>0.113</v>
      </c>
      <c r="AN47" s="355">
        <v>4.8000000000000001E-2</v>
      </c>
      <c r="AO47" s="4">
        <f>+AP47-AN47</f>
        <v>-4.1000000000000002E-2</v>
      </c>
      <c r="AP47" s="355">
        <v>7.0000000000000001E-3</v>
      </c>
      <c r="AQ47" s="354">
        <v>0</v>
      </c>
      <c r="AR47" s="4">
        <f>AS47-AQ47</f>
        <v>0</v>
      </c>
      <c r="AS47" s="354">
        <v>0</v>
      </c>
      <c r="AT47" s="354">
        <v>0</v>
      </c>
      <c r="AU47" s="354">
        <v>0</v>
      </c>
    </row>
    <row r="48" spans="1:47">
      <c r="B48" s="225" t="s">
        <v>397</v>
      </c>
      <c r="C48" s="248"/>
      <c r="D48" s="7"/>
      <c r="E48" s="3"/>
      <c r="F48" s="265"/>
      <c r="G48" s="265"/>
      <c r="H48" s="23"/>
      <c r="I48" s="265"/>
      <c r="J48" s="265"/>
      <c r="K48" s="4"/>
      <c r="L48" s="355">
        <v>0</v>
      </c>
      <c r="M48" s="355">
        <v>0</v>
      </c>
      <c r="N48" s="4">
        <f t="shared" ref="N48:N51" si="252">+O48-M48</f>
        <v>0</v>
      </c>
      <c r="O48" s="355">
        <v>0</v>
      </c>
      <c r="P48" s="355">
        <v>0</v>
      </c>
      <c r="Q48" s="4">
        <f t="shared" ref="Q48:Q51" si="253">+R48-P48</f>
        <v>0</v>
      </c>
      <c r="R48" s="355">
        <v>0</v>
      </c>
      <c r="S48" s="355">
        <v>0</v>
      </c>
      <c r="T48" s="4">
        <f t="shared" ref="T48:T51" si="254">+U48-S48</f>
        <v>0</v>
      </c>
      <c r="U48" s="355">
        <v>0</v>
      </c>
      <c r="V48" s="355">
        <v>0</v>
      </c>
      <c r="W48" s="4">
        <f t="shared" ref="W48:W51" si="255">+X48-V48</f>
        <v>0</v>
      </c>
      <c r="X48" s="355">
        <v>0</v>
      </c>
      <c r="Y48" s="355">
        <v>0.216</v>
      </c>
      <c r="Z48" s="4">
        <f t="shared" ref="Z48:Z51" si="256">+AA48-Y48</f>
        <v>0.24500000000000002</v>
      </c>
      <c r="AA48" s="355">
        <v>0.46100000000000002</v>
      </c>
      <c r="AB48" s="355">
        <v>0.23899999999999999</v>
      </c>
      <c r="AC48" s="4">
        <f t="shared" ref="AC48:AC51" si="257">+AD48-AB48</f>
        <v>0.249</v>
      </c>
      <c r="AD48" s="354">
        <v>0.48799999999999999</v>
      </c>
      <c r="AE48" s="354">
        <v>0.29299999999999998</v>
      </c>
      <c r="AF48" s="4">
        <f t="shared" ref="AF48:AF51" si="258">+AG48-AE48</f>
        <v>0.26900000000000007</v>
      </c>
      <c r="AG48" s="354">
        <v>0.56200000000000006</v>
      </c>
      <c r="AH48" s="354">
        <v>0.248</v>
      </c>
      <c r="AI48" s="4">
        <f t="shared" ref="AI48:AI51" si="259">+AJ48-AH48</f>
        <v>0.16599999999999993</v>
      </c>
      <c r="AJ48" s="355">
        <f>-0.034+0.472-0.024</f>
        <v>0.41399999999999992</v>
      </c>
      <c r="AK48" s="355">
        <v>-0.46</v>
      </c>
      <c r="AL48" s="4">
        <f t="shared" ref="AL48:AL51" si="260">+AM48-AK48</f>
        <v>0.95500000000000007</v>
      </c>
      <c r="AM48" s="355">
        <f>0.467+0.028</f>
        <v>0.49500000000000005</v>
      </c>
      <c r="AN48" s="355">
        <v>-1.024</v>
      </c>
      <c r="AO48" s="4">
        <f t="shared" ref="AO48:AO51" si="261">+AP48-AN48</f>
        <v>-1.0150000000000001</v>
      </c>
      <c r="AP48" s="355">
        <v>-2.0390000000000001</v>
      </c>
      <c r="AQ48" s="421">
        <f>AS48/2</f>
        <v>-1.0996368128169127</v>
      </c>
      <c r="AR48" s="4">
        <f>AS48-AQ48</f>
        <v>-1.0996368128169127</v>
      </c>
      <c r="AS48" s="421">
        <f>AP48*(1+AS$74)</f>
        <v>-2.1992736256338254</v>
      </c>
      <c r="AT48" s="421">
        <f>AS48*(1+AT$74)</f>
        <v>-2.4514582007078687</v>
      </c>
      <c r="AU48" s="421">
        <f t="shared" ref="AU48" si="262">AT48*(1+AU$74)</f>
        <v>-2.7238029090214684</v>
      </c>
    </row>
    <row r="49" spans="1:47">
      <c r="B49" s="226" t="s">
        <v>382</v>
      </c>
      <c r="C49" s="247"/>
      <c r="D49" s="9"/>
      <c r="E49" s="9"/>
      <c r="F49" s="283"/>
      <c r="G49" s="283"/>
      <c r="H49" s="9"/>
      <c r="I49" s="283"/>
      <c r="J49" s="283"/>
      <c r="K49" s="9"/>
      <c r="L49" s="505">
        <v>7.109</v>
      </c>
      <c r="M49" s="505">
        <v>1.8089999999999999</v>
      </c>
      <c r="N49" s="9">
        <f t="shared" si="252"/>
        <v>3.4660000000000002</v>
      </c>
      <c r="O49" s="505">
        <v>5.2750000000000004</v>
      </c>
      <c r="P49" s="505">
        <v>1.242</v>
      </c>
      <c r="Q49" s="9">
        <f t="shared" si="253"/>
        <v>4.8230000000000004</v>
      </c>
      <c r="R49" s="505">
        <v>6.0650000000000004</v>
      </c>
      <c r="S49" s="505">
        <v>4.5869999999999997</v>
      </c>
      <c r="T49" s="9">
        <f t="shared" si="254"/>
        <v>5.2460000000000004</v>
      </c>
      <c r="U49" s="505">
        <v>9.8330000000000002</v>
      </c>
      <c r="V49" s="505">
        <v>5.2389999999999999</v>
      </c>
      <c r="W49" s="9">
        <f t="shared" si="255"/>
        <v>4.1380000000000008</v>
      </c>
      <c r="X49" s="505">
        <v>9.3770000000000007</v>
      </c>
      <c r="Y49" s="505">
        <v>4.04</v>
      </c>
      <c r="Z49" s="9">
        <f t="shared" si="256"/>
        <v>6.7649999999999997</v>
      </c>
      <c r="AA49" s="505">
        <v>10.805</v>
      </c>
      <c r="AB49" s="505">
        <v>5.1639999999999997</v>
      </c>
      <c r="AC49" s="9">
        <f t="shared" si="257"/>
        <v>8.4269999999999996</v>
      </c>
      <c r="AD49" s="505">
        <v>13.590999999999999</v>
      </c>
      <c r="AE49" s="505">
        <v>9.1050000000000004</v>
      </c>
      <c r="AF49" s="9">
        <f t="shared" si="258"/>
        <v>11.122</v>
      </c>
      <c r="AG49" s="505">
        <v>20.227</v>
      </c>
      <c r="AH49" s="505">
        <f>11.037+1.44</f>
        <v>12.477</v>
      </c>
      <c r="AI49" s="9">
        <f t="shared" si="259"/>
        <v>10.844999999999995</v>
      </c>
      <c r="AJ49" s="283">
        <f t="shared" ref="AJ49:AU49" si="263">+AJ44-AJ48-AJ47</f>
        <v>23.321999999999996</v>
      </c>
      <c r="AK49" s="505">
        <v>10.749000000000001</v>
      </c>
      <c r="AL49" s="9">
        <f t="shared" si="260"/>
        <v>11.229000000000001</v>
      </c>
      <c r="AM49" s="283">
        <f>+AM51+AM50</f>
        <v>21.978000000000002</v>
      </c>
      <c r="AN49" s="505">
        <v>19.634</v>
      </c>
      <c r="AO49" s="9">
        <f t="shared" si="261"/>
        <v>18.741</v>
      </c>
      <c r="AP49" s="505">
        <v>38.375</v>
      </c>
      <c r="AQ49" s="283">
        <f t="shared" si="263"/>
        <v>18.492787275874647</v>
      </c>
      <c r="AR49" s="9">
        <f t="shared" si="263"/>
        <v>23.266841227148525</v>
      </c>
      <c r="AS49" s="283">
        <f t="shared" si="263"/>
        <v>41.759628503023166</v>
      </c>
      <c r="AT49" s="283">
        <f t="shared" si="263"/>
        <v>45.352167330775792</v>
      </c>
      <c r="AU49" s="283">
        <f t="shared" si="263"/>
        <v>53.681952932423229</v>
      </c>
    </row>
    <row r="50" spans="1:47">
      <c r="B50" s="225" t="s">
        <v>296</v>
      </c>
      <c r="C50" s="247"/>
      <c r="D50" s="7"/>
      <c r="E50" s="3"/>
      <c r="F50" s="285"/>
      <c r="G50" s="285"/>
      <c r="H50" s="4"/>
      <c r="I50" s="285"/>
      <c r="J50" s="285"/>
      <c r="K50" s="4"/>
      <c r="L50" s="355">
        <v>1.4239999999999999</v>
      </c>
      <c r="M50" s="355">
        <v>0.13200000000000001</v>
      </c>
      <c r="N50" s="4">
        <f t="shared" si="252"/>
        <v>0.67300000000000004</v>
      </c>
      <c r="O50" s="355">
        <v>0.80500000000000005</v>
      </c>
      <c r="P50" s="355">
        <v>-0.219</v>
      </c>
      <c r="Q50" s="4">
        <f t="shared" si="253"/>
        <v>1.0210000000000001</v>
      </c>
      <c r="R50" s="355">
        <v>0.80200000000000005</v>
      </c>
      <c r="S50" s="355">
        <v>0.84499999999999997</v>
      </c>
      <c r="T50" s="4">
        <f t="shared" si="254"/>
        <v>0.78600000000000003</v>
      </c>
      <c r="U50" s="355">
        <v>1.631</v>
      </c>
      <c r="V50" s="355">
        <v>1.129</v>
      </c>
      <c r="W50" s="4">
        <f t="shared" si="255"/>
        <v>0.8680000000000001</v>
      </c>
      <c r="X50" s="355">
        <v>1.9970000000000001</v>
      </c>
      <c r="Y50" s="355">
        <v>0.39700000000000002</v>
      </c>
      <c r="Z50" s="4">
        <f t="shared" si="256"/>
        <v>1.3579999999999999</v>
      </c>
      <c r="AA50" s="355">
        <v>1.7549999999999999</v>
      </c>
      <c r="AB50" s="355">
        <v>0.91400000000000003</v>
      </c>
      <c r="AC50" s="4">
        <f t="shared" si="257"/>
        <v>1.6519999999999997</v>
      </c>
      <c r="AD50" s="355">
        <v>2.5659999999999998</v>
      </c>
      <c r="AE50" s="355">
        <v>1.8779999999999999</v>
      </c>
      <c r="AF50" s="4">
        <f t="shared" si="258"/>
        <v>2.2629999999999999</v>
      </c>
      <c r="AG50" s="355">
        <v>4.141</v>
      </c>
      <c r="AH50" s="355">
        <v>2.3620000000000001</v>
      </c>
      <c r="AI50" s="4">
        <f t="shared" si="259"/>
        <v>1.48</v>
      </c>
      <c r="AJ50" s="355">
        <v>3.8420000000000001</v>
      </c>
      <c r="AK50" s="355">
        <v>2.5000000000000001E-2</v>
      </c>
      <c r="AL50" s="4">
        <f t="shared" si="260"/>
        <v>0.86599999999999999</v>
      </c>
      <c r="AM50" s="355">
        <v>0.89100000000000001</v>
      </c>
      <c r="AN50" s="355">
        <v>3.2309999999999999</v>
      </c>
      <c r="AO50" s="4">
        <f t="shared" si="261"/>
        <v>3.8140000000000001</v>
      </c>
      <c r="AP50" s="355">
        <v>7.0449999999999999</v>
      </c>
      <c r="AQ50" s="285">
        <f>+AQ49*AQ85</f>
        <v>3.6985574551749298</v>
      </c>
      <c r="AR50" s="4">
        <f>AS50-AQ50</f>
        <v>4.8029955788281562</v>
      </c>
      <c r="AS50" s="285">
        <f t="shared" ref="AS50:AU50" si="264">+AS49*AS85</f>
        <v>8.501553034003086</v>
      </c>
      <c r="AT50" s="285">
        <f t="shared" si="264"/>
        <v>9.977476812770675</v>
      </c>
      <c r="AU50" s="285">
        <f t="shared" si="264"/>
        <v>11.81002964513311</v>
      </c>
    </row>
    <row r="51" spans="1:47">
      <c r="B51" s="226" t="s">
        <v>985</v>
      </c>
      <c r="C51" s="248"/>
      <c r="D51" s="27"/>
      <c r="E51" s="27"/>
      <c r="F51" s="287"/>
      <c r="G51" s="287"/>
      <c r="H51" s="27"/>
      <c r="I51" s="287"/>
      <c r="J51" s="287"/>
      <c r="K51" s="9"/>
      <c r="L51" s="283">
        <f>L49-L50</f>
        <v>5.6850000000000005</v>
      </c>
      <c r="M51" s="283">
        <f>M49-M50</f>
        <v>1.677</v>
      </c>
      <c r="N51" s="9">
        <f t="shared" si="252"/>
        <v>2.7930000000000006</v>
      </c>
      <c r="O51" s="283">
        <f>O49-O50</f>
        <v>4.4700000000000006</v>
      </c>
      <c r="P51" s="283">
        <f>P49-P50</f>
        <v>1.4610000000000001</v>
      </c>
      <c r="Q51" s="9">
        <f t="shared" si="253"/>
        <v>3.8019999999999996</v>
      </c>
      <c r="R51" s="283">
        <f>R49-R50</f>
        <v>5.2629999999999999</v>
      </c>
      <c r="S51" s="283">
        <f>S49-S50</f>
        <v>3.742</v>
      </c>
      <c r="T51" s="9">
        <f t="shared" si="254"/>
        <v>4.46</v>
      </c>
      <c r="U51" s="283">
        <f t="shared" ref="U51" si="265">U49-U50</f>
        <v>8.202</v>
      </c>
      <c r="V51" s="283">
        <f>V49-V50</f>
        <v>4.1099999999999994</v>
      </c>
      <c r="W51" s="9">
        <f t="shared" si="255"/>
        <v>3.2700000000000014</v>
      </c>
      <c r="X51" s="283">
        <f t="shared" ref="X51" si="266">X49-X50</f>
        <v>7.3800000000000008</v>
      </c>
      <c r="Y51" s="283">
        <f>Y49-Y50</f>
        <v>3.6429999999999998</v>
      </c>
      <c r="Z51" s="9">
        <f t="shared" si="256"/>
        <v>5.4070000000000009</v>
      </c>
      <c r="AA51" s="283">
        <f t="shared" ref="AA51" si="267">AA49-AA50</f>
        <v>9.0500000000000007</v>
      </c>
      <c r="AB51" s="283">
        <f>AB49-AB50</f>
        <v>4.25</v>
      </c>
      <c r="AC51" s="9">
        <f t="shared" si="257"/>
        <v>6.7749999999999986</v>
      </c>
      <c r="AD51" s="287">
        <f t="shared" ref="AD51" si="268">AD49-AD50</f>
        <v>11.024999999999999</v>
      </c>
      <c r="AE51" s="287">
        <f>AE49-AE50</f>
        <v>7.2270000000000003</v>
      </c>
      <c r="AF51" s="9">
        <f t="shared" si="258"/>
        <v>8.8589999999999982</v>
      </c>
      <c r="AG51" s="287">
        <f t="shared" ref="AG51" si="269">AG49-AG50</f>
        <v>16.085999999999999</v>
      </c>
      <c r="AH51" s="287">
        <f>AH49-AH50</f>
        <v>10.115</v>
      </c>
      <c r="AI51" s="9">
        <f t="shared" si="259"/>
        <v>9.3649999999999967</v>
      </c>
      <c r="AJ51" s="287">
        <f t="shared" ref="AJ51:AT51" si="270">AJ49-AJ50</f>
        <v>19.479999999999997</v>
      </c>
      <c r="AK51" s="283">
        <f>AK49-AK50</f>
        <v>10.724</v>
      </c>
      <c r="AL51" s="9">
        <f t="shared" si="260"/>
        <v>10.363</v>
      </c>
      <c r="AM51" s="505">
        <v>21.087</v>
      </c>
      <c r="AN51" s="283">
        <f>AN49-AN50</f>
        <v>16.402999999999999</v>
      </c>
      <c r="AO51" s="9">
        <f t="shared" si="261"/>
        <v>14.927</v>
      </c>
      <c r="AP51" s="283">
        <f>AP49-AP50</f>
        <v>31.33</v>
      </c>
      <c r="AQ51" s="287">
        <f t="shared" si="270"/>
        <v>14.794229820699718</v>
      </c>
      <c r="AR51" s="9">
        <f>AS51-AQ51</f>
        <v>18.463845648320358</v>
      </c>
      <c r="AS51" s="287">
        <f t="shared" si="270"/>
        <v>33.258075469020078</v>
      </c>
      <c r="AT51" s="287">
        <f t="shared" si="270"/>
        <v>35.374690518005117</v>
      </c>
      <c r="AU51" s="287">
        <f>AU49-AU50</f>
        <v>41.871923287290116</v>
      </c>
    </row>
    <row r="52" spans="1:47">
      <c r="B52" s="225" t="s">
        <v>383</v>
      </c>
      <c r="C52" s="247"/>
      <c r="D52" s="7"/>
      <c r="E52" s="3"/>
      <c r="F52" s="290"/>
      <c r="G52" s="290"/>
      <c r="H52" s="3"/>
      <c r="I52" s="290"/>
      <c r="J52" s="290"/>
      <c r="K52" s="4"/>
      <c r="L52" s="290"/>
      <c r="M52" s="290"/>
      <c r="N52" s="4"/>
      <c r="O52" s="290"/>
      <c r="P52" s="290"/>
      <c r="Q52" s="4"/>
      <c r="R52" s="290"/>
      <c r="S52" s="290"/>
      <c r="T52" s="4"/>
      <c r="U52" s="290"/>
      <c r="V52" s="290"/>
      <c r="W52" s="7"/>
      <c r="X52" s="290"/>
      <c r="Y52" s="290"/>
      <c r="Z52" s="7"/>
      <c r="AA52" s="290"/>
      <c r="AB52" s="290"/>
      <c r="AC52" s="7"/>
      <c r="AD52" s="290"/>
      <c r="AE52" s="290"/>
      <c r="AF52" s="7"/>
      <c r="AG52" s="290"/>
      <c r="AH52" s="290"/>
      <c r="AI52" s="7"/>
      <c r="AJ52" s="290"/>
      <c r="AK52" s="290"/>
      <c r="AL52" s="7"/>
      <c r="AM52" s="290"/>
      <c r="AN52" s="290"/>
      <c r="AO52" s="7"/>
      <c r="AP52" s="290"/>
      <c r="AQ52" s="290"/>
      <c r="AR52" s="7"/>
      <c r="AS52" s="290"/>
      <c r="AT52" s="290"/>
      <c r="AU52" s="290"/>
    </row>
    <row r="53" spans="1:47" s="2" customFormat="1">
      <c r="A53" s="217"/>
      <c r="B53" s="254" t="s">
        <v>440</v>
      </c>
      <c r="C53" s="248"/>
      <c r="D53" s="7"/>
      <c r="E53" s="4"/>
      <c r="F53" s="290"/>
      <c r="G53" s="290"/>
      <c r="H53" s="4"/>
      <c r="I53" s="290"/>
      <c r="J53" s="290"/>
      <c r="K53" s="4"/>
      <c r="L53" s="290"/>
      <c r="M53" s="290"/>
      <c r="N53" s="4"/>
      <c r="O53" s="290"/>
      <c r="P53" s="290"/>
      <c r="Q53" s="4"/>
      <c r="R53" s="290"/>
      <c r="S53" s="290"/>
      <c r="T53" s="4"/>
      <c r="U53" s="290"/>
      <c r="V53" s="290"/>
      <c r="W53" s="4"/>
      <c r="X53" s="311"/>
      <c r="Y53" s="311"/>
      <c r="Z53" s="4"/>
      <c r="AA53" s="363"/>
      <c r="AB53" s="290"/>
      <c r="AC53" s="4"/>
      <c r="AD53" s="311"/>
      <c r="AE53" s="311"/>
      <c r="AF53" s="4"/>
      <c r="AG53" s="363"/>
      <c r="AH53" s="311"/>
      <c r="AI53" s="4"/>
      <c r="AJ53" s="363"/>
      <c r="AK53" s="311"/>
      <c r="AL53" s="4"/>
      <c r="AM53" s="363"/>
      <c r="AN53" s="363"/>
      <c r="AO53" s="4"/>
      <c r="AP53" s="363"/>
      <c r="AQ53" s="363"/>
      <c r="AR53" s="4"/>
      <c r="AS53" s="363"/>
      <c r="AT53" s="363"/>
      <c r="AU53" s="363"/>
    </row>
    <row r="54" spans="1:47">
      <c r="B54" s="225" t="s">
        <v>365</v>
      </c>
      <c r="C54" s="247"/>
      <c r="D54" s="7"/>
      <c r="E54" s="3"/>
      <c r="F54" s="292"/>
      <c r="G54" s="290"/>
      <c r="H54" s="3"/>
      <c r="I54" s="292"/>
      <c r="J54" s="290"/>
      <c r="K54" s="7"/>
      <c r="L54" s="290"/>
      <c r="M54" s="290"/>
      <c r="N54" s="7"/>
      <c r="O54" s="290"/>
      <c r="P54" s="290"/>
      <c r="Q54" s="7"/>
      <c r="R54" s="290"/>
      <c r="S54" s="290"/>
      <c r="T54" s="7"/>
      <c r="U54" s="290"/>
      <c r="V54" s="290"/>
      <c r="W54" s="6"/>
      <c r="X54" s="290"/>
      <c r="Y54" s="292"/>
      <c r="Z54" s="6"/>
      <c r="AA54" s="290"/>
      <c r="AB54" s="290"/>
      <c r="AC54" s="6"/>
      <c r="AD54" s="292"/>
      <c r="AE54" s="292"/>
      <c r="AF54" s="6"/>
      <c r="AG54" s="292"/>
      <c r="AH54" s="292"/>
      <c r="AI54" s="6"/>
      <c r="AJ54" s="292"/>
      <c r="AK54" s="292"/>
      <c r="AL54" s="6"/>
      <c r="AM54" s="292"/>
      <c r="AN54" s="290"/>
      <c r="AO54" s="6"/>
      <c r="AP54" s="292"/>
      <c r="AQ54" s="292"/>
      <c r="AR54" s="6"/>
      <c r="AS54" s="292"/>
      <c r="AT54" s="292"/>
      <c r="AU54" s="292"/>
    </row>
    <row r="55" spans="1:47" s="2" customFormat="1">
      <c r="A55" s="217" t="s">
        <v>1072</v>
      </c>
      <c r="B55" s="255" t="s">
        <v>297</v>
      </c>
      <c r="C55" s="267"/>
      <c r="D55" s="10"/>
      <c r="E55" s="10"/>
      <c r="F55" s="293"/>
      <c r="G55" s="293"/>
      <c r="H55" s="10"/>
      <c r="I55" s="293"/>
      <c r="J55" s="293"/>
      <c r="K55" s="10"/>
      <c r="L55" s="293">
        <f>L51-L53+L52+L54</f>
        <v>5.6850000000000005</v>
      </c>
      <c r="M55" s="293">
        <f t="shared" ref="M55" si="271">M51-M53+M52+M54</f>
        <v>1.677</v>
      </c>
      <c r="N55" s="10">
        <f t="shared" ref="N55" si="272">N51-N53+N52+N54</f>
        <v>2.7930000000000006</v>
      </c>
      <c r="O55" s="293">
        <f>O51-O53+O52+O54</f>
        <v>4.4700000000000006</v>
      </c>
      <c r="P55" s="293">
        <f t="shared" ref="P55:Q55" si="273">P51-P53+P52+P54</f>
        <v>1.4610000000000001</v>
      </c>
      <c r="Q55" s="10">
        <f t="shared" si="273"/>
        <v>3.8019999999999996</v>
      </c>
      <c r="R55" s="293">
        <f t="shared" ref="R55:T55" si="274">R51-R53+R52+R54</f>
        <v>5.2629999999999999</v>
      </c>
      <c r="S55" s="293">
        <f t="shared" si="274"/>
        <v>3.742</v>
      </c>
      <c r="T55" s="10">
        <f t="shared" si="274"/>
        <v>4.46</v>
      </c>
      <c r="U55" s="293">
        <f t="shared" ref="U55:AA55" si="275">U51-U53+U52+U54</f>
        <v>8.202</v>
      </c>
      <c r="V55" s="293">
        <f t="shared" si="275"/>
        <v>4.1099999999999994</v>
      </c>
      <c r="W55" s="10">
        <f t="shared" si="275"/>
        <v>3.2700000000000014</v>
      </c>
      <c r="X55" s="293">
        <f t="shared" si="275"/>
        <v>7.3800000000000008</v>
      </c>
      <c r="Y55" s="293">
        <f t="shared" si="275"/>
        <v>3.6429999999999998</v>
      </c>
      <c r="Z55" s="10">
        <f t="shared" si="275"/>
        <v>5.4070000000000009</v>
      </c>
      <c r="AA55" s="293">
        <f t="shared" si="275"/>
        <v>9.0500000000000007</v>
      </c>
      <c r="AB55" s="293">
        <f t="shared" ref="AB55:AC55" si="276">AB51-AB53+AB52+AB54</f>
        <v>4.25</v>
      </c>
      <c r="AC55" s="10">
        <f t="shared" si="276"/>
        <v>6.7749999999999986</v>
      </c>
      <c r="AD55" s="293">
        <f t="shared" ref="AD55" si="277">AD51-AD53+AD52+AD54</f>
        <v>11.024999999999999</v>
      </c>
      <c r="AE55" s="293">
        <f t="shared" ref="AE55:AU55" si="278">AE51-AE53+AE52+AE54</f>
        <v>7.2270000000000003</v>
      </c>
      <c r="AF55" s="10">
        <f t="shared" si="278"/>
        <v>8.8589999999999982</v>
      </c>
      <c r="AG55" s="293">
        <f t="shared" ref="AG55:AH55" si="279">AG51-AG53+AG52+AG54</f>
        <v>16.085999999999999</v>
      </c>
      <c r="AH55" s="293">
        <f t="shared" si="279"/>
        <v>10.115</v>
      </c>
      <c r="AI55" s="10">
        <f t="shared" ref="AI55" si="280">AI51-AI53+AI52+AI54</f>
        <v>9.3649999999999967</v>
      </c>
      <c r="AJ55" s="293">
        <f t="shared" si="278"/>
        <v>19.479999999999997</v>
      </c>
      <c r="AK55" s="293">
        <f t="shared" si="278"/>
        <v>10.724</v>
      </c>
      <c r="AL55" s="10">
        <f t="shared" si="278"/>
        <v>10.363</v>
      </c>
      <c r="AM55" s="293">
        <f t="shared" si="278"/>
        <v>21.087</v>
      </c>
      <c r="AN55" s="293">
        <f t="shared" ref="AN55:AP55" si="281">AN51-AN53+AN52+AN54</f>
        <v>16.402999999999999</v>
      </c>
      <c r="AO55" s="10">
        <f t="shared" si="281"/>
        <v>14.927</v>
      </c>
      <c r="AP55" s="293">
        <f t="shared" si="281"/>
        <v>31.33</v>
      </c>
      <c r="AQ55" s="293">
        <f t="shared" si="278"/>
        <v>14.794229820699718</v>
      </c>
      <c r="AR55" s="10">
        <f t="shared" si="278"/>
        <v>18.463845648320358</v>
      </c>
      <c r="AS55" s="293">
        <f t="shared" si="278"/>
        <v>33.258075469020078</v>
      </c>
      <c r="AT55" s="293">
        <f t="shared" si="278"/>
        <v>35.374690518005117</v>
      </c>
      <c r="AU55" s="293">
        <f t="shared" si="278"/>
        <v>41.871923287290116</v>
      </c>
    </row>
    <row r="56" spans="1:47">
      <c r="B56" s="225" t="s">
        <v>298</v>
      </c>
      <c r="C56" s="248"/>
      <c r="D56" s="7"/>
      <c r="E56" s="4"/>
      <c r="F56" s="290"/>
      <c r="G56" s="290"/>
      <c r="H56" s="4"/>
      <c r="I56" s="290"/>
      <c r="J56" s="290"/>
      <c r="K56" s="482"/>
      <c r="L56" s="290"/>
      <c r="M56" s="290"/>
      <c r="N56" s="482">
        <f>O56-M56</f>
        <v>0</v>
      </c>
      <c r="O56" s="290"/>
      <c r="P56" s="290"/>
      <c r="Q56" s="482">
        <f>R56-P56</f>
        <v>0</v>
      </c>
      <c r="R56" s="290"/>
      <c r="S56" s="481"/>
      <c r="T56" s="482">
        <f>U56-S56</f>
        <v>0</v>
      </c>
      <c r="U56" s="481">
        <f>+U57-U55</f>
        <v>0</v>
      </c>
      <c r="V56" s="481">
        <f>+V57-V55</f>
        <v>0</v>
      </c>
      <c r="W56" s="482">
        <f>X56-V56</f>
        <v>0</v>
      </c>
      <c r="X56" s="481">
        <f>+X57-X55</f>
        <v>0</v>
      </c>
      <c r="Y56" s="481">
        <f>+Y57-Y55</f>
        <v>0</v>
      </c>
      <c r="Z56" s="482">
        <f>AA56-Y56</f>
        <v>0</v>
      </c>
      <c r="AA56" s="481">
        <f>+AA57-AA55</f>
        <v>0</v>
      </c>
      <c r="AB56" s="481">
        <f>+AB57-AB55</f>
        <v>0</v>
      </c>
      <c r="AC56" s="482">
        <f>AD56-AB56</f>
        <v>0</v>
      </c>
      <c r="AD56" s="481">
        <f>+AD57-AD55</f>
        <v>0</v>
      </c>
      <c r="AE56" s="481">
        <f>+AE57-AE55</f>
        <v>0</v>
      </c>
      <c r="AF56" s="482">
        <f>AG56-AE56</f>
        <v>0</v>
      </c>
      <c r="AG56" s="481">
        <f>+AG57-AG55</f>
        <v>0</v>
      </c>
      <c r="AH56" s="512">
        <f>+AH57-AH55</f>
        <v>-1.4399999999999995</v>
      </c>
      <c r="AI56" s="438">
        <f>AJ56-AH56</f>
        <v>1.5230000000000015</v>
      </c>
      <c r="AJ56" s="507">
        <f>+AJ57-AJ55</f>
        <v>8.3000000000001961E-2</v>
      </c>
      <c r="AK56" s="481">
        <f>+AK57-AK55</f>
        <v>0</v>
      </c>
      <c r="AL56" s="482">
        <f>AM56-AK56</f>
        <v>0</v>
      </c>
      <c r="AM56" s="481">
        <f>+AM57-AM55</f>
        <v>0</v>
      </c>
      <c r="AN56" s="481">
        <f>+AN57-AN55</f>
        <v>0</v>
      </c>
      <c r="AO56" s="482">
        <f>AP56-AN56</f>
        <v>0</v>
      </c>
      <c r="AP56" s="481">
        <f>+AP57-AP55</f>
        <v>0</v>
      </c>
      <c r="AQ56" s="485"/>
      <c r="AR56" s="438">
        <f>AS56-AQ56</f>
        <v>0</v>
      </c>
      <c r="AS56" s="485"/>
      <c r="AT56" s="485"/>
      <c r="AU56" s="485"/>
    </row>
    <row r="57" spans="1:47">
      <c r="B57" s="225" t="s">
        <v>299</v>
      </c>
      <c r="C57" s="247"/>
      <c r="D57" s="4"/>
      <c r="E57" s="4"/>
      <c r="F57" s="265"/>
      <c r="G57" s="285"/>
      <c r="H57" s="4"/>
      <c r="I57" s="265"/>
      <c r="J57" s="285"/>
      <c r="K57" s="38"/>
      <c r="L57" s="285">
        <f>+L55</f>
        <v>5.6850000000000005</v>
      </c>
      <c r="M57" s="285">
        <f t="shared" ref="M57:AG57" si="282">+M55</f>
        <v>1.677</v>
      </c>
      <c r="N57" s="38">
        <f t="shared" si="282"/>
        <v>2.7930000000000006</v>
      </c>
      <c r="O57" s="285">
        <f t="shared" si="282"/>
        <v>4.4700000000000006</v>
      </c>
      <c r="P57" s="285">
        <f t="shared" si="282"/>
        <v>1.4610000000000001</v>
      </c>
      <c r="Q57" s="38">
        <f t="shared" si="282"/>
        <v>3.8019999999999996</v>
      </c>
      <c r="R57" s="285">
        <f t="shared" si="282"/>
        <v>5.2629999999999999</v>
      </c>
      <c r="S57" s="285">
        <f t="shared" si="282"/>
        <v>3.742</v>
      </c>
      <c r="T57" s="38">
        <f t="shared" si="282"/>
        <v>4.46</v>
      </c>
      <c r="U57" s="285">
        <f t="shared" si="282"/>
        <v>8.202</v>
      </c>
      <c r="V57" s="285">
        <f t="shared" si="282"/>
        <v>4.1099999999999994</v>
      </c>
      <c r="W57" s="23">
        <f t="shared" si="282"/>
        <v>3.2700000000000014</v>
      </c>
      <c r="X57" s="285">
        <f t="shared" si="282"/>
        <v>7.3800000000000008</v>
      </c>
      <c r="Y57" s="285">
        <f t="shared" si="282"/>
        <v>3.6429999999999998</v>
      </c>
      <c r="Z57" s="23">
        <f t="shared" si="282"/>
        <v>5.4070000000000009</v>
      </c>
      <c r="AA57" s="285">
        <f t="shared" si="282"/>
        <v>9.0500000000000007</v>
      </c>
      <c r="AB57" s="265">
        <f t="shared" si="282"/>
        <v>4.25</v>
      </c>
      <c r="AC57" s="23">
        <f t="shared" si="282"/>
        <v>6.7749999999999986</v>
      </c>
      <c r="AD57" s="265">
        <f t="shared" si="282"/>
        <v>11.024999999999999</v>
      </c>
      <c r="AE57" s="265">
        <f t="shared" si="282"/>
        <v>7.2270000000000003</v>
      </c>
      <c r="AF57" s="23">
        <f t="shared" si="282"/>
        <v>8.8589999999999982</v>
      </c>
      <c r="AG57" s="265">
        <f t="shared" si="282"/>
        <v>16.085999999999999</v>
      </c>
      <c r="AH57" s="354">
        <f>+AH55-1.44</f>
        <v>8.6750000000000007</v>
      </c>
      <c r="AI57" s="23">
        <f t="shared" ref="AI57" si="283">AI55+AI56</f>
        <v>10.887999999999998</v>
      </c>
      <c r="AJ57" s="354">
        <v>19.562999999999999</v>
      </c>
      <c r="AK57" s="265">
        <f t="shared" ref="AK57:AM57" si="284">+AK55</f>
        <v>10.724</v>
      </c>
      <c r="AL57" s="23">
        <f t="shared" si="284"/>
        <v>10.363</v>
      </c>
      <c r="AM57" s="265">
        <f t="shared" si="284"/>
        <v>21.087</v>
      </c>
      <c r="AN57" s="265">
        <f t="shared" ref="AN57:AP57" si="285">+AN55</f>
        <v>16.402999999999999</v>
      </c>
      <c r="AO57" s="23">
        <f t="shared" si="285"/>
        <v>14.927</v>
      </c>
      <c r="AP57" s="265">
        <f t="shared" si="285"/>
        <v>31.33</v>
      </c>
      <c r="AQ57" s="265">
        <f t="shared" ref="AQ57:AR57" si="286">AQ55+AQ56</f>
        <v>14.794229820699718</v>
      </c>
      <c r="AR57" s="23">
        <f t="shared" si="286"/>
        <v>18.463845648320358</v>
      </c>
      <c r="AS57" s="265">
        <f t="shared" ref="AS57:AU57" si="287">AS55+AS56</f>
        <v>33.258075469020078</v>
      </c>
      <c r="AT57" s="265">
        <f t="shared" si="287"/>
        <v>35.374690518005117</v>
      </c>
      <c r="AU57" s="265">
        <f t="shared" si="287"/>
        <v>41.871923287290116</v>
      </c>
    </row>
    <row r="58" spans="1:47">
      <c r="B58" s="253"/>
      <c r="C58" s="248"/>
      <c r="D58" s="4"/>
      <c r="E58" s="4"/>
      <c r="F58" s="265"/>
      <c r="G58" s="285"/>
      <c r="H58" s="4"/>
      <c r="I58" s="265"/>
      <c r="J58" s="285"/>
      <c r="K58" s="38"/>
      <c r="L58" s="285"/>
      <c r="M58" s="285"/>
      <c r="N58" s="38"/>
      <c r="O58" s="285"/>
      <c r="P58" s="285"/>
      <c r="Q58" s="38"/>
      <c r="R58" s="285"/>
      <c r="S58" s="285"/>
      <c r="T58" s="38"/>
      <c r="U58" s="285"/>
      <c r="V58" s="285"/>
      <c r="W58" s="38"/>
      <c r="X58" s="285"/>
      <c r="Y58" s="285"/>
      <c r="Z58" s="38"/>
      <c r="AA58" s="265"/>
      <c r="AB58" s="285"/>
      <c r="AC58" s="23"/>
      <c r="AD58" s="302"/>
      <c r="AE58" s="302"/>
      <c r="AF58" s="23"/>
      <c r="AG58" s="302"/>
      <c r="AH58" s="302"/>
      <c r="AI58" s="23"/>
      <c r="AJ58" s="302"/>
      <c r="AK58" s="302"/>
      <c r="AL58" s="23"/>
      <c r="AM58" s="302"/>
      <c r="AN58" s="302"/>
      <c r="AO58" s="23"/>
      <c r="AP58" s="302"/>
      <c r="AQ58" s="302"/>
      <c r="AR58" s="23"/>
      <c r="AS58" s="302"/>
      <c r="AT58" s="302"/>
      <c r="AU58" s="302"/>
    </row>
    <row r="59" spans="1:47">
      <c r="B59" s="261" t="s">
        <v>1217</v>
      </c>
      <c r="C59" s="248"/>
      <c r="D59" s="9"/>
      <c r="E59" s="9"/>
      <c r="F59" s="287"/>
      <c r="G59" s="283"/>
      <c r="H59" s="9"/>
      <c r="I59" s="287"/>
      <c r="J59" s="283"/>
      <c r="K59" s="439"/>
      <c r="L59" s="283">
        <f>+L55</f>
        <v>5.6850000000000005</v>
      </c>
      <c r="M59" s="283">
        <f t="shared" ref="M59:AM59" si="288">+M55</f>
        <v>1.677</v>
      </c>
      <c r="N59" s="439">
        <f t="shared" si="288"/>
        <v>2.7930000000000006</v>
      </c>
      <c r="O59" s="283">
        <f t="shared" si="288"/>
        <v>4.4700000000000006</v>
      </c>
      <c r="P59" s="283">
        <f t="shared" si="288"/>
        <v>1.4610000000000001</v>
      </c>
      <c r="Q59" s="439">
        <f t="shared" si="288"/>
        <v>3.8019999999999996</v>
      </c>
      <c r="R59" s="283">
        <f t="shared" si="288"/>
        <v>5.2629999999999999</v>
      </c>
      <c r="S59" s="283">
        <f t="shared" si="288"/>
        <v>3.742</v>
      </c>
      <c r="T59" s="439">
        <f t="shared" si="288"/>
        <v>4.46</v>
      </c>
      <c r="U59" s="283">
        <f t="shared" si="288"/>
        <v>8.202</v>
      </c>
      <c r="V59" s="283">
        <f t="shared" si="288"/>
        <v>4.1099999999999994</v>
      </c>
      <c r="W59" s="439">
        <f t="shared" si="288"/>
        <v>3.2700000000000014</v>
      </c>
      <c r="X59" s="283">
        <f t="shared" si="288"/>
        <v>7.3800000000000008</v>
      </c>
      <c r="Y59" s="283">
        <f t="shared" si="288"/>
        <v>3.6429999999999998</v>
      </c>
      <c r="Z59" s="439">
        <f t="shared" si="288"/>
        <v>5.4070000000000009</v>
      </c>
      <c r="AA59" s="287">
        <f t="shared" si="288"/>
        <v>9.0500000000000007</v>
      </c>
      <c r="AB59" s="283">
        <f t="shared" si="288"/>
        <v>4.25</v>
      </c>
      <c r="AC59" s="27">
        <f t="shared" si="288"/>
        <v>6.7749999999999986</v>
      </c>
      <c r="AD59" s="287">
        <f t="shared" si="288"/>
        <v>11.024999999999999</v>
      </c>
      <c r="AE59" s="287">
        <f t="shared" si="288"/>
        <v>7.2270000000000003</v>
      </c>
      <c r="AF59" s="27">
        <f t="shared" si="288"/>
        <v>8.8589999999999982</v>
      </c>
      <c r="AG59" s="287">
        <f t="shared" si="288"/>
        <v>16.085999999999999</v>
      </c>
      <c r="AH59" s="287">
        <f t="shared" si="288"/>
        <v>10.115</v>
      </c>
      <c r="AI59" s="27">
        <f t="shared" si="288"/>
        <v>9.3649999999999967</v>
      </c>
      <c r="AJ59" s="287">
        <f t="shared" si="288"/>
        <v>19.479999999999997</v>
      </c>
      <c r="AK59" s="287">
        <f t="shared" si="288"/>
        <v>10.724</v>
      </c>
      <c r="AL59" s="27">
        <f t="shared" si="288"/>
        <v>10.363</v>
      </c>
      <c r="AM59" s="287">
        <f t="shared" si="288"/>
        <v>21.087</v>
      </c>
      <c r="AN59" s="287">
        <f t="shared" ref="AN59:AP59" si="289">+AN55</f>
        <v>16.402999999999999</v>
      </c>
      <c r="AO59" s="27">
        <f t="shared" si="289"/>
        <v>14.927</v>
      </c>
      <c r="AP59" s="287">
        <f t="shared" si="289"/>
        <v>31.33</v>
      </c>
      <c r="AQ59" s="506">
        <f>+(AQ27-AQ41+AQ47-AQ48)*(1-AQ85)</f>
        <v>10.674105787196535</v>
      </c>
      <c r="AR59" s="27">
        <f t="shared" ref="AR59" si="290">+(AR27-AR41+AR47-AR48)*(1-AR85)</f>
        <v>14.081437612192822</v>
      </c>
      <c r="AS59" s="287">
        <f t="shared" ref="AS59:AU59" si="291">+(AS27-AS41+AS47-AS48)*(1-AS85)</f>
        <v>24.758269671235894</v>
      </c>
      <c r="AT59" s="287">
        <f t="shared" si="291"/>
        <v>29.17972382161717</v>
      </c>
      <c r="AU59" s="287">
        <f t="shared" si="291"/>
        <v>37.925315786195192</v>
      </c>
    </row>
    <row r="60" spans="1:47">
      <c r="B60" s="261" t="s">
        <v>1218</v>
      </c>
      <c r="C60" s="248"/>
      <c r="D60" s="9"/>
      <c r="E60" s="9"/>
      <c r="F60" s="287"/>
      <c r="G60" s="283"/>
      <c r="H60" s="9"/>
      <c r="I60" s="287"/>
      <c r="J60" s="283"/>
      <c r="K60" s="439"/>
      <c r="L60" s="283">
        <f>+L62</f>
        <v>6</v>
      </c>
      <c r="M60" s="283">
        <f t="shared" ref="M60:AM60" si="292">+M62</f>
        <v>1.9</v>
      </c>
      <c r="N60" s="439">
        <f t="shared" si="292"/>
        <v>3.1</v>
      </c>
      <c r="O60" s="283">
        <f t="shared" si="292"/>
        <v>5</v>
      </c>
      <c r="P60" s="283">
        <f t="shared" si="292"/>
        <v>1.6</v>
      </c>
      <c r="Q60" s="439">
        <f t="shared" si="292"/>
        <v>4.1999999999999993</v>
      </c>
      <c r="R60" s="283">
        <f t="shared" si="292"/>
        <v>5.8</v>
      </c>
      <c r="S60" s="283">
        <f t="shared" si="292"/>
        <v>4.0999999999999996</v>
      </c>
      <c r="T60" s="439">
        <f t="shared" si="292"/>
        <v>4.9000000000000004</v>
      </c>
      <c r="U60" s="283">
        <f t="shared" si="292"/>
        <v>9</v>
      </c>
      <c r="V60" s="283">
        <f t="shared" si="292"/>
        <v>4.5</v>
      </c>
      <c r="W60" s="439">
        <f t="shared" si="292"/>
        <v>3.5</v>
      </c>
      <c r="X60" s="283">
        <f t="shared" si="292"/>
        <v>8</v>
      </c>
      <c r="Y60" s="283">
        <f t="shared" si="292"/>
        <v>3.9</v>
      </c>
      <c r="Z60" s="439">
        <f t="shared" si="292"/>
        <v>5.9</v>
      </c>
      <c r="AA60" s="287">
        <f t="shared" si="292"/>
        <v>9.8000000000000007</v>
      </c>
      <c r="AB60" s="283">
        <f t="shared" si="292"/>
        <v>4.5999999999999996</v>
      </c>
      <c r="AC60" s="27">
        <f t="shared" si="292"/>
        <v>7.2000000000000011</v>
      </c>
      <c r="AD60" s="287">
        <f t="shared" si="292"/>
        <v>11.8</v>
      </c>
      <c r="AE60" s="287">
        <f t="shared" si="292"/>
        <v>7.7</v>
      </c>
      <c r="AF60" s="27">
        <f t="shared" si="292"/>
        <v>9.5</v>
      </c>
      <c r="AG60" s="287">
        <f t="shared" si="292"/>
        <v>17.2</v>
      </c>
      <c r="AH60" s="287">
        <f t="shared" si="292"/>
        <v>10.7</v>
      </c>
      <c r="AI60" s="27">
        <f t="shared" si="292"/>
        <v>9.933053212803113</v>
      </c>
      <c r="AJ60" s="287">
        <f t="shared" si="292"/>
        <v>20.633053212803112</v>
      </c>
      <c r="AK60" s="287">
        <f t="shared" si="292"/>
        <v>11.3</v>
      </c>
      <c r="AL60" s="27">
        <f t="shared" si="292"/>
        <v>10.900070346018893</v>
      </c>
      <c r="AM60" s="287">
        <f t="shared" si="292"/>
        <v>22.200070346018894</v>
      </c>
      <c r="AN60" s="287">
        <f t="shared" ref="AN60:AP60" si="293">+AN62</f>
        <v>17.2</v>
      </c>
      <c r="AO60" s="27">
        <f t="shared" si="293"/>
        <v>15.743143546320152</v>
      </c>
      <c r="AP60" s="287">
        <f t="shared" si="293"/>
        <v>32.943143546320151</v>
      </c>
      <c r="AQ60" s="506">
        <f>+AQ59*(AQ62/AQ55)</f>
        <v>11.225237325809985</v>
      </c>
      <c r="AR60" s="27">
        <f t="shared" ref="AR60" si="294">+AR59*(AR62/AR55)</f>
        <v>14.808498457552444</v>
      </c>
      <c r="AS60" s="287">
        <f t="shared" ref="AS60:AU60" si="295">+AS59*(AS62/AS55)</f>
        <v>26.036602819637146</v>
      </c>
      <c r="AT60" s="287">
        <f t="shared" si="295"/>
        <v>30.686348021033805</v>
      </c>
      <c r="AU60" s="287">
        <f t="shared" si="295"/>
        <v>39.88349739488023</v>
      </c>
    </row>
    <row r="61" spans="1:47">
      <c r="B61" s="225"/>
      <c r="C61" s="247"/>
      <c r="D61" s="38"/>
      <c r="E61" s="38"/>
      <c r="F61" s="288"/>
      <c r="G61" s="285"/>
      <c r="H61" s="38"/>
      <c r="I61" s="288"/>
      <c r="J61" s="285"/>
      <c r="K61" s="59"/>
      <c r="L61" s="529"/>
      <c r="M61" s="285"/>
      <c r="N61" s="59"/>
      <c r="O61" s="296"/>
      <c r="P61" s="285"/>
      <c r="Q61" s="59"/>
      <c r="R61" s="296"/>
      <c r="S61" s="285"/>
      <c r="T61" s="59"/>
      <c r="U61" s="296"/>
      <c r="V61" s="285"/>
      <c r="W61" s="59"/>
      <c r="X61" s="296"/>
      <c r="Y61" s="285"/>
      <c r="Z61" s="59"/>
      <c r="AA61" s="288"/>
      <c r="AB61" s="285"/>
      <c r="AC61" s="49"/>
      <c r="AD61" s="281"/>
      <c r="AE61" s="281"/>
      <c r="AF61" s="49"/>
      <c r="AG61" s="294"/>
      <c r="AH61" s="281"/>
      <c r="AI61" s="49"/>
      <c r="AJ61" s="294"/>
      <c r="AK61" s="281"/>
      <c r="AL61" s="49"/>
      <c r="AM61" s="294"/>
      <c r="AN61" s="281"/>
      <c r="AO61" s="49"/>
      <c r="AP61" s="294"/>
      <c r="AQ61" s="294"/>
      <c r="AR61" s="49"/>
      <c r="AS61" s="294"/>
      <c r="AT61" s="294"/>
      <c r="AU61" s="294"/>
    </row>
    <row r="62" spans="1:47">
      <c r="B62" s="254" t="s">
        <v>895</v>
      </c>
      <c r="C62" s="247"/>
      <c r="D62" s="18"/>
      <c r="E62" s="18"/>
      <c r="F62" s="281"/>
      <c r="G62" s="281"/>
      <c r="H62" s="18"/>
      <c r="I62" s="281"/>
      <c r="J62" s="281"/>
      <c r="K62" s="36"/>
      <c r="L62" s="355">
        <v>6</v>
      </c>
      <c r="M62" s="355">
        <v>1.9</v>
      </c>
      <c r="N62" s="36">
        <f>O62-M62</f>
        <v>3.1</v>
      </c>
      <c r="O62" s="355">
        <v>5</v>
      </c>
      <c r="P62" s="355">
        <v>1.6</v>
      </c>
      <c r="Q62" s="36">
        <f>R62-P62</f>
        <v>4.1999999999999993</v>
      </c>
      <c r="R62" s="355">
        <v>5.8</v>
      </c>
      <c r="S62" s="355">
        <v>4.0999999999999996</v>
      </c>
      <c r="T62" s="36">
        <f>U62-S62</f>
        <v>4.9000000000000004</v>
      </c>
      <c r="U62" s="355">
        <v>9</v>
      </c>
      <c r="V62" s="355">
        <v>4.5</v>
      </c>
      <c r="W62" s="36">
        <f>X62-V62</f>
        <v>3.5</v>
      </c>
      <c r="X62" s="355">
        <v>8</v>
      </c>
      <c r="Y62" s="355">
        <v>3.9</v>
      </c>
      <c r="Z62" s="36">
        <f>AA62-Y62</f>
        <v>5.9</v>
      </c>
      <c r="AA62" s="354">
        <v>9.8000000000000007</v>
      </c>
      <c r="AB62" s="354">
        <v>4.5999999999999996</v>
      </c>
      <c r="AC62" s="18">
        <f>AD62-AB62</f>
        <v>7.2000000000000011</v>
      </c>
      <c r="AD62" s="354">
        <v>11.8</v>
      </c>
      <c r="AE62" s="354">
        <v>7.7</v>
      </c>
      <c r="AF62" s="18">
        <f>AG62-AE62</f>
        <v>9.5</v>
      </c>
      <c r="AG62" s="354">
        <v>17.2</v>
      </c>
      <c r="AH62" s="354">
        <v>10.7</v>
      </c>
      <c r="AI62" s="18">
        <f>AJ62-AH62</f>
        <v>9.933053212803113</v>
      </c>
      <c r="AJ62" s="281">
        <f t="shared" ref="AJ62:AU62" si="296">AJ275</f>
        <v>20.633053212803112</v>
      </c>
      <c r="AK62" s="354">
        <v>11.3</v>
      </c>
      <c r="AL62" s="18">
        <f>AM62-AK62</f>
        <v>10.900070346018893</v>
      </c>
      <c r="AM62" s="281">
        <f t="shared" si="296"/>
        <v>22.200070346018894</v>
      </c>
      <c r="AN62" s="354">
        <v>17.2</v>
      </c>
      <c r="AO62" s="18">
        <f>AP62-AN62</f>
        <v>15.743143546320152</v>
      </c>
      <c r="AP62" s="281">
        <f t="shared" ref="AP62" si="297">AP275</f>
        <v>32.943143546320151</v>
      </c>
      <c r="AQ62" s="281">
        <f t="shared" si="296"/>
        <v>15.558093961287806</v>
      </c>
      <c r="AR62" s="18">
        <f>AS62-AQ62</f>
        <v>19.417181493378788</v>
      </c>
      <c r="AS62" s="281">
        <f t="shared" si="296"/>
        <v>34.975275454666594</v>
      </c>
      <c r="AT62" s="281">
        <f t="shared" si="296"/>
        <v>37.201176783163568</v>
      </c>
      <c r="AU62" s="281">
        <f t="shared" si="296"/>
        <v>44.033878393047928</v>
      </c>
    </row>
    <row r="63" spans="1:47" s="100" customFormat="1">
      <c r="A63" s="217"/>
      <c r="B63" s="250" t="s">
        <v>967</v>
      </c>
      <c r="C63" s="247"/>
      <c r="D63" s="99"/>
      <c r="E63" s="99"/>
      <c r="F63" s="284"/>
      <c r="G63" s="284"/>
      <c r="H63" s="99"/>
      <c r="I63" s="284"/>
      <c r="J63" s="284"/>
      <c r="K63" s="99"/>
      <c r="L63" s="284"/>
      <c r="M63" s="284"/>
      <c r="N63" s="99"/>
      <c r="O63" s="284">
        <f t="shared" ref="O63" si="298">+O62/L62-1</f>
        <v>-0.16666666666666663</v>
      </c>
      <c r="P63" s="284">
        <f t="shared" ref="P63" si="299">+P62/M62-1</f>
        <v>-0.1578947368421052</v>
      </c>
      <c r="Q63" s="99">
        <f t="shared" ref="Q63" si="300">+Q62/N62-1</f>
        <v>0.35483870967741904</v>
      </c>
      <c r="R63" s="284">
        <f t="shared" ref="R63" si="301">+R62/O62-1</f>
        <v>0.15999999999999992</v>
      </c>
      <c r="S63" s="284">
        <f t="shared" ref="S63" si="302">+S62/P62-1</f>
        <v>1.5624999999999996</v>
      </c>
      <c r="T63" s="99">
        <f t="shared" ref="T63" si="303">+T62/Q62-1</f>
        <v>0.16666666666666696</v>
      </c>
      <c r="U63" s="284">
        <f t="shared" ref="U63" si="304">+U62/R62-1</f>
        <v>0.55172413793103448</v>
      </c>
      <c r="V63" s="284">
        <f>+V62/S62-1</f>
        <v>9.7560975609756184E-2</v>
      </c>
      <c r="W63" s="106">
        <f>+W62/T62-1</f>
        <v>-0.28571428571428581</v>
      </c>
      <c r="X63" s="284">
        <f>+X62/U62-1</f>
        <v>-0.11111111111111116</v>
      </c>
      <c r="Y63" s="284">
        <f>+Y62/V62-1</f>
        <v>-0.1333333333333333</v>
      </c>
      <c r="Z63" s="106">
        <f>+Z62/W62-1</f>
        <v>0.68571428571428572</v>
      </c>
      <c r="AA63" s="284">
        <f t="shared" ref="AA63" si="305">+AA62/X62-1</f>
        <v>0.22500000000000009</v>
      </c>
      <c r="AB63" s="284">
        <f t="shared" ref="AB63" si="306">+AB62/Y62-1</f>
        <v>0.17948717948717952</v>
      </c>
      <c r="AC63" s="106">
        <f t="shared" ref="AC63" si="307">+AC62/Z62-1</f>
        <v>0.22033898305084754</v>
      </c>
      <c r="AD63" s="332">
        <f t="shared" ref="AD63" si="308">+AD62/AA62-1</f>
        <v>0.20408163265306123</v>
      </c>
      <c r="AE63" s="332">
        <f t="shared" ref="AE63" si="309">+AE62/AB62-1</f>
        <v>0.67391304347826098</v>
      </c>
      <c r="AF63" s="106">
        <f t="shared" ref="AF63" si="310">+AF62/AC62-1</f>
        <v>0.3194444444444442</v>
      </c>
      <c r="AG63" s="332">
        <f t="shared" ref="AG63" si="311">+AG62/AD62-1</f>
        <v>0.45762711864406769</v>
      </c>
      <c r="AH63" s="332">
        <f t="shared" ref="AH63" si="312">+AH62/AE62-1</f>
        <v>0.38961038961038952</v>
      </c>
      <c r="AI63" s="106">
        <f t="shared" ref="AI63" si="313">+AI62/AF62-1</f>
        <v>4.5584548716117057E-2</v>
      </c>
      <c r="AJ63" s="332">
        <f t="shared" ref="AJ63:AK63" si="314">+AJ62/AG62-1</f>
        <v>0.19959611702343683</v>
      </c>
      <c r="AK63" s="332">
        <f t="shared" si="314"/>
        <v>5.6074766355140415E-2</v>
      </c>
      <c r="AL63" s="106">
        <f t="shared" ref="AL63" si="315">+AL62/AI62-1</f>
        <v>9.7353463481837821E-2</v>
      </c>
      <c r="AM63" s="332">
        <f>+AM62/AJ62-1</f>
        <v>7.5946934128169774E-2</v>
      </c>
      <c r="AN63" s="332">
        <f t="shared" ref="AN63" si="316">+AN62/AK62-1</f>
        <v>0.52212389380530966</v>
      </c>
      <c r="AO63" s="106">
        <f t="shared" ref="AO63" si="317">+AO62/AL62-1</f>
        <v>0.44431577472067674</v>
      </c>
      <c r="AP63" s="332">
        <f>+AP62/AM62-1</f>
        <v>0.48392068281116041</v>
      </c>
      <c r="AQ63" s="332">
        <f t="shared" ref="AQ63" si="318">+AQ62/AN62-1</f>
        <v>-9.5459653413499601E-2</v>
      </c>
      <c r="AR63" s="106">
        <f t="shared" ref="AR63" si="319">+AR62/AO62-1</f>
        <v>0.23337384533455618</v>
      </c>
      <c r="AS63" s="332">
        <f>+AS62/AP62-1</f>
        <v>6.1686035077045398E-2</v>
      </c>
      <c r="AT63" s="332">
        <f>+AT62/AS62-1</f>
        <v>6.3642138612520327E-2</v>
      </c>
      <c r="AU63" s="332">
        <f>+AU62/AT62-1</f>
        <v>0.18366896428332047</v>
      </c>
    </row>
    <row r="64" spans="1:47">
      <c r="B64" s="225"/>
      <c r="C64" s="247"/>
      <c r="D64" s="37"/>
      <c r="E64" s="37"/>
      <c r="F64" s="294"/>
      <c r="G64" s="294"/>
      <c r="H64" s="37"/>
      <c r="I64" s="294"/>
      <c r="J64" s="294"/>
      <c r="K64" s="460"/>
      <c r="L64" s="461"/>
      <c r="M64" s="461"/>
      <c r="N64" s="460"/>
      <c r="O64" s="461"/>
      <c r="P64" s="461"/>
      <c r="Q64" s="460"/>
      <c r="R64" s="461"/>
      <c r="S64" s="461"/>
      <c r="T64" s="460"/>
      <c r="U64" s="461"/>
      <c r="V64" s="461"/>
      <c r="W64" s="460"/>
      <c r="X64" s="461"/>
      <c r="Y64" s="461"/>
      <c r="Z64" s="460"/>
      <c r="AA64" s="294"/>
      <c r="AB64" s="294"/>
      <c r="AC64" s="37"/>
      <c r="AD64" s="294"/>
      <c r="AE64" s="294"/>
      <c r="AF64" s="37"/>
      <c r="AG64" s="294"/>
      <c r="AH64" s="294"/>
      <c r="AI64" s="37"/>
      <c r="AJ64" s="294"/>
      <c r="AK64" s="294"/>
      <c r="AL64" s="37"/>
      <c r="AM64" s="294"/>
      <c r="AN64" s="294"/>
      <c r="AO64" s="37"/>
      <c r="AP64" s="294"/>
      <c r="AQ64" s="294"/>
      <c r="AR64" s="37"/>
      <c r="AS64" s="294"/>
      <c r="AT64" s="294"/>
      <c r="AU64" s="294"/>
    </row>
    <row r="65" spans="1:47">
      <c r="B65" s="226" t="s">
        <v>300</v>
      </c>
      <c r="C65" s="247"/>
      <c r="D65" s="38"/>
      <c r="E65" s="5"/>
      <c r="F65" s="294"/>
      <c r="G65" s="285"/>
      <c r="H65" s="5"/>
      <c r="I65" s="294"/>
      <c r="J65" s="285"/>
      <c r="K65" s="11"/>
      <c r="L65" s="461"/>
      <c r="M65" s="285"/>
      <c r="N65" s="11"/>
      <c r="O65" s="461"/>
      <c r="P65" s="285"/>
      <c r="Q65" s="11"/>
      <c r="R65" s="461"/>
      <c r="S65" s="285"/>
      <c r="T65" s="11"/>
      <c r="U65" s="461"/>
      <c r="V65" s="285"/>
      <c r="W65" s="11"/>
      <c r="X65" s="461"/>
      <c r="Y65" s="285"/>
      <c r="Z65" s="11"/>
      <c r="AA65" s="294"/>
      <c r="AB65" s="285"/>
      <c r="AC65" s="18"/>
      <c r="AD65" s="281"/>
      <c r="AE65" s="281"/>
      <c r="AF65" s="18"/>
      <c r="AG65" s="281"/>
      <c r="AH65" s="281"/>
      <c r="AI65" s="18"/>
      <c r="AJ65" s="281"/>
      <c r="AK65" s="281"/>
      <c r="AL65" s="18"/>
      <c r="AM65" s="281"/>
      <c r="AN65" s="281"/>
      <c r="AO65" s="18"/>
      <c r="AP65" s="281"/>
      <c r="AQ65" s="281"/>
      <c r="AR65" s="18"/>
      <c r="AS65" s="281"/>
      <c r="AT65" s="281"/>
      <c r="AU65" s="281"/>
    </row>
    <row r="66" spans="1:47">
      <c r="B66" s="225" t="s">
        <v>301</v>
      </c>
      <c r="C66" s="247"/>
      <c r="D66" s="7"/>
      <c r="E66" s="3"/>
      <c r="F66" s="265"/>
      <c r="G66" s="290"/>
      <c r="H66" s="3"/>
      <c r="I66" s="265"/>
      <c r="J66" s="290"/>
      <c r="K66" s="78"/>
      <c r="L66" s="285">
        <f>J66</f>
        <v>0</v>
      </c>
      <c r="M66" s="285"/>
      <c r="N66" s="78"/>
      <c r="O66" s="285">
        <f>M66</f>
        <v>0</v>
      </c>
      <c r="P66" s="285"/>
      <c r="Q66" s="78"/>
      <c r="R66" s="285">
        <f>P66</f>
        <v>0</v>
      </c>
      <c r="S66" s="285"/>
      <c r="T66" s="78"/>
      <c r="U66" s="285">
        <f>S66</f>
        <v>0</v>
      </c>
      <c r="V66" s="285"/>
      <c r="W66" s="78"/>
      <c r="X66" s="285">
        <f>V66</f>
        <v>0</v>
      </c>
      <c r="Y66" s="285"/>
      <c r="Z66" s="78"/>
      <c r="AA66" s="265">
        <f>Y66</f>
        <v>0</v>
      </c>
      <c r="AB66" s="285"/>
      <c r="AC66" s="78"/>
      <c r="AD66" s="305">
        <f>AB66</f>
        <v>0</v>
      </c>
      <c r="AE66" s="305"/>
      <c r="AF66" s="78"/>
      <c r="AG66" s="305">
        <f>ROUNDUP(AG62*0.42*AG70,0)</f>
        <v>0</v>
      </c>
      <c r="AH66" s="305"/>
      <c r="AI66" s="78"/>
      <c r="AJ66" s="305">
        <f>ROUNDUP(AJ62*0.42*AJ70,0)</f>
        <v>0</v>
      </c>
      <c r="AK66" s="305"/>
      <c r="AL66" s="78"/>
      <c r="AM66" s="305">
        <f>ROUNDUP(AM62*0.42*AM70,0)</f>
        <v>0</v>
      </c>
      <c r="AN66" s="305"/>
      <c r="AO66" s="78"/>
      <c r="AP66" s="305">
        <f>ROUNDUP(AP62*0.42*AP70,0)</f>
        <v>0</v>
      </c>
      <c r="AQ66" s="305">
        <f>ROUNDUP(AQ62*0.42*AQ70,0)</f>
        <v>0</v>
      </c>
      <c r="AR66" s="78"/>
      <c r="AS66" s="318">
        <f t="shared" ref="AS66:AU66" si="320">ROUNDUP(AS62*0.42*AS70,0)</f>
        <v>0</v>
      </c>
      <c r="AT66" s="318">
        <f t="shared" si="320"/>
        <v>0</v>
      </c>
      <c r="AU66" s="318">
        <f t="shared" si="320"/>
        <v>0</v>
      </c>
    </row>
    <row r="67" spans="1:47">
      <c r="B67" s="225" t="s">
        <v>302</v>
      </c>
      <c r="C67" s="247"/>
      <c r="D67" s="4"/>
      <c r="E67" s="7"/>
      <c r="F67" s="285"/>
      <c r="G67" s="285"/>
      <c r="H67" s="65"/>
      <c r="I67" s="285"/>
      <c r="J67" s="355">
        <v>0</v>
      </c>
      <c r="K67" s="508"/>
      <c r="L67" s="355">
        <v>3.5</v>
      </c>
      <c r="M67" s="355">
        <v>0</v>
      </c>
      <c r="N67" s="508">
        <v>3.75</v>
      </c>
      <c r="O67" s="285">
        <f>N67</f>
        <v>3.75</v>
      </c>
      <c r="P67" s="355">
        <v>0</v>
      </c>
      <c r="Q67" s="508">
        <v>4</v>
      </c>
      <c r="R67" s="285">
        <f>Q67</f>
        <v>4</v>
      </c>
      <c r="S67" s="355">
        <v>0</v>
      </c>
      <c r="T67" s="508">
        <v>5</v>
      </c>
      <c r="U67" s="285">
        <f>T67</f>
        <v>5</v>
      </c>
      <c r="V67" s="355">
        <v>0</v>
      </c>
      <c r="W67" s="508">
        <v>5</v>
      </c>
      <c r="X67" s="285">
        <f>W67</f>
        <v>5</v>
      </c>
      <c r="Y67" s="355">
        <v>0</v>
      </c>
      <c r="Z67" s="508">
        <v>6</v>
      </c>
      <c r="AA67" s="285">
        <f>Z67</f>
        <v>6</v>
      </c>
      <c r="AB67" s="355">
        <v>0</v>
      </c>
      <c r="AC67" s="508">
        <v>7</v>
      </c>
      <c r="AD67" s="305">
        <f>AC67</f>
        <v>7</v>
      </c>
      <c r="AE67" s="355">
        <v>0</v>
      </c>
      <c r="AF67" s="508">
        <v>9</v>
      </c>
      <c r="AG67" s="305">
        <f>+AF67</f>
        <v>9</v>
      </c>
      <c r="AH67" s="305">
        <v>0</v>
      </c>
      <c r="AI67" s="508">
        <v>11</v>
      </c>
      <c r="AJ67" s="305">
        <f>+AI67</f>
        <v>11</v>
      </c>
      <c r="AK67" s="305">
        <v>0</v>
      </c>
      <c r="AL67" s="508">
        <v>13.5</v>
      </c>
      <c r="AM67" s="305">
        <f>+AL67</f>
        <v>13.5</v>
      </c>
      <c r="AN67" s="305">
        <v>0</v>
      </c>
      <c r="AO67" s="508">
        <v>17</v>
      </c>
      <c r="AP67" s="305">
        <f>+AO67</f>
        <v>17</v>
      </c>
      <c r="AQ67" s="305">
        <f t="shared" ref="AQ67:AU67" si="321">AQ68-AQ66</f>
        <v>0</v>
      </c>
      <c r="AR67" s="78">
        <f>AS67</f>
        <v>13.435944487552517</v>
      </c>
      <c r="AS67" s="305">
        <f t="shared" si="321"/>
        <v>13.435944487552517</v>
      </c>
      <c r="AT67" s="305">
        <f t="shared" si="321"/>
        <v>15.835401853016135</v>
      </c>
      <c r="AU67" s="305">
        <f t="shared" si="321"/>
        <v>20.581504456598854</v>
      </c>
    </row>
    <row r="68" spans="1:47">
      <c r="A68" s="217" t="s">
        <v>239</v>
      </c>
      <c r="B68" s="225" t="s">
        <v>894</v>
      </c>
      <c r="C68" s="247"/>
      <c r="D68" s="38"/>
      <c r="E68" s="5"/>
      <c r="F68" s="290"/>
      <c r="G68" s="285"/>
      <c r="H68" s="5"/>
      <c r="I68" s="290"/>
      <c r="J68" s="285"/>
      <c r="K68" s="72"/>
      <c r="L68" s="285">
        <f>SUM(L66:L67)</f>
        <v>3.5</v>
      </c>
      <c r="M68" s="285">
        <f t="shared" ref="M68" si="322">SUM(M66:M67)</f>
        <v>0</v>
      </c>
      <c r="N68" s="72">
        <f t="shared" ref="N68" si="323">SUM(N66:N67)</f>
        <v>3.75</v>
      </c>
      <c r="O68" s="285">
        <f>SUM(O66:O67)</f>
        <v>3.75</v>
      </c>
      <c r="P68" s="285">
        <f t="shared" ref="P68:R68" si="324">SUM(P66:P67)</f>
        <v>0</v>
      </c>
      <c r="Q68" s="72">
        <f t="shared" si="324"/>
        <v>4</v>
      </c>
      <c r="R68" s="285">
        <f t="shared" si="324"/>
        <v>4</v>
      </c>
      <c r="S68" s="285">
        <f t="shared" ref="S68:U68" si="325">SUM(S66:S67)</f>
        <v>0</v>
      </c>
      <c r="T68" s="72">
        <f t="shared" si="325"/>
        <v>5</v>
      </c>
      <c r="U68" s="285">
        <f t="shared" si="325"/>
        <v>5</v>
      </c>
      <c r="V68" s="285">
        <f t="shared" ref="V68:AB68" si="326">SUM(V66:V67)</f>
        <v>0</v>
      </c>
      <c r="W68" s="72">
        <f t="shared" si="326"/>
        <v>5</v>
      </c>
      <c r="X68" s="285">
        <f t="shared" si="326"/>
        <v>5</v>
      </c>
      <c r="Y68" s="285">
        <f t="shared" si="326"/>
        <v>0</v>
      </c>
      <c r="Z68" s="72">
        <f t="shared" si="326"/>
        <v>6</v>
      </c>
      <c r="AA68" s="285">
        <f t="shared" si="326"/>
        <v>6</v>
      </c>
      <c r="AB68" s="285">
        <f t="shared" si="326"/>
        <v>0</v>
      </c>
      <c r="AC68" s="69">
        <f>SUM(AC66:AC67)</f>
        <v>7</v>
      </c>
      <c r="AD68" s="318">
        <f t="shared" ref="AD68" si="327">SUM(AD66:AD67)</f>
        <v>7</v>
      </c>
      <c r="AE68" s="318">
        <f t="shared" ref="AE68" si="328">SUM(AE66:AE67)</f>
        <v>0</v>
      </c>
      <c r="AF68" s="69">
        <f>SUM(AF66:AF67)</f>
        <v>9</v>
      </c>
      <c r="AG68" s="318">
        <f t="shared" ref="AG68" si="329">SUM(AG66:AG67)</f>
        <v>9</v>
      </c>
      <c r="AH68" s="318">
        <f t="shared" ref="AH68" si="330">SUM(AH66:AH67)</f>
        <v>0</v>
      </c>
      <c r="AI68" s="69">
        <f>SUM(AI66:AI67)</f>
        <v>11</v>
      </c>
      <c r="AJ68" s="318">
        <f t="shared" ref="AJ68:AK68" si="331">SUM(AJ66:AJ67)</f>
        <v>11</v>
      </c>
      <c r="AK68" s="318">
        <f t="shared" si="331"/>
        <v>0</v>
      </c>
      <c r="AL68" s="88">
        <f>SUM(AL66:AL67)</f>
        <v>13.5</v>
      </c>
      <c r="AM68" s="318">
        <f t="shared" ref="AM68:AN68" si="332">SUM(AM66:AM67)</f>
        <v>13.5</v>
      </c>
      <c r="AN68" s="318">
        <f t="shared" si="332"/>
        <v>0</v>
      </c>
      <c r="AO68" s="88">
        <f>SUM(AO66:AO67)</f>
        <v>17</v>
      </c>
      <c r="AP68" s="318">
        <f t="shared" ref="AP68" si="333">SUM(AP66:AP67)</f>
        <v>17</v>
      </c>
      <c r="AQ68" s="317">
        <f>ROUND(AQ70*AQ62,0)</f>
        <v>0</v>
      </c>
      <c r="AR68" s="88">
        <f>SUM(AR66:AR67)</f>
        <v>13.435944487552517</v>
      </c>
      <c r="AS68" s="317">
        <f t="shared" ref="AS68:AU68" si="334">+AS60*AS71</f>
        <v>13.435944487552517</v>
      </c>
      <c r="AT68" s="317">
        <f t="shared" si="334"/>
        <v>15.835401853016135</v>
      </c>
      <c r="AU68" s="317">
        <f t="shared" si="334"/>
        <v>20.581504456598854</v>
      </c>
    </row>
    <row r="69" spans="1:47">
      <c r="B69" s="225" t="s">
        <v>377</v>
      </c>
      <c r="C69" s="247"/>
      <c r="D69" s="36"/>
      <c r="E69" s="18"/>
      <c r="F69" s="281"/>
      <c r="G69" s="289"/>
      <c r="H69" s="18"/>
      <c r="I69" s="281"/>
      <c r="J69" s="289"/>
      <c r="K69" s="67"/>
      <c r="L69" s="289"/>
      <c r="M69" s="289"/>
      <c r="N69" s="67"/>
      <c r="O69" s="289"/>
      <c r="P69" s="289"/>
      <c r="Q69" s="67"/>
      <c r="R69" s="289"/>
      <c r="S69" s="289">
        <f>S260*(S68)/100</f>
        <v>0</v>
      </c>
      <c r="T69" s="67"/>
      <c r="U69" s="289">
        <f>U260*(U68)/100</f>
        <v>4.5809020500000006</v>
      </c>
      <c r="V69" s="289">
        <f>V260*(V68)/100</f>
        <v>0</v>
      </c>
      <c r="W69" s="67"/>
      <c r="X69" s="289">
        <f>X260*(X68)/100</f>
        <v>4.6077770499999993</v>
      </c>
      <c r="Y69" s="289">
        <f>Y260*(Y68)/100</f>
        <v>0</v>
      </c>
      <c r="Z69" s="67"/>
      <c r="AA69" s="281">
        <f>AA260*(AA68)/100</f>
        <v>5.5669187400000011</v>
      </c>
      <c r="AB69" s="289">
        <f>AB260*(AB68)/100</f>
        <v>0</v>
      </c>
      <c r="AC69" s="88"/>
      <c r="AD69" s="317">
        <f>AD260*(AD68)/100</f>
        <v>6.52070097</v>
      </c>
      <c r="AE69" s="317">
        <f>AE260*(AE68)/100</f>
        <v>0</v>
      </c>
      <c r="AF69" s="88"/>
      <c r="AG69" s="317">
        <f>AG260*(AG68)/100</f>
        <v>8.460933390000001</v>
      </c>
      <c r="AH69" s="317">
        <f>AH260*(AH68)/100</f>
        <v>0</v>
      </c>
      <c r="AI69" s="88"/>
      <c r="AJ69" s="317">
        <f>AJ260*(AJ68)/100</f>
        <v>10.385278309999999</v>
      </c>
      <c r="AK69" s="317">
        <f>AK260*(AK68)/100</f>
        <v>0</v>
      </c>
      <c r="AL69" s="88"/>
      <c r="AM69" s="317">
        <f>AM260*(AM68)/100</f>
        <v>12.823135042500001</v>
      </c>
      <c r="AN69" s="317">
        <f>AN260*(AN68)/100</f>
        <v>0</v>
      </c>
      <c r="AO69" s="88"/>
      <c r="AP69" s="317">
        <f>AP260*(AP68)/100</f>
        <v>16.167552414999999</v>
      </c>
      <c r="AQ69" s="317">
        <f>AQ260*(AQ68)/100</f>
        <v>0</v>
      </c>
      <c r="AR69" s="88"/>
      <c r="AS69" s="317">
        <f t="shared" ref="AS69:AU69" si="335">AS260*(AS68)/100</f>
        <v>12.776272665637128</v>
      </c>
      <c r="AT69" s="317">
        <f t="shared" si="335"/>
        <v>15.057922577121602</v>
      </c>
      <c r="AU69" s="317">
        <f t="shared" si="335"/>
        <v>19.571003218280811</v>
      </c>
    </row>
    <row r="70" spans="1:47">
      <c r="B70" s="225" t="s">
        <v>421</v>
      </c>
      <c r="C70" s="247"/>
      <c r="D70" s="17"/>
      <c r="E70" s="17"/>
      <c r="F70" s="295"/>
      <c r="G70" s="295"/>
      <c r="H70" s="17"/>
      <c r="I70" s="295"/>
      <c r="J70" s="295"/>
      <c r="K70" s="463"/>
      <c r="L70" s="462"/>
      <c r="M70" s="462"/>
      <c r="N70" s="463"/>
      <c r="O70" s="462"/>
      <c r="P70" s="462"/>
      <c r="Q70" s="463"/>
      <c r="R70" s="462"/>
      <c r="S70" s="462">
        <f>S69/S55</f>
        <v>0</v>
      </c>
      <c r="T70" s="463"/>
      <c r="U70" s="462">
        <f>U69/U55</f>
        <v>0.5585103694220922</v>
      </c>
      <c r="V70" s="462">
        <f>V69/V55</f>
        <v>0</v>
      </c>
      <c r="W70" s="463"/>
      <c r="X70" s="462">
        <f>X69/X55</f>
        <v>0.62436003387533856</v>
      </c>
      <c r="Y70" s="462">
        <f>Y69/Y55</f>
        <v>0</v>
      </c>
      <c r="Z70" s="463"/>
      <c r="AA70" s="295">
        <f>AA69/AA55</f>
        <v>0.61512914254143658</v>
      </c>
      <c r="AB70" s="295">
        <f>AB69/AB55</f>
        <v>0</v>
      </c>
      <c r="AC70" s="29"/>
      <c r="AD70" s="306">
        <f>AD69/AD55</f>
        <v>0.59144680000000005</v>
      </c>
      <c r="AE70" s="306">
        <f>AE69/AE55</f>
        <v>0</v>
      </c>
      <c r="AF70" s="29"/>
      <c r="AG70" s="364"/>
      <c r="AH70" s="306">
        <f>AH69/AH55</f>
        <v>0</v>
      </c>
      <c r="AI70" s="29"/>
      <c r="AJ70" s="364"/>
      <c r="AK70" s="306">
        <f>AK69/AK55</f>
        <v>0</v>
      </c>
      <c r="AL70" s="77"/>
      <c r="AM70" s="364"/>
      <c r="AN70" s="306">
        <f>AN69/AN55</f>
        <v>0</v>
      </c>
      <c r="AO70" s="77"/>
      <c r="AP70" s="364"/>
      <c r="AQ70" s="364"/>
      <c r="AR70" s="77"/>
      <c r="AS70" s="364"/>
      <c r="AT70" s="364"/>
      <c r="AU70" s="364"/>
    </row>
    <row r="71" spans="1:47">
      <c r="B71" s="225" t="s">
        <v>1219</v>
      </c>
      <c r="C71" s="247"/>
      <c r="D71" s="17"/>
      <c r="E71" s="17"/>
      <c r="F71" s="295"/>
      <c r="G71" s="295"/>
      <c r="H71" s="17"/>
      <c r="I71" s="295"/>
      <c r="J71" s="295"/>
      <c r="K71" s="463"/>
      <c r="L71" s="462"/>
      <c r="M71" s="462"/>
      <c r="N71" s="463"/>
      <c r="O71" s="462"/>
      <c r="P71" s="462"/>
      <c r="Q71" s="463"/>
      <c r="R71" s="462"/>
      <c r="S71" s="462">
        <f t="shared" ref="S71:U71" si="336">(S$69+S$54)/S$55</f>
        <v>0</v>
      </c>
      <c r="T71" s="463"/>
      <c r="U71" s="462">
        <f t="shared" si="336"/>
        <v>0.5585103694220922</v>
      </c>
      <c r="V71" s="462">
        <f t="shared" ref="V71:AP71" si="337">(V$69+V$54)/V$55</f>
        <v>0</v>
      </c>
      <c r="W71" s="463"/>
      <c r="X71" s="462">
        <f t="shared" si="337"/>
        <v>0.62436003387533856</v>
      </c>
      <c r="Y71" s="462">
        <f t="shared" si="337"/>
        <v>0</v>
      </c>
      <c r="Z71" s="463"/>
      <c r="AA71" s="295">
        <f t="shared" si="337"/>
        <v>0.61512914254143658</v>
      </c>
      <c r="AB71" s="295">
        <f t="shared" si="337"/>
        <v>0</v>
      </c>
      <c r="AC71" s="29"/>
      <c r="AD71" s="306">
        <f t="shared" si="337"/>
        <v>0.59144680000000005</v>
      </c>
      <c r="AE71" s="306">
        <f t="shared" si="337"/>
        <v>0</v>
      </c>
      <c r="AF71" s="29"/>
      <c r="AG71" s="306">
        <f t="shared" si="337"/>
        <v>0.52598118798955629</v>
      </c>
      <c r="AH71" s="306">
        <f t="shared" si="337"/>
        <v>0</v>
      </c>
      <c r="AI71" s="29"/>
      <c r="AJ71" s="306">
        <f t="shared" si="337"/>
        <v>0.53312516991786452</v>
      </c>
      <c r="AK71" s="306">
        <f t="shared" si="337"/>
        <v>0</v>
      </c>
      <c r="AL71" s="29"/>
      <c r="AM71" s="306">
        <f t="shared" si="337"/>
        <v>0.60810618117797699</v>
      </c>
      <c r="AN71" s="306">
        <f t="shared" si="337"/>
        <v>0</v>
      </c>
      <c r="AO71" s="29"/>
      <c r="AP71" s="306">
        <f t="shared" si="337"/>
        <v>0.51604061330992657</v>
      </c>
      <c r="AQ71" s="364"/>
      <c r="AR71" s="29"/>
      <c r="AS71" s="513">
        <f>+AP71</f>
        <v>0.51604061330992657</v>
      </c>
      <c r="AT71" s="513">
        <f t="shared" ref="AT71:AU71" si="338">+AS71</f>
        <v>0.51604061330992657</v>
      </c>
      <c r="AU71" s="513">
        <f t="shared" si="338"/>
        <v>0.51604061330992657</v>
      </c>
    </row>
    <row r="72" spans="1:47">
      <c r="B72" s="225"/>
      <c r="C72" s="247"/>
      <c r="F72" s="227"/>
      <c r="G72" s="227"/>
      <c r="I72" s="227"/>
      <c r="J72" s="227"/>
      <c r="K72" s="68"/>
      <c r="L72" s="312"/>
      <c r="M72" s="312"/>
      <c r="N72" s="68"/>
      <c r="O72" s="312"/>
      <c r="P72" s="312"/>
      <c r="Q72" s="68"/>
      <c r="R72" s="312"/>
      <c r="S72" s="312"/>
      <c r="T72" s="68"/>
      <c r="U72" s="312"/>
      <c r="V72" s="312"/>
      <c r="W72" s="68"/>
      <c r="X72" s="312"/>
      <c r="Y72" s="312"/>
      <c r="Z72" s="68"/>
      <c r="AA72" s="227"/>
      <c r="AB72" s="227"/>
      <c r="AC72" s="73"/>
      <c r="AD72" s="336"/>
      <c r="AE72" s="336"/>
      <c r="AF72" s="73"/>
      <c r="AG72" s="336"/>
      <c r="AH72" s="336"/>
      <c r="AI72" s="73"/>
      <c r="AJ72" s="336"/>
      <c r="AK72" s="336"/>
      <c r="AL72" s="73"/>
      <c r="AM72" s="336"/>
      <c r="AN72" s="336"/>
      <c r="AO72" s="73"/>
      <c r="AP72" s="336"/>
      <c r="AQ72" s="336"/>
      <c r="AR72" s="73"/>
      <c r="AS72" s="336"/>
      <c r="AT72" s="336"/>
      <c r="AU72" s="336"/>
    </row>
    <row r="73" spans="1:47">
      <c r="B73" s="226" t="s">
        <v>406</v>
      </c>
      <c r="C73" s="247"/>
      <c r="F73" s="227"/>
      <c r="G73" s="227"/>
      <c r="I73" s="227"/>
      <c r="J73" s="227"/>
      <c r="K73" s="68"/>
      <c r="L73" s="312"/>
      <c r="M73" s="312"/>
      <c r="N73" s="68"/>
      <c r="O73" s="312"/>
      <c r="P73" s="312"/>
      <c r="Q73" s="68"/>
      <c r="R73" s="312"/>
      <c r="S73" s="312"/>
      <c r="T73" s="68"/>
      <c r="U73" s="312"/>
      <c r="V73" s="312"/>
      <c r="W73" s="68"/>
      <c r="X73" s="312"/>
      <c r="Y73" s="312"/>
      <c r="Z73" s="68"/>
      <c r="AA73" s="227"/>
      <c r="AB73" s="227"/>
      <c r="AC73" s="73"/>
      <c r="AD73" s="336"/>
      <c r="AE73" s="336"/>
      <c r="AF73" s="73"/>
      <c r="AG73" s="336"/>
      <c r="AH73" s="336"/>
      <c r="AI73" s="73"/>
      <c r="AJ73" s="336"/>
      <c r="AK73" s="336"/>
      <c r="AL73" s="73"/>
      <c r="AM73" s="336"/>
      <c r="AN73" s="336"/>
      <c r="AO73" s="73"/>
      <c r="AP73" s="336"/>
      <c r="AQ73" s="336"/>
      <c r="AR73" s="73"/>
      <c r="AS73" s="336"/>
      <c r="AT73" s="336"/>
      <c r="AU73" s="336"/>
    </row>
    <row r="74" spans="1:47" s="50" customFormat="1" outlineLevel="1">
      <c r="A74" s="217"/>
      <c r="B74" s="256" t="s">
        <v>177</v>
      </c>
      <c r="C74" s="247"/>
      <c r="D74" s="49"/>
      <c r="E74" s="49"/>
      <c r="F74" s="288"/>
      <c r="G74" s="288" t="e">
        <f t="shared" ref="G74:H74" si="339">G$9/D$9-1</f>
        <v>#DIV/0!</v>
      </c>
      <c r="H74" s="49" t="e">
        <f t="shared" si="339"/>
        <v>#DIV/0!</v>
      </c>
      <c r="I74" s="288"/>
      <c r="J74" s="288"/>
      <c r="K74" s="458"/>
      <c r="L74" s="288"/>
      <c r="M74" s="296"/>
      <c r="N74" s="458"/>
      <c r="O74" s="288">
        <f t="shared" ref="O74" si="340">O$9/L$9-1</f>
        <v>2.9353039254029323E-2</v>
      </c>
      <c r="P74" s="296">
        <f>P$9/M$9-1</f>
        <v>-5.0704107991000669E-2</v>
      </c>
      <c r="Q74" s="458">
        <f>Q$9/N$9-1</f>
        <v>5.2297635070178705E-2</v>
      </c>
      <c r="R74" s="288">
        <f t="shared" ref="R74" si="341">R$9/O$9-1</f>
        <v>2.8595996560480952E-3</v>
      </c>
      <c r="S74" s="296">
        <f>S$9/P$9-1</f>
        <v>0.32784726793943375</v>
      </c>
      <c r="T74" s="458">
        <f>T$9/Q$9-1</f>
        <v>0.1819477434679333</v>
      </c>
      <c r="U74" s="288">
        <f t="shared" ref="U74" si="342">U$9/R$9-1</f>
        <v>0.24823529411764711</v>
      </c>
      <c r="V74" s="296">
        <f>V$9/S$9-1</f>
        <v>0.10156998843166432</v>
      </c>
      <c r="W74" s="458">
        <f>W$9/T$9-1</f>
        <v>-7.9210981944100811E-2</v>
      </c>
      <c r="X74" s="288">
        <f t="shared" ref="X74" si="343">X$9/U$9-1</f>
        <v>8.1630696975989459E-3</v>
      </c>
      <c r="Y74" s="296">
        <f>Y$9/V$9-1</f>
        <v>-0.12487998079692753</v>
      </c>
      <c r="Z74" s="458">
        <f>Z$9/W$9-1</f>
        <v>0.10449264656503954</v>
      </c>
      <c r="AA74" s="288">
        <f t="shared" ref="AA74" si="344">AA$9/X$9-1</f>
        <v>-1.6637616859451754E-2</v>
      </c>
      <c r="AB74" s="288">
        <f>AB$9/Y$9-1</f>
        <v>0.14026606322430224</v>
      </c>
      <c r="AC74" s="34">
        <f>AC$9/Z$9-1</f>
        <v>0.11822824831276235</v>
      </c>
      <c r="AD74" s="337">
        <f t="shared" ref="AD74" si="345">AD$9/AA$9-1</f>
        <v>0.12858524009023542</v>
      </c>
      <c r="AE74" s="337">
        <f t="shared" ref="AE74:AH74" si="346">AE$9/AB$9-1</f>
        <v>0.39714947229154784</v>
      </c>
      <c r="AF74" s="34">
        <f t="shared" si="346"/>
        <v>0.32101786151211109</v>
      </c>
      <c r="AG74" s="337">
        <f t="shared" si="346"/>
        <v>0.35716733295259839</v>
      </c>
      <c r="AH74" s="337">
        <f t="shared" si="346"/>
        <v>0.13364898310556317</v>
      </c>
      <c r="AI74" s="34">
        <f t="shared" ref="AI74" si="347">AI$9/AF$9-1</f>
        <v>0.10781832026506977</v>
      </c>
      <c r="AJ74" s="337">
        <f t="shared" ref="AJ74:AN74" si="348">AJ$9/AG$9-1</f>
        <v>0.12044479043931999</v>
      </c>
      <c r="AK74" s="337">
        <f t="shared" si="348"/>
        <v>4.4765068818225062E-2</v>
      </c>
      <c r="AL74" s="34">
        <f t="shared" ref="AL74" si="349">AL$9/AI$9-1</f>
        <v>2.8552851569756843E-2</v>
      </c>
      <c r="AM74" s="337">
        <f t="shared" si="348"/>
        <v>3.6571053002206533E-2</v>
      </c>
      <c r="AN74" s="337">
        <f t="shared" si="348"/>
        <v>4.9970017989206417E-2</v>
      </c>
      <c r="AO74" s="34">
        <f t="shared" ref="AO74" si="350">AO$9/AL$9-1</f>
        <v>7.856665522784323E-2</v>
      </c>
      <c r="AP74" s="337">
        <f t="shared" ref="AP74" si="351">AP$9/AM$9-1</f>
        <v>6.4311594202898448E-2</v>
      </c>
      <c r="AQ74" s="337">
        <f t="shared" ref="AQ74" si="352">AQ$9/AN$9-1</f>
        <v>6.8022649422708303E-2</v>
      </c>
      <c r="AR74" s="34">
        <f t="shared" ref="AR74" si="353">AR$9/AO$9-1</f>
        <v>8.8842729225287798E-2</v>
      </c>
      <c r="AS74" s="337">
        <f>AS$9/AP$9-1</f>
        <v>7.8604034150968838E-2</v>
      </c>
      <c r="AT74" s="337">
        <f>AT$9/AS$9-1</f>
        <v>0.11466721199885455</v>
      </c>
      <c r="AU74" s="337">
        <f>AU$9/AT$9-1</f>
        <v>0.11109498348165148</v>
      </c>
    </row>
    <row r="75" spans="1:47" s="50" customFormat="1">
      <c r="A75" s="217"/>
      <c r="B75" s="253" t="str">
        <f>+B17</f>
        <v>Distribution Expenses</v>
      </c>
      <c r="C75" s="247"/>
      <c r="D75" s="49"/>
      <c r="E75" s="49"/>
      <c r="F75" s="288"/>
      <c r="G75" s="288"/>
      <c r="H75" s="49"/>
      <c r="I75" s="288"/>
      <c r="J75" s="288"/>
      <c r="K75" s="458"/>
      <c r="L75" s="288"/>
      <c r="M75" s="296"/>
      <c r="N75" s="458"/>
      <c r="O75" s="288">
        <f t="shared" ref="O75:X77" si="354">O17/L17-1</f>
        <v>4.4084356010961612E-2</v>
      </c>
      <c r="P75" s="296">
        <f t="shared" si="354"/>
        <v>-4.6849518161601211E-2</v>
      </c>
      <c r="Q75" s="458">
        <f t="shared" si="354"/>
        <v>-7.5005859832799615E-2</v>
      </c>
      <c r="R75" s="288">
        <f t="shared" si="354"/>
        <v>-6.0557647685343774E-2</v>
      </c>
      <c r="S75" s="296">
        <f t="shared" si="354"/>
        <v>1.6254471924094016E-2</v>
      </c>
      <c r="T75" s="458">
        <f t="shared" si="354"/>
        <v>0.48965284230087014</v>
      </c>
      <c r="U75" s="288">
        <f t="shared" si="354"/>
        <v>0.24318743167186296</v>
      </c>
      <c r="V75" s="296">
        <f t="shared" si="354"/>
        <v>0.25040177546491149</v>
      </c>
      <c r="W75" s="458">
        <f t="shared" si="354"/>
        <v>-0.21246314356997031</v>
      </c>
      <c r="X75" s="288">
        <f t="shared" si="354"/>
        <v>-1.5470800898934933E-2</v>
      </c>
      <c r="Y75" s="296">
        <f t="shared" ref="Y75:AH77" si="355">Y17/V17-1</f>
        <v>-0.16353510006732352</v>
      </c>
      <c r="Z75" s="458">
        <f t="shared" si="355"/>
        <v>-5.1047591619267085E-2</v>
      </c>
      <c r="AA75" s="288">
        <f t="shared" si="355"/>
        <v>-0.11184994045256058</v>
      </c>
      <c r="AB75" s="288">
        <f t="shared" si="355"/>
        <v>6.3217970293407477E-2</v>
      </c>
      <c r="AC75" s="34">
        <f t="shared" si="355"/>
        <v>9.3778452200303342E-2</v>
      </c>
      <c r="AD75" s="337">
        <f t="shared" si="355"/>
        <v>7.82210302827131E-2</v>
      </c>
      <c r="AE75" s="337">
        <f t="shared" si="355"/>
        <v>0.24657628518340102</v>
      </c>
      <c r="AF75" s="34">
        <f t="shared" si="355"/>
        <v>0.25284406215316313</v>
      </c>
      <c r="AG75" s="337">
        <f t="shared" si="355"/>
        <v>0.24969772342557084</v>
      </c>
      <c r="AH75" s="337">
        <f t="shared" si="355"/>
        <v>8.2588053439328624E-2</v>
      </c>
      <c r="AI75" s="34">
        <f t="shared" ref="AI75:AN77" si="356">AI17/AF17-1</f>
        <v>9.7115331377000347E-2</v>
      </c>
      <c r="AJ75" s="337">
        <f t="shared" si="356"/>
        <v>8.9841050449205317E-2</v>
      </c>
      <c r="AK75" s="337">
        <f t="shared" si="356"/>
        <v>9.7552269250382517E-2</v>
      </c>
      <c r="AL75" s="34">
        <f t="shared" si="356"/>
        <v>5.4554630330557741E-2</v>
      </c>
      <c r="AM75" s="337">
        <f t="shared" si="356"/>
        <v>7.5941661382371572E-2</v>
      </c>
      <c r="AN75" s="337">
        <f t="shared" si="356"/>
        <v>-2.8016540445105154E-2</v>
      </c>
      <c r="AO75" s="34">
        <f t="shared" ref="AO75:AO77" si="357">AO17/AL17-1</f>
        <v>9.714777947932518E-3</v>
      </c>
      <c r="AP75" s="337">
        <f t="shared" ref="AP75:AP77" si="358">AP17/AM17-1</f>
        <v>-9.4297366746033395E-3</v>
      </c>
      <c r="AQ75" s="408">
        <v>0.08</v>
      </c>
      <c r="AR75" s="34">
        <f>AR17/AO17-1</f>
        <v>-3.9490971136072694E-2</v>
      </c>
      <c r="AS75" s="408">
        <v>0.02</v>
      </c>
      <c r="AT75" s="408">
        <v>7.0000000000000007E-2</v>
      </c>
      <c r="AU75" s="408">
        <v>7.0000000000000007E-2</v>
      </c>
    </row>
    <row r="76" spans="1:47" s="50" customFormat="1">
      <c r="A76" s="217"/>
      <c r="B76" s="253" t="str">
        <f>+B18</f>
        <v>Research &amp; Development Expenses</v>
      </c>
      <c r="C76" s="247"/>
      <c r="D76" s="49"/>
      <c r="E76" s="49"/>
      <c r="F76" s="288"/>
      <c r="G76" s="288"/>
      <c r="H76" s="49"/>
      <c r="I76" s="288"/>
      <c r="J76" s="288"/>
      <c r="K76" s="458"/>
      <c r="L76" s="288"/>
      <c r="M76" s="296"/>
      <c r="N76" s="458"/>
      <c r="O76" s="288">
        <f t="shared" si="354"/>
        <v>0.12991030003093096</v>
      </c>
      <c r="P76" s="296">
        <f t="shared" si="354"/>
        <v>-7.1480938416423889E-3</v>
      </c>
      <c r="Q76" s="458">
        <f t="shared" si="354"/>
        <v>6.160276212974769E-2</v>
      </c>
      <c r="R76" s="288">
        <f t="shared" si="354"/>
        <v>2.737476047084586E-2</v>
      </c>
      <c r="S76" s="296">
        <f t="shared" si="354"/>
        <v>0.15008307181096558</v>
      </c>
      <c r="T76" s="458">
        <f t="shared" si="354"/>
        <v>0.13351591920575134</v>
      </c>
      <c r="U76" s="288">
        <f t="shared" si="354"/>
        <v>0.14148681055155876</v>
      </c>
      <c r="V76" s="296">
        <f t="shared" si="354"/>
        <v>5.6019261637239026E-2</v>
      </c>
      <c r="W76" s="458">
        <f t="shared" si="354"/>
        <v>-1.9480519480519543E-2</v>
      </c>
      <c r="X76" s="288">
        <f t="shared" si="354"/>
        <v>1.7117958294428748E-2</v>
      </c>
      <c r="Y76" s="296">
        <f t="shared" si="355"/>
        <v>-4.5143638850889123E-2</v>
      </c>
      <c r="Z76" s="458">
        <f t="shared" si="355"/>
        <v>6.9921453873402095E-2</v>
      </c>
      <c r="AA76" s="288">
        <f t="shared" si="355"/>
        <v>1.2010403916768775E-2</v>
      </c>
      <c r="AB76" s="288">
        <f t="shared" si="355"/>
        <v>0.22285896211397649</v>
      </c>
      <c r="AC76" s="34">
        <f t="shared" si="355"/>
        <v>0.15949330646322157</v>
      </c>
      <c r="AD76" s="337">
        <f t="shared" si="355"/>
        <v>0.18958349081563242</v>
      </c>
      <c r="AE76" s="337">
        <f t="shared" si="355"/>
        <v>0.46433220515490747</v>
      </c>
      <c r="AF76" s="34">
        <f t="shared" si="355"/>
        <v>0.47324643078833017</v>
      </c>
      <c r="AG76" s="337">
        <f t="shared" si="355"/>
        <v>0.4688949609201245</v>
      </c>
      <c r="AH76" s="337">
        <f t="shared" si="355"/>
        <v>0.14339052360209781</v>
      </c>
      <c r="AI76" s="34">
        <f t="shared" si="356"/>
        <v>2.4437515800117993E-2</v>
      </c>
      <c r="AJ76" s="337">
        <f t="shared" si="356"/>
        <v>8.2323931476033785E-2</v>
      </c>
      <c r="AK76" s="337">
        <f t="shared" si="356"/>
        <v>4.4549836728347003E-2</v>
      </c>
      <c r="AL76" s="34">
        <f t="shared" si="356"/>
        <v>0.13292753146335445</v>
      </c>
      <c r="AM76" s="337">
        <f t="shared" si="356"/>
        <v>8.7493504936248412E-2</v>
      </c>
      <c r="AN76" s="337">
        <f>AN18/AK18-1</f>
        <v>-0.46341644957201344</v>
      </c>
      <c r="AO76" s="34">
        <f t="shared" si="357"/>
        <v>-0.28577651927684589</v>
      </c>
      <c r="AP76" s="337">
        <f t="shared" si="358"/>
        <v>-0.37349309026756838</v>
      </c>
      <c r="AQ76" s="337">
        <f>AQ18/AN18-1</f>
        <v>0.17708607342820781</v>
      </c>
      <c r="AR76" s="34">
        <f>AR18/AO18-1</f>
        <v>-9.1127079047713222E-2</v>
      </c>
      <c r="AS76" s="286">
        <f>+AS18/AP18-1</f>
        <v>2.2304143303507828E-2</v>
      </c>
      <c r="AT76" s="286">
        <f t="shared" ref="AT76:AU76" si="359">+AT18/AS18-1</f>
        <v>7.0080523518899929E-2</v>
      </c>
      <c r="AU76" s="286">
        <f t="shared" si="359"/>
        <v>6.4799359169916526E-2</v>
      </c>
    </row>
    <row r="77" spans="1:47" s="50" customFormat="1">
      <c r="A77" s="217"/>
      <c r="B77" s="253" t="str">
        <f>+B19</f>
        <v>Administration and Other Operating Expenses</v>
      </c>
      <c r="C77" s="247"/>
      <c r="D77" s="49"/>
      <c r="E77" s="49"/>
      <c r="F77" s="288"/>
      <c r="G77" s="288"/>
      <c r="H77" s="49"/>
      <c r="I77" s="288"/>
      <c r="J77" s="288"/>
      <c r="K77" s="458"/>
      <c r="L77" s="288"/>
      <c r="M77" s="296"/>
      <c r="N77" s="458"/>
      <c r="O77" s="288">
        <f t="shared" si="354"/>
        <v>0.10601877415792393</v>
      </c>
      <c r="P77" s="296">
        <f t="shared" si="354"/>
        <v>-5.7809330628803335E-2</v>
      </c>
      <c r="Q77" s="458">
        <f t="shared" si="354"/>
        <v>5.7358243198951442E-2</v>
      </c>
      <c r="R77" s="288">
        <f t="shared" si="354"/>
        <v>6.6566816442015231E-4</v>
      </c>
      <c r="S77" s="296">
        <f t="shared" si="354"/>
        <v>0.90850376749192652</v>
      </c>
      <c r="T77" s="458">
        <f t="shared" si="354"/>
        <v>-0.69714817110973315</v>
      </c>
      <c r="U77" s="288">
        <f t="shared" si="354"/>
        <v>4.7064693164809546E-2</v>
      </c>
      <c r="V77" s="296">
        <f t="shared" si="354"/>
        <v>-0.32844519646550085</v>
      </c>
      <c r="W77" s="458">
        <f t="shared" si="354"/>
        <v>2.2865916069600773</v>
      </c>
      <c r="X77" s="288">
        <f t="shared" si="354"/>
        <v>7.7350698856416544E-2</v>
      </c>
      <c r="Y77" s="296">
        <f t="shared" si="355"/>
        <v>-0.32110862262038065</v>
      </c>
      <c r="Z77" s="458">
        <f t="shared" si="355"/>
        <v>-6.2597321706633235E-2</v>
      </c>
      <c r="AA77" s="288">
        <f t="shared" si="355"/>
        <v>-0.19873212442871868</v>
      </c>
      <c r="AB77" s="288">
        <f t="shared" si="355"/>
        <v>0.15340206185566996</v>
      </c>
      <c r="AC77" s="34">
        <f t="shared" si="355"/>
        <v>-0.28405315614617999</v>
      </c>
      <c r="AD77" s="337">
        <f t="shared" si="355"/>
        <v>-8.8868445262189955E-2</v>
      </c>
      <c r="AE77" s="337">
        <f t="shared" si="355"/>
        <v>4.0757954951734066E-2</v>
      </c>
      <c r="AF77" s="34">
        <f t="shared" si="355"/>
        <v>-0.11693735498839652</v>
      </c>
      <c r="AG77" s="337">
        <f t="shared" si="355"/>
        <v>-2.7867528271404374E-2</v>
      </c>
      <c r="AH77" s="337">
        <f t="shared" si="355"/>
        <v>-0.15115080728272112</v>
      </c>
      <c r="AI77" s="34">
        <f t="shared" si="356"/>
        <v>0.7178139779295869</v>
      </c>
      <c r="AJ77" s="337">
        <f t="shared" si="356"/>
        <v>0.19235562941420947</v>
      </c>
      <c r="AK77" s="337">
        <f t="shared" si="356"/>
        <v>0.57021448806151565</v>
      </c>
      <c r="AL77" s="34">
        <f t="shared" si="356"/>
        <v>8.9629856225138749E-2</v>
      </c>
      <c r="AM77" s="337">
        <f t="shared" si="356"/>
        <v>0.29651567944250545</v>
      </c>
      <c r="AN77" s="337">
        <f>AN19/AK19-1</f>
        <v>7.8865979381441687E-2</v>
      </c>
      <c r="AO77" s="34">
        <f t="shared" si="357"/>
        <v>0.2158899494665989</v>
      </c>
      <c r="AP77" s="337">
        <f t="shared" si="358"/>
        <v>0.14445041655469204</v>
      </c>
      <c r="AQ77" s="408">
        <v>0.1</v>
      </c>
      <c r="AR77" s="34">
        <f>AR19/AO19-1</f>
        <v>0.10000000000000009</v>
      </c>
      <c r="AS77" s="408">
        <v>0.1</v>
      </c>
      <c r="AT77" s="408">
        <v>0.1</v>
      </c>
      <c r="AU77" s="408">
        <v>0.1</v>
      </c>
    </row>
    <row r="78" spans="1:47" s="50" customFormat="1" outlineLevel="1">
      <c r="A78" s="217"/>
      <c r="B78" s="256" t="s">
        <v>1098</v>
      </c>
      <c r="C78" s="247"/>
      <c r="D78" s="49"/>
      <c r="E78" s="49"/>
      <c r="F78" s="288"/>
      <c r="G78" s="288" t="e">
        <f t="shared" ref="G78:H78" si="360">G$20/D$20-1</f>
        <v>#DIV/0!</v>
      </c>
      <c r="H78" s="49" t="e">
        <f t="shared" si="360"/>
        <v>#DIV/0!</v>
      </c>
      <c r="I78" s="288"/>
      <c r="J78" s="288"/>
      <c r="K78" s="458"/>
      <c r="L78" s="288"/>
      <c r="M78" s="296"/>
      <c r="N78" s="458"/>
      <c r="O78" s="288">
        <f t="shared" ref="O78:T78" si="361">O$20/L$20-1</f>
        <v>7.3081789089826765E-2</v>
      </c>
      <c r="P78" s="296">
        <f t="shared" si="361"/>
        <v>-3.8440467494521791E-2</v>
      </c>
      <c r="Q78" s="458">
        <f t="shared" si="361"/>
        <v>-2.0886994801667447E-2</v>
      </c>
      <c r="R78" s="288">
        <f t="shared" si="361"/>
        <v>-2.9775527660263146E-2</v>
      </c>
      <c r="S78" s="296">
        <f t="shared" si="361"/>
        <v>0.16873991073972094</v>
      </c>
      <c r="T78" s="458">
        <f t="shared" si="361"/>
        <v>0.20701200554838106</v>
      </c>
      <c r="U78" s="288">
        <f t="shared" ref="U78" si="362">U$20/R$20-1</f>
        <v>0.18780528485310577</v>
      </c>
      <c r="V78" s="296">
        <f>V$20/S$20-1</f>
        <v>7.6129346766330874E-2</v>
      </c>
      <c r="W78" s="458">
        <f>W$20/T$20-1</f>
        <v>-6.506835744006334E-2</v>
      </c>
      <c r="X78" s="288">
        <f t="shared" ref="X78" si="363">X$20/U$20-1</f>
        <v>4.6538685282140335E-3</v>
      </c>
      <c r="Y78" s="296">
        <f>Y$20/V$20-1</f>
        <v>-0.1553793884484711</v>
      </c>
      <c r="Z78" s="458">
        <f>Z$20/W$20-1</f>
        <v>-1.9327766710464767E-2</v>
      </c>
      <c r="AA78" s="288">
        <f t="shared" ref="AA78:AD78" si="364">AA$20/X$20-1</f>
        <v>-9.1288461154483524E-2</v>
      </c>
      <c r="AB78" s="288">
        <f>AB$20/Y$20-1</f>
        <v>0.1178153213551445</v>
      </c>
      <c r="AC78" s="34">
        <f>AC$20/Z$20-1</f>
        <v>6.4355793750269674E-2</v>
      </c>
      <c r="AD78" s="337">
        <f t="shared" si="364"/>
        <v>9.0637428314033874E-2</v>
      </c>
      <c r="AE78" s="337">
        <f t="shared" ref="AE78:AH78" si="365">AE$20/AB$20-1</f>
        <v>0.29044382247101153</v>
      </c>
      <c r="AF78" s="34">
        <f t="shared" si="365"/>
        <v>0.29257695118979976</v>
      </c>
      <c r="AG78" s="337">
        <f t="shared" si="365"/>
        <v>0.29150213554678084</v>
      </c>
      <c r="AH78" s="337">
        <f t="shared" si="365"/>
        <v>8.2698147115324971E-2</v>
      </c>
      <c r="AI78" s="34">
        <f t="shared" ref="AI78" si="366">AI$20/AF$20-1</f>
        <v>0.10712827118218105</v>
      </c>
      <c r="AJ78" s="337">
        <f t="shared" ref="AJ78:AN78" si="367">AJ$20/AG$20-1</f>
        <v>9.4828796505732615E-2</v>
      </c>
      <c r="AK78" s="337">
        <f t="shared" si="367"/>
        <v>0.11146724665884444</v>
      </c>
      <c r="AL78" s="34">
        <f t="shared" ref="AL78" si="368">AL$20/AI$20-1</f>
        <v>8.4844357424590067E-2</v>
      </c>
      <c r="AM78" s="337">
        <f t="shared" si="367"/>
        <v>9.8099281887609635E-2</v>
      </c>
      <c r="AN78" s="337">
        <f t="shared" si="367"/>
        <v>-0.16795406560585002</v>
      </c>
      <c r="AO78" s="34">
        <f t="shared" ref="AO78" si="369">AO$20/AL$20-1</f>
        <v>-7.7528707070178116E-2</v>
      </c>
      <c r="AP78" s="337">
        <f t="shared" ref="AP78" si="370">AP$20/AM$20-1</f>
        <v>-0.12309748407271381</v>
      </c>
      <c r="AQ78" s="337">
        <f t="shared" ref="AQ78" si="371">AQ$20/AN$20-1</f>
        <v>0.1042492187325994</v>
      </c>
      <c r="AR78" s="34">
        <f t="shared" ref="AR78" si="372">AR$20/AO$20-1</f>
        <v>-3.6763463764775905E-2</v>
      </c>
      <c r="AS78" s="337">
        <f>AS$20/AP$20-1</f>
        <v>3.0663141468905808E-2</v>
      </c>
      <c r="AT78" s="337">
        <f t="shared" ref="AT78:AU78" si="373">AT$20/AS$20-1</f>
        <v>7.4055231539938093E-2</v>
      </c>
      <c r="AU78" s="337">
        <f t="shared" si="373"/>
        <v>7.283626911372898E-2</v>
      </c>
    </row>
    <row r="79" spans="1:47" s="50" customFormat="1" outlineLevel="1">
      <c r="A79" s="217" t="s">
        <v>1073</v>
      </c>
      <c r="B79" s="256" t="s">
        <v>1113</v>
      </c>
      <c r="C79" s="247"/>
      <c r="D79" s="49"/>
      <c r="E79" s="49"/>
      <c r="F79" s="288"/>
      <c r="G79" s="288" t="e">
        <f>G23/D23-1</f>
        <v>#DIV/0!</v>
      </c>
      <c r="H79" s="49" t="e">
        <f>H23/E23-1</f>
        <v>#DIV/0!</v>
      </c>
      <c r="I79" s="288"/>
      <c r="J79" s="288"/>
      <c r="K79" s="458"/>
      <c r="L79" s="288"/>
      <c r="M79" s="296"/>
      <c r="N79" s="458"/>
      <c r="O79" s="288">
        <f t="shared" ref="O79:AN79" si="374">O23/L23-1</f>
        <v>-8.9543495543746632E-2</v>
      </c>
      <c r="P79" s="296">
        <f t="shared" si="374"/>
        <v>-7.8250488387235473E-2</v>
      </c>
      <c r="Q79" s="458">
        <f t="shared" si="374"/>
        <v>0.30107612594659106</v>
      </c>
      <c r="R79" s="288">
        <f t="shared" si="374"/>
        <v>0.14044763086538881</v>
      </c>
      <c r="S79" s="296">
        <f t="shared" si="374"/>
        <v>0.84033910279053181</v>
      </c>
      <c r="T79" s="458">
        <f t="shared" si="374"/>
        <v>0.1437323857370425</v>
      </c>
      <c r="U79" s="288">
        <f t="shared" si="374"/>
        <v>0.38214789441869867</v>
      </c>
      <c r="V79" s="296">
        <f t="shared" si="374"/>
        <v>0.16308381317978227</v>
      </c>
      <c r="W79" s="458">
        <f t="shared" si="374"/>
        <v>-9.6903792586243376E-2</v>
      </c>
      <c r="X79" s="288">
        <f t="shared" si="374"/>
        <v>2.1575602075923017E-2</v>
      </c>
      <c r="Y79" s="296">
        <f t="shared" si="374"/>
        <v>-3.5920567687991567E-2</v>
      </c>
      <c r="Z79" s="458">
        <f t="shared" si="374"/>
        <v>0.42208909187970733</v>
      </c>
      <c r="AA79" s="288">
        <f t="shared" si="374"/>
        <v>0.18445687539243072</v>
      </c>
      <c r="AB79" s="288">
        <f t="shared" si="374"/>
        <v>0.2157936779641676</v>
      </c>
      <c r="AC79" s="34">
        <f t="shared" si="374"/>
        <v>0.20546402502606909</v>
      </c>
      <c r="AD79" s="337">
        <f t="shared" si="374"/>
        <v>0.20982626924652426</v>
      </c>
      <c r="AE79" s="337">
        <f t="shared" si="374"/>
        <v>0.63717852449784118</v>
      </c>
      <c r="AF79" s="34">
        <f t="shared" si="374"/>
        <v>0.36600809660565359</v>
      </c>
      <c r="AG79" s="337">
        <f t="shared" si="374"/>
        <v>0.4810890477802785</v>
      </c>
      <c r="AH79" s="337">
        <f t="shared" si="374"/>
        <v>0.2333667765515266</v>
      </c>
      <c r="AI79" s="34">
        <f t="shared" si="374"/>
        <v>9.9141315636160909E-2</v>
      </c>
      <c r="AJ79" s="337">
        <f t="shared" si="374"/>
        <v>0.16210800925178837</v>
      </c>
      <c r="AK79" s="337">
        <f t="shared" si="374"/>
        <v>-9.903314275089492E-2</v>
      </c>
      <c r="AL79" s="34">
        <f t="shared" si="374"/>
        <v>-6.337427695711273E-2</v>
      </c>
      <c r="AM79" s="337">
        <f t="shared" si="374"/>
        <v>-5.7984933868709398E-2</v>
      </c>
      <c r="AN79" s="337">
        <f t="shared" si="374"/>
        <v>0.11781245969302212</v>
      </c>
      <c r="AO79" s="34">
        <f t="shared" ref="AO79" si="375">AO23/AL23-1</f>
        <v>1.6411190118839292E-2</v>
      </c>
      <c r="AP79" s="337">
        <f t="shared" ref="AP79" si="376">AP23/AM23-1</f>
        <v>3.9725825471698117E-2</v>
      </c>
      <c r="AQ79" s="337">
        <f t="shared" ref="AQ79" si="377">AQ23/AN23-1</f>
        <v>-1.2220862555202383E-2</v>
      </c>
      <c r="AR79" s="34">
        <f t="shared" ref="AR79" si="378">AR23/AO23-1</f>
        <v>0.26726103815797009</v>
      </c>
      <c r="AS79" s="337">
        <f>AS23/AP23-1</f>
        <v>0.12418183726830279</v>
      </c>
      <c r="AT79" s="337">
        <f t="shared" ref="AT79:AU79" si="379">AT23/AS23-1</f>
        <v>0.15927864747230003</v>
      </c>
      <c r="AU79" s="337">
        <f t="shared" si="379"/>
        <v>0.16298985604372151</v>
      </c>
    </row>
    <row r="80" spans="1:47" s="50" customFormat="1" outlineLevel="1">
      <c r="A80" s="217"/>
      <c r="B80" s="256" t="s">
        <v>407</v>
      </c>
      <c r="C80" s="247"/>
      <c r="D80" s="49"/>
      <c r="E80" s="49"/>
      <c r="F80" s="288"/>
      <c r="G80" s="288"/>
      <c r="H80" s="49"/>
      <c r="I80" s="288"/>
      <c r="J80" s="288"/>
      <c r="K80" s="34"/>
      <c r="L80" s="288"/>
      <c r="M80" s="288"/>
      <c r="N80" s="34"/>
      <c r="O80" s="288">
        <f t="shared" ref="O80:AN80" si="380">O51/L51-1</f>
        <v>-0.2137203166226912</v>
      </c>
      <c r="P80" s="288">
        <f t="shared" si="380"/>
        <v>-0.12880143112701248</v>
      </c>
      <c r="Q80" s="34">
        <f t="shared" si="380"/>
        <v>0.36126029359112022</v>
      </c>
      <c r="R80" s="288">
        <f t="shared" si="380"/>
        <v>0.17740492170022359</v>
      </c>
      <c r="S80" s="288">
        <f t="shared" si="380"/>
        <v>1.5612594113620806</v>
      </c>
      <c r="T80" s="34">
        <f t="shared" si="380"/>
        <v>0.17306680694371401</v>
      </c>
      <c r="U80" s="288">
        <f t="shared" si="380"/>
        <v>0.55842675280258414</v>
      </c>
      <c r="V80" s="288">
        <f t="shared" si="380"/>
        <v>9.8343132014965029E-2</v>
      </c>
      <c r="W80" s="34">
        <f t="shared" si="380"/>
        <v>-0.26681614349775751</v>
      </c>
      <c r="X80" s="288">
        <f t="shared" si="380"/>
        <v>-0.10021945866861726</v>
      </c>
      <c r="Y80" s="288">
        <f t="shared" si="380"/>
        <v>-0.11362530413625294</v>
      </c>
      <c r="Z80" s="34">
        <f t="shared" si="380"/>
        <v>0.65351681957186503</v>
      </c>
      <c r="AA80" s="288">
        <f t="shared" si="380"/>
        <v>0.22628726287262868</v>
      </c>
      <c r="AB80" s="288">
        <f t="shared" si="380"/>
        <v>0.16662091682679114</v>
      </c>
      <c r="AC80" s="34">
        <f t="shared" si="380"/>
        <v>0.25300536341779134</v>
      </c>
      <c r="AD80" s="337">
        <f t="shared" si="380"/>
        <v>0.21823204419889475</v>
      </c>
      <c r="AE80" s="337">
        <f t="shared" si="380"/>
        <v>0.70047058823529418</v>
      </c>
      <c r="AF80" s="34">
        <f t="shared" si="380"/>
        <v>0.30760147601476007</v>
      </c>
      <c r="AG80" s="337">
        <f t="shared" si="380"/>
        <v>0.45904761904761915</v>
      </c>
      <c r="AH80" s="337">
        <f t="shared" si="380"/>
        <v>0.39961256399612566</v>
      </c>
      <c r="AI80" s="34">
        <f t="shared" ref="AI80" si="381">AI51/AF51-1</f>
        <v>5.7117056101139818E-2</v>
      </c>
      <c r="AJ80" s="337">
        <f t="shared" ref="AJ80" si="382">AJ51/AG51-1</f>
        <v>0.21099092378465745</v>
      </c>
      <c r="AK80" s="337">
        <f t="shared" si="380"/>
        <v>6.0207612456747439E-2</v>
      </c>
      <c r="AL80" s="34">
        <f t="shared" si="380"/>
        <v>0.10656700480512571</v>
      </c>
      <c r="AM80" s="337">
        <f t="shared" si="380"/>
        <v>8.2494866529774225E-2</v>
      </c>
      <c r="AN80" s="337">
        <f t="shared" si="380"/>
        <v>0.52955986572174552</v>
      </c>
      <c r="AO80" s="34">
        <f t="shared" ref="AO80" si="383">AO51/AL51-1</f>
        <v>0.44041300781626935</v>
      </c>
      <c r="AP80" s="337">
        <f t="shared" ref="AP80" si="384">AP51/AM51-1</f>
        <v>0.48574951391852794</v>
      </c>
      <c r="AQ80" s="337">
        <f t="shared" ref="AQ80" si="385">AQ51/AN51-1</f>
        <v>-9.8077801578996593E-2</v>
      </c>
      <c r="AR80" s="34">
        <f t="shared" ref="AR80" si="386">AR51/AO51-1</f>
        <v>0.23694283166881225</v>
      </c>
      <c r="AS80" s="337">
        <f>AS51/AP51-1</f>
        <v>6.1540870380468515E-2</v>
      </c>
      <c r="AT80" s="337">
        <f t="shared" ref="AT80:AU80" si="387">AT51/AS51-1</f>
        <v>6.3642138612520327E-2</v>
      </c>
      <c r="AU80" s="337">
        <f t="shared" si="387"/>
        <v>0.18366896428332047</v>
      </c>
    </row>
    <row r="81" spans="1:47" s="50" customFormat="1" outlineLevel="1">
      <c r="A81" s="217"/>
      <c r="B81" s="256" t="s">
        <v>402</v>
      </c>
      <c r="C81" s="247"/>
      <c r="D81" s="49"/>
      <c r="E81" s="49"/>
      <c r="F81" s="288"/>
      <c r="G81" s="288"/>
      <c r="H81" s="49"/>
      <c r="I81" s="288"/>
      <c r="J81" s="288"/>
      <c r="K81" s="34"/>
      <c r="L81" s="288"/>
      <c r="M81" s="288"/>
      <c r="N81" s="34"/>
      <c r="O81" s="288">
        <f t="shared" ref="O81:AN81" si="388">O55/L55-1</f>
        <v>-0.2137203166226912</v>
      </c>
      <c r="P81" s="288">
        <f t="shared" si="388"/>
        <v>-0.12880143112701248</v>
      </c>
      <c r="Q81" s="34">
        <f t="shared" si="388"/>
        <v>0.36126029359112022</v>
      </c>
      <c r="R81" s="288">
        <f t="shared" si="388"/>
        <v>0.17740492170022359</v>
      </c>
      <c r="S81" s="288">
        <f t="shared" si="388"/>
        <v>1.5612594113620806</v>
      </c>
      <c r="T81" s="34">
        <f t="shared" si="388"/>
        <v>0.17306680694371401</v>
      </c>
      <c r="U81" s="288">
        <f t="shared" si="388"/>
        <v>0.55842675280258414</v>
      </c>
      <c r="V81" s="288">
        <f t="shared" si="388"/>
        <v>9.8343132014965029E-2</v>
      </c>
      <c r="W81" s="34">
        <f t="shared" si="388"/>
        <v>-0.26681614349775751</v>
      </c>
      <c r="X81" s="288">
        <f t="shared" si="388"/>
        <v>-0.10021945866861726</v>
      </c>
      <c r="Y81" s="288">
        <f t="shared" si="388"/>
        <v>-0.11362530413625294</v>
      </c>
      <c r="Z81" s="34">
        <f t="shared" si="388"/>
        <v>0.65351681957186503</v>
      </c>
      <c r="AA81" s="288">
        <f t="shared" si="388"/>
        <v>0.22628726287262868</v>
      </c>
      <c r="AB81" s="288">
        <f t="shared" si="388"/>
        <v>0.16662091682679114</v>
      </c>
      <c r="AC81" s="34">
        <f t="shared" si="388"/>
        <v>0.25300536341779134</v>
      </c>
      <c r="AD81" s="337">
        <f t="shared" si="388"/>
        <v>0.21823204419889475</v>
      </c>
      <c r="AE81" s="337">
        <f t="shared" si="388"/>
        <v>0.70047058823529418</v>
      </c>
      <c r="AF81" s="34">
        <f t="shared" si="388"/>
        <v>0.30760147601476007</v>
      </c>
      <c r="AG81" s="337">
        <f t="shared" si="388"/>
        <v>0.45904761904761915</v>
      </c>
      <c r="AH81" s="337">
        <f t="shared" si="388"/>
        <v>0.39961256399612566</v>
      </c>
      <c r="AI81" s="34">
        <f t="shared" ref="AI81" si="389">AI55/AF55-1</f>
        <v>5.7117056101139818E-2</v>
      </c>
      <c r="AJ81" s="337">
        <f t="shared" ref="AJ81" si="390">AJ55/AG55-1</f>
        <v>0.21099092378465745</v>
      </c>
      <c r="AK81" s="337">
        <f t="shared" si="388"/>
        <v>6.0207612456747439E-2</v>
      </c>
      <c r="AL81" s="34">
        <f t="shared" si="388"/>
        <v>0.10656700480512571</v>
      </c>
      <c r="AM81" s="337">
        <f t="shared" si="388"/>
        <v>8.2494866529774225E-2</v>
      </c>
      <c r="AN81" s="337">
        <f t="shared" si="388"/>
        <v>0.52955986572174552</v>
      </c>
      <c r="AO81" s="34">
        <f t="shared" ref="AO81" si="391">AO55/AL55-1</f>
        <v>0.44041300781626935</v>
      </c>
      <c r="AP81" s="337">
        <f t="shared" ref="AP81" si="392">AP55/AM55-1</f>
        <v>0.48574951391852794</v>
      </c>
      <c r="AQ81" s="337">
        <f t="shared" ref="AQ81" si="393">AQ55/AN55-1</f>
        <v>-9.8077801578996593E-2</v>
      </c>
      <c r="AR81" s="34">
        <f t="shared" ref="AR81" si="394">AR55/AO55-1</f>
        <v>0.23694283166881225</v>
      </c>
      <c r="AS81" s="337">
        <f>AS55/AP55-1</f>
        <v>6.1540870380468515E-2</v>
      </c>
      <c r="AT81" s="337">
        <f t="shared" ref="AT81:AU81" si="395">AT55/AS55-1</f>
        <v>6.3642138612520327E-2</v>
      </c>
      <c r="AU81" s="337">
        <f t="shared" si="395"/>
        <v>0.18366896428332047</v>
      </c>
    </row>
    <row r="82" spans="1:47" s="50" customFormat="1" outlineLevel="1">
      <c r="A82" s="217" t="s">
        <v>1074</v>
      </c>
      <c r="B82" s="225" t="s">
        <v>895</v>
      </c>
      <c r="C82" s="247"/>
      <c r="D82" s="49"/>
      <c r="E82" s="49"/>
      <c r="F82" s="288"/>
      <c r="G82" s="288"/>
      <c r="H82" s="49"/>
      <c r="I82" s="288"/>
      <c r="J82" s="288"/>
      <c r="K82" s="34"/>
      <c r="L82" s="288"/>
      <c r="M82" s="288"/>
      <c r="N82" s="34"/>
      <c r="O82" s="288">
        <f t="shared" ref="O82:AN82" si="396">O62/L62-1</f>
        <v>-0.16666666666666663</v>
      </c>
      <c r="P82" s="288">
        <f t="shared" si="396"/>
        <v>-0.1578947368421052</v>
      </c>
      <c r="Q82" s="34">
        <f t="shared" si="396"/>
        <v>0.35483870967741904</v>
      </c>
      <c r="R82" s="288">
        <f t="shared" si="396"/>
        <v>0.15999999999999992</v>
      </c>
      <c r="S82" s="288">
        <f t="shared" si="396"/>
        <v>1.5624999999999996</v>
      </c>
      <c r="T82" s="34">
        <f t="shared" si="396"/>
        <v>0.16666666666666696</v>
      </c>
      <c r="U82" s="288">
        <f t="shared" si="396"/>
        <v>0.55172413793103448</v>
      </c>
      <c r="V82" s="288">
        <f t="shared" si="396"/>
        <v>9.7560975609756184E-2</v>
      </c>
      <c r="W82" s="34">
        <f t="shared" si="396"/>
        <v>-0.28571428571428581</v>
      </c>
      <c r="X82" s="288">
        <f t="shared" si="396"/>
        <v>-0.11111111111111116</v>
      </c>
      <c r="Y82" s="288">
        <f t="shared" si="396"/>
        <v>-0.1333333333333333</v>
      </c>
      <c r="Z82" s="34">
        <f t="shared" si="396"/>
        <v>0.68571428571428572</v>
      </c>
      <c r="AA82" s="288">
        <f t="shared" si="396"/>
        <v>0.22500000000000009</v>
      </c>
      <c r="AB82" s="288">
        <f t="shared" si="396"/>
        <v>0.17948717948717952</v>
      </c>
      <c r="AC82" s="34">
        <f t="shared" si="396"/>
        <v>0.22033898305084754</v>
      </c>
      <c r="AD82" s="337">
        <f t="shared" si="396"/>
        <v>0.20408163265306123</v>
      </c>
      <c r="AE82" s="337">
        <f t="shared" si="396"/>
        <v>0.67391304347826098</v>
      </c>
      <c r="AF82" s="34">
        <f t="shared" si="396"/>
        <v>0.3194444444444442</v>
      </c>
      <c r="AG82" s="337">
        <f t="shared" si="396"/>
        <v>0.45762711864406769</v>
      </c>
      <c r="AH82" s="337">
        <f t="shared" si="396"/>
        <v>0.38961038961038952</v>
      </c>
      <c r="AI82" s="34">
        <f t="shared" ref="AI82" si="397">AI62/AF62-1</f>
        <v>4.5584548716117057E-2</v>
      </c>
      <c r="AJ82" s="337">
        <f t="shared" ref="AJ82" si="398">AJ62/AG62-1</f>
        <v>0.19959611702343683</v>
      </c>
      <c r="AK82" s="337">
        <f t="shared" si="396"/>
        <v>5.6074766355140415E-2</v>
      </c>
      <c r="AL82" s="34">
        <f t="shared" si="396"/>
        <v>9.7353463481837821E-2</v>
      </c>
      <c r="AM82" s="337">
        <f t="shared" si="396"/>
        <v>7.5946934128169774E-2</v>
      </c>
      <c r="AN82" s="337">
        <f t="shared" si="396"/>
        <v>0.52212389380530966</v>
      </c>
      <c r="AO82" s="34">
        <f t="shared" ref="AO82" si="399">AO62/AL62-1</f>
        <v>0.44431577472067674</v>
      </c>
      <c r="AP82" s="337">
        <f t="shared" ref="AP82" si="400">AP62/AM62-1</f>
        <v>0.48392068281116041</v>
      </c>
      <c r="AQ82" s="337">
        <f t="shared" ref="AQ82" si="401">AQ62/AN62-1</f>
        <v>-9.5459653413499601E-2</v>
      </c>
      <c r="AR82" s="34">
        <f t="shared" ref="AR82" si="402">AR62/AO62-1</f>
        <v>0.23337384533455618</v>
      </c>
      <c r="AS82" s="337">
        <f>AS62/AP62-1</f>
        <v>6.1686035077045398E-2</v>
      </c>
      <c r="AT82" s="337">
        <f t="shared" ref="AT82:AU82" si="403">AT62/AS62-1</f>
        <v>6.3642138612520327E-2</v>
      </c>
      <c r="AU82" s="337">
        <f t="shared" si="403"/>
        <v>0.18366896428332047</v>
      </c>
    </row>
    <row r="83" spans="1:47" s="50" customFormat="1">
      <c r="A83" s="217"/>
      <c r="B83" s="256"/>
      <c r="C83" s="247"/>
      <c r="D83" s="49"/>
      <c r="E83" s="49"/>
      <c r="F83" s="288"/>
      <c r="G83" s="288"/>
      <c r="H83" s="49"/>
      <c r="I83" s="288"/>
      <c r="J83" s="288"/>
      <c r="K83" s="49"/>
      <c r="L83" s="288"/>
      <c r="M83" s="288"/>
      <c r="N83" s="49"/>
      <c r="O83" s="288"/>
      <c r="P83" s="288"/>
      <c r="Q83" s="49"/>
      <c r="R83" s="288"/>
      <c r="S83" s="288"/>
      <c r="T83" s="34"/>
      <c r="U83" s="288"/>
      <c r="V83" s="288"/>
      <c r="W83" s="34"/>
      <c r="X83" s="288"/>
      <c r="Y83" s="288"/>
      <c r="Z83" s="34"/>
      <c r="AA83" s="288"/>
      <c r="AB83" s="288"/>
      <c r="AC83" s="34"/>
      <c r="AD83" s="337"/>
      <c r="AE83" s="337"/>
      <c r="AF83" s="34"/>
      <c r="AG83" s="337"/>
      <c r="AH83" s="337"/>
      <c r="AI83" s="34"/>
      <c r="AJ83" s="337"/>
      <c r="AK83" s="337"/>
      <c r="AL83" s="34"/>
      <c r="AM83" s="337"/>
      <c r="AN83" s="337"/>
      <c r="AO83" s="34"/>
      <c r="AP83" s="337"/>
      <c r="AQ83" s="337"/>
      <c r="AR83" s="34"/>
      <c r="AS83" s="337"/>
      <c r="AT83" s="337"/>
      <c r="AU83" s="337"/>
    </row>
    <row r="84" spans="1:47" s="50" customFormat="1">
      <c r="A84" s="217"/>
      <c r="B84" s="257" t="s">
        <v>1099</v>
      </c>
      <c r="C84" s="247"/>
      <c r="D84" s="51"/>
      <c r="E84" s="51"/>
      <c r="F84" s="296"/>
      <c r="G84" s="296"/>
      <c r="H84" s="51"/>
      <c r="I84" s="296"/>
      <c r="J84" s="296"/>
      <c r="K84" s="51"/>
      <c r="L84" s="296"/>
      <c r="M84" s="296"/>
      <c r="N84" s="51"/>
      <c r="O84" s="296"/>
      <c r="P84" s="296"/>
      <c r="Q84" s="211"/>
      <c r="R84" s="296"/>
      <c r="S84" s="296"/>
      <c r="T84" s="207"/>
      <c r="U84" s="296"/>
      <c r="V84" s="296"/>
      <c r="W84" s="207"/>
      <c r="X84" s="296"/>
      <c r="Y84" s="296"/>
      <c r="Z84" s="207"/>
      <c r="AA84" s="296"/>
      <c r="AB84" s="296"/>
      <c r="AC84" s="207"/>
      <c r="AD84" s="338"/>
      <c r="AE84" s="338"/>
      <c r="AF84" s="207"/>
      <c r="AG84" s="338"/>
      <c r="AH84" s="338"/>
      <c r="AI84" s="207"/>
      <c r="AJ84" s="338"/>
      <c r="AK84" s="338"/>
      <c r="AL84" s="207"/>
      <c r="AM84" s="338"/>
      <c r="AN84" s="338"/>
      <c r="AO84" s="207"/>
      <c r="AP84" s="338"/>
      <c r="AQ84" s="338"/>
      <c r="AR84" s="207"/>
      <c r="AS84" s="338"/>
      <c r="AT84" s="338"/>
      <c r="AU84" s="338"/>
    </row>
    <row r="85" spans="1:47">
      <c r="B85" s="225" t="s">
        <v>303</v>
      </c>
      <c r="C85" s="247"/>
      <c r="D85" s="35"/>
      <c r="E85" s="35"/>
      <c r="F85" s="297"/>
      <c r="G85" s="297"/>
      <c r="H85" s="80"/>
      <c r="I85" s="297"/>
      <c r="J85" s="297"/>
      <c r="K85" s="80"/>
      <c r="L85" s="297"/>
      <c r="M85" s="308">
        <v>0.3</v>
      </c>
      <c r="N85" s="509">
        <v>0.3</v>
      </c>
      <c r="O85" s="308">
        <v>0.3</v>
      </c>
      <c r="P85" s="308">
        <v>0.3</v>
      </c>
      <c r="Q85" s="30">
        <v>0.3</v>
      </c>
      <c r="R85" s="308">
        <v>0.3</v>
      </c>
      <c r="S85" s="308">
        <v>0.3</v>
      </c>
      <c r="T85" s="30">
        <v>0.3</v>
      </c>
      <c r="U85" s="308">
        <f t="shared" ref="U85:AH85" si="404">+U50/U49</f>
        <v>0.16587002949252516</v>
      </c>
      <c r="V85" s="308">
        <f t="shared" si="404"/>
        <v>0.21549914105745371</v>
      </c>
      <c r="W85" s="29">
        <f t="shared" si="404"/>
        <v>0.20976317061382307</v>
      </c>
      <c r="X85" s="308">
        <f t="shared" si="404"/>
        <v>0.21296790018129466</v>
      </c>
      <c r="Y85" s="308">
        <f t="shared" si="404"/>
        <v>9.8267326732673271E-2</v>
      </c>
      <c r="Z85" s="29">
        <f t="shared" si="404"/>
        <v>0.20073909830007389</v>
      </c>
      <c r="AA85" s="308">
        <f t="shared" si="404"/>
        <v>0.16242480333179082</v>
      </c>
      <c r="AB85" s="308">
        <f t="shared" si="404"/>
        <v>0.17699457784663053</v>
      </c>
      <c r="AC85" s="29">
        <f t="shared" si="404"/>
        <v>0.19603654918713656</v>
      </c>
      <c r="AD85" s="306">
        <f t="shared" si="404"/>
        <v>0.18880141269958059</v>
      </c>
      <c r="AE85" s="306">
        <f t="shared" si="404"/>
        <v>0.2062602965403624</v>
      </c>
      <c r="AF85" s="29">
        <f t="shared" si="404"/>
        <v>0.20347059881316309</v>
      </c>
      <c r="AG85" s="306">
        <f t="shared" si="404"/>
        <v>0.2047263558609779</v>
      </c>
      <c r="AH85" s="306">
        <f t="shared" si="404"/>
        <v>0.18930832732227298</v>
      </c>
      <c r="AI85" s="29">
        <f t="shared" ref="AI85:AK85" si="405">+AI50/AI49</f>
        <v>0.13646841862609504</v>
      </c>
      <c r="AJ85" s="306">
        <f t="shared" si="405"/>
        <v>0.16473715804819486</v>
      </c>
      <c r="AK85" s="306">
        <f t="shared" si="405"/>
        <v>2.3257977486277792E-3</v>
      </c>
      <c r="AL85" s="29">
        <f>+AL50/AL49</f>
        <v>7.7121738356042385E-2</v>
      </c>
      <c r="AM85" s="306">
        <f t="shared" ref="AM85:AN85" si="406">+AM50/AM49</f>
        <v>4.0540540540540536E-2</v>
      </c>
      <c r="AN85" s="306">
        <f t="shared" si="406"/>
        <v>0.16456147499236018</v>
      </c>
      <c r="AO85" s="29">
        <f>+AO50/AO49</f>
        <v>0.20351101862227203</v>
      </c>
      <c r="AP85" s="306">
        <f t="shared" ref="AP85" si="407">+AP50/AP49</f>
        <v>0.1835830618892508</v>
      </c>
      <c r="AQ85" s="411">
        <v>0.2</v>
      </c>
      <c r="AR85" s="29">
        <f>+AR50/AR49</f>
        <v>0.20643092596617116</v>
      </c>
      <c r="AS85" s="542">
        <f>+MIN(AP85+2%,22%)</f>
        <v>0.20358306188925079</v>
      </c>
      <c r="AT85" s="513">
        <f t="shared" ref="AT85:AU85" si="408">+MIN(AS85+2%,22%)</f>
        <v>0.22</v>
      </c>
      <c r="AU85" s="513">
        <f t="shared" si="408"/>
        <v>0.22</v>
      </c>
    </row>
    <row r="86" spans="1:47">
      <c r="B86" s="225" t="s">
        <v>1058</v>
      </c>
      <c r="C86" s="247"/>
      <c r="D86" s="35"/>
      <c r="E86" s="35"/>
      <c r="F86" s="297"/>
      <c r="G86" s="297"/>
      <c r="H86" s="80"/>
      <c r="I86" s="297"/>
      <c r="J86" s="297"/>
      <c r="K86" s="80"/>
      <c r="L86" s="297"/>
      <c r="M86" s="297"/>
      <c r="N86" s="80"/>
      <c r="O86" s="308">
        <f>O43/O313</f>
        <v>2.9411764705882127E-2</v>
      </c>
      <c r="P86" s="308"/>
      <c r="Q86" s="30"/>
      <c r="R86" s="308">
        <f>R43/R313</f>
        <v>5.3567251461988272</v>
      </c>
      <c r="S86" s="308"/>
      <c r="T86" s="30"/>
      <c r="U86" s="308">
        <f>U43/U313</f>
        <v>0.15031027350034473</v>
      </c>
      <c r="V86" s="308"/>
      <c r="W86" s="29"/>
      <c r="X86" s="308">
        <f t="shared" ref="X86:AU86" si="409">X43/X313</f>
        <v>0.61807228915662638</v>
      </c>
      <c r="Y86" s="308">
        <f t="shared" si="409"/>
        <v>1.1734439834024892</v>
      </c>
      <c r="Z86" s="30">
        <f t="shared" si="409"/>
        <v>10.430656934306571</v>
      </c>
      <c r="AA86" s="308">
        <f t="shared" si="409"/>
        <v>2.1184798807749625</v>
      </c>
      <c r="AB86" s="308">
        <f t="shared" si="409"/>
        <v>3.4646464646464641</v>
      </c>
      <c r="AC86" s="30">
        <f t="shared" si="409"/>
        <v>2.0768307322929198</v>
      </c>
      <c r="AD86" s="308">
        <f t="shared" si="409"/>
        <v>2.5240032546786022</v>
      </c>
      <c r="AE86" s="308">
        <f t="shared" si="409"/>
        <v>3.2254098360655745</v>
      </c>
      <c r="AF86" s="30">
        <f t="shared" si="409"/>
        <v>6.3124999999999911</v>
      </c>
      <c r="AG86" s="422">
        <f t="shared" si="409"/>
        <v>4.2876344086021483</v>
      </c>
      <c r="AH86" s="308">
        <f t="shared" si="409"/>
        <v>3.1587926509186377</v>
      </c>
      <c r="AI86" s="30">
        <f t="shared" ref="AI86:AK86" si="410">AI43/AI313</f>
        <v>6.9113082039911236</v>
      </c>
      <c r="AJ86" s="422">
        <f t="shared" si="410"/>
        <v>4.5539983511953821</v>
      </c>
      <c r="AK86" s="308">
        <f t="shared" si="410"/>
        <v>6.9096209912536439</v>
      </c>
      <c r="AL86" s="514">
        <f t="shared" si="409"/>
        <v>4.9956331877729241</v>
      </c>
      <c r="AM86" s="422">
        <f t="shared" si="409"/>
        <v>6.1433566433566424</v>
      </c>
      <c r="AN86" s="308">
        <f t="shared" si="409"/>
        <v>0.42596404556058737</v>
      </c>
      <c r="AO86" s="514">
        <f t="shared" ref="AO86:AP86" si="411">AO43/AO313</f>
        <v>0.36813116433969512</v>
      </c>
      <c r="AP86" s="422">
        <f t="shared" si="411"/>
        <v>0.39605141115675102</v>
      </c>
      <c r="AQ86" s="422">
        <f t="shared" si="409"/>
        <v>0.5235607590288357</v>
      </c>
      <c r="AR86" s="514">
        <f t="shared" si="409"/>
        <v>0.49691773844012138</v>
      </c>
      <c r="AS86" s="422">
        <f t="shared" si="409"/>
        <v>0.50989144594007807</v>
      </c>
      <c r="AT86" s="422">
        <f t="shared" si="409"/>
        <v>0.72909103974017742</v>
      </c>
      <c r="AU86" s="422">
        <f t="shared" si="409"/>
        <v>0.74014527321704915</v>
      </c>
    </row>
    <row r="87" spans="1:47">
      <c r="B87" s="226"/>
      <c r="C87" s="247"/>
      <c r="D87" s="35"/>
      <c r="E87" s="35"/>
      <c r="F87" s="297"/>
      <c r="G87" s="297"/>
      <c r="H87" s="80"/>
      <c r="I87" s="297"/>
      <c r="J87" s="297"/>
      <c r="K87" s="80"/>
      <c r="L87" s="297"/>
      <c r="M87" s="297"/>
      <c r="N87" s="80"/>
      <c r="O87" s="297"/>
      <c r="P87" s="297"/>
      <c r="Q87" s="80"/>
      <c r="R87" s="297"/>
      <c r="S87" s="297"/>
      <c r="T87" s="80"/>
      <c r="U87" s="297"/>
      <c r="V87" s="297"/>
      <c r="W87" s="29"/>
      <c r="X87" s="297"/>
      <c r="Y87" s="297"/>
      <c r="Z87" s="29"/>
      <c r="AA87" s="297"/>
      <c r="AB87" s="297"/>
      <c r="AC87" s="29"/>
      <c r="AD87" s="306"/>
      <c r="AE87" s="306"/>
      <c r="AF87" s="29"/>
      <c r="AG87" s="364"/>
      <c r="AH87" s="306"/>
      <c r="AI87" s="29"/>
      <c r="AJ87" s="364"/>
      <c r="AK87" s="306"/>
      <c r="AL87" s="29"/>
      <c r="AM87" s="364"/>
      <c r="AN87" s="306"/>
      <c r="AO87" s="29"/>
      <c r="AP87" s="364"/>
      <c r="AQ87" s="365"/>
      <c r="AR87" s="29"/>
      <c r="AS87" s="297"/>
      <c r="AT87" s="297"/>
      <c r="AU87" s="297"/>
    </row>
    <row r="88" spans="1:47">
      <c r="B88" s="226" t="s">
        <v>1047</v>
      </c>
      <c r="C88" s="247"/>
      <c r="D88" s="35"/>
      <c r="E88" s="35"/>
      <c r="F88" s="297"/>
      <c r="G88" s="297"/>
      <c r="H88" s="80"/>
      <c r="I88" s="297"/>
      <c r="J88" s="297"/>
      <c r="K88" s="80"/>
      <c r="L88" s="297"/>
      <c r="M88" s="297"/>
      <c r="N88" s="80"/>
      <c r="O88" s="297"/>
      <c r="P88" s="297"/>
      <c r="Q88" s="80"/>
      <c r="R88" s="297"/>
      <c r="S88" s="297"/>
      <c r="T88" s="80"/>
      <c r="U88" s="297"/>
      <c r="V88" s="297"/>
      <c r="W88" s="29"/>
      <c r="X88" s="297"/>
      <c r="Y88" s="297"/>
      <c r="Z88" s="29"/>
      <c r="AA88" s="297"/>
      <c r="AB88" s="297"/>
      <c r="AC88" s="29"/>
      <c r="AD88" s="306"/>
      <c r="AE88" s="306"/>
      <c r="AF88" s="29"/>
      <c r="AG88" s="364"/>
      <c r="AH88" s="306"/>
      <c r="AI88" s="29"/>
      <c r="AJ88" s="364"/>
      <c r="AK88" s="306"/>
      <c r="AL88" s="29"/>
      <c r="AM88" s="364"/>
      <c r="AN88" s="306"/>
      <c r="AO88" s="29"/>
      <c r="AP88" s="364"/>
      <c r="AQ88" s="365"/>
      <c r="AR88" s="29"/>
      <c r="AS88" s="297"/>
      <c r="AT88" s="297"/>
      <c r="AU88" s="297"/>
    </row>
    <row r="89" spans="1:47">
      <c r="A89" s="217" t="s">
        <v>1078</v>
      </c>
      <c r="B89" s="251" t="str">
        <f>+B17</f>
        <v>Distribution Expenses</v>
      </c>
      <c r="C89" s="247"/>
      <c r="D89" s="35"/>
      <c r="E89" s="35"/>
      <c r="F89" s="297"/>
      <c r="G89" s="297"/>
      <c r="H89" s="80"/>
      <c r="I89" s="297"/>
      <c r="J89" s="297"/>
      <c r="K89" s="80"/>
      <c r="L89" s="308">
        <f t="shared" ref="L89:AU89" si="412">L17/L$9</f>
        <v>0.51828904304151824</v>
      </c>
      <c r="M89" s="308">
        <f t="shared" si="412"/>
        <v>0.56203649695858682</v>
      </c>
      <c r="N89" s="30">
        <f t="shared" si="412"/>
        <v>0.49217458181119023</v>
      </c>
      <c r="O89" s="308">
        <f t="shared" si="412"/>
        <v>0.52570640110384548</v>
      </c>
      <c r="P89" s="308">
        <f t="shared" si="412"/>
        <v>0.56431863067807775</v>
      </c>
      <c r="Q89" s="30">
        <f t="shared" si="412"/>
        <v>0.43263292526950481</v>
      </c>
      <c r="R89" s="308">
        <f t="shared" si="412"/>
        <v>0.49246261216350945</v>
      </c>
      <c r="S89" s="308">
        <f t="shared" si="412"/>
        <v>0.43189555445380928</v>
      </c>
      <c r="T89" s="30">
        <f t="shared" si="412"/>
        <v>0.545263418253772</v>
      </c>
      <c r="U89" s="308">
        <f t="shared" si="412"/>
        <v>0.49047109378744069</v>
      </c>
      <c r="V89" s="308">
        <f t="shared" si="412"/>
        <v>0.49024843975035998</v>
      </c>
      <c r="W89" s="30">
        <f t="shared" si="412"/>
        <v>0.46635551675508713</v>
      </c>
      <c r="X89" s="308">
        <f t="shared" si="412"/>
        <v>0.47897322135953102</v>
      </c>
      <c r="Y89" s="308">
        <f t="shared" si="412"/>
        <v>0.46859356785297951</v>
      </c>
      <c r="Z89" s="30">
        <f t="shared" si="412"/>
        <v>0.40068097525384566</v>
      </c>
      <c r="AA89" s="308">
        <f t="shared" si="412"/>
        <v>0.43259748630357719</v>
      </c>
      <c r="AB89" s="308">
        <f t="shared" si="412"/>
        <v>0.43693057100760746</v>
      </c>
      <c r="AC89" s="30">
        <f t="shared" si="412"/>
        <v>0.39192018051817401</v>
      </c>
      <c r="AD89" s="308">
        <f t="shared" si="412"/>
        <v>0.4132924043403769</v>
      </c>
      <c r="AE89" s="308">
        <f t="shared" si="412"/>
        <v>0.389841816420962</v>
      </c>
      <c r="AF89" s="30">
        <f t="shared" si="412"/>
        <v>0.37169434668971618</v>
      </c>
      <c r="AG89" s="308">
        <f t="shared" si="412"/>
        <v>0.38056514054872914</v>
      </c>
      <c r="AH89" s="308">
        <f t="shared" si="412"/>
        <v>0.37228286663502613</v>
      </c>
      <c r="AI89" s="30">
        <f t="shared" si="412"/>
        <v>0.36810328812929588</v>
      </c>
      <c r="AJ89" s="308">
        <f t="shared" si="412"/>
        <v>0.37017041453452887</v>
      </c>
      <c r="AK89" s="308">
        <f t="shared" si="412"/>
        <v>0.39109261715697852</v>
      </c>
      <c r="AL89" s="30">
        <f t="shared" si="412"/>
        <v>0.37740892589448582</v>
      </c>
      <c r="AM89" s="308">
        <f t="shared" si="412"/>
        <v>0.38423007246376806</v>
      </c>
      <c r="AN89" s="308">
        <f>AN17/AN$9</f>
        <v>0.36204419985116731</v>
      </c>
      <c r="AO89" s="30">
        <f t="shared" ref="AO89:AP89" si="413">AO17/AO$9</f>
        <v>0.35331647604534716</v>
      </c>
      <c r="AP89" s="308">
        <f t="shared" si="413"/>
        <v>0.35760851063829785</v>
      </c>
      <c r="AQ89" s="423">
        <f t="shared" ref="AQ89:AR89" si="414">AQ17/AQ$9</f>
        <v>0.36610434811528547</v>
      </c>
      <c r="AR89" s="30">
        <f t="shared" si="414"/>
        <v>0.31167372126312393</v>
      </c>
      <c r="AS89" s="308">
        <f t="shared" si="412"/>
        <v>0.33817848747264134</v>
      </c>
      <c r="AT89" s="308">
        <f t="shared" si="412"/>
        <v>0.32462691797208626</v>
      </c>
      <c r="AU89" s="308">
        <f t="shared" si="412"/>
        <v>0.31262025964845735</v>
      </c>
    </row>
    <row r="90" spans="1:47">
      <c r="A90" s="217" t="s">
        <v>1077</v>
      </c>
      <c r="B90" s="251" t="str">
        <f>+B18</f>
        <v>Research &amp; Development Expenses</v>
      </c>
      <c r="C90" s="247"/>
      <c r="D90" s="35"/>
      <c r="E90" s="35"/>
      <c r="F90" s="297"/>
      <c r="G90" s="297"/>
      <c r="H90" s="80"/>
      <c r="I90" s="297"/>
      <c r="J90" s="297"/>
      <c r="K90" s="80"/>
      <c r="L90" s="308">
        <f t="shared" ref="L90:AU90" si="415">L18/L$9</f>
        <v>0.19964595212119962</v>
      </c>
      <c r="M90" s="308">
        <f t="shared" si="415"/>
        <v>0.22731439046746107</v>
      </c>
      <c r="N90" s="30">
        <f t="shared" si="415"/>
        <v>0.21161315131705438</v>
      </c>
      <c r="O90" s="308">
        <f t="shared" si="415"/>
        <v>0.21914931909532664</v>
      </c>
      <c r="P90" s="308">
        <f t="shared" si="415"/>
        <v>0.23774412991002852</v>
      </c>
      <c r="Q90" s="30">
        <f t="shared" si="415"/>
        <v>0.21348437785492422</v>
      </c>
      <c r="R90" s="308">
        <f t="shared" si="415"/>
        <v>0.22450648055832503</v>
      </c>
      <c r="S90" s="308">
        <f t="shared" si="415"/>
        <v>0.20591637745827138</v>
      </c>
      <c r="T90" s="30">
        <f t="shared" si="415"/>
        <v>0.20473658174622808</v>
      </c>
      <c r="U90" s="308">
        <f t="shared" si="415"/>
        <v>0.20530679403824345</v>
      </c>
      <c r="V90" s="308">
        <f t="shared" si="415"/>
        <v>0.19740158425348053</v>
      </c>
      <c r="W90" s="30">
        <f t="shared" si="415"/>
        <v>0.21801759452017999</v>
      </c>
      <c r="X90" s="308">
        <f t="shared" si="415"/>
        <v>0.20713040722547932</v>
      </c>
      <c r="Y90" s="308">
        <f t="shared" si="415"/>
        <v>0.21538778029212097</v>
      </c>
      <c r="Z90" s="30">
        <f t="shared" si="415"/>
        <v>0.2111935307350884</v>
      </c>
      <c r="AA90" s="308">
        <f t="shared" si="415"/>
        <v>0.21316467934257169</v>
      </c>
      <c r="AB90" s="308">
        <f t="shared" si="415"/>
        <v>0.23098896472922997</v>
      </c>
      <c r="AC90" s="30">
        <f t="shared" si="415"/>
        <v>0.21898703205285044</v>
      </c>
      <c r="AD90" s="308">
        <f t="shared" si="415"/>
        <v>0.22468589377498571</v>
      </c>
      <c r="AE90" s="308">
        <f t="shared" si="415"/>
        <v>0.24209620144194555</v>
      </c>
      <c r="AF90" s="30">
        <f t="shared" si="415"/>
        <v>0.24422218106233665</v>
      </c>
      <c r="AG90" s="308">
        <f t="shared" si="415"/>
        <v>0.24318296583066823</v>
      </c>
      <c r="AH90" s="308">
        <f t="shared" si="415"/>
        <v>0.2441765543426673</v>
      </c>
      <c r="AI90" s="30">
        <f t="shared" si="415"/>
        <v>0.22584060932565481</v>
      </c>
      <c r="AJ90" s="308">
        <f t="shared" si="415"/>
        <v>0.23490915919440403</v>
      </c>
      <c r="AK90" s="308">
        <f t="shared" si="415"/>
        <v>0.24412625152181419</v>
      </c>
      <c r="AL90" s="30">
        <f t="shared" si="415"/>
        <v>0.24875828562139898</v>
      </c>
      <c r="AM90" s="308">
        <f t="shared" si="415"/>
        <v>0.24644927536231881</v>
      </c>
      <c r="AN90" s="308">
        <f t="shared" ref="AN90:AP90" si="416">AN18/AN$9</f>
        <v>0.12475987747261304</v>
      </c>
      <c r="AO90" s="30">
        <f t="shared" si="416"/>
        <v>0.16472696217157592</v>
      </c>
      <c r="AP90" s="308">
        <f t="shared" si="416"/>
        <v>0.14507234042553191</v>
      </c>
      <c r="AQ90" s="423">
        <f t="shared" ref="AQ90:AR90" si="417">AQ18/AQ$9</f>
        <v>0.13750000000000001</v>
      </c>
      <c r="AR90" s="30">
        <f t="shared" si="417"/>
        <v>0.13750000000000001</v>
      </c>
      <c r="AS90" s="308">
        <f t="shared" si="415"/>
        <v>0.13750000000000001</v>
      </c>
      <c r="AT90" s="308">
        <f t="shared" si="415"/>
        <v>0.13199999999999998</v>
      </c>
      <c r="AU90" s="308">
        <f t="shared" si="415"/>
        <v>0.12650000000000003</v>
      </c>
    </row>
    <row r="91" spans="1:47">
      <c r="A91" s="217" t="s">
        <v>1079</v>
      </c>
      <c r="B91" s="251" t="str">
        <f>+B19</f>
        <v>Administration and Other Operating Expenses</v>
      </c>
      <c r="C91" s="35"/>
      <c r="D91" s="35"/>
      <c r="E91" s="35"/>
      <c r="F91" s="297"/>
      <c r="G91" s="297"/>
      <c r="H91" s="80"/>
      <c r="I91" s="297"/>
      <c r="J91" s="297"/>
      <c r="K91" s="80"/>
      <c r="L91" s="308">
        <f t="shared" ref="L91:AU91" si="418">L19/L$9</f>
        <v>0.11183384450711183</v>
      </c>
      <c r="M91" s="308">
        <f t="shared" si="418"/>
        <v>0.12323973002249813</v>
      </c>
      <c r="N91" s="30">
        <f t="shared" si="418"/>
        <v>0.11732359161699674</v>
      </c>
      <c r="O91" s="308">
        <f t="shared" si="418"/>
        <v>0.12016317715519828</v>
      </c>
      <c r="P91" s="308">
        <f t="shared" si="418"/>
        <v>0.12231731402238315</v>
      </c>
      <c r="Q91" s="30">
        <f t="shared" si="418"/>
        <v>0.11788781289968943</v>
      </c>
      <c r="R91" s="308">
        <f t="shared" si="418"/>
        <v>0.11990029910269194</v>
      </c>
      <c r="S91" s="308">
        <f t="shared" si="418"/>
        <v>0.17580565195835396</v>
      </c>
      <c r="T91" s="30">
        <f t="shared" si="418"/>
        <v>3.0206529804600587E-2</v>
      </c>
      <c r="U91" s="308">
        <f t="shared" si="418"/>
        <v>0.10057668652853881</v>
      </c>
      <c r="V91" s="308">
        <f t="shared" si="418"/>
        <v>0.10717714834373498</v>
      </c>
      <c r="W91" s="30">
        <f t="shared" si="418"/>
        <v>0.1078168020952253</v>
      </c>
      <c r="X91" s="308">
        <f t="shared" si="418"/>
        <v>0.10747900491205831</v>
      </c>
      <c r="Y91" s="308">
        <f t="shared" si="418"/>
        <v>8.3144757594459315E-2</v>
      </c>
      <c r="Z91" s="30">
        <f t="shared" si="418"/>
        <v>9.1506049735514072E-2</v>
      </c>
      <c r="AA91" s="308">
        <f t="shared" si="418"/>
        <v>8.7576538833387049E-2</v>
      </c>
      <c r="AB91" s="308">
        <f t="shared" si="418"/>
        <v>8.4102594942418132E-2</v>
      </c>
      <c r="AC91" s="30">
        <f t="shared" si="418"/>
        <v>5.8586847184840765E-2</v>
      </c>
      <c r="AD91" s="308">
        <f t="shared" si="418"/>
        <v>7.0702455739577355E-2</v>
      </c>
      <c r="AE91" s="308">
        <f t="shared" si="418"/>
        <v>6.2649305929194002E-2</v>
      </c>
      <c r="AF91" s="30">
        <f t="shared" si="418"/>
        <v>3.9163631125105562E-2</v>
      </c>
      <c r="AG91" s="308">
        <f t="shared" si="418"/>
        <v>5.0643831004881373E-2</v>
      </c>
      <c r="AH91" s="308">
        <f t="shared" si="418"/>
        <v>4.6910299003322227E-2</v>
      </c>
      <c r="AI91" s="30">
        <f t="shared" si="418"/>
        <v>6.0728218465539864E-2</v>
      </c>
      <c r="AJ91" s="308">
        <f t="shared" si="418"/>
        <v>5.3894183371672781E-2</v>
      </c>
      <c r="AK91" s="308">
        <f t="shared" si="418"/>
        <v>7.0503152653862269E-2</v>
      </c>
      <c r="AL91" s="30">
        <f t="shared" si="418"/>
        <v>6.4334350786569447E-2</v>
      </c>
      <c r="AM91" s="308">
        <f t="shared" si="418"/>
        <v>6.7409420289855013E-2</v>
      </c>
      <c r="AN91" s="308">
        <f t="shared" ref="AN91:AP91" si="419">AN19/AN$9</f>
        <v>7.2443452226433322E-2</v>
      </c>
      <c r="AO91" s="30">
        <f t="shared" si="419"/>
        <v>7.2525411524356778E-2</v>
      </c>
      <c r="AP91" s="308">
        <f t="shared" si="419"/>
        <v>7.2485106382978809E-2</v>
      </c>
      <c r="AQ91" s="423">
        <f t="shared" ref="AQ91:AR91" si="420">AQ19/AQ$9</f>
        <v>7.4612460224649541E-2</v>
      </c>
      <c r="AR91" s="30">
        <f t="shared" si="420"/>
        <v>7.3268572710729785E-2</v>
      </c>
      <c r="AS91" s="308">
        <f t="shared" si="418"/>
        <v>7.3922973117785146E-2</v>
      </c>
      <c r="AT91" s="308">
        <f t="shared" si="418"/>
        <v>7.2950266729158303E-2</v>
      </c>
      <c r="AU91" s="308">
        <f t="shared" si="418"/>
        <v>7.2221812351832379E-2</v>
      </c>
    </row>
    <row r="92" spans="1:47" ht="13.5" customHeight="1">
      <c r="B92" s="226"/>
      <c r="C92" s="35"/>
      <c r="D92" s="35"/>
      <c r="E92" s="35"/>
      <c r="F92" s="297"/>
      <c r="G92" s="297"/>
      <c r="H92" s="80"/>
      <c r="I92" s="297"/>
      <c r="J92" s="297"/>
      <c r="K92" s="80"/>
      <c r="L92" s="297"/>
      <c r="M92" s="297"/>
      <c r="N92" s="80"/>
      <c r="O92" s="297"/>
      <c r="P92" s="297"/>
      <c r="Q92" s="80"/>
      <c r="R92" s="297"/>
      <c r="S92" s="297"/>
      <c r="T92" s="80"/>
      <c r="U92" s="297"/>
      <c r="V92" s="297"/>
      <c r="W92" s="29"/>
      <c r="X92" s="297"/>
      <c r="Y92" s="297"/>
      <c r="Z92" s="29"/>
      <c r="AA92" s="297"/>
      <c r="AB92" s="297"/>
      <c r="AC92" s="29"/>
      <c r="AD92" s="306"/>
      <c r="AE92" s="306"/>
      <c r="AF92" s="29"/>
      <c r="AG92" s="364"/>
      <c r="AH92" s="306"/>
      <c r="AI92" s="29"/>
      <c r="AJ92" s="364"/>
      <c r="AK92" s="306"/>
      <c r="AL92" s="29"/>
      <c r="AM92" s="364"/>
      <c r="AN92" s="306"/>
      <c r="AO92" s="29"/>
      <c r="AP92" s="364"/>
      <c r="AQ92" s="365"/>
      <c r="AR92" s="29"/>
      <c r="AS92" s="297"/>
      <c r="AT92" s="297"/>
      <c r="AU92" s="297"/>
    </row>
    <row r="93" spans="1:47">
      <c r="A93" s="217" t="s">
        <v>1080</v>
      </c>
      <c r="B93" s="227" t="s">
        <v>1054</v>
      </c>
      <c r="C93" s="1"/>
      <c r="F93" s="227"/>
      <c r="G93" s="227"/>
      <c r="I93" s="227"/>
      <c r="J93" s="227"/>
      <c r="L93" s="294">
        <f t="shared" ref="L93:AU93" si="421">L313/L9</f>
        <v>8.8923653280088919E-3</v>
      </c>
      <c r="M93" s="294">
        <f t="shared" si="421"/>
        <v>1.3623864677943506E-2</v>
      </c>
      <c r="N93" s="20">
        <f t="shared" si="421"/>
        <v>4.4222264949048259E-3</v>
      </c>
      <c r="O93" s="294">
        <f t="shared" si="421"/>
        <v>8.8387625732397473E-3</v>
      </c>
      <c r="P93" s="294">
        <f t="shared" si="421"/>
        <v>4.2132982225148129E-3</v>
      </c>
      <c r="Q93" s="20">
        <f t="shared" si="421"/>
        <v>2.7407272062854016E-3</v>
      </c>
      <c r="R93" s="294">
        <f t="shared" si="421"/>
        <v>3.4097706879361919E-3</v>
      </c>
      <c r="S93" s="294">
        <f t="shared" si="421"/>
        <v>0.11019666170880847</v>
      </c>
      <c r="T93" s="20">
        <f t="shared" si="421"/>
        <v>3.1443235221370269E-2</v>
      </c>
      <c r="U93" s="294">
        <f t="shared" si="421"/>
        <v>6.9505902650202081E-2</v>
      </c>
      <c r="V93" s="294">
        <f t="shared" si="421"/>
        <v>2.0073211713874221E-2</v>
      </c>
      <c r="W93" s="20">
        <f t="shared" si="421"/>
        <v>6.1144315358270106E-2</v>
      </c>
      <c r="X93" s="294">
        <f t="shared" si="421"/>
        <v>3.9454919980985582E-2</v>
      </c>
      <c r="Y93" s="294">
        <f t="shared" si="421"/>
        <v>4.1315230062401426E-2</v>
      </c>
      <c r="Z93" s="20">
        <f t="shared" si="421"/>
        <v>4.1648932936097765E-3</v>
      </c>
      <c r="AA93" s="325">
        <f t="shared" si="421"/>
        <v>2.162423461166613E-2</v>
      </c>
      <c r="AB93" s="325">
        <f t="shared" si="421"/>
        <v>1.1907267642902248E-2</v>
      </c>
      <c r="AC93" s="56">
        <f t="shared" si="421"/>
        <v>2.2646331185602043E-2</v>
      </c>
      <c r="AD93" s="325">
        <f t="shared" si="421"/>
        <v>1.754711593375214E-2</v>
      </c>
      <c r="AE93" s="325">
        <f t="shared" si="421"/>
        <v>1.5753793177660604E-2</v>
      </c>
      <c r="AF93" s="56">
        <f t="shared" si="421"/>
        <v>7.9026980304994741E-3</v>
      </c>
      <c r="AG93" s="286">
        <f t="shared" si="421"/>
        <v>1.1740447736071368E-2</v>
      </c>
      <c r="AH93" s="325">
        <f t="shared" si="421"/>
        <v>1.4466065495965829E-2</v>
      </c>
      <c r="AI93" s="56">
        <f t="shared" si="421"/>
        <v>8.3782277540404987E-3</v>
      </c>
      <c r="AJ93" s="286">
        <f t="shared" si="421"/>
        <v>1.1389136660250694E-2</v>
      </c>
      <c r="AK93" s="325">
        <f t="shared" si="421"/>
        <v>6.2326240619264804E-3</v>
      </c>
      <c r="AL93" s="209">
        <f t="shared" si="421"/>
        <v>4.136037711994508E-3</v>
      </c>
      <c r="AM93" s="286">
        <f t="shared" si="421"/>
        <v>5.1811594202898544E-3</v>
      </c>
      <c r="AN93" s="325">
        <f t="shared" ref="AN93:AP93" si="422">AN313/AN9</f>
        <v>0.12610975546440994</v>
      </c>
      <c r="AO93" s="209">
        <f t="shared" si="422"/>
        <v>0.13073329202739589</v>
      </c>
      <c r="AP93" s="286">
        <f t="shared" si="422"/>
        <v>0.12845957446808509</v>
      </c>
      <c r="AQ93" s="286">
        <f t="shared" ref="AQ93:AR93" si="423">AQ313/AQ9</f>
        <v>0.1225</v>
      </c>
      <c r="AR93" s="209">
        <f t="shared" si="423"/>
        <v>0.1225</v>
      </c>
      <c r="AS93" s="286">
        <f t="shared" si="421"/>
        <v>0.12250000000000001</v>
      </c>
      <c r="AT93" s="286">
        <f t="shared" si="421"/>
        <v>0.11799999999999999</v>
      </c>
      <c r="AU93" s="286">
        <f t="shared" si="421"/>
        <v>0.1135</v>
      </c>
    </row>
    <row r="94" spans="1:47">
      <c r="B94" s="228"/>
      <c r="C94" s="35"/>
      <c r="D94" s="35"/>
      <c r="E94" s="35"/>
      <c r="F94" s="297"/>
      <c r="G94" s="297"/>
      <c r="H94" s="80"/>
      <c r="I94" s="297"/>
      <c r="J94" s="297"/>
      <c r="K94" s="80"/>
      <c r="L94" s="297"/>
      <c r="M94" s="297"/>
      <c r="N94" s="80"/>
      <c r="O94" s="297"/>
      <c r="P94" s="297"/>
      <c r="Q94" s="80"/>
      <c r="R94" s="297"/>
      <c r="S94" s="297"/>
      <c r="T94" s="80"/>
      <c r="U94" s="297"/>
      <c r="V94" s="297"/>
      <c r="W94" s="29"/>
      <c r="X94" s="297"/>
      <c r="Y94" s="297"/>
      <c r="Z94" s="29"/>
      <c r="AA94" s="297"/>
      <c r="AB94" s="297"/>
      <c r="AC94" s="29"/>
      <c r="AD94" s="306"/>
      <c r="AE94" s="306"/>
      <c r="AF94" s="29"/>
      <c r="AG94" s="364"/>
      <c r="AH94" s="306"/>
      <c r="AI94" s="29"/>
      <c r="AJ94" s="364"/>
      <c r="AK94" s="365"/>
      <c r="AL94" s="29"/>
      <c r="AM94" s="364"/>
      <c r="AN94" s="365"/>
      <c r="AO94" s="29"/>
      <c r="AP94" s="364"/>
      <c r="AQ94" s="365"/>
      <c r="AR94" s="29"/>
      <c r="AS94" s="297"/>
      <c r="AT94" s="297"/>
      <c r="AU94" s="297"/>
    </row>
    <row r="95" spans="1:47" s="54" customFormat="1">
      <c r="A95" s="217"/>
      <c r="B95" s="200" t="s">
        <v>304</v>
      </c>
      <c r="C95" s="201"/>
      <c r="D95" s="201"/>
      <c r="E95" s="201"/>
      <c r="F95" s="280"/>
      <c r="G95" s="280"/>
      <c r="H95" s="201"/>
      <c r="I95" s="280"/>
      <c r="J95" s="280"/>
      <c r="K95" s="201"/>
      <c r="L95" s="280"/>
      <c r="M95" s="527"/>
      <c r="N95" s="201"/>
      <c r="O95" s="280"/>
      <c r="P95" s="280"/>
      <c r="Q95" s="202"/>
      <c r="R95" s="280"/>
      <c r="S95" s="280"/>
      <c r="T95" s="202"/>
      <c r="U95" s="280"/>
      <c r="V95" s="280"/>
      <c r="W95" s="202"/>
      <c r="X95" s="280"/>
      <c r="Y95" s="280"/>
      <c r="Z95" s="202"/>
      <c r="AA95" s="280"/>
      <c r="AB95" s="280"/>
      <c r="AC95" s="202"/>
      <c r="AD95" s="339"/>
      <c r="AE95" s="356"/>
      <c r="AF95" s="202"/>
      <c r="AG95" s="339"/>
      <c r="AH95" s="356"/>
      <c r="AI95" s="202"/>
      <c r="AJ95" s="339"/>
      <c r="AK95" s="339"/>
      <c r="AL95" s="202"/>
      <c r="AM95" s="339"/>
      <c r="AN95" s="339"/>
      <c r="AO95" s="202"/>
      <c r="AP95" s="339"/>
      <c r="AQ95" s="339"/>
      <c r="AR95" s="202"/>
      <c r="AS95" s="339"/>
      <c r="AT95" s="339"/>
      <c r="AU95" s="339"/>
    </row>
    <row r="96" spans="1:47">
      <c r="B96" s="225" t="s">
        <v>1142</v>
      </c>
      <c r="C96" s="11"/>
      <c r="D96" s="11"/>
      <c r="E96" s="11"/>
      <c r="F96" s="289"/>
      <c r="G96" s="289"/>
      <c r="H96" s="11"/>
      <c r="I96" s="289"/>
      <c r="J96" s="289"/>
      <c r="K96" s="72"/>
      <c r="L96" s="340">
        <f t="shared" ref="L96:AL96" si="424">L27</f>
        <v>7.1</v>
      </c>
      <c r="M96" s="340">
        <f t="shared" si="424"/>
        <v>1.8789999999999978</v>
      </c>
      <c r="N96" s="72">
        <f t="shared" si="424"/>
        <v>3.5210000000000026</v>
      </c>
      <c r="O96" s="340">
        <f t="shared" si="424"/>
        <v>5.4</v>
      </c>
      <c r="P96" s="340">
        <f t="shared" si="424"/>
        <v>1.5380000000000038</v>
      </c>
      <c r="Q96" s="72">
        <f t="shared" si="424"/>
        <v>5.2399999999999958</v>
      </c>
      <c r="R96" s="340">
        <f t="shared" si="424"/>
        <v>6.7779999999999996</v>
      </c>
      <c r="S96" s="340">
        <f t="shared" si="424"/>
        <v>4.7</v>
      </c>
      <c r="T96" s="72">
        <f t="shared" si="424"/>
        <v>6.0230000000000006</v>
      </c>
      <c r="U96" s="340">
        <f t="shared" si="424"/>
        <v>10.723000000000001</v>
      </c>
      <c r="V96" s="340">
        <f t="shared" si="424"/>
        <v>5.8</v>
      </c>
      <c r="W96" s="72">
        <f t="shared" si="424"/>
        <v>5.1830000000000043</v>
      </c>
      <c r="X96" s="340">
        <f t="shared" si="424"/>
        <v>10.983000000000004</v>
      </c>
      <c r="Y96" s="340">
        <f t="shared" si="424"/>
        <v>5.6219999999999999</v>
      </c>
      <c r="Z96" s="72">
        <f t="shared" si="424"/>
        <v>8.5139999999999993</v>
      </c>
      <c r="AA96" s="340">
        <f t="shared" si="424"/>
        <v>14.135999999999999</v>
      </c>
      <c r="AB96" s="340">
        <f t="shared" si="424"/>
        <v>6.8129999999999997</v>
      </c>
      <c r="AC96" s="72">
        <f t="shared" si="424"/>
        <v>10.423000000000002</v>
      </c>
      <c r="AD96" s="340">
        <f t="shared" si="424"/>
        <v>17.236000000000001</v>
      </c>
      <c r="AE96" s="340">
        <f t="shared" si="424"/>
        <v>11.818</v>
      </c>
      <c r="AF96" s="72">
        <f t="shared" si="424"/>
        <v>13.805999999999999</v>
      </c>
      <c r="AG96" s="340">
        <f t="shared" si="424"/>
        <v>25.623999999999999</v>
      </c>
      <c r="AH96" s="340">
        <f t="shared" si="424"/>
        <v>15.082000000000001</v>
      </c>
      <c r="AI96" s="72">
        <f t="shared" si="424"/>
        <v>15.617999999999999</v>
      </c>
      <c r="AJ96" s="340">
        <f t="shared" si="424"/>
        <v>30.7</v>
      </c>
      <c r="AK96" s="340">
        <f t="shared" si="424"/>
        <v>12.664999999999999</v>
      </c>
      <c r="AL96" s="72">
        <f t="shared" si="424"/>
        <v>13.435000000000002</v>
      </c>
      <c r="AM96" s="340">
        <f>AM27</f>
        <v>26.1</v>
      </c>
      <c r="AN96" s="340">
        <f t="shared" ref="AN96:AO96" si="425">AN27</f>
        <v>14.618</v>
      </c>
      <c r="AO96" s="72">
        <f t="shared" si="425"/>
        <v>13.614999999999995</v>
      </c>
      <c r="AP96" s="340">
        <f>AP27</f>
        <v>28.232999999999997</v>
      </c>
      <c r="AQ96" s="340">
        <f>AQ23</f>
        <v>21.401222791878986</v>
      </c>
      <c r="AR96" s="72">
        <f>+AS96-AQ96</f>
        <v>26.175276743152857</v>
      </c>
      <c r="AS96" s="340">
        <f t="shared" ref="AS96:AU96" si="426">AS23</f>
        <v>47.576499535031843</v>
      </c>
      <c r="AT96" s="340">
        <f t="shared" si="426"/>
        <v>55.154420032438225</v>
      </c>
      <c r="AU96" s="340">
        <f t="shared" si="426"/>
        <v>64.144031013700285</v>
      </c>
    </row>
    <row r="97" spans="1:47">
      <c r="B97" s="225" t="str">
        <f>B229</f>
        <v>(Increase)/decrease in working capital</v>
      </c>
      <c r="C97" s="4"/>
      <c r="D97" s="4"/>
      <c r="E97" s="11"/>
      <c r="F97" s="289"/>
      <c r="G97" s="285"/>
      <c r="H97" s="11"/>
      <c r="I97" s="289"/>
      <c r="J97" s="285"/>
      <c r="K97" s="72"/>
      <c r="L97" s="340">
        <f t="shared" ref="L97" si="427">L229</f>
        <v>9.8659999999999997</v>
      </c>
      <c r="M97" s="340">
        <f>M229</f>
        <v>3.4120000000000008</v>
      </c>
      <c r="N97" s="72">
        <f t="shared" ref="N97:N106" si="428">+O97-M97</f>
        <v>-1.7769999999999992</v>
      </c>
      <c r="O97" s="340">
        <f t="shared" ref="O97" si="429">O229</f>
        <v>1.6350000000000016</v>
      </c>
      <c r="P97" s="340">
        <f>P229</f>
        <v>3.9489999999999981</v>
      </c>
      <c r="Q97" s="72">
        <f t="shared" ref="Q97:Q106" si="430">+R97-P97</f>
        <v>-3.988999999999999</v>
      </c>
      <c r="R97" s="340">
        <f t="shared" ref="R97" si="431">R229</f>
        <v>-4.0000000000000924E-2</v>
      </c>
      <c r="S97" s="340">
        <f>S229</f>
        <v>-1.1950000000000021</v>
      </c>
      <c r="T97" s="72">
        <f t="shared" ref="T97:T106" si="432">+U97-S97</f>
        <v>-1.4909999999999961</v>
      </c>
      <c r="U97" s="340">
        <f t="shared" ref="U97" si="433">U229</f>
        <v>-2.6859999999999982</v>
      </c>
      <c r="V97" s="340">
        <f>V229</f>
        <v>7.8959999999999972</v>
      </c>
      <c r="W97" s="72">
        <f t="shared" ref="W97:W106" si="434">+X97-V97</f>
        <v>-1.2889999999999997</v>
      </c>
      <c r="X97" s="340">
        <f t="shared" ref="X97" si="435">X229</f>
        <v>6.6069999999999975</v>
      </c>
      <c r="Y97" s="340">
        <f>Y229</f>
        <v>3.1170000000000027</v>
      </c>
      <c r="Z97" s="72">
        <f t="shared" ref="Z97:Z106" si="436">+AA97-Y97</f>
        <v>0.90700000000000003</v>
      </c>
      <c r="AA97" s="340">
        <f t="shared" ref="AA97" si="437">AA229</f>
        <v>4.0240000000000027</v>
      </c>
      <c r="AB97" s="340">
        <f>AB229</f>
        <v>3.4259999999999984</v>
      </c>
      <c r="AC97" s="72">
        <f t="shared" ref="AC97:AC106" si="438">+AD97-AB97</f>
        <v>10.022999999999996</v>
      </c>
      <c r="AD97" s="340">
        <f t="shared" ref="AD97" si="439">AD229</f>
        <v>13.448999999999995</v>
      </c>
      <c r="AE97" s="340">
        <f>AE229</f>
        <v>-5.6519999999999975</v>
      </c>
      <c r="AF97" s="72">
        <f t="shared" ref="AF97:AF106" si="440">+AG97-AE97</f>
        <v>8.4929999999999986</v>
      </c>
      <c r="AG97" s="340">
        <f t="shared" ref="AG97" si="441">AG229</f>
        <v>2.8410000000000011</v>
      </c>
      <c r="AH97" s="340">
        <f>AH229</f>
        <v>-7.3989999999999974</v>
      </c>
      <c r="AI97" s="72">
        <f t="shared" ref="AI97:AI106" si="442">+AJ97-AH97</f>
        <v>14.752999999999997</v>
      </c>
      <c r="AJ97" s="340">
        <f t="shared" ref="AJ97" si="443">AJ229</f>
        <v>7.3539999999999992</v>
      </c>
      <c r="AK97" s="340">
        <f>AK229</f>
        <v>-7.2689999999999984</v>
      </c>
      <c r="AL97" s="72">
        <f t="shared" ref="AL97:AL106" si="444">+AM97-AK97</f>
        <v>6.9960000000000022</v>
      </c>
      <c r="AM97" s="340">
        <f t="shared" ref="AM97:AU97" si="445">AM229</f>
        <v>-0.27299999999999613</v>
      </c>
      <c r="AN97" s="340">
        <f>AN229</f>
        <v>-4.0889999999999986</v>
      </c>
      <c r="AO97" s="72">
        <f t="shared" ref="AO97:AO106" si="446">+AP97-AN97</f>
        <v>15.256</v>
      </c>
      <c r="AP97" s="340">
        <f t="shared" ref="AP97" si="447">AP229</f>
        <v>11.167000000000002</v>
      </c>
      <c r="AQ97" s="340">
        <f>AQ229</f>
        <v>1.3928546811017171</v>
      </c>
      <c r="AR97" s="72">
        <f t="shared" ref="AR97:AR106" si="448">+AS97-AQ97</f>
        <v>3.025124360370576</v>
      </c>
      <c r="AS97" s="340">
        <f t="shared" si="445"/>
        <v>4.417979041472293</v>
      </c>
      <c r="AT97" s="340">
        <f t="shared" si="445"/>
        <v>6.9617171184918902</v>
      </c>
      <c r="AU97" s="340">
        <f t="shared" si="445"/>
        <v>7.5332212397162124</v>
      </c>
    </row>
    <row r="98" spans="1:47">
      <c r="B98" s="258" t="s">
        <v>194</v>
      </c>
      <c r="C98" s="55"/>
      <c r="D98" s="55"/>
      <c r="E98" s="14"/>
      <c r="F98" s="298"/>
      <c r="G98" s="326"/>
      <c r="H98" s="14"/>
      <c r="I98" s="298"/>
      <c r="J98" s="326"/>
      <c r="K98" s="107"/>
      <c r="L98" s="469">
        <f>L99-L96-L97</f>
        <v>-11.078999999999999</v>
      </c>
      <c r="M98" s="326">
        <f>M99-M96-M97</f>
        <v>0.12200000000000166</v>
      </c>
      <c r="N98" s="107">
        <f t="shared" si="428"/>
        <v>2.2309999999999981</v>
      </c>
      <c r="O98" s="469">
        <f>O99-O96-O97</f>
        <v>2.3529999999999998</v>
      </c>
      <c r="P98" s="326">
        <f>P99-P96-P97</f>
        <v>-2.3760000000000017</v>
      </c>
      <c r="Q98" s="107">
        <f t="shared" si="430"/>
        <v>-4.8919999999999977</v>
      </c>
      <c r="R98" s="469">
        <f>R99-R96-R97</f>
        <v>-7.2679999999999989</v>
      </c>
      <c r="S98" s="326">
        <f>S99-S96-S97</f>
        <v>2.9860000000000015</v>
      </c>
      <c r="T98" s="107">
        <f t="shared" si="432"/>
        <v>-0.77100000000000524</v>
      </c>
      <c r="U98" s="469">
        <f>U99-U96-U97</f>
        <v>2.2149999999999963</v>
      </c>
      <c r="V98" s="326">
        <f>V99-V96-V97</f>
        <v>-3.4349999999999978</v>
      </c>
      <c r="W98" s="107">
        <f t="shared" si="434"/>
        <v>-3.2000000000002693E-2</v>
      </c>
      <c r="X98" s="469">
        <f>X99-X96-X97</f>
        <v>-3.4670000000000005</v>
      </c>
      <c r="Y98" s="326">
        <f>Y99-Y96-Y97</f>
        <v>6.6149999999999967</v>
      </c>
      <c r="Z98" s="107">
        <f t="shared" si="436"/>
        <v>-8.5999999999998522E-2</v>
      </c>
      <c r="AA98" s="469">
        <f>AA99-AA96-AA97</f>
        <v>6.5289999999999981</v>
      </c>
      <c r="AB98" s="326">
        <f>AB99-AB96-AB97</f>
        <v>0.31600000000000161</v>
      </c>
      <c r="AC98" s="107">
        <f t="shared" si="438"/>
        <v>0.49899999999999967</v>
      </c>
      <c r="AD98" s="469">
        <f>AD99-AD96-AD97</f>
        <v>0.81500000000000128</v>
      </c>
      <c r="AE98" s="326">
        <f>AE99-AE96-AE97</f>
        <v>-0.47000000000000242</v>
      </c>
      <c r="AF98" s="107">
        <f t="shared" si="440"/>
        <v>0.79200000000000159</v>
      </c>
      <c r="AG98" s="469">
        <f>AG99-AG96-AG97</f>
        <v>0.32199999999999918</v>
      </c>
      <c r="AH98" s="326">
        <f>AH99-AH96-AH97</f>
        <v>-8.6000000000003851E-2</v>
      </c>
      <c r="AI98" s="107">
        <f t="shared" si="442"/>
        <v>0.10300000000000385</v>
      </c>
      <c r="AJ98" s="415">
        <v>1.7000000000000001E-2</v>
      </c>
      <c r="AK98" s="534">
        <v>-1.44</v>
      </c>
      <c r="AL98" s="107">
        <f t="shared" si="444"/>
        <v>0</v>
      </c>
      <c r="AM98" s="415">
        <v>-1.44</v>
      </c>
      <c r="AN98" s="326">
        <f>AN99-AN96-AN97</f>
        <v>6.8429999999999982</v>
      </c>
      <c r="AO98" s="107">
        <f t="shared" si="446"/>
        <v>-6.8429999999999982</v>
      </c>
      <c r="AP98" s="415">
        <v>0</v>
      </c>
      <c r="AQ98" s="534">
        <v>0</v>
      </c>
      <c r="AR98" s="107">
        <f t="shared" si="448"/>
        <v>0</v>
      </c>
      <c r="AS98" s="415">
        <v>0</v>
      </c>
      <c r="AT98" s="415">
        <v>0</v>
      </c>
      <c r="AU98" s="415">
        <v>0</v>
      </c>
    </row>
    <row r="99" spans="1:47">
      <c r="B99" s="225" t="s">
        <v>391</v>
      </c>
      <c r="C99" s="7"/>
      <c r="D99" s="7"/>
      <c r="E99" s="11"/>
      <c r="F99" s="290"/>
      <c r="G99" s="290"/>
      <c r="H99" s="11"/>
      <c r="I99" s="290"/>
      <c r="J99" s="290"/>
      <c r="K99" s="69"/>
      <c r="L99" s="316">
        <f>+L102-L101-L100</f>
        <v>5.8870000000000005</v>
      </c>
      <c r="M99" s="311">
        <f>+M102-M101-M100</f>
        <v>5.4130000000000003</v>
      </c>
      <c r="N99" s="69">
        <f t="shared" si="428"/>
        <v>3.9750000000000014</v>
      </c>
      <c r="O99" s="316">
        <f>+O102-O101-O100</f>
        <v>9.3880000000000017</v>
      </c>
      <c r="P99" s="311">
        <f>+P102-P101-P100</f>
        <v>3.1110000000000002</v>
      </c>
      <c r="Q99" s="69">
        <f t="shared" si="430"/>
        <v>-3.641</v>
      </c>
      <c r="R99" s="316">
        <f>+R102-R101-R100</f>
        <v>-0.53</v>
      </c>
      <c r="S99" s="311">
        <f>+S102-S101-S100</f>
        <v>6.4909999999999997</v>
      </c>
      <c r="T99" s="69">
        <f t="shared" si="432"/>
        <v>3.7609999999999992</v>
      </c>
      <c r="U99" s="316">
        <f>+U102-U101-U100</f>
        <v>10.251999999999999</v>
      </c>
      <c r="V99" s="311">
        <f>+V102-V101-V100</f>
        <v>10.260999999999999</v>
      </c>
      <c r="W99" s="69">
        <f t="shared" si="434"/>
        <v>3.8620000000000019</v>
      </c>
      <c r="X99" s="316">
        <f>+X102-X101-X100</f>
        <v>14.123000000000001</v>
      </c>
      <c r="Y99" s="311">
        <f>+Y102-Y101-Y100</f>
        <v>15.353999999999999</v>
      </c>
      <c r="Z99" s="69">
        <f t="shared" si="436"/>
        <v>9.3350000000000009</v>
      </c>
      <c r="AA99" s="316">
        <f>+AA102-AA101-AA100</f>
        <v>24.689</v>
      </c>
      <c r="AB99" s="311">
        <f>+AB102-AB101-AB100</f>
        <v>10.555</v>
      </c>
      <c r="AC99" s="69">
        <f t="shared" si="438"/>
        <v>20.944999999999997</v>
      </c>
      <c r="AD99" s="316">
        <f>+AD102-AD101-AD100</f>
        <v>31.499999999999996</v>
      </c>
      <c r="AE99" s="311">
        <f>+AE102-AE101-AE100</f>
        <v>5.6959999999999997</v>
      </c>
      <c r="AF99" s="69">
        <f t="shared" si="440"/>
        <v>23.091000000000001</v>
      </c>
      <c r="AG99" s="316">
        <f>+AG102-AG101-AG100</f>
        <v>28.786999999999999</v>
      </c>
      <c r="AH99" s="311">
        <f>+AH102-AH101-AH100</f>
        <v>7.5969999999999995</v>
      </c>
      <c r="AI99" s="69">
        <f t="shared" si="442"/>
        <v>27.335999999999991</v>
      </c>
      <c r="AJ99" s="316">
        <f>+AJ102-AJ101-AJ100</f>
        <v>34.932999999999993</v>
      </c>
      <c r="AK99" s="340">
        <f>SUM(AK96:AK98)</f>
        <v>3.9560000000000008</v>
      </c>
      <c r="AL99" s="69">
        <f t="shared" si="444"/>
        <v>20.992000000000001</v>
      </c>
      <c r="AM99" s="316">
        <f>+AM102-AM101-AM100</f>
        <v>24.948</v>
      </c>
      <c r="AN99" s="316">
        <f>+AN102-AN101-AN100</f>
        <v>17.372</v>
      </c>
      <c r="AO99" s="69">
        <f t="shared" si="446"/>
        <v>39.095999999999997</v>
      </c>
      <c r="AP99" s="316">
        <f>+AP102-AP101-AP100</f>
        <v>56.467999999999996</v>
      </c>
      <c r="AQ99" s="340">
        <f>SUM(AQ96:AQ98)</f>
        <v>22.794077472980703</v>
      </c>
      <c r="AR99" s="69">
        <f t="shared" si="448"/>
        <v>29.200401103523433</v>
      </c>
      <c r="AS99" s="317">
        <f t="shared" ref="AS99:AU99" si="449">SUM(AS96:AS98)</f>
        <v>51.994478576504136</v>
      </c>
      <c r="AT99" s="317">
        <f t="shared" si="449"/>
        <v>62.116137150930115</v>
      </c>
      <c r="AU99" s="317">
        <f t="shared" si="449"/>
        <v>71.677252253416498</v>
      </c>
    </row>
    <row r="100" spans="1:47">
      <c r="B100" s="225" t="s">
        <v>398</v>
      </c>
      <c r="C100" s="7"/>
      <c r="D100" s="7"/>
      <c r="E100" s="11"/>
      <c r="F100" s="292"/>
      <c r="G100" s="290"/>
      <c r="H100" s="11"/>
      <c r="I100" s="292"/>
      <c r="J100" s="290"/>
      <c r="K100" s="69"/>
      <c r="L100" s="359">
        <v>0.57399999999999995</v>
      </c>
      <c r="M100" s="359">
        <v>0.33500000000000002</v>
      </c>
      <c r="N100" s="69">
        <f t="shared" si="428"/>
        <v>0.23699999999999993</v>
      </c>
      <c r="O100" s="359">
        <v>0.57199999999999995</v>
      </c>
      <c r="P100" s="359">
        <v>0.32</v>
      </c>
      <c r="Q100" s="69">
        <f t="shared" si="430"/>
        <v>8.3000000000000018E-2</v>
      </c>
      <c r="R100" s="340">
        <v>0.40300000000000002</v>
      </c>
      <c r="S100" s="359">
        <v>0.16700000000000001</v>
      </c>
      <c r="T100" s="69">
        <f t="shared" si="432"/>
        <v>0.14599999999999999</v>
      </c>
      <c r="U100" s="359">
        <v>0.313</v>
      </c>
      <c r="V100" s="359">
        <f>0.209-0.001</f>
        <v>0.20799999999999999</v>
      </c>
      <c r="W100" s="69">
        <f t="shared" si="434"/>
        <v>0.17500000000000002</v>
      </c>
      <c r="X100" s="359">
        <f>0.388-0.005</f>
        <v>0.38300000000000001</v>
      </c>
      <c r="Y100" s="359">
        <f>0.231-0.214</f>
        <v>1.7000000000000015E-2</v>
      </c>
      <c r="Z100" s="69">
        <f t="shared" si="436"/>
        <v>-3.5000000000000031E-2</v>
      </c>
      <c r="AA100" s="359">
        <f>0.443-0.461</f>
        <v>-1.8000000000000016E-2</v>
      </c>
      <c r="AB100" s="359">
        <f>0.314-0.237</f>
        <v>7.7000000000000013E-2</v>
      </c>
      <c r="AC100" s="69">
        <f t="shared" si="438"/>
        <v>-6.4000000000000001E-2</v>
      </c>
      <c r="AD100" s="359">
        <f>0.498-0.485</f>
        <v>1.3000000000000012E-2</v>
      </c>
      <c r="AE100" s="357">
        <f>0.065-0.27</f>
        <v>-0.20500000000000002</v>
      </c>
      <c r="AF100" s="69">
        <f t="shared" si="440"/>
        <v>-0.21800000000000003</v>
      </c>
      <c r="AG100" s="359">
        <f>0.093-0.516</f>
        <v>-0.42300000000000004</v>
      </c>
      <c r="AH100" s="357">
        <f>0.041-0.223</f>
        <v>-0.182</v>
      </c>
      <c r="AI100" s="69">
        <f t="shared" si="442"/>
        <v>-0.10299999999999998</v>
      </c>
      <c r="AJ100" s="357">
        <f>0.133-0.418</f>
        <v>-0.28499999999999998</v>
      </c>
      <c r="AK100" s="317">
        <f>-AK48</f>
        <v>0.46</v>
      </c>
      <c r="AL100" s="69">
        <f t="shared" si="444"/>
        <v>0.33899999999999991</v>
      </c>
      <c r="AM100" s="357">
        <f>1.283-0.484</f>
        <v>0.79899999999999993</v>
      </c>
      <c r="AN100" s="357">
        <f>1.21-0.331</f>
        <v>0.879</v>
      </c>
      <c r="AO100" s="69">
        <f t="shared" si="446"/>
        <v>0.69599999999999995</v>
      </c>
      <c r="AP100" s="357">
        <f>2.222-0.647</f>
        <v>1.575</v>
      </c>
      <c r="AQ100" s="317">
        <f>-AQ48</f>
        <v>1.0996368128169127</v>
      </c>
      <c r="AR100" s="69">
        <f t="shared" si="448"/>
        <v>1.0996368128169127</v>
      </c>
      <c r="AS100" s="317">
        <f t="shared" ref="AS100:AU100" si="450">-AS48</f>
        <v>2.1992736256338254</v>
      </c>
      <c r="AT100" s="317">
        <f t="shared" si="450"/>
        <v>2.4514582007078687</v>
      </c>
      <c r="AU100" s="317">
        <f t="shared" si="450"/>
        <v>2.7238029090214684</v>
      </c>
    </row>
    <row r="101" spans="1:47">
      <c r="B101" s="225" t="s">
        <v>142</v>
      </c>
      <c r="C101" s="7"/>
      <c r="D101" s="7"/>
      <c r="E101" s="11"/>
      <c r="F101" s="299"/>
      <c r="G101" s="290"/>
      <c r="H101" s="11"/>
      <c r="I101" s="299"/>
      <c r="J101" s="290"/>
      <c r="K101" s="69"/>
      <c r="L101" s="359">
        <v>-0.33300000000000002</v>
      </c>
      <c r="M101" s="359">
        <v>-0.215</v>
      </c>
      <c r="N101" s="69">
        <f t="shared" si="428"/>
        <v>-1.2939999999999998</v>
      </c>
      <c r="O101" s="359">
        <v>-1.5089999999999999</v>
      </c>
      <c r="P101" s="359">
        <v>-0.54400000000000004</v>
      </c>
      <c r="Q101" s="69">
        <f t="shared" si="430"/>
        <v>-1.1399999999999999</v>
      </c>
      <c r="R101" s="340">
        <v>-1.6839999999999999</v>
      </c>
      <c r="S101" s="359">
        <v>-0.84</v>
      </c>
      <c r="T101" s="69">
        <f t="shared" si="432"/>
        <v>-0.13800000000000001</v>
      </c>
      <c r="U101" s="359">
        <v>-0.97799999999999998</v>
      </c>
      <c r="V101" s="359">
        <v>-1.599</v>
      </c>
      <c r="W101" s="69">
        <f t="shared" si="434"/>
        <v>-1.6319999999999999</v>
      </c>
      <c r="X101" s="359">
        <v>-3.2309999999999999</v>
      </c>
      <c r="Y101" s="359">
        <v>-1.0589999999999999</v>
      </c>
      <c r="Z101" s="69">
        <f t="shared" si="436"/>
        <v>-0.21300000000000008</v>
      </c>
      <c r="AA101" s="359">
        <v>-1.272</v>
      </c>
      <c r="AB101" s="359">
        <v>-1.3939999999999999</v>
      </c>
      <c r="AC101" s="69">
        <f t="shared" si="438"/>
        <v>-0.96599999999999997</v>
      </c>
      <c r="AD101" s="359">
        <v>-2.36</v>
      </c>
      <c r="AE101" s="357">
        <v>-1.9690000000000001</v>
      </c>
      <c r="AF101" s="69">
        <f t="shared" si="440"/>
        <v>-1.6990000000000001</v>
      </c>
      <c r="AG101" s="359">
        <v>-3.6680000000000001</v>
      </c>
      <c r="AH101" s="357">
        <v>-2.0219999999999998</v>
      </c>
      <c r="AI101" s="69">
        <f t="shared" si="442"/>
        <v>-2.0859999999999999</v>
      </c>
      <c r="AJ101" s="357">
        <v>-4.1079999999999997</v>
      </c>
      <c r="AK101" s="317">
        <f>-AK50</f>
        <v>-2.5000000000000001E-2</v>
      </c>
      <c r="AL101" s="69">
        <f t="shared" si="444"/>
        <v>-2.2949999999999999</v>
      </c>
      <c r="AM101" s="357">
        <v>-2.3199999999999998</v>
      </c>
      <c r="AN101" s="357">
        <v>-1.9770000000000001</v>
      </c>
      <c r="AO101" s="69">
        <f t="shared" si="446"/>
        <v>-0.28199999999999981</v>
      </c>
      <c r="AP101" s="357">
        <v>-2.2589999999999999</v>
      </c>
      <c r="AQ101" s="317">
        <f>-AQ50</f>
        <v>-3.6985574551749298</v>
      </c>
      <c r="AR101" s="69">
        <f t="shared" si="448"/>
        <v>-4.8029955788281562</v>
      </c>
      <c r="AS101" s="317">
        <f t="shared" ref="AS101:AU101" si="451">-AS50</f>
        <v>-8.501553034003086</v>
      </c>
      <c r="AT101" s="317">
        <f t="shared" si="451"/>
        <v>-9.977476812770675</v>
      </c>
      <c r="AU101" s="317">
        <f t="shared" si="451"/>
        <v>-11.81002964513311</v>
      </c>
    </row>
    <row r="102" spans="1:47" s="15" customFormat="1">
      <c r="A102" s="217" t="s">
        <v>1037</v>
      </c>
      <c r="B102" s="226" t="s">
        <v>305</v>
      </c>
      <c r="C102" s="4"/>
      <c r="D102" s="4"/>
      <c r="E102" s="11"/>
      <c r="F102" s="283"/>
      <c r="G102" s="285"/>
      <c r="H102" s="11"/>
      <c r="I102" s="283"/>
      <c r="J102" s="285"/>
      <c r="K102" s="71"/>
      <c r="L102" s="358">
        <v>6.1280000000000001</v>
      </c>
      <c r="M102" s="358">
        <v>5.5330000000000004</v>
      </c>
      <c r="N102" s="71">
        <f t="shared" si="428"/>
        <v>2.9180000000000001</v>
      </c>
      <c r="O102" s="358">
        <v>8.4510000000000005</v>
      </c>
      <c r="P102" s="358">
        <v>2.887</v>
      </c>
      <c r="Q102" s="71">
        <f t="shared" si="430"/>
        <v>-4.6980000000000004</v>
      </c>
      <c r="R102" s="358">
        <v>-1.8109999999999999</v>
      </c>
      <c r="S102" s="358">
        <v>5.8179999999999996</v>
      </c>
      <c r="T102" s="71">
        <f t="shared" si="432"/>
        <v>3.7690000000000001</v>
      </c>
      <c r="U102" s="358">
        <v>9.5869999999999997</v>
      </c>
      <c r="V102" s="358">
        <v>8.8699999999999992</v>
      </c>
      <c r="W102" s="71">
        <f t="shared" si="434"/>
        <v>2.4050000000000011</v>
      </c>
      <c r="X102" s="358">
        <v>11.275</v>
      </c>
      <c r="Y102" s="358">
        <v>14.311999999999999</v>
      </c>
      <c r="Z102" s="71">
        <f t="shared" si="436"/>
        <v>9.0870000000000015</v>
      </c>
      <c r="AA102" s="358">
        <v>23.399000000000001</v>
      </c>
      <c r="AB102" s="358">
        <v>9.2379999999999995</v>
      </c>
      <c r="AC102" s="71">
        <f t="shared" si="438"/>
        <v>19.914999999999999</v>
      </c>
      <c r="AD102" s="358">
        <v>29.152999999999999</v>
      </c>
      <c r="AE102" s="358">
        <v>3.5219999999999998</v>
      </c>
      <c r="AF102" s="71">
        <f t="shared" si="440"/>
        <v>21.174000000000003</v>
      </c>
      <c r="AG102" s="358">
        <v>24.696000000000002</v>
      </c>
      <c r="AH102" s="358">
        <v>5.3929999999999998</v>
      </c>
      <c r="AI102" s="71">
        <f t="shared" si="442"/>
        <v>25.146999999999998</v>
      </c>
      <c r="AJ102" s="358">
        <v>30.54</v>
      </c>
      <c r="AK102" s="341">
        <f>SUM(AK99:AK101)</f>
        <v>4.3910000000000009</v>
      </c>
      <c r="AL102" s="71">
        <f t="shared" si="444"/>
        <v>19.035999999999998</v>
      </c>
      <c r="AM102" s="358">
        <v>23.427</v>
      </c>
      <c r="AN102" s="358">
        <v>16.274000000000001</v>
      </c>
      <c r="AO102" s="71">
        <f t="shared" si="446"/>
        <v>39.51</v>
      </c>
      <c r="AP102" s="358">
        <v>55.783999999999999</v>
      </c>
      <c r="AQ102" s="341">
        <f>SUM(AQ99:AQ101)</f>
        <v>20.195156830622686</v>
      </c>
      <c r="AR102" s="71">
        <f t="shared" si="448"/>
        <v>25.497042337512184</v>
      </c>
      <c r="AS102" s="341">
        <f t="shared" ref="AS102:AU102" si="452">SUM(AS99:AS101)</f>
        <v>45.69219916813487</v>
      </c>
      <c r="AT102" s="341">
        <f t="shared" si="452"/>
        <v>54.590118538867301</v>
      </c>
      <c r="AU102" s="341">
        <f t="shared" si="452"/>
        <v>62.591025517304857</v>
      </c>
    </row>
    <row r="103" spans="1:47">
      <c r="A103" s="217" t="s">
        <v>1081</v>
      </c>
      <c r="B103" s="225" t="s">
        <v>306</v>
      </c>
      <c r="C103" s="7"/>
      <c r="D103" s="7"/>
      <c r="E103" s="11"/>
      <c r="F103" s="290"/>
      <c r="G103" s="290"/>
      <c r="H103" s="11"/>
      <c r="I103" s="290"/>
      <c r="J103" s="290"/>
      <c r="K103" s="78"/>
      <c r="L103" s="305">
        <f>-L313</f>
        <v>-0.432</v>
      </c>
      <c r="M103" s="305">
        <f t="shared" ref="M103" si="453">-M313</f>
        <v>-0.32700000000000001</v>
      </c>
      <c r="N103" s="78">
        <f t="shared" si="428"/>
        <v>-0.11499999999999999</v>
      </c>
      <c r="O103" s="305">
        <f>-O313</f>
        <v>-0.442</v>
      </c>
      <c r="P103" s="305">
        <f t="shared" ref="P103" si="454">-P313</f>
        <v>-9.6000000000000002E-2</v>
      </c>
      <c r="Q103" s="78">
        <f t="shared" si="430"/>
        <v>-7.5000000000000011E-2</v>
      </c>
      <c r="R103" s="305">
        <f>-R313</f>
        <v>-0.17100000000000001</v>
      </c>
      <c r="S103" s="305">
        <f t="shared" ref="S103" si="455">-S313</f>
        <v>-3.3340000000000001</v>
      </c>
      <c r="T103" s="78">
        <f t="shared" si="432"/>
        <v>-1.0169999999999999</v>
      </c>
      <c r="U103" s="305">
        <f>-U313</f>
        <v>-4.351</v>
      </c>
      <c r="V103" s="305">
        <f t="shared" ref="V103" si="456">-V313</f>
        <v>-0.66900000000000004</v>
      </c>
      <c r="W103" s="78">
        <f t="shared" si="434"/>
        <v>-1.8210000000000002</v>
      </c>
      <c r="X103" s="305">
        <f>-X313</f>
        <v>-2.4900000000000002</v>
      </c>
      <c r="Y103" s="305">
        <f t="shared" ref="Y103" si="457">-Y313</f>
        <v>-1.2050000000000001</v>
      </c>
      <c r="Z103" s="78">
        <f t="shared" si="436"/>
        <v>-0.13700000000000001</v>
      </c>
      <c r="AA103" s="305">
        <f>-AA313</f>
        <v>-1.3420000000000001</v>
      </c>
      <c r="AB103" s="305">
        <f t="shared" ref="AB103" si="458">-AB313</f>
        <v>-0.39600000000000002</v>
      </c>
      <c r="AC103" s="78">
        <f t="shared" si="438"/>
        <v>-0.83300000000000007</v>
      </c>
      <c r="AD103" s="305">
        <f>-AD313</f>
        <v>-1.2290000000000001</v>
      </c>
      <c r="AE103" s="305">
        <f t="shared" ref="AE103" si="459">-AE313</f>
        <v>-0.73199999999999998</v>
      </c>
      <c r="AF103" s="78">
        <f t="shared" si="440"/>
        <v>-0.3839999999999999</v>
      </c>
      <c r="AG103" s="305">
        <f>-AG313</f>
        <v>-1.1159999999999999</v>
      </c>
      <c r="AH103" s="305">
        <f t="shared" ref="AH103" si="460">-AH313</f>
        <v>-0.76200000000000001</v>
      </c>
      <c r="AI103" s="78">
        <f t="shared" si="442"/>
        <v>-0.45100000000000007</v>
      </c>
      <c r="AJ103" s="305">
        <f>-AJ313</f>
        <v>-1.2130000000000001</v>
      </c>
      <c r="AK103" s="305">
        <f t="shared" ref="AK103" si="461">-AK313</f>
        <v>-0.34300000000000003</v>
      </c>
      <c r="AL103" s="78">
        <f t="shared" si="444"/>
        <v>-0.22899999999999993</v>
      </c>
      <c r="AM103" s="305">
        <f t="shared" ref="AM103:AU103" si="462">-AM313</f>
        <v>-0.57199999999999995</v>
      </c>
      <c r="AN103" s="305">
        <f t="shared" ref="AN103" si="463">-AN313</f>
        <v>-7.2869999999999999</v>
      </c>
      <c r="AO103" s="78">
        <f t="shared" si="446"/>
        <v>-7.8069999999999995</v>
      </c>
      <c r="AP103" s="305">
        <f t="shared" ref="AP103" si="464">-AP313</f>
        <v>-15.093999999999999</v>
      </c>
      <c r="AQ103" s="305">
        <f t="shared" ref="AQ103" si="465">-AQ313</f>
        <v>-7.5599102120700641</v>
      </c>
      <c r="AR103" s="78">
        <f t="shared" si="448"/>
        <v>-7.9652466044904466</v>
      </c>
      <c r="AS103" s="305">
        <f t="shared" si="462"/>
        <v>-15.525156816560511</v>
      </c>
      <c r="AT103" s="305">
        <f t="shared" si="462"/>
        <v>-16.669675307903187</v>
      </c>
      <c r="AU103" s="305">
        <f t="shared" si="462"/>
        <v>-17.815260689277864</v>
      </c>
    </row>
    <row r="104" spans="1:47">
      <c r="B104" s="226" t="s">
        <v>430</v>
      </c>
      <c r="C104" s="3"/>
      <c r="D104" s="3"/>
      <c r="E104" s="11"/>
      <c r="F104" s="287"/>
      <c r="G104" s="265"/>
      <c r="H104" s="11"/>
      <c r="I104" s="287"/>
      <c r="J104" s="265"/>
      <c r="K104" s="74"/>
      <c r="L104" s="342">
        <f t="shared" ref="L104" si="466">SUM(L102:L103)</f>
        <v>5.6959999999999997</v>
      </c>
      <c r="M104" s="342">
        <f>SUM(M102:M103)</f>
        <v>5.2060000000000004</v>
      </c>
      <c r="N104" s="74">
        <f t="shared" si="428"/>
        <v>2.8029999999999999</v>
      </c>
      <c r="O104" s="342">
        <f t="shared" ref="O104" si="467">SUM(O102:O103)</f>
        <v>8.0090000000000003</v>
      </c>
      <c r="P104" s="342">
        <f>SUM(P102:P103)</f>
        <v>2.7909999999999999</v>
      </c>
      <c r="Q104" s="74">
        <f t="shared" si="430"/>
        <v>-4.7729999999999997</v>
      </c>
      <c r="R104" s="342">
        <f t="shared" ref="R104" si="468">SUM(R102:R103)</f>
        <v>-1.982</v>
      </c>
      <c r="S104" s="342">
        <f>SUM(S102:S103)</f>
        <v>2.4839999999999995</v>
      </c>
      <c r="T104" s="74">
        <f t="shared" si="432"/>
        <v>2.7520000000000002</v>
      </c>
      <c r="U104" s="342">
        <f t="shared" ref="U104" si="469">SUM(U102:U103)</f>
        <v>5.2359999999999998</v>
      </c>
      <c r="V104" s="342">
        <f>SUM(V102:V103)</f>
        <v>8.2009999999999987</v>
      </c>
      <c r="W104" s="74">
        <f t="shared" si="434"/>
        <v>0.58400000000000141</v>
      </c>
      <c r="X104" s="342">
        <f t="shared" ref="X104" si="470">SUM(X102:X103)</f>
        <v>8.7850000000000001</v>
      </c>
      <c r="Y104" s="342">
        <f>SUM(Y102:Y103)</f>
        <v>13.106999999999999</v>
      </c>
      <c r="Z104" s="74">
        <f t="shared" si="436"/>
        <v>8.9500000000000028</v>
      </c>
      <c r="AA104" s="342">
        <f t="shared" ref="AA104" si="471">SUM(AA102:AA103)</f>
        <v>22.057000000000002</v>
      </c>
      <c r="AB104" s="342">
        <f>SUM(AB102:AB103)</f>
        <v>8.8419999999999987</v>
      </c>
      <c r="AC104" s="74">
        <f t="shared" si="438"/>
        <v>19.082000000000001</v>
      </c>
      <c r="AD104" s="342">
        <f t="shared" ref="AD104" si="472">SUM(AD102:AD103)</f>
        <v>27.923999999999999</v>
      </c>
      <c r="AE104" s="342">
        <f>SUM(AE102:AE103)</f>
        <v>2.79</v>
      </c>
      <c r="AF104" s="74">
        <f t="shared" si="440"/>
        <v>20.790000000000003</v>
      </c>
      <c r="AG104" s="342">
        <f t="shared" ref="AG104" si="473">SUM(AG102:AG103)</f>
        <v>23.580000000000002</v>
      </c>
      <c r="AH104" s="342">
        <f>SUM(AH102:AH103)</f>
        <v>4.6310000000000002</v>
      </c>
      <c r="AI104" s="74">
        <f t="shared" si="442"/>
        <v>24.695999999999998</v>
      </c>
      <c r="AJ104" s="342">
        <f t="shared" ref="AJ104:AU104" si="474">SUM(AJ102:AJ103)</f>
        <v>29.326999999999998</v>
      </c>
      <c r="AK104" s="342">
        <f>SUM(AK102:AK103)</f>
        <v>4.0480000000000009</v>
      </c>
      <c r="AL104" s="74">
        <f t="shared" si="444"/>
        <v>18.806999999999999</v>
      </c>
      <c r="AM104" s="342">
        <f t="shared" si="474"/>
        <v>22.855</v>
      </c>
      <c r="AN104" s="342">
        <f t="shared" ref="AN104" si="475">SUM(AN102:AN103)</f>
        <v>8.9870000000000019</v>
      </c>
      <c r="AO104" s="74">
        <f t="shared" si="446"/>
        <v>31.702999999999996</v>
      </c>
      <c r="AP104" s="342">
        <f t="shared" ref="AP104" si="476">SUM(AP102:AP103)</f>
        <v>40.69</v>
      </c>
      <c r="AQ104" s="342">
        <f>SUM(AQ102:AQ103)</f>
        <v>12.635246618552621</v>
      </c>
      <c r="AR104" s="74">
        <f t="shared" si="448"/>
        <v>17.531795733021738</v>
      </c>
      <c r="AS104" s="342">
        <f t="shared" si="474"/>
        <v>30.167042351574359</v>
      </c>
      <c r="AT104" s="342">
        <f t="shared" si="474"/>
        <v>37.920443230964111</v>
      </c>
      <c r="AU104" s="342">
        <f t="shared" si="474"/>
        <v>44.775764828026993</v>
      </c>
    </row>
    <row r="105" spans="1:47">
      <c r="B105" s="225" t="s">
        <v>219</v>
      </c>
      <c r="C105" s="7"/>
      <c r="D105" s="7"/>
      <c r="E105" s="11"/>
      <c r="F105" s="299"/>
      <c r="G105" s="290"/>
      <c r="H105" s="11"/>
      <c r="I105" s="299"/>
      <c r="J105" s="290"/>
      <c r="K105" s="69"/>
      <c r="L105" s="359">
        <v>-3.0230000000000001</v>
      </c>
      <c r="M105" s="357">
        <v>-3.0880000000000001</v>
      </c>
      <c r="N105" s="69">
        <f t="shared" si="428"/>
        <v>-9.9999999999988987E-4</v>
      </c>
      <c r="O105" s="359">
        <v>-3.089</v>
      </c>
      <c r="P105" s="357">
        <v>-3.4089999999999998</v>
      </c>
      <c r="Q105" s="69">
        <f t="shared" si="430"/>
        <v>0</v>
      </c>
      <c r="R105" s="359">
        <v>-3.4089999999999998</v>
      </c>
      <c r="S105" s="357">
        <v>-3.6640000000000001</v>
      </c>
      <c r="T105" s="69">
        <f t="shared" si="432"/>
        <v>0</v>
      </c>
      <c r="U105" s="359">
        <v>-3.6640000000000001</v>
      </c>
      <c r="V105" s="357">
        <v>-4.4660000000000002</v>
      </c>
      <c r="W105" s="69">
        <f t="shared" si="434"/>
        <v>-1.1999999999999567E-2</v>
      </c>
      <c r="X105" s="359">
        <v>-4.4779999999999998</v>
      </c>
      <c r="Y105" s="357">
        <v>-4.5979999999999999</v>
      </c>
      <c r="Z105" s="69">
        <f t="shared" si="436"/>
        <v>-4.9999999999998934E-3</v>
      </c>
      <c r="AA105" s="359">
        <v>-4.6029999999999998</v>
      </c>
      <c r="AB105" s="357">
        <v>-5.5439999999999996</v>
      </c>
      <c r="AC105" s="69">
        <f t="shared" si="438"/>
        <v>-3.900000000000059E-2</v>
      </c>
      <c r="AD105" s="359">
        <v>-5.5830000000000002</v>
      </c>
      <c r="AE105" s="357">
        <v>-6.4909999999999997</v>
      </c>
      <c r="AF105" s="69">
        <f t="shared" si="440"/>
        <v>-7.4000000000000732E-2</v>
      </c>
      <c r="AG105" s="359">
        <v>-6.5650000000000004</v>
      </c>
      <c r="AH105" s="357">
        <v>-8.4550000000000001</v>
      </c>
      <c r="AI105" s="72">
        <f t="shared" si="442"/>
        <v>-3.9999999999995595E-3</v>
      </c>
      <c r="AJ105" s="359">
        <v>-8.4589999999999996</v>
      </c>
      <c r="AK105" s="340">
        <f>-(AJ67+AK66)*AK259/100</f>
        <v>-10.434172979999998</v>
      </c>
      <c r="AL105" s="69">
        <f t="shared" si="444"/>
        <v>4.5172979999998475E-2</v>
      </c>
      <c r="AM105" s="359">
        <v>-10.388999999999999</v>
      </c>
      <c r="AN105" s="359">
        <v>-12.782</v>
      </c>
      <c r="AO105" s="69">
        <f t="shared" si="446"/>
        <v>-9.0000000000003411E-3</v>
      </c>
      <c r="AP105" s="359">
        <v>-12.791</v>
      </c>
      <c r="AQ105" s="340">
        <f>-(AP67+AQ66)*AQ259/100</f>
        <v>-16.165341819999998</v>
      </c>
      <c r="AR105" s="69">
        <f t="shared" si="448"/>
        <v>0</v>
      </c>
      <c r="AS105" s="340">
        <f>-(AP67+AS66)*AS259/100</f>
        <v>-16.165341819999998</v>
      </c>
      <c r="AT105" s="340">
        <f t="shared" ref="AT105:AU105" si="477">-(AS67+AT66)*AT259/100</f>
        <v>-12.776272665637128</v>
      </c>
      <c r="AU105" s="340">
        <f t="shared" si="477"/>
        <v>-15.057922577121602</v>
      </c>
    </row>
    <row r="106" spans="1:47">
      <c r="A106" s="217" t="s">
        <v>1082</v>
      </c>
      <c r="B106" s="226" t="s">
        <v>422</v>
      </c>
      <c r="C106" s="3"/>
      <c r="D106" s="3"/>
      <c r="E106" s="11"/>
      <c r="F106" s="287"/>
      <c r="G106" s="265"/>
      <c r="H106" s="11"/>
      <c r="I106" s="287"/>
      <c r="J106" s="265"/>
      <c r="K106" s="74"/>
      <c r="L106" s="342">
        <f>SUM(L104:L105)</f>
        <v>2.6729999999999996</v>
      </c>
      <c r="M106" s="342">
        <f>SUM(M104:M105)</f>
        <v>2.1180000000000003</v>
      </c>
      <c r="N106" s="74">
        <f t="shared" si="428"/>
        <v>2.8019999999999996</v>
      </c>
      <c r="O106" s="342">
        <f>SUM(O104:O105)</f>
        <v>4.92</v>
      </c>
      <c r="P106" s="342">
        <f>SUM(P104:P105)</f>
        <v>-0.61799999999999988</v>
      </c>
      <c r="Q106" s="74">
        <f t="shared" si="430"/>
        <v>-4.7729999999999997</v>
      </c>
      <c r="R106" s="342">
        <f>SUM(R104:R105)</f>
        <v>-5.391</v>
      </c>
      <c r="S106" s="342">
        <f>SUM(S104:S105)</f>
        <v>-1.1800000000000006</v>
      </c>
      <c r="T106" s="74">
        <f t="shared" si="432"/>
        <v>2.7520000000000002</v>
      </c>
      <c r="U106" s="342">
        <f>SUM(U104:U105)</f>
        <v>1.5719999999999996</v>
      </c>
      <c r="V106" s="342">
        <f>SUM(V104:V105)</f>
        <v>3.7349999999999985</v>
      </c>
      <c r="W106" s="74">
        <f t="shared" si="434"/>
        <v>0.57200000000000184</v>
      </c>
      <c r="X106" s="342">
        <f>SUM(X104:X105)</f>
        <v>4.3070000000000004</v>
      </c>
      <c r="Y106" s="342">
        <f>SUM(Y104:Y105)</f>
        <v>8.5090000000000003</v>
      </c>
      <c r="Z106" s="74">
        <f t="shared" si="436"/>
        <v>8.9450000000000003</v>
      </c>
      <c r="AA106" s="342">
        <f>SUM(AA104:AA105)</f>
        <v>17.454000000000001</v>
      </c>
      <c r="AB106" s="342">
        <f>SUM(AB104:AB105)</f>
        <v>3.2979999999999992</v>
      </c>
      <c r="AC106" s="74">
        <f t="shared" si="438"/>
        <v>19.043000000000003</v>
      </c>
      <c r="AD106" s="342">
        <f>SUM(AD104:AD105)</f>
        <v>22.341000000000001</v>
      </c>
      <c r="AE106" s="342">
        <f>SUM(AE104:AE105)</f>
        <v>-3.7009999999999996</v>
      </c>
      <c r="AF106" s="74">
        <f t="shared" si="440"/>
        <v>20.716000000000001</v>
      </c>
      <c r="AG106" s="342">
        <f>SUM(AG104:AG105)</f>
        <v>17.015000000000001</v>
      </c>
      <c r="AH106" s="342">
        <f>SUM(AH104:AH105)</f>
        <v>-3.8239999999999998</v>
      </c>
      <c r="AI106" s="74">
        <f t="shared" si="442"/>
        <v>24.692</v>
      </c>
      <c r="AJ106" s="342">
        <f>SUM(AJ104:AJ105)</f>
        <v>20.867999999999999</v>
      </c>
      <c r="AK106" s="342">
        <f>SUM(AK104:AK105)</f>
        <v>-6.3861729799999969</v>
      </c>
      <c r="AL106" s="74">
        <f t="shared" si="444"/>
        <v>18.852172979999999</v>
      </c>
      <c r="AM106" s="342">
        <f t="shared" ref="AM106:AU106" si="478">SUM(AM104:AM105)</f>
        <v>12.466000000000001</v>
      </c>
      <c r="AN106" s="342">
        <f t="shared" ref="AN106" si="479">SUM(AN104:AN105)</f>
        <v>-3.7949999999999982</v>
      </c>
      <c r="AO106" s="74">
        <f t="shared" si="446"/>
        <v>31.693999999999996</v>
      </c>
      <c r="AP106" s="342">
        <f t="shared" ref="AP106" si="480">SUM(AP104:AP105)</f>
        <v>27.898999999999997</v>
      </c>
      <c r="AQ106" s="342">
        <f>SUM(AQ104:AQ105)</f>
        <v>-3.5300952014473772</v>
      </c>
      <c r="AR106" s="74">
        <f t="shared" si="448"/>
        <v>17.531795733021738</v>
      </c>
      <c r="AS106" s="342">
        <f t="shared" si="478"/>
        <v>14.001700531574361</v>
      </c>
      <c r="AT106" s="342">
        <f t="shared" si="478"/>
        <v>25.144170565326981</v>
      </c>
      <c r="AU106" s="342">
        <f t="shared" si="478"/>
        <v>29.717842250905392</v>
      </c>
    </row>
    <row r="107" spans="1:47">
      <c r="B107" s="225" t="s">
        <v>307</v>
      </c>
      <c r="C107" s="7"/>
      <c r="D107" s="7"/>
      <c r="E107" s="11"/>
      <c r="F107" s="292"/>
      <c r="G107" s="290"/>
      <c r="H107" s="11"/>
      <c r="I107" s="292"/>
      <c r="J107" s="290"/>
      <c r="K107" s="69"/>
      <c r="L107" s="357"/>
      <c r="M107" s="334"/>
      <c r="N107" s="69"/>
      <c r="O107" s="357"/>
      <c r="P107" s="334"/>
      <c r="Q107" s="69"/>
      <c r="R107" s="357"/>
      <c r="S107" s="334"/>
      <c r="T107" s="69"/>
      <c r="U107" s="357"/>
      <c r="V107" s="334"/>
      <c r="W107" s="69"/>
      <c r="X107" s="357"/>
      <c r="Y107" s="334"/>
      <c r="Z107" s="69"/>
      <c r="AA107" s="357"/>
      <c r="AB107" s="334"/>
      <c r="AC107" s="69"/>
      <c r="AD107" s="357"/>
      <c r="AE107" s="334"/>
      <c r="AF107" s="69"/>
      <c r="AG107" s="357"/>
      <c r="AH107" s="334"/>
      <c r="AI107" s="69"/>
      <c r="AJ107" s="357"/>
      <c r="AK107" s="357"/>
      <c r="AL107" s="69"/>
      <c r="AM107" s="357"/>
      <c r="AN107" s="357"/>
      <c r="AO107" s="69"/>
      <c r="AP107" s="357"/>
      <c r="AQ107" s="357"/>
      <c r="AR107" s="69"/>
      <c r="AS107" s="357"/>
      <c r="AT107" s="357"/>
      <c r="AU107" s="357"/>
    </row>
    <row r="108" spans="1:47">
      <c r="A108" s="217" t="s">
        <v>1090</v>
      </c>
      <c r="B108" s="253" t="s">
        <v>233</v>
      </c>
      <c r="C108" s="40"/>
      <c r="D108" s="40"/>
      <c r="E108" s="40"/>
      <c r="F108" s="292"/>
      <c r="G108" s="290"/>
      <c r="H108" s="40"/>
      <c r="I108" s="292"/>
      <c r="J108" s="290"/>
      <c r="K108" s="69"/>
      <c r="L108" s="359">
        <v>0</v>
      </c>
      <c r="M108" s="357">
        <v>0</v>
      </c>
      <c r="N108" s="69">
        <f t="shared" ref="N108:N115" si="481">+O108-M108</f>
        <v>0</v>
      </c>
      <c r="O108" s="359">
        <v>0</v>
      </c>
      <c r="P108" s="357">
        <v>0</v>
      </c>
      <c r="Q108" s="69">
        <f t="shared" ref="Q108:Q115" si="482">+R108-P108</f>
        <v>-2.8740000000000001</v>
      </c>
      <c r="R108" s="359">
        <v>-2.8740000000000001</v>
      </c>
      <c r="S108" s="357">
        <v>0</v>
      </c>
      <c r="T108" s="69">
        <f t="shared" ref="T108:T115" si="483">+U108-S108</f>
        <v>0</v>
      </c>
      <c r="U108" s="359">
        <v>0</v>
      </c>
      <c r="V108" s="357">
        <v>0</v>
      </c>
      <c r="W108" s="69">
        <f t="shared" ref="W108:W115" si="484">+X108-V108</f>
        <v>0</v>
      </c>
      <c r="X108" s="359">
        <v>0</v>
      </c>
      <c r="Y108" s="357">
        <v>0</v>
      </c>
      <c r="Z108" s="69">
        <f t="shared" ref="Z108:Z115" si="485">+AA108-Y108</f>
        <v>-2.883</v>
      </c>
      <c r="AA108" s="359">
        <v>-2.883</v>
      </c>
      <c r="AB108" s="357">
        <v>-3.7930000000000001</v>
      </c>
      <c r="AC108" s="69">
        <f t="shared" ref="AC108:AC115" si="486">+AD108-AB108</f>
        <v>0.21200000000000019</v>
      </c>
      <c r="AD108" s="359">
        <v>-3.581</v>
      </c>
      <c r="AE108" s="357">
        <v>-18.725000000000001</v>
      </c>
      <c r="AF108" s="69">
        <f t="shared" ref="AF108:AF115" si="487">+AG108-AE108</f>
        <v>0</v>
      </c>
      <c r="AG108" s="359">
        <v>-18.725000000000001</v>
      </c>
      <c r="AH108" s="357">
        <v>-0.40100000000000002</v>
      </c>
      <c r="AI108" s="69">
        <f>+AJ108-AH108</f>
        <v>-3.2720000000000002</v>
      </c>
      <c r="AJ108" s="357">
        <v>-3.673</v>
      </c>
      <c r="AK108" s="357"/>
      <c r="AL108" s="69">
        <f>+AM108-AK108</f>
        <v>-0.185</v>
      </c>
      <c r="AM108" s="357">
        <f>0.013-0.198</f>
        <v>-0.185</v>
      </c>
      <c r="AN108" s="357">
        <f>0.012+-0.093</f>
        <v>-8.1000000000000003E-2</v>
      </c>
      <c r="AO108" s="69">
        <f>+AP108-AN108</f>
        <v>0</v>
      </c>
      <c r="AP108" s="357">
        <f>0.012-0.093</f>
        <v>-8.1000000000000003E-2</v>
      </c>
      <c r="AQ108" s="357"/>
      <c r="AR108" s="69"/>
      <c r="AS108" s="357"/>
      <c r="AT108" s="357"/>
      <c r="AU108" s="357"/>
    </row>
    <row r="109" spans="1:47">
      <c r="B109" s="253" t="s">
        <v>234</v>
      </c>
      <c r="C109" s="7"/>
      <c r="D109" s="7"/>
      <c r="E109" s="11"/>
      <c r="F109" s="292"/>
      <c r="G109" s="290"/>
      <c r="H109" s="11"/>
      <c r="I109" s="292"/>
      <c r="J109" s="290"/>
      <c r="K109" s="69"/>
      <c r="L109" s="357"/>
      <c r="M109" s="357"/>
      <c r="N109" s="69">
        <f t="shared" si="481"/>
        <v>0</v>
      </c>
      <c r="O109" s="357"/>
      <c r="P109" s="357"/>
      <c r="Q109" s="69">
        <f t="shared" si="482"/>
        <v>0</v>
      </c>
      <c r="R109" s="357"/>
      <c r="S109" s="357"/>
      <c r="T109" s="69">
        <f t="shared" si="483"/>
        <v>0</v>
      </c>
      <c r="U109" s="357"/>
      <c r="V109" s="357"/>
      <c r="W109" s="69">
        <f t="shared" si="484"/>
        <v>0</v>
      </c>
      <c r="X109" s="357"/>
      <c r="Y109" s="357"/>
      <c r="Z109" s="69">
        <f t="shared" si="485"/>
        <v>0</v>
      </c>
      <c r="AA109" s="357"/>
      <c r="AB109" s="357"/>
      <c r="AC109" s="69">
        <f t="shared" si="486"/>
        <v>0</v>
      </c>
      <c r="AD109" s="357"/>
      <c r="AE109" s="357"/>
      <c r="AF109" s="69">
        <f t="shared" si="487"/>
        <v>0</v>
      </c>
      <c r="AG109" s="357"/>
      <c r="AH109" s="357"/>
      <c r="AI109" s="69"/>
      <c r="AJ109" s="357"/>
      <c r="AK109" s="357"/>
      <c r="AL109" s="69"/>
      <c r="AM109" s="357"/>
      <c r="AN109" s="357"/>
      <c r="AO109" s="69"/>
      <c r="AP109" s="357"/>
      <c r="AQ109" s="357"/>
      <c r="AR109" s="69"/>
      <c r="AS109" s="357"/>
      <c r="AT109" s="357"/>
      <c r="AU109" s="357"/>
    </row>
    <row r="110" spans="1:47">
      <c r="B110" s="225" t="s">
        <v>236</v>
      </c>
      <c r="C110" s="23"/>
      <c r="D110" s="23"/>
      <c r="E110" s="11"/>
      <c r="F110" s="265"/>
      <c r="G110" s="265"/>
      <c r="H110" s="11"/>
      <c r="I110" s="265"/>
      <c r="J110" s="265"/>
      <c r="K110" s="69"/>
      <c r="L110" s="318">
        <f t="shared" ref="L110" si="488">SUM(L108:L109)</f>
        <v>0</v>
      </c>
      <c r="M110" s="318">
        <f>SUM(M108:M109)</f>
        <v>0</v>
      </c>
      <c r="N110" s="69">
        <f t="shared" si="481"/>
        <v>0</v>
      </c>
      <c r="O110" s="318">
        <f t="shared" ref="O110" si="489">SUM(O108:O109)</f>
        <v>0</v>
      </c>
      <c r="P110" s="318">
        <f>SUM(P108:P109)</f>
        <v>0</v>
      </c>
      <c r="Q110" s="69">
        <f t="shared" si="482"/>
        <v>-2.8740000000000001</v>
      </c>
      <c r="R110" s="318">
        <f t="shared" ref="R110" si="490">SUM(R108:R109)</f>
        <v>-2.8740000000000001</v>
      </c>
      <c r="S110" s="318">
        <f>SUM(S108:S109)</f>
        <v>0</v>
      </c>
      <c r="T110" s="69">
        <f t="shared" si="483"/>
        <v>0</v>
      </c>
      <c r="U110" s="318">
        <f t="shared" ref="U110" si="491">SUM(U108:U109)</f>
        <v>0</v>
      </c>
      <c r="V110" s="318">
        <f>SUM(V108:V109)</f>
        <v>0</v>
      </c>
      <c r="W110" s="69">
        <f t="shared" si="484"/>
        <v>0</v>
      </c>
      <c r="X110" s="318">
        <f t="shared" ref="X110" si="492">SUM(X108:X109)</f>
        <v>0</v>
      </c>
      <c r="Y110" s="318">
        <f>SUM(Y108:Y109)</f>
        <v>0</v>
      </c>
      <c r="Z110" s="69">
        <f t="shared" si="485"/>
        <v>-2.883</v>
      </c>
      <c r="AA110" s="318">
        <f t="shared" ref="AA110" si="493">SUM(AA108:AA109)</f>
        <v>-2.883</v>
      </c>
      <c r="AB110" s="318">
        <f>SUM(AB108:AB109)</f>
        <v>-3.7930000000000001</v>
      </c>
      <c r="AC110" s="69">
        <f t="shared" si="486"/>
        <v>0.21200000000000019</v>
      </c>
      <c r="AD110" s="318">
        <f t="shared" ref="AD110" si="494">SUM(AD108:AD109)</f>
        <v>-3.581</v>
      </c>
      <c r="AE110" s="318">
        <f>SUM(AE108:AE109)</f>
        <v>-18.725000000000001</v>
      </c>
      <c r="AF110" s="69">
        <f t="shared" si="487"/>
        <v>0</v>
      </c>
      <c r="AG110" s="318">
        <f t="shared" ref="AG110" si="495">SUM(AG108:AG109)</f>
        <v>-18.725000000000001</v>
      </c>
      <c r="AH110" s="318">
        <f>SUM(AH108:AH109)</f>
        <v>-0.40100000000000002</v>
      </c>
      <c r="AI110" s="69">
        <f t="shared" ref="AI110:AI114" si="496">+AJ110-AH110</f>
        <v>-3.2720000000000002</v>
      </c>
      <c r="AJ110" s="318">
        <f t="shared" ref="AJ110:AU110" si="497">SUM(AJ108:AJ109)</f>
        <v>-3.673</v>
      </c>
      <c r="AK110" s="318">
        <f>SUM(AK108:AK109)</f>
        <v>0</v>
      </c>
      <c r="AL110" s="69">
        <f t="shared" ref="AL110:AL114" si="498">+AM110-AK110</f>
        <v>-0.185</v>
      </c>
      <c r="AM110" s="318">
        <f t="shared" si="497"/>
        <v>-0.185</v>
      </c>
      <c r="AN110" s="318">
        <f t="shared" ref="AN110" si="499">SUM(AN108:AN109)</f>
        <v>-8.1000000000000003E-2</v>
      </c>
      <c r="AO110" s="69">
        <f t="shared" ref="AO110" si="500">+AP110-AN110</f>
        <v>0</v>
      </c>
      <c r="AP110" s="318">
        <f t="shared" ref="AP110" si="501">SUM(AP108:AP109)</f>
        <v>-8.1000000000000003E-2</v>
      </c>
      <c r="AQ110" s="318">
        <f>SUM(AQ108:AQ109)</f>
        <v>0</v>
      </c>
      <c r="AR110" s="69">
        <f t="shared" ref="AR110" si="502">+AS110-AQ110</f>
        <v>0</v>
      </c>
      <c r="AS110" s="318">
        <f t="shared" si="497"/>
        <v>0</v>
      </c>
      <c r="AT110" s="318">
        <f t="shared" si="497"/>
        <v>0</v>
      </c>
      <c r="AU110" s="318">
        <f t="shared" si="497"/>
        <v>0</v>
      </c>
    </row>
    <row r="111" spans="1:47" outlineLevel="1">
      <c r="B111" s="253" t="s">
        <v>235</v>
      </c>
      <c r="C111" s="40"/>
      <c r="D111" s="40"/>
      <c r="E111" s="11"/>
      <c r="F111" s="292"/>
      <c r="G111" s="290"/>
      <c r="H111" s="11"/>
      <c r="I111" s="292"/>
      <c r="J111" s="290"/>
      <c r="K111" s="69"/>
      <c r="L111" s="357"/>
      <c r="M111" s="357"/>
      <c r="N111" s="69">
        <f t="shared" si="481"/>
        <v>0</v>
      </c>
      <c r="O111" s="357"/>
      <c r="P111" s="357"/>
      <c r="Q111" s="69">
        <f t="shared" si="482"/>
        <v>0</v>
      </c>
      <c r="R111" s="357"/>
      <c r="S111" s="357"/>
      <c r="T111" s="69">
        <f t="shared" si="483"/>
        <v>0</v>
      </c>
      <c r="U111" s="357"/>
      <c r="V111" s="357"/>
      <c r="W111" s="69">
        <f t="shared" si="484"/>
        <v>0</v>
      </c>
      <c r="X111" s="357"/>
      <c r="Y111" s="357"/>
      <c r="Z111" s="69">
        <f t="shared" si="485"/>
        <v>0</v>
      </c>
      <c r="AA111" s="357"/>
      <c r="AB111" s="357"/>
      <c r="AC111" s="69">
        <f t="shared" si="486"/>
        <v>2.1999999999999999E-2</v>
      </c>
      <c r="AD111" s="357">
        <v>2.1999999999999999E-2</v>
      </c>
      <c r="AE111" s="357"/>
      <c r="AF111" s="69">
        <f t="shared" si="487"/>
        <v>4.8000000000000001E-2</v>
      </c>
      <c r="AG111" s="357">
        <v>4.8000000000000001E-2</v>
      </c>
      <c r="AH111" s="357">
        <f>0.015</f>
        <v>1.4999999999999999E-2</v>
      </c>
      <c r="AI111" s="69"/>
      <c r="AJ111" s="357">
        <v>0.14499999999999999</v>
      </c>
      <c r="AK111" s="357"/>
      <c r="AL111" s="69"/>
      <c r="AM111" s="357"/>
      <c r="AN111" s="357"/>
      <c r="AO111" s="69"/>
      <c r="AP111" s="357"/>
      <c r="AQ111" s="357"/>
      <c r="AR111" s="69"/>
      <c r="AS111" s="357"/>
      <c r="AT111" s="357"/>
      <c r="AU111" s="357"/>
    </row>
    <row r="112" spans="1:47" outlineLevel="1">
      <c r="B112" s="253" t="s">
        <v>231</v>
      </c>
      <c r="C112" s="40"/>
      <c r="D112" s="40"/>
      <c r="E112" s="11"/>
      <c r="F112" s="292"/>
      <c r="G112" s="290"/>
      <c r="H112" s="11"/>
      <c r="I112" s="292"/>
      <c r="J112" s="290"/>
      <c r="K112" s="69"/>
      <c r="L112" s="357"/>
      <c r="M112" s="357"/>
      <c r="N112" s="69">
        <f t="shared" si="481"/>
        <v>0</v>
      </c>
      <c r="O112" s="357"/>
      <c r="P112" s="357"/>
      <c r="Q112" s="69">
        <f t="shared" si="482"/>
        <v>0</v>
      </c>
      <c r="R112" s="357"/>
      <c r="S112" s="357"/>
      <c r="T112" s="69">
        <f t="shared" si="483"/>
        <v>0</v>
      </c>
      <c r="U112" s="357"/>
      <c r="V112" s="357"/>
      <c r="W112" s="69">
        <f t="shared" si="484"/>
        <v>0</v>
      </c>
      <c r="X112" s="357"/>
      <c r="Y112" s="357"/>
      <c r="Z112" s="69">
        <f t="shared" si="485"/>
        <v>0</v>
      </c>
      <c r="AA112" s="357"/>
      <c r="AB112" s="357"/>
      <c r="AC112" s="69">
        <f t="shared" si="486"/>
        <v>0</v>
      </c>
      <c r="AD112" s="357"/>
      <c r="AE112" s="357"/>
      <c r="AF112" s="69">
        <f t="shared" si="487"/>
        <v>0</v>
      </c>
      <c r="AG112" s="357"/>
      <c r="AH112" s="357"/>
      <c r="AI112" s="69"/>
      <c r="AJ112" s="357"/>
      <c r="AK112" s="357"/>
      <c r="AL112" s="69"/>
      <c r="AM112" s="357"/>
      <c r="AN112" s="357"/>
      <c r="AO112" s="69"/>
      <c r="AP112" s="357"/>
      <c r="AQ112" s="357"/>
      <c r="AR112" s="69"/>
      <c r="AS112" s="357"/>
      <c r="AT112" s="357"/>
      <c r="AU112" s="357"/>
    </row>
    <row r="113" spans="1:47" outlineLevel="1">
      <c r="B113" s="253" t="s">
        <v>232</v>
      </c>
      <c r="C113" s="40"/>
      <c r="D113" s="40"/>
      <c r="E113" s="11"/>
      <c r="F113" s="292"/>
      <c r="G113" s="290"/>
      <c r="H113" s="11"/>
      <c r="I113" s="292"/>
      <c r="J113" s="290"/>
      <c r="K113" s="69"/>
      <c r="L113" s="357"/>
      <c r="M113" s="357"/>
      <c r="N113" s="69">
        <f t="shared" si="481"/>
        <v>0</v>
      </c>
      <c r="O113" s="357"/>
      <c r="P113" s="357"/>
      <c r="Q113" s="69">
        <f t="shared" si="482"/>
        <v>0</v>
      </c>
      <c r="R113" s="357"/>
      <c r="S113" s="357"/>
      <c r="T113" s="69">
        <f t="shared" si="483"/>
        <v>0</v>
      </c>
      <c r="U113" s="357"/>
      <c r="V113" s="357"/>
      <c r="W113" s="69">
        <f t="shared" si="484"/>
        <v>0</v>
      </c>
      <c r="X113" s="357"/>
      <c r="Y113" s="357"/>
      <c r="Z113" s="69">
        <f t="shared" si="485"/>
        <v>0</v>
      </c>
      <c r="AA113" s="357"/>
      <c r="AB113" s="357"/>
      <c r="AC113" s="69">
        <f t="shared" si="486"/>
        <v>0</v>
      </c>
      <c r="AD113" s="357"/>
      <c r="AE113" s="357"/>
      <c r="AF113" s="69">
        <f t="shared" si="487"/>
        <v>0</v>
      </c>
      <c r="AG113" s="357"/>
      <c r="AH113" s="357"/>
      <c r="AI113" s="69"/>
      <c r="AJ113" s="357"/>
      <c r="AK113" s="357"/>
      <c r="AL113" s="69"/>
      <c r="AM113" s="357"/>
      <c r="AN113" s="357"/>
      <c r="AO113" s="69"/>
      <c r="AP113" s="357"/>
      <c r="AQ113" s="357"/>
      <c r="AR113" s="69"/>
      <c r="AS113" s="357"/>
      <c r="AT113" s="357"/>
      <c r="AU113" s="357"/>
    </row>
    <row r="114" spans="1:47" outlineLevel="1">
      <c r="B114" s="225" t="s">
        <v>237</v>
      </c>
      <c r="C114" s="23"/>
      <c r="D114" s="23"/>
      <c r="E114" s="11"/>
      <c r="F114" s="265"/>
      <c r="G114" s="265"/>
      <c r="H114" s="11"/>
      <c r="I114" s="265"/>
      <c r="J114" s="265"/>
      <c r="K114" s="69"/>
      <c r="L114" s="318">
        <f t="shared" ref="L114" si="503">SUM(L111:L113)</f>
        <v>0</v>
      </c>
      <c r="M114" s="318">
        <f>SUM(M111:M113)</f>
        <v>0</v>
      </c>
      <c r="N114" s="69">
        <f t="shared" si="481"/>
        <v>0</v>
      </c>
      <c r="O114" s="318">
        <f t="shared" ref="O114" si="504">SUM(O111:O113)</f>
        <v>0</v>
      </c>
      <c r="P114" s="318">
        <f>SUM(P111:P113)</f>
        <v>0</v>
      </c>
      <c r="Q114" s="69">
        <f t="shared" si="482"/>
        <v>0</v>
      </c>
      <c r="R114" s="318">
        <f t="shared" ref="R114" si="505">SUM(R111:R113)</f>
        <v>0</v>
      </c>
      <c r="S114" s="318">
        <f>SUM(S111:S113)</f>
        <v>0</v>
      </c>
      <c r="T114" s="69">
        <f t="shared" si="483"/>
        <v>0</v>
      </c>
      <c r="U114" s="318">
        <f t="shared" ref="U114" si="506">SUM(U111:U113)</f>
        <v>0</v>
      </c>
      <c r="V114" s="318">
        <f>SUM(V111:V113)</f>
        <v>0</v>
      </c>
      <c r="W114" s="69">
        <f t="shared" si="484"/>
        <v>0</v>
      </c>
      <c r="X114" s="318">
        <f t="shared" ref="X114" si="507">SUM(X111:X113)</f>
        <v>0</v>
      </c>
      <c r="Y114" s="318">
        <f>SUM(Y111:Y113)</f>
        <v>0</v>
      </c>
      <c r="Z114" s="69">
        <f t="shared" si="485"/>
        <v>0</v>
      </c>
      <c r="AA114" s="318">
        <f t="shared" ref="AA114" si="508">SUM(AA111:AA113)</f>
        <v>0</v>
      </c>
      <c r="AB114" s="318">
        <f>SUM(AB111:AB113)</f>
        <v>0</v>
      </c>
      <c r="AC114" s="69">
        <f t="shared" si="486"/>
        <v>2.1999999999999999E-2</v>
      </c>
      <c r="AD114" s="318">
        <f t="shared" ref="AD114" si="509">SUM(AD111:AD113)</f>
        <v>2.1999999999999999E-2</v>
      </c>
      <c r="AE114" s="318">
        <f>SUM(AE111:AE113)</f>
        <v>0</v>
      </c>
      <c r="AF114" s="69">
        <f t="shared" si="487"/>
        <v>4.8000000000000001E-2</v>
      </c>
      <c r="AG114" s="318">
        <f t="shared" ref="AG114" si="510">SUM(AG111:AG113)</f>
        <v>4.8000000000000001E-2</v>
      </c>
      <c r="AH114" s="318">
        <f>SUM(AH111:AH113)</f>
        <v>1.4999999999999999E-2</v>
      </c>
      <c r="AI114" s="69">
        <f t="shared" si="496"/>
        <v>0.13</v>
      </c>
      <c r="AJ114" s="318">
        <f t="shared" ref="AJ114:AU114" si="511">SUM(AJ111:AJ113)</f>
        <v>0.14499999999999999</v>
      </c>
      <c r="AK114" s="318">
        <f>SUM(AK111:AK113)</f>
        <v>0</v>
      </c>
      <c r="AL114" s="69">
        <f t="shared" si="498"/>
        <v>0</v>
      </c>
      <c r="AM114" s="318">
        <f t="shared" si="511"/>
        <v>0</v>
      </c>
      <c r="AN114" s="318">
        <f t="shared" ref="AN114" si="512">SUM(AN111:AN113)</f>
        <v>0</v>
      </c>
      <c r="AO114" s="69">
        <f t="shared" ref="AO114" si="513">+AP114-AN114</f>
        <v>0</v>
      </c>
      <c r="AP114" s="318">
        <f t="shared" ref="AP114" si="514">SUM(AP111:AP113)</f>
        <v>0</v>
      </c>
      <c r="AQ114" s="318">
        <f>SUM(AQ111:AQ113)</f>
        <v>0</v>
      </c>
      <c r="AR114" s="69">
        <f t="shared" ref="AR114" si="515">+AS114-AQ114</f>
        <v>0</v>
      </c>
      <c r="AS114" s="318">
        <f t="shared" si="511"/>
        <v>0</v>
      </c>
      <c r="AT114" s="318">
        <f t="shared" si="511"/>
        <v>0</v>
      </c>
      <c r="AU114" s="318">
        <f t="shared" si="511"/>
        <v>0</v>
      </c>
    </row>
    <row r="115" spans="1:47">
      <c r="B115" s="225" t="s">
        <v>394</v>
      </c>
      <c r="C115" s="7"/>
      <c r="D115" s="7"/>
      <c r="E115" s="11"/>
      <c r="F115" s="292"/>
      <c r="G115" s="290"/>
      <c r="H115" s="11"/>
      <c r="I115" s="292"/>
      <c r="J115" s="290"/>
      <c r="K115" s="69"/>
      <c r="L115" s="357">
        <v>0</v>
      </c>
      <c r="M115" s="357">
        <v>0</v>
      </c>
      <c r="N115" s="69">
        <f t="shared" si="481"/>
        <v>0</v>
      </c>
      <c r="O115" s="357">
        <v>0</v>
      </c>
      <c r="P115" s="357">
        <v>0</v>
      </c>
      <c r="Q115" s="69">
        <f t="shared" si="482"/>
        <v>0.18</v>
      </c>
      <c r="R115" s="357">
        <v>0.18</v>
      </c>
      <c r="S115" s="357">
        <v>5.6000000000000001E-2</v>
      </c>
      <c r="T115" s="69">
        <f t="shared" si="483"/>
        <v>3.2669999999999999</v>
      </c>
      <c r="U115" s="357">
        <f>0.055+3.268</f>
        <v>3.323</v>
      </c>
      <c r="V115" s="357">
        <v>8.3000000000000004E-2</v>
      </c>
      <c r="W115" s="69">
        <f t="shared" si="484"/>
        <v>-3.0000000000000027E-3</v>
      </c>
      <c r="X115" s="357">
        <v>0.08</v>
      </c>
      <c r="Y115" s="357">
        <v>6.5000000000000002E-2</v>
      </c>
      <c r="Z115" s="69">
        <f t="shared" si="485"/>
        <v>2.0000000000000018E-3</v>
      </c>
      <c r="AA115" s="357">
        <v>6.7000000000000004E-2</v>
      </c>
      <c r="AB115" s="357">
        <v>6.8000000000000005E-2</v>
      </c>
      <c r="AC115" s="69">
        <f t="shared" si="486"/>
        <v>2.2999999999999993E-2</v>
      </c>
      <c r="AD115" s="357">
        <v>9.0999999999999998E-2</v>
      </c>
      <c r="AE115" s="357">
        <v>0.21299999999999999</v>
      </c>
      <c r="AF115" s="69">
        <f t="shared" si="487"/>
        <v>0.22800000000000001</v>
      </c>
      <c r="AG115" s="357">
        <v>0.441</v>
      </c>
      <c r="AH115" s="357">
        <v>5.0999999999999997E-2</v>
      </c>
      <c r="AI115" s="69"/>
      <c r="AJ115" s="357">
        <v>5.2999999999999999E-2</v>
      </c>
      <c r="AK115" s="357"/>
      <c r="AL115" s="69"/>
      <c r="AM115" s="357"/>
      <c r="AN115" s="357"/>
      <c r="AO115" s="69"/>
      <c r="AP115" s="357"/>
      <c r="AQ115" s="357"/>
      <c r="AR115" s="69"/>
      <c r="AS115" s="357"/>
      <c r="AT115" s="357"/>
      <c r="AU115" s="357"/>
    </row>
    <row r="116" spans="1:47" s="15" customFormat="1">
      <c r="A116" s="217"/>
      <c r="B116" s="226" t="s">
        <v>414</v>
      </c>
      <c r="C116" s="3"/>
      <c r="D116" s="3"/>
      <c r="E116" s="11"/>
      <c r="F116" s="287"/>
      <c r="G116" s="265"/>
      <c r="H116" s="11"/>
      <c r="I116" s="287"/>
      <c r="J116" s="265"/>
      <c r="K116" s="74"/>
      <c r="L116" s="342">
        <f t="shared" ref="L116" si="516">SUM(L107,L110,L114,L115)</f>
        <v>0</v>
      </c>
      <c r="M116" s="342">
        <f>SUM(M107,M110,M114,M115)</f>
        <v>0</v>
      </c>
      <c r="N116" s="74">
        <f>+O116-M116</f>
        <v>0</v>
      </c>
      <c r="O116" s="342">
        <f t="shared" ref="O116" si="517">SUM(O107,O110,O114,O115)</f>
        <v>0</v>
      </c>
      <c r="P116" s="342">
        <f>SUM(P107,P110,P114,P115)</f>
        <v>0</v>
      </c>
      <c r="Q116" s="74">
        <f>+R116-P116</f>
        <v>-2.694</v>
      </c>
      <c r="R116" s="342">
        <f t="shared" ref="R116" si="518">SUM(R107,R110,R114,R115)</f>
        <v>-2.694</v>
      </c>
      <c r="S116" s="342">
        <f>SUM(S107,S110,S114,S115)</f>
        <v>5.6000000000000001E-2</v>
      </c>
      <c r="T116" s="74">
        <f>+U116-S116</f>
        <v>3.2669999999999999</v>
      </c>
      <c r="U116" s="342">
        <f t="shared" ref="U116" si="519">SUM(U107,U110,U114,U115)</f>
        <v>3.323</v>
      </c>
      <c r="V116" s="342">
        <f>SUM(V107,V110,V114,V115)</f>
        <v>8.3000000000000004E-2</v>
      </c>
      <c r="W116" s="74">
        <f>+X116-V116</f>
        <v>-3.0000000000000027E-3</v>
      </c>
      <c r="X116" s="342">
        <f t="shared" ref="X116" si="520">SUM(X107,X110,X114,X115)</f>
        <v>0.08</v>
      </c>
      <c r="Y116" s="342">
        <f>SUM(Y107,Y110,Y114,Y115)</f>
        <v>6.5000000000000002E-2</v>
      </c>
      <c r="Z116" s="74">
        <f>+AA116-Y116</f>
        <v>-2.8809999999999998</v>
      </c>
      <c r="AA116" s="342">
        <f t="shared" ref="AA116" si="521">SUM(AA107,AA110,AA114,AA115)</f>
        <v>-2.8159999999999998</v>
      </c>
      <c r="AB116" s="342">
        <f>SUM(AB107,AB110,AB114,AB115)</f>
        <v>-3.7250000000000001</v>
      </c>
      <c r="AC116" s="74">
        <f>+AD116-AB116</f>
        <v>0.25700000000000012</v>
      </c>
      <c r="AD116" s="342">
        <f t="shared" ref="AD116" si="522">SUM(AD107,AD110,AD114,AD115)</f>
        <v>-3.468</v>
      </c>
      <c r="AE116" s="342">
        <f>SUM(AE107,AE110,AE114,AE115)</f>
        <v>-18.512</v>
      </c>
      <c r="AF116" s="74">
        <f>+AG116-AE116</f>
        <v>0.27599999999999625</v>
      </c>
      <c r="AG116" s="342">
        <f t="shared" ref="AG116" si="523">SUM(AG107,AG110,AG114,AG115)</f>
        <v>-18.236000000000004</v>
      </c>
      <c r="AH116" s="342">
        <f>SUM(AH107,AH110,AH114,AH115)</f>
        <v>-0.33500000000000002</v>
      </c>
      <c r="AI116" s="74">
        <f>+AJ116-AH116</f>
        <v>-3.14</v>
      </c>
      <c r="AJ116" s="342">
        <f t="shared" ref="AJ116:AU116" si="524">SUM(AJ107,AJ110,AJ114,AJ115)</f>
        <v>-3.4750000000000001</v>
      </c>
      <c r="AK116" s="342">
        <f>SUM(AK107,AK110,AK114,AK115)</f>
        <v>0</v>
      </c>
      <c r="AL116" s="74">
        <f>+AM116-AK116</f>
        <v>-0.185</v>
      </c>
      <c r="AM116" s="342">
        <f t="shared" si="524"/>
        <v>-0.185</v>
      </c>
      <c r="AN116" s="342">
        <f t="shared" ref="AN116" si="525">SUM(AN107,AN110,AN114,AN115)</f>
        <v>-8.1000000000000003E-2</v>
      </c>
      <c r="AO116" s="74">
        <f>+AP116-AN116</f>
        <v>0</v>
      </c>
      <c r="AP116" s="342">
        <f t="shared" ref="AP116" si="526">SUM(AP107,AP110,AP114,AP115)</f>
        <v>-8.1000000000000003E-2</v>
      </c>
      <c r="AQ116" s="342">
        <f>SUM(AQ107,AQ110,AQ114,AQ115)</f>
        <v>0</v>
      </c>
      <c r="AR116" s="74">
        <f>+AS116-AQ116</f>
        <v>0</v>
      </c>
      <c r="AS116" s="342">
        <f t="shared" si="524"/>
        <v>0</v>
      </c>
      <c r="AT116" s="342">
        <f t="shared" si="524"/>
        <v>0</v>
      </c>
      <c r="AU116" s="342">
        <f t="shared" si="524"/>
        <v>0</v>
      </c>
    </row>
    <row r="117" spans="1:47">
      <c r="B117" s="225" t="s">
        <v>417</v>
      </c>
      <c r="C117" s="7"/>
      <c r="D117" s="7"/>
      <c r="E117" s="11"/>
      <c r="F117" s="292"/>
      <c r="G117" s="290"/>
      <c r="H117" s="11"/>
      <c r="I117" s="292"/>
      <c r="J117" s="290"/>
      <c r="K117" s="69"/>
      <c r="L117" s="359">
        <v>-5.6619999999999999</v>
      </c>
      <c r="M117" s="357">
        <v>0.21099999999999999</v>
      </c>
      <c r="N117" s="69">
        <f t="shared" ref="N117:N122" si="527">+O117-M117</f>
        <v>0.30100000000000005</v>
      </c>
      <c r="O117" s="359">
        <v>0.51200000000000001</v>
      </c>
      <c r="P117" s="357">
        <v>0.19500000000000001</v>
      </c>
      <c r="Q117" s="69">
        <f t="shared" ref="Q117:Q122" si="528">+R117-P117</f>
        <v>-0.21800000000000003</v>
      </c>
      <c r="R117" s="359">
        <f>0.245-0.268</f>
        <v>-2.300000000000002E-2</v>
      </c>
      <c r="S117" s="357">
        <v>-0.70599999999999996</v>
      </c>
      <c r="T117" s="69">
        <f t="shared" ref="T117:T122" si="529">+U117-S117</f>
        <v>0.18500000000000005</v>
      </c>
      <c r="U117" s="359">
        <f>0.185-0.706</f>
        <v>-0.52099999999999991</v>
      </c>
      <c r="V117" s="357">
        <v>0.05</v>
      </c>
      <c r="W117" s="69">
        <f t="shared" ref="W117:W122" si="530">+X117-V117</f>
        <v>0.39500000000000002</v>
      </c>
      <c r="X117" s="359">
        <v>0.44500000000000001</v>
      </c>
      <c r="Y117" s="357">
        <f>0.045-0.021</f>
        <v>2.3999999999999997E-2</v>
      </c>
      <c r="Z117" s="69">
        <f t="shared" ref="Z117:Z122" si="531">+AA117-Y117</f>
        <v>-1.4999999999999996E-2</v>
      </c>
      <c r="AA117" s="359">
        <f>0.045-0.036</f>
        <v>9.0000000000000011E-3</v>
      </c>
      <c r="AB117" s="357">
        <v>0.45400000000000001</v>
      </c>
      <c r="AC117" s="69">
        <f t="shared" ref="AC117:AC122" si="532">+AD117-AB117</f>
        <v>-0.53100000000000003</v>
      </c>
      <c r="AD117" s="359">
        <f>0.425-0.502</f>
        <v>-7.7000000000000013E-2</v>
      </c>
      <c r="AE117" s="357">
        <v>0.45</v>
      </c>
      <c r="AF117" s="69">
        <f t="shared" ref="AF117" si="533">+AG117-AE117</f>
        <v>1.0450000000000002</v>
      </c>
      <c r="AG117" s="359">
        <v>1.4950000000000001</v>
      </c>
      <c r="AH117" s="357">
        <v>1.0449999999999999</v>
      </c>
      <c r="AI117" s="69"/>
      <c r="AJ117" s="357">
        <v>1.1870000000000001</v>
      </c>
      <c r="AK117" s="357"/>
      <c r="AL117" s="69"/>
      <c r="AM117" s="357">
        <f>0.69-1.239</f>
        <v>-0.54900000000000015</v>
      </c>
      <c r="AN117" s="357">
        <f>0.624-1.021</f>
        <v>-0.39699999999999991</v>
      </c>
      <c r="AO117" s="69">
        <f>AP117-AN117</f>
        <v>-1.4239999999999999</v>
      </c>
      <c r="AP117" s="357">
        <f>-2.484-0.098+0.761</f>
        <v>-1.8209999999999997</v>
      </c>
      <c r="AQ117" s="357"/>
      <c r="AR117" s="69"/>
      <c r="AS117" s="357"/>
      <c r="AT117" s="357"/>
      <c r="AU117" s="357"/>
    </row>
    <row r="118" spans="1:47">
      <c r="B118" s="225" t="s">
        <v>418</v>
      </c>
      <c r="C118" s="7"/>
      <c r="D118" s="7"/>
      <c r="E118" s="11"/>
      <c r="F118" s="292"/>
      <c r="G118" s="290"/>
      <c r="H118" s="11"/>
      <c r="I118" s="292"/>
      <c r="J118" s="290"/>
      <c r="K118" s="90"/>
      <c r="L118" s="357"/>
      <c r="M118" s="357"/>
      <c r="N118" s="90">
        <f t="shared" si="527"/>
        <v>0</v>
      </c>
      <c r="O118" s="357"/>
      <c r="P118" s="357"/>
      <c r="Q118" s="90">
        <f t="shared" si="528"/>
        <v>0</v>
      </c>
      <c r="R118" s="357"/>
      <c r="S118" s="357"/>
      <c r="T118" s="90">
        <f t="shared" si="529"/>
        <v>0</v>
      </c>
      <c r="U118" s="357"/>
      <c r="V118" s="357"/>
      <c r="W118" s="90">
        <f t="shared" si="530"/>
        <v>0</v>
      </c>
      <c r="X118" s="357"/>
      <c r="Y118" s="357"/>
      <c r="Z118" s="90">
        <f t="shared" si="531"/>
        <v>0</v>
      </c>
      <c r="AA118" s="357"/>
      <c r="AB118" s="357"/>
      <c r="AC118" s="90">
        <f t="shared" si="532"/>
        <v>0</v>
      </c>
      <c r="AD118" s="357"/>
      <c r="AE118" s="357"/>
      <c r="AF118" s="90">
        <f t="shared" ref="AF118:AF124" si="534">+AG118-AE118</f>
        <v>0</v>
      </c>
      <c r="AG118" s="357"/>
      <c r="AH118" s="357"/>
      <c r="AI118" s="90"/>
      <c r="AJ118" s="357"/>
      <c r="AK118" s="357"/>
      <c r="AL118" s="90"/>
      <c r="AM118" s="357"/>
      <c r="AN118" s="357"/>
      <c r="AO118" s="90"/>
      <c r="AP118" s="357"/>
      <c r="AQ118" s="357"/>
      <c r="AR118" s="90"/>
      <c r="AS118" s="357"/>
      <c r="AT118" s="357"/>
      <c r="AU118" s="357"/>
    </row>
    <row r="119" spans="1:47">
      <c r="B119" s="225" t="s">
        <v>419</v>
      </c>
      <c r="C119" s="7"/>
      <c r="D119" s="7"/>
      <c r="E119" s="11"/>
      <c r="F119" s="292"/>
      <c r="G119" s="290"/>
      <c r="H119" s="11"/>
      <c r="I119" s="292"/>
      <c r="J119" s="290"/>
      <c r="K119" s="69"/>
      <c r="L119" s="357"/>
      <c r="M119" s="357"/>
      <c r="N119" s="69">
        <f t="shared" si="527"/>
        <v>0</v>
      </c>
      <c r="O119" s="357"/>
      <c r="P119" s="357"/>
      <c r="Q119" s="69">
        <f t="shared" si="528"/>
        <v>0</v>
      </c>
      <c r="R119" s="357"/>
      <c r="S119" s="357"/>
      <c r="T119" s="69">
        <f t="shared" si="529"/>
        <v>0</v>
      </c>
      <c r="U119" s="357"/>
      <c r="V119" s="357"/>
      <c r="W119" s="69">
        <f t="shared" si="530"/>
        <v>0</v>
      </c>
      <c r="X119" s="357"/>
      <c r="Y119" s="357"/>
      <c r="Z119" s="69">
        <f t="shared" si="531"/>
        <v>0</v>
      </c>
      <c r="AA119" s="357"/>
      <c r="AB119" s="357"/>
      <c r="AC119" s="69">
        <f t="shared" si="532"/>
        <v>0</v>
      </c>
      <c r="AD119" s="357"/>
      <c r="AE119" s="357"/>
      <c r="AF119" s="69">
        <f t="shared" si="534"/>
        <v>0</v>
      </c>
      <c r="AG119" s="357"/>
      <c r="AH119" s="357"/>
      <c r="AI119" s="69"/>
      <c r="AJ119" s="357"/>
      <c r="AK119" s="357"/>
      <c r="AL119" s="69"/>
      <c r="AM119" s="357"/>
      <c r="AN119" s="357"/>
      <c r="AO119" s="69"/>
      <c r="AP119" s="357"/>
      <c r="AQ119" s="357"/>
      <c r="AR119" s="69"/>
      <c r="AS119" s="357"/>
      <c r="AT119" s="357"/>
      <c r="AU119" s="357"/>
    </row>
    <row r="120" spans="1:47">
      <c r="B120" s="227" t="s">
        <v>420</v>
      </c>
      <c r="C120" s="7"/>
      <c r="D120" s="7"/>
      <c r="E120" s="11"/>
      <c r="F120" s="292"/>
      <c r="G120" s="290"/>
      <c r="H120" s="11"/>
      <c r="I120" s="292"/>
      <c r="J120" s="290"/>
      <c r="K120" s="69"/>
      <c r="L120" s="357">
        <v>0</v>
      </c>
      <c r="M120" s="357">
        <v>0</v>
      </c>
      <c r="N120" s="69">
        <f t="shared" si="527"/>
        <v>0</v>
      </c>
      <c r="O120" s="357">
        <v>0</v>
      </c>
      <c r="P120" s="357">
        <v>0</v>
      </c>
      <c r="Q120" s="69">
        <f t="shared" si="528"/>
        <v>0</v>
      </c>
      <c r="R120" s="357">
        <v>0</v>
      </c>
      <c r="S120" s="357">
        <v>0</v>
      </c>
      <c r="T120" s="69">
        <f t="shared" si="529"/>
        <v>0</v>
      </c>
      <c r="U120" s="357">
        <v>0</v>
      </c>
      <c r="V120" s="357">
        <v>0</v>
      </c>
      <c r="W120" s="69">
        <f t="shared" si="530"/>
        <v>0</v>
      </c>
      <c r="X120" s="357">
        <v>0</v>
      </c>
      <c r="Y120" s="357">
        <v>-0.71499999999999997</v>
      </c>
      <c r="Z120" s="69">
        <f t="shared" si="531"/>
        <v>-0.77300000000000002</v>
      </c>
      <c r="AA120" s="357">
        <v>-1.488</v>
      </c>
      <c r="AB120" s="357">
        <v>-0.89300000000000002</v>
      </c>
      <c r="AC120" s="69">
        <f t="shared" si="532"/>
        <v>-1.115</v>
      </c>
      <c r="AD120" s="357">
        <v>-2.008</v>
      </c>
      <c r="AE120" s="357">
        <v>-1.4159999999999999</v>
      </c>
      <c r="AF120" s="69">
        <f t="shared" si="534"/>
        <v>-1.5110000000000001</v>
      </c>
      <c r="AG120" s="357">
        <v>-2.927</v>
      </c>
      <c r="AH120" s="357">
        <v>-1.5309999999999999</v>
      </c>
      <c r="AI120" s="72">
        <f>+AJ120-AH120</f>
        <v>-1.6130000000000002</v>
      </c>
      <c r="AJ120" s="359">
        <v>-3.1440000000000001</v>
      </c>
      <c r="AK120" s="303">
        <f>+AI120</f>
        <v>-1.6130000000000002</v>
      </c>
      <c r="AL120" s="72">
        <f>+AK120</f>
        <v>-1.6130000000000002</v>
      </c>
      <c r="AM120" s="359">
        <v>-3.1619999999999999</v>
      </c>
      <c r="AN120" s="359">
        <f>-0.067-1.226</f>
        <v>-1.2929999999999999</v>
      </c>
      <c r="AO120" s="72">
        <f>+AN120</f>
        <v>-1.2929999999999999</v>
      </c>
      <c r="AP120" s="359">
        <v>-2.5430000000000001</v>
      </c>
      <c r="AQ120" s="303">
        <f>+AO120</f>
        <v>-1.2929999999999999</v>
      </c>
      <c r="AR120" s="72">
        <f>+AQ120</f>
        <v>-1.2929999999999999</v>
      </c>
      <c r="AS120" s="305">
        <f>+AP120</f>
        <v>-2.5430000000000001</v>
      </c>
      <c r="AT120" s="305">
        <f t="shared" ref="AT120:AU120" si="535">+AS120</f>
        <v>-2.5430000000000001</v>
      </c>
      <c r="AU120" s="305">
        <f t="shared" si="535"/>
        <v>-2.5430000000000001</v>
      </c>
    </row>
    <row r="121" spans="1:47">
      <c r="B121" s="226" t="s">
        <v>415</v>
      </c>
      <c r="C121" s="11"/>
      <c r="D121" s="11"/>
      <c r="E121" s="11"/>
      <c r="F121" s="287"/>
      <c r="G121" s="289"/>
      <c r="H121" s="11"/>
      <c r="I121" s="287"/>
      <c r="J121" s="289"/>
      <c r="K121" s="74"/>
      <c r="L121" s="342">
        <f>L106+SUM(L116:L120)</f>
        <v>-2.9890000000000003</v>
      </c>
      <c r="M121" s="342">
        <f>M106+SUM(M116:M120)</f>
        <v>2.3290000000000002</v>
      </c>
      <c r="N121" s="74">
        <f t="shared" si="527"/>
        <v>3.1030000000000002</v>
      </c>
      <c r="O121" s="342">
        <f>O106+SUM(O116:O120)</f>
        <v>5.4320000000000004</v>
      </c>
      <c r="P121" s="342">
        <f>P106+SUM(P116:P120)</f>
        <v>-0.42299999999999988</v>
      </c>
      <c r="Q121" s="74">
        <f t="shared" si="528"/>
        <v>-7.6850000000000005</v>
      </c>
      <c r="R121" s="342">
        <f>R106+SUM(R116:R120)</f>
        <v>-8.1080000000000005</v>
      </c>
      <c r="S121" s="342">
        <f>S106+SUM(S116:S120)</f>
        <v>-1.8300000000000005</v>
      </c>
      <c r="T121" s="74">
        <f t="shared" si="529"/>
        <v>6.2040000000000006</v>
      </c>
      <c r="U121" s="342">
        <f>U106+SUM(U116:U120)</f>
        <v>4.3739999999999997</v>
      </c>
      <c r="V121" s="342">
        <f>V106+SUM(V116:V120)</f>
        <v>3.8679999999999986</v>
      </c>
      <c r="W121" s="74">
        <f t="shared" si="530"/>
        <v>0.96400000000000219</v>
      </c>
      <c r="X121" s="342">
        <f>X106+SUM(X116:X120)</f>
        <v>4.8320000000000007</v>
      </c>
      <c r="Y121" s="342">
        <f>Y106+SUM(Y116:Y120)</f>
        <v>7.883</v>
      </c>
      <c r="Z121" s="74">
        <f t="shared" si="531"/>
        <v>5.2760000000000007</v>
      </c>
      <c r="AA121" s="342">
        <f>AA106+SUM(AA116:AA120)</f>
        <v>13.159000000000001</v>
      </c>
      <c r="AB121" s="342">
        <f>AB106+SUM(AB116:AB120)</f>
        <v>-0.86600000000000055</v>
      </c>
      <c r="AC121" s="74">
        <f t="shared" si="532"/>
        <v>17.654</v>
      </c>
      <c r="AD121" s="342">
        <f>AD106+SUM(AD116:AD120)</f>
        <v>16.788</v>
      </c>
      <c r="AE121" s="342">
        <f>AE106+SUM(AE116:AE120)</f>
        <v>-23.179000000000002</v>
      </c>
      <c r="AF121" s="74">
        <f t="shared" si="534"/>
        <v>20.526</v>
      </c>
      <c r="AG121" s="342">
        <f>AG106+SUM(AG116:AG120)</f>
        <v>-2.6530000000000022</v>
      </c>
      <c r="AH121" s="342">
        <f>AH106+SUM(AH116:AH120)</f>
        <v>-4.6449999999999996</v>
      </c>
      <c r="AI121" s="74">
        <f t="shared" ref="AI121:AI124" si="536">+AJ121-AH121</f>
        <v>20.080999999999996</v>
      </c>
      <c r="AJ121" s="342">
        <f>AJ106+SUM(AJ116:AJ120)</f>
        <v>15.435999999999998</v>
      </c>
      <c r="AK121" s="342">
        <f>AK106+SUM(AK116:AK120)</f>
        <v>-7.9991729799999973</v>
      </c>
      <c r="AL121" s="74">
        <f t="shared" ref="AL121:AL124" si="537">+AM121-AK121</f>
        <v>16.569172979999998</v>
      </c>
      <c r="AM121" s="342">
        <f t="shared" ref="AM121:AU121" si="538">AM106+SUM(AM116:AM120)</f>
        <v>8.57</v>
      </c>
      <c r="AN121" s="342">
        <f t="shared" ref="AN121" si="539">AN106+SUM(AN116:AN120)</f>
        <v>-5.5659999999999981</v>
      </c>
      <c r="AO121" s="74">
        <f t="shared" ref="AO121:AO122" si="540">+AP121-AN121</f>
        <v>29.019999999999996</v>
      </c>
      <c r="AP121" s="342">
        <f t="shared" ref="AP121" si="541">AP106+SUM(AP116:AP120)</f>
        <v>23.453999999999997</v>
      </c>
      <c r="AQ121" s="342">
        <f>AQ106+SUM(AQ116:AQ120)</f>
        <v>-4.8230952014473774</v>
      </c>
      <c r="AR121" s="74">
        <f t="shared" ref="AR121:AR122" si="542">+AS121-AQ121</f>
        <v>16.281795733021738</v>
      </c>
      <c r="AS121" s="342">
        <f t="shared" si="538"/>
        <v>11.458700531574362</v>
      </c>
      <c r="AT121" s="342">
        <f t="shared" si="538"/>
        <v>22.601170565326981</v>
      </c>
      <c r="AU121" s="342">
        <f t="shared" si="538"/>
        <v>27.174842250905392</v>
      </c>
    </row>
    <row r="122" spans="1:47">
      <c r="B122" s="225" t="s">
        <v>308</v>
      </c>
      <c r="C122" s="60"/>
      <c r="D122" s="60"/>
      <c r="E122" s="61"/>
      <c r="F122" s="300"/>
      <c r="G122" s="300"/>
      <c r="H122" s="61"/>
      <c r="I122" s="300"/>
      <c r="J122" s="300"/>
      <c r="K122" s="414"/>
      <c r="L122" s="361">
        <v>0</v>
      </c>
      <c r="M122" s="361">
        <v>0</v>
      </c>
      <c r="N122" s="414">
        <f t="shared" si="527"/>
        <v>0</v>
      </c>
      <c r="O122" s="361">
        <v>0</v>
      </c>
      <c r="P122" s="361">
        <v>0</v>
      </c>
      <c r="Q122" s="414">
        <f t="shared" si="528"/>
        <v>0</v>
      </c>
      <c r="R122" s="361">
        <v>0</v>
      </c>
      <c r="S122" s="361">
        <v>0</v>
      </c>
      <c r="T122" s="414">
        <f t="shared" si="529"/>
        <v>0</v>
      </c>
      <c r="U122" s="361">
        <v>0</v>
      </c>
      <c r="V122" s="361">
        <v>0</v>
      </c>
      <c r="W122" s="414">
        <f t="shared" si="530"/>
        <v>0</v>
      </c>
      <c r="X122" s="361">
        <v>0</v>
      </c>
      <c r="Y122" s="361">
        <v>0</v>
      </c>
      <c r="Z122" s="414">
        <f t="shared" si="531"/>
        <v>0</v>
      </c>
      <c r="AA122" s="361">
        <v>0</v>
      </c>
      <c r="AB122" s="361">
        <v>0</v>
      </c>
      <c r="AC122" s="414">
        <f t="shared" si="532"/>
        <v>0</v>
      </c>
      <c r="AD122" s="361">
        <v>0</v>
      </c>
      <c r="AE122" s="361">
        <v>0</v>
      </c>
      <c r="AF122" s="414">
        <f t="shared" si="534"/>
        <v>0</v>
      </c>
      <c r="AG122" s="361">
        <v>0</v>
      </c>
      <c r="AH122" s="361">
        <v>0</v>
      </c>
      <c r="AI122" s="414">
        <f t="shared" si="536"/>
        <v>0</v>
      </c>
      <c r="AJ122" s="361">
        <v>0</v>
      </c>
      <c r="AK122" s="361">
        <v>0</v>
      </c>
      <c r="AL122" s="414">
        <f t="shared" si="537"/>
        <v>0</v>
      </c>
      <c r="AM122" s="361">
        <v>0</v>
      </c>
      <c r="AN122" s="361">
        <v>0</v>
      </c>
      <c r="AO122" s="414">
        <f t="shared" si="540"/>
        <v>0</v>
      </c>
      <c r="AP122" s="361">
        <v>0</v>
      </c>
      <c r="AQ122" s="361">
        <v>0</v>
      </c>
      <c r="AR122" s="414">
        <f t="shared" si="542"/>
        <v>0</v>
      </c>
      <c r="AS122" s="361">
        <v>0</v>
      </c>
      <c r="AT122" s="361">
        <v>0</v>
      </c>
      <c r="AU122" s="361">
        <v>0</v>
      </c>
    </row>
    <row r="123" spans="1:47">
      <c r="B123" s="227" t="s">
        <v>855</v>
      </c>
      <c r="C123" s="63"/>
      <c r="D123" s="63"/>
      <c r="E123" s="61"/>
      <c r="F123" s="302"/>
      <c r="G123" s="302"/>
      <c r="H123" s="61"/>
      <c r="I123" s="302"/>
      <c r="J123" s="302"/>
      <c r="K123" s="69"/>
      <c r="L123" s="357">
        <v>-4.2000000000000003E-2</v>
      </c>
      <c r="M123" s="357">
        <v>-4.2999999999999997E-2</v>
      </c>
      <c r="N123" s="69">
        <f>+O123-M123</f>
        <v>-0.113</v>
      </c>
      <c r="O123" s="357">
        <v>-0.156</v>
      </c>
      <c r="P123" s="357">
        <v>0.01</v>
      </c>
      <c r="Q123" s="69">
        <f>+R123-P123</f>
        <v>0.22499999999999998</v>
      </c>
      <c r="R123" s="357">
        <v>0.23499999999999999</v>
      </c>
      <c r="S123" s="357">
        <v>8.6999999999999994E-2</v>
      </c>
      <c r="T123" s="69">
        <f>+U123-S123</f>
        <v>1.4999999999999999E-2</v>
      </c>
      <c r="U123" s="357">
        <v>0.10199999999999999</v>
      </c>
      <c r="V123" s="357">
        <v>-0.22600000000000001</v>
      </c>
      <c r="W123" s="69">
        <f>+X123-V123</f>
        <v>3.2000000000000001E-2</v>
      </c>
      <c r="X123" s="357">
        <v>-0.19400000000000001</v>
      </c>
      <c r="Y123" s="357">
        <v>-8.1000000000000003E-2</v>
      </c>
      <c r="Z123" s="69">
        <f>+AA123-Y123</f>
        <v>-1.1999999999999997E-2</v>
      </c>
      <c r="AA123" s="357">
        <v>-9.2999999999999999E-2</v>
      </c>
      <c r="AB123" s="361">
        <v>0.26300000000000001</v>
      </c>
      <c r="AC123" s="69">
        <f>+AD123-AB123</f>
        <v>-0.55899999999999994</v>
      </c>
      <c r="AD123" s="357">
        <v>-0.29599999999999999</v>
      </c>
      <c r="AE123" s="357">
        <v>-0.2</v>
      </c>
      <c r="AF123" s="69">
        <f>+AG123-AE123</f>
        <v>0.16500000000000001</v>
      </c>
      <c r="AG123" s="357">
        <v>-3.5000000000000003E-2</v>
      </c>
      <c r="AH123" s="357">
        <v>0.254</v>
      </c>
      <c r="AI123" s="69"/>
      <c r="AJ123" s="357">
        <v>-2E-3</v>
      </c>
      <c r="AK123" s="318"/>
      <c r="AL123" s="69">
        <f>+AM123-AK123</f>
        <v>0.155</v>
      </c>
      <c r="AM123" s="357">
        <v>0.155</v>
      </c>
      <c r="AN123" s="357">
        <v>0.156</v>
      </c>
      <c r="AO123" s="69">
        <f>+AP123-AN123</f>
        <v>-0.15</v>
      </c>
      <c r="AP123" s="357">
        <v>6.0000000000000001E-3</v>
      </c>
      <c r="AQ123" s="318"/>
      <c r="AR123" s="69"/>
      <c r="AS123" s="318"/>
      <c r="AT123" s="318"/>
      <c r="AU123" s="318"/>
    </row>
    <row r="124" spans="1:47">
      <c r="B124" s="275" t="s">
        <v>416</v>
      </c>
      <c r="C124" s="276"/>
      <c r="D124" s="276"/>
      <c r="E124" s="277"/>
      <c r="F124" s="301"/>
      <c r="G124" s="327"/>
      <c r="H124" s="277"/>
      <c r="I124" s="301"/>
      <c r="J124" s="327"/>
      <c r="K124" s="413"/>
      <c r="L124" s="412">
        <f>SUM(L121:L123)</f>
        <v>-3.0310000000000001</v>
      </c>
      <c r="M124" s="412">
        <f t="shared" ref="M124" si="543">SUM(M121:M123)</f>
        <v>2.286</v>
      </c>
      <c r="N124" s="413">
        <f t="shared" ref="N124" si="544">+O124-M124</f>
        <v>2.9900000000000007</v>
      </c>
      <c r="O124" s="412">
        <f>SUM(O121:O123)</f>
        <v>5.2760000000000007</v>
      </c>
      <c r="P124" s="412">
        <f t="shared" ref="P124" si="545">SUM(P121:P123)</f>
        <v>-0.41299999999999987</v>
      </c>
      <c r="Q124" s="413">
        <f t="shared" ref="Q124" si="546">+R124-P124</f>
        <v>-7.46</v>
      </c>
      <c r="R124" s="412">
        <f>SUM(R121:R123)</f>
        <v>-7.8730000000000002</v>
      </c>
      <c r="S124" s="412">
        <f t="shared" ref="S124" si="547">SUM(S121:S123)</f>
        <v>-1.7430000000000005</v>
      </c>
      <c r="T124" s="413">
        <f t="shared" ref="T124" si="548">+U124-S124</f>
        <v>6.2190000000000003</v>
      </c>
      <c r="U124" s="412">
        <f>SUM(U121:U123)</f>
        <v>4.476</v>
      </c>
      <c r="V124" s="412">
        <f t="shared" ref="V124" si="549">SUM(V121:V123)</f>
        <v>3.6419999999999986</v>
      </c>
      <c r="W124" s="413">
        <f t="shared" ref="W124" si="550">+X124-V124</f>
        <v>0.99600000000000222</v>
      </c>
      <c r="X124" s="412">
        <f>SUM(X121:X123)</f>
        <v>4.6380000000000008</v>
      </c>
      <c r="Y124" s="412">
        <f t="shared" ref="Y124" si="551">SUM(Y121:Y123)</f>
        <v>7.8019999999999996</v>
      </c>
      <c r="Z124" s="413">
        <f t="shared" ref="Z124" si="552">+AA124-Y124</f>
        <v>5.2640000000000011</v>
      </c>
      <c r="AA124" s="412">
        <f>SUM(AA121:AA123)</f>
        <v>13.066000000000001</v>
      </c>
      <c r="AB124" s="412">
        <f t="shared" ref="AB124" si="553">SUM(AB121:AB123)</f>
        <v>-0.60300000000000054</v>
      </c>
      <c r="AC124" s="413">
        <f t="shared" ref="AC124" si="554">+AD124-AB124</f>
        <v>17.095000000000002</v>
      </c>
      <c r="AD124" s="412">
        <f>SUM(AD121:AD123)</f>
        <v>16.492000000000001</v>
      </c>
      <c r="AE124" s="412">
        <f t="shared" ref="AE124" si="555">SUM(AE121:AE123)</f>
        <v>-23.379000000000001</v>
      </c>
      <c r="AF124" s="413">
        <f t="shared" si="534"/>
        <v>20.690999999999999</v>
      </c>
      <c r="AG124" s="412">
        <f>SUM(AG121:AG123)</f>
        <v>-2.6880000000000024</v>
      </c>
      <c r="AH124" s="412">
        <f t="shared" ref="AH124" si="556">SUM(AH121:AH123)</f>
        <v>-4.391</v>
      </c>
      <c r="AI124" s="413">
        <f t="shared" si="536"/>
        <v>19.824999999999996</v>
      </c>
      <c r="AJ124" s="412">
        <f>SUM(AJ121:AJ123)</f>
        <v>15.433999999999997</v>
      </c>
      <c r="AK124" s="412">
        <f>SUM(AK121:AK123)</f>
        <v>-7.9991729799999973</v>
      </c>
      <c r="AL124" s="413">
        <f t="shared" si="537"/>
        <v>16.724172979999999</v>
      </c>
      <c r="AM124" s="412">
        <f t="shared" ref="AM124:AU124" si="557">SUM(AM121:AM123)</f>
        <v>8.7249999999999996</v>
      </c>
      <c r="AN124" s="412">
        <f t="shared" ref="AN124" si="558">SUM(AN121:AN123)</f>
        <v>-5.4099999999999984</v>
      </c>
      <c r="AO124" s="413">
        <f t="shared" ref="AO124" si="559">+AP124-AN124</f>
        <v>28.869999999999997</v>
      </c>
      <c r="AP124" s="412">
        <f t="shared" ref="AP124" si="560">SUM(AP121:AP123)</f>
        <v>23.459999999999997</v>
      </c>
      <c r="AQ124" s="412">
        <f>SUM(AQ121:AQ123)</f>
        <v>-4.8230952014473774</v>
      </c>
      <c r="AR124" s="413">
        <f t="shared" ref="AR124" si="561">+AS124-AQ124</f>
        <v>16.281795733021738</v>
      </c>
      <c r="AS124" s="412">
        <f t="shared" si="557"/>
        <v>11.458700531574362</v>
      </c>
      <c r="AT124" s="412">
        <f t="shared" si="557"/>
        <v>22.601170565326981</v>
      </c>
      <c r="AU124" s="412">
        <f t="shared" si="557"/>
        <v>27.174842250905392</v>
      </c>
    </row>
    <row r="125" spans="1:47">
      <c r="A125" s="407"/>
      <c r="B125" s="19"/>
      <c r="C125" s="63"/>
      <c r="D125" s="63"/>
      <c r="E125" s="61"/>
      <c r="F125" s="302"/>
      <c r="G125" s="302"/>
      <c r="H125" s="61"/>
      <c r="I125" s="302"/>
      <c r="J125" s="302"/>
      <c r="K125" s="61"/>
      <c r="L125" s="302"/>
      <c r="M125" s="302"/>
      <c r="N125" s="61"/>
      <c r="O125" s="302"/>
      <c r="P125" s="302"/>
      <c r="Q125" s="4"/>
      <c r="R125" s="302"/>
      <c r="S125" s="302"/>
      <c r="T125" s="4"/>
      <c r="U125" s="302"/>
      <c r="V125" s="302"/>
      <c r="W125" s="69"/>
      <c r="X125" s="467"/>
      <c r="Y125" s="357"/>
      <c r="Z125" s="69"/>
      <c r="AA125" s="318"/>
      <c r="AB125" s="302"/>
      <c r="AC125" s="69"/>
      <c r="AD125" s="467"/>
      <c r="AE125" s="357"/>
      <c r="AF125" s="69"/>
      <c r="AG125" s="318"/>
      <c r="AH125" s="357"/>
      <c r="AI125" s="69"/>
      <c r="AJ125" s="318"/>
      <c r="AK125" s="318"/>
      <c r="AL125" s="69"/>
      <c r="AM125" s="318"/>
      <c r="AN125" s="318"/>
      <c r="AO125" s="69"/>
      <c r="AP125" s="318"/>
      <c r="AQ125" s="318"/>
      <c r="AR125" s="69"/>
      <c r="AS125" s="318"/>
      <c r="AT125" s="318"/>
      <c r="AU125" s="318"/>
    </row>
    <row r="126" spans="1:47">
      <c r="B126" s="225" t="s">
        <v>1122</v>
      </c>
      <c r="C126" s="19"/>
      <c r="D126" s="19"/>
      <c r="E126" s="19"/>
      <c r="F126" s="227"/>
      <c r="G126" s="227"/>
      <c r="H126" s="19"/>
      <c r="I126" s="227"/>
      <c r="J126" s="227"/>
      <c r="K126" s="19"/>
      <c r="L126" s="294">
        <f t="shared" ref="L126:AU126" si="562">+L104/L9</f>
        <v>0.11724748358411724</v>
      </c>
      <c r="M126" s="294">
        <f t="shared" si="562"/>
        <v>0.21689859178401802</v>
      </c>
      <c r="N126" s="64">
        <f t="shared" si="562"/>
        <v>0.1077869640453759</v>
      </c>
      <c r="O126" s="294">
        <f t="shared" si="562"/>
        <v>0.16015757793908855</v>
      </c>
      <c r="P126" s="294">
        <f t="shared" si="562"/>
        <v>0.12249286811498793</v>
      </c>
      <c r="Q126" s="64">
        <f t="shared" si="562"/>
        <v>-0.17441987940800291</v>
      </c>
      <c r="R126" s="294">
        <f t="shared" si="562"/>
        <v>-3.9521435692921235E-2</v>
      </c>
      <c r="S126" s="294">
        <f t="shared" si="562"/>
        <v>8.2102131879028248E-2</v>
      </c>
      <c r="T126" s="64">
        <f t="shared" si="562"/>
        <v>8.5085332673757133E-2</v>
      </c>
      <c r="U126" s="294">
        <f t="shared" si="562"/>
        <v>8.3643508682247319E-2</v>
      </c>
      <c r="V126" s="294">
        <f t="shared" si="562"/>
        <v>0.24606937109937585</v>
      </c>
      <c r="W126" s="64">
        <f t="shared" si="562"/>
        <v>1.9609159895238783E-2</v>
      </c>
      <c r="X126" s="294">
        <f t="shared" si="562"/>
        <v>0.13920139439074633</v>
      </c>
      <c r="Y126" s="294">
        <f t="shared" si="562"/>
        <v>0.44939312898580536</v>
      </c>
      <c r="Z126" s="64">
        <f t="shared" si="562"/>
        <v>0.27208609472852197</v>
      </c>
      <c r="AA126" s="294">
        <f t="shared" si="562"/>
        <v>0.35541411537222045</v>
      </c>
      <c r="AB126" s="294">
        <f t="shared" si="562"/>
        <v>0.26586883964278196</v>
      </c>
      <c r="AC126" s="64">
        <f t="shared" si="562"/>
        <v>0.5187722589239594</v>
      </c>
      <c r="AD126" s="343">
        <f t="shared" si="562"/>
        <v>0.39868646487721299</v>
      </c>
      <c r="AE126" s="294">
        <f t="shared" si="562"/>
        <v>6.0045195308296564E-2</v>
      </c>
      <c r="AF126" s="64">
        <f t="shared" si="562"/>
        <v>0.42785701055751074</v>
      </c>
      <c r="AG126" s="343">
        <f t="shared" si="562"/>
        <v>0.24806429893957249</v>
      </c>
      <c r="AH126" s="294">
        <f t="shared" si="562"/>
        <v>8.7916468913146667E-2</v>
      </c>
      <c r="AI126" s="64">
        <f t="shared" si="562"/>
        <v>0.458777633289987</v>
      </c>
      <c r="AJ126" s="343">
        <f t="shared" si="562"/>
        <v>0.27535796441481619</v>
      </c>
      <c r="AK126" s="343">
        <f t="shared" si="562"/>
        <v>7.3555866480111948E-2</v>
      </c>
      <c r="AL126" s="64">
        <f t="shared" si="562"/>
        <v>0.3396788700850687</v>
      </c>
      <c r="AM126" s="343">
        <f t="shared" si="562"/>
        <v>0.20701992753623188</v>
      </c>
      <c r="AN126" s="343">
        <f t="shared" si="562"/>
        <v>0.15553017323434232</v>
      </c>
      <c r="AO126" s="64">
        <f t="shared" ref="AO126:AP126" si="563">+AO104/AO9</f>
        <v>0.53088735201031523</v>
      </c>
      <c r="AP126" s="343">
        <f t="shared" si="563"/>
        <v>0.34629787234042553</v>
      </c>
      <c r="AQ126" s="343">
        <f t="shared" ref="AQ126:AR126" si="564">+AQ104/AQ9</f>
        <v>0.20474022407058068</v>
      </c>
      <c r="AR126" s="64">
        <f t="shared" si="564"/>
        <v>0.26962692857298576</v>
      </c>
      <c r="AS126" s="343">
        <f t="shared" si="562"/>
        <v>0.23803061906118403</v>
      </c>
      <c r="AT126" s="343">
        <f t="shared" si="562"/>
        <v>0.26842828181136352</v>
      </c>
      <c r="AU126" s="343">
        <f t="shared" si="562"/>
        <v>0.28526381940847495</v>
      </c>
    </row>
    <row r="127" spans="1:47">
      <c r="B127" s="464"/>
      <c r="C127" s="19"/>
      <c r="D127" s="19"/>
      <c r="E127" s="19"/>
      <c r="F127" s="227"/>
      <c r="G127" s="227"/>
      <c r="H127" s="19"/>
      <c r="I127" s="227"/>
      <c r="J127" s="227"/>
      <c r="K127" s="19"/>
      <c r="L127" s="227"/>
      <c r="M127" s="227"/>
      <c r="N127" s="19"/>
      <c r="O127" s="227"/>
      <c r="P127" s="227"/>
      <c r="Q127" s="19"/>
      <c r="R127" s="227"/>
      <c r="S127" s="227"/>
      <c r="T127" s="73"/>
      <c r="U127" s="227"/>
      <c r="V127" s="227"/>
      <c r="W127" s="73"/>
      <c r="X127" s="227"/>
      <c r="Y127" s="227"/>
      <c r="Z127" s="73"/>
      <c r="AA127" s="227"/>
      <c r="AB127" s="227"/>
      <c r="AC127" s="73"/>
      <c r="AD127" s="336"/>
      <c r="AE127" s="336"/>
      <c r="AF127" s="73"/>
      <c r="AG127" s="336"/>
      <c r="AH127" s="336"/>
      <c r="AI127" s="73"/>
      <c r="AJ127" s="336"/>
      <c r="AK127" s="336"/>
      <c r="AL127" s="73"/>
      <c r="AM127" s="336"/>
      <c r="AN127" s="569"/>
      <c r="AO127" s="73"/>
      <c r="AP127" s="336"/>
      <c r="AQ127" s="336"/>
      <c r="AR127" s="73"/>
      <c r="AS127" s="336"/>
      <c r="AT127" s="336"/>
      <c r="AU127" s="336"/>
    </row>
    <row r="128" spans="1:47" s="54" customFormat="1">
      <c r="A128" s="217"/>
      <c r="B128" s="200" t="s">
        <v>312</v>
      </c>
      <c r="C128" s="201"/>
      <c r="D128" s="201"/>
      <c r="E128" s="201"/>
      <c r="F128" s="280"/>
      <c r="G128" s="280"/>
      <c r="H128" s="201"/>
      <c r="I128" s="280"/>
      <c r="J128" s="280"/>
      <c r="K128" s="201"/>
      <c r="L128" s="280"/>
      <c r="M128" s="280"/>
      <c r="N128" s="201"/>
      <c r="O128" s="280"/>
      <c r="P128" s="280"/>
      <c r="Q128" s="201"/>
      <c r="R128" s="280"/>
      <c r="S128" s="280"/>
      <c r="T128" s="202"/>
      <c r="U128" s="280"/>
      <c r="V128" s="280"/>
      <c r="W128" s="202"/>
      <c r="X128" s="280"/>
      <c r="Y128" s="280"/>
      <c r="Z128" s="202"/>
      <c r="AA128" s="280"/>
      <c r="AB128" s="280"/>
      <c r="AC128" s="202"/>
      <c r="AD128" s="339"/>
      <c r="AE128" s="356"/>
      <c r="AF128" s="202"/>
      <c r="AG128" s="339"/>
      <c r="AH128" s="356"/>
      <c r="AI128" s="202"/>
      <c r="AJ128" s="339"/>
      <c r="AK128" s="339"/>
      <c r="AL128" s="202"/>
      <c r="AM128" s="339"/>
      <c r="AN128" s="339"/>
      <c r="AO128" s="202"/>
      <c r="AP128" s="339"/>
      <c r="AQ128" s="339"/>
      <c r="AR128" s="202"/>
      <c r="AS128" s="339"/>
      <c r="AT128" s="339"/>
      <c r="AU128" s="339"/>
    </row>
    <row r="129" spans="2:47">
      <c r="B129" s="261" t="s">
        <v>313</v>
      </c>
      <c r="C129" s="1"/>
      <c r="F129" s="309"/>
      <c r="G129" s="227"/>
      <c r="I129" s="309"/>
      <c r="J129" s="227"/>
      <c r="L129" s="309"/>
      <c r="M129" s="227"/>
      <c r="O129" s="309"/>
      <c r="P129" s="227"/>
      <c r="R129" s="309"/>
      <c r="S129" s="227"/>
      <c r="T129" s="97"/>
      <c r="U129" s="309"/>
      <c r="V129" s="227"/>
      <c r="W129" s="97"/>
      <c r="X129" s="309"/>
      <c r="Y129" s="227"/>
      <c r="Z129" s="97"/>
      <c r="AA129" s="309"/>
      <c r="AB129" s="227"/>
      <c r="AC129" s="73"/>
      <c r="AD129" s="336"/>
      <c r="AE129" s="336"/>
      <c r="AF129" s="73"/>
      <c r="AG129" s="336"/>
      <c r="AH129" s="336"/>
      <c r="AI129" s="73"/>
      <c r="AJ129" s="336"/>
      <c r="AK129" s="336"/>
      <c r="AL129" s="73"/>
      <c r="AM129" s="336"/>
      <c r="AN129" s="336"/>
      <c r="AO129" s="73"/>
      <c r="AP129" s="336"/>
      <c r="AQ129" s="336"/>
      <c r="AR129" s="73"/>
      <c r="AS129" s="336"/>
      <c r="AT129" s="336"/>
      <c r="AU129" s="336"/>
    </row>
    <row r="130" spans="2:47">
      <c r="B130" s="262" t="s">
        <v>314</v>
      </c>
      <c r="C130" s="7"/>
      <c r="D130" s="7"/>
      <c r="E130" s="3"/>
      <c r="F130" s="305"/>
      <c r="G130" s="305"/>
      <c r="H130" s="78"/>
      <c r="I130" s="305"/>
      <c r="J130" s="305"/>
      <c r="K130" s="78"/>
      <c r="L130" s="361">
        <v>14.968999999999999</v>
      </c>
      <c r="M130" s="361">
        <v>17.254999999999999</v>
      </c>
      <c r="N130" s="78">
        <f>+O130</f>
        <v>20.245000000000001</v>
      </c>
      <c r="O130" s="361">
        <v>20.245000000000001</v>
      </c>
      <c r="P130" s="361">
        <v>19.832000000000001</v>
      </c>
      <c r="Q130" s="78">
        <f>+R130</f>
        <v>12.468</v>
      </c>
      <c r="R130" s="361">
        <v>12.468</v>
      </c>
      <c r="S130" s="361">
        <v>10.724</v>
      </c>
      <c r="T130" s="78">
        <f>+U130</f>
        <v>16.852</v>
      </c>
      <c r="U130" s="361">
        <v>16.852</v>
      </c>
      <c r="V130" s="361">
        <v>20.494</v>
      </c>
      <c r="W130" s="78">
        <f>+X130</f>
        <v>21.49</v>
      </c>
      <c r="X130" s="361">
        <v>21.49</v>
      </c>
      <c r="Y130" s="361">
        <v>29.292000000000002</v>
      </c>
      <c r="Z130" s="78">
        <f>+AA130</f>
        <v>34.555999999999997</v>
      </c>
      <c r="AA130" s="361">
        <v>34.555999999999997</v>
      </c>
      <c r="AB130" s="361">
        <v>33.953000000000003</v>
      </c>
      <c r="AC130" s="78">
        <f>+AD130</f>
        <v>51.048000000000002</v>
      </c>
      <c r="AD130" s="361">
        <v>51.048000000000002</v>
      </c>
      <c r="AE130" s="361">
        <v>27.669</v>
      </c>
      <c r="AF130" s="78">
        <f>+AG130</f>
        <v>48.36</v>
      </c>
      <c r="AG130" s="361">
        <v>48.36</v>
      </c>
      <c r="AH130" s="361">
        <v>43.969000000000001</v>
      </c>
      <c r="AI130" s="78">
        <f>+AJ130</f>
        <v>63.793999999999997</v>
      </c>
      <c r="AJ130" s="361">
        <v>63.793999999999997</v>
      </c>
      <c r="AK130" s="361">
        <v>53.969000000000001</v>
      </c>
      <c r="AL130" s="78">
        <f>+AM130</f>
        <v>72.519000000000005</v>
      </c>
      <c r="AM130" s="361">
        <v>72.519000000000005</v>
      </c>
      <c r="AN130" s="361">
        <v>67.108999999999995</v>
      </c>
      <c r="AO130" s="78">
        <f>+AP130</f>
        <v>95.978999999999999</v>
      </c>
      <c r="AP130" s="361">
        <v>95.978999999999999</v>
      </c>
      <c r="AQ130" s="366">
        <f>IF(AQ172=0,AP130+AQ124,AP130)</f>
        <v>91.155904798552626</v>
      </c>
      <c r="AR130" s="78">
        <f>+AS130</f>
        <v>107.43770053157436</v>
      </c>
      <c r="AS130" s="366">
        <f>IF(AS172=0,AP130+AS124,AP130)</f>
        <v>107.43770053157436</v>
      </c>
      <c r="AT130" s="366">
        <f t="shared" ref="AT130:AU130" si="565">IF(AT172=0,AS130+AT124,AS130)</f>
        <v>130.03887109690135</v>
      </c>
      <c r="AU130" s="366">
        <f t="shared" si="565"/>
        <v>157.21371334780673</v>
      </c>
    </row>
    <row r="131" spans="2:47">
      <c r="B131" s="262" t="s">
        <v>195</v>
      </c>
      <c r="C131" s="7"/>
      <c r="D131" s="7"/>
      <c r="E131" s="3"/>
      <c r="F131" s="290"/>
      <c r="G131" s="290"/>
      <c r="H131" s="3"/>
      <c r="I131" s="290"/>
      <c r="J131" s="290"/>
      <c r="K131" s="78"/>
      <c r="L131" s="357">
        <v>7.7190000000000003</v>
      </c>
      <c r="M131" s="357">
        <v>6.6139999999999999</v>
      </c>
      <c r="N131" s="78">
        <f t="shared" ref="N131:N136" si="566">+O131</f>
        <v>8.923</v>
      </c>
      <c r="O131" s="357">
        <v>8.923</v>
      </c>
      <c r="P131" s="357">
        <v>5.6719999999999997</v>
      </c>
      <c r="Q131" s="78">
        <f t="shared" ref="Q131:Q136" si="567">+R131</f>
        <v>6.9690000000000003</v>
      </c>
      <c r="R131" s="357">
        <v>6.9690000000000003</v>
      </c>
      <c r="S131" s="357">
        <v>12.18</v>
      </c>
      <c r="T131" s="78">
        <f t="shared" ref="T131:T136" si="568">+U131</f>
        <v>8.7839999999999989</v>
      </c>
      <c r="U131" s="357">
        <f>8.488+0.296</f>
        <v>8.7839999999999989</v>
      </c>
      <c r="V131" s="357">
        <v>6.2670000000000003</v>
      </c>
      <c r="W131" s="78">
        <f t="shared" ref="W131:W136" si="569">+X131</f>
        <v>8.9860000000000007</v>
      </c>
      <c r="X131" s="357">
        <v>8.9860000000000007</v>
      </c>
      <c r="Y131" s="357">
        <f>6.89+1.393</f>
        <v>8.2829999999999995</v>
      </c>
      <c r="Z131" s="78">
        <f t="shared" ref="Z131:Z136" si="570">+AA131</f>
        <v>11.928999999999998</v>
      </c>
      <c r="AA131" s="357">
        <f>10.979+0.95</f>
        <v>11.928999999999998</v>
      </c>
      <c r="AB131" s="357">
        <f>8.262+0.767</f>
        <v>9.0289999999999999</v>
      </c>
      <c r="AC131" s="78">
        <f t="shared" ref="AC131:AC136" si="571">+AD131</f>
        <v>12.005000000000001</v>
      </c>
      <c r="AD131" s="357">
        <f>10.678+1.327</f>
        <v>12.005000000000001</v>
      </c>
      <c r="AE131" s="357">
        <f>7.189+1.838</f>
        <v>9.027000000000001</v>
      </c>
      <c r="AF131" s="78">
        <f t="shared" ref="AF131:AF136" si="572">+AG131</f>
        <v>15.667</v>
      </c>
      <c r="AG131" s="357">
        <f>12.974+2.693</f>
        <v>15.667</v>
      </c>
      <c r="AH131" s="357">
        <f>8.728+4.135</f>
        <v>12.863</v>
      </c>
      <c r="AI131" s="78">
        <f>AH131*(1+AI$74/2)</f>
        <v>13.556433526784794</v>
      </c>
      <c r="AJ131" s="357">
        <v>17.638000000000002</v>
      </c>
      <c r="AK131" s="357">
        <v>11.69</v>
      </c>
      <c r="AL131" s="78">
        <f>AK131*(1+AL$74/2)</f>
        <v>11.856891417425228</v>
      </c>
      <c r="AM131" s="357">
        <v>20.646999999999998</v>
      </c>
      <c r="AN131" s="357">
        <v>8.3789999999999996</v>
      </c>
      <c r="AO131" s="78">
        <f>AN131*(1+AO$74/2)</f>
        <v>8.7081550020770475</v>
      </c>
      <c r="AP131" s="357">
        <v>4.5229999999999997</v>
      </c>
      <c r="AQ131" s="317">
        <f>AP131*(1+AQ$74/2)</f>
        <v>4.6768332216694546</v>
      </c>
      <c r="AR131" s="78">
        <f>AQ131*(1+AR$74/2)</f>
        <v>4.8845845354417596</v>
      </c>
      <c r="AS131" s="317">
        <f>AP131*(1+AS$74/2)</f>
        <v>4.7007630232324153</v>
      </c>
      <c r="AT131" s="317">
        <f t="shared" ref="AT131:AU131" si="573">AS131*(1+AT$74/2)</f>
        <v>4.9702747183030995</v>
      </c>
      <c r="AU131" s="317">
        <f t="shared" si="573"/>
        <v>5.2463610121676751</v>
      </c>
    </row>
    <row r="132" spans="2:47">
      <c r="B132" s="262" t="s">
        <v>192</v>
      </c>
      <c r="C132" s="7"/>
      <c r="D132" s="7"/>
      <c r="E132" s="3"/>
      <c r="F132" s="290"/>
      <c r="G132" s="290"/>
      <c r="H132" s="3"/>
      <c r="I132" s="290"/>
      <c r="J132" s="290"/>
      <c r="K132" s="78"/>
      <c r="L132" s="359">
        <v>0</v>
      </c>
      <c r="M132" s="357">
        <v>0</v>
      </c>
      <c r="N132" s="78">
        <f t="shared" si="566"/>
        <v>0</v>
      </c>
      <c r="O132" s="359">
        <v>0</v>
      </c>
      <c r="P132" s="357">
        <v>0</v>
      </c>
      <c r="Q132" s="78">
        <f t="shared" si="567"/>
        <v>0</v>
      </c>
      <c r="R132" s="359">
        <v>0</v>
      </c>
      <c r="S132" s="357">
        <v>0</v>
      </c>
      <c r="T132" s="78">
        <f t="shared" si="568"/>
        <v>0</v>
      </c>
      <c r="U132" s="359">
        <v>0</v>
      </c>
      <c r="V132" s="357">
        <v>0</v>
      </c>
      <c r="W132" s="78">
        <f t="shared" si="569"/>
        <v>0</v>
      </c>
      <c r="X132" s="359">
        <v>0</v>
      </c>
      <c r="Y132" s="357">
        <v>0</v>
      </c>
      <c r="Z132" s="78">
        <f t="shared" si="570"/>
        <v>0</v>
      </c>
      <c r="AA132" s="359">
        <v>0</v>
      </c>
      <c r="AB132" s="357">
        <v>0</v>
      </c>
      <c r="AC132" s="78">
        <f t="shared" si="571"/>
        <v>0</v>
      </c>
      <c r="AD132" s="359">
        <v>0</v>
      </c>
      <c r="AE132" s="357">
        <v>0</v>
      </c>
      <c r="AF132" s="78">
        <f t="shared" si="572"/>
        <v>0</v>
      </c>
      <c r="AG132" s="359">
        <v>0</v>
      </c>
      <c r="AH132" s="357">
        <v>0</v>
      </c>
      <c r="AI132" s="78">
        <f>AH132</f>
        <v>0</v>
      </c>
      <c r="AJ132" s="357">
        <v>0</v>
      </c>
      <c r="AK132" s="357">
        <v>0</v>
      </c>
      <c r="AL132" s="78">
        <f>AK132</f>
        <v>0</v>
      </c>
      <c r="AM132" s="357">
        <v>0</v>
      </c>
      <c r="AN132" s="357">
        <v>0</v>
      </c>
      <c r="AO132" s="78">
        <f>AN132</f>
        <v>0</v>
      </c>
      <c r="AP132" s="357">
        <v>0</v>
      </c>
      <c r="AQ132" s="317">
        <f>AP132</f>
        <v>0</v>
      </c>
      <c r="AR132" s="78">
        <f>AQ132</f>
        <v>0</v>
      </c>
      <c r="AS132" s="317">
        <f>AP132</f>
        <v>0</v>
      </c>
      <c r="AT132" s="317">
        <f>AS132</f>
        <v>0</v>
      </c>
      <c r="AU132" s="317">
        <f>AT132</f>
        <v>0</v>
      </c>
    </row>
    <row r="133" spans="2:47">
      <c r="B133" s="262" t="s">
        <v>193</v>
      </c>
      <c r="C133" s="7"/>
      <c r="D133" s="7"/>
      <c r="E133" s="3"/>
      <c r="F133" s="290"/>
      <c r="G133" s="290"/>
      <c r="H133" s="3"/>
      <c r="I133" s="290"/>
      <c r="J133" s="290"/>
      <c r="K133" s="78"/>
      <c r="L133" s="359">
        <v>0</v>
      </c>
      <c r="M133" s="357">
        <v>0</v>
      </c>
      <c r="N133" s="78">
        <f t="shared" si="566"/>
        <v>0</v>
      </c>
      <c r="O133" s="359">
        <v>0</v>
      </c>
      <c r="P133" s="357">
        <v>0</v>
      </c>
      <c r="Q133" s="78">
        <f t="shared" si="567"/>
        <v>0</v>
      </c>
      <c r="R133" s="359">
        <v>0</v>
      </c>
      <c r="S133" s="357">
        <v>0</v>
      </c>
      <c r="T133" s="78">
        <f t="shared" si="568"/>
        <v>0</v>
      </c>
      <c r="U133" s="359">
        <v>0</v>
      </c>
      <c r="V133" s="357">
        <v>0</v>
      </c>
      <c r="W133" s="78">
        <f t="shared" si="569"/>
        <v>0</v>
      </c>
      <c r="X133" s="359">
        <v>0</v>
      </c>
      <c r="Y133" s="357">
        <v>0</v>
      </c>
      <c r="Z133" s="78">
        <f t="shared" si="570"/>
        <v>0</v>
      </c>
      <c r="AA133" s="359">
        <v>0</v>
      </c>
      <c r="AB133" s="357">
        <v>0</v>
      </c>
      <c r="AC133" s="78">
        <f t="shared" si="571"/>
        <v>0</v>
      </c>
      <c r="AD133" s="359">
        <v>0</v>
      </c>
      <c r="AE133" s="357">
        <v>0</v>
      </c>
      <c r="AF133" s="78">
        <f t="shared" si="572"/>
        <v>0</v>
      </c>
      <c r="AG133" s="359">
        <v>0</v>
      </c>
      <c r="AH133" s="357">
        <v>0</v>
      </c>
      <c r="AI133" s="78">
        <f>AH133*(1+AI$74)</f>
        <v>0</v>
      </c>
      <c r="AJ133" s="357">
        <v>0</v>
      </c>
      <c r="AK133" s="357">
        <v>0</v>
      </c>
      <c r="AL133" s="78">
        <f>AK133*(1+AL$74)</f>
        <v>0</v>
      </c>
      <c r="AM133" s="357">
        <v>0</v>
      </c>
      <c r="AN133" s="357">
        <v>0</v>
      </c>
      <c r="AO133" s="78">
        <f>AN133*(1+AO$74)</f>
        <v>0</v>
      </c>
      <c r="AP133" s="357">
        <v>0</v>
      </c>
      <c r="AQ133" s="317">
        <f>AP133*(1+AQ$74)</f>
        <v>0</v>
      </c>
      <c r="AR133" s="78">
        <f>AQ133*(1+AR$74)</f>
        <v>0</v>
      </c>
      <c r="AS133" s="317">
        <f>AP133*(1+AS$74)</f>
        <v>0</v>
      </c>
      <c r="AT133" s="317">
        <f>AS133*(1+AT$74)</f>
        <v>0</v>
      </c>
      <c r="AU133" s="317">
        <f>AT133*(1+AU$74)</f>
        <v>0</v>
      </c>
    </row>
    <row r="134" spans="2:47">
      <c r="B134" s="262" t="s">
        <v>1048</v>
      </c>
      <c r="C134" s="7"/>
      <c r="D134" s="7"/>
      <c r="E134" s="3"/>
      <c r="F134" s="290"/>
      <c r="G134" s="290"/>
      <c r="H134" s="3"/>
      <c r="I134" s="290"/>
      <c r="J134" s="290"/>
      <c r="K134" s="78"/>
      <c r="L134" s="359">
        <v>0</v>
      </c>
      <c r="M134" s="357">
        <v>0</v>
      </c>
      <c r="N134" s="78">
        <f t="shared" si="566"/>
        <v>0</v>
      </c>
      <c r="O134" s="359">
        <v>0</v>
      </c>
      <c r="P134" s="357">
        <v>0</v>
      </c>
      <c r="Q134" s="78">
        <f t="shared" si="567"/>
        <v>0</v>
      </c>
      <c r="R134" s="359">
        <v>0</v>
      </c>
      <c r="S134" s="357">
        <v>0</v>
      </c>
      <c r="T134" s="78">
        <f t="shared" si="568"/>
        <v>0</v>
      </c>
      <c r="U134" s="359">
        <v>0</v>
      </c>
      <c r="V134" s="357">
        <v>0</v>
      </c>
      <c r="W134" s="78">
        <f t="shared" si="569"/>
        <v>0.26300000000000001</v>
      </c>
      <c r="X134" s="359">
        <v>0.26300000000000001</v>
      </c>
      <c r="Y134" s="357">
        <v>0.86</v>
      </c>
      <c r="Z134" s="78">
        <f t="shared" si="570"/>
        <v>0</v>
      </c>
      <c r="AA134" s="359">
        <v>0</v>
      </c>
      <c r="AB134" s="357">
        <v>0</v>
      </c>
      <c r="AC134" s="78">
        <f t="shared" si="571"/>
        <v>0</v>
      </c>
      <c r="AD134" s="359">
        <v>0</v>
      </c>
      <c r="AE134" s="357">
        <v>2E-3</v>
      </c>
      <c r="AF134" s="78">
        <f t="shared" si="572"/>
        <v>0</v>
      </c>
      <c r="AG134" s="359">
        <v>0</v>
      </c>
      <c r="AH134" s="357">
        <v>0</v>
      </c>
      <c r="AI134" s="78">
        <f t="shared" ref="AI134" si="574">AH134</f>
        <v>0</v>
      </c>
      <c r="AJ134" s="357">
        <v>0</v>
      </c>
      <c r="AK134" s="357">
        <v>0.61299999999999999</v>
      </c>
      <c r="AL134" s="78">
        <f t="shared" ref="AL134:AL135" si="575">AK134</f>
        <v>0.61299999999999999</v>
      </c>
      <c r="AM134" s="357">
        <v>0.96699999999999997</v>
      </c>
      <c r="AN134" s="357">
        <v>1.5489999999999999</v>
      </c>
      <c r="AO134" s="78">
        <f t="shared" ref="AO134:AO135" si="576">AN134</f>
        <v>1.5489999999999999</v>
      </c>
      <c r="AP134" s="357">
        <v>0</v>
      </c>
      <c r="AQ134" s="317">
        <f t="shared" ref="AQ134:AQ135" si="577">AP134</f>
        <v>0</v>
      </c>
      <c r="AR134" s="78">
        <f t="shared" ref="AR134:AR135" si="578">AQ134</f>
        <v>0</v>
      </c>
      <c r="AS134" s="317">
        <f>AP134</f>
        <v>0</v>
      </c>
      <c r="AT134" s="317">
        <f t="shared" ref="AT134:AU135" si="579">AS134</f>
        <v>0</v>
      </c>
      <c r="AU134" s="317">
        <f t="shared" si="579"/>
        <v>0</v>
      </c>
    </row>
    <row r="135" spans="2:47">
      <c r="B135" s="262" t="s">
        <v>194</v>
      </c>
      <c r="C135" s="6"/>
      <c r="D135" s="6"/>
      <c r="E135" s="3"/>
      <c r="F135" s="292"/>
      <c r="G135" s="292"/>
      <c r="H135" s="3"/>
      <c r="I135" s="292"/>
      <c r="J135" s="292"/>
      <c r="K135" s="78"/>
      <c r="L135" s="359">
        <v>2.1930000000000001</v>
      </c>
      <c r="M135" s="357">
        <v>2.5299999999999998</v>
      </c>
      <c r="N135" s="78">
        <f t="shared" si="566"/>
        <v>2.5529999999999999</v>
      </c>
      <c r="O135" s="359">
        <v>2.5529999999999999</v>
      </c>
      <c r="P135" s="357">
        <v>3.427</v>
      </c>
      <c r="Q135" s="78">
        <f t="shared" si="567"/>
        <v>5.8040000000000003</v>
      </c>
      <c r="R135" s="359">
        <v>5.8040000000000003</v>
      </c>
      <c r="S135" s="357">
        <v>6.7220000000000004</v>
      </c>
      <c r="T135" s="78">
        <f t="shared" si="568"/>
        <v>4.9530000000000003</v>
      </c>
      <c r="U135" s="359">
        <v>4.9530000000000003</v>
      </c>
      <c r="V135" s="357">
        <v>7.61</v>
      </c>
      <c r="W135" s="78">
        <f t="shared" si="569"/>
        <v>7.5190000000000001</v>
      </c>
      <c r="X135" s="359">
        <v>7.5190000000000001</v>
      </c>
      <c r="Y135" s="357">
        <v>1.157</v>
      </c>
      <c r="Z135" s="78">
        <f t="shared" si="570"/>
        <v>1.6559999999999999</v>
      </c>
      <c r="AA135" s="359">
        <v>1.6559999999999999</v>
      </c>
      <c r="AB135" s="357">
        <v>1.5780000000000001</v>
      </c>
      <c r="AC135" s="78">
        <f t="shared" si="571"/>
        <v>1.8340000000000001</v>
      </c>
      <c r="AD135" s="359">
        <v>1.8340000000000001</v>
      </c>
      <c r="AE135" s="357">
        <v>2.0640000000000001</v>
      </c>
      <c r="AF135" s="78">
        <f t="shared" si="572"/>
        <v>1.75</v>
      </c>
      <c r="AG135" s="359">
        <v>1.75</v>
      </c>
      <c r="AH135" s="357">
        <v>2.0950000000000002</v>
      </c>
      <c r="AI135" s="78">
        <f>AH135</f>
        <v>2.0950000000000002</v>
      </c>
      <c r="AJ135" s="357">
        <f>2.972+2.007</f>
        <v>4.9790000000000001</v>
      </c>
      <c r="AK135" s="357">
        <f>4.072+2.092</f>
        <v>6.1639999999999997</v>
      </c>
      <c r="AL135" s="78">
        <f t="shared" si="575"/>
        <v>6.1639999999999997</v>
      </c>
      <c r="AM135" s="357">
        <f>3.252+2.311</f>
        <v>5.5629999999999997</v>
      </c>
      <c r="AN135" s="357">
        <f>3.437+2.6</f>
        <v>6.0369999999999999</v>
      </c>
      <c r="AO135" s="78">
        <f t="shared" si="576"/>
        <v>6.0369999999999999</v>
      </c>
      <c r="AP135" s="357">
        <f>2.627+2.782</f>
        <v>5.4089999999999998</v>
      </c>
      <c r="AQ135" s="317">
        <f t="shared" si="577"/>
        <v>5.4089999999999998</v>
      </c>
      <c r="AR135" s="78">
        <f t="shared" si="578"/>
        <v>5.4089999999999998</v>
      </c>
      <c r="AS135" s="317">
        <f>AP135</f>
        <v>5.4089999999999998</v>
      </c>
      <c r="AT135" s="317">
        <f t="shared" si="579"/>
        <v>5.4089999999999998</v>
      </c>
      <c r="AU135" s="317">
        <f t="shared" si="579"/>
        <v>5.4089999999999998</v>
      </c>
    </row>
    <row r="136" spans="2:47">
      <c r="B136" s="261" t="s">
        <v>315</v>
      </c>
      <c r="C136" s="3"/>
      <c r="D136" s="3"/>
      <c r="E136" s="3"/>
      <c r="F136" s="265"/>
      <c r="G136" s="265"/>
      <c r="H136" s="3"/>
      <c r="I136" s="265"/>
      <c r="J136" s="265"/>
      <c r="K136" s="78"/>
      <c r="L136" s="317">
        <f>SUM(L130:L135)</f>
        <v>24.881</v>
      </c>
      <c r="M136" s="317">
        <f>SUM(M130:M135)</f>
        <v>26.399000000000001</v>
      </c>
      <c r="N136" s="78">
        <f t="shared" si="566"/>
        <v>31.721</v>
      </c>
      <c r="O136" s="317">
        <f>SUM(O130:O135)</f>
        <v>31.721</v>
      </c>
      <c r="P136" s="317">
        <f>SUM(P130:P135)</f>
        <v>28.931000000000001</v>
      </c>
      <c r="Q136" s="78">
        <f t="shared" si="567"/>
        <v>25.241</v>
      </c>
      <c r="R136" s="317">
        <f>SUM(R130:R135)</f>
        <v>25.241</v>
      </c>
      <c r="S136" s="317">
        <f>SUM(S130:S135)</f>
        <v>29.626000000000001</v>
      </c>
      <c r="T136" s="78">
        <f t="shared" si="568"/>
        <v>30.588999999999999</v>
      </c>
      <c r="U136" s="317">
        <f>SUM(U130:U135)</f>
        <v>30.588999999999999</v>
      </c>
      <c r="V136" s="317">
        <f>SUM(V130:V135)</f>
        <v>34.371000000000002</v>
      </c>
      <c r="W136" s="78">
        <f t="shared" si="569"/>
        <v>38.258000000000003</v>
      </c>
      <c r="X136" s="317">
        <f>SUM(X130:X135)</f>
        <v>38.258000000000003</v>
      </c>
      <c r="Y136" s="317">
        <f>SUM(Y130:Y135)</f>
        <v>39.591999999999999</v>
      </c>
      <c r="Z136" s="78">
        <f t="shared" si="570"/>
        <v>48.140999999999998</v>
      </c>
      <c r="AA136" s="317">
        <f>SUM(AA130:AA135)</f>
        <v>48.140999999999998</v>
      </c>
      <c r="AB136" s="317">
        <f>SUM(AB130:AB135)</f>
        <v>44.56</v>
      </c>
      <c r="AC136" s="78">
        <f t="shared" si="571"/>
        <v>64.887</v>
      </c>
      <c r="AD136" s="317">
        <f>SUM(AD130:AD135)</f>
        <v>64.887</v>
      </c>
      <c r="AE136" s="317">
        <f>SUM(AE130:AE135)</f>
        <v>38.762</v>
      </c>
      <c r="AF136" s="78">
        <f t="shared" si="572"/>
        <v>65.777000000000001</v>
      </c>
      <c r="AG136" s="317">
        <f>SUM(AG130:AG135)</f>
        <v>65.777000000000001</v>
      </c>
      <c r="AH136" s="317">
        <f>SUM(AH130:AH135)</f>
        <v>58.927</v>
      </c>
      <c r="AI136" s="78">
        <f t="shared" ref="AI136" si="580">+AJ136</f>
        <v>86.411000000000001</v>
      </c>
      <c r="AJ136" s="317">
        <f>SUM(AJ130:AJ135)</f>
        <v>86.411000000000001</v>
      </c>
      <c r="AK136" s="317">
        <f t="shared" ref="AK136" si="581">SUM(AK130:AK135)</f>
        <v>72.436000000000007</v>
      </c>
      <c r="AL136" s="78">
        <f t="shared" ref="AL136" si="582">+AM136</f>
        <v>99.695999999999998</v>
      </c>
      <c r="AM136" s="317">
        <f t="shared" ref="AM136:AU136" si="583">SUM(AM130:AM135)</f>
        <v>99.695999999999998</v>
      </c>
      <c r="AN136" s="317">
        <f t="shared" si="583"/>
        <v>83.074000000000012</v>
      </c>
      <c r="AO136" s="78">
        <f t="shared" ref="AO136" si="584">+AP136</f>
        <v>105.911</v>
      </c>
      <c r="AP136" s="317">
        <f t="shared" ref="AP136" si="585">SUM(AP130:AP135)</f>
        <v>105.911</v>
      </c>
      <c r="AQ136" s="317">
        <f t="shared" ref="AQ136" si="586">SUM(AQ130:AQ135)</f>
        <v>101.24173802022209</v>
      </c>
      <c r="AR136" s="78">
        <f t="shared" ref="AR136" si="587">+AS136</f>
        <v>117.54746355480678</v>
      </c>
      <c r="AS136" s="317">
        <f t="shared" si="583"/>
        <v>117.54746355480678</v>
      </c>
      <c r="AT136" s="317">
        <f t="shared" si="583"/>
        <v>140.41814581520444</v>
      </c>
      <c r="AU136" s="317">
        <f t="shared" si="583"/>
        <v>167.86907435997441</v>
      </c>
    </row>
    <row r="137" spans="2:47">
      <c r="B137" s="262"/>
      <c r="C137" s="19"/>
      <c r="D137" s="19"/>
      <c r="E137" s="3"/>
      <c r="F137" s="227"/>
      <c r="G137" s="227"/>
      <c r="H137" s="3"/>
      <c r="I137" s="227"/>
      <c r="J137" s="227"/>
      <c r="K137" s="73"/>
      <c r="L137" s="336"/>
      <c r="M137" s="336"/>
      <c r="N137" s="73"/>
      <c r="O137" s="336"/>
      <c r="P137" s="336"/>
      <c r="Q137" s="73"/>
      <c r="R137" s="336"/>
      <c r="S137" s="336"/>
      <c r="T137" s="73"/>
      <c r="U137" s="336"/>
      <c r="V137" s="336"/>
      <c r="W137" s="73"/>
      <c r="X137" s="336"/>
      <c r="Y137" s="336"/>
      <c r="Z137" s="73"/>
      <c r="AA137" s="336"/>
      <c r="AB137" s="336"/>
      <c r="AC137" s="73"/>
      <c r="AD137" s="336"/>
      <c r="AE137" s="336"/>
      <c r="AF137" s="73"/>
      <c r="AG137" s="336"/>
      <c r="AH137" s="336"/>
      <c r="AI137" s="73"/>
      <c r="AJ137" s="336"/>
      <c r="AK137" s="336"/>
      <c r="AL137" s="73"/>
      <c r="AM137" s="336"/>
      <c r="AN137" s="336"/>
      <c r="AO137" s="73"/>
      <c r="AP137" s="336"/>
      <c r="AQ137" s="336"/>
      <c r="AR137" s="73"/>
      <c r="AS137" s="336"/>
      <c r="AT137" s="336"/>
      <c r="AU137" s="336"/>
    </row>
    <row r="138" spans="2:47">
      <c r="B138" s="261" t="s">
        <v>316</v>
      </c>
      <c r="C138" s="19"/>
      <c r="D138" s="19"/>
      <c r="E138" s="3"/>
      <c r="F138" s="227"/>
      <c r="G138" s="227"/>
      <c r="H138" s="3"/>
      <c r="I138" s="227"/>
      <c r="J138" s="227"/>
      <c r="K138" s="73"/>
      <c r="L138" s="336"/>
      <c r="M138" s="336"/>
      <c r="N138" s="73"/>
      <c r="O138" s="336"/>
      <c r="P138" s="336"/>
      <c r="Q138" s="73"/>
      <c r="R138" s="336"/>
      <c r="S138" s="336"/>
      <c r="T138" s="73"/>
      <c r="U138" s="336"/>
      <c r="V138" s="336"/>
      <c r="W138" s="73"/>
      <c r="X138" s="336"/>
      <c r="Y138" s="336"/>
      <c r="Z138" s="73"/>
      <c r="AA138" s="336"/>
      <c r="AB138" s="336"/>
      <c r="AC138" s="73"/>
      <c r="AD138" s="336"/>
      <c r="AE138" s="336"/>
      <c r="AF138" s="73"/>
      <c r="AG138" s="336"/>
      <c r="AH138" s="336"/>
      <c r="AI138" s="73"/>
      <c r="AJ138" s="336"/>
      <c r="AK138" s="336"/>
      <c r="AL138" s="73"/>
      <c r="AM138" s="336"/>
      <c r="AN138" s="336"/>
      <c r="AO138" s="73"/>
      <c r="AP138" s="336"/>
      <c r="AQ138" s="336"/>
      <c r="AR138" s="73"/>
      <c r="AS138" s="336"/>
      <c r="AT138" s="336"/>
      <c r="AU138" s="336"/>
    </row>
    <row r="139" spans="2:47">
      <c r="B139" s="262" t="s">
        <v>424</v>
      </c>
      <c r="C139" s="36"/>
      <c r="D139" s="36"/>
      <c r="E139" s="3"/>
      <c r="F139" s="281"/>
      <c r="G139" s="289"/>
      <c r="H139" s="3"/>
      <c r="I139" s="281"/>
      <c r="J139" s="289"/>
      <c r="K139" s="78"/>
      <c r="L139" s="357">
        <v>0</v>
      </c>
      <c r="M139" s="357">
        <v>0.97499999999999998</v>
      </c>
      <c r="N139" s="78">
        <f>+O139</f>
        <v>0.93500000000000005</v>
      </c>
      <c r="O139" s="357">
        <v>0.93500000000000005</v>
      </c>
      <c r="P139" s="357">
        <v>0.755</v>
      </c>
      <c r="Q139" s="78">
        <f>+R139</f>
        <v>0.755</v>
      </c>
      <c r="R139" s="357">
        <v>0.755</v>
      </c>
      <c r="S139" s="357">
        <v>0.99</v>
      </c>
      <c r="T139" s="78">
        <f>+U139</f>
        <v>0.80500000000000005</v>
      </c>
      <c r="U139" s="357">
        <v>0.80500000000000005</v>
      </c>
      <c r="V139" s="357">
        <v>0.65500000000000003</v>
      </c>
      <c r="W139" s="78">
        <f>+X139</f>
        <v>0.65700000000000003</v>
      </c>
      <c r="X139" s="357">
        <v>0.65700000000000003</v>
      </c>
      <c r="Y139" s="357">
        <v>0.59199999999999997</v>
      </c>
      <c r="Z139" s="78">
        <f>+AA139</f>
        <v>0.59</v>
      </c>
      <c r="AA139" s="357">
        <v>0.59</v>
      </c>
      <c r="AB139" s="357">
        <v>0.52100000000000002</v>
      </c>
      <c r="AC139" s="78">
        <f>+AD139</f>
        <v>0.52700000000000002</v>
      </c>
      <c r="AD139" s="357">
        <v>0.52700000000000002</v>
      </c>
      <c r="AE139" s="357">
        <v>0.314</v>
      </c>
      <c r="AF139" s="78">
        <f>+AG139</f>
        <v>8.5999999999999993E-2</v>
      </c>
      <c r="AG139" s="357">
        <v>8.5999999999999993E-2</v>
      </c>
      <c r="AH139" s="357">
        <v>3.5000000000000003E-2</v>
      </c>
      <c r="AI139" s="78">
        <f>+AJ139</f>
        <v>3.3000000000000002E-2</v>
      </c>
      <c r="AJ139" s="357">
        <v>3.3000000000000002E-2</v>
      </c>
      <c r="AK139" s="357">
        <v>2.1000000000000001E-2</v>
      </c>
      <c r="AL139" s="78">
        <f>+AM139</f>
        <v>0.02</v>
      </c>
      <c r="AM139" s="357">
        <v>0.02</v>
      </c>
      <c r="AN139" s="357">
        <v>8.0000000000000002E-3</v>
      </c>
      <c r="AO139" s="78">
        <f>+AP139</f>
        <v>8.0000000000000002E-3</v>
      </c>
      <c r="AP139" s="357">
        <v>8.0000000000000002E-3</v>
      </c>
      <c r="AQ139" s="317">
        <f>AP139</f>
        <v>8.0000000000000002E-3</v>
      </c>
      <c r="AR139" s="78">
        <f>+AS139</f>
        <v>8.0000000000000002E-3</v>
      </c>
      <c r="AS139" s="317">
        <f>AP139</f>
        <v>8.0000000000000002E-3</v>
      </c>
      <c r="AT139" s="317">
        <f>AS139</f>
        <v>8.0000000000000002E-3</v>
      </c>
      <c r="AU139" s="317">
        <f>AT139</f>
        <v>8.0000000000000002E-3</v>
      </c>
    </row>
    <row r="140" spans="2:47">
      <c r="B140" s="262" t="s">
        <v>193</v>
      </c>
      <c r="C140" s="36"/>
      <c r="D140" s="36"/>
      <c r="E140" s="3"/>
      <c r="F140" s="281"/>
      <c r="G140" s="289"/>
      <c r="H140" s="3"/>
      <c r="I140" s="281"/>
      <c r="J140" s="289"/>
      <c r="K140" s="78"/>
      <c r="L140" s="357"/>
      <c r="M140" s="357"/>
      <c r="N140" s="78">
        <f t="shared" ref="N140:N143" si="588">+O140</f>
        <v>0</v>
      </c>
      <c r="O140" s="357"/>
      <c r="P140" s="357"/>
      <c r="Q140" s="78">
        <f t="shared" ref="Q140:Q143" si="589">+R140</f>
        <v>0</v>
      </c>
      <c r="R140" s="357">
        <v>0</v>
      </c>
      <c r="S140" s="357">
        <v>0</v>
      </c>
      <c r="T140" s="78">
        <f t="shared" ref="T140:T143" si="590">+U140</f>
        <v>0</v>
      </c>
      <c r="U140" s="357">
        <v>0</v>
      </c>
      <c r="V140" s="357">
        <v>0</v>
      </c>
      <c r="W140" s="78">
        <f t="shared" ref="W140:W143" si="591">+X140</f>
        <v>0</v>
      </c>
      <c r="X140" s="357">
        <v>0</v>
      </c>
      <c r="Y140" s="357">
        <v>0</v>
      </c>
      <c r="Z140" s="78">
        <f t="shared" ref="Z140:Z143" si="592">+AA140</f>
        <v>0</v>
      </c>
      <c r="AA140" s="357">
        <v>0</v>
      </c>
      <c r="AB140" s="357">
        <v>0</v>
      </c>
      <c r="AC140" s="78">
        <f t="shared" ref="AC140:AC143" si="593">+AD140</f>
        <v>0</v>
      </c>
      <c r="AD140" s="357">
        <v>0</v>
      </c>
      <c r="AE140" s="357">
        <v>0</v>
      </c>
      <c r="AF140" s="78">
        <f t="shared" ref="AF140:AF150" si="594">+AG140</f>
        <v>0</v>
      </c>
      <c r="AG140" s="357">
        <v>0</v>
      </c>
      <c r="AH140" s="357">
        <v>0</v>
      </c>
      <c r="AI140" s="78">
        <f t="shared" ref="AI140:AI150" si="595">+AJ140</f>
        <v>0</v>
      </c>
      <c r="AJ140" s="357">
        <v>0</v>
      </c>
      <c r="AK140" s="357">
        <v>0</v>
      </c>
      <c r="AL140" s="78">
        <f t="shared" ref="AL140:AL148" si="596">+AM140</f>
        <v>0</v>
      </c>
      <c r="AM140" s="357">
        <v>0</v>
      </c>
      <c r="AN140" s="357">
        <v>0</v>
      </c>
      <c r="AO140" s="78">
        <f t="shared" ref="AO140:AO143" si="597">+AP140</f>
        <v>0</v>
      </c>
      <c r="AP140" s="357">
        <v>0</v>
      </c>
      <c r="AQ140" s="317">
        <f>AP140*(1+AQ$74)</f>
        <v>0</v>
      </c>
      <c r="AR140" s="78">
        <f t="shared" ref="AR140:AR143" si="598">+AS140</f>
        <v>0</v>
      </c>
      <c r="AS140" s="317">
        <f>AP140*(1+AS$74)</f>
        <v>0</v>
      </c>
      <c r="AT140" s="317">
        <f>AS140*(1+AT$74)</f>
        <v>0</v>
      </c>
      <c r="AU140" s="317">
        <f>AT140*(1+AU$74)</f>
        <v>0</v>
      </c>
    </row>
    <row r="141" spans="2:47">
      <c r="B141" s="262" t="s">
        <v>362</v>
      </c>
      <c r="C141" s="4"/>
      <c r="D141" s="4"/>
      <c r="E141" s="3"/>
      <c r="F141" s="310"/>
      <c r="G141" s="285"/>
      <c r="H141" s="3"/>
      <c r="I141" s="310"/>
      <c r="J141" s="285"/>
      <c r="K141" s="78"/>
      <c r="L141" s="465">
        <f>+L143</f>
        <v>0.91100000000000003</v>
      </c>
      <c r="M141" s="466">
        <f>+M143</f>
        <v>1.0129999999999999</v>
      </c>
      <c r="N141" s="78">
        <f t="shared" si="588"/>
        <v>0.88300000000000001</v>
      </c>
      <c r="O141" s="465">
        <f>+O143</f>
        <v>0.88300000000000001</v>
      </c>
      <c r="P141" s="466">
        <f>+P143</f>
        <v>0.745</v>
      </c>
      <c r="Q141" s="78">
        <f t="shared" si="589"/>
        <v>0.60199999999999998</v>
      </c>
      <c r="R141" s="465">
        <f>+R143</f>
        <v>0.60199999999999998</v>
      </c>
      <c r="S141" s="466">
        <f>+S143</f>
        <v>3.8119999999999998</v>
      </c>
      <c r="T141" s="78">
        <f t="shared" si="590"/>
        <v>4.4390000000000001</v>
      </c>
      <c r="U141" s="465">
        <f>+U143</f>
        <v>4.4390000000000001</v>
      </c>
      <c r="V141" s="466">
        <f>+V143</f>
        <v>4.577</v>
      </c>
      <c r="W141" s="78">
        <f t="shared" si="591"/>
        <v>5.7249999999999996</v>
      </c>
      <c r="X141" s="465">
        <f>+X143</f>
        <v>5.7249999999999996</v>
      </c>
      <c r="Y141" s="466">
        <f>+Y143</f>
        <v>5.9690000000000003</v>
      </c>
      <c r="Z141" s="78">
        <f t="shared" si="592"/>
        <v>5.1849999999999996</v>
      </c>
      <c r="AA141" s="465">
        <f>+AA143</f>
        <v>5.1849999999999996</v>
      </c>
      <c r="AB141" s="466">
        <f>+AB143</f>
        <v>4.8490000000000002</v>
      </c>
      <c r="AC141" s="78">
        <f t="shared" si="593"/>
        <v>5.01</v>
      </c>
      <c r="AD141" s="465">
        <f>+AD143</f>
        <v>5.01</v>
      </c>
      <c r="AE141" s="466">
        <f>+AE143</f>
        <v>5.282</v>
      </c>
      <c r="AF141" s="78">
        <f t="shared" si="594"/>
        <v>4.7069999999999999</v>
      </c>
      <c r="AG141" s="465">
        <f>+AG143</f>
        <v>4.7069999999999999</v>
      </c>
      <c r="AH141" s="466">
        <f>+AH143</f>
        <v>4.8529999999999998</v>
      </c>
      <c r="AI141" s="78">
        <f t="shared" si="595"/>
        <v>4.258</v>
      </c>
      <c r="AJ141" s="465">
        <f>+AJ143</f>
        <v>4.258</v>
      </c>
      <c r="AK141" s="359">
        <v>3.669</v>
      </c>
      <c r="AL141" s="78">
        <f t="shared" si="596"/>
        <v>2.9529999999999998</v>
      </c>
      <c r="AM141" s="357">
        <v>2.9529999999999998</v>
      </c>
      <c r="AN141" s="359">
        <v>2.3199999999999998</v>
      </c>
      <c r="AO141" s="78">
        <f t="shared" si="597"/>
        <v>2.5099999999999998</v>
      </c>
      <c r="AP141" s="357">
        <v>2.5099999999999998</v>
      </c>
      <c r="AQ141" s="316">
        <f>AP141+AQ312+(AQ176-AP176)</f>
        <v>3.6271355275159234</v>
      </c>
      <c r="AR141" s="78">
        <f t="shared" si="598"/>
        <v>7.7773597401273884</v>
      </c>
      <c r="AS141" s="340">
        <f>+AP141+AS312+(AS176-AP176)</f>
        <v>7.7773597401273884</v>
      </c>
      <c r="AT141" s="340">
        <f>+AS141+AT312+(AT176-AS176)</f>
        <v>11.190044088254778</v>
      </c>
      <c r="AU141" s="340">
        <f t="shared" ref="AU141" si="599">+AT141+AU312+(AU176-AT176)</f>
        <v>12.759670580702167</v>
      </c>
    </row>
    <row r="142" spans="2:47">
      <c r="B142" s="262" t="s">
        <v>317</v>
      </c>
      <c r="C142" s="4"/>
      <c r="D142" s="4"/>
      <c r="E142" s="3"/>
      <c r="F142" s="281"/>
      <c r="G142" s="285"/>
      <c r="H142" s="3"/>
      <c r="I142" s="281"/>
      <c r="J142" s="285"/>
      <c r="K142" s="78"/>
      <c r="L142" s="317">
        <f>+L141-L143</f>
        <v>0</v>
      </c>
      <c r="M142" s="317">
        <f>+M141-M143</f>
        <v>0</v>
      </c>
      <c r="N142" s="78">
        <f t="shared" si="588"/>
        <v>0</v>
      </c>
      <c r="O142" s="317">
        <f>+O141-O143</f>
        <v>0</v>
      </c>
      <c r="P142" s="317">
        <f>+P141-P143</f>
        <v>0</v>
      </c>
      <c r="Q142" s="78">
        <f t="shared" si="589"/>
        <v>0</v>
      </c>
      <c r="R142" s="317">
        <f>+R141-R143</f>
        <v>0</v>
      </c>
      <c r="S142" s="317">
        <f>+S141-S143</f>
        <v>0</v>
      </c>
      <c r="T142" s="78">
        <f t="shared" si="590"/>
        <v>0</v>
      </c>
      <c r="U142" s="317">
        <f>+U141-U143</f>
        <v>0</v>
      </c>
      <c r="V142" s="317">
        <f>+V141-V143</f>
        <v>0</v>
      </c>
      <c r="W142" s="78">
        <f t="shared" si="591"/>
        <v>0</v>
      </c>
      <c r="X142" s="317">
        <f>+X141-X143</f>
        <v>0</v>
      </c>
      <c r="Y142" s="317">
        <f>+Y141-Y143</f>
        <v>0</v>
      </c>
      <c r="Z142" s="78">
        <f t="shared" si="592"/>
        <v>0</v>
      </c>
      <c r="AA142" s="317">
        <f>+AA141-AA143</f>
        <v>0</v>
      </c>
      <c r="AB142" s="317">
        <f>+AB141-AB143</f>
        <v>0</v>
      </c>
      <c r="AC142" s="78">
        <f t="shared" si="593"/>
        <v>0</v>
      </c>
      <c r="AD142" s="317">
        <f>+AD141-AD143</f>
        <v>0</v>
      </c>
      <c r="AE142" s="317">
        <f>+AE141-AE143</f>
        <v>0</v>
      </c>
      <c r="AF142" s="78">
        <f t="shared" si="594"/>
        <v>0</v>
      </c>
      <c r="AG142" s="317">
        <f>+AG141-AG143</f>
        <v>0</v>
      </c>
      <c r="AH142" s="317">
        <f>+AH141-AH143</f>
        <v>0</v>
      </c>
      <c r="AI142" s="78">
        <f t="shared" si="595"/>
        <v>0</v>
      </c>
      <c r="AJ142" s="317">
        <f>+AJ141-AJ143</f>
        <v>0</v>
      </c>
      <c r="AK142" s="340">
        <f>+AK141-AK143</f>
        <v>0</v>
      </c>
      <c r="AL142" s="78">
        <f t="shared" si="596"/>
        <v>0</v>
      </c>
      <c r="AM142" s="317">
        <f>+AM141-AM143</f>
        <v>0</v>
      </c>
      <c r="AN142" s="340">
        <f>+AN141-AN143</f>
        <v>0</v>
      </c>
      <c r="AO142" s="78">
        <f t="shared" si="597"/>
        <v>0</v>
      </c>
      <c r="AP142" s="317">
        <f>+AP141-AP143</f>
        <v>0</v>
      </c>
      <c r="AQ142" s="317">
        <f>+AQ41+AP142</f>
        <v>2.2154526861460897</v>
      </c>
      <c r="AR142" s="78">
        <f t="shared" si="598"/>
        <v>4.4309053722921794</v>
      </c>
      <c r="AS142" s="340">
        <f>+AS41+AP142</f>
        <v>4.4309053722921794</v>
      </c>
      <c r="AT142" s="340">
        <f t="shared" ref="AT142" si="600">+AT41+AS142</f>
        <v>9.3698903102558493</v>
      </c>
      <c r="AU142" s="340">
        <f>+AU41+AT142</f>
        <v>11.369890310255849</v>
      </c>
    </row>
    <row r="143" spans="2:47">
      <c r="B143" s="262" t="s">
        <v>363</v>
      </c>
      <c r="C143" s="44"/>
      <c r="D143" s="44"/>
      <c r="E143" s="3"/>
      <c r="F143" s="310"/>
      <c r="G143" s="310"/>
      <c r="H143" s="3"/>
      <c r="I143" s="310"/>
      <c r="J143" s="310"/>
      <c r="K143" s="78"/>
      <c r="L143" s="357">
        <v>0.91100000000000003</v>
      </c>
      <c r="M143" s="357">
        <v>1.0129999999999999</v>
      </c>
      <c r="N143" s="78">
        <f t="shared" si="588"/>
        <v>0.88300000000000001</v>
      </c>
      <c r="O143" s="357">
        <v>0.88300000000000001</v>
      </c>
      <c r="P143" s="357">
        <v>0.745</v>
      </c>
      <c r="Q143" s="78">
        <f t="shared" si="589"/>
        <v>0.60199999999999998</v>
      </c>
      <c r="R143" s="357">
        <v>0.60199999999999998</v>
      </c>
      <c r="S143" s="357">
        <v>3.8119999999999998</v>
      </c>
      <c r="T143" s="78">
        <f t="shared" si="590"/>
        <v>4.4390000000000001</v>
      </c>
      <c r="U143" s="357">
        <v>4.4390000000000001</v>
      </c>
      <c r="V143" s="357">
        <v>4.577</v>
      </c>
      <c r="W143" s="78">
        <f t="shared" si="591"/>
        <v>5.7249999999999996</v>
      </c>
      <c r="X143" s="357">
        <v>5.7249999999999996</v>
      </c>
      <c r="Y143" s="357">
        <v>5.9690000000000003</v>
      </c>
      <c r="Z143" s="78">
        <f t="shared" si="592"/>
        <v>5.1849999999999996</v>
      </c>
      <c r="AA143" s="357">
        <v>5.1849999999999996</v>
      </c>
      <c r="AB143" s="357">
        <v>4.8490000000000002</v>
      </c>
      <c r="AC143" s="78">
        <f t="shared" si="593"/>
        <v>5.01</v>
      </c>
      <c r="AD143" s="357">
        <v>5.01</v>
      </c>
      <c r="AE143" s="357">
        <v>5.282</v>
      </c>
      <c r="AF143" s="78">
        <f t="shared" si="594"/>
        <v>4.7069999999999999</v>
      </c>
      <c r="AG143" s="357">
        <v>4.7069999999999999</v>
      </c>
      <c r="AH143" s="357">
        <v>4.8529999999999998</v>
      </c>
      <c r="AI143" s="78">
        <f t="shared" si="595"/>
        <v>4.258</v>
      </c>
      <c r="AJ143" s="357">
        <v>4.258</v>
      </c>
      <c r="AK143" s="359">
        <v>3.669</v>
      </c>
      <c r="AL143" s="78">
        <f t="shared" si="596"/>
        <v>2.9529999999999998</v>
      </c>
      <c r="AM143" s="357">
        <v>2.9529999999999998</v>
      </c>
      <c r="AN143" s="359">
        <v>2.3199999999999998</v>
      </c>
      <c r="AO143" s="78">
        <f t="shared" si="597"/>
        <v>2.5099999999999998</v>
      </c>
      <c r="AP143" s="357">
        <v>2.5099999999999998</v>
      </c>
      <c r="AQ143" s="465">
        <f>+AQ141-AQ142</f>
        <v>1.4116828413698337</v>
      </c>
      <c r="AR143" s="78">
        <f t="shared" si="598"/>
        <v>3.346454367835209</v>
      </c>
      <c r="AS143" s="340">
        <f>+AS141-AS142</f>
        <v>3.346454367835209</v>
      </c>
      <c r="AT143" s="340">
        <f t="shared" ref="AT143:AU143" si="601">+AT141-AT142</f>
        <v>1.8201537779989287</v>
      </c>
      <c r="AU143" s="340">
        <f t="shared" si="601"/>
        <v>1.3897802704463178</v>
      </c>
    </row>
    <row r="144" spans="2:47">
      <c r="B144" s="262"/>
      <c r="C144" s="19"/>
      <c r="D144" s="19"/>
      <c r="E144" s="3"/>
      <c r="F144" s="227"/>
      <c r="G144" s="227"/>
      <c r="H144" s="3"/>
      <c r="I144" s="227"/>
      <c r="J144" s="227"/>
      <c r="K144" s="78"/>
      <c r="L144" s="336"/>
      <c r="M144" s="336"/>
      <c r="N144" s="78"/>
      <c r="O144" s="336"/>
      <c r="P144" s="336"/>
      <c r="Q144" s="78"/>
      <c r="R144" s="336"/>
      <c r="S144" s="336"/>
      <c r="T144" s="78"/>
      <c r="U144" s="336"/>
      <c r="V144" s="336"/>
      <c r="W144" s="78"/>
      <c r="X144" s="336"/>
      <c r="Y144" s="336"/>
      <c r="Z144" s="78"/>
      <c r="AA144" s="336"/>
      <c r="AB144" s="336"/>
      <c r="AC144" s="78"/>
      <c r="AD144" s="336"/>
      <c r="AE144" s="336"/>
      <c r="AF144" s="78"/>
      <c r="AG144" s="336"/>
      <c r="AH144" s="336"/>
      <c r="AI144" s="78"/>
      <c r="AJ144" s="336"/>
      <c r="AK144" s="336"/>
      <c r="AL144" s="78"/>
      <c r="AM144" s="336"/>
      <c r="AN144" s="336"/>
      <c r="AO144" s="78"/>
      <c r="AP144" s="336"/>
      <c r="AQ144" s="336"/>
      <c r="AR144" s="78"/>
      <c r="AS144" s="420"/>
      <c r="AT144" s="420"/>
      <c r="AU144" s="420"/>
    </row>
    <row r="145" spans="2:47">
      <c r="B145" s="262" t="s">
        <v>196</v>
      </c>
      <c r="C145" s="44"/>
      <c r="D145" s="44"/>
      <c r="E145" s="3"/>
      <c r="F145" s="310"/>
      <c r="G145" s="310"/>
      <c r="H145" s="3"/>
      <c r="I145" s="310"/>
      <c r="J145" s="310"/>
      <c r="K145" s="78"/>
      <c r="L145" s="357"/>
      <c r="M145" s="357"/>
      <c r="N145" s="78">
        <f t="shared" ref="N145:N150" si="602">+O145</f>
        <v>0</v>
      </c>
      <c r="O145" s="357"/>
      <c r="P145" s="357"/>
      <c r="Q145" s="78">
        <f t="shared" ref="Q145:Q150" si="603">+R145</f>
        <v>0</v>
      </c>
      <c r="R145" s="357"/>
      <c r="S145" s="357"/>
      <c r="T145" s="78">
        <f t="shared" ref="T145:T150" si="604">+U145</f>
        <v>0</v>
      </c>
      <c r="U145" s="357"/>
      <c r="V145" s="357"/>
      <c r="W145" s="78">
        <f t="shared" ref="W145:W150" si="605">+X145</f>
        <v>0</v>
      </c>
      <c r="X145" s="357"/>
      <c r="Y145" s="357"/>
      <c r="Z145" s="78">
        <f t="shared" ref="Z145:Z150" si="606">+AA145</f>
        <v>0</v>
      </c>
      <c r="AA145" s="357"/>
      <c r="AB145" s="357"/>
      <c r="AC145" s="78">
        <f t="shared" ref="AC145:AC150" si="607">+AD145</f>
        <v>0</v>
      </c>
      <c r="AD145" s="357"/>
      <c r="AE145" s="357"/>
      <c r="AF145" s="78">
        <f t="shared" si="594"/>
        <v>0</v>
      </c>
      <c r="AG145" s="357"/>
      <c r="AH145" s="357"/>
      <c r="AI145" s="78">
        <f t="shared" si="595"/>
        <v>0</v>
      </c>
      <c r="AJ145" s="317">
        <f>AG145</f>
        <v>0</v>
      </c>
      <c r="AK145" s="317">
        <f>AJ145</f>
        <v>0</v>
      </c>
      <c r="AL145" s="78">
        <f t="shared" si="596"/>
        <v>0</v>
      </c>
      <c r="AM145" s="317">
        <f>AJ145</f>
        <v>0</v>
      </c>
      <c r="AN145" s="317">
        <f>AK145</f>
        <v>0</v>
      </c>
      <c r="AO145" s="78">
        <f t="shared" ref="AO145" si="608">+AP145</f>
        <v>0</v>
      </c>
      <c r="AP145" s="317">
        <f>AM145</f>
        <v>0</v>
      </c>
      <c r="AQ145" s="317">
        <f>AP145</f>
        <v>0</v>
      </c>
      <c r="AR145" s="78">
        <f t="shared" ref="AR145:AR149" si="609">+AS145</f>
        <v>0</v>
      </c>
      <c r="AS145" s="340">
        <f>AP145</f>
        <v>0</v>
      </c>
      <c r="AT145" s="340">
        <f>AS145</f>
        <v>0</v>
      </c>
      <c r="AU145" s="340">
        <f>AT145</f>
        <v>0</v>
      </c>
    </row>
    <row r="146" spans="2:47">
      <c r="B146" s="262" t="s">
        <v>318</v>
      </c>
      <c r="C146" s="44"/>
      <c r="D146" s="44"/>
      <c r="E146" s="3"/>
      <c r="F146" s="310"/>
      <c r="G146" s="310"/>
      <c r="H146" s="3"/>
      <c r="I146" s="310"/>
      <c r="J146" s="310"/>
      <c r="K146" s="78"/>
      <c r="L146" s="357"/>
      <c r="M146" s="357"/>
      <c r="N146" s="78">
        <f t="shared" si="602"/>
        <v>0</v>
      </c>
      <c r="O146" s="357"/>
      <c r="P146" s="357"/>
      <c r="Q146" s="78">
        <f t="shared" si="603"/>
        <v>0</v>
      </c>
      <c r="R146" s="357"/>
      <c r="S146" s="357"/>
      <c r="T146" s="78">
        <f t="shared" si="604"/>
        <v>0</v>
      </c>
      <c r="U146" s="357"/>
      <c r="V146" s="357"/>
      <c r="W146" s="78">
        <f t="shared" si="605"/>
        <v>0</v>
      </c>
      <c r="X146" s="357"/>
      <c r="Y146" s="357"/>
      <c r="Z146" s="78">
        <f t="shared" si="606"/>
        <v>0</v>
      </c>
      <c r="AA146" s="357"/>
      <c r="AB146" s="357"/>
      <c r="AC146" s="78">
        <f t="shared" si="607"/>
        <v>0</v>
      </c>
      <c r="AD146" s="357"/>
      <c r="AE146" s="357"/>
      <c r="AF146" s="78">
        <f t="shared" si="594"/>
        <v>0</v>
      </c>
      <c r="AG146" s="357"/>
      <c r="AH146" s="357"/>
      <c r="AI146" s="78">
        <f t="shared" si="595"/>
        <v>0</v>
      </c>
      <c r="AJ146" s="357">
        <v>0</v>
      </c>
      <c r="AK146" s="357">
        <v>0</v>
      </c>
      <c r="AL146" s="78">
        <v>0</v>
      </c>
      <c r="AM146" s="357">
        <v>0</v>
      </c>
      <c r="AN146" s="357">
        <v>0</v>
      </c>
      <c r="AO146" s="78">
        <v>0</v>
      </c>
      <c r="AP146" s="357">
        <v>0</v>
      </c>
      <c r="AQ146" s="357">
        <v>0</v>
      </c>
      <c r="AR146" s="78">
        <f t="shared" si="609"/>
        <v>0</v>
      </c>
      <c r="AS146" s="359">
        <v>0</v>
      </c>
      <c r="AT146" s="359">
        <v>0</v>
      </c>
      <c r="AU146" s="359">
        <v>0</v>
      </c>
    </row>
    <row r="147" spans="2:47">
      <c r="B147" s="262" t="s">
        <v>319</v>
      </c>
      <c r="C147" s="4"/>
      <c r="D147" s="4"/>
      <c r="E147" s="4"/>
      <c r="F147" s="285"/>
      <c r="G147" s="285"/>
      <c r="H147" s="4"/>
      <c r="I147" s="285"/>
      <c r="J147" s="285"/>
      <c r="K147" s="78"/>
      <c r="L147" s="317">
        <f>L145-L146</f>
        <v>0</v>
      </c>
      <c r="M147" s="317">
        <f>M145-M146</f>
        <v>0</v>
      </c>
      <c r="N147" s="78">
        <f t="shared" si="602"/>
        <v>0</v>
      </c>
      <c r="O147" s="317">
        <f>O145-O146</f>
        <v>0</v>
      </c>
      <c r="P147" s="317">
        <f>P145-P146</f>
        <v>0</v>
      </c>
      <c r="Q147" s="78">
        <f t="shared" si="603"/>
        <v>0</v>
      </c>
      <c r="R147" s="317">
        <f>R145-R146</f>
        <v>0</v>
      </c>
      <c r="S147" s="317">
        <f>S145-S146</f>
        <v>0</v>
      </c>
      <c r="T147" s="78">
        <f t="shared" si="604"/>
        <v>8.5470000000000006</v>
      </c>
      <c r="U147" s="357">
        <v>8.5470000000000006</v>
      </c>
      <c r="V147" s="357">
        <v>8.5289999999999999</v>
      </c>
      <c r="W147" s="78">
        <f t="shared" si="605"/>
        <v>8.9120000000000008</v>
      </c>
      <c r="X147" s="357">
        <v>8.9120000000000008</v>
      </c>
      <c r="Y147" s="357">
        <v>8.9120000000000008</v>
      </c>
      <c r="Z147" s="78">
        <f t="shared" si="606"/>
        <v>12.3</v>
      </c>
      <c r="AA147" s="357">
        <v>12.3</v>
      </c>
      <c r="AB147" s="359">
        <v>17.300999999999998</v>
      </c>
      <c r="AC147" s="78">
        <f t="shared" si="607"/>
        <v>15.871</v>
      </c>
      <c r="AD147" s="357">
        <v>15.871</v>
      </c>
      <c r="AE147" s="359">
        <v>32.320999999999998</v>
      </c>
      <c r="AF147" s="78">
        <f t="shared" si="594"/>
        <v>32.716000000000001</v>
      </c>
      <c r="AG147" s="357">
        <v>32.716000000000001</v>
      </c>
      <c r="AH147" s="357">
        <v>32.808999999999997</v>
      </c>
      <c r="AI147" s="78">
        <f t="shared" si="595"/>
        <v>38.427</v>
      </c>
      <c r="AJ147" s="357">
        <v>38.427</v>
      </c>
      <c r="AK147" s="316">
        <f>+AM147</f>
        <v>39.088999999999999</v>
      </c>
      <c r="AL147" s="78">
        <f t="shared" si="596"/>
        <v>39.088999999999999</v>
      </c>
      <c r="AM147" s="357">
        <v>39.088999999999999</v>
      </c>
      <c r="AN147" s="316">
        <f>+AP147</f>
        <v>39.17</v>
      </c>
      <c r="AO147" s="78">
        <f t="shared" ref="AO147:AO148" si="610">+AP147</f>
        <v>39.17</v>
      </c>
      <c r="AP147" s="357">
        <v>39.17</v>
      </c>
      <c r="AQ147" s="317">
        <f>+AP147</f>
        <v>39.17</v>
      </c>
      <c r="AR147" s="78">
        <f t="shared" si="609"/>
        <v>39.17</v>
      </c>
      <c r="AS147" s="340">
        <f>+AP147</f>
        <v>39.17</v>
      </c>
      <c r="AT147" s="340">
        <f t="shared" ref="AT147:AU147" si="611">+AS147</f>
        <v>39.17</v>
      </c>
      <c r="AU147" s="340">
        <f t="shared" si="611"/>
        <v>39.17</v>
      </c>
    </row>
    <row r="148" spans="2:47">
      <c r="B148" s="262" t="s">
        <v>320</v>
      </c>
      <c r="C148" s="7"/>
      <c r="D148" s="7"/>
      <c r="E148" s="4"/>
      <c r="F148" s="289"/>
      <c r="G148" s="290"/>
      <c r="H148" s="4"/>
      <c r="I148" s="289"/>
      <c r="J148" s="290"/>
      <c r="K148" s="78"/>
      <c r="L148" s="357"/>
      <c r="M148" s="357"/>
      <c r="N148" s="78">
        <f t="shared" si="602"/>
        <v>0</v>
      </c>
      <c r="O148" s="357"/>
      <c r="P148" s="357"/>
      <c r="Q148" s="78">
        <f t="shared" si="603"/>
        <v>0</v>
      </c>
      <c r="R148" s="357"/>
      <c r="S148" s="357"/>
      <c r="T148" s="78">
        <f t="shared" si="604"/>
        <v>0</v>
      </c>
      <c r="U148" s="357"/>
      <c r="V148" s="357"/>
      <c r="W148" s="78">
        <f t="shared" si="605"/>
        <v>0</v>
      </c>
      <c r="X148" s="357"/>
      <c r="Y148" s="357"/>
      <c r="Z148" s="78">
        <f t="shared" si="606"/>
        <v>0</v>
      </c>
      <c r="AA148" s="357"/>
      <c r="AB148" s="359"/>
      <c r="AC148" s="78">
        <f t="shared" si="607"/>
        <v>0</v>
      </c>
      <c r="AD148" s="357"/>
      <c r="AE148" s="359"/>
      <c r="AF148" s="78">
        <f t="shared" si="594"/>
        <v>0</v>
      </c>
      <c r="AG148" s="357"/>
      <c r="AH148" s="357"/>
      <c r="AI148" s="78">
        <f t="shared" si="595"/>
        <v>3.528</v>
      </c>
      <c r="AJ148" s="317">
        <f>AG148+AJ311-AJ108-AJ109-AJ111-AJ112-AJ113</f>
        <v>3.528</v>
      </c>
      <c r="AK148" s="317">
        <f>AJ148+AK311-AK108-AK109-AK111-AK112-AK113</f>
        <v>3.528</v>
      </c>
      <c r="AL148" s="78">
        <f t="shared" si="596"/>
        <v>3.7130000000000001</v>
      </c>
      <c r="AM148" s="317">
        <f>AJ148+AM311-AM108-AM109-AM111-AM112-AM113</f>
        <v>3.7130000000000001</v>
      </c>
      <c r="AN148" s="317">
        <f>AK148+AN311-AN108-AN109-AN111-AN112-AN113</f>
        <v>10.657</v>
      </c>
      <c r="AO148" s="78">
        <f t="shared" si="610"/>
        <v>17.881999999999998</v>
      </c>
      <c r="AP148" s="317">
        <f>AM148+AP311-AP108-AP109-AP111-AP112-AP113</f>
        <v>17.881999999999998</v>
      </c>
      <c r="AQ148" s="317">
        <f>AP148+AQ311-AQ108-AQ109-AQ111-AQ112-AQ113</f>
        <v>24.824774684554139</v>
      </c>
      <c r="AR148" s="78">
        <f t="shared" si="609"/>
        <v>32.139797076433119</v>
      </c>
      <c r="AS148" s="340">
        <f>AP148+AS311-AS108-AS109-AS111-AS112-AS113</f>
        <v>32.139797076433119</v>
      </c>
      <c r="AT148" s="340">
        <f t="shared" ref="AT148:AU148" si="612">AS148+AT311-AT108-AT109-AT111-AT112-AT113</f>
        <v>47.396788036208918</v>
      </c>
      <c r="AU148" s="340">
        <f t="shared" si="612"/>
        <v>63.642422233039397</v>
      </c>
    </row>
    <row r="149" spans="2:47">
      <c r="B149" s="262" t="s">
        <v>318</v>
      </c>
      <c r="C149" s="36"/>
      <c r="D149" s="36"/>
      <c r="E149" s="4"/>
      <c r="F149" s="311"/>
      <c r="G149" s="289"/>
      <c r="H149" s="4"/>
      <c r="I149" s="311"/>
      <c r="J149" s="289"/>
      <c r="K149" s="78"/>
      <c r="L149" s="357"/>
      <c r="M149" s="357"/>
      <c r="N149" s="78">
        <f t="shared" si="602"/>
        <v>0</v>
      </c>
      <c r="O149" s="357"/>
      <c r="P149" s="357"/>
      <c r="Q149" s="78">
        <f t="shared" si="603"/>
        <v>0</v>
      </c>
      <c r="R149" s="357"/>
      <c r="S149" s="357"/>
      <c r="T149" s="78">
        <f t="shared" si="604"/>
        <v>0</v>
      </c>
      <c r="U149" s="357"/>
      <c r="V149" s="357"/>
      <c r="W149" s="78">
        <f t="shared" si="605"/>
        <v>0</v>
      </c>
      <c r="X149" s="357"/>
      <c r="Y149" s="357"/>
      <c r="Z149" s="78">
        <f t="shared" si="606"/>
        <v>0</v>
      </c>
      <c r="AA149" s="357"/>
      <c r="AB149" s="359"/>
      <c r="AC149" s="78">
        <f t="shared" si="607"/>
        <v>0</v>
      </c>
      <c r="AD149" s="357"/>
      <c r="AE149" s="359"/>
      <c r="AF149" s="78">
        <f t="shared" si="594"/>
        <v>0</v>
      </c>
      <c r="AG149" s="357"/>
      <c r="AH149" s="357"/>
      <c r="AI149" s="78">
        <f t="shared" si="595"/>
        <v>0</v>
      </c>
      <c r="AJ149" s="318">
        <f>AG149+AJ42</f>
        <v>0</v>
      </c>
      <c r="AK149" s="357">
        <v>0</v>
      </c>
      <c r="AL149" s="508">
        <v>0</v>
      </c>
      <c r="AM149" s="357">
        <v>0</v>
      </c>
      <c r="AN149" s="357">
        <v>0</v>
      </c>
      <c r="AO149" s="508">
        <v>0</v>
      </c>
      <c r="AP149" s="357">
        <v>0</v>
      </c>
      <c r="AQ149" s="318">
        <f>AP149+AQ42</f>
        <v>1.7426196426751595</v>
      </c>
      <c r="AR149" s="78">
        <f t="shared" si="609"/>
        <v>3.4852392853503189</v>
      </c>
      <c r="AS149" s="305">
        <f>AP149+AS42</f>
        <v>3.4852392853503189</v>
      </c>
      <c r="AT149" s="305">
        <f t="shared" ref="AT149:AU149" si="613">AS149+AT42</f>
        <v>10.699965249756945</v>
      </c>
      <c r="AU149" s="305">
        <f t="shared" si="613"/>
        <v>21.885846240055464</v>
      </c>
    </row>
    <row r="150" spans="2:47">
      <c r="B150" s="262" t="s">
        <v>432</v>
      </c>
      <c r="C150" s="7"/>
      <c r="D150" s="7"/>
      <c r="E150" s="4"/>
      <c r="F150" s="290"/>
      <c r="G150" s="290"/>
      <c r="H150" s="4"/>
      <c r="I150" s="290"/>
      <c r="J150" s="290"/>
      <c r="K150" s="78"/>
      <c r="L150" s="357">
        <v>6.923</v>
      </c>
      <c r="M150" s="357">
        <v>7.17</v>
      </c>
      <c r="N150" s="78">
        <f t="shared" si="602"/>
        <v>7.6040000000000001</v>
      </c>
      <c r="O150" s="357">
        <v>7.6040000000000001</v>
      </c>
      <c r="P150" s="357">
        <v>7.3680000000000003</v>
      </c>
      <c r="Q150" s="78">
        <f t="shared" si="603"/>
        <v>10.754</v>
      </c>
      <c r="R150" s="357">
        <v>10.754</v>
      </c>
      <c r="S150" s="357">
        <v>10.552</v>
      </c>
      <c r="T150" s="78">
        <f t="shared" si="604"/>
        <v>0.90499999999999936</v>
      </c>
      <c r="U150" s="357">
        <f>9.452-U147</f>
        <v>0.90499999999999936</v>
      </c>
      <c r="V150" s="357">
        <f>9.295-V147</f>
        <v>0.76600000000000001</v>
      </c>
      <c r="W150" s="78">
        <f t="shared" si="605"/>
        <v>0.4659999999999993</v>
      </c>
      <c r="X150" s="357">
        <f>9.378-X147</f>
        <v>0.4659999999999993</v>
      </c>
      <c r="Y150" s="357">
        <f>9.504-Y147</f>
        <v>0.59199999999999875</v>
      </c>
      <c r="Z150" s="78">
        <f t="shared" si="606"/>
        <v>0.92899999999999849</v>
      </c>
      <c r="AA150" s="357">
        <f>13.229-AA147</f>
        <v>0.92899999999999849</v>
      </c>
      <c r="AB150" s="359">
        <f>18.205-AB147</f>
        <v>0.90399999999999991</v>
      </c>
      <c r="AC150" s="78">
        <f t="shared" si="607"/>
        <v>1.6100000000000012</v>
      </c>
      <c r="AD150" s="357">
        <v>1.6100000000000012</v>
      </c>
      <c r="AE150" s="359">
        <f>35.506-AE147</f>
        <v>3.1850000000000023</v>
      </c>
      <c r="AF150" s="78">
        <f t="shared" si="594"/>
        <v>2.8279999999999959</v>
      </c>
      <c r="AG150" s="357">
        <f>35.544-AG147</f>
        <v>2.8279999999999959</v>
      </c>
      <c r="AH150" s="357">
        <f>35.365-AH147</f>
        <v>2.5560000000000045</v>
      </c>
      <c r="AI150" s="78">
        <f t="shared" si="595"/>
        <v>2.2989999999999995</v>
      </c>
      <c r="AJ150" s="357">
        <f>40.726-AJ147</f>
        <v>2.2989999999999995</v>
      </c>
      <c r="AK150" s="357">
        <f>40.726-AK147</f>
        <v>1.6370000000000005</v>
      </c>
      <c r="AL150" s="78">
        <f t="shared" ref="AL150" si="614">+AM150</f>
        <v>2.0260000000000034</v>
      </c>
      <c r="AM150" s="357">
        <f>41.115-AM147</f>
        <v>2.0260000000000034</v>
      </c>
      <c r="AN150" s="357">
        <f>47.232-AN147</f>
        <v>8.0619999999999976</v>
      </c>
      <c r="AO150" s="78">
        <f t="shared" ref="AO150" si="615">+AP150</f>
        <v>14.236999999999995</v>
      </c>
      <c r="AP150" s="357">
        <f>53.407-AP147</f>
        <v>14.236999999999995</v>
      </c>
      <c r="AQ150" s="317">
        <f>+AQ148-AQ149</f>
        <v>23.08215504187898</v>
      </c>
      <c r="AR150" s="78">
        <f t="shared" ref="AR150" si="616">+AR148-AR149</f>
        <v>28.654557791082802</v>
      </c>
      <c r="AS150" s="340">
        <f t="shared" ref="AS150:AU150" si="617">+AS148-AS149</f>
        <v>28.654557791082802</v>
      </c>
      <c r="AT150" s="340">
        <f t="shared" si="617"/>
        <v>36.696822786451975</v>
      </c>
      <c r="AU150" s="340">
        <f t="shared" si="617"/>
        <v>41.756575992983933</v>
      </c>
    </row>
    <row r="151" spans="2:47">
      <c r="B151" s="262" t="s">
        <v>439</v>
      </c>
      <c r="C151" s="7"/>
      <c r="D151" s="7"/>
      <c r="E151" s="4"/>
      <c r="F151" s="290"/>
      <c r="G151" s="290"/>
      <c r="H151" s="4"/>
      <c r="I151" s="290"/>
      <c r="J151" s="290"/>
      <c r="K151" s="70"/>
      <c r="L151" s="317"/>
      <c r="M151" s="316"/>
      <c r="N151" s="70"/>
      <c r="O151" s="317"/>
      <c r="P151" s="316"/>
      <c r="Q151" s="70"/>
      <c r="R151" s="317"/>
      <c r="S151" s="316"/>
      <c r="T151" s="70"/>
      <c r="U151" s="317"/>
      <c r="V151" s="316"/>
      <c r="W151" s="70"/>
      <c r="X151" s="317"/>
      <c r="Y151" s="316"/>
      <c r="Z151" s="70"/>
      <c r="AA151" s="317"/>
      <c r="AB151" s="316"/>
      <c r="AC151" s="70"/>
      <c r="AD151" s="317"/>
      <c r="AE151" s="316"/>
      <c r="AF151" s="70"/>
      <c r="AG151" s="317"/>
      <c r="AH151" s="316"/>
      <c r="AI151" s="70"/>
      <c r="AJ151" s="317"/>
      <c r="AK151" s="317"/>
      <c r="AL151" s="70"/>
      <c r="AM151" s="317"/>
      <c r="AN151" s="317"/>
      <c r="AO151" s="70"/>
      <c r="AP151" s="317"/>
      <c r="AQ151" s="317"/>
      <c r="AR151" s="70"/>
      <c r="AS151" s="317"/>
      <c r="AT151" s="317"/>
      <c r="AU151" s="317"/>
    </row>
    <row r="152" spans="2:47">
      <c r="B152" s="262"/>
      <c r="C152" s="54"/>
      <c r="D152" s="54"/>
      <c r="E152" s="4"/>
      <c r="F152" s="312"/>
      <c r="G152" s="312"/>
      <c r="H152" s="4"/>
      <c r="I152" s="312"/>
      <c r="J152" s="312"/>
      <c r="K152" s="73"/>
      <c r="L152" s="336"/>
      <c r="M152" s="336"/>
      <c r="N152" s="73"/>
      <c r="O152" s="336"/>
      <c r="P152" s="336"/>
      <c r="Q152" s="73"/>
      <c r="R152" s="336"/>
      <c r="S152" s="336"/>
      <c r="T152" s="73"/>
      <c r="U152" s="336"/>
      <c r="V152" s="336"/>
      <c r="W152" s="73"/>
      <c r="X152" s="336"/>
      <c r="Y152" s="336"/>
      <c r="Z152" s="73"/>
      <c r="AA152" s="336"/>
      <c r="AB152" s="336"/>
      <c r="AC152" s="73"/>
      <c r="AD152" s="336"/>
      <c r="AE152" s="336"/>
      <c r="AF152" s="73"/>
      <c r="AG152" s="336"/>
      <c r="AH152" s="336"/>
      <c r="AI152" s="73"/>
      <c r="AJ152" s="336"/>
      <c r="AK152" s="336"/>
      <c r="AL152" s="73"/>
      <c r="AM152" s="336"/>
      <c r="AN152" s="336"/>
      <c r="AO152" s="73"/>
      <c r="AP152" s="336"/>
      <c r="AQ152" s="336"/>
      <c r="AR152" s="73"/>
      <c r="AS152" s="336"/>
      <c r="AT152" s="336"/>
      <c r="AU152" s="336"/>
    </row>
    <row r="153" spans="2:47">
      <c r="B153" s="262" t="s">
        <v>409</v>
      </c>
      <c r="C153" s="7"/>
      <c r="D153" s="7"/>
      <c r="E153" s="4"/>
      <c r="F153" s="290"/>
      <c r="G153" s="290"/>
      <c r="H153" s="4"/>
      <c r="I153" s="290"/>
      <c r="J153" s="290"/>
      <c r="K153" s="70"/>
      <c r="L153" s="357"/>
      <c r="M153" s="357"/>
      <c r="N153" s="70"/>
      <c r="O153" s="357"/>
      <c r="P153" s="357"/>
      <c r="Q153" s="70"/>
      <c r="R153" s="357"/>
      <c r="S153" s="357"/>
      <c r="T153" s="70"/>
      <c r="U153" s="357"/>
      <c r="V153" s="357"/>
      <c r="W153" s="70"/>
      <c r="X153" s="357"/>
      <c r="Y153" s="357"/>
      <c r="Z153" s="70"/>
      <c r="AA153" s="357"/>
      <c r="AB153" s="357"/>
      <c r="AC153" s="70"/>
      <c r="AD153" s="357"/>
      <c r="AE153" s="357"/>
      <c r="AF153" s="70"/>
      <c r="AG153" s="357"/>
      <c r="AH153" s="357"/>
      <c r="AI153" s="70"/>
      <c r="AJ153" s="317"/>
      <c r="AK153" s="317"/>
      <c r="AL153" s="70"/>
      <c r="AM153" s="317">
        <f>AJ153+AM52-AM118-AM109-AM113</f>
        <v>0</v>
      </c>
      <c r="AN153" s="317">
        <f>AK153+AN52-AN118-AN109-AN113</f>
        <v>0</v>
      </c>
      <c r="AO153" s="70"/>
      <c r="AP153" s="317">
        <f>AM153+AP52-AP118-AP109-AP113</f>
        <v>0</v>
      </c>
      <c r="AQ153" s="317">
        <f>AP153+AQ52-AQ118-AQ109-AQ113</f>
        <v>0</v>
      </c>
      <c r="AR153" s="70"/>
      <c r="AS153" s="317">
        <f>AP153+AS52-AS118-AS109-AS113</f>
        <v>0</v>
      </c>
      <c r="AT153" s="317">
        <f t="shared" ref="AT153:AU153" si="618">AS153+AT52-AT118-AT109-AT113</f>
        <v>0</v>
      </c>
      <c r="AU153" s="317">
        <f t="shared" si="618"/>
        <v>0</v>
      </c>
    </row>
    <row r="154" spans="2:47">
      <c r="B154" s="262" t="s">
        <v>410</v>
      </c>
      <c r="C154" s="7"/>
      <c r="D154" s="7"/>
      <c r="E154" s="4"/>
      <c r="F154" s="290"/>
      <c r="G154" s="290"/>
      <c r="H154" s="4"/>
      <c r="I154" s="290"/>
      <c r="J154" s="290"/>
      <c r="K154" s="70"/>
      <c r="L154" s="357"/>
      <c r="M154" s="357"/>
      <c r="N154" s="70"/>
      <c r="O154" s="357"/>
      <c r="P154" s="357"/>
      <c r="Q154" s="70"/>
      <c r="R154" s="357"/>
      <c r="S154" s="357"/>
      <c r="T154" s="70"/>
      <c r="U154" s="357"/>
      <c r="V154" s="357"/>
      <c r="W154" s="70"/>
      <c r="X154" s="357"/>
      <c r="Y154" s="357"/>
      <c r="Z154" s="70"/>
      <c r="AA154" s="357"/>
      <c r="AB154" s="357"/>
      <c r="AC154" s="70"/>
      <c r="AD154" s="357"/>
      <c r="AE154" s="357"/>
      <c r="AF154" s="70"/>
      <c r="AG154" s="357"/>
      <c r="AH154" s="357"/>
      <c r="AI154" s="70"/>
      <c r="AJ154" s="317"/>
      <c r="AK154" s="317"/>
      <c r="AL154" s="70"/>
      <c r="AM154" s="317">
        <f>AJ154-AM119</f>
        <v>0</v>
      </c>
      <c r="AN154" s="317">
        <f>AK154-AN119</f>
        <v>0</v>
      </c>
      <c r="AO154" s="70"/>
      <c r="AP154" s="317">
        <f>AM154-AP119</f>
        <v>0</v>
      </c>
      <c r="AQ154" s="317">
        <f>AP154-AQ119</f>
        <v>0</v>
      </c>
      <c r="AR154" s="70"/>
      <c r="AS154" s="317">
        <f>AP154-AS119</f>
        <v>0</v>
      </c>
      <c r="AT154" s="317">
        <f t="shared" ref="AT154:AU154" si="619">AS154-AT119</f>
        <v>0</v>
      </c>
      <c r="AU154" s="317">
        <f t="shared" si="619"/>
        <v>0</v>
      </c>
    </row>
    <row r="155" spans="2:47">
      <c r="B155" s="262" t="s">
        <v>144</v>
      </c>
      <c r="C155" s="4"/>
      <c r="D155" s="4"/>
      <c r="E155" s="4"/>
      <c r="F155" s="285"/>
      <c r="G155" s="285"/>
      <c r="H155" s="4"/>
      <c r="I155" s="285"/>
      <c r="J155" s="285"/>
      <c r="K155" s="78"/>
      <c r="L155" s="357">
        <v>0</v>
      </c>
      <c r="M155" s="318">
        <f>SUM(M153:M154)</f>
        <v>0</v>
      </c>
      <c r="N155" s="78">
        <f t="shared" ref="N155:N158" si="620">+O155</f>
        <v>0</v>
      </c>
      <c r="O155" s="357">
        <v>0</v>
      </c>
      <c r="P155" s="318">
        <f>SUM(P153:P154)</f>
        <v>0</v>
      </c>
      <c r="Q155" s="78">
        <f t="shared" ref="Q155:Q158" si="621">+R155</f>
        <v>0</v>
      </c>
      <c r="R155" s="357">
        <v>0</v>
      </c>
      <c r="S155" s="318">
        <f>SUM(S153:S154)</f>
        <v>0</v>
      </c>
      <c r="T155" s="78">
        <f t="shared" ref="T155:T158" si="622">+U155</f>
        <v>0</v>
      </c>
      <c r="U155" s="357">
        <v>0</v>
      </c>
      <c r="V155" s="318">
        <f>SUM(V153:V154)</f>
        <v>0</v>
      </c>
      <c r="W155" s="78">
        <f t="shared" ref="W155:W158" si="623">+X155</f>
        <v>0</v>
      </c>
      <c r="X155" s="357">
        <v>0</v>
      </c>
      <c r="Y155" s="318">
        <f>SUM(Y153:Y154)</f>
        <v>0</v>
      </c>
      <c r="Z155" s="78">
        <f t="shared" ref="Z155:Z158" si="624">+AA155</f>
        <v>0</v>
      </c>
      <c r="AA155" s="357">
        <v>0</v>
      </c>
      <c r="AB155" s="318">
        <f>SUM(AB153:AB154)</f>
        <v>0</v>
      </c>
      <c r="AC155" s="78">
        <f t="shared" ref="AC155:AC158" si="625">+AD155</f>
        <v>0</v>
      </c>
      <c r="AD155" s="357">
        <v>0</v>
      </c>
      <c r="AE155" s="318">
        <f>SUM(AE153:AE154)</f>
        <v>0</v>
      </c>
      <c r="AF155" s="78">
        <f t="shared" ref="AF155:AF158" si="626">+AG155</f>
        <v>0</v>
      </c>
      <c r="AG155" s="357">
        <v>0</v>
      </c>
      <c r="AH155" s="318">
        <f>SUM(AH153:AH154)</f>
        <v>0</v>
      </c>
      <c r="AI155" s="78">
        <f t="shared" ref="AI155:AI158" si="627">+AJ155</f>
        <v>0</v>
      </c>
      <c r="AJ155" s="357">
        <v>0</v>
      </c>
      <c r="AK155" s="357">
        <v>0</v>
      </c>
      <c r="AL155" s="78">
        <f t="shared" ref="AL155:AL158" si="628">+AM155</f>
        <v>0</v>
      </c>
      <c r="AM155" s="357">
        <v>0</v>
      </c>
      <c r="AN155" s="357">
        <v>0</v>
      </c>
      <c r="AO155" s="78">
        <f t="shared" ref="AO155:AO158" si="629">+AP155</f>
        <v>0</v>
      </c>
      <c r="AP155" s="357">
        <v>0</v>
      </c>
      <c r="AQ155" s="318">
        <f t="shared" ref="AQ155" si="630">SUM(AQ153:AQ154)</f>
        <v>0</v>
      </c>
      <c r="AR155" s="78">
        <f t="shared" ref="AR155:AR158" si="631">+AS155</f>
        <v>0</v>
      </c>
      <c r="AS155" s="318">
        <f t="shared" ref="AS155:AU155" si="632">SUM(AS153:AS154)</f>
        <v>0</v>
      </c>
      <c r="AT155" s="318">
        <f t="shared" si="632"/>
        <v>0</v>
      </c>
      <c r="AU155" s="318">
        <f t="shared" si="632"/>
        <v>0</v>
      </c>
    </row>
    <row r="156" spans="2:47">
      <c r="B156" s="262" t="s">
        <v>321</v>
      </c>
      <c r="C156" s="7"/>
      <c r="D156" s="7"/>
      <c r="E156" s="4"/>
      <c r="F156" s="290"/>
      <c r="G156" s="290"/>
      <c r="H156" s="4"/>
      <c r="I156" s="290"/>
      <c r="J156" s="290"/>
      <c r="K156" s="78"/>
      <c r="L156" s="357"/>
      <c r="M156" s="357"/>
      <c r="N156" s="78">
        <f t="shared" si="620"/>
        <v>0</v>
      </c>
      <c r="O156" s="357"/>
      <c r="P156" s="357"/>
      <c r="Q156" s="78">
        <f t="shared" si="621"/>
        <v>0</v>
      </c>
      <c r="R156" s="357"/>
      <c r="S156" s="357"/>
      <c r="T156" s="78">
        <f t="shared" si="622"/>
        <v>0</v>
      </c>
      <c r="U156" s="357"/>
      <c r="V156" s="357"/>
      <c r="W156" s="78">
        <f t="shared" si="623"/>
        <v>0</v>
      </c>
      <c r="X156" s="357"/>
      <c r="Y156" s="357"/>
      <c r="Z156" s="78">
        <f t="shared" si="624"/>
        <v>0</v>
      </c>
      <c r="AA156" s="357"/>
      <c r="AB156" s="357"/>
      <c r="AC156" s="78">
        <f t="shared" si="625"/>
        <v>0</v>
      </c>
      <c r="AD156" s="357"/>
      <c r="AE156" s="357"/>
      <c r="AF156" s="78">
        <f t="shared" si="626"/>
        <v>0</v>
      </c>
      <c r="AG156" s="357"/>
      <c r="AH156" s="357"/>
      <c r="AI156" s="78">
        <f t="shared" si="627"/>
        <v>0</v>
      </c>
      <c r="AJ156" s="317">
        <f>AG156</f>
        <v>0</v>
      </c>
      <c r="AK156" s="317">
        <f t="shared" ref="AK156" si="633">AJ156</f>
        <v>0</v>
      </c>
      <c r="AL156" s="78">
        <f t="shared" si="628"/>
        <v>2.419</v>
      </c>
      <c r="AM156" s="357">
        <v>2.419</v>
      </c>
      <c r="AN156" s="357">
        <v>0.58399999999999996</v>
      </c>
      <c r="AO156" s="78">
        <f t="shared" si="629"/>
        <v>0</v>
      </c>
      <c r="AP156" s="357">
        <v>0</v>
      </c>
      <c r="AQ156" s="317">
        <f t="shared" ref="AQ156" si="634">AP156</f>
        <v>0</v>
      </c>
      <c r="AR156" s="78">
        <f t="shared" si="631"/>
        <v>0</v>
      </c>
      <c r="AS156" s="317">
        <f>AP156</f>
        <v>0</v>
      </c>
      <c r="AT156" s="317">
        <f t="shared" ref="AT156:AU156" si="635">AS156</f>
        <v>0</v>
      </c>
      <c r="AU156" s="317">
        <f t="shared" si="635"/>
        <v>0</v>
      </c>
    </row>
    <row r="157" spans="2:47">
      <c r="B157" s="262" t="s">
        <v>194</v>
      </c>
      <c r="C157" s="7"/>
      <c r="D157" s="7"/>
      <c r="E157" s="4"/>
      <c r="F157" s="290"/>
      <c r="G157" s="290"/>
      <c r="H157" s="4"/>
      <c r="I157" s="290"/>
      <c r="J157" s="290"/>
      <c r="K157" s="78"/>
      <c r="L157" s="359">
        <v>0.309</v>
      </c>
      <c r="M157" s="357">
        <v>0.44800000000000001</v>
      </c>
      <c r="N157" s="78">
        <f t="shared" si="620"/>
        <v>0.32900000000000001</v>
      </c>
      <c r="O157" s="359">
        <v>0.32900000000000001</v>
      </c>
      <c r="P157" s="357">
        <v>0.41499999999999998</v>
      </c>
      <c r="Q157" s="78">
        <f t="shared" si="621"/>
        <v>0.34200000000000003</v>
      </c>
      <c r="R157" s="359">
        <v>0.34200000000000003</v>
      </c>
      <c r="S157" s="357">
        <v>0.60799999999999998</v>
      </c>
      <c r="T157" s="78">
        <f t="shared" si="622"/>
        <v>0.91300000000000003</v>
      </c>
      <c r="U157" s="359">
        <v>0.91300000000000003</v>
      </c>
      <c r="V157" s="357">
        <v>1.056</v>
      </c>
      <c r="W157" s="78">
        <f t="shared" si="623"/>
        <v>1.0760000000000001</v>
      </c>
      <c r="X157" s="359">
        <v>1.0760000000000001</v>
      </c>
      <c r="Y157" s="357">
        <f>8.943+1.207</f>
        <v>10.15</v>
      </c>
      <c r="Z157" s="78">
        <f t="shared" si="624"/>
        <v>9.8970000000000002</v>
      </c>
      <c r="AA157" s="359">
        <f>8.314+1.583</f>
        <v>9.8970000000000002</v>
      </c>
      <c r="AB157" s="357">
        <f>9.227+1.563+0.005</f>
        <v>10.795000000000002</v>
      </c>
      <c r="AC157" s="78">
        <f t="shared" si="625"/>
        <v>10.946000000000002</v>
      </c>
      <c r="AD157" s="359">
        <f>9.162+1.778+0.006</f>
        <v>10.946000000000002</v>
      </c>
      <c r="AE157" s="357">
        <f>9.508+2.383</f>
        <v>11.890999999999998</v>
      </c>
      <c r="AF157" s="78">
        <f t="shared" si="626"/>
        <v>10.535</v>
      </c>
      <c r="AG157" s="359">
        <f>8.365+2.17</f>
        <v>10.535</v>
      </c>
      <c r="AH157" s="357">
        <f>8.065+2.313</f>
        <v>10.378</v>
      </c>
      <c r="AI157" s="78">
        <f t="shared" si="627"/>
        <v>8.9879999999999995</v>
      </c>
      <c r="AJ157" s="359">
        <f>6.712+2.27+0.006</f>
        <v>8.9879999999999995</v>
      </c>
      <c r="AK157" s="359">
        <f>2.518+0.006+5.551</f>
        <v>8.0749999999999993</v>
      </c>
      <c r="AL157" s="78">
        <f t="shared" si="628"/>
        <v>13.649000000000001</v>
      </c>
      <c r="AM157" s="359">
        <f>13.643+0.006</f>
        <v>13.649000000000001</v>
      </c>
      <c r="AN157" s="359">
        <f>12.307+0.006</f>
        <v>12.313000000000001</v>
      </c>
      <c r="AO157" s="78">
        <f t="shared" si="629"/>
        <v>11.061999999999999</v>
      </c>
      <c r="AP157" s="359">
        <f>11.056+0.006</f>
        <v>11.061999999999999</v>
      </c>
      <c r="AQ157" s="340">
        <f>AP157-AQ120</f>
        <v>12.354999999999999</v>
      </c>
      <c r="AR157" s="78">
        <f t="shared" si="631"/>
        <v>13.605</v>
      </c>
      <c r="AS157" s="340">
        <f>AP157-AS120</f>
        <v>13.605</v>
      </c>
      <c r="AT157" s="340">
        <f t="shared" ref="AT157:AU157" si="636">AS157-AT120</f>
        <v>16.148</v>
      </c>
      <c r="AU157" s="340">
        <f t="shared" si="636"/>
        <v>18.690999999999999</v>
      </c>
    </row>
    <row r="158" spans="2:47">
      <c r="B158" s="261" t="s">
        <v>322</v>
      </c>
      <c r="C158" s="38"/>
      <c r="D158" s="38"/>
      <c r="E158" s="4"/>
      <c r="F158" s="285"/>
      <c r="G158" s="285"/>
      <c r="H158" s="4"/>
      <c r="I158" s="285"/>
      <c r="J158" s="285"/>
      <c r="K158" s="78"/>
      <c r="L158" s="318">
        <f t="shared" ref="L158" si="637">L139+L140+L143+L147+L151+L150+L153+L154+L156+L157</f>
        <v>8.1429999999999989</v>
      </c>
      <c r="M158" s="318">
        <f>M139+M140+M143+M147+M151+M150+M153+M154+M156+M157</f>
        <v>9.6059999999999999</v>
      </c>
      <c r="N158" s="78">
        <f t="shared" si="620"/>
        <v>9.7510000000000012</v>
      </c>
      <c r="O158" s="318">
        <f t="shared" ref="O158" si="638">O139+O140+O143+O147+O151+O150+O153+O154+O156+O157</f>
        <v>9.7510000000000012</v>
      </c>
      <c r="P158" s="318">
        <f>P139+P140+P143+P147+P151+P150+P153+P154+P156+P157</f>
        <v>9.2829999999999995</v>
      </c>
      <c r="Q158" s="78">
        <f t="shared" si="621"/>
        <v>12.452999999999999</v>
      </c>
      <c r="R158" s="318">
        <f t="shared" ref="R158" si="639">R139+R140+R143+R147+R151+R150+R153+R154+R156+R157</f>
        <v>12.452999999999999</v>
      </c>
      <c r="S158" s="318">
        <f>S139+S140+S143+S147+S151+S150+S153+S154+S156+S157</f>
        <v>15.962</v>
      </c>
      <c r="T158" s="78">
        <f t="shared" si="622"/>
        <v>15.609</v>
      </c>
      <c r="U158" s="318">
        <f t="shared" ref="U158" si="640">U139+U140+U143+U147+U151+U150+U153+U154+U156+U157</f>
        <v>15.609</v>
      </c>
      <c r="V158" s="318">
        <f>V139+V140+V143+V147+V151+V150+V153+V154+V156+V157</f>
        <v>15.582999999999998</v>
      </c>
      <c r="W158" s="78">
        <f t="shared" si="623"/>
        <v>16.835999999999999</v>
      </c>
      <c r="X158" s="318">
        <f t="shared" ref="X158" si="641">X139+X140+X143+X147+X151+X150+X153+X154+X156+X157</f>
        <v>16.835999999999999</v>
      </c>
      <c r="Y158" s="318">
        <f>Y139+Y140+Y143+Y147+Y151+Y150+Y153+Y154+Y156+Y157</f>
        <v>26.214999999999996</v>
      </c>
      <c r="Z158" s="78">
        <f t="shared" si="624"/>
        <v>28.900999999999996</v>
      </c>
      <c r="AA158" s="318">
        <f t="shared" ref="AA158" si="642">AA139+AA140+AA143+AA147+AA151+AA150+AA153+AA154+AA156+AA157</f>
        <v>28.900999999999996</v>
      </c>
      <c r="AB158" s="318">
        <f>AB139+AB140+AB143+AB147+AB151+AB150+AB153+AB154+AB156+AB157</f>
        <v>34.370000000000005</v>
      </c>
      <c r="AC158" s="78">
        <f t="shared" si="625"/>
        <v>33.963999999999999</v>
      </c>
      <c r="AD158" s="318">
        <f t="shared" ref="AD158" si="643">AD139+AD140+AD143+AD147+AD151+AD150+AD153+AD154+AD156+AD157</f>
        <v>33.963999999999999</v>
      </c>
      <c r="AE158" s="318">
        <f>AE139+AE140+AE143+AE147+AE151+AE150+AE153+AE154+AE156+AE157</f>
        <v>52.993000000000002</v>
      </c>
      <c r="AF158" s="78">
        <f t="shared" si="626"/>
        <v>50.872</v>
      </c>
      <c r="AG158" s="318">
        <f t="shared" ref="AG158" si="644">AG139+AG140+AG143+AG147+AG151+AG150+AG153+AG154+AG156+AG157</f>
        <v>50.872</v>
      </c>
      <c r="AH158" s="318">
        <f>AH139+AH140+AH143+AH147+AH151+AH150+AH153+AH154+AH156+AH157</f>
        <v>50.631</v>
      </c>
      <c r="AI158" s="78">
        <f t="shared" si="627"/>
        <v>54.005000000000003</v>
      </c>
      <c r="AJ158" s="318">
        <f t="shared" ref="AJ158:AU158" si="645">AJ139+AJ140+AJ143+AJ147+AJ151+AJ150+AJ153+AJ154+AJ156+AJ157</f>
        <v>54.005000000000003</v>
      </c>
      <c r="AK158" s="318">
        <f>AK139+AK140+AK143+AK147+AK151+AK150+AK153+AK154+AK156+AK157</f>
        <v>52.491</v>
      </c>
      <c r="AL158" s="78">
        <f t="shared" si="628"/>
        <v>60.155999999999999</v>
      </c>
      <c r="AM158" s="318">
        <f>AM139+AM140+AM143+AM147+AM151+AM150+AM153+AM154+AM156+AM157</f>
        <v>60.155999999999999</v>
      </c>
      <c r="AN158" s="318">
        <f>AN139+AN140+AN143+AN147+AN151+AN150+AN153+AN154+AN156+AN157</f>
        <v>62.457000000000008</v>
      </c>
      <c r="AO158" s="78">
        <f t="shared" si="629"/>
        <v>66.986999999999995</v>
      </c>
      <c r="AP158" s="318">
        <f>AP139+AP140+AP143+AP147+AP151+AP150+AP153+AP154+AP156+AP157</f>
        <v>66.986999999999995</v>
      </c>
      <c r="AQ158" s="318">
        <f>AQ139+AQ140+AQ143+AQ147+AQ151+AQ150+AQ153+AQ154+AQ156+AQ157</f>
        <v>76.026837883248817</v>
      </c>
      <c r="AR158" s="78">
        <f t="shared" si="631"/>
        <v>84.784012158918017</v>
      </c>
      <c r="AS158" s="318">
        <f t="shared" si="645"/>
        <v>84.784012158918017</v>
      </c>
      <c r="AT158" s="318">
        <f t="shared" si="645"/>
        <v>93.842976564450908</v>
      </c>
      <c r="AU158" s="318">
        <f t="shared" si="645"/>
        <v>101.01535626343025</v>
      </c>
    </row>
    <row r="159" spans="2:47">
      <c r="B159" s="261"/>
      <c r="C159" s="54"/>
      <c r="D159" s="54"/>
      <c r="E159" s="4"/>
      <c r="F159" s="312"/>
      <c r="G159" s="312"/>
      <c r="H159" s="4"/>
      <c r="I159" s="312"/>
      <c r="J159" s="312"/>
      <c r="K159" s="73"/>
      <c r="L159" s="336"/>
      <c r="M159" s="336"/>
      <c r="N159" s="73"/>
      <c r="O159" s="336"/>
      <c r="P159" s="336"/>
      <c r="Q159" s="73"/>
      <c r="R159" s="336"/>
      <c r="S159" s="336"/>
      <c r="T159" s="73"/>
      <c r="U159" s="336"/>
      <c r="V159" s="336"/>
      <c r="W159" s="73"/>
      <c r="X159" s="336"/>
      <c r="Y159" s="336"/>
      <c r="Z159" s="73"/>
      <c r="AA159" s="336"/>
      <c r="AB159" s="336"/>
      <c r="AC159" s="73"/>
      <c r="AD159" s="336"/>
      <c r="AE159" s="336"/>
      <c r="AF159" s="73"/>
      <c r="AG159" s="336"/>
      <c r="AH159" s="336"/>
      <c r="AI159" s="73"/>
      <c r="AJ159" s="336"/>
      <c r="AK159" s="336"/>
      <c r="AL159" s="73"/>
      <c r="AM159" s="336"/>
      <c r="AN159" s="336"/>
      <c r="AO159" s="73"/>
      <c r="AP159" s="336"/>
      <c r="AQ159" s="336"/>
      <c r="AR159" s="73"/>
      <c r="AS159" s="336"/>
      <c r="AT159" s="336"/>
      <c r="AU159" s="336"/>
    </row>
    <row r="160" spans="2:47">
      <c r="B160" s="263" t="s">
        <v>323</v>
      </c>
      <c r="C160" s="10"/>
      <c r="D160" s="10"/>
      <c r="E160" s="41"/>
      <c r="F160" s="293"/>
      <c r="G160" s="293"/>
      <c r="H160" s="41"/>
      <c r="I160" s="293"/>
      <c r="J160" s="293"/>
      <c r="K160" s="75"/>
      <c r="L160" s="345">
        <f>L136+L158</f>
        <v>33.024000000000001</v>
      </c>
      <c r="M160" s="345">
        <f>M136+M158</f>
        <v>36.005000000000003</v>
      </c>
      <c r="N160" s="75">
        <f t="shared" ref="N160" si="646">+O160</f>
        <v>41.472000000000001</v>
      </c>
      <c r="O160" s="345">
        <f>O136+O158</f>
        <v>41.472000000000001</v>
      </c>
      <c r="P160" s="345">
        <f>P136+P158</f>
        <v>38.213999999999999</v>
      </c>
      <c r="Q160" s="75">
        <f t="shared" ref="Q160" si="647">+R160</f>
        <v>37.694000000000003</v>
      </c>
      <c r="R160" s="345">
        <f>R136+R158</f>
        <v>37.694000000000003</v>
      </c>
      <c r="S160" s="345">
        <f>S136+S158</f>
        <v>45.588000000000001</v>
      </c>
      <c r="T160" s="75">
        <f t="shared" ref="T160" si="648">+U160</f>
        <v>46.198</v>
      </c>
      <c r="U160" s="345">
        <f>U136+U158</f>
        <v>46.198</v>
      </c>
      <c r="V160" s="345">
        <f>V136+V158</f>
        <v>49.954000000000001</v>
      </c>
      <c r="W160" s="75">
        <f t="shared" ref="W160" si="649">+X160</f>
        <v>55.094000000000001</v>
      </c>
      <c r="X160" s="345">
        <f>X136+X158</f>
        <v>55.094000000000001</v>
      </c>
      <c r="Y160" s="345">
        <f>Y136+Y158</f>
        <v>65.806999999999988</v>
      </c>
      <c r="Z160" s="75">
        <f t="shared" ref="Z160" si="650">+AA160</f>
        <v>77.042000000000002</v>
      </c>
      <c r="AA160" s="345">
        <f>AA136+AA158</f>
        <v>77.042000000000002</v>
      </c>
      <c r="AB160" s="345">
        <f>AB136+AB158</f>
        <v>78.930000000000007</v>
      </c>
      <c r="AC160" s="75">
        <f t="shared" ref="AC160" si="651">+AD160</f>
        <v>98.850999999999999</v>
      </c>
      <c r="AD160" s="345">
        <f>AD136+AD158</f>
        <v>98.850999999999999</v>
      </c>
      <c r="AE160" s="345">
        <f>AE136+AE158</f>
        <v>91.754999999999995</v>
      </c>
      <c r="AF160" s="75">
        <f t="shared" ref="AF160" si="652">+AG160</f>
        <v>116.649</v>
      </c>
      <c r="AG160" s="345">
        <f>AG136+AG158</f>
        <v>116.649</v>
      </c>
      <c r="AH160" s="345">
        <f>AH136+AH158</f>
        <v>109.55799999999999</v>
      </c>
      <c r="AI160" s="75">
        <f t="shared" ref="AI160" si="653">+AJ160</f>
        <v>140.416</v>
      </c>
      <c r="AJ160" s="345">
        <f>AJ136+AJ158</f>
        <v>140.416</v>
      </c>
      <c r="AK160" s="345">
        <f t="shared" ref="AK160" si="654">AK136+AK158</f>
        <v>124.92700000000001</v>
      </c>
      <c r="AL160" s="75">
        <f t="shared" ref="AL160" si="655">+AM160</f>
        <v>159.852</v>
      </c>
      <c r="AM160" s="345">
        <f t="shared" ref="AM160:AU160" si="656">AM136+AM158</f>
        <v>159.852</v>
      </c>
      <c r="AN160" s="345">
        <f t="shared" ref="AN160" si="657">AN136+AN158</f>
        <v>145.53100000000001</v>
      </c>
      <c r="AO160" s="75">
        <f t="shared" ref="AO160" si="658">+AP160</f>
        <v>172.898</v>
      </c>
      <c r="AP160" s="345">
        <f t="shared" ref="AP160" si="659">AP136+AP158</f>
        <v>172.898</v>
      </c>
      <c r="AQ160" s="345">
        <f t="shared" ref="AQ160" si="660">AQ136+AQ158</f>
        <v>177.26857590347089</v>
      </c>
      <c r="AR160" s="75">
        <f t="shared" ref="AR160" si="661">+AS160</f>
        <v>202.33147571372479</v>
      </c>
      <c r="AS160" s="345">
        <f t="shared" si="656"/>
        <v>202.33147571372479</v>
      </c>
      <c r="AT160" s="345">
        <f t="shared" si="656"/>
        <v>234.26112237965535</v>
      </c>
      <c r="AU160" s="345">
        <f t="shared" si="656"/>
        <v>268.88443062340468</v>
      </c>
    </row>
    <row r="161" spans="1:47">
      <c r="B161" s="262"/>
      <c r="C161" s="54"/>
      <c r="D161" s="54"/>
      <c r="E161" s="4"/>
      <c r="F161" s="312"/>
      <c r="G161" s="312"/>
      <c r="H161" s="4"/>
      <c r="I161" s="312"/>
      <c r="J161" s="312"/>
      <c r="K161" s="170"/>
      <c r="L161" s="336"/>
      <c r="M161" s="336"/>
      <c r="N161" s="170"/>
      <c r="O161" s="336"/>
      <c r="P161" s="336"/>
      <c r="Q161" s="170"/>
      <c r="R161" s="336"/>
      <c r="S161" s="336"/>
      <c r="T161" s="170"/>
      <c r="U161" s="336"/>
      <c r="V161" s="336"/>
      <c r="W161" s="170"/>
      <c r="X161" s="336"/>
      <c r="Y161" s="336"/>
      <c r="Z161" s="170"/>
      <c r="AA161" s="336"/>
      <c r="AB161" s="336"/>
      <c r="AC161" s="170"/>
      <c r="AD161" s="336"/>
      <c r="AE161" s="336"/>
      <c r="AF161" s="170"/>
      <c r="AG161" s="336"/>
      <c r="AH161" s="336"/>
      <c r="AI161" s="170"/>
      <c r="AJ161" s="336"/>
      <c r="AK161" s="336"/>
      <c r="AL161" s="170"/>
      <c r="AM161" s="336"/>
      <c r="AN161" s="336"/>
      <c r="AO161" s="170"/>
      <c r="AP161" s="336"/>
      <c r="AQ161" s="336"/>
      <c r="AR161" s="170"/>
      <c r="AS161" s="336"/>
      <c r="AT161" s="336"/>
      <c r="AU161" s="336"/>
    </row>
    <row r="162" spans="1:47">
      <c r="B162" s="261" t="s">
        <v>324</v>
      </c>
      <c r="C162" s="54"/>
      <c r="D162" s="54"/>
      <c r="E162" s="4"/>
      <c r="F162" s="312"/>
      <c r="G162" s="312"/>
      <c r="H162" s="4"/>
      <c r="I162" s="312"/>
      <c r="J162" s="312"/>
      <c r="K162" s="73"/>
      <c r="L162" s="336"/>
      <c r="M162" s="336"/>
      <c r="N162" s="73"/>
      <c r="O162" s="336"/>
      <c r="P162" s="336"/>
      <c r="Q162" s="73"/>
      <c r="R162" s="336"/>
      <c r="S162" s="336"/>
      <c r="T162" s="73"/>
      <c r="U162" s="336"/>
      <c r="V162" s="336"/>
      <c r="W162" s="73"/>
      <c r="X162" s="336"/>
      <c r="Y162" s="336"/>
      <c r="Z162" s="73"/>
      <c r="AA162" s="336"/>
      <c r="AB162" s="336"/>
      <c r="AC162" s="73"/>
      <c r="AD162" s="336"/>
      <c r="AE162" s="336"/>
      <c r="AF162" s="73"/>
      <c r="AG162" s="336"/>
      <c r="AH162" s="336"/>
      <c r="AI162" s="73"/>
      <c r="AJ162" s="336"/>
      <c r="AK162" s="336"/>
      <c r="AL162" s="73"/>
      <c r="AM162" s="336"/>
      <c r="AN162" s="336"/>
      <c r="AO162" s="73"/>
      <c r="AP162" s="336"/>
      <c r="AQ162" s="336"/>
      <c r="AR162" s="73"/>
      <c r="AS162" s="336"/>
      <c r="AT162" s="336"/>
      <c r="AU162" s="336"/>
    </row>
    <row r="163" spans="1:47">
      <c r="B163" s="262" t="s">
        <v>199</v>
      </c>
      <c r="C163" s="7"/>
      <c r="D163" s="7"/>
      <c r="E163" s="4"/>
      <c r="F163" s="305"/>
      <c r="G163" s="305"/>
      <c r="H163" s="78"/>
      <c r="I163" s="305"/>
      <c r="J163" s="305"/>
      <c r="K163" s="78"/>
      <c r="L163" s="357">
        <v>0</v>
      </c>
      <c r="M163" s="357">
        <v>0</v>
      </c>
      <c r="N163" s="78">
        <f t="shared" ref="N163:N169" si="662">+O163</f>
        <v>0</v>
      </c>
      <c r="O163" s="357">
        <v>0</v>
      </c>
      <c r="P163" s="357">
        <v>0</v>
      </c>
      <c r="Q163" s="78">
        <f t="shared" ref="Q163:Q169" si="663">+R163</f>
        <v>0</v>
      </c>
      <c r="R163" s="357">
        <v>0</v>
      </c>
      <c r="S163" s="357">
        <v>0</v>
      </c>
      <c r="T163" s="78">
        <f t="shared" ref="T163:T169" si="664">+U163</f>
        <v>0</v>
      </c>
      <c r="U163" s="357">
        <v>0</v>
      </c>
      <c r="V163" s="357">
        <v>0</v>
      </c>
      <c r="W163" s="78">
        <f t="shared" ref="W163:W169" si="665">+X163</f>
        <v>0</v>
      </c>
      <c r="X163" s="357">
        <v>0</v>
      </c>
      <c r="Y163" s="357">
        <v>0</v>
      </c>
      <c r="Z163" s="78">
        <f t="shared" ref="Z163:Z169" si="666">+AA163</f>
        <v>0</v>
      </c>
      <c r="AA163" s="357">
        <v>0</v>
      </c>
      <c r="AB163" s="357">
        <v>0</v>
      </c>
      <c r="AC163" s="78">
        <f t="shared" ref="AC163:AC169" si="667">+AD163</f>
        <v>0</v>
      </c>
      <c r="AD163" s="357">
        <v>0</v>
      </c>
      <c r="AE163" s="357">
        <v>0</v>
      </c>
      <c r="AF163" s="78">
        <f t="shared" ref="AF163:AF169" si="668">+AG163</f>
        <v>0</v>
      </c>
      <c r="AG163" s="357">
        <v>0</v>
      </c>
      <c r="AH163" s="357">
        <v>0</v>
      </c>
      <c r="AI163" s="78">
        <f>AH163</f>
        <v>0</v>
      </c>
      <c r="AJ163" s="357">
        <v>0</v>
      </c>
      <c r="AK163" s="357">
        <v>0</v>
      </c>
      <c r="AL163" s="78">
        <f t="shared" ref="AL163:AL169" si="669">+AM163</f>
        <v>0</v>
      </c>
      <c r="AM163" s="359">
        <v>0</v>
      </c>
      <c r="AN163" s="357">
        <v>0</v>
      </c>
      <c r="AO163" s="78">
        <f t="shared" ref="AO163:AO164" si="670">+AP163</f>
        <v>0</v>
      </c>
      <c r="AP163" s="359">
        <v>0</v>
      </c>
      <c r="AQ163" s="317">
        <f>AP163</f>
        <v>0</v>
      </c>
      <c r="AR163" s="78">
        <f t="shared" ref="AR163:AR164" si="671">+AS163</f>
        <v>0</v>
      </c>
      <c r="AS163" s="317">
        <f>AP163</f>
        <v>0</v>
      </c>
      <c r="AT163" s="317">
        <f>AS163</f>
        <v>0</v>
      </c>
      <c r="AU163" s="317">
        <f>AT163</f>
        <v>0</v>
      </c>
    </row>
    <row r="164" spans="1:47">
      <c r="B164" s="262" t="s">
        <v>325</v>
      </c>
      <c r="C164" s="7"/>
      <c r="D164" s="7"/>
      <c r="E164" s="4"/>
      <c r="F164" s="290"/>
      <c r="G164" s="290"/>
      <c r="H164" s="4"/>
      <c r="I164" s="290"/>
      <c r="J164" s="290"/>
      <c r="K164" s="78"/>
      <c r="L164" s="357">
        <v>7.6349999999999998</v>
      </c>
      <c r="M164" s="357">
        <v>5.6230000000000002</v>
      </c>
      <c r="N164" s="78">
        <f t="shared" si="662"/>
        <v>6.883</v>
      </c>
      <c r="O164" s="357">
        <v>6.883</v>
      </c>
      <c r="P164" s="357">
        <v>4.4660000000000002</v>
      </c>
      <c r="Q164" s="78">
        <f t="shared" si="663"/>
        <v>7.008</v>
      </c>
      <c r="R164" s="357">
        <v>7.008</v>
      </c>
      <c r="S164" s="357">
        <v>5.4180000000000001</v>
      </c>
      <c r="T164" s="78">
        <f t="shared" si="664"/>
        <v>4.8360000000000003</v>
      </c>
      <c r="U164" s="357">
        <v>4.8360000000000003</v>
      </c>
      <c r="V164" s="357">
        <v>4.734</v>
      </c>
      <c r="W164" s="78">
        <f t="shared" si="665"/>
        <v>6.1120000000000001</v>
      </c>
      <c r="X164" s="357">
        <v>6.1120000000000001</v>
      </c>
      <c r="Y164" s="357">
        <v>4.6020000000000003</v>
      </c>
      <c r="Z164" s="78">
        <f t="shared" si="666"/>
        <v>6.9240000000000004</v>
      </c>
      <c r="AA164" s="357">
        <v>6.9240000000000004</v>
      </c>
      <c r="AB164" s="357">
        <v>5.5529999999999999</v>
      </c>
      <c r="AC164" s="78">
        <f t="shared" si="667"/>
        <v>8.4849999999999994</v>
      </c>
      <c r="AD164" s="357">
        <v>8.4849999999999994</v>
      </c>
      <c r="AE164" s="357">
        <v>7.78</v>
      </c>
      <c r="AF164" s="78">
        <f t="shared" si="668"/>
        <v>11.196999999999999</v>
      </c>
      <c r="AG164" s="357">
        <v>11.196999999999999</v>
      </c>
      <c r="AH164" s="357">
        <v>7.968</v>
      </c>
      <c r="AI164" s="78">
        <f>AH164*(1+AI$74)</f>
        <v>8.8270963758720757</v>
      </c>
      <c r="AJ164" s="357">
        <v>11.997999999999999</v>
      </c>
      <c r="AK164" s="357">
        <v>7.681</v>
      </c>
      <c r="AL164" s="78">
        <f t="shared" si="669"/>
        <v>11.455</v>
      </c>
      <c r="AM164" s="359">
        <v>11.455</v>
      </c>
      <c r="AN164" s="357">
        <v>7.7229999999999999</v>
      </c>
      <c r="AO164" s="78">
        <f t="shared" si="670"/>
        <v>9.9649999999999999</v>
      </c>
      <c r="AP164" s="359">
        <v>9.9649999999999999</v>
      </c>
      <c r="AQ164" s="317">
        <f>AP164*(1+AQ$74)</f>
        <v>10.642845701497288</v>
      </c>
      <c r="AR164" s="78">
        <f t="shared" si="671"/>
        <v>10.748289200314405</v>
      </c>
      <c r="AS164" s="317">
        <f>AP164*(1+AS$74)</f>
        <v>10.748289200314405</v>
      </c>
      <c r="AT164" s="317">
        <f>AS164*(1+AT$74)</f>
        <v>11.980765556671855</v>
      </c>
      <c r="AU164" s="317">
        <f>AT164*(1+AU$74)</f>
        <v>13.311768508287853</v>
      </c>
    </row>
    <row r="165" spans="1:47">
      <c r="B165" s="262" t="s">
        <v>1115</v>
      </c>
      <c r="C165" s="7"/>
      <c r="D165" s="7"/>
      <c r="E165" s="4"/>
      <c r="F165" s="290"/>
      <c r="G165" s="290"/>
      <c r="H165" s="4"/>
      <c r="I165" s="290"/>
      <c r="J165" s="290"/>
      <c r="K165" s="78"/>
      <c r="L165" s="357">
        <v>9.9499999999999993</v>
      </c>
      <c r="M165" s="357">
        <v>14.269</v>
      </c>
      <c r="N165" s="78">
        <f t="shared" si="662"/>
        <v>13.541</v>
      </c>
      <c r="O165" s="357">
        <v>13.541</v>
      </c>
      <c r="P165" s="357">
        <v>16.655999999999999</v>
      </c>
      <c r="Q165" s="78">
        <f t="shared" si="663"/>
        <v>11.422000000000001</v>
      </c>
      <c r="R165" s="357">
        <v>11.422000000000001</v>
      </c>
      <c r="S165" s="357">
        <v>17.027999999999999</v>
      </c>
      <c r="T165" s="78">
        <f t="shared" si="664"/>
        <v>12.723000000000001</v>
      </c>
      <c r="U165" s="357">
        <v>12.723000000000001</v>
      </c>
      <c r="V165" s="357">
        <v>18.204000000000001</v>
      </c>
      <c r="W165" s="78">
        <f t="shared" si="665"/>
        <v>18.256</v>
      </c>
      <c r="X165" s="357">
        <v>18.256</v>
      </c>
      <c r="Y165" s="357">
        <v>22.18</v>
      </c>
      <c r="Z165" s="78">
        <f t="shared" si="666"/>
        <v>24.411000000000001</v>
      </c>
      <c r="AA165" s="357">
        <v>24.411000000000001</v>
      </c>
      <c r="AB165" s="357">
        <v>26.308</v>
      </c>
      <c r="AC165" s="78">
        <f t="shared" si="667"/>
        <v>36.375</v>
      </c>
      <c r="AD165" s="357">
        <v>36.375</v>
      </c>
      <c r="AE165" s="357">
        <v>28.45</v>
      </c>
      <c r="AF165" s="78">
        <f t="shared" si="668"/>
        <v>40.165999999999997</v>
      </c>
      <c r="AG165" s="357">
        <v>40.165999999999997</v>
      </c>
      <c r="AH165" s="357">
        <v>33.192</v>
      </c>
      <c r="AI165" s="78">
        <f>+AJ165</f>
        <v>48.69</v>
      </c>
      <c r="AJ165" s="359">
        <v>48.69</v>
      </c>
      <c r="AK165" s="359">
        <v>39.79</v>
      </c>
      <c r="AL165" s="78">
        <f>+AM165</f>
        <v>51.969000000000001</v>
      </c>
      <c r="AM165" s="359">
        <v>51.969000000000001</v>
      </c>
      <c r="AN165" s="359">
        <v>39.344000000000001</v>
      </c>
      <c r="AO165" s="78">
        <f>+AP165</f>
        <v>48.502000000000002</v>
      </c>
      <c r="AP165" s="359">
        <v>48.502000000000002</v>
      </c>
      <c r="AQ165" s="340">
        <f>+AQ227*(AQ9*2)</f>
        <v>49.370842201273888</v>
      </c>
      <c r="AR165" s="78">
        <f>+AS165</f>
        <v>52.314452864390304</v>
      </c>
      <c r="AS165" s="340">
        <f t="shared" ref="AS165:AU165" si="672">+AS227*AS9</f>
        <v>52.314452864390304</v>
      </c>
      <c r="AT165" s="340">
        <f t="shared" si="672"/>
        <v>58.313205321595426</v>
      </c>
      <c r="AU165" s="340">
        <f t="shared" si="672"/>
        <v>64.791509903560225</v>
      </c>
    </row>
    <row r="166" spans="1:47">
      <c r="B166" s="262" t="s">
        <v>200</v>
      </c>
      <c r="C166" s="7"/>
      <c r="D166" s="7"/>
      <c r="E166" s="4"/>
      <c r="F166" s="290"/>
      <c r="G166" s="290"/>
      <c r="H166" s="4"/>
      <c r="I166" s="290"/>
      <c r="J166" s="290"/>
      <c r="K166" s="78"/>
      <c r="L166" s="357">
        <v>0.83199999999999996</v>
      </c>
      <c r="M166" s="357">
        <v>0.91100000000000003</v>
      </c>
      <c r="N166" s="78">
        <f t="shared" si="662"/>
        <v>1.0489999999999999</v>
      </c>
      <c r="O166" s="357">
        <v>1.0489999999999999</v>
      </c>
      <c r="P166" s="357">
        <v>0.83599999999999997</v>
      </c>
      <c r="Q166" s="78">
        <f t="shared" si="663"/>
        <v>0.89100000000000001</v>
      </c>
      <c r="R166" s="357">
        <v>0.89100000000000001</v>
      </c>
      <c r="S166" s="357">
        <v>0.80600000000000005</v>
      </c>
      <c r="T166" s="78">
        <f t="shared" si="664"/>
        <v>2.5870000000000002</v>
      </c>
      <c r="U166" s="357">
        <v>2.5870000000000002</v>
      </c>
      <c r="V166" s="357">
        <v>2.3010000000000002</v>
      </c>
      <c r="W166" s="78">
        <f t="shared" si="665"/>
        <v>2.653</v>
      </c>
      <c r="X166" s="357">
        <v>2.653</v>
      </c>
      <c r="Y166" s="357">
        <v>2.395</v>
      </c>
      <c r="Z166" s="78">
        <f t="shared" si="666"/>
        <v>2.6720000000000002</v>
      </c>
      <c r="AA166" s="357">
        <v>2.6720000000000002</v>
      </c>
      <c r="AB166" s="357">
        <v>2.7320000000000002</v>
      </c>
      <c r="AC166" s="78">
        <f t="shared" si="667"/>
        <v>3.4780000000000002</v>
      </c>
      <c r="AD166" s="357">
        <v>3.4780000000000002</v>
      </c>
      <c r="AE166" s="357">
        <v>4.7380000000000004</v>
      </c>
      <c r="AF166" s="78">
        <f t="shared" si="668"/>
        <v>4.96</v>
      </c>
      <c r="AG166" s="357">
        <v>4.96</v>
      </c>
      <c r="AH166" s="357">
        <v>6.7370000000000001</v>
      </c>
      <c r="AI166" s="78">
        <f>AH166+AI50+AI101</f>
        <v>6.1310000000000002</v>
      </c>
      <c r="AJ166" s="357">
        <v>6.9589999999999996</v>
      </c>
      <c r="AK166" s="359">
        <v>5.2549999999999999</v>
      </c>
      <c r="AL166" s="78">
        <f t="shared" si="669"/>
        <v>5.8470000000000004</v>
      </c>
      <c r="AM166" s="359">
        <v>5.8470000000000004</v>
      </c>
      <c r="AN166" s="359">
        <v>5.6840000000000002</v>
      </c>
      <c r="AO166" s="78">
        <f t="shared" ref="AO166:AO169" si="673">+AP166</f>
        <v>6.1630000000000003</v>
      </c>
      <c r="AP166" s="359">
        <v>6.1630000000000003</v>
      </c>
      <c r="AQ166" s="465">
        <f>AP166+AQ50+AQ101+AQ98</f>
        <v>6.1630000000000003</v>
      </c>
      <c r="AR166" s="78">
        <f t="shared" ref="AR166:AR169" si="674">+AS166</f>
        <v>6.1630000000000003</v>
      </c>
      <c r="AS166" s="317">
        <f>AP166+AS50+AS101</f>
        <v>6.1630000000000003</v>
      </c>
      <c r="AT166" s="317">
        <f t="shared" ref="AT166:AU166" si="675">AS166+AT50+AT101</f>
        <v>6.1630000000000003</v>
      </c>
      <c r="AU166" s="317">
        <f t="shared" si="675"/>
        <v>6.1630000000000003</v>
      </c>
    </row>
    <row r="167" spans="1:47">
      <c r="B167" s="262" t="s">
        <v>326</v>
      </c>
      <c r="C167" s="7"/>
      <c r="D167" s="7"/>
      <c r="E167" s="4"/>
      <c r="F167" s="290"/>
      <c r="G167" s="290"/>
      <c r="H167" s="4"/>
      <c r="I167" s="290"/>
      <c r="J167" s="290"/>
      <c r="K167" s="78"/>
      <c r="L167" s="357">
        <v>1.0289999999999999</v>
      </c>
      <c r="M167" s="357">
        <v>1.323</v>
      </c>
      <c r="N167" s="78">
        <f t="shared" si="662"/>
        <v>0.88100000000000001</v>
      </c>
      <c r="O167" s="357">
        <v>0.88100000000000001</v>
      </c>
      <c r="P167" s="357">
        <v>3.0000000000000001E-3</v>
      </c>
      <c r="Q167" s="78">
        <f t="shared" si="663"/>
        <v>1.2000000000000455E-2</v>
      </c>
      <c r="R167" s="357">
        <f>11.422+0.012-R165</f>
        <v>1.2000000000000455E-2</v>
      </c>
      <c r="S167" s="357">
        <f>17.369+0.283-S165</f>
        <v>0.62400000000000233</v>
      </c>
      <c r="T167" s="78">
        <f t="shared" si="664"/>
        <v>1.6099999999999999</v>
      </c>
      <c r="U167" s="357">
        <f>1.152+0.458</f>
        <v>1.6099999999999999</v>
      </c>
      <c r="V167" s="357">
        <f>0.53+0.521</f>
        <v>1.0510000000000002</v>
      </c>
      <c r="W167" s="78">
        <f t="shared" si="665"/>
        <v>0.70200000000000007</v>
      </c>
      <c r="X167" s="357">
        <f>0.048+0.654</f>
        <v>0.70200000000000007</v>
      </c>
      <c r="Y167" s="357">
        <v>0</v>
      </c>
      <c r="Z167" s="78">
        <f t="shared" si="666"/>
        <v>0.60599999999999998</v>
      </c>
      <c r="AA167" s="357">
        <v>0.60599999999999998</v>
      </c>
      <c r="AB167" s="357">
        <f>0.095+0.339</f>
        <v>0.43400000000000005</v>
      </c>
      <c r="AC167" s="78">
        <f t="shared" si="667"/>
        <v>1.3340000000000001</v>
      </c>
      <c r="AD167" s="357">
        <f>0.339+0.995</f>
        <v>1.3340000000000001</v>
      </c>
      <c r="AE167" s="357">
        <v>0.378</v>
      </c>
      <c r="AF167" s="78">
        <f t="shared" si="668"/>
        <v>0.875</v>
      </c>
      <c r="AG167" s="357">
        <f>0.476+0.399</f>
        <v>0.875</v>
      </c>
      <c r="AH167" s="357">
        <f>0.959+0.377</f>
        <v>1.3359999999999999</v>
      </c>
      <c r="AI167" s="78">
        <f>AH167</f>
        <v>1.3359999999999999</v>
      </c>
      <c r="AJ167" s="357">
        <f>0.312+0.394</f>
        <v>0.70599999999999996</v>
      </c>
      <c r="AK167" s="357">
        <v>0.40500000000000003</v>
      </c>
      <c r="AL167" s="78">
        <f t="shared" si="669"/>
        <v>0.20699999999999999</v>
      </c>
      <c r="AM167" s="359">
        <v>0.20699999999999999</v>
      </c>
      <c r="AN167" s="357">
        <v>8.5999999999999993E-2</v>
      </c>
      <c r="AO167" s="78">
        <f t="shared" si="673"/>
        <v>0.755</v>
      </c>
      <c r="AP167" s="359">
        <f>0.094+0.661</f>
        <v>0.755</v>
      </c>
      <c r="AQ167" s="317">
        <f>AP167</f>
        <v>0.755</v>
      </c>
      <c r="AR167" s="78">
        <f t="shared" si="674"/>
        <v>0.755</v>
      </c>
      <c r="AS167" s="317">
        <f>AP167</f>
        <v>0.755</v>
      </c>
      <c r="AT167" s="317">
        <f t="shared" ref="AT167:AU168" si="676">AS167</f>
        <v>0.755</v>
      </c>
      <c r="AU167" s="317">
        <f t="shared" si="676"/>
        <v>0.755</v>
      </c>
    </row>
    <row r="168" spans="1:47">
      <c r="B168" s="262" t="s">
        <v>1125</v>
      </c>
      <c r="C168" s="7"/>
      <c r="D168" s="7"/>
      <c r="E168" s="4"/>
      <c r="F168" s="290"/>
      <c r="G168" s="290"/>
      <c r="H168" s="4"/>
      <c r="I168" s="290"/>
      <c r="J168" s="290"/>
      <c r="K168" s="78"/>
      <c r="L168" s="357">
        <v>0</v>
      </c>
      <c r="M168" s="357">
        <v>0</v>
      </c>
      <c r="N168" s="78">
        <f t="shared" si="662"/>
        <v>0</v>
      </c>
      <c r="O168" s="357">
        <v>0</v>
      </c>
      <c r="P168" s="357">
        <v>0</v>
      </c>
      <c r="Q168" s="78">
        <f t="shared" si="663"/>
        <v>0</v>
      </c>
      <c r="R168" s="357">
        <v>0</v>
      </c>
      <c r="S168" s="357">
        <v>0</v>
      </c>
      <c r="T168" s="78">
        <f t="shared" si="664"/>
        <v>0</v>
      </c>
      <c r="U168" s="357">
        <v>0</v>
      </c>
      <c r="V168" s="357">
        <v>0</v>
      </c>
      <c r="W168" s="78">
        <f t="shared" si="665"/>
        <v>0</v>
      </c>
      <c r="X168" s="357">
        <v>0</v>
      </c>
      <c r="Y168" s="357">
        <v>1.5649999999999999</v>
      </c>
      <c r="Z168" s="78">
        <f t="shared" si="666"/>
        <v>1.6919999999999999</v>
      </c>
      <c r="AA168" s="357">
        <v>1.6919999999999999</v>
      </c>
      <c r="AB168" s="357">
        <v>2.2229999999999999</v>
      </c>
      <c r="AC168" s="78">
        <f t="shared" si="667"/>
        <v>2.492</v>
      </c>
      <c r="AD168" s="357">
        <v>2.492</v>
      </c>
      <c r="AE168" s="357">
        <v>2.9209999999999998</v>
      </c>
      <c r="AF168" s="78">
        <f t="shared" ref="AF168" si="677">+AG168</f>
        <v>3.01</v>
      </c>
      <c r="AG168" s="357">
        <v>3.01</v>
      </c>
      <c r="AH168" s="357">
        <v>3.262</v>
      </c>
      <c r="AI168" s="78">
        <f t="shared" ref="AI168" si="678">+AJ168</f>
        <v>3.3330000000000002</v>
      </c>
      <c r="AJ168" s="357">
        <v>3.3330000000000002</v>
      </c>
      <c r="AK168" s="357">
        <v>2.927</v>
      </c>
      <c r="AL168" s="78">
        <f t="shared" ref="AL168" si="679">+AM168</f>
        <v>2.532</v>
      </c>
      <c r="AM168" s="359">
        <v>2.532</v>
      </c>
      <c r="AN168" s="357">
        <v>2.669</v>
      </c>
      <c r="AO168" s="78">
        <f t="shared" si="673"/>
        <v>2.7589999999999999</v>
      </c>
      <c r="AP168" s="359">
        <v>2.7589999999999999</v>
      </c>
      <c r="AQ168" s="317">
        <f>AP168</f>
        <v>2.7589999999999999</v>
      </c>
      <c r="AR168" s="78">
        <f t="shared" si="674"/>
        <v>2.7589999999999999</v>
      </c>
      <c r="AS168" s="317">
        <f>AP168</f>
        <v>2.7589999999999999</v>
      </c>
      <c r="AT168" s="317">
        <f t="shared" si="676"/>
        <v>2.7589999999999999</v>
      </c>
      <c r="AU168" s="317">
        <f t="shared" si="676"/>
        <v>2.7589999999999999</v>
      </c>
    </row>
    <row r="169" spans="1:47">
      <c r="B169" s="261" t="s">
        <v>327</v>
      </c>
      <c r="C169" s="4"/>
      <c r="D169" s="4"/>
      <c r="E169" s="4"/>
      <c r="F169" s="289"/>
      <c r="G169" s="285"/>
      <c r="H169" s="4"/>
      <c r="I169" s="289"/>
      <c r="J169" s="285"/>
      <c r="K169" s="78"/>
      <c r="L169" s="317">
        <f>SUM(L163:L168)</f>
        <v>19.446000000000002</v>
      </c>
      <c r="M169" s="317">
        <f>SUM(M163:M168)</f>
        <v>22.126000000000001</v>
      </c>
      <c r="N169" s="78">
        <f t="shared" si="662"/>
        <v>22.353999999999999</v>
      </c>
      <c r="O169" s="317">
        <f>SUM(O163:O168)</f>
        <v>22.353999999999999</v>
      </c>
      <c r="P169" s="317">
        <f>SUM(P163:P168)</f>
        <v>21.960999999999999</v>
      </c>
      <c r="Q169" s="78">
        <f t="shared" si="663"/>
        <v>19.332999999999998</v>
      </c>
      <c r="R169" s="317">
        <f>SUM(R163:R168)</f>
        <v>19.332999999999998</v>
      </c>
      <c r="S169" s="317">
        <f>SUM(S163:S168)</f>
        <v>23.876000000000001</v>
      </c>
      <c r="T169" s="78">
        <f t="shared" si="664"/>
        <v>21.756</v>
      </c>
      <c r="U169" s="317">
        <f>SUM(U163:U168)</f>
        <v>21.756</v>
      </c>
      <c r="V169" s="317">
        <f>SUM(V163:V168)</f>
        <v>26.290000000000006</v>
      </c>
      <c r="W169" s="78">
        <f t="shared" si="665"/>
        <v>27.723000000000003</v>
      </c>
      <c r="X169" s="317">
        <f>SUM(X163:X168)</f>
        <v>27.723000000000003</v>
      </c>
      <c r="Y169" s="317">
        <f>SUM(Y163:Y168)</f>
        <v>30.742000000000001</v>
      </c>
      <c r="Z169" s="78">
        <f t="shared" si="666"/>
        <v>36.305</v>
      </c>
      <c r="AA169" s="317">
        <f>SUM(AA163:AA168)</f>
        <v>36.305</v>
      </c>
      <c r="AB169" s="317">
        <f>SUM(AB163:AB168)</f>
        <v>37.25</v>
      </c>
      <c r="AC169" s="78">
        <f t="shared" si="667"/>
        <v>52.164000000000001</v>
      </c>
      <c r="AD169" s="317">
        <f>SUM(AD163:AD168)</f>
        <v>52.164000000000001</v>
      </c>
      <c r="AE169" s="317">
        <f>SUM(AE163:AE168)</f>
        <v>44.266999999999996</v>
      </c>
      <c r="AF169" s="78">
        <f t="shared" si="668"/>
        <v>60.207999999999998</v>
      </c>
      <c r="AG169" s="317">
        <f>SUM(AG163:AG168)</f>
        <v>60.207999999999998</v>
      </c>
      <c r="AH169" s="317">
        <f>SUM(AH163:AH168)</f>
        <v>52.494999999999997</v>
      </c>
      <c r="AI169" s="78">
        <f>+AJ169</f>
        <v>71.685999999999993</v>
      </c>
      <c r="AJ169" s="317">
        <f>SUM(AJ163:AJ168)</f>
        <v>71.685999999999993</v>
      </c>
      <c r="AK169" s="317">
        <f>SUM(AK163:AK168)</f>
        <v>56.058</v>
      </c>
      <c r="AL169" s="78">
        <f t="shared" si="669"/>
        <v>72.009999999999991</v>
      </c>
      <c r="AM169" s="317">
        <f t="shared" ref="AM169:AU169" si="680">SUM(AM163:AM168)</f>
        <v>72.009999999999991</v>
      </c>
      <c r="AN169" s="317">
        <f t="shared" ref="AN169" si="681">SUM(AN163:AN168)</f>
        <v>55.505999999999993</v>
      </c>
      <c r="AO169" s="78">
        <f t="shared" si="673"/>
        <v>68.143999999999991</v>
      </c>
      <c r="AP169" s="317">
        <f t="shared" ref="AP169" si="682">SUM(AP163:AP168)</f>
        <v>68.143999999999991</v>
      </c>
      <c r="AQ169" s="317">
        <f>SUM(AQ163:AQ168)</f>
        <v>69.690687902771174</v>
      </c>
      <c r="AR169" s="78">
        <f t="shared" si="674"/>
        <v>72.7397420647047</v>
      </c>
      <c r="AS169" s="317">
        <f t="shared" si="680"/>
        <v>72.7397420647047</v>
      </c>
      <c r="AT169" s="317">
        <f t="shared" si="680"/>
        <v>79.970970878267281</v>
      </c>
      <c r="AU169" s="317">
        <f t="shared" si="680"/>
        <v>87.780278411848073</v>
      </c>
    </row>
    <row r="170" spans="1:47">
      <c r="B170" s="262"/>
      <c r="C170" s="36"/>
      <c r="D170" s="36"/>
      <c r="E170" s="4"/>
      <c r="F170" s="289"/>
      <c r="G170" s="289"/>
      <c r="H170" s="4"/>
      <c r="I170" s="289"/>
      <c r="J170" s="289"/>
      <c r="K170" s="88"/>
      <c r="L170" s="317"/>
      <c r="M170" s="317"/>
      <c r="N170" s="88"/>
      <c r="O170" s="317"/>
      <c r="P170" s="317"/>
      <c r="Q170" s="88"/>
      <c r="R170" s="317"/>
      <c r="S170" s="317"/>
      <c r="T170" s="88"/>
      <c r="U170" s="317"/>
      <c r="V170" s="317"/>
      <c r="W170" s="88"/>
      <c r="X170" s="317"/>
      <c r="Y170" s="317"/>
      <c r="Z170" s="88"/>
      <c r="AA170" s="317"/>
      <c r="AB170" s="317"/>
      <c r="AC170" s="88"/>
      <c r="AD170" s="317"/>
      <c r="AE170" s="317"/>
      <c r="AF170" s="88"/>
      <c r="AG170" s="317"/>
      <c r="AH170" s="317"/>
      <c r="AI170" s="88"/>
      <c r="AJ170" s="317"/>
      <c r="AK170" s="317"/>
      <c r="AL170" s="88"/>
      <c r="AM170" s="317"/>
      <c r="AN170" s="317"/>
      <c r="AO170" s="88"/>
      <c r="AP170" s="317"/>
      <c r="AQ170" s="317"/>
      <c r="AR170" s="88"/>
      <c r="AS170" s="317"/>
      <c r="AT170" s="317"/>
      <c r="AU170" s="317"/>
    </row>
    <row r="171" spans="1:47">
      <c r="B171" s="261" t="s">
        <v>328</v>
      </c>
      <c r="C171" s="36"/>
      <c r="D171" s="36"/>
      <c r="E171" s="4"/>
      <c r="F171" s="289"/>
      <c r="G171" s="289"/>
      <c r="H171" s="4"/>
      <c r="I171" s="289"/>
      <c r="J171" s="289"/>
      <c r="K171" s="88"/>
      <c r="L171" s="317"/>
      <c r="M171" s="317"/>
      <c r="N171" s="88"/>
      <c r="O171" s="317"/>
      <c r="P171" s="317"/>
      <c r="Q171" s="88"/>
      <c r="R171" s="317"/>
      <c r="S171" s="317"/>
      <c r="T171" s="88"/>
      <c r="U171" s="317"/>
      <c r="V171" s="317"/>
      <c r="W171" s="88"/>
      <c r="X171" s="317"/>
      <c r="Y171" s="317"/>
      <c r="Z171" s="88"/>
      <c r="AA171" s="317"/>
      <c r="AB171" s="317"/>
      <c r="AC171" s="88"/>
      <c r="AD171" s="317"/>
      <c r="AE171" s="317"/>
      <c r="AF171" s="88"/>
      <c r="AG171" s="317"/>
      <c r="AH171" s="317"/>
      <c r="AI171" s="88"/>
      <c r="AJ171" s="317"/>
      <c r="AK171" s="317"/>
      <c r="AL171" s="88"/>
      <c r="AM171" s="317"/>
      <c r="AN171" s="317"/>
      <c r="AO171" s="88"/>
      <c r="AP171" s="317"/>
      <c r="AQ171" s="317"/>
      <c r="AR171" s="88"/>
      <c r="AS171" s="317"/>
      <c r="AT171" s="317"/>
      <c r="AU171" s="317"/>
    </row>
    <row r="172" spans="1:47">
      <c r="B172" s="262" t="s">
        <v>199</v>
      </c>
      <c r="C172" s="7"/>
      <c r="D172" s="7"/>
      <c r="E172" s="4"/>
      <c r="F172" s="305"/>
      <c r="G172" s="305"/>
      <c r="H172" s="78"/>
      <c r="I172" s="305"/>
      <c r="J172" s="305"/>
      <c r="K172" s="78"/>
      <c r="L172" s="361">
        <v>0</v>
      </c>
      <c r="M172" s="361">
        <v>0</v>
      </c>
      <c r="N172" s="78">
        <f t="shared" ref="N172:N177" si="683">+O172</f>
        <v>0</v>
      </c>
      <c r="O172" s="361">
        <v>0</v>
      </c>
      <c r="P172" s="361">
        <v>0</v>
      </c>
      <c r="Q172" s="78">
        <f t="shared" ref="Q172:Q177" si="684">+R172</f>
        <v>0</v>
      </c>
      <c r="R172" s="361">
        <v>0</v>
      </c>
      <c r="S172" s="361">
        <v>0</v>
      </c>
      <c r="T172" s="78">
        <f t="shared" ref="T172:T177" si="685">+U172</f>
        <v>0</v>
      </c>
      <c r="U172" s="361">
        <v>0</v>
      </c>
      <c r="V172" s="361">
        <v>0</v>
      </c>
      <c r="W172" s="78">
        <f t="shared" ref="W172:W177" si="686">+X172</f>
        <v>0</v>
      </c>
      <c r="X172" s="361">
        <v>0</v>
      </c>
      <c r="Y172" s="361">
        <v>0</v>
      </c>
      <c r="Z172" s="78">
        <f t="shared" ref="Z172:Z177" si="687">+AA172</f>
        <v>0</v>
      </c>
      <c r="AA172" s="361">
        <v>0</v>
      </c>
      <c r="AB172" s="361">
        <v>0</v>
      </c>
      <c r="AC172" s="78">
        <f t="shared" ref="AC172:AC177" si="688">+AD172</f>
        <v>0</v>
      </c>
      <c r="AD172" s="361">
        <v>0</v>
      </c>
      <c r="AE172" s="361">
        <v>0</v>
      </c>
      <c r="AF172" s="78">
        <f t="shared" ref="AF172:AF177" si="689">+AG172</f>
        <v>0</v>
      </c>
      <c r="AG172" s="361">
        <v>0</v>
      </c>
      <c r="AH172" s="361">
        <v>0</v>
      </c>
      <c r="AI172" s="78">
        <f t="shared" ref="AI172:AI177" si="690">+AJ172</f>
        <v>0</v>
      </c>
      <c r="AJ172" s="361">
        <v>0</v>
      </c>
      <c r="AK172" s="361">
        <v>0</v>
      </c>
      <c r="AL172" s="78">
        <f t="shared" ref="AL172:AL177" si="691">+AM172</f>
        <v>0</v>
      </c>
      <c r="AM172" s="361">
        <v>0</v>
      </c>
      <c r="AN172" s="361">
        <v>0</v>
      </c>
      <c r="AO172" s="78">
        <f t="shared" ref="AO172:AO177" si="692">+AP172</f>
        <v>0</v>
      </c>
      <c r="AP172" s="361">
        <v>0</v>
      </c>
      <c r="AQ172" s="366">
        <f>AP172+AQ122</f>
        <v>0</v>
      </c>
      <c r="AR172" s="78">
        <f t="shared" ref="AR172:AR174" si="693">+AS172</f>
        <v>0</v>
      </c>
      <c r="AS172" s="366">
        <f>AP172+AS122</f>
        <v>0</v>
      </c>
      <c r="AT172" s="366">
        <f t="shared" ref="AT172:AU172" si="694">AS172+AT122</f>
        <v>0</v>
      </c>
      <c r="AU172" s="366">
        <f t="shared" si="694"/>
        <v>0</v>
      </c>
    </row>
    <row r="173" spans="1:47">
      <c r="B173" s="264" t="s">
        <v>200</v>
      </c>
      <c r="C173" s="7"/>
      <c r="D173" s="7"/>
      <c r="E173" s="4"/>
      <c r="F173" s="290"/>
      <c r="G173" s="290"/>
      <c r="H173" s="4"/>
      <c r="I173" s="290"/>
      <c r="J173" s="290"/>
      <c r="K173" s="78"/>
      <c r="L173" s="357">
        <v>0.96699999999999997</v>
      </c>
      <c r="M173" s="357">
        <v>0.625</v>
      </c>
      <c r="N173" s="78">
        <f t="shared" si="683"/>
        <v>0.45300000000000001</v>
      </c>
      <c r="O173" s="357">
        <v>0.45300000000000001</v>
      </c>
      <c r="P173" s="357">
        <v>0.751</v>
      </c>
      <c r="Q173" s="78">
        <f t="shared" si="684"/>
        <v>0.36899999999999999</v>
      </c>
      <c r="R173" s="357">
        <v>0.36899999999999999</v>
      </c>
      <c r="S173" s="357">
        <v>0.28799999999999998</v>
      </c>
      <c r="T173" s="78">
        <f t="shared" si="685"/>
        <v>0.27300000000000002</v>
      </c>
      <c r="U173" s="357">
        <v>0.27300000000000002</v>
      </c>
      <c r="V173" s="357">
        <v>0.378</v>
      </c>
      <c r="W173" s="78">
        <f t="shared" si="686"/>
        <v>0.28399999999999997</v>
      </c>
      <c r="X173" s="357">
        <v>0.28399999999999997</v>
      </c>
      <c r="Y173" s="357">
        <v>0.34399999999999997</v>
      </c>
      <c r="Z173" s="78">
        <f t="shared" si="687"/>
        <v>0.34399999999999997</v>
      </c>
      <c r="AA173" s="357">
        <v>0.34399999999999997</v>
      </c>
      <c r="AB173" s="357">
        <v>0.36599999999999999</v>
      </c>
      <c r="AC173" s="78">
        <f t="shared" si="688"/>
        <v>0.36399999999999999</v>
      </c>
      <c r="AD173" s="357">
        <v>0.36399999999999999</v>
      </c>
      <c r="AE173" s="357">
        <v>0.66</v>
      </c>
      <c r="AF173" s="78">
        <f t="shared" si="689"/>
        <v>0.64500000000000002</v>
      </c>
      <c r="AG173" s="357">
        <v>0.64500000000000002</v>
      </c>
      <c r="AH173" s="357">
        <v>0.747</v>
      </c>
      <c r="AI173" s="78">
        <f t="shared" si="690"/>
        <v>0.88900000000000001</v>
      </c>
      <c r="AJ173" s="357">
        <v>0.88900000000000001</v>
      </c>
      <c r="AK173" s="357">
        <v>0.82699999999999996</v>
      </c>
      <c r="AL173" s="78">
        <f t="shared" si="691"/>
        <v>0.90800000000000003</v>
      </c>
      <c r="AM173" s="357">
        <v>0.90800000000000003</v>
      </c>
      <c r="AN173" s="357">
        <v>0.90600000000000003</v>
      </c>
      <c r="AO173" s="78">
        <f t="shared" si="692"/>
        <v>1.026</v>
      </c>
      <c r="AP173" s="357">
        <v>1.026</v>
      </c>
      <c r="AQ173" s="317">
        <f t="shared" ref="AQ173:AQ174" si="695">AP173</f>
        <v>1.026</v>
      </c>
      <c r="AR173" s="78">
        <f t="shared" si="693"/>
        <v>1.026</v>
      </c>
      <c r="AS173" s="317">
        <f>AP173</f>
        <v>1.026</v>
      </c>
      <c r="AT173" s="317">
        <f t="shared" ref="AT173:AU174" si="696">AS173</f>
        <v>1.026</v>
      </c>
      <c r="AU173" s="317">
        <f t="shared" si="696"/>
        <v>1.026</v>
      </c>
    </row>
    <row r="174" spans="1:47">
      <c r="B174" s="262" t="s">
        <v>1115</v>
      </c>
      <c r="C174" s="7"/>
      <c r="D174" s="7"/>
      <c r="E174" s="4"/>
      <c r="F174" s="290"/>
      <c r="G174" s="290"/>
      <c r="H174" s="4"/>
      <c r="I174" s="290"/>
      <c r="J174" s="290"/>
      <c r="K174" s="78"/>
      <c r="L174" s="357">
        <v>0</v>
      </c>
      <c r="M174" s="357">
        <v>0</v>
      </c>
      <c r="N174" s="78">
        <f t="shared" si="683"/>
        <v>0</v>
      </c>
      <c r="O174" s="357">
        <v>0</v>
      </c>
      <c r="P174" s="357">
        <v>0</v>
      </c>
      <c r="Q174" s="78">
        <f t="shared" si="684"/>
        <v>0</v>
      </c>
      <c r="R174" s="357">
        <v>0</v>
      </c>
      <c r="S174" s="357">
        <v>0</v>
      </c>
      <c r="T174" s="78">
        <f t="shared" si="685"/>
        <v>0</v>
      </c>
      <c r="U174" s="357">
        <v>0</v>
      </c>
      <c r="V174" s="357">
        <v>0</v>
      </c>
      <c r="W174" s="78">
        <f t="shared" si="686"/>
        <v>0</v>
      </c>
      <c r="X174" s="357">
        <v>0</v>
      </c>
      <c r="Y174" s="357">
        <v>0</v>
      </c>
      <c r="Z174" s="78">
        <f t="shared" si="687"/>
        <v>0</v>
      </c>
      <c r="AA174" s="357">
        <v>0</v>
      </c>
      <c r="AB174" s="357">
        <v>0</v>
      </c>
      <c r="AC174" s="78">
        <f t="shared" si="688"/>
        <v>0</v>
      </c>
      <c r="AD174" s="357">
        <v>0</v>
      </c>
      <c r="AE174" s="357">
        <v>0</v>
      </c>
      <c r="AF174" s="78">
        <f t="shared" si="689"/>
        <v>0</v>
      </c>
      <c r="AG174" s="357">
        <v>0</v>
      </c>
      <c r="AH174" s="357">
        <v>0</v>
      </c>
      <c r="AI174" s="78">
        <f t="shared" si="690"/>
        <v>0</v>
      </c>
      <c r="AJ174" s="357">
        <v>0</v>
      </c>
      <c r="AK174" s="357">
        <v>0</v>
      </c>
      <c r="AL174" s="78">
        <f t="shared" si="691"/>
        <v>0</v>
      </c>
      <c r="AM174" s="357">
        <v>0</v>
      </c>
      <c r="AN174" s="357">
        <v>0</v>
      </c>
      <c r="AO174" s="78">
        <f t="shared" si="692"/>
        <v>0</v>
      </c>
      <c r="AP174" s="357">
        <v>0</v>
      </c>
      <c r="AQ174" s="317">
        <f t="shared" si="695"/>
        <v>0</v>
      </c>
      <c r="AR174" s="78">
        <f t="shared" si="693"/>
        <v>0</v>
      </c>
      <c r="AS174" s="317">
        <f>AP174</f>
        <v>0</v>
      </c>
      <c r="AT174" s="317">
        <f t="shared" si="696"/>
        <v>0</v>
      </c>
      <c r="AU174" s="317">
        <f t="shared" si="696"/>
        <v>0</v>
      </c>
    </row>
    <row r="175" spans="1:47" s="2" customFormat="1">
      <c r="A175" s="429"/>
      <c r="B175" s="587" t="s">
        <v>326</v>
      </c>
      <c r="C175" s="7"/>
      <c r="D175" s="7"/>
      <c r="E175" s="4"/>
      <c r="F175" s="290"/>
      <c r="G175" s="290"/>
      <c r="H175" s="4"/>
      <c r="I175" s="290"/>
      <c r="J175" s="290"/>
      <c r="K175" s="78"/>
      <c r="L175" s="359">
        <v>0.629</v>
      </c>
      <c r="M175" s="359">
        <v>1.105</v>
      </c>
      <c r="N175" s="78">
        <f t="shared" si="683"/>
        <v>3.0430000000000001</v>
      </c>
      <c r="O175" s="359">
        <v>3.0430000000000001</v>
      </c>
      <c r="P175" s="359">
        <v>1.575</v>
      </c>
      <c r="Q175" s="78">
        <f t="shared" si="684"/>
        <v>3.2000000000000001E-2</v>
      </c>
      <c r="R175" s="359">
        <v>3.2000000000000001E-2</v>
      </c>
      <c r="S175" s="359">
        <v>3.867</v>
      </c>
      <c r="T175" s="78">
        <f t="shared" si="685"/>
        <v>2.835</v>
      </c>
      <c r="U175" s="359">
        <v>2.835</v>
      </c>
      <c r="V175" s="359">
        <v>2.5510000000000002</v>
      </c>
      <c r="W175" s="78">
        <f t="shared" si="686"/>
        <v>2.359</v>
      </c>
      <c r="X175" s="359">
        <v>2.359</v>
      </c>
      <c r="Y175" s="359">
        <v>0</v>
      </c>
      <c r="Z175" s="78">
        <f t="shared" si="687"/>
        <v>0</v>
      </c>
      <c r="AA175" s="359">
        <v>0</v>
      </c>
      <c r="AB175" s="359">
        <v>0.72699999999999998</v>
      </c>
      <c r="AC175" s="78">
        <f t="shared" si="688"/>
        <v>0.72699999999999998</v>
      </c>
      <c r="AD175" s="359">
        <v>0.72699999999999998</v>
      </c>
      <c r="AE175" s="359">
        <v>0.35699999999999998</v>
      </c>
      <c r="AF175" s="78">
        <f t="shared" si="689"/>
        <v>0.35699999999999998</v>
      </c>
      <c r="AG175" s="359">
        <v>0.35699999999999998</v>
      </c>
      <c r="AH175" s="359">
        <v>0</v>
      </c>
      <c r="AI175" s="78">
        <f t="shared" si="690"/>
        <v>0</v>
      </c>
      <c r="AJ175" s="359">
        <v>0</v>
      </c>
      <c r="AK175" s="359">
        <v>0</v>
      </c>
      <c r="AL175" s="78">
        <f t="shared" si="691"/>
        <v>0</v>
      </c>
      <c r="AM175" s="359">
        <v>0</v>
      </c>
      <c r="AN175" s="359">
        <v>0</v>
      </c>
      <c r="AO175" s="78">
        <f t="shared" si="692"/>
        <v>0.73799999999999999</v>
      </c>
      <c r="AP175" s="359">
        <v>0.73799999999999999</v>
      </c>
      <c r="AQ175" s="359">
        <v>4.4329999999999927</v>
      </c>
      <c r="AR175" s="508">
        <v>4.4830000000000041</v>
      </c>
      <c r="AS175" s="359">
        <v>4.4830000000000041</v>
      </c>
      <c r="AT175" s="359">
        <v>4.58299999999997</v>
      </c>
      <c r="AU175" s="340">
        <f t="shared" ref="AU175" si="697">+AT175</f>
        <v>4.58299999999997</v>
      </c>
    </row>
    <row r="176" spans="1:47">
      <c r="B176" s="262" t="s">
        <v>1125</v>
      </c>
      <c r="C176" s="7"/>
      <c r="D176" s="7"/>
      <c r="E176" s="4"/>
      <c r="F176" s="290"/>
      <c r="G176" s="290"/>
      <c r="H176" s="4"/>
      <c r="I176" s="290"/>
      <c r="J176" s="290"/>
      <c r="K176" s="78"/>
      <c r="L176" s="357">
        <v>0</v>
      </c>
      <c r="M176" s="357">
        <v>0</v>
      </c>
      <c r="N176" s="78">
        <f t="shared" si="683"/>
        <v>0</v>
      </c>
      <c r="O176" s="357">
        <v>0</v>
      </c>
      <c r="P176" s="357">
        <v>0</v>
      </c>
      <c r="Q176" s="78">
        <f t="shared" si="684"/>
        <v>0</v>
      </c>
      <c r="R176" s="357">
        <v>0</v>
      </c>
      <c r="S176" s="357">
        <v>0</v>
      </c>
      <c r="T176" s="78">
        <f t="shared" si="685"/>
        <v>0</v>
      </c>
      <c r="U176" s="357">
        <v>0</v>
      </c>
      <c r="V176" s="357">
        <v>0</v>
      </c>
      <c r="W176" s="78">
        <f t="shared" si="686"/>
        <v>0</v>
      </c>
      <c r="X176" s="357">
        <v>0</v>
      </c>
      <c r="Y176" s="357">
        <v>10.973000000000001</v>
      </c>
      <c r="Z176" s="78">
        <f t="shared" si="687"/>
        <v>10.243</v>
      </c>
      <c r="AA176" s="357">
        <v>10.243</v>
      </c>
      <c r="AB176" s="357">
        <v>10.731999999999999</v>
      </c>
      <c r="AC176" s="78">
        <f t="shared" si="688"/>
        <v>10.253</v>
      </c>
      <c r="AD176" s="357">
        <v>10.253</v>
      </c>
      <c r="AE176" s="357">
        <v>9.91</v>
      </c>
      <c r="AF176" s="78">
        <f t="shared" ref="AF176" si="698">+AG176</f>
        <v>8.4879999999999995</v>
      </c>
      <c r="AG176" s="357">
        <v>8.4879999999999995</v>
      </c>
      <c r="AH176" s="357">
        <v>7.718</v>
      </c>
      <c r="AI176" s="78">
        <f t="shared" ref="AI176" si="699">+AJ176</f>
        <v>5.8840000000000003</v>
      </c>
      <c r="AJ176" s="357">
        <v>5.8840000000000003</v>
      </c>
      <c r="AK176" s="357">
        <v>4.71</v>
      </c>
      <c r="AL176" s="78">
        <f t="shared" ref="AL176" si="700">+AM176</f>
        <v>13.385</v>
      </c>
      <c r="AM176" s="357">
        <v>13.385</v>
      </c>
      <c r="AN176" s="357">
        <v>12.002000000000001</v>
      </c>
      <c r="AO176" s="78">
        <f t="shared" si="692"/>
        <v>10.689</v>
      </c>
      <c r="AP176" s="357">
        <v>10.689</v>
      </c>
      <c r="AQ176" s="316">
        <f>AP176+0.5</f>
        <v>11.189</v>
      </c>
      <c r="AR176" s="78">
        <f t="shared" ref="AR176:AR177" si="701">+AS176</f>
        <v>14.689</v>
      </c>
      <c r="AS176" s="316">
        <f>+AP176+4</f>
        <v>14.689</v>
      </c>
      <c r="AT176" s="316">
        <f t="shared" ref="AT176" si="702">+AS176+2</f>
        <v>16.689</v>
      </c>
      <c r="AU176" s="317">
        <f>+AT176</f>
        <v>16.689</v>
      </c>
    </row>
    <row r="177" spans="1:47">
      <c r="B177" s="261" t="s">
        <v>330</v>
      </c>
      <c r="C177" s="36"/>
      <c r="D177" s="36"/>
      <c r="E177" s="4"/>
      <c r="F177" s="289"/>
      <c r="G177" s="289"/>
      <c r="H177" s="4"/>
      <c r="I177" s="289"/>
      <c r="J177" s="289"/>
      <c r="K177" s="78"/>
      <c r="L177" s="317">
        <f>SUM(L172:L176)</f>
        <v>1.5960000000000001</v>
      </c>
      <c r="M177" s="317">
        <f>SUM(M172:M176)</f>
        <v>1.73</v>
      </c>
      <c r="N177" s="78">
        <f t="shared" si="683"/>
        <v>3.496</v>
      </c>
      <c r="O177" s="317">
        <f>SUM(O172:O176)</f>
        <v>3.496</v>
      </c>
      <c r="P177" s="317">
        <f>SUM(P172:P176)</f>
        <v>2.3260000000000001</v>
      </c>
      <c r="Q177" s="78">
        <f t="shared" si="684"/>
        <v>0.40100000000000002</v>
      </c>
      <c r="R177" s="317">
        <f>SUM(R172:R176)</f>
        <v>0.40100000000000002</v>
      </c>
      <c r="S177" s="317">
        <f>SUM(S172:S176)</f>
        <v>4.1550000000000002</v>
      </c>
      <c r="T177" s="78">
        <f t="shared" si="685"/>
        <v>3.1080000000000001</v>
      </c>
      <c r="U177" s="317">
        <f>SUM(U172:U176)</f>
        <v>3.1080000000000001</v>
      </c>
      <c r="V177" s="317">
        <f>SUM(V172:V176)</f>
        <v>2.9290000000000003</v>
      </c>
      <c r="W177" s="78">
        <f t="shared" si="686"/>
        <v>2.6429999999999998</v>
      </c>
      <c r="X177" s="317">
        <f>SUM(X172:X176)</f>
        <v>2.6429999999999998</v>
      </c>
      <c r="Y177" s="317">
        <f>SUM(Y172:Y176)</f>
        <v>11.317</v>
      </c>
      <c r="Z177" s="78">
        <f t="shared" si="687"/>
        <v>10.587</v>
      </c>
      <c r="AA177" s="317">
        <f>SUM(AA172:AA176)</f>
        <v>10.587</v>
      </c>
      <c r="AB177" s="317">
        <f>SUM(AB172:AB176)</f>
        <v>11.824999999999999</v>
      </c>
      <c r="AC177" s="78">
        <f t="shared" si="688"/>
        <v>11.343999999999999</v>
      </c>
      <c r="AD177" s="317">
        <f>SUM(AD172:AD176)</f>
        <v>11.343999999999999</v>
      </c>
      <c r="AE177" s="317">
        <f>SUM(AE172:AE176)</f>
        <v>10.927</v>
      </c>
      <c r="AF177" s="78">
        <f t="shared" si="689"/>
        <v>9.49</v>
      </c>
      <c r="AG177" s="317">
        <f>SUM(AG172:AG176)</f>
        <v>9.49</v>
      </c>
      <c r="AH177" s="317">
        <f>SUM(AH172:AH176)</f>
        <v>8.4649999999999999</v>
      </c>
      <c r="AI177" s="78">
        <f t="shared" si="690"/>
        <v>6.7730000000000006</v>
      </c>
      <c r="AJ177" s="317">
        <f>SUM(AJ172:AJ176)</f>
        <v>6.7730000000000006</v>
      </c>
      <c r="AK177" s="317">
        <f>SUM(AK172:AK176)</f>
        <v>5.5369999999999999</v>
      </c>
      <c r="AL177" s="78">
        <f t="shared" si="691"/>
        <v>14.292999999999999</v>
      </c>
      <c r="AM177" s="317">
        <f t="shared" ref="AM177:AU177" si="703">SUM(AM172:AM176)</f>
        <v>14.292999999999999</v>
      </c>
      <c r="AN177" s="317">
        <f t="shared" ref="AN177" si="704">SUM(AN172:AN176)</f>
        <v>12.908000000000001</v>
      </c>
      <c r="AO177" s="78">
        <f t="shared" si="692"/>
        <v>12.452999999999999</v>
      </c>
      <c r="AP177" s="317">
        <f t="shared" ref="AP177" si="705">SUM(AP172:AP176)</f>
        <v>12.452999999999999</v>
      </c>
      <c r="AQ177" s="317">
        <f>SUM(AQ172:AQ176)</f>
        <v>16.647999999999993</v>
      </c>
      <c r="AR177" s="78">
        <f t="shared" si="701"/>
        <v>20.198000000000004</v>
      </c>
      <c r="AS177" s="317">
        <f t="shared" si="703"/>
        <v>20.198000000000004</v>
      </c>
      <c r="AT177" s="317">
        <f t="shared" si="703"/>
        <v>22.29799999999997</v>
      </c>
      <c r="AU177" s="317">
        <f t="shared" si="703"/>
        <v>22.29799999999997</v>
      </c>
    </row>
    <row r="178" spans="1:47">
      <c r="B178" s="262"/>
      <c r="C178" s="54"/>
      <c r="D178" s="54"/>
      <c r="E178" s="4"/>
      <c r="F178" s="312"/>
      <c r="G178" s="312"/>
      <c r="H178" s="4"/>
      <c r="I178" s="312"/>
      <c r="J178" s="312"/>
      <c r="K178" s="73"/>
      <c r="L178" s="336"/>
      <c r="M178" s="336"/>
      <c r="N178" s="73"/>
      <c r="O178" s="336"/>
      <c r="P178" s="336"/>
      <c r="Q178" s="73"/>
      <c r="R178" s="336"/>
      <c r="S178" s="336"/>
      <c r="T178" s="73"/>
      <c r="U178" s="336"/>
      <c r="V178" s="336"/>
      <c r="W178" s="73"/>
      <c r="X178" s="336"/>
      <c r="Y178" s="336"/>
      <c r="Z178" s="73"/>
      <c r="AA178" s="336"/>
      <c r="AB178" s="336"/>
      <c r="AC178" s="73"/>
      <c r="AD178" s="336"/>
      <c r="AE178" s="336"/>
      <c r="AF178" s="73"/>
      <c r="AG178" s="336"/>
      <c r="AH178" s="336"/>
      <c r="AI178" s="73"/>
      <c r="AJ178" s="336"/>
      <c r="AK178" s="336"/>
      <c r="AL178" s="73"/>
      <c r="AM178" s="336"/>
      <c r="AN178" s="336"/>
      <c r="AO178" s="73"/>
      <c r="AP178" s="336"/>
      <c r="AQ178" s="336"/>
      <c r="AR178" s="73"/>
      <c r="AS178" s="336"/>
      <c r="AT178" s="336"/>
      <c r="AU178" s="336"/>
    </row>
    <row r="179" spans="1:47">
      <c r="B179" s="263" t="s">
        <v>331</v>
      </c>
      <c r="C179" s="10"/>
      <c r="D179" s="10"/>
      <c r="E179" s="41"/>
      <c r="F179" s="293"/>
      <c r="G179" s="293"/>
      <c r="H179" s="41"/>
      <c r="I179" s="293"/>
      <c r="J179" s="293"/>
      <c r="K179" s="76"/>
      <c r="L179" s="346">
        <f>L169+L177</f>
        <v>21.042000000000002</v>
      </c>
      <c r="M179" s="346">
        <f>M169+M177</f>
        <v>23.856000000000002</v>
      </c>
      <c r="N179" s="76">
        <f t="shared" ref="N179" si="706">+O179</f>
        <v>25.849999999999998</v>
      </c>
      <c r="O179" s="346">
        <f>O169+O177</f>
        <v>25.849999999999998</v>
      </c>
      <c r="P179" s="346">
        <f>P169+P177</f>
        <v>24.286999999999999</v>
      </c>
      <c r="Q179" s="76">
        <f t="shared" ref="Q179" si="707">+R179</f>
        <v>19.733999999999998</v>
      </c>
      <c r="R179" s="346">
        <f>R169+R177</f>
        <v>19.733999999999998</v>
      </c>
      <c r="S179" s="346">
        <f>S169+S177</f>
        <v>28.031000000000002</v>
      </c>
      <c r="T179" s="76">
        <f t="shared" ref="T179" si="708">+U179</f>
        <v>24.864000000000001</v>
      </c>
      <c r="U179" s="346">
        <f>U169+U177</f>
        <v>24.864000000000001</v>
      </c>
      <c r="V179" s="346">
        <f>V169+V177</f>
        <v>29.219000000000008</v>
      </c>
      <c r="W179" s="76">
        <f t="shared" ref="W179" si="709">+X179</f>
        <v>30.366000000000003</v>
      </c>
      <c r="X179" s="346">
        <f>X169+X177</f>
        <v>30.366000000000003</v>
      </c>
      <c r="Y179" s="346">
        <f>Y169+Y177</f>
        <v>42.058999999999997</v>
      </c>
      <c r="Z179" s="76">
        <f t="shared" ref="Z179" si="710">+AA179</f>
        <v>46.891999999999996</v>
      </c>
      <c r="AA179" s="346">
        <f>AA169+AA177</f>
        <v>46.891999999999996</v>
      </c>
      <c r="AB179" s="346">
        <f>AB169+AB177</f>
        <v>49.075000000000003</v>
      </c>
      <c r="AC179" s="76">
        <f t="shared" ref="AC179" si="711">+AD179</f>
        <v>63.508000000000003</v>
      </c>
      <c r="AD179" s="346">
        <f>AD169+AD177</f>
        <v>63.508000000000003</v>
      </c>
      <c r="AE179" s="346">
        <f>AE169+AE177</f>
        <v>55.193999999999996</v>
      </c>
      <c r="AF179" s="76">
        <f t="shared" ref="AF179" si="712">+AG179</f>
        <v>69.697999999999993</v>
      </c>
      <c r="AG179" s="346">
        <f>AG169+AG177</f>
        <v>69.697999999999993</v>
      </c>
      <c r="AH179" s="346">
        <f>AH169+AH177</f>
        <v>60.959999999999994</v>
      </c>
      <c r="AI179" s="76">
        <f t="shared" ref="AI179" si="713">+AJ179</f>
        <v>78.458999999999989</v>
      </c>
      <c r="AJ179" s="346">
        <f>AJ169+AJ177</f>
        <v>78.458999999999989</v>
      </c>
      <c r="AK179" s="346">
        <f>AK169+AK177</f>
        <v>61.594999999999999</v>
      </c>
      <c r="AL179" s="76">
        <f t="shared" ref="AL179" si="714">+AM179</f>
        <v>86.302999999999997</v>
      </c>
      <c r="AM179" s="346">
        <f t="shared" ref="AM179:AU179" si="715">AM169+AM177</f>
        <v>86.302999999999997</v>
      </c>
      <c r="AN179" s="346">
        <f t="shared" ref="AN179" si="716">AN169+AN177</f>
        <v>68.413999999999987</v>
      </c>
      <c r="AO179" s="76">
        <f t="shared" ref="AO179" si="717">+AP179</f>
        <v>80.596999999999994</v>
      </c>
      <c r="AP179" s="346">
        <f t="shared" ref="AP179" si="718">AP169+AP177</f>
        <v>80.596999999999994</v>
      </c>
      <c r="AQ179" s="346">
        <f>AQ169+AQ177</f>
        <v>86.33868790277117</v>
      </c>
      <c r="AR179" s="76">
        <f t="shared" ref="AR179" si="719">+AS179</f>
        <v>92.937742064704707</v>
      </c>
      <c r="AS179" s="346">
        <f t="shared" si="715"/>
        <v>92.937742064704707</v>
      </c>
      <c r="AT179" s="346">
        <f t="shared" si="715"/>
        <v>102.26897087826725</v>
      </c>
      <c r="AU179" s="346">
        <f t="shared" si="715"/>
        <v>110.07827841184805</v>
      </c>
    </row>
    <row r="180" spans="1:47">
      <c r="B180" s="261"/>
      <c r="C180" s="54"/>
      <c r="D180" s="54"/>
      <c r="E180" s="11"/>
      <c r="F180" s="312"/>
      <c r="G180" s="312"/>
      <c r="H180" s="11"/>
      <c r="I180" s="312"/>
      <c r="J180" s="312"/>
      <c r="K180" s="73"/>
      <c r="L180" s="336"/>
      <c r="M180" s="336"/>
      <c r="N180" s="73"/>
      <c r="O180" s="336"/>
      <c r="P180" s="336"/>
      <c r="Q180" s="73"/>
      <c r="R180" s="336"/>
      <c r="S180" s="336"/>
      <c r="T180" s="73"/>
      <c r="U180" s="336"/>
      <c r="V180" s="336"/>
      <c r="W180" s="73"/>
      <c r="X180" s="336"/>
      <c r="Y180" s="336"/>
      <c r="Z180" s="73"/>
      <c r="AA180" s="336"/>
      <c r="AB180" s="336"/>
      <c r="AC180" s="73"/>
      <c r="AD180" s="336"/>
      <c r="AE180" s="336"/>
      <c r="AF180" s="73"/>
      <c r="AG180" s="336"/>
      <c r="AH180" s="336"/>
      <c r="AI180" s="73"/>
      <c r="AJ180" s="336"/>
      <c r="AK180" s="336"/>
      <c r="AL180" s="73"/>
      <c r="AM180" s="336"/>
      <c r="AN180" s="336"/>
      <c r="AO180" s="73"/>
      <c r="AP180" s="336"/>
      <c r="AQ180" s="336"/>
      <c r="AR180" s="73"/>
      <c r="AS180" s="336"/>
      <c r="AT180" s="336"/>
      <c r="AU180" s="336"/>
    </row>
    <row r="181" spans="1:47">
      <c r="B181" s="261" t="s">
        <v>332</v>
      </c>
      <c r="C181" s="54"/>
      <c r="D181" s="54"/>
      <c r="E181" s="11"/>
      <c r="F181" s="312"/>
      <c r="G181" s="312"/>
      <c r="H181" s="11"/>
      <c r="I181" s="312"/>
      <c r="J181" s="312"/>
      <c r="K181" s="73"/>
      <c r="L181" s="336"/>
      <c r="M181" s="336"/>
      <c r="N181" s="73"/>
      <c r="O181" s="336"/>
      <c r="P181" s="336"/>
      <c r="Q181" s="73"/>
      <c r="R181" s="336"/>
      <c r="S181" s="336"/>
      <c r="T181" s="73"/>
      <c r="U181" s="336"/>
      <c r="V181" s="336"/>
      <c r="W181" s="73"/>
      <c r="X181" s="336"/>
      <c r="Y181" s="336"/>
      <c r="Z181" s="73"/>
      <c r="AA181" s="336"/>
      <c r="AB181" s="336"/>
      <c r="AC181" s="73"/>
      <c r="AD181" s="336"/>
      <c r="AE181" s="336"/>
      <c r="AF181" s="73"/>
      <c r="AG181" s="336"/>
      <c r="AH181" s="336"/>
      <c r="AI181" s="73"/>
      <c r="AJ181" s="336"/>
      <c r="AK181" s="336"/>
      <c r="AL181" s="73"/>
      <c r="AM181" s="336"/>
      <c r="AN181" s="336"/>
      <c r="AO181" s="73"/>
      <c r="AP181" s="336"/>
      <c r="AQ181" s="336"/>
      <c r="AR181" s="73"/>
      <c r="AS181" s="336"/>
      <c r="AT181" s="336"/>
      <c r="AU181" s="336"/>
    </row>
    <row r="182" spans="1:47">
      <c r="B182" s="262" t="s">
        <v>426</v>
      </c>
      <c r="C182" s="7"/>
      <c r="D182" s="7"/>
      <c r="E182" s="4"/>
      <c r="F182" s="290"/>
      <c r="G182" s="290"/>
      <c r="H182" s="4"/>
      <c r="I182" s="290"/>
      <c r="J182" s="290"/>
      <c r="K182" s="78"/>
      <c r="L182" s="357">
        <v>1.601</v>
      </c>
      <c r="M182" s="359">
        <v>2.7869999999999999</v>
      </c>
      <c r="N182" s="78">
        <f>+O182</f>
        <v>3.048</v>
      </c>
      <c r="O182" s="357">
        <v>3.048</v>
      </c>
      <c r="P182" s="359">
        <v>3.2429999999999999</v>
      </c>
      <c r="Q182" s="78">
        <f>+R182</f>
        <v>3.6309999999999998</v>
      </c>
      <c r="R182" s="357">
        <v>3.6309999999999998</v>
      </c>
      <c r="S182" s="359">
        <v>4.0469999999999997</v>
      </c>
      <c r="T182" s="78">
        <f>+U182</f>
        <v>3.92</v>
      </c>
      <c r="U182" s="357">
        <v>3.92</v>
      </c>
      <c r="V182" s="359">
        <v>3.9940000000000002</v>
      </c>
      <c r="W182" s="78">
        <f>+X182</f>
        <v>4.3890000000000002</v>
      </c>
      <c r="X182" s="357">
        <v>4.3890000000000002</v>
      </c>
      <c r="Y182" s="359">
        <v>4.4340000000000002</v>
      </c>
      <c r="Z182" s="78">
        <f>+AA182</f>
        <v>4.9939999999999998</v>
      </c>
      <c r="AA182" s="357">
        <v>4.9939999999999998</v>
      </c>
      <c r="AB182" s="359">
        <v>5.4480000000000004</v>
      </c>
      <c r="AC182" s="78">
        <f>+AD182</f>
        <v>5.4480000000000004</v>
      </c>
      <c r="AD182" s="357">
        <v>5.4480000000000004</v>
      </c>
      <c r="AE182" s="359">
        <v>5.8979999999999997</v>
      </c>
      <c r="AF182" s="78">
        <f>+AG182</f>
        <v>6.9429999999999996</v>
      </c>
      <c r="AG182" s="357">
        <v>6.9429999999999996</v>
      </c>
      <c r="AH182" s="359">
        <v>7.9880000000000004</v>
      </c>
      <c r="AI182" s="78">
        <f t="shared" ref="AI182:AI186" si="720">+AJ182</f>
        <v>11.31</v>
      </c>
      <c r="AJ182" s="357">
        <v>11.31</v>
      </c>
      <c r="AK182" s="357">
        <v>11.372999999999999</v>
      </c>
      <c r="AL182" s="78">
        <f t="shared" ref="AL182:AL186" si="721">+AM182</f>
        <v>11.722</v>
      </c>
      <c r="AM182" s="357">
        <v>11.722</v>
      </c>
      <c r="AN182" s="357">
        <v>12.279</v>
      </c>
      <c r="AO182" s="78">
        <f t="shared" ref="AO182" si="722">+AP182</f>
        <v>12.385</v>
      </c>
      <c r="AP182" s="357">
        <v>12.385</v>
      </c>
      <c r="AQ182" s="317">
        <f>AP182+AQ117</f>
        <v>12.385</v>
      </c>
      <c r="AR182" s="78">
        <f t="shared" ref="AR182" si="723">+AS182</f>
        <v>12.385</v>
      </c>
      <c r="AS182" s="317">
        <f>AP182+AS117</f>
        <v>12.385</v>
      </c>
      <c r="AT182" s="317">
        <f t="shared" ref="AT182:AU182" si="724">AS182+AT117</f>
        <v>12.385</v>
      </c>
      <c r="AU182" s="317">
        <f t="shared" si="724"/>
        <v>12.385</v>
      </c>
    </row>
    <row r="183" spans="1:47">
      <c r="B183" s="262" t="s">
        <v>204</v>
      </c>
      <c r="C183" s="7"/>
      <c r="D183" s="7"/>
      <c r="E183" s="4"/>
      <c r="F183" s="290"/>
      <c r="G183" s="290"/>
      <c r="H183" s="4"/>
      <c r="I183" s="290"/>
      <c r="J183" s="290"/>
      <c r="K183" s="78"/>
      <c r="L183" s="359">
        <v>0</v>
      </c>
      <c r="M183" s="359">
        <v>0</v>
      </c>
      <c r="N183" s="78">
        <f t="shared" ref="N183:N184" si="725">+O183</f>
        <v>0</v>
      </c>
      <c r="O183" s="359">
        <v>0</v>
      </c>
      <c r="P183" s="359">
        <v>0</v>
      </c>
      <c r="Q183" s="78">
        <f t="shared" ref="Q183:Q184" si="726">+R183</f>
        <v>0</v>
      </c>
      <c r="R183" s="359">
        <v>0</v>
      </c>
      <c r="S183" s="359">
        <v>0</v>
      </c>
      <c r="T183" s="78">
        <f t="shared" ref="T183:T184" si="727">+U183</f>
        <v>-11.074999999999999</v>
      </c>
      <c r="U183" s="359">
        <v>-11.074999999999999</v>
      </c>
      <c r="V183" s="359">
        <v>-11.27</v>
      </c>
      <c r="W183" s="78">
        <f t="shared" ref="W183:W184" si="728">+X183</f>
        <v>-10.942</v>
      </c>
      <c r="X183" s="359">
        <v>-10.942</v>
      </c>
      <c r="Y183" s="359">
        <v>-10.702</v>
      </c>
      <c r="Z183" s="78">
        <f t="shared" ref="Z183:Z184" si="729">+AA183</f>
        <v>-10.237</v>
      </c>
      <c r="AA183" s="359">
        <v>-10.237</v>
      </c>
      <c r="AB183" s="359">
        <v>-9.6630000000000003</v>
      </c>
      <c r="AC183" s="78">
        <f t="shared" ref="AC183:AC184" si="730">+AD183</f>
        <v>-10.95</v>
      </c>
      <c r="AD183" s="359">
        <v>-10.95</v>
      </c>
      <c r="AE183" s="359">
        <v>-10.858000000000001</v>
      </c>
      <c r="AF183" s="78">
        <f t="shared" ref="AF183:AF184" si="731">+AG183</f>
        <v>-10.372</v>
      </c>
      <c r="AG183" s="359">
        <v>-10.372</v>
      </c>
      <c r="AH183" s="359">
        <v>-9.9559999999999995</v>
      </c>
      <c r="AI183" s="78">
        <f>+AH183+AI31</f>
        <v>-9.9559999999999995</v>
      </c>
      <c r="AJ183" s="359">
        <v>-10.807</v>
      </c>
      <c r="AK183" s="359">
        <v>-9.7970000000000006</v>
      </c>
      <c r="AL183" s="78">
        <f>+AK183+AL31</f>
        <v>-9.7970000000000006</v>
      </c>
      <c r="AM183" s="359">
        <v>-10.292</v>
      </c>
      <c r="AN183" s="359">
        <v>-10.856999999999999</v>
      </c>
      <c r="AO183" s="78">
        <f>+AN183+AO31</f>
        <v>-10.856999999999999</v>
      </c>
      <c r="AP183" s="359">
        <v>-10.680999999999999</v>
      </c>
      <c r="AQ183" s="340">
        <f>+AP183+AQ31</f>
        <v>-10.680999999999999</v>
      </c>
      <c r="AR183" s="78">
        <f>+AQ183+AR31</f>
        <v>-10.680999999999999</v>
      </c>
      <c r="AS183" s="340">
        <f>+AP183+AS31</f>
        <v>-10.680999999999999</v>
      </c>
      <c r="AT183" s="340">
        <f t="shared" ref="AT183:AU183" si="732">+AS183+AT31</f>
        <v>-10.680999999999999</v>
      </c>
      <c r="AU183" s="340">
        <f t="shared" si="732"/>
        <v>-10.680999999999999</v>
      </c>
    </row>
    <row r="184" spans="1:47">
      <c r="B184" s="262" t="s">
        <v>333</v>
      </c>
      <c r="C184" s="7"/>
      <c r="D184" s="7"/>
      <c r="E184" s="4"/>
      <c r="F184" s="290"/>
      <c r="G184" s="290"/>
      <c r="H184" s="4"/>
      <c r="I184" s="290"/>
      <c r="J184" s="290"/>
      <c r="K184" s="78"/>
      <c r="L184" s="357">
        <v>10.381</v>
      </c>
      <c r="M184" s="359">
        <v>9.3620000000000001</v>
      </c>
      <c r="N184" s="78">
        <f t="shared" si="725"/>
        <v>12.574</v>
      </c>
      <c r="O184" s="357">
        <v>12.574</v>
      </c>
      <c r="P184" s="359">
        <v>10.683999999999999</v>
      </c>
      <c r="Q184" s="78">
        <f t="shared" si="726"/>
        <v>14.329000000000001</v>
      </c>
      <c r="R184" s="357">
        <v>14.329000000000001</v>
      </c>
      <c r="S184" s="359">
        <v>13.51</v>
      </c>
      <c r="T184" s="78">
        <f t="shared" si="727"/>
        <v>28.489000000000001</v>
      </c>
      <c r="U184" s="357">
        <v>28.489000000000001</v>
      </c>
      <c r="V184" s="359">
        <v>28.010999999999999</v>
      </c>
      <c r="W184" s="78">
        <f t="shared" si="728"/>
        <v>31.280999999999999</v>
      </c>
      <c r="X184" s="357">
        <v>31.280999999999999</v>
      </c>
      <c r="Y184" s="359">
        <v>29.986000000000001</v>
      </c>
      <c r="Z184" s="78">
        <f t="shared" si="729"/>
        <v>35.393000000000001</v>
      </c>
      <c r="AA184" s="357">
        <v>35.393000000000001</v>
      </c>
      <c r="AB184" s="359">
        <v>34.07</v>
      </c>
      <c r="AC184" s="78">
        <f t="shared" si="730"/>
        <v>40.844999999999999</v>
      </c>
      <c r="AD184" s="357">
        <v>40.844999999999999</v>
      </c>
      <c r="AE184" s="359">
        <v>41.521000000000001</v>
      </c>
      <c r="AF184" s="78">
        <f t="shared" si="731"/>
        <v>50.38</v>
      </c>
      <c r="AG184" s="357">
        <v>50.38</v>
      </c>
      <c r="AH184" s="359">
        <v>50.566000000000003</v>
      </c>
      <c r="AI184" s="78">
        <f t="shared" si="720"/>
        <v>61.454000000000001</v>
      </c>
      <c r="AJ184" s="357">
        <v>61.454000000000001</v>
      </c>
      <c r="AK184" s="357">
        <v>61.756</v>
      </c>
      <c r="AL184" s="78">
        <f t="shared" si="721"/>
        <v>72.119</v>
      </c>
      <c r="AM184" s="357">
        <v>72.119</v>
      </c>
      <c r="AN184" s="357">
        <v>75.694999999999993</v>
      </c>
      <c r="AO184" s="78">
        <f t="shared" ref="AO184" si="733">+AP184</f>
        <v>90.596999999999994</v>
      </c>
      <c r="AP184" s="357">
        <v>90.596999999999994</v>
      </c>
      <c r="AQ184" s="317">
        <f>AP184+AQ57+AQ105</f>
        <v>89.225888000699712</v>
      </c>
      <c r="AR184" s="78">
        <f t="shared" ref="AR184" si="734">+AS184</f>
        <v>107.68973364902008</v>
      </c>
      <c r="AS184" s="317">
        <f>AP184+AS57+AS105</f>
        <v>107.68973364902008</v>
      </c>
      <c r="AT184" s="317">
        <f t="shared" ref="AT184:AU184" si="735">AS184+AT57+AT105</f>
        <v>130.28815150138809</v>
      </c>
      <c r="AU184" s="317">
        <f t="shared" si="735"/>
        <v>157.10215221155659</v>
      </c>
    </row>
    <row r="185" spans="1:47">
      <c r="B185" s="262" t="s">
        <v>334</v>
      </c>
      <c r="C185" s="7"/>
      <c r="D185" s="7"/>
      <c r="E185" s="4"/>
      <c r="F185" s="290"/>
      <c r="G185" s="290"/>
      <c r="H185" s="4"/>
      <c r="I185" s="290"/>
      <c r="J185" s="290"/>
      <c r="K185" s="108"/>
      <c r="L185" s="367"/>
      <c r="M185" s="316"/>
      <c r="N185" s="108"/>
      <c r="O185" s="367"/>
      <c r="P185" s="316"/>
      <c r="Q185" s="108"/>
      <c r="R185" s="367"/>
      <c r="S185" s="316"/>
      <c r="T185" s="108"/>
      <c r="U185" s="367"/>
      <c r="V185" s="316"/>
      <c r="W185" s="108"/>
      <c r="X185" s="367"/>
      <c r="Y185" s="316"/>
      <c r="Z185" s="108"/>
      <c r="AA185" s="367"/>
      <c r="AB185" s="316"/>
      <c r="AC185" s="108"/>
      <c r="AD185" s="367"/>
      <c r="AE185" s="316"/>
      <c r="AF185" s="108"/>
      <c r="AG185" s="367"/>
      <c r="AH185" s="316"/>
      <c r="AI185" s="108"/>
      <c r="AJ185" s="367"/>
      <c r="AK185" s="367"/>
      <c r="AL185" s="108"/>
      <c r="AM185" s="367"/>
      <c r="AN185" s="367"/>
      <c r="AO185" s="108"/>
      <c r="AP185" s="367"/>
      <c r="AQ185" s="367"/>
      <c r="AR185" s="108"/>
      <c r="AS185" s="367"/>
      <c r="AT185" s="367"/>
      <c r="AU185" s="367"/>
    </row>
    <row r="186" spans="1:47">
      <c r="B186" s="263" t="s">
        <v>335</v>
      </c>
      <c r="C186" s="10"/>
      <c r="D186" s="10"/>
      <c r="E186" s="41"/>
      <c r="F186" s="293"/>
      <c r="G186" s="293"/>
      <c r="H186" s="41"/>
      <c r="I186" s="293"/>
      <c r="J186" s="293"/>
      <c r="K186" s="76"/>
      <c r="L186" s="346">
        <f t="shared" ref="L186" si="736">SUM(L182:L185)</f>
        <v>11.981999999999999</v>
      </c>
      <c r="M186" s="346">
        <f>SUM(M182:M185)</f>
        <v>12.149000000000001</v>
      </c>
      <c r="N186" s="76">
        <f t="shared" ref="N186" si="737">+O186</f>
        <v>15.622</v>
      </c>
      <c r="O186" s="346">
        <f t="shared" ref="O186" si="738">SUM(O182:O185)</f>
        <v>15.622</v>
      </c>
      <c r="P186" s="346">
        <f>SUM(P182:P185)</f>
        <v>13.927</v>
      </c>
      <c r="Q186" s="76">
        <f t="shared" ref="Q186" si="739">+R186</f>
        <v>17.96</v>
      </c>
      <c r="R186" s="346">
        <f t="shared" ref="R186" si="740">SUM(R182:R185)</f>
        <v>17.96</v>
      </c>
      <c r="S186" s="346">
        <f>SUM(S182:S185)</f>
        <v>17.556999999999999</v>
      </c>
      <c r="T186" s="76">
        <f t="shared" ref="T186" si="741">+U186</f>
        <v>21.334000000000003</v>
      </c>
      <c r="U186" s="346">
        <f t="shared" ref="U186" si="742">SUM(U182:U185)</f>
        <v>21.334000000000003</v>
      </c>
      <c r="V186" s="346">
        <f>SUM(V182:V185)</f>
        <v>20.734999999999999</v>
      </c>
      <c r="W186" s="76">
        <f t="shared" ref="W186" si="743">+X186</f>
        <v>24.727999999999998</v>
      </c>
      <c r="X186" s="346">
        <f t="shared" ref="X186" si="744">SUM(X182:X185)</f>
        <v>24.727999999999998</v>
      </c>
      <c r="Y186" s="346">
        <f>SUM(Y182:Y185)</f>
        <v>23.718</v>
      </c>
      <c r="Z186" s="76">
        <f t="shared" ref="Z186" si="745">+AA186</f>
        <v>30.15</v>
      </c>
      <c r="AA186" s="346">
        <f t="shared" ref="AA186" si="746">SUM(AA182:AA185)</f>
        <v>30.15</v>
      </c>
      <c r="AB186" s="346">
        <f>SUM(AB182:AB185)</f>
        <v>29.855</v>
      </c>
      <c r="AC186" s="76">
        <f t="shared" ref="AC186" si="747">+AD186</f>
        <v>35.343000000000004</v>
      </c>
      <c r="AD186" s="346">
        <f t="shared" ref="AD186" si="748">SUM(AD182:AD185)</f>
        <v>35.343000000000004</v>
      </c>
      <c r="AE186" s="346">
        <f>SUM(AE182:AE185)</f>
        <v>36.561</v>
      </c>
      <c r="AF186" s="76">
        <f t="shared" ref="AF186" si="749">+AG186</f>
        <v>46.951000000000001</v>
      </c>
      <c r="AG186" s="346">
        <f t="shared" ref="AG186" si="750">SUM(AG182:AG185)</f>
        <v>46.951000000000001</v>
      </c>
      <c r="AH186" s="346">
        <f>SUM(AH182:AH185)</f>
        <v>48.598000000000006</v>
      </c>
      <c r="AI186" s="76">
        <f t="shared" si="720"/>
        <v>61.957000000000001</v>
      </c>
      <c r="AJ186" s="346">
        <f t="shared" ref="AJ186:AU186" si="751">SUM(AJ182:AJ185)</f>
        <v>61.957000000000001</v>
      </c>
      <c r="AK186" s="346">
        <f>SUM(AK182:AK185)</f>
        <v>63.332000000000001</v>
      </c>
      <c r="AL186" s="76">
        <f t="shared" si="721"/>
        <v>73.549000000000007</v>
      </c>
      <c r="AM186" s="346">
        <f t="shared" si="751"/>
        <v>73.549000000000007</v>
      </c>
      <c r="AN186" s="346">
        <f>SUM(AN182:AN185)</f>
        <v>77.11699999999999</v>
      </c>
      <c r="AO186" s="76">
        <f t="shared" ref="AO186" si="752">+AP186</f>
        <v>92.300999999999988</v>
      </c>
      <c r="AP186" s="346">
        <f t="shared" ref="AP186" si="753">SUM(AP182:AP185)</f>
        <v>92.300999999999988</v>
      </c>
      <c r="AQ186" s="346">
        <f>SUM(AQ182:AQ185)</f>
        <v>90.929888000699719</v>
      </c>
      <c r="AR186" s="76">
        <f t="shared" ref="AR186" si="754">+AS186</f>
        <v>109.39373364902008</v>
      </c>
      <c r="AS186" s="346">
        <f t="shared" si="751"/>
        <v>109.39373364902008</v>
      </c>
      <c r="AT186" s="346">
        <f t="shared" si="751"/>
        <v>131.99215150138809</v>
      </c>
      <c r="AU186" s="346">
        <f t="shared" si="751"/>
        <v>158.80615221155659</v>
      </c>
    </row>
    <row r="187" spans="1:47">
      <c r="B187" s="226" t="s">
        <v>390</v>
      </c>
      <c r="C187" s="58"/>
      <c r="D187" s="58"/>
      <c r="E187" s="58"/>
      <c r="F187" s="313"/>
      <c r="G187" s="313"/>
      <c r="H187" s="58"/>
      <c r="I187" s="313"/>
      <c r="J187" s="313"/>
      <c r="K187" s="416"/>
      <c r="L187" s="417">
        <f t="shared" ref="L187:M187" si="755">L160-L179-L186</f>
        <v>0</v>
      </c>
      <c r="M187" s="417">
        <f t="shared" si="755"/>
        <v>0</v>
      </c>
      <c r="N187" s="416">
        <f t="shared" ref="N187:P187" si="756">N160-N179-N186</f>
        <v>0</v>
      </c>
      <c r="O187" s="417">
        <f t="shared" si="756"/>
        <v>0</v>
      </c>
      <c r="P187" s="417">
        <f t="shared" si="756"/>
        <v>0</v>
      </c>
      <c r="Q187" s="416">
        <f t="shared" ref="Q187:S187" si="757">Q160-Q179-Q186</f>
        <v>0</v>
      </c>
      <c r="R187" s="417">
        <f t="shared" si="757"/>
        <v>0</v>
      </c>
      <c r="S187" s="417">
        <f t="shared" si="757"/>
        <v>0</v>
      </c>
      <c r="T187" s="416">
        <f t="shared" ref="T187:V187" si="758">T160-T179-T186</f>
        <v>0</v>
      </c>
      <c r="U187" s="417">
        <f t="shared" si="758"/>
        <v>0</v>
      </c>
      <c r="V187" s="417">
        <f t="shared" si="758"/>
        <v>0</v>
      </c>
      <c r="W187" s="416">
        <f t="shared" ref="W187:Y187" si="759">W160-W179-W186</f>
        <v>0</v>
      </c>
      <c r="X187" s="417">
        <f t="shared" si="759"/>
        <v>0</v>
      </c>
      <c r="Y187" s="417">
        <f t="shared" si="759"/>
        <v>2.9999999999990479E-2</v>
      </c>
      <c r="Z187" s="416">
        <f t="shared" ref="Z187:AB187" si="760">Z160-Z179-Z186</f>
        <v>0</v>
      </c>
      <c r="AA187" s="417">
        <f t="shared" si="760"/>
        <v>0</v>
      </c>
      <c r="AB187" s="417">
        <f t="shared" si="760"/>
        <v>0</v>
      </c>
      <c r="AC187" s="416">
        <f t="shared" ref="AC187:AE187" si="761">AC160-AC179-AC186</f>
        <v>0</v>
      </c>
      <c r="AD187" s="417">
        <f t="shared" si="761"/>
        <v>0</v>
      </c>
      <c r="AE187" s="417">
        <f t="shared" si="761"/>
        <v>0</v>
      </c>
      <c r="AF187" s="416">
        <f t="shared" ref="AF187:AU187" si="762">AF160-AF179-AF186</f>
        <v>0</v>
      </c>
      <c r="AG187" s="417">
        <f t="shared" si="762"/>
        <v>0</v>
      </c>
      <c r="AH187" s="417">
        <f t="shared" ref="AH187" si="763">AH160-AH179-AH186</f>
        <v>0</v>
      </c>
      <c r="AI187" s="416">
        <f t="shared" si="762"/>
        <v>0</v>
      </c>
      <c r="AJ187" s="417">
        <f>AJ160-AJ179-AJ186</f>
        <v>0</v>
      </c>
      <c r="AK187" s="543">
        <f t="shared" si="762"/>
        <v>0</v>
      </c>
      <c r="AL187" s="416">
        <f t="shared" si="762"/>
        <v>0</v>
      </c>
      <c r="AM187" s="417">
        <f t="shared" si="762"/>
        <v>0</v>
      </c>
      <c r="AN187" s="543">
        <f t="shared" si="762"/>
        <v>0</v>
      </c>
      <c r="AO187" s="416">
        <f t="shared" ref="AO187:AP187" si="764">AO160-AO179-AO186</f>
        <v>0</v>
      </c>
      <c r="AP187" s="417">
        <f t="shared" si="764"/>
        <v>0</v>
      </c>
      <c r="AQ187" s="543">
        <f t="shared" si="762"/>
        <v>0</v>
      </c>
      <c r="AR187" s="571">
        <f t="shared" si="762"/>
        <v>0</v>
      </c>
      <c r="AS187" s="543">
        <f t="shared" si="762"/>
        <v>0</v>
      </c>
      <c r="AT187" s="543">
        <f t="shared" si="762"/>
        <v>0</v>
      </c>
      <c r="AU187" s="543">
        <f t="shared" si="762"/>
        <v>0</v>
      </c>
    </row>
    <row r="188" spans="1:47">
      <c r="B188" s="265"/>
      <c r="C188" s="38"/>
      <c r="D188" s="38"/>
      <c r="E188" s="38"/>
      <c r="F188" s="285"/>
      <c r="G188" s="285"/>
      <c r="H188" s="38"/>
      <c r="I188" s="285"/>
      <c r="J188" s="285"/>
      <c r="K188" s="38"/>
      <c r="L188" s="285"/>
      <c r="M188" s="285"/>
      <c r="N188" s="38"/>
      <c r="O188" s="285" t="str">
        <f>IF(O187="ERROR",O160-O179-O186,"")</f>
        <v/>
      </c>
      <c r="P188" s="285"/>
      <c r="Q188" s="38"/>
      <c r="R188" s="285" t="str">
        <f>IF(R187="ERROR",R160-R179-R186,"")</f>
        <v/>
      </c>
      <c r="S188" s="285"/>
      <c r="T188" s="69"/>
      <c r="U188" s="285" t="str">
        <f>IF(U187="ERROR",U160-U179-U186,"")</f>
        <v/>
      </c>
      <c r="V188" s="285"/>
      <c r="W188" s="69"/>
      <c r="X188" s="285" t="str">
        <f>IF(X187="ERROR",X160-X179-X186,"")</f>
        <v/>
      </c>
      <c r="Y188" s="285"/>
      <c r="Z188" s="69"/>
      <c r="AA188" s="285" t="str">
        <f>IF(AA187="ERROR",AA160-AA179-AA186,"")</f>
        <v/>
      </c>
      <c r="AB188" s="285"/>
      <c r="AC188" s="69"/>
      <c r="AD188" s="318" t="str">
        <f>IF(AD187="ERROR",AD160-AD179-AD186,"")</f>
        <v/>
      </c>
      <c r="AE188" s="318"/>
      <c r="AF188" s="69"/>
      <c r="AG188" s="318" t="str">
        <f>IF(AG187="ERROR",AG160-AG179-AG186,"")</f>
        <v/>
      </c>
      <c r="AH188" s="318"/>
      <c r="AI188" s="69"/>
      <c r="AJ188" s="318" t="str">
        <f>IF(AJ187="ERROR",AJ160-AJ179-AJ186,"")</f>
        <v/>
      </c>
      <c r="AK188" s="318"/>
      <c r="AL188" s="69"/>
      <c r="AM188" s="318" t="str">
        <f t="shared" ref="AM188:AU188" si="765">IF(AM187="ERROR",AM160-AM179-AM186,"")</f>
        <v/>
      </c>
      <c r="AN188" s="318"/>
      <c r="AO188" s="69"/>
      <c r="AP188" s="318" t="str">
        <f t="shared" ref="AP188" si="766">IF(AP187="ERROR",AP160-AP179-AP186,"")</f>
        <v/>
      </c>
      <c r="AQ188" s="318"/>
      <c r="AR188" s="69"/>
      <c r="AS188" s="318" t="str">
        <f t="shared" si="765"/>
        <v/>
      </c>
      <c r="AT188" s="318" t="str">
        <f t="shared" si="765"/>
        <v/>
      </c>
      <c r="AU188" s="318" t="str">
        <f t="shared" si="765"/>
        <v/>
      </c>
    </row>
    <row r="189" spans="1:47" s="54" customFormat="1" outlineLevel="1">
      <c r="A189" s="429"/>
      <c r="B189" s="200" t="s">
        <v>348</v>
      </c>
      <c r="C189" s="201"/>
      <c r="D189" s="201"/>
      <c r="E189" s="201"/>
      <c r="F189" s="280"/>
      <c r="G189" s="280"/>
      <c r="H189" s="201"/>
      <c r="I189" s="280"/>
      <c r="J189" s="280"/>
      <c r="K189" s="201"/>
      <c r="L189" s="280"/>
      <c r="M189" s="280"/>
      <c r="N189" s="201"/>
      <c r="O189" s="280"/>
      <c r="P189" s="280"/>
      <c r="Q189" s="201"/>
      <c r="R189" s="280"/>
      <c r="S189" s="280"/>
      <c r="T189" s="202"/>
      <c r="U189" s="280"/>
      <c r="V189" s="280"/>
      <c r="W189" s="202"/>
      <c r="X189" s="280"/>
      <c r="Y189" s="280"/>
      <c r="Z189" s="202"/>
      <c r="AA189" s="280"/>
      <c r="AB189" s="280"/>
      <c r="AC189" s="202"/>
      <c r="AD189" s="339"/>
      <c r="AE189" s="356"/>
      <c r="AF189" s="202"/>
      <c r="AG189" s="339"/>
      <c r="AH189" s="356"/>
      <c r="AI189" s="202"/>
      <c r="AJ189" s="339"/>
      <c r="AK189" s="339"/>
      <c r="AL189" s="202"/>
      <c r="AM189" s="339"/>
      <c r="AN189" s="339"/>
      <c r="AO189" s="202"/>
      <c r="AP189" s="339"/>
      <c r="AQ189" s="339"/>
      <c r="AR189" s="202"/>
      <c r="AS189" s="339"/>
      <c r="AT189" s="339"/>
      <c r="AU189" s="339"/>
    </row>
    <row r="190" spans="1:47" outlineLevel="1">
      <c r="A190" s="429"/>
      <c r="B190" s="259" t="s">
        <v>1128</v>
      </c>
      <c r="C190" s="5"/>
      <c r="D190" s="5"/>
      <c r="E190" s="5"/>
      <c r="F190" s="281"/>
      <c r="G190" s="281"/>
      <c r="H190" s="5"/>
      <c r="I190" s="281"/>
      <c r="J190" s="281"/>
      <c r="K190" s="5"/>
      <c r="L190" s="281"/>
      <c r="M190" s="281"/>
      <c r="N190" s="5"/>
      <c r="O190" s="281"/>
      <c r="P190" s="281"/>
      <c r="Q190" s="5"/>
      <c r="R190" s="281"/>
      <c r="S190" s="281"/>
      <c r="T190" s="89"/>
      <c r="U190" s="281"/>
      <c r="V190" s="281"/>
      <c r="W190" s="89"/>
      <c r="X190" s="281"/>
      <c r="Y190" s="281"/>
      <c r="Z190" s="89"/>
      <c r="AA190" s="281"/>
      <c r="AB190" s="281"/>
      <c r="AC190" s="89"/>
      <c r="AD190" s="317"/>
      <c r="AE190" s="317"/>
      <c r="AF190" s="89"/>
      <c r="AG190" s="317"/>
      <c r="AH190" s="317"/>
      <c r="AI190" s="89"/>
      <c r="AJ190" s="317">
        <f>AG191</f>
        <v>0</v>
      </c>
      <c r="AK190" s="317">
        <f>AH191</f>
        <v>0</v>
      </c>
      <c r="AL190" s="89"/>
      <c r="AM190" s="317">
        <f>AJ191</f>
        <v>0</v>
      </c>
      <c r="AN190" s="317">
        <f>AK191</f>
        <v>0</v>
      </c>
      <c r="AO190" s="89"/>
      <c r="AP190" s="317">
        <f>AM191</f>
        <v>0</v>
      </c>
      <c r="AQ190" s="317">
        <f>AN191</f>
        <v>0</v>
      </c>
      <c r="AR190" s="89"/>
      <c r="AS190" s="317">
        <f>AP191</f>
        <v>0</v>
      </c>
      <c r="AT190" s="317">
        <f>AS191</f>
        <v>0</v>
      </c>
      <c r="AU190" s="317">
        <f>AT191</f>
        <v>0</v>
      </c>
    </row>
    <row r="191" spans="1:47" outlineLevel="1">
      <c r="A191" s="429" t="s">
        <v>1083</v>
      </c>
      <c r="B191" s="259" t="s">
        <v>1129</v>
      </c>
      <c r="C191" s="5"/>
      <c r="D191" s="5"/>
      <c r="E191" s="5"/>
      <c r="F191" s="281"/>
      <c r="G191" s="281"/>
      <c r="H191" s="5"/>
      <c r="I191" s="281"/>
      <c r="J191" s="281"/>
      <c r="K191" s="5"/>
      <c r="L191" s="281"/>
      <c r="M191" s="281"/>
      <c r="N191" s="5"/>
      <c r="O191" s="281"/>
      <c r="P191" s="281"/>
      <c r="Q191" s="5"/>
      <c r="R191" s="281"/>
      <c r="S191" s="281"/>
      <c r="T191" s="89"/>
      <c r="U191" s="281"/>
      <c r="V191" s="281"/>
      <c r="W191" s="89"/>
      <c r="X191" s="281"/>
      <c r="Y191" s="281"/>
      <c r="Z191" s="89"/>
      <c r="AA191" s="281"/>
      <c r="AB191" s="281"/>
      <c r="AC191" s="89"/>
      <c r="AD191" s="357"/>
      <c r="AE191" s="317"/>
      <c r="AF191" s="89"/>
      <c r="AG191" s="317"/>
      <c r="AH191" s="317"/>
      <c r="AI191" s="89"/>
      <c r="AJ191" s="317">
        <f>AJ163+AJ172</f>
        <v>0</v>
      </c>
      <c r="AK191" s="317">
        <f>AK163+AK172</f>
        <v>0</v>
      </c>
      <c r="AL191" s="89"/>
      <c r="AM191" s="317">
        <f t="shared" ref="AM191:AU191" si="767">AM163+AM172</f>
        <v>0</v>
      </c>
      <c r="AN191" s="317">
        <f>AN163+AN172</f>
        <v>0</v>
      </c>
      <c r="AO191" s="89"/>
      <c r="AP191" s="317">
        <f t="shared" ref="AP191" si="768">AP163+AP172</f>
        <v>0</v>
      </c>
      <c r="AQ191" s="317">
        <f>AQ163+AQ172</f>
        <v>0</v>
      </c>
      <c r="AR191" s="89"/>
      <c r="AS191" s="317">
        <f t="shared" si="767"/>
        <v>0</v>
      </c>
      <c r="AT191" s="317">
        <f t="shared" si="767"/>
        <v>0</v>
      </c>
      <c r="AU191" s="317">
        <f t="shared" si="767"/>
        <v>0</v>
      </c>
    </row>
    <row r="192" spans="1:47" s="2" customFormat="1" outlineLevel="1">
      <c r="A192" s="429"/>
      <c r="B192" s="254" t="s">
        <v>349</v>
      </c>
      <c r="C192" s="7"/>
      <c r="D192" s="7"/>
      <c r="E192" s="4"/>
      <c r="F192" s="303"/>
      <c r="G192" s="303"/>
      <c r="H192" s="101"/>
      <c r="I192" s="303"/>
      <c r="J192" s="303"/>
      <c r="K192" s="101"/>
      <c r="L192" s="303"/>
      <c r="M192" s="303"/>
      <c r="N192" s="101"/>
      <c r="O192" s="303"/>
      <c r="P192" s="303"/>
      <c r="Q192" s="101"/>
      <c r="R192" s="303"/>
      <c r="S192" s="303"/>
      <c r="T192" s="101"/>
      <c r="U192" s="303"/>
      <c r="V192" s="303"/>
      <c r="W192" s="101"/>
      <c r="X192" s="303"/>
      <c r="Y192" s="303"/>
      <c r="Z192" s="101"/>
      <c r="AA192" s="303"/>
      <c r="AB192" s="303"/>
      <c r="AC192" s="101"/>
      <c r="AD192" s="303"/>
      <c r="AE192" s="359"/>
      <c r="AF192" s="101"/>
      <c r="AG192" s="305"/>
      <c r="AH192" s="359"/>
      <c r="AI192" s="78">
        <f>AJ192-AH192</f>
        <v>0</v>
      </c>
      <c r="AJ192" s="305">
        <f>AJ190*AJ193</f>
        <v>0</v>
      </c>
      <c r="AK192" s="305">
        <f>AK190*AK193</f>
        <v>0</v>
      </c>
      <c r="AL192" s="78">
        <f>AM192-AK192</f>
        <v>0</v>
      </c>
      <c r="AM192" s="305">
        <f t="shared" ref="AM192:AU192" si="769">AM190*AM193</f>
        <v>0</v>
      </c>
      <c r="AN192" s="305">
        <f>AN190*AN193</f>
        <v>0</v>
      </c>
      <c r="AO192" s="78">
        <f>AP192-AN192</f>
        <v>0</v>
      </c>
      <c r="AP192" s="305">
        <f t="shared" ref="AP192" si="770">AP190*AP193</f>
        <v>0</v>
      </c>
      <c r="AQ192" s="305">
        <f>AQ190*AQ193</f>
        <v>0</v>
      </c>
      <c r="AR192" s="78">
        <f>AS192-AQ192</f>
        <v>0</v>
      </c>
      <c r="AS192" s="305">
        <f t="shared" si="769"/>
        <v>0</v>
      </c>
      <c r="AT192" s="305">
        <f t="shared" si="769"/>
        <v>0</v>
      </c>
      <c r="AU192" s="305">
        <f t="shared" si="769"/>
        <v>0</v>
      </c>
    </row>
    <row r="193" spans="1:47" outlineLevel="1">
      <c r="A193" s="429"/>
      <c r="B193" s="225" t="s">
        <v>310</v>
      </c>
      <c r="C193" s="16"/>
      <c r="D193" s="16"/>
      <c r="E193" s="26"/>
      <c r="F193" s="304"/>
      <c r="G193" s="304"/>
      <c r="H193" s="26"/>
      <c r="I193" s="304"/>
      <c r="J193" s="304"/>
      <c r="K193" s="26"/>
      <c r="L193" s="304"/>
      <c r="M193" s="304"/>
      <c r="N193" s="26"/>
      <c r="O193" s="304"/>
      <c r="P193" s="304"/>
      <c r="Q193" s="26"/>
      <c r="R193" s="304"/>
      <c r="S193" s="304"/>
      <c r="T193" s="26"/>
      <c r="U193" s="304"/>
      <c r="V193" s="304"/>
      <c r="W193" s="26"/>
      <c r="X193" s="304"/>
      <c r="Y193" s="304"/>
      <c r="Z193" s="26"/>
      <c r="AA193" s="304"/>
      <c r="AB193" s="430"/>
      <c r="AC193" s="180"/>
      <c r="AD193" s="343"/>
      <c r="AE193" s="360"/>
      <c r="AF193" s="180"/>
      <c r="AG193" s="425"/>
      <c r="AH193" s="360"/>
      <c r="AI193" s="427">
        <v>4.2500000000000003E-2</v>
      </c>
      <c r="AJ193" s="425">
        <v>4.2500000000000003E-2</v>
      </c>
      <c r="AK193" s="409">
        <v>4.4999999999999998E-2</v>
      </c>
      <c r="AL193" s="426">
        <v>4.4999999999999998E-2</v>
      </c>
      <c r="AM193" s="425">
        <v>4.2500000000000003E-2</v>
      </c>
      <c r="AN193" s="409">
        <v>4.4999999999999998E-2</v>
      </c>
      <c r="AO193" s="426">
        <v>4.4999999999999998E-2</v>
      </c>
      <c r="AP193" s="425">
        <v>4.2500000000000003E-2</v>
      </c>
      <c r="AQ193" s="409">
        <v>4.4999999999999998E-2</v>
      </c>
      <c r="AR193" s="426">
        <v>4.4999999999999998E-2</v>
      </c>
      <c r="AS193" s="425">
        <v>4.2500000000000003E-2</v>
      </c>
      <c r="AT193" s="425">
        <v>4.2500000000000003E-2</v>
      </c>
      <c r="AU193" s="425">
        <v>4.2500000000000003E-2</v>
      </c>
    </row>
    <row r="194" spans="1:47" outlineLevel="1">
      <c r="A194" s="429"/>
      <c r="B194" s="227"/>
      <c r="C194" s="3"/>
      <c r="D194" s="3"/>
      <c r="E194" s="3"/>
      <c r="F194" s="265"/>
      <c r="G194" s="265"/>
      <c r="H194" s="3"/>
      <c r="I194" s="265"/>
      <c r="J194" s="265"/>
      <c r="K194" s="3"/>
      <c r="L194" s="265"/>
      <c r="M194" s="265"/>
      <c r="N194" s="3"/>
      <c r="O194" s="265"/>
      <c r="P194" s="265"/>
      <c r="Q194" s="3"/>
      <c r="R194" s="265"/>
      <c r="S194" s="265"/>
      <c r="T194" s="69"/>
      <c r="U194" s="265"/>
      <c r="V194" s="265"/>
      <c r="W194" s="69"/>
      <c r="X194" s="265"/>
      <c r="Y194" s="265"/>
      <c r="Z194" s="69"/>
      <c r="AA194" s="265"/>
      <c r="AB194" s="265"/>
      <c r="AC194" s="69"/>
      <c r="AD194" s="318"/>
      <c r="AE194" s="318"/>
      <c r="AF194" s="69"/>
      <c r="AG194" s="318"/>
      <c r="AH194" s="318"/>
      <c r="AI194" s="69"/>
      <c r="AJ194" s="318"/>
      <c r="AK194" s="318"/>
      <c r="AL194" s="69"/>
      <c r="AM194" s="318"/>
      <c r="AN194" s="318"/>
      <c r="AO194" s="69"/>
      <c r="AP194" s="318"/>
      <c r="AQ194" s="318"/>
      <c r="AR194" s="69"/>
      <c r="AS194" s="318"/>
      <c r="AT194" s="318"/>
      <c r="AU194" s="318"/>
    </row>
    <row r="195" spans="1:47" outlineLevel="1">
      <c r="A195" s="429"/>
      <c r="B195" s="259" t="s">
        <v>1131</v>
      </c>
      <c r="C195" s="5"/>
      <c r="D195" s="5"/>
      <c r="E195" s="5"/>
      <c r="F195" s="281"/>
      <c r="G195" s="281"/>
      <c r="H195" s="5"/>
      <c r="I195" s="281"/>
      <c r="J195" s="281"/>
      <c r="K195" s="5"/>
      <c r="L195" s="281"/>
      <c r="M195" s="281"/>
      <c r="N195" s="5"/>
      <c r="O195" s="281"/>
      <c r="P195" s="281"/>
      <c r="Q195" s="5"/>
      <c r="R195" s="281"/>
      <c r="S195" s="281"/>
      <c r="T195" s="89"/>
      <c r="U195" s="281"/>
      <c r="V195" s="281"/>
      <c r="W195" s="89"/>
      <c r="X195" s="281"/>
      <c r="Y195" s="281"/>
      <c r="Z195" s="89"/>
      <c r="AA195" s="281"/>
      <c r="AB195" s="281"/>
      <c r="AC195" s="89"/>
      <c r="AD195" s="317"/>
      <c r="AE195" s="317"/>
      <c r="AF195" s="89"/>
      <c r="AG195" s="317"/>
      <c r="AH195" s="317"/>
      <c r="AI195" s="89"/>
      <c r="AJ195" s="317">
        <f>AG196</f>
        <v>48.36</v>
      </c>
      <c r="AK195" s="317">
        <f>AH196</f>
        <v>43.969000000000001</v>
      </c>
      <c r="AL195" s="89"/>
      <c r="AM195" s="317">
        <f>AJ196</f>
        <v>63.793999999999997</v>
      </c>
      <c r="AN195" s="317">
        <f>AK196</f>
        <v>53.969000000000001</v>
      </c>
      <c r="AO195" s="89"/>
      <c r="AP195" s="317">
        <f>AM196</f>
        <v>72.519000000000005</v>
      </c>
      <c r="AQ195" s="317">
        <f>AN196</f>
        <v>67.108999999999995</v>
      </c>
      <c r="AR195" s="89"/>
      <c r="AS195" s="317">
        <f>AP196</f>
        <v>95.978999999999999</v>
      </c>
      <c r="AT195" s="317">
        <f>AS196</f>
        <v>107.43770053157436</v>
      </c>
      <c r="AU195" s="317">
        <f>AT196</f>
        <v>130.03887109690135</v>
      </c>
    </row>
    <row r="196" spans="1:47" outlineLevel="1">
      <c r="A196" s="429"/>
      <c r="B196" s="259" t="s">
        <v>1132</v>
      </c>
      <c r="C196" s="5"/>
      <c r="D196" s="5"/>
      <c r="E196" s="5"/>
      <c r="F196" s="281"/>
      <c r="G196" s="281"/>
      <c r="H196" s="5"/>
      <c r="I196" s="281"/>
      <c r="J196" s="281"/>
      <c r="K196" s="5"/>
      <c r="L196" s="281"/>
      <c r="M196" s="281"/>
      <c r="N196" s="5"/>
      <c r="O196" s="281"/>
      <c r="P196" s="281"/>
      <c r="Q196" s="5"/>
      <c r="R196" s="281"/>
      <c r="S196" s="281"/>
      <c r="T196" s="89"/>
      <c r="U196" s="281"/>
      <c r="V196" s="281"/>
      <c r="W196" s="89"/>
      <c r="X196" s="281"/>
      <c r="Y196" s="281"/>
      <c r="Z196" s="89"/>
      <c r="AA196" s="281"/>
      <c r="AB196" s="281"/>
      <c r="AC196" s="89"/>
      <c r="AD196" s="317"/>
      <c r="AE196" s="317"/>
      <c r="AF196" s="89"/>
      <c r="AG196" s="317">
        <f>+AG130</f>
        <v>48.36</v>
      </c>
      <c r="AH196" s="317">
        <f t="shared" ref="AH196:AI196" si="771">+AH130</f>
        <v>43.969000000000001</v>
      </c>
      <c r="AI196" s="89">
        <f t="shared" si="771"/>
        <v>63.793999999999997</v>
      </c>
      <c r="AJ196" s="317">
        <f>AJ130</f>
        <v>63.793999999999997</v>
      </c>
      <c r="AK196" s="317">
        <f>AK130</f>
        <v>53.969000000000001</v>
      </c>
      <c r="AL196" s="89">
        <f>+AL130</f>
        <v>72.519000000000005</v>
      </c>
      <c r="AM196" s="317">
        <f t="shared" ref="AM196:AU196" si="772">AM130</f>
        <v>72.519000000000005</v>
      </c>
      <c r="AN196" s="317">
        <f>AN130</f>
        <v>67.108999999999995</v>
      </c>
      <c r="AO196" s="89">
        <f>+AO130</f>
        <v>95.978999999999999</v>
      </c>
      <c r="AP196" s="317">
        <f t="shared" ref="AP196" si="773">AP130</f>
        <v>95.978999999999999</v>
      </c>
      <c r="AQ196" s="317">
        <f>AQ130</f>
        <v>91.155904798552626</v>
      </c>
      <c r="AR196" s="89">
        <f>+AR130</f>
        <v>107.43770053157436</v>
      </c>
      <c r="AS196" s="317">
        <f t="shared" si="772"/>
        <v>107.43770053157436</v>
      </c>
      <c r="AT196" s="317">
        <f t="shared" si="772"/>
        <v>130.03887109690135</v>
      </c>
      <c r="AU196" s="317">
        <f t="shared" si="772"/>
        <v>157.21371334780673</v>
      </c>
    </row>
    <row r="197" spans="1:47" s="2" customFormat="1" outlineLevel="1">
      <c r="A197" s="429"/>
      <c r="B197" s="254" t="s">
        <v>350</v>
      </c>
      <c r="C197" s="78"/>
      <c r="D197" s="78"/>
      <c r="E197" s="78"/>
      <c r="F197" s="305"/>
      <c r="G197" s="305"/>
      <c r="H197" s="78"/>
      <c r="I197" s="305"/>
      <c r="J197" s="305"/>
      <c r="K197" s="78"/>
      <c r="L197" s="305"/>
      <c r="M197" s="305"/>
      <c r="N197" s="78"/>
      <c r="O197" s="305"/>
      <c r="P197" s="305"/>
      <c r="Q197" s="101"/>
      <c r="R197" s="305"/>
      <c r="S197" s="305"/>
      <c r="T197" s="101"/>
      <c r="U197" s="305"/>
      <c r="V197" s="305"/>
      <c r="W197" s="101"/>
      <c r="X197" s="305"/>
      <c r="Y197" s="305"/>
      <c r="Z197" s="101"/>
      <c r="AA197" s="305"/>
      <c r="AB197" s="305"/>
      <c r="AC197" s="101"/>
      <c r="AD197" s="303"/>
      <c r="AE197" s="359"/>
      <c r="AF197" s="101"/>
      <c r="AG197" s="305"/>
      <c r="AH197" s="359"/>
      <c r="AI197" s="78">
        <f>AJ197-AH197</f>
        <v>0.12090000000000001</v>
      </c>
      <c r="AJ197" s="305">
        <f>AJ195*AJ198</f>
        <v>0.12090000000000001</v>
      </c>
      <c r="AK197" s="305">
        <f>AK195*AK198/2</f>
        <v>5.4961250000000003E-2</v>
      </c>
      <c r="AL197" s="78">
        <f>AM197-AK197</f>
        <v>0.10452374999999998</v>
      </c>
      <c r="AM197" s="305">
        <f t="shared" ref="AM197:AU197" si="774">AM195*AM198</f>
        <v>0.15948499999999999</v>
      </c>
      <c r="AN197" s="305">
        <f>AN195*AN198/2</f>
        <v>6.746125E-2</v>
      </c>
      <c r="AO197" s="78">
        <f>AP197-AN197</f>
        <v>0.11383625000000003</v>
      </c>
      <c r="AP197" s="305">
        <f t="shared" ref="AP197" si="775">AP195*AP198</f>
        <v>0.18129750000000003</v>
      </c>
      <c r="AQ197" s="305">
        <f>AQ195*AQ198/2</f>
        <v>8.3886249999999996E-2</v>
      </c>
      <c r="AR197" s="78">
        <f>AS197-AQ197</f>
        <v>0.15606125000000001</v>
      </c>
      <c r="AS197" s="305">
        <f t="shared" si="774"/>
        <v>0.23994750000000001</v>
      </c>
      <c r="AT197" s="305">
        <f t="shared" si="774"/>
        <v>0.26859425132893594</v>
      </c>
      <c r="AU197" s="305">
        <f t="shared" si="774"/>
        <v>0.32509717774225338</v>
      </c>
    </row>
    <row r="198" spans="1:47" outlineLevel="1">
      <c r="A198" s="429"/>
      <c r="B198" s="225" t="s">
        <v>310</v>
      </c>
      <c r="C198" s="13"/>
      <c r="D198" s="13"/>
      <c r="E198" s="26"/>
      <c r="F198" s="304"/>
      <c r="G198" s="304"/>
      <c r="H198" s="26"/>
      <c r="I198" s="304"/>
      <c r="J198" s="304"/>
      <c r="K198" s="26"/>
      <c r="L198" s="304"/>
      <c r="M198" s="304"/>
      <c r="N198" s="26"/>
      <c r="O198" s="304"/>
      <c r="P198" s="304"/>
      <c r="Q198" s="26"/>
      <c r="R198" s="304"/>
      <c r="S198" s="304"/>
      <c r="T198" s="26"/>
      <c r="U198" s="304"/>
      <c r="V198" s="304"/>
      <c r="W198" s="26"/>
      <c r="X198" s="304"/>
      <c r="Y198" s="304"/>
      <c r="Z198" s="26"/>
      <c r="AA198" s="304"/>
      <c r="AB198" s="304"/>
      <c r="AC198" s="16"/>
      <c r="AD198" s="306"/>
      <c r="AE198" s="306"/>
      <c r="AF198" s="16"/>
      <c r="AG198" s="410"/>
      <c r="AH198" s="306"/>
      <c r="AI198" s="428">
        <v>2.5000000000000001E-3</v>
      </c>
      <c r="AJ198" s="410">
        <v>2.5000000000000001E-3</v>
      </c>
      <c r="AK198" s="410">
        <v>2.5000000000000001E-3</v>
      </c>
      <c r="AL198" s="428">
        <v>2.5000000000000001E-3</v>
      </c>
      <c r="AM198" s="409">
        <v>2.5000000000000001E-3</v>
      </c>
      <c r="AN198" s="410">
        <v>2.5000000000000001E-3</v>
      </c>
      <c r="AO198" s="428">
        <v>2.5000000000000001E-3</v>
      </c>
      <c r="AP198" s="409">
        <v>2.5000000000000001E-3</v>
      </c>
      <c r="AQ198" s="410">
        <v>2.5000000000000001E-3</v>
      </c>
      <c r="AR198" s="428">
        <v>2.5000000000000001E-3</v>
      </c>
      <c r="AS198" s="409">
        <v>2.5000000000000001E-3</v>
      </c>
      <c r="AT198" s="409">
        <v>2.5000000000000001E-3</v>
      </c>
      <c r="AU198" s="409">
        <v>2.5000000000000001E-3</v>
      </c>
    </row>
    <row r="199" spans="1:47" outlineLevel="1">
      <c r="A199" s="429"/>
      <c r="B199" s="225" t="s">
        <v>351</v>
      </c>
      <c r="C199" s="3"/>
      <c r="D199" s="3"/>
      <c r="E199" s="3"/>
      <c r="F199" s="265"/>
      <c r="G199" s="265"/>
      <c r="H199" s="3"/>
      <c r="I199" s="265"/>
      <c r="J199" s="265"/>
      <c r="K199" s="3"/>
      <c r="L199" s="265"/>
      <c r="M199" s="265"/>
      <c r="N199" s="3"/>
      <c r="O199" s="265"/>
      <c r="P199" s="265"/>
      <c r="Q199" s="3"/>
      <c r="R199" s="265"/>
      <c r="S199" s="265"/>
      <c r="T199" s="90"/>
      <c r="U199" s="265"/>
      <c r="V199" s="265"/>
      <c r="W199" s="90"/>
      <c r="X199" s="265"/>
      <c r="Y199" s="265"/>
      <c r="Z199" s="90"/>
      <c r="AA199" s="265"/>
      <c r="AB199" s="265"/>
      <c r="AC199" s="90"/>
      <c r="AD199" s="318"/>
      <c r="AE199" s="318"/>
      <c r="AF199" s="90"/>
      <c r="AG199" s="318"/>
      <c r="AH199" s="318"/>
      <c r="AI199" s="90"/>
      <c r="AJ199" s="318">
        <f>AJ192-AJ197</f>
        <v>-0.12090000000000001</v>
      </c>
      <c r="AK199" s="318">
        <f>AK192-AK197</f>
        <v>-5.4961250000000003E-2</v>
      </c>
      <c r="AL199" s="90">
        <f>AL192-AL197</f>
        <v>-0.10452374999999998</v>
      </c>
      <c r="AM199" s="318">
        <f t="shared" ref="AM199:AU199" si="776">AM192-AM197</f>
        <v>-0.15948499999999999</v>
      </c>
      <c r="AN199" s="318">
        <f>AN192-AN197</f>
        <v>-6.746125E-2</v>
      </c>
      <c r="AO199" s="90">
        <f>AO192-AO197</f>
        <v>-0.11383625000000003</v>
      </c>
      <c r="AP199" s="318">
        <f t="shared" ref="AP199" si="777">AP192-AP197</f>
        <v>-0.18129750000000003</v>
      </c>
      <c r="AQ199" s="318">
        <f>AQ192-AQ197</f>
        <v>-8.3886249999999996E-2</v>
      </c>
      <c r="AR199" s="90">
        <f>AR192-AR197</f>
        <v>-0.15606125000000001</v>
      </c>
      <c r="AS199" s="318">
        <f t="shared" si="776"/>
        <v>-0.23994750000000001</v>
      </c>
      <c r="AT199" s="318">
        <f t="shared" si="776"/>
        <v>-0.26859425132893594</v>
      </c>
      <c r="AU199" s="318">
        <f t="shared" si="776"/>
        <v>-0.32509717774225338</v>
      </c>
    </row>
    <row r="200" spans="1:47" outlineLevel="1">
      <c r="A200" s="429"/>
      <c r="B200" s="225" t="s">
        <v>390</v>
      </c>
      <c r="C200" s="3"/>
      <c r="D200" s="3"/>
      <c r="E200" s="3"/>
      <c r="F200" s="265"/>
      <c r="G200" s="265"/>
      <c r="H200" s="3"/>
      <c r="I200" s="265"/>
      <c r="J200" s="265"/>
      <c r="K200" s="3"/>
      <c r="L200" s="265"/>
      <c r="M200" s="265"/>
      <c r="N200" s="3"/>
      <c r="O200" s="265"/>
      <c r="P200" s="265"/>
      <c r="Q200" s="3"/>
      <c r="R200" s="265"/>
      <c r="S200" s="265"/>
      <c r="T200" s="90"/>
      <c r="U200" s="265"/>
      <c r="V200" s="265"/>
      <c r="W200" s="90"/>
      <c r="X200" s="265"/>
      <c r="Y200" s="265"/>
      <c r="Z200" s="90"/>
      <c r="AA200" s="265"/>
      <c r="AB200" s="265"/>
      <c r="AC200" s="90"/>
      <c r="AD200" s="318"/>
      <c r="AE200" s="318"/>
      <c r="AF200" s="90"/>
      <c r="AG200" s="318"/>
      <c r="AH200" s="318"/>
      <c r="AI200" s="90"/>
      <c r="AJ200" s="318" t="str">
        <f>IF(ABS(AJ199-AJ204)&gt;0.05,"ERROR","")</f>
        <v/>
      </c>
      <c r="AK200" s="318" t="str">
        <f>IF(ABS(AK199-AK204)&gt;0.05,"ERROR","")</f>
        <v/>
      </c>
      <c r="AL200" s="90"/>
      <c r="AM200" s="318" t="str">
        <f t="shared" ref="AM200:AU200" si="778">IF(ABS(AM199-AM204)&gt;0.05,"ERROR","")</f>
        <v/>
      </c>
      <c r="AN200" s="318" t="str">
        <f>IF(ABS(AN199-AN204)&gt;0.05,"ERROR","")</f>
        <v/>
      </c>
      <c r="AO200" s="90"/>
      <c r="AP200" s="318" t="str">
        <f t="shared" ref="AP200" si="779">IF(ABS(AP199-AP204)&gt;0.05,"ERROR","")</f>
        <v/>
      </c>
      <c r="AQ200" s="318" t="str">
        <f>IF(ABS(AQ199-AQ204)&gt;0.05,"ERROR","")</f>
        <v/>
      </c>
      <c r="AR200" s="90"/>
      <c r="AS200" s="318" t="str">
        <f t="shared" si="778"/>
        <v/>
      </c>
      <c r="AT200" s="318" t="str">
        <f t="shared" si="778"/>
        <v/>
      </c>
      <c r="AU200" s="318" t="str">
        <f t="shared" si="778"/>
        <v/>
      </c>
    </row>
    <row r="201" spans="1:47" outlineLevel="1">
      <c r="A201" s="429"/>
      <c r="B201" s="225"/>
      <c r="C201" s="11"/>
      <c r="D201" s="11"/>
      <c r="E201" s="3"/>
      <c r="F201" s="281"/>
      <c r="G201" s="289"/>
      <c r="H201" s="3"/>
      <c r="I201" s="281"/>
      <c r="J201" s="289"/>
      <c r="K201" s="3"/>
      <c r="L201" s="281"/>
      <c r="M201" s="289"/>
      <c r="N201" s="3"/>
      <c r="O201" s="281"/>
      <c r="P201" s="289"/>
      <c r="Q201" s="3"/>
      <c r="R201" s="281"/>
      <c r="S201" s="289"/>
      <c r="T201" s="90"/>
      <c r="U201" s="281"/>
      <c r="V201" s="289"/>
      <c r="W201" s="90"/>
      <c r="X201" s="281"/>
      <c r="Y201" s="289"/>
      <c r="Z201" s="90"/>
      <c r="AA201" s="281"/>
      <c r="AB201" s="289"/>
      <c r="AC201" s="90"/>
      <c r="AD201" s="318"/>
      <c r="AE201" s="318"/>
      <c r="AF201" s="90"/>
      <c r="AG201" s="318"/>
      <c r="AH201" s="318"/>
      <c r="AI201" s="90"/>
      <c r="AJ201" s="318"/>
      <c r="AK201" s="318"/>
      <c r="AL201" s="90"/>
      <c r="AM201" s="318"/>
      <c r="AN201" s="318"/>
      <c r="AO201" s="90"/>
      <c r="AP201" s="318"/>
      <c r="AQ201" s="318"/>
      <c r="AR201" s="90"/>
      <c r="AS201" s="318"/>
      <c r="AT201" s="318"/>
      <c r="AU201" s="318"/>
    </row>
    <row r="202" spans="1:47" outlineLevel="1">
      <c r="A202" s="429"/>
      <c r="B202" s="259" t="s">
        <v>1130</v>
      </c>
      <c r="C202" s="5"/>
      <c r="D202" s="5"/>
      <c r="E202" s="11"/>
      <c r="F202" s="281"/>
      <c r="G202" s="281"/>
      <c r="H202" s="11"/>
      <c r="I202" s="281"/>
      <c r="J202" s="281"/>
      <c r="K202" s="11"/>
      <c r="L202" s="281"/>
      <c r="M202" s="281"/>
      <c r="N202" s="11"/>
      <c r="O202" s="281"/>
      <c r="P202" s="281"/>
      <c r="Q202" s="11"/>
      <c r="R202" s="281"/>
      <c r="S202" s="281"/>
      <c r="T202" s="88"/>
      <c r="U202" s="281"/>
      <c r="V202" s="281"/>
      <c r="W202" s="88"/>
      <c r="X202" s="281"/>
      <c r="Y202" s="281"/>
      <c r="Z202" s="88"/>
      <c r="AA202" s="281"/>
      <c r="AB202" s="281"/>
      <c r="AC202" s="88"/>
      <c r="AD202" s="317"/>
      <c r="AE202" s="317"/>
      <c r="AF202" s="88"/>
      <c r="AG202" s="317"/>
      <c r="AH202" s="317"/>
      <c r="AI202" s="88"/>
      <c r="AJ202" s="317">
        <f>AG218</f>
        <v>-48.36</v>
      </c>
      <c r="AK202" s="317">
        <f>AH218</f>
        <v>-43.969000000000001</v>
      </c>
      <c r="AL202" s="88"/>
      <c r="AM202" s="317">
        <f>AJ218</f>
        <v>-63.793999999999997</v>
      </c>
      <c r="AN202" s="317">
        <f>AK218</f>
        <v>-53.969000000000001</v>
      </c>
      <c r="AO202" s="88"/>
      <c r="AP202" s="317">
        <f>AM218</f>
        <v>-72.519000000000005</v>
      </c>
      <c r="AQ202" s="317">
        <f>AN218</f>
        <v>-67.108999999999995</v>
      </c>
      <c r="AR202" s="88"/>
      <c r="AS202" s="317">
        <f>AP218</f>
        <v>-95.978999999999999</v>
      </c>
      <c r="AT202" s="317">
        <f t="shared" ref="AT202:AU202" si="780">AS218</f>
        <v>-107.43770053157436</v>
      </c>
      <c r="AU202" s="317">
        <f t="shared" si="780"/>
        <v>-130.03887109690135</v>
      </c>
    </row>
    <row r="203" spans="1:47" outlineLevel="1">
      <c r="A203" s="429"/>
      <c r="B203" s="259" t="s">
        <v>309</v>
      </c>
      <c r="C203" s="5"/>
      <c r="D203" s="5"/>
      <c r="E203" s="5"/>
      <c r="F203" s="281"/>
      <c r="G203" s="281"/>
      <c r="H203" s="5"/>
      <c r="I203" s="281"/>
      <c r="J203" s="281"/>
      <c r="K203" s="5"/>
      <c r="L203" s="281"/>
      <c r="M203" s="281"/>
      <c r="N203" s="5"/>
      <c r="O203" s="281"/>
      <c r="P203" s="281"/>
      <c r="Q203" s="5"/>
      <c r="R203" s="281"/>
      <c r="S203" s="281"/>
      <c r="T203" s="88"/>
      <c r="U203" s="281"/>
      <c r="V203" s="281"/>
      <c r="W203" s="88"/>
      <c r="X203" s="281"/>
      <c r="Y203" s="281"/>
      <c r="Z203" s="88"/>
      <c r="AA203" s="281"/>
      <c r="AB203" s="281"/>
      <c r="AC203" s="88"/>
      <c r="AD203" s="317"/>
      <c r="AE203" s="317"/>
      <c r="AF203" s="88"/>
      <c r="AG203" s="317"/>
      <c r="AH203" s="317"/>
      <c r="AI203" s="88"/>
      <c r="AJ203" s="317"/>
      <c r="AK203" s="317"/>
      <c r="AL203" s="88"/>
      <c r="AM203" s="317"/>
      <c r="AN203" s="317"/>
      <c r="AO203" s="88"/>
      <c r="AP203" s="317"/>
      <c r="AQ203" s="317"/>
      <c r="AR203" s="88"/>
      <c r="AS203" s="317"/>
      <c r="AT203" s="317"/>
      <c r="AU203" s="317"/>
    </row>
    <row r="204" spans="1:47" outlineLevel="1">
      <c r="A204" s="429"/>
      <c r="B204" s="225" t="s">
        <v>351</v>
      </c>
      <c r="C204" s="6"/>
      <c r="D204" s="6"/>
      <c r="E204" s="6"/>
      <c r="F204" s="292"/>
      <c r="G204" s="292"/>
      <c r="H204" s="6"/>
      <c r="I204" s="292"/>
      <c r="J204" s="292"/>
      <c r="K204" s="6"/>
      <c r="L204" s="292"/>
      <c r="M204" s="292"/>
      <c r="N204" s="6"/>
      <c r="O204" s="292"/>
      <c r="P204" s="292"/>
      <c r="Q204" s="6"/>
      <c r="R204" s="265">
        <f t="shared" ref="R204:AH204" si="781">+R48</f>
        <v>0</v>
      </c>
      <c r="S204" s="265">
        <f t="shared" si="781"/>
        <v>0</v>
      </c>
      <c r="T204" s="90">
        <f t="shared" si="781"/>
        <v>0</v>
      </c>
      <c r="U204" s="265">
        <f t="shared" si="781"/>
        <v>0</v>
      </c>
      <c r="V204" s="265">
        <f t="shared" si="781"/>
        <v>0</v>
      </c>
      <c r="W204" s="90">
        <f t="shared" si="781"/>
        <v>0</v>
      </c>
      <c r="X204" s="265">
        <f t="shared" si="781"/>
        <v>0</v>
      </c>
      <c r="Y204" s="265">
        <f t="shared" si="781"/>
        <v>0.216</v>
      </c>
      <c r="Z204" s="90">
        <f t="shared" si="781"/>
        <v>0.24500000000000002</v>
      </c>
      <c r="AA204" s="265">
        <f t="shared" si="781"/>
        <v>0.46100000000000002</v>
      </c>
      <c r="AB204" s="265">
        <f t="shared" si="781"/>
        <v>0.23899999999999999</v>
      </c>
      <c r="AC204" s="78">
        <f t="shared" si="781"/>
        <v>0.249</v>
      </c>
      <c r="AD204" s="318">
        <f t="shared" si="781"/>
        <v>0.48799999999999999</v>
      </c>
      <c r="AE204" s="318">
        <f t="shared" si="781"/>
        <v>0.29299999999999998</v>
      </c>
      <c r="AF204" s="78">
        <f t="shared" si="781"/>
        <v>0.26900000000000007</v>
      </c>
      <c r="AG204" s="318">
        <f t="shared" si="781"/>
        <v>0.56200000000000006</v>
      </c>
      <c r="AH204" s="318">
        <f t="shared" si="781"/>
        <v>0.248</v>
      </c>
      <c r="AI204" s="78">
        <f t="shared" ref="AI204:AU204" si="782">+AI199</f>
        <v>0</v>
      </c>
      <c r="AJ204" s="318">
        <f t="shared" si="782"/>
        <v>-0.12090000000000001</v>
      </c>
      <c r="AK204" s="318">
        <f t="shared" si="782"/>
        <v>-5.4961250000000003E-2</v>
      </c>
      <c r="AL204" s="78">
        <f t="shared" si="782"/>
        <v>-0.10452374999999998</v>
      </c>
      <c r="AM204" s="318">
        <f t="shared" si="782"/>
        <v>-0.15948499999999999</v>
      </c>
      <c r="AN204" s="318">
        <f t="shared" ref="AN204:AP204" si="783">+AN199</f>
        <v>-6.746125E-2</v>
      </c>
      <c r="AO204" s="78">
        <f t="shared" si="783"/>
        <v>-0.11383625000000003</v>
      </c>
      <c r="AP204" s="318">
        <f t="shared" si="783"/>
        <v>-0.18129750000000003</v>
      </c>
      <c r="AQ204" s="318">
        <f t="shared" si="782"/>
        <v>-8.3886249999999996E-2</v>
      </c>
      <c r="AR204" s="78">
        <f t="shared" si="782"/>
        <v>-0.15606125000000001</v>
      </c>
      <c r="AS204" s="318">
        <f t="shared" si="782"/>
        <v>-0.23994750000000001</v>
      </c>
      <c r="AT204" s="318">
        <f t="shared" si="782"/>
        <v>-0.26859425132893594</v>
      </c>
      <c r="AU204" s="318">
        <f t="shared" si="782"/>
        <v>-0.32509717774225338</v>
      </c>
    </row>
    <row r="205" spans="1:47" outlineLevel="1">
      <c r="A205" s="429"/>
      <c r="B205" s="225" t="s">
        <v>310</v>
      </c>
      <c r="C205" s="16"/>
      <c r="D205" s="16"/>
      <c r="E205" s="16"/>
      <c r="F205" s="306"/>
      <c r="G205" s="306"/>
      <c r="H205" s="16"/>
      <c r="I205" s="306"/>
      <c r="J205" s="306"/>
      <c r="K205" s="16"/>
      <c r="L205" s="306"/>
      <c r="M205" s="306"/>
      <c r="N205" s="16"/>
      <c r="O205" s="306" t="e">
        <f>O$204/O$203</f>
        <v>#DIV/0!</v>
      </c>
      <c r="P205" s="306"/>
      <c r="Q205" s="16"/>
      <c r="R205" s="306"/>
      <c r="S205" s="306"/>
      <c r="T205" s="29"/>
      <c r="U205" s="306"/>
      <c r="V205" s="306"/>
      <c r="W205" s="29"/>
      <c r="X205" s="306"/>
      <c r="Y205" s="306"/>
      <c r="Z205" s="29"/>
      <c r="AA205" s="306"/>
      <c r="AB205" s="306"/>
      <c r="AC205" s="29"/>
      <c r="AD205" s="306"/>
      <c r="AE205" s="306"/>
      <c r="AF205" s="29"/>
      <c r="AG205" s="306"/>
      <c r="AH205" s="306"/>
      <c r="AI205" s="29"/>
      <c r="AJ205" s="306" t="e">
        <f>AJ$204/AJ$203</f>
        <v>#DIV/0!</v>
      </c>
      <c r="AK205" s="306" t="e">
        <f>AK$204/AK$203</f>
        <v>#DIV/0!</v>
      </c>
      <c r="AL205" s="29"/>
      <c r="AM205" s="306" t="e">
        <f t="shared" ref="AM205:AU205" si="784">AM$204/AM$203</f>
        <v>#DIV/0!</v>
      </c>
      <c r="AN205" s="306" t="e">
        <f>AN$204/AN$203</f>
        <v>#DIV/0!</v>
      </c>
      <c r="AO205" s="29"/>
      <c r="AP205" s="306" t="e">
        <f t="shared" si="784"/>
        <v>#DIV/0!</v>
      </c>
      <c r="AQ205" s="306" t="e">
        <f>AQ$204/AQ$203</f>
        <v>#DIV/0!</v>
      </c>
      <c r="AR205" s="29"/>
      <c r="AS205" s="306" t="e">
        <f t="shared" si="784"/>
        <v>#DIV/0!</v>
      </c>
      <c r="AT205" s="306" t="e">
        <f t="shared" si="784"/>
        <v>#DIV/0!</v>
      </c>
      <c r="AU205" s="306" t="e">
        <f t="shared" si="784"/>
        <v>#DIV/0!</v>
      </c>
    </row>
    <row r="206" spans="1:47" outlineLevel="1">
      <c r="A206" s="429"/>
      <c r="B206" s="225" t="s">
        <v>311</v>
      </c>
      <c r="C206" s="18"/>
      <c r="D206" s="18"/>
      <c r="E206" s="18"/>
      <c r="F206" s="281"/>
      <c r="G206" s="281"/>
      <c r="H206" s="18"/>
      <c r="I206" s="281"/>
      <c r="J206" s="281"/>
      <c r="K206" s="18"/>
      <c r="L206" s="281"/>
      <c r="M206" s="281"/>
      <c r="N206" s="18"/>
      <c r="O206" s="281" t="e">
        <f>O44/O$204</f>
        <v>#DIV/0!</v>
      </c>
      <c r="P206" s="281"/>
      <c r="Q206" s="18"/>
      <c r="R206" s="281"/>
      <c r="S206" s="281"/>
      <c r="T206" s="18"/>
      <c r="U206" s="281"/>
      <c r="V206" s="281"/>
      <c r="W206" s="18"/>
      <c r="X206" s="281"/>
      <c r="Y206" s="281"/>
      <c r="Z206" s="18"/>
      <c r="AA206" s="281"/>
      <c r="AB206" s="281"/>
      <c r="AC206" s="18"/>
      <c r="AD206" s="281"/>
      <c r="AE206" s="281"/>
      <c r="AF206" s="18"/>
      <c r="AG206" s="281"/>
      <c r="AH206" s="281"/>
      <c r="AI206" s="18" t="e">
        <f t="shared" ref="AI206:AU206" si="785">AI44/AI$204</f>
        <v>#DIV/0!</v>
      </c>
      <c r="AJ206" s="281">
        <f t="shared" si="785"/>
        <v>-196.32754342431758</v>
      </c>
      <c r="AK206" s="281">
        <f t="shared" si="785"/>
        <v>-187.31378926061538</v>
      </c>
      <c r="AL206" s="18">
        <f t="shared" si="785"/>
        <v>-117.59049976679947</v>
      </c>
      <c r="AM206" s="281">
        <f t="shared" si="785"/>
        <v>-141.6183340126031</v>
      </c>
      <c r="AN206" s="281">
        <f t="shared" ref="AN206:AP206" si="786">AN44/AN$204</f>
        <v>-275.15054938946435</v>
      </c>
      <c r="AO206" s="18">
        <f t="shared" si="786"/>
        <v>-156.19804763421135</v>
      </c>
      <c r="AP206" s="281">
        <f t="shared" si="786"/>
        <v>-200.46056895434296</v>
      </c>
      <c r="AQ206" s="281">
        <f t="shared" si="785"/>
        <v>-207.34209078433875</v>
      </c>
      <c r="AR206" s="18">
        <f t="shared" si="785"/>
        <v>-142.04169461882185</v>
      </c>
      <c r="AS206" s="281">
        <f t="shared" si="785"/>
        <v>-164.87087749357397</v>
      </c>
      <c r="AT206" s="281">
        <f t="shared" si="785"/>
        <v>-159.72310992437903</v>
      </c>
      <c r="AU206" s="281">
        <f t="shared" si="785"/>
        <v>-156.74743895747653</v>
      </c>
    </row>
    <row r="207" spans="1:47" s="19" customFormat="1" outlineLevel="1">
      <c r="A207" s="429"/>
      <c r="B207" s="225"/>
      <c r="C207" s="18"/>
      <c r="D207" s="18"/>
      <c r="E207" s="18"/>
      <c r="F207" s="307"/>
      <c r="G207" s="281"/>
      <c r="H207" s="18"/>
      <c r="I207" s="307"/>
      <c r="J207" s="281"/>
      <c r="K207" s="18"/>
      <c r="L207" s="307"/>
      <c r="M207" s="281"/>
      <c r="N207" s="18"/>
      <c r="O207" s="307"/>
      <c r="P207" s="281"/>
      <c r="Q207" s="91"/>
      <c r="R207" s="307"/>
      <c r="S207" s="281"/>
      <c r="T207" s="91"/>
      <c r="U207" s="307"/>
      <c r="V207" s="281"/>
      <c r="W207" s="91"/>
      <c r="X207" s="307"/>
      <c r="Y207" s="281"/>
      <c r="Z207" s="91"/>
      <c r="AA207" s="307"/>
      <c r="AB207" s="281"/>
      <c r="AC207" s="91"/>
      <c r="AD207" s="344"/>
      <c r="AE207" s="344"/>
      <c r="AF207" s="91"/>
      <c r="AG207" s="344"/>
      <c r="AH207" s="344"/>
      <c r="AI207" s="91"/>
      <c r="AJ207" s="344"/>
      <c r="AK207" s="344"/>
      <c r="AL207" s="91"/>
      <c r="AM207" s="344"/>
      <c r="AN207" s="344"/>
      <c r="AO207" s="91"/>
      <c r="AP207" s="344"/>
      <c r="AQ207" s="344"/>
      <c r="AR207" s="91"/>
      <c r="AS207" s="344"/>
      <c r="AT207" s="344"/>
      <c r="AU207" s="344"/>
    </row>
    <row r="208" spans="1:47" s="54" customFormat="1">
      <c r="A208" s="429"/>
      <c r="B208" s="200" t="s">
        <v>392</v>
      </c>
      <c r="C208" s="201"/>
      <c r="D208" s="201"/>
      <c r="E208" s="201"/>
      <c r="F208" s="280"/>
      <c r="G208" s="280"/>
      <c r="H208" s="201"/>
      <c r="I208" s="280"/>
      <c r="J208" s="280"/>
      <c r="K208" s="201"/>
      <c r="L208" s="280"/>
      <c r="M208" s="280"/>
      <c r="N208" s="201"/>
      <c r="O208" s="280"/>
      <c r="P208" s="280"/>
      <c r="Q208" s="201"/>
      <c r="R208" s="280"/>
      <c r="S208" s="280"/>
      <c r="T208" s="202"/>
      <c r="U208" s="280"/>
      <c r="V208" s="280"/>
      <c r="W208" s="202"/>
      <c r="X208" s="280"/>
      <c r="Y208" s="280"/>
      <c r="Z208" s="202"/>
      <c r="AA208" s="280"/>
      <c r="AB208" s="280"/>
      <c r="AC208" s="202"/>
      <c r="AD208" s="339"/>
      <c r="AE208" s="356"/>
      <c r="AF208" s="202"/>
      <c r="AG208" s="339"/>
      <c r="AH208" s="356"/>
      <c r="AI208" s="202"/>
      <c r="AJ208" s="339"/>
      <c r="AK208" s="339"/>
      <c r="AL208" s="202"/>
      <c r="AM208" s="339"/>
      <c r="AN208" s="339"/>
      <c r="AO208" s="202"/>
      <c r="AP208" s="339"/>
      <c r="AQ208" s="339"/>
      <c r="AR208" s="202"/>
      <c r="AS208" s="339"/>
      <c r="AT208" s="339"/>
      <c r="AU208" s="339"/>
    </row>
    <row r="209" spans="1:47">
      <c r="A209" s="429"/>
      <c r="B209" s="226" t="s">
        <v>423</v>
      </c>
      <c r="C209" s="1"/>
      <c r="F209" s="227"/>
      <c r="G209" s="227"/>
      <c r="I209" s="227"/>
      <c r="J209" s="227"/>
      <c r="L209" s="227"/>
      <c r="M209" s="227"/>
      <c r="O209" s="227"/>
      <c r="P209" s="227"/>
      <c r="R209" s="227"/>
      <c r="S209" s="227"/>
      <c r="T209" s="73"/>
      <c r="U209" s="227"/>
      <c r="V209" s="227"/>
      <c r="W209" s="73"/>
      <c r="X209" s="227"/>
      <c r="Y209" s="227"/>
      <c r="Z209" s="73"/>
      <c r="AA209" s="227"/>
      <c r="AB209" s="227"/>
      <c r="AC209" s="73"/>
      <c r="AD209" s="336"/>
      <c r="AE209" s="336"/>
      <c r="AF209" s="73"/>
      <c r="AG209" s="336"/>
      <c r="AH209" s="336"/>
      <c r="AI209" s="73"/>
      <c r="AJ209" s="336"/>
      <c r="AK209" s="336"/>
      <c r="AL209" s="73"/>
      <c r="AM209" s="336"/>
      <c r="AN209" s="336"/>
      <c r="AO209" s="73"/>
      <c r="AP209" s="336"/>
      <c r="AQ209" s="336"/>
      <c r="AR209" s="73"/>
      <c r="AS209" s="336"/>
      <c r="AT209" s="336"/>
      <c r="AU209" s="336"/>
    </row>
    <row r="210" spans="1:47">
      <c r="A210" s="429"/>
      <c r="B210" s="225" t="s">
        <v>393</v>
      </c>
      <c r="C210" s="30"/>
      <c r="D210" s="30"/>
      <c r="E210" s="13"/>
      <c r="F210" s="308"/>
      <c r="G210" s="308"/>
      <c r="H210" s="13"/>
      <c r="I210" s="308"/>
      <c r="J210" s="308"/>
      <c r="K210" s="13"/>
      <c r="L210" s="308">
        <f t="shared" ref="L210:AF210" si="787">L99/L96</f>
        <v>0.82915492957746495</v>
      </c>
      <c r="M210" s="308">
        <f t="shared" si="787"/>
        <v>2.8807876530069221</v>
      </c>
      <c r="N210" s="13">
        <f t="shared" si="787"/>
        <v>1.1289406418631067</v>
      </c>
      <c r="O210" s="308">
        <f t="shared" si="787"/>
        <v>1.7385185185185188</v>
      </c>
      <c r="P210" s="308">
        <f t="shared" si="787"/>
        <v>2.0227568270481098</v>
      </c>
      <c r="Q210" s="13">
        <f t="shared" si="787"/>
        <v>-0.69484732824427542</v>
      </c>
      <c r="R210" s="308">
        <f t="shared" si="787"/>
        <v>-7.8194157568604317E-2</v>
      </c>
      <c r="S210" s="308">
        <f t="shared" si="787"/>
        <v>1.381063829787234</v>
      </c>
      <c r="T210" s="30">
        <f t="shared" si="787"/>
        <v>0.62443964801593876</v>
      </c>
      <c r="U210" s="308">
        <f t="shared" si="787"/>
        <v>0.95607572507693728</v>
      </c>
      <c r="V210" s="308">
        <f t="shared" si="787"/>
        <v>1.7691379310344826</v>
      </c>
      <c r="W210" s="30">
        <f t="shared" si="787"/>
        <v>0.74512830407100106</v>
      </c>
      <c r="X210" s="308">
        <f t="shared" si="787"/>
        <v>1.2858963853227712</v>
      </c>
      <c r="Y210" s="308">
        <f t="shared" si="787"/>
        <v>2.7310565635005335</v>
      </c>
      <c r="Z210" s="30">
        <f t="shared" si="787"/>
        <v>1.0964294103828989</v>
      </c>
      <c r="AA210" s="308">
        <f t="shared" si="787"/>
        <v>1.7465336728919072</v>
      </c>
      <c r="AB210" s="308">
        <f t="shared" si="787"/>
        <v>1.549244092176721</v>
      </c>
      <c r="AC210" s="30">
        <f t="shared" si="787"/>
        <v>2.0094982250791511</v>
      </c>
      <c r="AD210" s="308">
        <f t="shared" si="787"/>
        <v>1.8275702019029934</v>
      </c>
      <c r="AE210" s="308">
        <f t="shared" si="787"/>
        <v>0.48197664579455068</v>
      </c>
      <c r="AF210" s="30">
        <f t="shared" si="787"/>
        <v>1.6725336810082574</v>
      </c>
      <c r="AG210" s="308">
        <f t="shared" ref="AG210:AU210" si="788">AG99/AG96</f>
        <v>1.1234389634717452</v>
      </c>
      <c r="AH210" s="308">
        <f t="shared" si="788"/>
        <v>0.50371303540644474</v>
      </c>
      <c r="AI210" s="30">
        <f t="shared" si="788"/>
        <v>1.7502881290818282</v>
      </c>
      <c r="AJ210" s="308">
        <f t="shared" si="788"/>
        <v>1.1378827361563515</v>
      </c>
      <c r="AK210" s="308">
        <f t="shared" si="788"/>
        <v>0.31235688906435066</v>
      </c>
      <c r="AL210" s="30">
        <f t="shared" si="788"/>
        <v>1.5624860439151469</v>
      </c>
      <c r="AM210" s="308">
        <f t="shared" si="788"/>
        <v>0.95586206896551718</v>
      </c>
      <c r="AN210" s="308">
        <f t="shared" ref="AN210:AP210" si="789">AN99/AN96</f>
        <v>1.1883978656450951</v>
      </c>
      <c r="AO210" s="30">
        <f t="shared" si="789"/>
        <v>2.8715387440323181</v>
      </c>
      <c r="AP210" s="308">
        <f t="shared" si="789"/>
        <v>2.0000708390890094</v>
      </c>
      <c r="AQ210" s="308">
        <f t="shared" si="788"/>
        <v>1.0650829485140567</v>
      </c>
      <c r="AR210" s="30">
        <f t="shared" si="788"/>
        <v>1.1155718195476925</v>
      </c>
      <c r="AS210" s="308">
        <f t="shared" si="788"/>
        <v>1.0928605316626798</v>
      </c>
      <c r="AT210" s="308">
        <f t="shared" si="788"/>
        <v>1.1262222885200763</v>
      </c>
      <c r="AU210" s="308">
        <f t="shared" si="788"/>
        <v>1.1174422798297041</v>
      </c>
    </row>
    <row r="211" spans="1:47">
      <c r="B211" s="260" t="s">
        <v>395</v>
      </c>
      <c r="C211" s="30"/>
      <c r="D211" s="30"/>
      <c r="E211" s="13"/>
      <c r="F211" s="308"/>
      <c r="G211" s="308"/>
      <c r="H211" s="13"/>
      <c r="I211" s="308"/>
      <c r="J211" s="308"/>
      <c r="K211" s="13"/>
      <c r="L211" s="308"/>
      <c r="M211" s="308"/>
      <c r="N211" s="13"/>
      <c r="O211" s="308"/>
      <c r="P211" s="308"/>
      <c r="Q211" s="13"/>
      <c r="R211" s="308"/>
      <c r="S211" s="308"/>
      <c r="T211" s="30"/>
      <c r="U211" s="308"/>
      <c r="V211" s="308"/>
      <c r="W211" s="30"/>
      <c r="X211" s="308"/>
      <c r="Y211" s="308"/>
      <c r="Z211" s="30"/>
      <c r="AA211" s="308"/>
      <c r="AB211" s="308"/>
      <c r="AC211" s="30"/>
      <c r="AD211" s="308"/>
      <c r="AE211" s="308"/>
      <c r="AF211" s="30"/>
      <c r="AG211" s="308"/>
      <c r="AH211" s="308"/>
      <c r="AI211" s="30"/>
      <c r="AJ211" s="308"/>
      <c r="AK211" s="308"/>
      <c r="AL211" s="30"/>
      <c r="AM211" s="308"/>
      <c r="AN211" s="308"/>
      <c r="AO211" s="30"/>
      <c r="AP211" s="308"/>
      <c r="AQ211" s="308"/>
      <c r="AR211" s="30"/>
      <c r="AS211" s="308"/>
      <c r="AT211" s="308"/>
      <c r="AU211" s="308"/>
    </row>
    <row r="212" spans="1:47">
      <c r="B212" s="225" t="s">
        <v>396</v>
      </c>
      <c r="C212" s="30"/>
      <c r="D212" s="30"/>
      <c r="E212" s="13"/>
      <c r="F212" s="308"/>
      <c r="G212" s="308"/>
      <c r="H212" s="13"/>
      <c r="I212" s="308"/>
      <c r="J212" s="308"/>
      <c r="K212" s="13"/>
      <c r="L212" s="308">
        <f t="shared" ref="L212:O212" si="790">-L$97/L$96</f>
        <v>-1.3895774647887325</v>
      </c>
      <c r="M212" s="308">
        <f t="shared" si="790"/>
        <v>-1.8158594997339035</v>
      </c>
      <c r="N212" s="30">
        <f t="shared" si="790"/>
        <v>0.50468616870207272</v>
      </c>
      <c r="O212" s="308">
        <f t="shared" si="790"/>
        <v>-0.30277777777777803</v>
      </c>
      <c r="P212" s="308">
        <f t="shared" ref="P212:AU212" si="791">-P$97/P$96</f>
        <v>-2.5676202860858179</v>
      </c>
      <c r="Q212" s="30">
        <f t="shared" si="791"/>
        <v>0.76125954198473322</v>
      </c>
      <c r="R212" s="308">
        <f t="shared" si="791"/>
        <v>5.9014458542344245E-3</v>
      </c>
      <c r="S212" s="308">
        <f t="shared" si="791"/>
        <v>0.25425531914893662</v>
      </c>
      <c r="T212" s="30">
        <f t="shared" si="791"/>
        <v>0.24755105429188046</v>
      </c>
      <c r="U212" s="308">
        <f t="shared" si="791"/>
        <v>0.25048960179054353</v>
      </c>
      <c r="V212" s="308">
        <f t="shared" si="791"/>
        <v>-1.3613793103448271</v>
      </c>
      <c r="W212" s="30">
        <f t="shared" si="791"/>
        <v>0.24869766544472288</v>
      </c>
      <c r="X212" s="308">
        <f t="shared" si="791"/>
        <v>-0.6015660566329778</v>
      </c>
      <c r="Y212" s="308">
        <f t="shared" si="791"/>
        <v>-0.55442902881536871</v>
      </c>
      <c r="Z212" s="30">
        <f t="shared" si="791"/>
        <v>-0.10653042048390887</v>
      </c>
      <c r="AA212" s="308">
        <f t="shared" si="791"/>
        <v>-0.28466327108092832</v>
      </c>
      <c r="AB212" s="308">
        <f t="shared" si="791"/>
        <v>-0.50286217525319221</v>
      </c>
      <c r="AC212" s="30">
        <f t="shared" si="791"/>
        <v>-0.9616233330135272</v>
      </c>
      <c r="AD212" s="308">
        <f t="shared" si="791"/>
        <v>-0.78028544906010644</v>
      </c>
      <c r="AE212" s="308">
        <f t="shared" si="791"/>
        <v>0.47825351159248586</v>
      </c>
      <c r="AF212" s="30">
        <f t="shared" si="791"/>
        <v>-0.61516731855714901</v>
      </c>
      <c r="AG212" s="308">
        <f t="shared" si="791"/>
        <v>-0.11087261941929447</v>
      </c>
      <c r="AH212" s="308">
        <f t="shared" si="791"/>
        <v>0.49058480307651486</v>
      </c>
      <c r="AI212" s="30">
        <f t="shared" si="791"/>
        <v>-0.9446151876040465</v>
      </c>
      <c r="AJ212" s="308">
        <f t="shared" si="791"/>
        <v>-0.23954397394136806</v>
      </c>
      <c r="AK212" s="308">
        <f t="shared" si="791"/>
        <v>0.57394393999210414</v>
      </c>
      <c r="AL212" s="30">
        <f t="shared" si="791"/>
        <v>-0.52072943803498328</v>
      </c>
      <c r="AM212" s="308">
        <f t="shared" si="791"/>
        <v>1.045977011494238E-2</v>
      </c>
      <c r="AN212" s="308">
        <f t="shared" si="791"/>
        <v>0.27972362840333825</v>
      </c>
      <c r="AO212" s="30">
        <f t="shared" si="791"/>
        <v>-1.1205288284979806</v>
      </c>
      <c r="AP212" s="308">
        <f t="shared" si="791"/>
        <v>-0.39553005348351228</v>
      </c>
      <c r="AQ212" s="308">
        <f t="shared" si="791"/>
        <v>-6.5082948514056715E-2</v>
      </c>
      <c r="AR212" s="30">
        <f t="shared" si="791"/>
        <v>-0.11557181954769256</v>
      </c>
      <c r="AS212" s="308">
        <f t="shared" si="791"/>
        <v>-9.2860531662679754E-2</v>
      </c>
      <c r="AT212" s="308">
        <f t="shared" si="791"/>
        <v>-0.12622228852007625</v>
      </c>
      <c r="AU212" s="308">
        <f t="shared" si="791"/>
        <v>-0.11744227982970418</v>
      </c>
    </row>
    <row r="213" spans="1:47">
      <c r="B213" s="225" t="s">
        <v>399</v>
      </c>
      <c r="C213" s="30"/>
      <c r="D213" s="30"/>
      <c r="E213" s="13"/>
      <c r="F213" s="308"/>
      <c r="G213" s="308"/>
      <c r="H213" s="13"/>
      <c r="I213" s="308"/>
      <c r="J213" s="308"/>
      <c r="K213" s="13"/>
      <c r="L213" s="308">
        <f t="shared" ref="L213:O213" si="792">-L$98/L$96</f>
        <v>1.5604225352112675</v>
      </c>
      <c r="M213" s="308">
        <f t="shared" si="792"/>
        <v>-6.4928153273018527E-2</v>
      </c>
      <c r="N213" s="30">
        <f t="shared" si="792"/>
        <v>-0.63362681056517933</v>
      </c>
      <c r="O213" s="308">
        <f t="shared" si="792"/>
        <v>-0.43574074074074065</v>
      </c>
      <c r="P213" s="308">
        <f t="shared" ref="P213:AU213" si="793">-P$98/P$96</f>
        <v>1.5448634590377086</v>
      </c>
      <c r="Q213" s="30">
        <f t="shared" si="793"/>
        <v>0.93358778625954231</v>
      </c>
      <c r="R213" s="308">
        <f t="shared" si="793"/>
        <v>1.0722927117143699</v>
      </c>
      <c r="S213" s="308">
        <f t="shared" si="793"/>
        <v>-0.63531914893617047</v>
      </c>
      <c r="T213" s="30">
        <f t="shared" si="793"/>
        <v>0.12800929769218083</v>
      </c>
      <c r="U213" s="308">
        <f t="shared" si="793"/>
        <v>-0.20656532686748075</v>
      </c>
      <c r="V213" s="308">
        <f t="shared" si="793"/>
        <v>0.59224137931034448</v>
      </c>
      <c r="W213" s="30">
        <f t="shared" si="793"/>
        <v>6.1740304842760304E-3</v>
      </c>
      <c r="X213" s="308">
        <f t="shared" si="793"/>
        <v>0.31566967131020662</v>
      </c>
      <c r="Y213" s="308">
        <f t="shared" si="793"/>
        <v>-1.1766275346851649</v>
      </c>
      <c r="Z213" s="30">
        <f t="shared" si="793"/>
        <v>1.0101010101009928E-2</v>
      </c>
      <c r="AA213" s="308">
        <f t="shared" si="793"/>
        <v>-0.46187040181097894</v>
      </c>
      <c r="AB213" s="308">
        <f t="shared" si="793"/>
        <v>-4.638191692352879E-2</v>
      </c>
      <c r="AC213" s="30">
        <f t="shared" si="793"/>
        <v>-4.7874892065624057E-2</v>
      </c>
      <c r="AD213" s="308">
        <f t="shared" si="793"/>
        <v>-4.7284752842887051E-2</v>
      </c>
      <c r="AE213" s="308">
        <f t="shared" si="793"/>
        <v>3.9769842612963485E-2</v>
      </c>
      <c r="AF213" s="30">
        <f t="shared" si="793"/>
        <v>-5.7366362451108335E-2</v>
      </c>
      <c r="AG213" s="308">
        <f t="shared" si="793"/>
        <v>-1.2566344052450796E-2</v>
      </c>
      <c r="AH213" s="308">
        <f t="shared" si="793"/>
        <v>5.7021615170404355E-3</v>
      </c>
      <c r="AI213" s="30">
        <f t="shared" si="793"/>
        <v>-6.5949545396340034E-3</v>
      </c>
      <c r="AJ213" s="308">
        <f t="shared" si="793"/>
        <v>-5.5374592833876222E-4</v>
      </c>
      <c r="AK213" s="308">
        <f t="shared" si="793"/>
        <v>0.1136991709435452</v>
      </c>
      <c r="AL213" s="30">
        <f t="shared" si="793"/>
        <v>0</v>
      </c>
      <c r="AM213" s="308">
        <f t="shared" si="793"/>
        <v>5.5172413793103441E-2</v>
      </c>
      <c r="AN213" s="308">
        <f t="shared" si="793"/>
        <v>-0.46812149404843328</v>
      </c>
      <c r="AO213" s="30">
        <f t="shared" si="793"/>
        <v>0.5026074182886523</v>
      </c>
      <c r="AP213" s="308">
        <f t="shared" si="793"/>
        <v>0</v>
      </c>
      <c r="AQ213" s="308">
        <f t="shared" si="793"/>
        <v>0</v>
      </c>
      <c r="AR213" s="30">
        <f t="shared" si="793"/>
        <v>0</v>
      </c>
      <c r="AS213" s="308">
        <f t="shared" si="793"/>
        <v>0</v>
      </c>
      <c r="AT213" s="308">
        <f t="shared" si="793"/>
        <v>0</v>
      </c>
      <c r="AU213" s="308">
        <f t="shared" si="793"/>
        <v>0</v>
      </c>
    </row>
    <row r="214" spans="1:47">
      <c r="B214" s="225" t="s">
        <v>431</v>
      </c>
      <c r="C214" s="30"/>
      <c r="D214" s="30"/>
      <c r="E214" s="13"/>
      <c r="F214" s="308"/>
      <c r="G214" s="308"/>
      <c r="H214" s="13"/>
      <c r="I214" s="308"/>
      <c r="J214" s="308"/>
      <c r="K214" s="13"/>
      <c r="L214" s="308">
        <f t="shared" ref="L214" si="794">L212+L213</f>
        <v>0.17084507042253505</v>
      </c>
      <c r="M214" s="308">
        <f>M212+M213</f>
        <v>-1.8807876530069221</v>
      </c>
      <c r="N214" s="30">
        <f>N212+N213</f>
        <v>-0.12894064186310661</v>
      </c>
      <c r="O214" s="308">
        <f t="shared" ref="O214" si="795">O212+O213</f>
        <v>-0.73851851851851869</v>
      </c>
      <c r="P214" s="308">
        <f>P212+P213</f>
        <v>-1.0227568270481093</v>
      </c>
      <c r="Q214" s="30">
        <f>Q212+Q213</f>
        <v>1.6948473282442755</v>
      </c>
      <c r="R214" s="308">
        <f t="shared" ref="R214" si="796">R212+R213</f>
        <v>1.0781941575686043</v>
      </c>
      <c r="S214" s="308">
        <f>S212+S213</f>
        <v>-0.38106382978723385</v>
      </c>
      <c r="T214" s="30">
        <f>T212+T213</f>
        <v>0.37556035198406129</v>
      </c>
      <c r="U214" s="308">
        <f t="shared" ref="U214" si="797">U212+U213</f>
        <v>4.3924274923062778E-2</v>
      </c>
      <c r="V214" s="308">
        <f>V212+V213</f>
        <v>-0.76913793103448258</v>
      </c>
      <c r="W214" s="30">
        <f>W212+W213</f>
        <v>0.25487169592899889</v>
      </c>
      <c r="X214" s="308">
        <f t="shared" ref="X214" si="798">X212+X213</f>
        <v>-0.28589638532277117</v>
      </c>
      <c r="Y214" s="308">
        <f>Y212+Y213</f>
        <v>-1.7310565635005335</v>
      </c>
      <c r="Z214" s="30">
        <f>Z212+Z213</f>
        <v>-9.6429410382898942E-2</v>
      </c>
      <c r="AA214" s="308">
        <f t="shared" ref="AA214" si="799">AA212+AA213</f>
        <v>-0.7465336728919072</v>
      </c>
      <c r="AB214" s="308">
        <f>AB212+AB213</f>
        <v>-0.54924409217672099</v>
      </c>
      <c r="AC214" s="30">
        <f>AC212+AC213</f>
        <v>-1.0094982250791513</v>
      </c>
      <c r="AD214" s="308">
        <f t="shared" ref="AD214:AU214" si="800">AD212+AD213</f>
        <v>-0.82757020190299346</v>
      </c>
      <c r="AE214" s="308">
        <f>AE212+AE213</f>
        <v>0.51802335420544932</v>
      </c>
      <c r="AF214" s="30">
        <f>AF212+AF213</f>
        <v>-0.67253368100825739</v>
      </c>
      <c r="AG214" s="308">
        <f t="shared" ref="AG214" si="801">AG212+AG213</f>
        <v>-0.12343896347174527</v>
      </c>
      <c r="AH214" s="308">
        <f>AH212+AH213</f>
        <v>0.49628696459355531</v>
      </c>
      <c r="AI214" s="30">
        <f>AI212+AI213</f>
        <v>-0.95121014214368049</v>
      </c>
      <c r="AJ214" s="308">
        <f t="shared" si="800"/>
        <v>-0.24009771986970682</v>
      </c>
      <c r="AK214" s="308">
        <f>AK212+AK213</f>
        <v>0.68764311093564934</v>
      </c>
      <c r="AL214" s="30">
        <f>AL212+AL213</f>
        <v>-0.52072943803498328</v>
      </c>
      <c r="AM214" s="308">
        <f t="shared" si="800"/>
        <v>6.5632183908045816E-2</v>
      </c>
      <c r="AN214" s="308">
        <f>AN212+AN213</f>
        <v>-0.18839786564509503</v>
      </c>
      <c r="AO214" s="30">
        <f>AO212+AO213</f>
        <v>-0.61792141020932834</v>
      </c>
      <c r="AP214" s="308">
        <f t="shared" ref="AP214" si="802">AP212+AP213</f>
        <v>-0.39553005348351228</v>
      </c>
      <c r="AQ214" s="308">
        <f>AQ212+AQ213</f>
        <v>-6.5082948514056715E-2</v>
      </c>
      <c r="AR214" s="30">
        <f>AR212+AR213</f>
        <v>-0.11557181954769256</v>
      </c>
      <c r="AS214" s="308">
        <f t="shared" si="800"/>
        <v>-9.2860531662679754E-2</v>
      </c>
      <c r="AT214" s="308">
        <f t="shared" si="800"/>
        <v>-0.12622228852007625</v>
      </c>
      <c r="AU214" s="308">
        <f t="shared" si="800"/>
        <v>-0.11744227982970418</v>
      </c>
    </row>
    <row r="215" spans="1:47">
      <c r="B215" s="225" t="s">
        <v>408</v>
      </c>
      <c r="C215" s="30"/>
      <c r="D215" s="30"/>
      <c r="E215" s="13"/>
      <c r="F215" s="308"/>
      <c r="G215" s="308"/>
      <c r="H215" s="13"/>
      <c r="I215" s="308"/>
      <c r="J215" s="308"/>
      <c r="K215" s="13"/>
      <c r="L215" s="308">
        <f t="shared" ref="L215:AU215" si="803">-L$101/L$50</f>
        <v>0.2338483146067416</v>
      </c>
      <c r="M215" s="308">
        <f t="shared" si="803"/>
        <v>1.6287878787878787</v>
      </c>
      <c r="N215" s="30">
        <f t="shared" si="803"/>
        <v>1.9227340267459134</v>
      </c>
      <c r="O215" s="308">
        <f t="shared" si="803"/>
        <v>1.874534161490683</v>
      </c>
      <c r="P215" s="308">
        <f t="shared" si="803"/>
        <v>-2.484018264840183</v>
      </c>
      <c r="Q215" s="30">
        <f t="shared" si="803"/>
        <v>1.1165523996082269</v>
      </c>
      <c r="R215" s="308">
        <f t="shared" si="803"/>
        <v>2.0997506234413965</v>
      </c>
      <c r="S215" s="308">
        <f t="shared" si="803"/>
        <v>0.99408284023668636</v>
      </c>
      <c r="T215" s="30">
        <f t="shared" si="803"/>
        <v>0.17557251908396948</v>
      </c>
      <c r="U215" s="308">
        <f t="shared" si="803"/>
        <v>0.5996321275291232</v>
      </c>
      <c r="V215" s="308">
        <f t="shared" si="803"/>
        <v>1.4162976085031</v>
      </c>
      <c r="W215" s="30">
        <f t="shared" si="803"/>
        <v>1.8801843317972347</v>
      </c>
      <c r="X215" s="308">
        <f t="shared" si="803"/>
        <v>1.6179268903355031</v>
      </c>
      <c r="Y215" s="308">
        <f t="shared" si="803"/>
        <v>2.6675062972292189</v>
      </c>
      <c r="Z215" s="30">
        <f t="shared" si="803"/>
        <v>0.1568483063328425</v>
      </c>
      <c r="AA215" s="308">
        <f t="shared" si="803"/>
        <v>0.72478632478632488</v>
      </c>
      <c r="AB215" s="308">
        <f t="shared" si="803"/>
        <v>1.5251641137855578</v>
      </c>
      <c r="AC215" s="30">
        <f t="shared" si="803"/>
        <v>0.58474576271186451</v>
      </c>
      <c r="AD215" s="308">
        <f t="shared" si="803"/>
        <v>0.91971940763834759</v>
      </c>
      <c r="AE215" s="308">
        <f t="shared" si="803"/>
        <v>1.0484558040468586</v>
      </c>
      <c r="AF215" s="30">
        <f t="shared" si="803"/>
        <v>0.7507733097657977</v>
      </c>
      <c r="AG215" s="308">
        <f t="shared" si="803"/>
        <v>0.88577638251630042</v>
      </c>
      <c r="AH215" s="308">
        <f t="shared" si="803"/>
        <v>0.85605419136325134</v>
      </c>
      <c r="AI215" s="30">
        <f t="shared" si="803"/>
        <v>1.4094594594594594</v>
      </c>
      <c r="AJ215" s="308">
        <f t="shared" si="803"/>
        <v>1.0692347735554397</v>
      </c>
      <c r="AK215" s="308">
        <f t="shared" si="803"/>
        <v>1</v>
      </c>
      <c r="AL215" s="30">
        <f t="shared" si="803"/>
        <v>2.6501154734411085</v>
      </c>
      <c r="AM215" s="308">
        <f t="shared" si="803"/>
        <v>2.6038159371492702</v>
      </c>
      <c r="AN215" s="308">
        <f t="shared" si="803"/>
        <v>0.61188486536675957</v>
      </c>
      <c r="AO215" s="30">
        <f t="shared" si="803"/>
        <v>7.3938122705820605E-2</v>
      </c>
      <c r="AP215" s="308">
        <f t="shared" si="803"/>
        <v>0.320652945351313</v>
      </c>
      <c r="AQ215" s="308">
        <f t="shared" si="803"/>
        <v>1</v>
      </c>
      <c r="AR215" s="30">
        <f t="shared" si="803"/>
        <v>1</v>
      </c>
      <c r="AS215" s="308">
        <f t="shared" si="803"/>
        <v>1</v>
      </c>
      <c r="AT215" s="308">
        <f t="shared" si="803"/>
        <v>1</v>
      </c>
      <c r="AU215" s="308">
        <f t="shared" si="803"/>
        <v>1</v>
      </c>
    </row>
    <row r="216" spans="1:47">
      <c r="B216" s="225"/>
      <c r="C216" s="30"/>
      <c r="D216" s="30"/>
      <c r="E216" s="30"/>
      <c r="F216" s="308"/>
      <c r="G216" s="308"/>
      <c r="H216" s="30"/>
      <c r="I216" s="308"/>
      <c r="J216" s="308"/>
      <c r="K216" s="30"/>
      <c r="L216" s="308"/>
      <c r="M216" s="308"/>
      <c r="N216" s="30"/>
      <c r="O216" s="308"/>
      <c r="P216" s="308"/>
      <c r="Q216" s="30"/>
      <c r="R216" s="308"/>
      <c r="S216" s="308"/>
      <c r="T216" s="30"/>
      <c r="U216" s="308"/>
      <c r="V216" s="308"/>
      <c r="W216" s="30"/>
      <c r="X216" s="308"/>
      <c r="Y216" s="308"/>
      <c r="Z216" s="30"/>
      <c r="AA216" s="308"/>
      <c r="AB216" s="308"/>
      <c r="AC216" s="30"/>
      <c r="AD216" s="308"/>
      <c r="AE216" s="308"/>
      <c r="AF216" s="30"/>
      <c r="AG216" s="308"/>
      <c r="AH216" s="308"/>
      <c r="AI216" s="30"/>
      <c r="AJ216" s="308"/>
      <c r="AK216" s="308"/>
      <c r="AL216" s="30"/>
      <c r="AM216" s="308"/>
      <c r="AN216" s="308"/>
      <c r="AO216" s="30"/>
      <c r="AP216" s="308"/>
      <c r="AQ216" s="308"/>
      <c r="AR216" s="30"/>
      <c r="AS216" s="308"/>
      <c r="AT216" s="308"/>
      <c r="AU216" s="308"/>
    </row>
    <row r="217" spans="1:47" s="54" customFormat="1">
      <c r="A217" s="217"/>
      <c r="B217" s="200" t="s">
        <v>380</v>
      </c>
      <c r="C217" s="201"/>
      <c r="D217" s="201"/>
      <c r="E217" s="201"/>
      <c r="F217" s="280"/>
      <c r="G217" s="280"/>
      <c r="H217" s="201"/>
      <c r="I217" s="280"/>
      <c r="J217" s="280"/>
      <c r="K217" s="201"/>
      <c r="L217" s="280"/>
      <c r="M217" s="280"/>
      <c r="N217" s="201"/>
      <c r="O217" s="280"/>
      <c r="P217" s="280"/>
      <c r="Q217" s="201"/>
      <c r="R217" s="280"/>
      <c r="S217" s="280"/>
      <c r="T217" s="202"/>
      <c r="U217" s="280"/>
      <c r="V217" s="280"/>
      <c r="W217" s="202"/>
      <c r="X217" s="280"/>
      <c r="Y217" s="280"/>
      <c r="Z217" s="202"/>
      <c r="AA217" s="280"/>
      <c r="AB217" s="280"/>
      <c r="AC217" s="202"/>
      <c r="AD217" s="339"/>
      <c r="AE217" s="356"/>
      <c r="AF217" s="202"/>
      <c r="AG217" s="339"/>
      <c r="AH217" s="356"/>
      <c r="AI217" s="202"/>
      <c r="AJ217" s="339"/>
      <c r="AK217" s="339"/>
      <c r="AL217" s="202"/>
      <c r="AM217" s="339"/>
      <c r="AN217" s="339"/>
      <c r="AO217" s="202"/>
      <c r="AP217" s="339"/>
      <c r="AQ217" s="339"/>
      <c r="AR217" s="202"/>
      <c r="AS217" s="339"/>
      <c r="AT217" s="339"/>
      <c r="AU217" s="339"/>
    </row>
    <row r="218" spans="1:47">
      <c r="A218" s="429" t="s">
        <v>1084</v>
      </c>
      <c r="B218" s="259" t="s">
        <v>1133</v>
      </c>
      <c r="C218" s="3"/>
      <c r="D218" s="3"/>
      <c r="E218" s="3"/>
      <c r="F218" s="265"/>
      <c r="G218" s="265"/>
      <c r="H218" s="3"/>
      <c r="I218" s="265"/>
      <c r="J218" s="265"/>
      <c r="K218" s="3"/>
      <c r="L218" s="265">
        <f t="shared" ref="L218:N218" si="804">+L163+L172-L130</f>
        <v>-14.968999999999999</v>
      </c>
      <c r="M218" s="265">
        <f t="shared" si="804"/>
        <v>-17.254999999999999</v>
      </c>
      <c r="N218" s="88">
        <f t="shared" si="804"/>
        <v>-20.245000000000001</v>
      </c>
      <c r="O218" s="265">
        <f t="shared" ref="O218:Q218" si="805">+O163+O172-O130</f>
        <v>-20.245000000000001</v>
      </c>
      <c r="P218" s="265">
        <f t="shared" si="805"/>
        <v>-19.832000000000001</v>
      </c>
      <c r="Q218" s="88">
        <f t="shared" si="805"/>
        <v>-12.468</v>
      </c>
      <c r="R218" s="265">
        <f t="shared" ref="R218:T218" si="806">+R163+R172-R130</f>
        <v>-12.468</v>
      </c>
      <c r="S218" s="265">
        <f t="shared" si="806"/>
        <v>-10.724</v>
      </c>
      <c r="T218" s="88">
        <f t="shared" si="806"/>
        <v>-16.852</v>
      </c>
      <c r="U218" s="265">
        <f t="shared" ref="U218:AU218" si="807">+U163+U172-U130</f>
        <v>-16.852</v>
      </c>
      <c r="V218" s="265">
        <f t="shared" ref="V218:W218" si="808">+V163+V172-V130</f>
        <v>-20.494</v>
      </c>
      <c r="W218" s="88">
        <f t="shared" si="808"/>
        <v>-21.49</v>
      </c>
      <c r="X218" s="265">
        <f t="shared" si="807"/>
        <v>-21.49</v>
      </c>
      <c r="Y218" s="265">
        <f t="shared" ref="Y218:Z218" si="809">+Y163+Y172-Y130</f>
        <v>-29.292000000000002</v>
      </c>
      <c r="Z218" s="88">
        <f t="shared" si="809"/>
        <v>-34.555999999999997</v>
      </c>
      <c r="AA218" s="265">
        <f t="shared" si="807"/>
        <v>-34.555999999999997</v>
      </c>
      <c r="AB218" s="265">
        <f t="shared" si="807"/>
        <v>-33.953000000000003</v>
      </c>
      <c r="AC218" s="88">
        <f t="shared" si="807"/>
        <v>-51.048000000000002</v>
      </c>
      <c r="AD218" s="317">
        <f t="shared" si="807"/>
        <v>-51.048000000000002</v>
      </c>
      <c r="AE218" s="265">
        <f t="shared" ref="AE218:AF218" si="810">+AE163+AE172-AE130</f>
        <v>-27.669</v>
      </c>
      <c r="AF218" s="88">
        <f t="shared" si="810"/>
        <v>-48.36</v>
      </c>
      <c r="AG218" s="317">
        <f t="shared" si="807"/>
        <v>-48.36</v>
      </c>
      <c r="AH218" s="265">
        <f t="shared" si="807"/>
        <v>-43.969000000000001</v>
      </c>
      <c r="AI218" s="88">
        <f t="shared" si="807"/>
        <v>-63.793999999999997</v>
      </c>
      <c r="AJ218" s="317">
        <f t="shared" ref="AJ218:AL218" si="811">+AJ163+AJ172-AJ130</f>
        <v>-63.793999999999997</v>
      </c>
      <c r="AK218" s="265">
        <f t="shared" si="811"/>
        <v>-53.969000000000001</v>
      </c>
      <c r="AL218" s="88">
        <f t="shared" si="811"/>
        <v>-72.519000000000005</v>
      </c>
      <c r="AM218" s="317">
        <f t="shared" ref="AM218:AO218" si="812">+AM163+AM172-AM130</f>
        <v>-72.519000000000005</v>
      </c>
      <c r="AN218" s="265">
        <f t="shared" si="812"/>
        <v>-67.108999999999995</v>
      </c>
      <c r="AO218" s="88">
        <f t="shared" si="812"/>
        <v>-95.978999999999999</v>
      </c>
      <c r="AP218" s="317">
        <f t="shared" ref="AP218" si="813">+AP163+AP172-AP130</f>
        <v>-95.978999999999999</v>
      </c>
      <c r="AQ218" s="317">
        <f t="shared" si="807"/>
        <v>-91.155904798552626</v>
      </c>
      <c r="AR218" s="88">
        <f t="shared" si="807"/>
        <v>-107.43770053157436</v>
      </c>
      <c r="AS218" s="317">
        <f t="shared" si="807"/>
        <v>-107.43770053157436</v>
      </c>
      <c r="AT218" s="317">
        <f t="shared" si="807"/>
        <v>-130.03887109690135</v>
      </c>
      <c r="AU218" s="317">
        <f t="shared" si="807"/>
        <v>-157.21371334780673</v>
      </c>
    </row>
    <row r="219" spans="1:47">
      <c r="B219" s="225" t="s">
        <v>427</v>
      </c>
      <c r="C219" s="5"/>
      <c r="D219" s="5"/>
      <c r="E219" s="5"/>
      <c r="F219" s="281"/>
      <c r="G219" s="281"/>
      <c r="H219" s="5"/>
      <c r="I219" s="281"/>
      <c r="J219" s="281"/>
      <c r="K219" s="5"/>
      <c r="L219" s="281">
        <f t="shared" ref="L219:AU219" si="814">L218/L23</f>
        <v>-1.2526883970040585</v>
      </c>
      <c r="M219" s="281">
        <f t="shared" si="814"/>
        <v>-3.7453874538745406</v>
      </c>
      <c r="N219" s="102">
        <f t="shared" si="814"/>
        <v>-3.2275807094459932</v>
      </c>
      <c r="O219" s="281">
        <f t="shared" si="814"/>
        <v>-1.8608391929776185</v>
      </c>
      <c r="P219" s="281">
        <f t="shared" si="814"/>
        <v>-4.6701989874013856</v>
      </c>
      <c r="Q219" s="102">
        <f t="shared" si="814"/>
        <v>-1.5277539517216034</v>
      </c>
      <c r="R219" s="281">
        <f t="shared" si="814"/>
        <v>-1.004876083014306</v>
      </c>
      <c r="S219" s="281">
        <f t="shared" si="814"/>
        <v>-1.3722328854766475</v>
      </c>
      <c r="T219" s="102">
        <f t="shared" si="814"/>
        <v>-1.8054424683951147</v>
      </c>
      <c r="U219" s="281">
        <f t="shared" si="814"/>
        <v>-0.98268120590121866</v>
      </c>
      <c r="V219" s="281">
        <f t="shared" si="814"/>
        <v>-2.254689476868915</v>
      </c>
      <c r="W219" s="102">
        <f t="shared" si="814"/>
        <v>-2.5493801530339861</v>
      </c>
      <c r="X219" s="281">
        <f t="shared" si="814"/>
        <v>-1.2266681888235624</v>
      </c>
      <c r="Y219" s="281">
        <f t="shared" si="814"/>
        <v>-3.3426908592947622</v>
      </c>
      <c r="Z219" s="102">
        <f t="shared" si="814"/>
        <v>-2.8826694473409802</v>
      </c>
      <c r="AA219" s="281">
        <f t="shared" si="814"/>
        <v>-1.6653092696561529</v>
      </c>
      <c r="AB219" s="281">
        <f t="shared" si="814"/>
        <v>-3.1868781678242915</v>
      </c>
      <c r="AC219" s="102">
        <f t="shared" si="814"/>
        <v>-3.5326113283277394</v>
      </c>
      <c r="AD219" s="347">
        <f t="shared" si="814"/>
        <v>-2.0334203031329046</v>
      </c>
      <c r="AE219" s="281">
        <f t="shared" si="814"/>
        <v>-1.5862978357460227</v>
      </c>
      <c r="AF219" s="102">
        <f t="shared" si="814"/>
        <v>-2.4499100787760582</v>
      </c>
      <c r="AG219" s="317">
        <f t="shared" si="814"/>
        <v>-1.3006293367758592</v>
      </c>
      <c r="AH219" s="281">
        <f t="shared" si="814"/>
        <v>-2.0438339608608747</v>
      </c>
      <c r="AI219" s="102">
        <f t="shared" si="814"/>
        <v>-2.9402899085105894</v>
      </c>
      <c r="AJ219" s="317">
        <f t="shared" si="814"/>
        <v>-1.4763882942408497</v>
      </c>
      <c r="AK219" s="281">
        <f t="shared" si="814"/>
        <v>-2.7844189346059589</v>
      </c>
      <c r="AL219" s="102">
        <f t="shared" si="814"/>
        <v>-3.5685849961863054</v>
      </c>
      <c r="AM219" s="317">
        <f t="shared" si="814"/>
        <v>-1.7816185141509435</v>
      </c>
      <c r="AN219" s="281">
        <f t="shared" ref="AN219:AP219" si="815">AN218/AN23</f>
        <v>-3.0974337671928365</v>
      </c>
      <c r="AO219" s="102">
        <f t="shared" si="815"/>
        <v>-4.646768336964417</v>
      </c>
      <c r="AP219" s="317">
        <f t="shared" si="815"/>
        <v>-2.2678811937336074</v>
      </c>
      <c r="AQ219" s="317">
        <f t="shared" ref="AQ219:AR219" si="816">AQ218/AQ23</f>
        <v>-4.2593783395004463</v>
      </c>
      <c r="AR219" s="102">
        <f t="shared" si="816"/>
        <v>-4.1045487918166428</v>
      </c>
      <c r="AS219" s="317">
        <f t="shared" si="814"/>
        <v>-2.2582094433506006</v>
      </c>
      <c r="AT219" s="317">
        <f t="shared" si="814"/>
        <v>-2.3577234792863559</v>
      </c>
      <c r="AU219" s="317">
        <f t="shared" si="814"/>
        <v>-2.4509484493456304</v>
      </c>
    </row>
    <row r="220" spans="1:47" hidden="1" outlineLevel="1">
      <c r="B220" s="225" t="s">
        <v>156</v>
      </c>
      <c r="C220" s="12"/>
      <c r="D220" s="12"/>
      <c r="E220" s="12"/>
      <c r="F220" s="314"/>
      <c r="G220" s="314"/>
      <c r="H220" s="12"/>
      <c r="I220" s="314"/>
      <c r="J220" s="314"/>
      <c r="K220" s="12"/>
      <c r="L220" s="314">
        <f t="shared" ref="L220:N220" si="817">L$218/L186</f>
        <v>-1.2492906025705224</v>
      </c>
      <c r="M220" s="314">
        <f t="shared" si="817"/>
        <v>-1.4202815046505883</v>
      </c>
      <c r="N220" s="13">
        <f t="shared" si="817"/>
        <v>-1.2959288183331201</v>
      </c>
      <c r="O220" s="314">
        <f t="shared" ref="O220:Q220" si="818">O$218/O186</f>
        <v>-1.2959288183331201</v>
      </c>
      <c r="P220" s="314">
        <f t="shared" si="818"/>
        <v>-1.4239965534573131</v>
      </c>
      <c r="Q220" s="13">
        <f t="shared" si="818"/>
        <v>-0.69420935412026719</v>
      </c>
      <c r="R220" s="314">
        <f t="shared" ref="R220:T220" si="819">R$218/R186</f>
        <v>-0.69420935412026719</v>
      </c>
      <c r="S220" s="314">
        <f t="shared" si="819"/>
        <v>-0.61081050293330297</v>
      </c>
      <c r="T220" s="13">
        <f t="shared" si="819"/>
        <v>-0.78991281522452417</v>
      </c>
      <c r="U220" s="314">
        <f t="shared" ref="U220:AG220" si="820">U$218/U186</f>
        <v>-0.78991281522452417</v>
      </c>
      <c r="V220" s="314">
        <f t="shared" si="820"/>
        <v>-0.98837714010127808</v>
      </c>
      <c r="W220" s="13">
        <f t="shared" si="820"/>
        <v>-0.86905532190229695</v>
      </c>
      <c r="X220" s="314">
        <f t="shared" si="820"/>
        <v>-0.86905532190229695</v>
      </c>
      <c r="Y220" s="314">
        <f t="shared" si="820"/>
        <v>-1.2350113837591703</v>
      </c>
      <c r="Z220" s="13">
        <f t="shared" si="820"/>
        <v>-1.1461359867330017</v>
      </c>
      <c r="AA220" s="314">
        <f t="shared" si="820"/>
        <v>-1.1461359867330017</v>
      </c>
      <c r="AB220" s="314">
        <f t="shared" si="820"/>
        <v>-1.1372634399598058</v>
      </c>
      <c r="AC220" s="13">
        <f t="shared" si="820"/>
        <v>-1.4443595620066207</v>
      </c>
      <c r="AD220" s="308">
        <f t="shared" si="820"/>
        <v>-1.4443595620066207</v>
      </c>
      <c r="AE220" s="314">
        <f t="shared" si="820"/>
        <v>-0.7567900221547551</v>
      </c>
      <c r="AF220" s="13">
        <f t="shared" si="820"/>
        <v>-1.0300100104364125</v>
      </c>
      <c r="AG220" s="308">
        <f t="shared" si="820"/>
        <v>-1.0300100104364125</v>
      </c>
      <c r="AH220" s="314">
        <f t="shared" ref="AH220:AJ220" si="821">AH$218/AH186</f>
        <v>-0.90474916663237159</v>
      </c>
      <c r="AI220" s="13">
        <f t="shared" si="821"/>
        <v>-1.0296495956873315</v>
      </c>
      <c r="AJ220" s="308">
        <f t="shared" si="821"/>
        <v>-1.0296495956873315</v>
      </c>
      <c r="AK220" s="314">
        <f t="shared" ref="AK220:AM220" si="822">AK$218/AK186</f>
        <v>-0.85216004547464153</v>
      </c>
      <c r="AL220" s="13">
        <f t="shared" si="822"/>
        <v>-0.9859957307373316</v>
      </c>
      <c r="AM220" s="308">
        <f t="shared" si="822"/>
        <v>-0.9859957307373316</v>
      </c>
      <c r="AN220" s="314">
        <f t="shared" ref="AN220:AP220" si="823">AN$218/AN186</f>
        <v>-0.87022316739499728</v>
      </c>
      <c r="AO220" s="13">
        <f t="shared" si="823"/>
        <v>-1.0398478889719507</v>
      </c>
      <c r="AP220" s="308">
        <f t="shared" si="823"/>
        <v>-1.0398478889719507</v>
      </c>
      <c r="AQ220" s="308">
        <f>AQ$218/AQ186</f>
        <v>-1.0024856161469282</v>
      </c>
      <c r="AR220" s="13">
        <f t="shared" ref="AR220" si="824">AR$218/AR186</f>
        <v>-0.98211933122493589</v>
      </c>
      <c r="AS220" s="308">
        <f t="shared" ref="AS220:AU220" si="825">AS$218/AS186</f>
        <v>-0.98211933122493589</v>
      </c>
      <c r="AT220" s="308">
        <f t="shared" si="825"/>
        <v>-0.98520154128659532</v>
      </c>
      <c r="AU220" s="308">
        <f t="shared" si="825"/>
        <v>-0.98997243594424189</v>
      </c>
    </row>
    <row r="221" spans="1:47" hidden="1" outlineLevel="1">
      <c r="B221" s="225" t="s">
        <v>155</v>
      </c>
      <c r="C221" s="12"/>
      <c r="D221" s="12"/>
      <c r="E221" s="12"/>
      <c r="F221" s="314"/>
      <c r="G221" s="314"/>
      <c r="H221" s="12"/>
      <c r="I221" s="314"/>
      <c r="J221" s="314"/>
      <c r="K221" s="12"/>
      <c r="L221" s="314">
        <f t="shared" ref="L221:N221" si="826">L$218/(L218+L186)</f>
        <v>5.0113826581854699</v>
      </c>
      <c r="M221" s="314">
        <f t="shared" si="826"/>
        <v>3.3793576184880543</v>
      </c>
      <c r="N221" s="13">
        <f t="shared" si="826"/>
        <v>4.3791910015141671</v>
      </c>
      <c r="O221" s="314">
        <f t="shared" ref="O221:Q221" si="827">O$218/(O218+O186)</f>
        <v>4.3791910015141671</v>
      </c>
      <c r="P221" s="314">
        <f t="shared" si="827"/>
        <v>3.3585097375105839</v>
      </c>
      <c r="Q221" s="13">
        <f t="shared" si="827"/>
        <v>-2.2702112163146393</v>
      </c>
      <c r="R221" s="314">
        <f t="shared" ref="R221:T221" si="828">R$218/(R218+R186)</f>
        <v>-2.2702112163146393</v>
      </c>
      <c r="S221" s="314">
        <f t="shared" si="828"/>
        <v>-1.5694424118249675</v>
      </c>
      <c r="T221" s="13">
        <f t="shared" si="828"/>
        <v>-3.7599286033020949</v>
      </c>
      <c r="U221" s="314">
        <f t="shared" ref="U221:AG221" si="829">U$218/(U218+U186)</f>
        <v>-3.7599286033020949</v>
      </c>
      <c r="V221" s="314">
        <f t="shared" si="829"/>
        <v>-85.037344398340366</v>
      </c>
      <c r="W221" s="13">
        <f t="shared" si="829"/>
        <v>-6.6368128474366896</v>
      </c>
      <c r="X221" s="314">
        <f t="shared" si="829"/>
        <v>-6.6368128474366896</v>
      </c>
      <c r="Y221" s="314">
        <f t="shared" si="829"/>
        <v>5.2551130247578026</v>
      </c>
      <c r="Z221" s="13">
        <f t="shared" si="829"/>
        <v>7.8429414434861568</v>
      </c>
      <c r="AA221" s="314">
        <f t="shared" si="829"/>
        <v>7.8429414434861568</v>
      </c>
      <c r="AB221" s="314">
        <f t="shared" si="829"/>
        <v>8.2852611029770582</v>
      </c>
      <c r="AC221" s="13">
        <f t="shared" si="829"/>
        <v>3.2504297994269344</v>
      </c>
      <c r="AD221" s="308">
        <f t="shared" si="829"/>
        <v>3.2504297994269344</v>
      </c>
      <c r="AE221" s="314">
        <f t="shared" si="829"/>
        <v>-3.1116734143049936</v>
      </c>
      <c r="AF221" s="13">
        <f t="shared" si="829"/>
        <v>34.322214336408827</v>
      </c>
      <c r="AG221" s="308">
        <f t="shared" si="829"/>
        <v>34.322214336408827</v>
      </c>
      <c r="AH221" s="314">
        <f t="shared" ref="AH221:AJ221" si="830">AH$218/(AH218+AH186)</f>
        <v>-9.498595809030018</v>
      </c>
      <c r="AI221" s="13">
        <f t="shared" si="830"/>
        <v>34.727272727272798</v>
      </c>
      <c r="AJ221" s="308">
        <f t="shared" si="830"/>
        <v>34.727272727272798</v>
      </c>
      <c r="AK221" s="314">
        <f t="shared" ref="AK221:AM221" si="831">AK$218/(AK218+AK186)</f>
        <v>-5.7640713446544911</v>
      </c>
      <c r="AL221" s="13">
        <f t="shared" si="831"/>
        <v>-70.406796116504779</v>
      </c>
      <c r="AM221" s="308">
        <f t="shared" si="831"/>
        <v>-70.406796116504779</v>
      </c>
      <c r="AN221" s="314">
        <f t="shared" ref="AN221:AP221" si="832">AN$218/(AN218+AN186)</f>
        <v>-6.705535571542768</v>
      </c>
      <c r="AO221" s="13">
        <f t="shared" si="832"/>
        <v>26.095432300163051</v>
      </c>
      <c r="AP221" s="308">
        <f t="shared" si="832"/>
        <v>26.095432300163051</v>
      </c>
      <c r="AQ221" s="308">
        <f>AQ$218/(AQ218+AQ186)</f>
        <v>403.31473441136649</v>
      </c>
      <c r="AR221" s="13">
        <f t="shared" ref="AR221" si="833">AR$218/(AR218+AR186)</f>
        <v>-54.926319791493064</v>
      </c>
      <c r="AS221" s="308">
        <f t="shared" ref="AS221:AU221" si="834">AS$218/(AS218+AS186)</f>
        <v>-54.926319791493064</v>
      </c>
      <c r="AT221" s="308">
        <f t="shared" si="834"/>
        <v>-66.574604853557076</v>
      </c>
      <c r="AU221" s="308">
        <f t="shared" si="834"/>
        <v>-98.725117131091068</v>
      </c>
    </row>
    <row r="222" spans="1:47" hidden="1" outlineLevel="1">
      <c r="B222" s="225" t="s">
        <v>428</v>
      </c>
      <c r="C222" s="17"/>
      <c r="D222" s="17"/>
      <c r="E222" s="17"/>
      <c r="F222" s="295"/>
      <c r="G222" s="295"/>
      <c r="H222" s="17"/>
      <c r="I222" s="295"/>
      <c r="J222" s="295"/>
      <c r="K222" s="17"/>
      <c r="L222" s="295">
        <f t="shared" ref="L222:AH222" si="835">L41/L141</f>
        <v>0</v>
      </c>
      <c r="M222" s="295">
        <f t="shared" si="835"/>
        <v>0</v>
      </c>
      <c r="N222" s="16">
        <f t="shared" si="835"/>
        <v>0</v>
      </c>
      <c r="O222" s="295">
        <f t="shared" si="835"/>
        <v>0</v>
      </c>
      <c r="P222" s="295">
        <f t="shared" si="835"/>
        <v>0</v>
      </c>
      <c r="Q222" s="16">
        <f t="shared" si="835"/>
        <v>0</v>
      </c>
      <c r="R222" s="295">
        <f t="shared" si="835"/>
        <v>0</v>
      </c>
      <c r="S222" s="295">
        <f t="shared" si="835"/>
        <v>0</v>
      </c>
      <c r="T222" s="16">
        <f t="shared" si="835"/>
        <v>0</v>
      </c>
      <c r="U222" s="295">
        <f t="shared" si="835"/>
        <v>0</v>
      </c>
      <c r="V222" s="295">
        <f t="shared" si="835"/>
        <v>0</v>
      </c>
      <c r="W222" s="16">
        <f t="shared" si="835"/>
        <v>0</v>
      </c>
      <c r="X222" s="295">
        <f t="shared" si="835"/>
        <v>0</v>
      </c>
      <c r="Y222" s="295">
        <f t="shared" si="835"/>
        <v>0</v>
      </c>
      <c r="Z222" s="16">
        <f t="shared" si="835"/>
        <v>0</v>
      </c>
      <c r="AA222" s="295">
        <f t="shared" si="835"/>
        <v>0</v>
      </c>
      <c r="AB222" s="295">
        <f t="shared" si="835"/>
        <v>0</v>
      </c>
      <c r="AC222" s="16">
        <f t="shared" si="835"/>
        <v>0</v>
      </c>
      <c r="AD222" s="306">
        <f t="shared" si="835"/>
        <v>0</v>
      </c>
      <c r="AE222" s="295">
        <f t="shared" si="835"/>
        <v>0</v>
      </c>
      <c r="AF222" s="16">
        <f t="shared" si="835"/>
        <v>0</v>
      </c>
      <c r="AG222" s="306">
        <f t="shared" si="835"/>
        <v>0</v>
      </c>
      <c r="AH222" s="295">
        <f t="shared" si="835"/>
        <v>0</v>
      </c>
      <c r="AI222" s="16">
        <f t="shared" ref="AI222:AK222" si="836">AI41/AI141</f>
        <v>0</v>
      </c>
      <c r="AJ222" s="306">
        <f t="shared" si="836"/>
        <v>0</v>
      </c>
      <c r="AK222" s="295">
        <f t="shared" si="836"/>
        <v>0.64595257563368769</v>
      </c>
      <c r="AL222" s="16">
        <f t="shared" ref="AL222:AN222" si="837">AL41/AL141</f>
        <v>0.69319336268201825</v>
      </c>
      <c r="AM222" s="306">
        <f t="shared" si="837"/>
        <v>1.495767016593295</v>
      </c>
      <c r="AN222" s="295">
        <f t="shared" si="837"/>
        <v>0.9275862068965518</v>
      </c>
      <c r="AO222" s="16">
        <f t="shared" ref="AO222:AP222" si="838">AO41/AO141</f>
        <v>0.77928286852589623</v>
      </c>
      <c r="AP222" s="306">
        <f t="shared" si="838"/>
        <v>1.6366533864541832</v>
      </c>
      <c r="AQ222" s="306">
        <f t="shared" ref="AQ222:AU222" si="839">AQ41/AQ141</f>
        <v>0.61079953294807332</v>
      </c>
      <c r="AR222" s="16">
        <f t="shared" si="839"/>
        <v>0.28485922731790747</v>
      </c>
      <c r="AS222" s="306">
        <f t="shared" si="839"/>
        <v>0.56971845463581494</v>
      </c>
      <c r="AT222" s="306">
        <f t="shared" si="839"/>
        <v>0.44137314375264131</v>
      </c>
      <c r="AU222" s="306">
        <f t="shared" si="839"/>
        <v>0.15674385849935787</v>
      </c>
    </row>
    <row r="223" spans="1:47" hidden="1" outlineLevel="1">
      <c r="B223" s="225" t="s">
        <v>411</v>
      </c>
      <c r="C223" s="3"/>
      <c r="D223" s="3"/>
      <c r="E223" s="3"/>
      <c r="F223" s="265"/>
      <c r="G223" s="265"/>
      <c r="H223" s="3"/>
      <c r="I223" s="265"/>
      <c r="J223" s="265"/>
      <c r="K223" s="3"/>
      <c r="L223" s="265" t="e">
        <f t="shared" ref="L223:AU223" si="840">-L103/L43</f>
        <v>#DIV/0!</v>
      </c>
      <c r="M223" s="265" t="e">
        <f t="shared" si="840"/>
        <v>#DIV/0!</v>
      </c>
      <c r="N223" s="90">
        <f t="shared" si="840"/>
        <v>8.8461538461539124</v>
      </c>
      <c r="O223" s="265">
        <f t="shared" si="840"/>
        <v>34.000000000000263</v>
      </c>
      <c r="P223" s="265">
        <f t="shared" si="840"/>
        <v>0.4102564102564103</v>
      </c>
      <c r="Q223" s="90">
        <f t="shared" si="840"/>
        <v>0.10997067448680362</v>
      </c>
      <c r="R223" s="265">
        <f t="shared" si="840"/>
        <v>0.18668122270742371</v>
      </c>
      <c r="S223" s="265">
        <f t="shared" si="840"/>
        <v>32.36893203883475</v>
      </c>
      <c r="T223" s="90">
        <f t="shared" si="840"/>
        <v>1.8457350272232327</v>
      </c>
      <c r="U223" s="265">
        <f t="shared" si="840"/>
        <v>6.6529051987767591</v>
      </c>
      <c r="V223" s="265">
        <f t="shared" si="840"/>
        <v>1.3460764587525156</v>
      </c>
      <c r="W223" s="90">
        <f t="shared" si="840"/>
        <v>1.7476007677543188</v>
      </c>
      <c r="X223" s="265">
        <f t="shared" si="840"/>
        <v>1.6179337231968813</v>
      </c>
      <c r="Y223" s="265">
        <f t="shared" si="840"/>
        <v>0.85219236209335247</v>
      </c>
      <c r="Z223" s="90">
        <f t="shared" si="840"/>
        <v>9.5871238628411459E-2</v>
      </c>
      <c r="AA223" s="265">
        <f t="shared" si="840"/>
        <v>0.47203658107632784</v>
      </c>
      <c r="AB223" s="265">
        <f t="shared" si="840"/>
        <v>0.28862973760932947</v>
      </c>
      <c r="AC223" s="90">
        <f t="shared" si="840"/>
        <v>0.48150289017340986</v>
      </c>
      <c r="AD223" s="318">
        <f t="shared" si="840"/>
        <v>0.39619600257898108</v>
      </c>
      <c r="AE223" s="265">
        <f t="shared" si="840"/>
        <v>0.31003811944091475</v>
      </c>
      <c r="AF223" s="90">
        <f t="shared" si="840"/>
        <v>0.15841584158415864</v>
      </c>
      <c r="AG223" s="318">
        <f t="shared" si="840"/>
        <v>0.233228840125392</v>
      </c>
      <c r="AH223" s="265">
        <f t="shared" si="840"/>
        <v>0.31657665143331926</v>
      </c>
      <c r="AI223" s="90">
        <f t="shared" ref="AI223:AK223" si="841">-AI103/AI43</f>
        <v>0.14469040744305436</v>
      </c>
      <c r="AJ223" s="318">
        <f t="shared" si="841"/>
        <v>0.2195872556118755</v>
      </c>
      <c r="AK223" s="265">
        <f t="shared" si="841"/>
        <v>0.14472573839662448</v>
      </c>
      <c r="AL223" s="90">
        <f t="shared" ref="AL223:AN223" si="842">-AL103/AL43</f>
        <v>0.20017482517482524</v>
      </c>
      <c r="AM223" s="318">
        <f t="shared" si="842"/>
        <v>0.16277746158224249</v>
      </c>
      <c r="AN223" s="265">
        <f t="shared" si="842"/>
        <v>2.3476159793814433</v>
      </c>
      <c r="AO223" s="90">
        <f t="shared" ref="AO223:AP223" si="843">-AO103/AO43</f>
        <v>2.7164231036882396</v>
      </c>
      <c r="AP223" s="318">
        <f t="shared" si="843"/>
        <v>2.5249247239879558</v>
      </c>
      <c r="AQ223" s="318">
        <f t="shared" si="840"/>
        <v>1.9099979949890094</v>
      </c>
      <c r="AR223" s="90">
        <f t="shared" si="840"/>
        <v>2.0124055203565652</v>
      </c>
      <c r="AS223" s="318">
        <f t="shared" si="840"/>
        <v>1.9612017576727871</v>
      </c>
      <c r="AT223" s="318">
        <f t="shared" si="840"/>
        <v>1.371570826540901</v>
      </c>
      <c r="AU223" s="318">
        <f t="shared" si="840"/>
        <v>1.3510861126674356</v>
      </c>
    </row>
    <row r="224" spans="1:47" hidden="1" outlineLevel="1">
      <c r="B224" s="225" t="s">
        <v>412</v>
      </c>
      <c r="C224" s="5"/>
      <c r="D224" s="5"/>
      <c r="E224" s="5"/>
      <c r="F224" s="281"/>
      <c r="G224" s="281"/>
      <c r="H224" s="5"/>
      <c r="I224" s="281"/>
      <c r="J224" s="281"/>
      <c r="K224" s="5"/>
      <c r="L224" s="281"/>
      <c r="M224" s="281"/>
      <c r="N224" s="89"/>
      <c r="O224" s="281"/>
      <c r="P224" s="281"/>
      <c r="Q224" s="89"/>
      <c r="R224" s="281"/>
      <c r="S224" s="281"/>
      <c r="T224" s="89"/>
      <c r="U224" s="281"/>
      <c r="V224" s="281"/>
      <c r="W224" s="89"/>
      <c r="X224" s="281"/>
      <c r="Y224" s="281"/>
      <c r="Z224" s="89"/>
      <c r="AA224" s="281"/>
      <c r="AB224" s="281"/>
      <c r="AC224" s="89"/>
      <c r="AD224" s="317"/>
      <c r="AE224" s="281"/>
      <c r="AF224" s="89"/>
      <c r="AG224" s="317"/>
      <c r="AH224" s="281"/>
      <c r="AI224" s="89"/>
      <c r="AJ224" s="317"/>
      <c r="AK224" s="281"/>
      <c r="AL224" s="89"/>
      <c r="AM224" s="317"/>
      <c r="AN224" s="281"/>
      <c r="AO224" s="89"/>
      <c r="AP224" s="317"/>
      <c r="AQ224" s="317"/>
      <c r="AR224" s="89"/>
      <c r="AS224" s="317"/>
      <c r="AT224" s="317"/>
      <c r="AU224" s="317"/>
    </row>
    <row r="225" spans="1:47" hidden="1" outlineLevel="1">
      <c r="B225" s="225" t="s">
        <v>381</v>
      </c>
      <c r="C225" s="17"/>
      <c r="D225" s="17"/>
      <c r="E225" s="17"/>
      <c r="F225" s="295"/>
      <c r="G225" s="295"/>
      <c r="H225" s="17"/>
      <c r="I225" s="295"/>
      <c r="J225" s="295"/>
      <c r="K225" s="17"/>
      <c r="L225" s="295">
        <f>-L103/L9</f>
        <v>8.8923653280088919E-3</v>
      </c>
      <c r="M225" s="295">
        <v>0.08</v>
      </c>
      <c r="N225" s="16">
        <v>0.08</v>
      </c>
      <c r="O225" s="295">
        <f>-O103/O9</f>
        <v>8.8387625732397473E-3</v>
      </c>
      <c r="P225" s="295">
        <v>0.08</v>
      </c>
      <c r="Q225" s="16">
        <v>0.08</v>
      </c>
      <c r="R225" s="295">
        <f>-R103/R9</f>
        <v>3.4097706879361919E-3</v>
      </c>
      <c r="S225" s="295">
        <v>0.08</v>
      </c>
      <c r="T225" s="16">
        <v>0.08</v>
      </c>
      <c r="U225" s="295">
        <f>-U103/U9</f>
        <v>6.9505902650202081E-2</v>
      </c>
      <c r="V225" s="295">
        <v>0.08</v>
      </c>
      <c r="W225" s="16">
        <v>0.08</v>
      </c>
      <c r="X225" s="295">
        <f>-X103/X9</f>
        <v>3.9454919980985582E-2</v>
      </c>
      <c r="Y225" s="295">
        <v>0.08</v>
      </c>
      <c r="Z225" s="16">
        <v>0.08</v>
      </c>
      <c r="AA225" s="295">
        <f>-AA103/AA9</f>
        <v>2.162423461166613E-2</v>
      </c>
      <c r="AB225" s="295">
        <v>0.08</v>
      </c>
      <c r="AC225" s="16">
        <v>0.08</v>
      </c>
      <c r="AD225" s="306">
        <f>-AD103/AD9</f>
        <v>1.754711593375214E-2</v>
      </c>
      <c r="AE225" s="295">
        <v>0.08</v>
      </c>
      <c r="AF225" s="16">
        <v>0.08</v>
      </c>
      <c r="AG225" s="306">
        <f>-AG103/AG9</f>
        <v>1.1740447736071368E-2</v>
      </c>
      <c r="AH225" s="295">
        <v>0.08</v>
      </c>
      <c r="AI225" s="16">
        <v>0.08</v>
      </c>
      <c r="AJ225" s="306">
        <f>-AJ103/AJ9</f>
        <v>1.1389136660250694E-2</v>
      </c>
      <c r="AK225" s="295">
        <v>0.08</v>
      </c>
      <c r="AL225" s="16">
        <v>0.08</v>
      </c>
      <c r="AM225" s="306">
        <f>-AM103/AM9</f>
        <v>5.1811594202898544E-3</v>
      </c>
      <c r="AN225" s="295">
        <v>0.08</v>
      </c>
      <c r="AO225" s="16">
        <v>0.08</v>
      </c>
      <c r="AP225" s="306">
        <f>-AP103/AP9</f>
        <v>0.12845957446808509</v>
      </c>
      <c r="AQ225" s="306">
        <f>-AQ103/AQ9</f>
        <v>0.1225</v>
      </c>
      <c r="AR225" s="16">
        <v>0.08</v>
      </c>
      <c r="AS225" s="306">
        <f t="shared" ref="AS225:AU225" si="844">-AS103/AS9</f>
        <v>0.12250000000000001</v>
      </c>
      <c r="AT225" s="306">
        <f t="shared" si="844"/>
        <v>0.11799999999999999</v>
      </c>
      <c r="AU225" s="306">
        <f t="shared" si="844"/>
        <v>0.1135</v>
      </c>
    </row>
    <row r="226" spans="1:47" hidden="1" outlineLevel="1">
      <c r="B226" s="225" t="s">
        <v>413</v>
      </c>
      <c r="C226" s="12"/>
      <c r="D226" s="12"/>
      <c r="E226" s="12"/>
      <c r="F226" s="314"/>
      <c r="G226" s="314"/>
      <c r="H226" s="12"/>
      <c r="I226" s="314"/>
      <c r="J226" s="314"/>
      <c r="K226" s="12"/>
      <c r="L226" s="314">
        <f t="shared" ref="L226:AU226" si="845">-L103/L23</f>
        <v>3.6152140256914517E-2</v>
      </c>
      <c r="M226" s="314">
        <f t="shared" si="845"/>
        <v>7.0978945083568529E-2</v>
      </c>
      <c r="N226" s="13">
        <f t="shared" si="845"/>
        <v>1.8333997608608998E-2</v>
      </c>
      <c r="O226" s="314">
        <f t="shared" si="845"/>
        <v>4.0626867043522218E-2</v>
      </c>
      <c r="P226" s="314">
        <f t="shared" si="845"/>
        <v>2.2606852702225344E-2</v>
      </c>
      <c r="Q226" s="13">
        <f t="shared" si="845"/>
        <v>9.1900502389413129E-3</v>
      </c>
      <c r="R226" s="314">
        <f t="shared" si="845"/>
        <v>1.3781986701591781E-2</v>
      </c>
      <c r="S226" s="314">
        <f t="shared" si="845"/>
        <v>0.42661548304542546</v>
      </c>
      <c r="T226" s="13">
        <f t="shared" si="845"/>
        <v>0.10895650310692093</v>
      </c>
      <c r="U226" s="314">
        <f t="shared" si="845"/>
        <v>0.25371741792524344</v>
      </c>
      <c r="V226" s="314">
        <f t="shared" si="845"/>
        <v>7.3601408218273837E-2</v>
      </c>
      <c r="W226" s="13">
        <f t="shared" si="845"/>
        <v>0.21602704786760771</v>
      </c>
      <c r="X226" s="314">
        <f t="shared" si="845"/>
        <v>0.14213140019407497</v>
      </c>
      <c r="Y226" s="314">
        <f t="shared" si="845"/>
        <v>0.13750998516489787</v>
      </c>
      <c r="Z226" s="13">
        <f t="shared" si="845"/>
        <v>1.142857142857143E-2</v>
      </c>
      <c r="AA226" s="314">
        <f t="shared" si="845"/>
        <v>6.4673140406255283E-2</v>
      </c>
      <c r="AB226" s="314">
        <f t="shared" si="845"/>
        <v>3.7169138351792759E-2</v>
      </c>
      <c r="AC226" s="13">
        <f t="shared" si="845"/>
        <v>5.7645064184630286E-2</v>
      </c>
      <c r="AD226" s="308">
        <f t="shared" si="845"/>
        <v>4.8955366567746822E-2</v>
      </c>
      <c r="AE226" s="314">
        <f t="shared" si="845"/>
        <v>4.1966461229754913E-2</v>
      </c>
      <c r="AF226" s="13">
        <f t="shared" si="845"/>
        <v>1.9453380278122542E-2</v>
      </c>
      <c r="AG226" s="308">
        <f t="shared" si="845"/>
        <v>3.0014523156365977E-2</v>
      </c>
      <c r="AH226" s="314">
        <f t="shared" si="845"/>
        <v>3.5420443452795984E-2</v>
      </c>
      <c r="AI226" s="13">
        <f t="shared" si="845"/>
        <v>2.0786762841933037E-2</v>
      </c>
      <c r="AJ226" s="308">
        <f t="shared" si="845"/>
        <v>2.8072530346335878E-2</v>
      </c>
      <c r="AK226" s="314">
        <f t="shared" si="845"/>
        <v>1.7696375596543273E-2</v>
      </c>
      <c r="AL226" s="13">
        <f t="shared" si="845"/>
        <v>1.1268853185050312E-2</v>
      </c>
      <c r="AM226" s="308">
        <f t="shared" si="845"/>
        <v>1.4052672955974841E-2</v>
      </c>
      <c r="AN226" s="314">
        <f t="shared" ref="AN226:AP226" si="846">-AN103/AN23</f>
        <v>0.33633342564386598</v>
      </c>
      <c r="AO226" s="13">
        <f t="shared" si="846"/>
        <v>0.37797143548777545</v>
      </c>
      <c r="AP226" s="308">
        <f t="shared" si="846"/>
        <v>0.3566550884903476</v>
      </c>
      <c r="AQ226" s="308">
        <f t="shared" ref="AQ226:AR226" si="847">-AQ103/AQ23</f>
        <v>0.35324664789428689</v>
      </c>
      <c r="AR226" s="13">
        <f t="shared" si="847"/>
        <v>0.3043041982955943</v>
      </c>
      <c r="AS226" s="308">
        <f t="shared" si="845"/>
        <v>0.32631986313177425</v>
      </c>
      <c r="AT226" s="308">
        <f t="shared" si="845"/>
        <v>0.3022364354135022</v>
      </c>
      <c r="AU226" s="308">
        <f t="shared" si="845"/>
        <v>0.27773840227585272</v>
      </c>
    </row>
    <row r="227" spans="1:47" collapsed="1">
      <c r="B227" s="225" t="s">
        <v>1178</v>
      </c>
      <c r="C227" s="12"/>
      <c r="D227" s="12"/>
      <c r="E227" s="12"/>
      <c r="F227" s="314"/>
      <c r="G227" s="314"/>
      <c r="H227" s="12"/>
      <c r="I227" s="314"/>
      <c r="J227" s="314"/>
      <c r="K227" s="12"/>
      <c r="L227" s="314">
        <f>+L165/(L9)</f>
        <v>0.20481258105020478</v>
      </c>
      <c r="M227" s="314">
        <f>+M165/(M9*2)</f>
        <v>0.29724606282809768</v>
      </c>
      <c r="N227" s="13">
        <f>+N165/(N9*2)</f>
        <v>0.26035377811959243</v>
      </c>
      <c r="O227" s="314">
        <f>+O165/O9</f>
        <v>0.27078209050732899</v>
      </c>
      <c r="P227" s="314">
        <f>+P165/(P9*2)</f>
        <v>0.36550362080315996</v>
      </c>
      <c r="Q227" s="13">
        <f>+Q165/(Q9*2)</f>
        <v>0.20869724100127904</v>
      </c>
      <c r="R227" s="314">
        <f>+R165/R9</f>
        <v>0.22775672981056833</v>
      </c>
      <c r="S227" s="314">
        <f>+S165/(S9*2)</f>
        <v>0.2814080317302925</v>
      </c>
      <c r="T227" s="13">
        <f>+T165/(T9*2)</f>
        <v>0.19668253771951527</v>
      </c>
      <c r="U227" s="314">
        <f>+U165/U9</f>
        <v>0.20324605824374192</v>
      </c>
      <c r="V227" s="314">
        <f>+V165/(V9*2)</f>
        <v>0.27310369659145461</v>
      </c>
      <c r="W227" s="13">
        <f>+W165/(W9*2)</f>
        <v>0.30649385534886847</v>
      </c>
      <c r="X227" s="314">
        <f>+X165/X9</f>
        <v>0.28927269846300113</v>
      </c>
      <c r="Y227" s="314">
        <f>+Y165/(Y9*2)</f>
        <v>0.38023726256600149</v>
      </c>
      <c r="Z227" s="13">
        <f>+Z165/(Z9*2)</f>
        <v>0.37105551164346079</v>
      </c>
      <c r="AA227" s="314">
        <f>+AA165/AA9</f>
        <v>0.39334514985497904</v>
      </c>
      <c r="AB227" s="314">
        <f>+AB165/(AB9*2)</f>
        <v>0.39552575397660644</v>
      </c>
      <c r="AC227" s="13">
        <f>+AC165/(AC9*2)</f>
        <v>0.49445395970964839</v>
      </c>
      <c r="AD227" s="314">
        <f>+AD165/AD9</f>
        <v>0.51934608794974291</v>
      </c>
      <c r="AE227" s="314">
        <f>+AE165/(AE9*2)</f>
        <v>0.30614440977079521</v>
      </c>
      <c r="AF227" s="13">
        <f>+AF165/(AF9*2)</f>
        <v>0.41330699100656504</v>
      </c>
      <c r="AG227" s="314">
        <f>+AG165/AG9</f>
        <v>0.42255091735398081</v>
      </c>
      <c r="AH227" s="314">
        <f>+AH165/(AH9*2)</f>
        <v>0.3150640721404841</v>
      </c>
      <c r="AI227" s="13">
        <f>+AI165/(AI9*2)</f>
        <v>0.45225710570313948</v>
      </c>
      <c r="AJ227" s="314">
        <f>+AJ165/AJ9</f>
        <v>0.45716163560396228</v>
      </c>
      <c r="AK227" s="314">
        <f>+AK165/(AK9*2)</f>
        <v>0.36151036650736829</v>
      </c>
      <c r="AL227" s="13">
        <f>+AL165/(AL9*2)</f>
        <v>0.46931385121101016</v>
      </c>
      <c r="AM227" s="314">
        <f>+AM165/AM9</f>
        <v>0.47073369565217388</v>
      </c>
      <c r="AN227" s="314">
        <f>+AN165/(AN9*2)</f>
        <v>0.34044615198241696</v>
      </c>
      <c r="AO227" s="13">
        <f>+AO165/(AO9*2)</f>
        <v>0.40609876584557164</v>
      </c>
      <c r="AP227" s="314">
        <f>+AP165/AP9</f>
        <v>0.4127829787234043</v>
      </c>
      <c r="AQ227" s="424">
        <v>0.4</v>
      </c>
      <c r="AR227" s="13">
        <f>+AR165/(AR9*2)</f>
        <v>0.40228010469098202</v>
      </c>
      <c r="AS227" s="308">
        <f>+AP227</f>
        <v>0.4127829787234043</v>
      </c>
      <c r="AT227" s="308">
        <f t="shared" ref="AT227:AU227" si="848">+AS227</f>
        <v>0.4127829787234043</v>
      </c>
      <c r="AU227" s="308">
        <f t="shared" si="848"/>
        <v>0.4127829787234043</v>
      </c>
    </row>
    <row r="228" spans="1:47">
      <c r="B228" s="225" t="s">
        <v>336</v>
      </c>
      <c r="C228" s="5"/>
      <c r="D228" s="5"/>
      <c r="E228" s="5"/>
      <c r="F228" s="281"/>
      <c r="G228" s="281"/>
      <c r="H228" s="5"/>
      <c r="I228" s="281"/>
      <c r="J228" s="281"/>
      <c r="K228" s="5"/>
      <c r="L228" s="281">
        <f t="shared" ref="L228:AU228" si="849">L131+L133-L164-L165</f>
        <v>-9.8659999999999997</v>
      </c>
      <c r="M228" s="281">
        <f t="shared" si="849"/>
        <v>-13.278</v>
      </c>
      <c r="N228" s="89">
        <f t="shared" si="849"/>
        <v>-11.501000000000001</v>
      </c>
      <c r="O228" s="281">
        <f t="shared" si="849"/>
        <v>-11.501000000000001</v>
      </c>
      <c r="P228" s="281">
        <f t="shared" si="849"/>
        <v>-15.45</v>
      </c>
      <c r="Q228" s="89">
        <f t="shared" si="849"/>
        <v>-11.461</v>
      </c>
      <c r="R228" s="281">
        <f t="shared" si="849"/>
        <v>-11.461</v>
      </c>
      <c r="S228" s="281">
        <f t="shared" si="849"/>
        <v>-10.265999999999998</v>
      </c>
      <c r="T228" s="89">
        <f t="shared" si="849"/>
        <v>-8.7750000000000021</v>
      </c>
      <c r="U228" s="281">
        <f t="shared" si="849"/>
        <v>-8.7750000000000021</v>
      </c>
      <c r="V228" s="281">
        <f t="shared" si="849"/>
        <v>-16.670999999999999</v>
      </c>
      <c r="W228" s="89">
        <f t="shared" si="849"/>
        <v>-15.382</v>
      </c>
      <c r="X228" s="281">
        <f t="shared" si="849"/>
        <v>-15.382</v>
      </c>
      <c r="Y228" s="281">
        <f t="shared" si="849"/>
        <v>-18.499000000000002</v>
      </c>
      <c r="Z228" s="89">
        <f t="shared" si="849"/>
        <v>-19.406000000000002</v>
      </c>
      <c r="AA228" s="281">
        <f t="shared" si="849"/>
        <v>-19.406000000000002</v>
      </c>
      <c r="AB228" s="281">
        <f t="shared" si="849"/>
        <v>-22.832000000000001</v>
      </c>
      <c r="AC228" s="89">
        <f t="shared" si="849"/>
        <v>-32.854999999999997</v>
      </c>
      <c r="AD228" s="317">
        <f t="shared" si="849"/>
        <v>-32.854999999999997</v>
      </c>
      <c r="AE228" s="281">
        <f t="shared" si="849"/>
        <v>-27.202999999999999</v>
      </c>
      <c r="AF228" s="89">
        <f t="shared" si="849"/>
        <v>-35.695999999999998</v>
      </c>
      <c r="AG228" s="317">
        <f t="shared" si="849"/>
        <v>-35.695999999999998</v>
      </c>
      <c r="AH228" s="281">
        <f t="shared" si="849"/>
        <v>-28.297000000000001</v>
      </c>
      <c r="AI228" s="89">
        <f t="shared" ref="AI228:AK228" si="850">AI131+AI133-AI164-AI165</f>
        <v>-43.960662849087278</v>
      </c>
      <c r="AJ228" s="317">
        <f t="shared" si="850"/>
        <v>-43.05</v>
      </c>
      <c r="AK228" s="281">
        <f t="shared" si="850"/>
        <v>-35.780999999999999</v>
      </c>
      <c r="AL228" s="89">
        <f t="shared" ref="AL228:AN228" si="851">AL131+AL133-AL164-AL165</f>
        <v>-51.567108582574775</v>
      </c>
      <c r="AM228" s="317">
        <f t="shared" si="851"/>
        <v>-42.777000000000001</v>
      </c>
      <c r="AN228" s="281">
        <f t="shared" si="851"/>
        <v>-38.688000000000002</v>
      </c>
      <c r="AO228" s="89">
        <f t="shared" ref="AO228:AP228" si="852">AO131+AO133-AO164-AO165</f>
        <v>-49.758844997922957</v>
      </c>
      <c r="AP228" s="317">
        <f t="shared" si="852"/>
        <v>-53.944000000000003</v>
      </c>
      <c r="AQ228" s="317">
        <f t="shared" si="849"/>
        <v>-55.33685468110172</v>
      </c>
      <c r="AR228" s="89">
        <f t="shared" si="849"/>
        <v>-58.178157529262947</v>
      </c>
      <c r="AS228" s="317">
        <f t="shared" si="849"/>
        <v>-58.361979041472296</v>
      </c>
      <c r="AT228" s="317">
        <f t="shared" si="849"/>
        <v>-65.323696159964186</v>
      </c>
      <c r="AU228" s="317">
        <f t="shared" si="849"/>
        <v>-72.856917399680398</v>
      </c>
    </row>
    <row r="229" spans="1:47">
      <c r="B229" s="225" t="s">
        <v>337</v>
      </c>
      <c r="C229" s="5"/>
      <c r="D229" s="5"/>
      <c r="E229" s="5"/>
      <c r="F229" s="281"/>
      <c r="G229" s="281"/>
      <c r="H229" s="5"/>
      <c r="I229" s="281"/>
      <c r="J229" s="281"/>
      <c r="K229" s="5"/>
      <c r="L229" s="281">
        <f>I228-L228</f>
        <v>9.8659999999999997</v>
      </c>
      <c r="M229" s="281">
        <f>L228-M228</f>
        <v>3.4120000000000008</v>
      </c>
      <c r="N229" s="89">
        <f>M228-N228</f>
        <v>-1.7769999999999992</v>
      </c>
      <c r="O229" s="281">
        <f>L228-O228</f>
        <v>1.6350000000000016</v>
      </c>
      <c r="P229" s="281">
        <f>O228-P228</f>
        <v>3.9489999999999981</v>
      </c>
      <c r="Q229" s="89">
        <f>P228-Q228</f>
        <v>-3.988999999999999</v>
      </c>
      <c r="R229" s="281">
        <f>O228-R228</f>
        <v>-4.0000000000000924E-2</v>
      </c>
      <c r="S229" s="281">
        <f>R228-S228</f>
        <v>-1.1950000000000021</v>
      </c>
      <c r="T229" s="89">
        <f>S228-T228</f>
        <v>-1.4909999999999961</v>
      </c>
      <c r="U229" s="281">
        <f>R228-U228</f>
        <v>-2.6859999999999982</v>
      </c>
      <c r="V229" s="281">
        <f>U228-V228</f>
        <v>7.8959999999999972</v>
      </c>
      <c r="W229" s="89">
        <f>V228-W228</f>
        <v>-1.2889999999999997</v>
      </c>
      <c r="X229" s="281">
        <f>U228-X228</f>
        <v>6.6069999999999975</v>
      </c>
      <c r="Y229" s="281">
        <f>X228-Y228</f>
        <v>3.1170000000000027</v>
      </c>
      <c r="Z229" s="89">
        <f>Y228-Z228</f>
        <v>0.90700000000000003</v>
      </c>
      <c r="AA229" s="281">
        <f>X228-AA228</f>
        <v>4.0240000000000027</v>
      </c>
      <c r="AB229" s="281">
        <f>AA228-AB228</f>
        <v>3.4259999999999984</v>
      </c>
      <c r="AC229" s="89">
        <f>AB228-AC228</f>
        <v>10.022999999999996</v>
      </c>
      <c r="AD229" s="317">
        <f>AA228-AD228</f>
        <v>13.448999999999995</v>
      </c>
      <c r="AE229" s="281">
        <f>AD228-AE228</f>
        <v>-5.6519999999999975</v>
      </c>
      <c r="AF229" s="89">
        <f>AE228-AF228</f>
        <v>8.4929999999999986</v>
      </c>
      <c r="AG229" s="317">
        <f>AD228-AG228</f>
        <v>2.8410000000000011</v>
      </c>
      <c r="AH229" s="281">
        <f>AG228-AH228</f>
        <v>-7.3989999999999974</v>
      </c>
      <c r="AI229" s="89">
        <f>AH228-AI228</f>
        <v>15.663662849087277</v>
      </c>
      <c r="AJ229" s="317">
        <f>AG228-AJ228</f>
        <v>7.3539999999999992</v>
      </c>
      <c r="AK229" s="281">
        <f>AJ228-AK228</f>
        <v>-7.2689999999999984</v>
      </c>
      <c r="AL229" s="89">
        <f>AK228-AL228</f>
        <v>15.786108582574776</v>
      </c>
      <c r="AM229" s="317">
        <f>AJ228-AM228</f>
        <v>-0.27299999999999613</v>
      </c>
      <c r="AN229" s="281">
        <f>AM228-AN228</f>
        <v>-4.0889999999999986</v>
      </c>
      <c r="AO229" s="89">
        <f>AN228-AO228</f>
        <v>11.070844997922954</v>
      </c>
      <c r="AP229" s="317">
        <f>AM228-AP228</f>
        <v>11.167000000000002</v>
      </c>
      <c r="AQ229" s="317">
        <f>AP228-AQ228</f>
        <v>1.3928546811017171</v>
      </c>
      <c r="AR229" s="89">
        <f>AQ228-AR228</f>
        <v>2.8413028481612272</v>
      </c>
      <c r="AS229" s="317">
        <f>AP228-AS228</f>
        <v>4.417979041472293</v>
      </c>
      <c r="AT229" s="317">
        <f>AS228-AT228</f>
        <v>6.9617171184918902</v>
      </c>
      <c r="AU229" s="317">
        <f>AT228-AU228</f>
        <v>7.5332212397162124</v>
      </c>
    </row>
    <row r="230" spans="1:47">
      <c r="B230" s="225" t="s">
        <v>379</v>
      </c>
      <c r="C230" s="12"/>
      <c r="D230" s="12"/>
      <c r="E230" s="12"/>
      <c r="F230" s="314"/>
      <c r="G230" s="314"/>
      <c r="H230" s="12"/>
      <c r="I230" s="314"/>
      <c r="J230" s="314"/>
      <c r="K230" s="12"/>
      <c r="L230" s="314">
        <f t="shared" ref="L230:AU230" si="853">L228/L9</f>
        <v>-0.20308351001420305</v>
      </c>
      <c r="M230" s="314">
        <f t="shared" si="853"/>
        <v>-0.55320389967502714</v>
      </c>
      <c r="N230" s="13">
        <f t="shared" si="853"/>
        <v>-0.44226110363391663</v>
      </c>
      <c r="O230" s="314">
        <f t="shared" si="853"/>
        <v>-0.22998780170776095</v>
      </c>
      <c r="P230" s="314">
        <f t="shared" si="853"/>
        <v>-0.67807768268597757</v>
      </c>
      <c r="Q230" s="13">
        <f t="shared" si="853"/>
        <v>-0.41881966014982647</v>
      </c>
      <c r="R230" s="314">
        <f t="shared" si="853"/>
        <v>-0.2285343968095713</v>
      </c>
      <c r="S230" s="314">
        <f t="shared" si="853"/>
        <v>-0.33931581556767471</v>
      </c>
      <c r="T230" s="13">
        <f t="shared" si="853"/>
        <v>-0.27130225080385861</v>
      </c>
      <c r="U230" s="314">
        <f t="shared" si="853"/>
        <v>-0.14017795811434691</v>
      </c>
      <c r="V230" s="314">
        <f t="shared" si="853"/>
        <v>-0.50021003360537675</v>
      </c>
      <c r="W230" s="13">
        <f t="shared" si="853"/>
        <v>-0.51648646833657919</v>
      </c>
      <c r="X230" s="314">
        <f t="shared" si="853"/>
        <v>-0.24373316431627318</v>
      </c>
      <c r="Y230" s="314">
        <f t="shared" si="853"/>
        <v>-0.63426592607831045</v>
      </c>
      <c r="Z230" s="13">
        <f t="shared" si="853"/>
        <v>-0.58995561500577609</v>
      </c>
      <c r="AA230" s="314">
        <f t="shared" si="853"/>
        <v>-0.31269738962294558</v>
      </c>
      <c r="AB230" s="314">
        <f t="shared" si="853"/>
        <v>-0.6865321586432932</v>
      </c>
      <c r="AC230" s="13">
        <f t="shared" si="853"/>
        <v>-0.89321153793872143</v>
      </c>
      <c r="AD230" s="308">
        <f t="shared" si="853"/>
        <v>-0.46908909194745851</v>
      </c>
      <c r="AE230" s="314">
        <f t="shared" si="853"/>
        <v>-0.58545141504358111</v>
      </c>
      <c r="AF230" s="13">
        <f t="shared" si="853"/>
        <v>-0.73462163775184708</v>
      </c>
      <c r="AG230" s="308">
        <f t="shared" si="853"/>
        <v>-0.37552600572294226</v>
      </c>
      <c r="AH230" s="314">
        <f t="shared" si="853"/>
        <v>-0.53719981015662088</v>
      </c>
      <c r="AI230" s="13">
        <f t="shared" si="853"/>
        <v>-0.81665730724665209</v>
      </c>
      <c r="AJ230" s="308">
        <f t="shared" si="853"/>
        <v>-0.40420637528754516</v>
      </c>
      <c r="AK230" s="314">
        <f t="shared" si="853"/>
        <v>-0.65017353224428975</v>
      </c>
      <c r="AL230" s="13">
        <f t="shared" si="853"/>
        <v>-0.93136902094342788</v>
      </c>
      <c r="AM230" s="308">
        <f t="shared" si="853"/>
        <v>-0.38747282608695649</v>
      </c>
      <c r="AN230" s="314">
        <f t="shared" ref="AN230:AP230" si="854">AN228/AN9</f>
        <v>-0.66953948393126006</v>
      </c>
      <c r="AO230" s="13">
        <f t="shared" si="854"/>
        <v>-0.83324421852944652</v>
      </c>
      <c r="AP230" s="308">
        <f t="shared" si="854"/>
        <v>-0.45909787234042554</v>
      </c>
      <c r="AQ230" s="308">
        <f t="shared" ref="AQ230:AR230" si="855">AQ228/AQ9</f>
        <v>-0.89667264666874802</v>
      </c>
      <c r="AR230" s="13">
        <f t="shared" si="855"/>
        <v>-0.89473994355892617</v>
      </c>
      <c r="AS230" s="308">
        <f t="shared" si="853"/>
        <v>-0.46050049716433356</v>
      </c>
      <c r="AT230" s="308">
        <f t="shared" si="853"/>
        <v>-0.46240829557257623</v>
      </c>
      <c r="AU230" s="308">
        <f t="shared" si="853"/>
        <v>-0.46416722545298422</v>
      </c>
    </row>
    <row r="231" spans="1:47" hidden="1" outlineLevel="1">
      <c r="B231" s="225" t="s">
        <v>387</v>
      </c>
      <c r="C231" s="5"/>
      <c r="D231" s="5"/>
      <c r="E231" s="5"/>
      <c r="F231" s="281"/>
      <c r="G231" s="281"/>
      <c r="H231" s="5"/>
      <c r="I231" s="281"/>
      <c r="J231" s="281"/>
      <c r="K231" s="5"/>
      <c r="L231" s="281">
        <f>365/(L$9*2/(I$131+L$131))</f>
        <v>28.997293180461497</v>
      </c>
      <c r="M231" s="281">
        <f>182.5/(M$9*2/(J$131+M$131))</f>
        <v>25.144883759686692</v>
      </c>
      <c r="N231" s="89">
        <f>182.5/(N$9*2/(K$131+N$131))</f>
        <v>31.310276869832723</v>
      </c>
      <c r="O231" s="281">
        <f>365/(O$9*2/(L$131+O$131))</f>
        <v>60.734797128402022</v>
      </c>
      <c r="P231" s="281">
        <f>182.5/(P$9*2/(M$131+P$131))</f>
        <v>49.203313583497916</v>
      </c>
      <c r="Q231" s="89">
        <f>182.5/(Q$9*2/(N$131+Q$131))</f>
        <v>52.992691394116569</v>
      </c>
      <c r="R231" s="281">
        <f>365/(R$9*2/(O$131+R$131))</f>
        <v>57.832303090727819</v>
      </c>
      <c r="S231" s="281">
        <f>182.5/(S$9*2/(P$131+S$131))</f>
        <v>53.842174847132711</v>
      </c>
      <c r="T231" s="89">
        <f>182.5/(T$9*2/(Q$131+T$131))</f>
        <v>44.442902856789523</v>
      </c>
      <c r="U231" s="281">
        <f>365/(U$9*2/(R$131+U$131))</f>
        <v>45.926013195098967</v>
      </c>
      <c r="V231" s="281">
        <f>182.5/(V$9*2/(S$131+V$131))</f>
        <v>50.506743578972632</v>
      </c>
      <c r="W231" s="89">
        <f>182.5/(W$9*2/(T$131+W$131))</f>
        <v>54.446058021623806</v>
      </c>
      <c r="X231" s="281">
        <f>365/(X$9*2/(U$131+X$131))</f>
        <v>51.386864205355728</v>
      </c>
      <c r="Y231" s="281">
        <f>182.5/(Y$9*2/(V$131+Y$131))</f>
        <v>45.521754782966468</v>
      </c>
      <c r="Z231" s="89">
        <f>182.5/(Z$9*2/(W$131+Z$131))</f>
        <v>58.019509637015858</v>
      </c>
      <c r="AA231" s="281">
        <f>365/(AA$9*2/(X$131+AA$131))</f>
        <v>61.504793747985815</v>
      </c>
      <c r="AB231" s="281">
        <f>182.5/(AB$9*2/(Y$131+AB$131))</f>
        <v>47.50037586072105</v>
      </c>
      <c r="AC231" s="89">
        <f>182.5/(AC$9*2/(Z$131+AC$131))</f>
        <v>59.37464317755483</v>
      </c>
      <c r="AD231" s="317">
        <f>365/(AD$9*2/(AA$131+AD$131))</f>
        <v>62.363720731010837</v>
      </c>
      <c r="AE231" s="281">
        <f>182.5/(AE$9*2/(AB$131+AE$131))</f>
        <v>35.459162810717743</v>
      </c>
      <c r="AF231" s="89">
        <f>182.5/(AF$9*2/(AC$131+AF$131))</f>
        <v>51.965796135086755</v>
      </c>
      <c r="AG231" s="317">
        <f>365/(AG$9*2/(AD$131+AG$131))</f>
        <v>53.128050833193065</v>
      </c>
      <c r="AH231" s="281">
        <f>182.5/(AH$9*2/(AE$131+AH$131))</f>
        <v>37.920503084954916</v>
      </c>
      <c r="AI231" s="89">
        <f>182.5/(AI$9*2/(AF$131+AI$131))</f>
        <v>49.538144330654141</v>
      </c>
      <c r="AJ231" s="317">
        <f>365/(AJ$9*2/(AG$131+AJ$131))</f>
        <v>57.069269048401488</v>
      </c>
      <c r="AK231" s="317">
        <f>182.5/(AK$9*2/(AH$131+AK$131))</f>
        <v>40.71123235149819</v>
      </c>
      <c r="AL231" s="89">
        <f>182.5/(AL$9*2/(AI$131+AL$131))</f>
        <v>41.883538952068278</v>
      </c>
      <c r="AM231" s="317">
        <f>365/(AM$9*2/(AJ$131+AM$131))</f>
        <v>63.28815670289854</v>
      </c>
      <c r="AN231" s="317">
        <f>182.5/(AN$9*2/(AK$131+AN$131))</f>
        <v>31.69264749147673</v>
      </c>
      <c r="AO231" s="89">
        <f>182.5/(AO$9*2/(AL$131+AO$131))</f>
        <v>31.424225694183942</v>
      </c>
      <c r="AP231" s="317">
        <f>365/(AP$9*2/(AM$131+AP$131))</f>
        <v>39.093829787234036</v>
      </c>
      <c r="AQ231" s="317">
        <f>182.5/(AQ$9*2/(AN$131+AQ$131))</f>
        <v>19.304427121101014</v>
      </c>
      <c r="AR231" s="89">
        <f>182.5/(AR$9*2/(AO$131+AR$131))</f>
        <v>19.075535157589435</v>
      </c>
      <c r="AS231" s="317">
        <f>365/(AS$9*2/(AP$131+AS$131))</f>
        <v>13.28223312167637</v>
      </c>
      <c r="AT231" s="317">
        <f t="shared" ref="AT231:AU231" si="856">365/(AT$9*2/(AS$131+AT$131))</f>
        <v>12.493692523526676</v>
      </c>
      <c r="AU231" s="317">
        <f t="shared" si="856"/>
        <v>11.878851623507574</v>
      </c>
    </row>
    <row r="232" spans="1:47" hidden="1" outlineLevel="1">
      <c r="B232" s="225" t="s">
        <v>389</v>
      </c>
      <c r="C232" s="5"/>
      <c r="D232" s="5"/>
      <c r="E232" s="5"/>
      <c r="F232" s="281"/>
      <c r="G232" s="281"/>
      <c r="H232" s="5"/>
      <c r="I232" s="281"/>
      <c r="J232" s="281"/>
      <c r="K232" s="5"/>
      <c r="L232" s="281" t="e">
        <f t="shared" ref="L232:AN232" si="857">365/(L$9*2/(I$133+L$133))</f>
        <v>#DIV/0!</v>
      </c>
      <c r="M232" s="281" t="e">
        <f t="shared" si="857"/>
        <v>#DIV/0!</v>
      </c>
      <c r="N232" s="89" t="e">
        <f t="shared" si="857"/>
        <v>#DIV/0!</v>
      </c>
      <c r="O232" s="281" t="e">
        <f t="shared" si="857"/>
        <v>#DIV/0!</v>
      </c>
      <c r="P232" s="281" t="e">
        <f t="shared" si="857"/>
        <v>#DIV/0!</v>
      </c>
      <c r="Q232" s="89" t="e">
        <f t="shared" si="857"/>
        <v>#DIV/0!</v>
      </c>
      <c r="R232" s="281" t="e">
        <f t="shared" si="857"/>
        <v>#DIV/0!</v>
      </c>
      <c r="S232" s="281" t="e">
        <f t="shared" si="857"/>
        <v>#DIV/0!</v>
      </c>
      <c r="T232" s="89" t="e">
        <f t="shared" si="857"/>
        <v>#DIV/0!</v>
      </c>
      <c r="U232" s="281" t="e">
        <f t="shared" si="857"/>
        <v>#DIV/0!</v>
      </c>
      <c r="V232" s="281" t="e">
        <f t="shared" si="857"/>
        <v>#DIV/0!</v>
      </c>
      <c r="W232" s="89" t="e">
        <f t="shared" si="857"/>
        <v>#DIV/0!</v>
      </c>
      <c r="X232" s="281" t="e">
        <f t="shared" si="857"/>
        <v>#DIV/0!</v>
      </c>
      <c r="Y232" s="281" t="e">
        <f t="shared" si="857"/>
        <v>#DIV/0!</v>
      </c>
      <c r="Z232" s="89" t="e">
        <f t="shared" si="857"/>
        <v>#DIV/0!</v>
      </c>
      <c r="AA232" s="281" t="e">
        <f t="shared" si="857"/>
        <v>#DIV/0!</v>
      </c>
      <c r="AB232" s="281" t="e">
        <f t="shared" si="857"/>
        <v>#DIV/0!</v>
      </c>
      <c r="AC232" s="89" t="e">
        <f t="shared" si="857"/>
        <v>#DIV/0!</v>
      </c>
      <c r="AD232" s="317" t="e">
        <f t="shared" si="857"/>
        <v>#DIV/0!</v>
      </c>
      <c r="AE232" s="281" t="e">
        <f t="shared" si="857"/>
        <v>#DIV/0!</v>
      </c>
      <c r="AF232" s="89" t="e">
        <f t="shared" si="857"/>
        <v>#DIV/0!</v>
      </c>
      <c r="AG232" s="317" t="e">
        <f t="shared" si="857"/>
        <v>#DIV/0!</v>
      </c>
      <c r="AH232" s="281" t="e">
        <f t="shared" si="857"/>
        <v>#DIV/0!</v>
      </c>
      <c r="AI232" s="89" t="e">
        <f t="shared" si="857"/>
        <v>#DIV/0!</v>
      </c>
      <c r="AJ232" s="317" t="e">
        <f t="shared" si="857"/>
        <v>#DIV/0!</v>
      </c>
      <c r="AK232" s="317" t="e">
        <f t="shared" si="857"/>
        <v>#DIV/0!</v>
      </c>
      <c r="AL232" s="89" t="e">
        <f t="shared" si="857"/>
        <v>#DIV/0!</v>
      </c>
      <c r="AM232" s="317" t="e">
        <f t="shared" si="857"/>
        <v>#DIV/0!</v>
      </c>
      <c r="AN232" s="317" t="e">
        <f t="shared" si="857"/>
        <v>#DIV/0!</v>
      </c>
      <c r="AO232" s="89" t="e">
        <f t="shared" ref="AO232" si="858">365/(AO$9*2/(AL$133+AO$133))</f>
        <v>#DIV/0!</v>
      </c>
      <c r="AP232" s="317" t="e">
        <f t="shared" ref="AP232" si="859">365/(AP$9*2/(AM$133+AP$133))</f>
        <v>#DIV/0!</v>
      </c>
      <c r="AQ232" s="317" t="e">
        <f t="shared" ref="AQ232" si="860">365/(AQ$9*2/(AN$133+AQ$133))</f>
        <v>#DIV/0!</v>
      </c>
      <c r="AR232" s="89" t="e">
        <f t="shared" ref="AR232" si="861">365/(AR$9*2/(AO$133+AR$133))</f>
        <v>#DIV/0!</v>
      </c>
      <c r="AS232" s="317" t="e">
        <f>365/(AS$9*2/(AP$133+AS$133))</f>
        <v>#DIV/0!</v>
      </c>
      <c r="AT232" s="317" t="e">
        <f t="shared" ref="AT232:AU232" si="862">365/(AT$9*2/(AS$133+AT$133))</f>
        <v>#DIV/0!</v>
      </c>
      <c r="AU232" s="317" t="e">
        <f t="shared" si="862"/>
        <v>#DIV/0!</v>
      </c>
    </row>
    <row r="233" spans="1:47" hidden="1" outlineLevel="1">
      <c r="B233" s="225" t="s">
        <v>388</v>
      </c>
      <c r="C233" s="18"/>
      <c r="D233" s="18"/>
      <c r="E233" s="18"/>
      <c r="F233" s="281"/>
      <c r="G233" s="281"/>
      <c r="H233" s="18"/>
      <c r="I233" s="281"/>
      <c r="J233" s="281"/>
      <c r="K233" s="18"/>
      <c r="L233" s="281">
        <f>365/(L$9*2/(I$164+L$164))</f>
        <v>28.681737716391179</v>
      </c>
      <c r="M233" s="281">
        <f>182.5/(M$9*2/(J$164+M$164))</f>
        <v>21.37733313890509</v>
      </c>
      <c r="N233" s="88">
        <f>182.5/(N$9*2/(K$164+N$164))</f>
        <v>24.152038069602</v>
      </c>
      <c r="O233" s="281">
        <f>365/(O$9*2/(L$164+O$164))</f>
        <v>52.983282340472343</v>
      </c>
      <c r="P233" s="281">
        <f>182.5/(P$9*2/(M$164+P$164))</f>
        <v>40.404707044107965</v>
      </c>
      <c r="Q233" s="88">
        <f>182.5/(Q$9*2/(N$164+Q$164))</f>
        <v>46.320253974054452</v>
      </c>
      <c r="R233" s="281">
        <f>365/(R$9*2/(O$164+R$164))</f>
        <v>50.550498504486541</v>
      </c>
      <c r="S233" s="281">
        <f>182.5/(S$9*2/(P$164+S$164))</f>
        <v>29.810444554619075</v>
      </c>
      <c r="T233" s="88">
        <f>182.5/(T$9*2/(Q$164+T$164))</f>
        <v>33.41469824387832</v>
      </c>
      <c r="U233" s="281">
        <f>365/(U$9*2/(R$164+U$164))</f>
        <v>34.529784820843787</v>
      </c>
      <c r="V233" s="281">
        <f>182.5/(V$9*2/(S$164+V$164))</f>
        <v>27.795547287566009</v>
      </c>
      <c r="W233" s="88">
        <f>182.5/(W$9*2/(T$164+W$164))</f>
        <v>33.543919145792771</v>
      </c>
      <c r="X233" s="281">
        <f>365/(X$9*2/(U$164+X$164))</f>
        <v>31.659166534622088</v>
      </c>
      <c r="Y233" s="281">
        <f>182.5/(Y$9*2/(V$164+Y$164))</f>
        <v>29.209010491668383</v>
      </c>
      <c r="Z233" s="88">
        <f>182.5/(Z$9*2/(W$164+Z$164))</f>
        <v>36.162674043898576</v>
      </c>
      <c r="AA233" s="281">
        <f>365/(AA$9*2/(X$164+AA$164))</f>
        <v>38.334998388656139</v>
      </c>
      <c r="AB233" s="281">
        <f>182.5/(AB$9*2/(Y$164+AB$164))</f>
        <v>27.863119042607575</v>
      </c>
      <c r="AC233" s="88">
        <f>182.5/(AC$9*2/(Z$164+AC$164))</f>
        <v>38.22611668433786</v>
      </c>
      <c r="AD233" s="317">
        <f>365/(AD$9*2/(AA$164+AD$164))</f>
        <v>40.150521130782408</v>
      </c>
      <c r="AE233" s="281">
        <f>182.5/(AE$9*2/(AB$164+AE$164))</f>
        <v>26.183928763585495</v>
      </c>
      <c r="AF233" s="88">
        <f>182.5/(AF$9*2/(AC$164+AF$164))</f>
        <v>36.961217097816473</v>
      </c>
      <c r="AG233" s="317">
        <f>365/(AG$9*2/(AD$164+AG$164))</f>
        <v>37.787882932166298</v>
      </c>
      <c r="AH233" s="281">
        <f>182.5/(AH$9*2/(AE$164+AH$164))</f>
        <v>27.280588514475564</v>
      </c>
      <c r="AI233" s="88">
        <f>182.5/(AI$9*2/(AF$164+AI$164))</f>
        <v>33.943875056628777</v>
      </c>
      <c r="AJ233" s="317">
        <f>365/(AJ$9*2/(AG$164+AJ$164))</f>
        <v>39.745434486643823</v>
      </c>
      <c r="AK233" s="317">
        <f>182.5/(AK$9*2/(AH$164+AK$164))</f>
        <v>25.947545109298058</v>
      </c>
      <c r="AL233" s="88">
        <f>182.5/(AL$9*2/(AI$164+AL$164))</f>
        <v>33.42679383564807</v>
      </c>
      <c r="AM233" s="317">
        <f>365/(AM$9*2/(AJ$164+AM$164))</f>
        <v>38.769678442028983</v>
      </c>
      <c r="AN233" s="317">
        <f>182.5/(AN$9*2/(AK$164+AN$164))</f>
        <v>24.325753249225549</v>
      </c>
      <c r="AO233" s="88">
        <f>182.5/(AO$9*2/(AL$164+AO$164))</f>
        <v>32.730629468995431</v>
      </c>
      <c r="AP233" s="317">
        <f>365/(AP$9*2/(AM$164+AP$164))</f>
        <v>33.269361702127668</v>
      </c>
      <c r="AQ233" s="317">
        <f>182.5/(AQ$9*2/(AN$164+AQ$164))</f>
        <v>27.155840905924602</v>
      </c>
      <c r="AR233" s="88">
        <f>182.5/(AR$9*2/(AO$164+AR$164))</f>
        <v>29.068244505039562</v>
      </c>
      <c r="AS233" s="317">
        <f>365/(AS$9*2/(AP$164+AS$164))</f>
        <v>29.82716871436531</v>
      </c>
      <c r="AT233" s="317">
        <f t="shared" ref="AT233:AU233" si="863">365/(AT$9*2/(AS$164+AT$164))</f>
        <v>29.36291110359171</v>
      </c>
      <c r="AU233" s="317">
        <f t="shared" si="863"/>
        <v>29.407553255921258</v>
      </c>
    </row>
    <row r="234" spans="1:47" collapsed="1">
      <c r="B234" s="225"/>
      <c r="C234" s="19"/>
      <c r="D234" s="19"/>
      <c r="E234" s="19"/>
      <c r="F234" s="227"/>
      <c r="G234" s="227"/>
      <c r="H234" s="19"/>
      <c r="I234" s="227"/>
      <c r="J234" s="227"/>
      <c r="K234" s="19"/>
      <c r="L234" s="227"/>
      <c r="M234" s="227"/>
      <c r="N234" s="73"/>
      <c r="O234" s="227"/>
      <c r="P234" s="227"/>
      <c r="Q234" s="73"/>
      <c r="R234" s="227"/>
      <c r="S234" s="227"/>
      <c r="T234" s="73"/>
      <c r="U234" s="227"/>
      <c r="V234" s="227"/>
      <c r="W234" s="73"/>
      <c r="X234" s="227"/>
      <c r="Y234" s="227"/>
      <c r="Z234" s="73"/>
      <c r="AA234" s="227"/>
      <c r="AB234" s="227"/>
      <c r="AC234" s="73"/>
      <c r="AD234" s="336"/>
      <c r="AE234" s="227"/>
      <c r="AF234" s="73"/>
      <c r="AG234" s="336"/>
      <c r="AH234" s="227"/>
      <c r="AI234" s="73"/>
      <c r="AJ234" s="336"/>
      <c r="AK234" s="336"/>
      <c r="AL234" s="73"/>
      <c r="AM234" s="336"/>
      <c r="AN234" s="336"/>
      <c r="AO234" s="73"/>
      <c r="AP234" s="336"/>
      <c r="AQ234" s="336"/>
      <c r="AR234" s="73"/>
      <c r="AS234" s="336"/>
      <c r="AT234" s="336"/>
      <c r="AU234" s="336"/>
    </row>
    <row r="235" spans="1:47" s="54" customFormat="1">
      <c r="A235" s="217"/>
      <c r="B235" s="200" t="s">
        <v>436</v>
      </c>
      <c r="C235" s="201"/>
      <c r="D235" s="201"/>
      <c r="E235" s="201"/>
      <c r="F235" s="280"/>
      <c r="G235" s="280"/>
      <c r="H235" s="201"/>
      <c r="I235" s="280"/>
      <c r="J235" s="280"/>
      <c r="K235" s="201"/>
      <c r="L235" s="280"/>
      <c r="M235" s="280"/>
      <c r="N235" s="201"/>
      <c r="O235" s="280"/>
      <c r="P235" s="280"/>
      <c r="Q235" s="201"/>
      <c r="R235" s="280"/>
      <c r="S235" s="280"/>
      <c r="T235" s="202"/>
      <c r="U235" s="280"/>
      <c r="V235" s="280"/>
      <c r="W235" s="202"/>
      <c r="X235" s="280"/>
      <c r="Y235" s="280"/>
      <c r="Z235" s="202"/>
      <c r="AA235" s="280"/>
      <c r="AB235" s="280"/>
      <c r="AC235" s="202"/>
      <c r="AD235" s="339"/>
      <c r="AE235" s="356"/>
      <c r="AF235" s="202"/>
      <c r="AG235" s="339"/>
      <c r="AH235" s="356"/>
      <c r="AI235" s="202"/>
      <c r="AJ235" s="339"/>
      <c r="AK235" s="339"/>
      <c r="AL235" s="202"/>
      <c r="AM235" s="339"/>
      <c r="AN235" s="339"/>
      <c r="AO235" s="202"/>
      <c r="AP235" s="339"/>
      <c r="AQ235" s="339"/>
      <c r="AR235" s="202"/>
      <c r="AS235" s="339"/>
      <c r="AT235" s="339"/>
      <c r="AU235" s="339"/>
    </row>
    <row r="236" spans="1:47" hidden="1" outlineLevel="1">
      <c r="B236" s="225" t="s">
        <v>338</v>
      </c>
      <c r="C236" s="5"/>
      <c r="D236" s="5"/>
      <c r="E236" s="5"/>
      <c r="F236" s="281"/>
      <c r="G236" s="281"/>
      <c r="H236" s="5"/>
      <c r="I236" s="281"/>
      <c r="J236" s="281"/>
      <c r="K236" s="5"/>
      <c r="L236" s="281"/>
      <c r="M236" s="281"/>
      <c r="N236" s="5"/>
      <c r="O236" s="281"/>
      <c r="P236" s="281"/>
      <c r="Q236" s="5"/>
      <c r="R236" s="281"/>
      <c r="S236" s="281"/>
      <c r="T236" s="89"/>
      <c r="U236" s="281">
        <f>U186+U177+U163-U130-U134-U142-U146-U153-U154-U156</f>
        <v>7.5900000000000034</v>
      </c>
      <c r="V236" s="281"/>
      <c r="W236" s="89"/>
      <c r="X236" s="281">
        <f>X186+X177+X163-X130-X134-X142-X146-X153-X154-X156</f>
        <v>5.6180000000000003</v>
      </c>
      <c r="Y236" s="281"/>
      <c r="Z236" s="89"/>
      <c r="AA236" s="281">
        <f>AA186+AA177+AA163-AA130-AA134-AA142-AA146-AA153-AA154-AA156</f>
        <v>6.1809999999999974</v>
      </c>
      <c r="AB236" s="281"/>
      <c r="AC236" s="89"/>
      <c r="AD236" s="317">
        <f>AD186+AD177+AD163-AD130-AD134-AD142-AD146-AD153-AD154-AD156</f>
        <v>-4.3609999999999971</v>
      </c>
      <c r="AE236" s="317"/>
      <c r="AF236" s="89"/>
      <c r="AG236" s="317">
        <f>AG186+AG177+AG163-AG130-AG134-AG142-AG146-AG153-AG154-AG156</f>
        <v>8.0810000000000031</v>
      </c>
      <c r="AH236" s="317"/>
      <c r="AI236" s="89"/>
      <c r="AJ236" s="317">
        <f>AJ186+AJ177+AJ163-AJ130-AJ134-AJ142-AJ146-AJ153-AJ154-AJ156</f>
        <v>4.936000000000007</v>
      </c>
      <c r="AK236" s="317"/>
      <c r="AL236" s="89"/>
      <c r="AM236" s="317">
        <f t="shared" ref="AM236:AU236" si="864">AM186+AM177+AM163-AM130-AM134-AM142-AM146-AM153-AM154-AM156</f>
        <v>11.937000000000006</v>
      </c>
      <c r="AN236" s="317"/>
      <c r="AO236" s="89"/>
      <c r="AP236" s="317">
        <f t="shared" ref="AP236" si="865">AP186+AP177+AP163-AP130-AP134-AP142-AP146-AP153-AP154-AP156</f>
        <v>8.7749999999999915</v>
      </c>
      <c r="AQ236" s="317"/>
      <c r="AR236" s="89"/>
      <c r="AS236" s="317">
        <f t="shared" si="864"/>
        <v>17.723127745153541</v>
      </c>
      <c r="AT236" s="317">
        <f t="shared" si="864"/>
        <v>14.881390094230872</v>
      </c>
      <c r="AU236" s="317">
        <f t="shared" si="864"/>
        <v>12.520548553493986</v>
      </c>
    </row>
    <row r="237" spans="1:47" s="2" customFormat="1" hidden="1" outlineLevel="1">
      <c r="A237" s="217"/>
      <c r="B237" s="254" t="s">
        <v>433</v>
      </c>
      <c r="C237" s="11"/>
      <c r="D237" s="11"/>
      <c r="E237" s="11"/>
      <c r="F237" s="289"/>
      <c r="G237" s="289"/>
      <c r="H237" s="11"/>
      <c r="I237" s="289"/>
      <c r="J237" s="289"/>
      <c r="K237" s="11"/>
      <c r="L237" s="289"/>
      <c r="M237" s="289"/>
      <c r="N237" s="11"/>
      <c r="O237" s="289"/>
      <c r="P237" s="289"/>
      <c r="Q237" s="11"/>
      <c r="R237" s="289"/>
      <c r="S237" s="289"/>
      <c r="T237" s="67"/>
      <c r="U237" s="289">
        <v>0</v>
      </c>
      <c r="V237" s="289"/>
      <c r="W237" s="67"/>
      <c r="X237" s="289">
        <v>0</v>
      </c>
      <c r="Y237" s="289"/>
      <c r="Z237" s="67"/>
      <c r="AA237" s="289">
        <v>0</v>
      </c>
      <c r="AB237" s="289"/>
      <c r="AC237" s="72"/>
      <c r="AD237" s="305">
        <v>0</v>
      </c>
      <c r="AE237" s="305"/>
      <c r="AF237" s="72"/>
      <c r="AG237" s="305">
        <v>0</v>
      </c>
      <c r="AH237" s="305"/>
      <c r="AI237" s="72"/>
      <c r="AJ237" s="305">
        <v>0</v>
      </c>
      <c r="AK237" s="305"/>
      <c r="AL237" s="72"/>
      <c r="AM237" s="305">
        <v>0</v>
      </c>
      <c r="AN237" s="305"/>
      <c r="AO237" s="72"/>
      <c r="AP237" s="305">
        <v>0</v>
      </c>
      <c r="AQ237" s="305"/>
      <c r="AR237" s="72"/>
      <c r="AS237" s="305">
        <v>0</v>
      </c>
      <c r="AT237" s="305">
        <v>0</v>
      </c>
      <c r="AU237" s="305">
        <v>0</v>
      </c>
    </row>
    <row r="238" spans="1:47" hidden="1" outlineLevel="1">
      <c r="B238" s="225" t="s">
        <v>434</v>
      </c>
      <c r="C238" s="5"/>
      <c r="D238" s="5"/>
      <c r="E238" s="5"/>
      <c r="F238" s="281"/>
      <c r="G238" s="281"/>
      <c r="H238" s="5"/>
      <c r="I238" s="281"/>
      <c r="J238" s="281"/>
      <c r="K238" s="5"/>
      <c r="L238" s="281"/>
      <c r="M238" s="281"/>
      <c r="N238" s="5"/>
      <c r="O238" s="281"/>
      <c r="P238" s="281"/>
      <c r="Q238" s="5"/>
      <c r="R238" s="281"/>
      <c r="S238" s="281"/>
      <c r="T238" s="89"/>
      <c r="U238" s="281">
        <f t="shared" ref="U238:AU238" si="866">SUM(U236:U237)</f>
        <v>7.5900000000000034</v>
      </c>
      <c r="V238" s="281"/>
      <c r="W238" s="89"/>
      <c r="X238" s="281">
        <f t="shared" si="866"/>
        <v>5.6180000000000003</v>
      </c>
      <c r="Y238" s="281"/>
      <c r="Z238" s="89"/>
      <c r="AA238" s="281">
        <f t="shared" si="866"/>
        <v>6.1809999999999974</v>
      </c>
      <c r="AB238" s="281"/>
      <c r="AC238" s="89"/>
      <c r="AD238" s="317">
        <f t="shared" si="866"/>
        <v>-4.3609999999999971</v>
      </c>
      <c r="AE238" s="317"/>
      <c r="AF238" s="89"/>
      <c r="AG238" s="317">
        <f t="shared" ref="AG238" si="867">SUM(AG236:AG237)</f>
        <v>8.0810000000000031</v>
      </c>
      <c r="AH238" s="317"/>
      <c r="AI238" s="89"/>
      <c r="AJ238" s="317">
        <f t="shared" si="866"/>
        <v>4.936000000000007</v>
      </c>
      <c r="AK238" s="317"/>
      <c r="AL238" s="89"/>
      <c r="AM238" s="317">
        <f t="shared" si="866"/>
        <v>11.937000000000006</v>
      </c>
      <c r="AN238" s="317"/>
      <c r="AO238" s="89"/>
      <c r="AP238" s="317">
        <f t="shared" ref="AP238" si="868">SUM(AP236:AP237)</f>
        <v>8.7749999999999915</v>
      </c>
      <c r="AQ238" s="317"/>
      <c r="AR238" s="89"/>
      <c r="AS238" s="317">
        <f t="shared" si="866"/>
        <v>17.723127745153541</v>
      </c>
      <c r="AT238" s="317">
        <f t="shared" si="866"/>
        <v>14.881390094230872</v>
      </c>
      <c r="AU238" s="317">
        <f t="shared" si="866"/>
        <v>12.520548553493986</v>
      </c>
    </row>
    <row r="239" spans="1:47" hidden="1" outlineLevel="1">
      <c r="B239" s="225" t="s">
        <v>339</v>
      </c>
      <c r="C239" s="18"/>
      <c r="D239" s="18"/>
      <c r="E239" s="5"/>
      <c r="F239" s="281"/>
      <c r="G239" s="281"/>
      <c r="H239" s="5"/>
      <c r="I239" s="281"/>
      <c r="J239" s="281"/>
      <c r="K239" s="5"/>
      <c r="L239" s="281"/>
      <c r="M239" s="281"/>
      <c r="N239" s="5"/>
      <c r="O239" s="281"/>
      <c r="P239" s="281"/>
      <c r="Q239" s="5"/>
      <c r="R239" s="281"/>
      <c r="S239" s="281"/>
      <c r="T239" s="88"/>
      <c r="U239" s="281">
        <f>AVERAGE(R236,U236)</f>
        <v>7.5900000000000034</v>
      </c>
      <c r="V239" s="281"/>
      <c r="W239" s="88"/>
      <c r="X239" s="281">
        <f>AVERAGE(U236,X236)</f>
        <v>6.6040000000000019</v>
      </c>
      <c r="Y239" s="281"/>
      <c r="Z239" s="88"/>
      <c r="AA239" s="281">
        <f>AVERAGE(X236,AA236)</f>
        <v>5.8994999999999989</v>
      </c>
      <c r="AB239" s="281"/>
      <c r="AC239" s="88"/>
      <c r="AD239" s="317">
        <f>AVERAGE(AA236,AD236)</f>
        <v>0.91000000000000014</v>
      </c>
      <c r="AE239" s="317"/>
      <c r="AF239" s="88"/>
      <c r="AG239" s="317">
        <f>AVERAGE(AD236,AG236)</f>
        <v>1.860000000000003</v>
      </c>
      <c r="AH239" s="317"/>
      <c r="AI239" s="88"/>
      <c r="AJ239" s="317">
        <f>AVERAGE(AG236,AJ236)</f>
        <v>6.5085000000000051</v>
      </c>
      <c r="AK239" s="317"/>
      <c r="AL239" s="88"/>
      <c r="AM239" s="317">
        <f>AVERAGE(AJ236,AM236)</f>
        <v>8.4365000000000059</v>
      </c>
      <c r="AN239" s="317"/>
      <c r="AO239" s="88"/>
      <c r="AP239" s="317">
        <f>AVERAGE(AM236,AP236)</f>
        <v>10.355999999999998</v>
      </c>
      <c r="AQ239" s="317"/>
      <c r="AR239" s="88"/>
      <c r="AS239" s="317">
        <f>AVERAGE(AP236,AS236)</f>
        <v>13.249063872576766</v>
      </c>
      <c r="AT239" s="317">
        <f>AVERAGE(AS236,AT236)</f>
        <v>16.302258919692207</v>
      </c>
      <c r="AU239" s="317">
        <f>AVERAGE(AT236,AU236)</f>
        <v>13.700969323862429</v>
      </c>
    </row>
    <row r="240" spans="1:47" hidden="1" outlineLevel="1">
      <c r="B240" s="225" t="s">
        <v>435</v>
      </c>
      <c r="C240" s="5"/>
      <c r="D240" s="5"/>
      <c r="E240" s="5"/>
      <c r="F240" s="281"/>
      <c r="G240" s="281"/>
      <c r="H240" s="5"/>
      <c r="I240" s="281"/>
      <c r="J240" s="281"/>
      <c r="K240" s="5"/>
      <c r="L240" s="281"/>
      <c r="M240" s="281"/>
      <c r="N240" s="5"/>
      <c r="O240" s="281"/>
      <c r="P240" s="281"/>
      <c r="Q240" s="5"/>
      <c r="R240" s="281"/>
      <c r="S240" s="281"/>
      <c r="T240" s="89"/>
      <c r="U240" s="281">
        <f>AVERAGE(R238,U238)</f>
        <v>7.5900000000000034</v>
      </c>
      <c r="V240" s="281"/>
      <c r="W240" s="89"/>
      <c r="X240" s="281">
        <f>AVERAGE(U238,X238)</f>
        <v>6.6040000000000019</v>
      </c>
      <c r="Y240" s="281"/>
      <c r="Z240" s="89"/>
      <c r="AA240" s="281">
        <f>AVERAGE(X238,AA238)</f>
        <v>5.8994999999999989</v>
      </c>
      <c r="AB240" s="281"/>
      <c r="AC240" s="89"/>
      <c r="AD240" s="317">
        <f>AVERAGE(AA238,AD238)</f>
        <v>0.91000000000000014</v>
      </c>
      <c r="AE240" s="317"/>
      <c r="AF240" s="89"/>
      <c r="AG240" s="317">
        <f>AVERAGE(AD238,AG238)</f>
        <v>1.860000000000003</v>
      </c>
      <c r="AH240" s="317"/>
      <c r="AI240" s="89"/>
      <c r="AJ240" s="317">
        <f>AVERAGE(AG238,AJ238)</f>
        <v>6.5085000000000051</v>
      </c>
      <c r="AK240" s="317"/>
      <c r="AL240" s="89"/>
      <c r="AM240" s="317">
        <f>AVERAGE(AJ238,AM238)</f>
        <v>8.4365000000000059</v>
      </c>
      <c r="AN240" s="317"/>
      <c r="AO240" s="89"/>
      <c r="AP240" s="317">
        <f>AVERAGE(AM238,AP238)</f>
        <v>10.355999999999998</v>
      </c>
      <c r="AQ240" s="317"/>
      <c r="AR240" s="89"/>
      <c r="AS240" s="317">
        <f>AVERAGE(AP238,AS238)</f>
        <v>13.249063872576766</v>
      </c>
      <c r="AT240" s="317">
        <f>AVERAGE(AS238,AT238)</f>
        <v>16.302258919692207</v>
      </c>
      <c r="AU240" s="317">
        <f>AVERAGE(AT238,AU238)</f>
        <v>13.700969323862429</v>
      </c>
    </row>
    <row r="241" spans="1:47" hidden="1" outlineLevel="1">
      <c r="B241" s="225" t="s">
        <v>178</v>
      </c>
      <c r="C241" s="5"/>
      <c r="D241" s="5"/>
      <c r="E241" s="5"/>
      <c r="F241" s="281"/>
      <c r="G241" s="281"/>
      <c r="H241" s="5"/>
      <c r="I241" s="281"/>
      <c r="J241" s="281"/>
      <c r="K241" s="5"/>
      <c r="L241" s="281"/>
      <c r="M241" s="281"/>
      <c r="N241" s="5"/>
      <c r="O241" s="281"/>
      <c r="P241" s="281"/>
      <c r="Q241" s="5"/>
      <c r="R241" s="281"/>
      <c r="S241" s="281"/>
      <c r="T241" s="89"/>
      <c r="U241" s="281">
        <f>U23</f>
        <v>17.149000000000001</v>
      </c>
      <c r="V241" s="281"/>
      <c r="W241" s="89"/>
      <c r="X241" s="281">
        <f>X23</f>
        <v>17.519000000000005</v>
      </c>
      <c r="Y241" s="281"/>
      <c r="Z241" s="89"/>
      <c r="AA241" s="281">
        <f>AA23</f>
        <v>20.750499999999999</v>
      </c>
      <c r="AB241" s="281"/>
      <c r="AC241" s="89"/>
      <c r="AD241" s="317">
        <f>AD23</f>
        <v>25.104500000000002</v>
      </c>
      <c r="AE241" s="317"/>
      <c r="AF241" s="89"/>
      <c r="AG241" s="317">
        <f>AG23</f>
        <v>37.182000000000002</v>
      </c>
      <c r="AH241" s="317"/>
      <c r="AI241" s="89"/>
      <c r="AJ241" s="317">
        <f>AJ23</f>
        <v>43.209499999999998</v>
      </c>
      <c r="AK241" s="317"/>
      <c r="AL241" s="89"/>
      <c r="AM241" s="317">
        <f>AM23</f>
        <v>40.704000000000001</v>
      </c>
      <c r="AN241" s="317"/>
      <c r="AO241" s="89"/>
      <c r="AP241" s="317">
        <f>AP23</f>
        <v>42.320999999999998</v>
      </c>
      <c r="AQ241" s="317"/>
      <c r="AR241" s="89"/>
      <c r="AS241" s="317">
        <f t="shared" ref="AS241:AU241" si="869">AS23</f>
        <v>47.576499535031843</v>
      </c>
      <c r="AT241" s="317">
        <f t="shared" si="869"/>
        <v>55.154420032438225</v>
      </c>
      <c r="AU241" s="317">
        <f t="shared" si="869"/>
        <v>64.144031013700285</v>
      </c>
    </row>
    <row r="242" spans="1:47" collapsed="1">
      <c r="B242" s="226" t="s">
        <v>340</v>
      </c>
      <c r="C242" s="20"/>
      <c r="D242" s="20"/>
      <c r="E242" s="20"/>
      <c r="F242" s="294"/>
      <c r="G242" s="294"/>
      <c r="H242" s="20"/>
      <c r="I242" s="294"/>
      <c r="J242" s="294"/>
      <c r="K242" s="20"/>
      <c r="L242" s="294"/>
      <c r="M242" s="294"/>
      <c r="N242" s="20"/>
      <c r="O242" s="294"/>
      <c r="P242" s="294"/>
      <c r="Q242" s="20"/>
      <c r="R242" s="294"/>
      <c r="S242" s="294"/>
      <c r="T242" s="64"/>
      <c r="U242" s="294"/>
      <c r="V242" s="294"/>
      <c r="W242" s="64"/>
      <c r="X242" s="294"/>
      <c r="Y242" s="294"/>
      <c r="Z242" s="64"/>
      <c r="AA242" s="294"/>
      <c r="AB242" s="294"/>
      <c r="AC242" s="64"/>
      <c r="AD242" s="343"/>
      <c r="AE242" s="343"/>
      <c r="AF242" s="64"/>
      <c r="AG242" s="343"/>
      <c r="AH242" s="343"/>
      <c r="AI242" s="64"/>
      <c r="AJ242" s="343"/>
      <c r="AK242" s="343"/>
      <c r="AL242" s="64"/>
      <c r="AM242" s="343"/>
      <c r="AN242" s="343"/>
      <c r="AO242" s="64"/>
      <c r="AP242" s="343"/>
      <c r="AQ242" s="343"/>
      <c r="AR242" s="64"/>
      <c r="AS242" s="343"/>
      <c r="AT242" s="343"/>
      <c r="AU242" s="343"/>
    </row>
    <row r="243" spans="1:47">
      <c r="B243" s="225" t="s">
        <v>437</v>
      </c>
      <c r="C243" s="17"/>
      <c r="D243" s="17"/>
      <c r="E243" s="17"/>
      <c r="F243" s="295"/>
      <c r="G243" s="295"/>
      <c r="H243" s="17"/>
      <c r="I243" s="295"/>
      <c r="J243" s="295"/>
      <c r="K243" s="17"/>
      <c r="L243" s="295"/>
      <c r="M243" s="295"/>
      <c r="N243" s="17"/>
      <c r="O243" s="295"/>
      <c r="P243" s="295"/>
      <c r="Q243" s="17"/>
      <c r="R243" s="295"/>
      <c r="S243" s="295"/>
      <c r="T243" s="29"/>
      <c r="U243" s="295">
        <f t="shared" ref="U243:AU243" si="870">U241/U239</f>
        <v>2.2594202898550715</v>
      </c>
      <c r="V243" s="295"/>
      <c r="W243" s="29"/>
      <c r="X243" s="295">
        <f t="shared" si="870"/>
        <v>2.652786190187765</v>
      </c>
      <c r="Y243" s="295"/>
      <c r="Z243" s="29"/>
      <c r="AA243" s="295">
        <f t="shared" si="870"/>
        <v>3.5173319772862111</v>
      </c>
      <c r="AB243" s="295"/>
      <c r="AC243" s="29"/>
      <c r="AD243" s="306">
        <f t="shared" si="870"/>
        <v>27.587362637362634</v>
      </c>
      <c r="AE243" s="306"/>
      <c r="AF243" s="29"/>
      <c r="AG243" s="306">
        <f t="shared" ref="AG243" si="871">AG241/AG239</f>
        <v>19.990322580645131</v>
      </c>
      <c r="AH243" s="306"/>
      <c r="AI243" s="29"/>
      <c r="AJ243" s="306">
        <f t="shared" si="870"/>
        <v>6.6389337020818875</v>
      </c>
      <c r="AK243" s="306"/>
      <c r="AL243" s="29"/>
      <c r="AM243" s="306">
        <f t="shared" si="870"/>
        <v>4.8247495999525833</v>
      </c>
      <c r="AN243" s="306"/>
      <c r="AO243" s="29"/>
      <c r="AP243" s="306">
        <f t="shared" ref="AP243" si="872">AP241/AP239</f>
        <v>4.086616454229433</v>
      </c>
      <c r="AQ243" s="306"/>
      <c r="AR243" s="29"/>
      <c r="AS243" s="306">
        <f t="shared" si="870"/>
        <v>3.5909329136458341</v>
      </c>
      <c r="AT243" s="306">
        <f t="shared" si="870"/>
        <v>3.3832378877147389</v>
      </c>
      <c r="AU243" s="306">
        <f t="shared" si="870"/>
        <v>4.6817148113734692</v>
      </c>
    </row>
    <row r="244" spans="1:47">
      <c r="B244" s="225" t="s">
        <v>438</v>
      </c>
      <c r="C244" s="17"/>
      <c r="D244" s="17"/>
      <c r="E244" s="17"/>
      <c r="F244" s="295"/>
      <c r="G244" s="295"/>
      <c r="H244" s="17"/>
      <c r="I244" s="295"/>
      <c r="J244" s="295"/>
      <c r="K244" s="17"/>
      <c r="L244" s="295"/>
      <c r="M244" s="295"/>
      <c r="N244" s="17"/>
      <c r="O244" s="295"/>
      <c r="P244" s="295"/>
      <c r="Q244" s="17"/>
      <c r="R244" s="295"/>
      <c r="S244" s="295"/>
      <c r="T244" s="29"/>
      <c r="U244" s="295">
        <f t="shared" ref="U244:AU244" si="873">U241/U240</f>
        <v>2.2594202898550715</v>
      </c>
      <c r="V244" s="295"/>
      <c r="W244" s="29"/>
      <c r="X244" s="295">
        <f t="shared" si="873"/>
        <v>2.652786190187765</v>
      </c>
      <c r="Y244" s="295"/>
      <c r="Z244" s="29"/>
      <c r="AA244" s="295">
        <f t="shared" si="873"/>
        <v>3.5173319772862111</v>
      </c>
      <c r="AB244" s="295"/>
      <c r="AC244" s="29"/>
      <c r="AD244" s="306">
        <f t="shared" si="873"/>
        <v>27.587362637362634</v>
      </c>
      <c r="AE244" s="306"/>
      <c r="AF244" s="29"/>
      <c r="AG244" s="306">
        <f t="shared" ref="AG244" si="874">AG241/AG240</f>
        <v>19.990322580645131</v>
      </c>
      <c r="AH244" s="306"/>
      <c r="AI244" s="29"/>
      <c r="AJ244" s="306">
        <f t="shared" si="873"/>
        <v>6.6389337020818875</v>
      </c>
      <c r="AK244" s="306"/>
      <c r="AL244" s="29"/>
      <c r="AM244" s="306">
        <f t="shared" si="873"/>
        <v>4.8247495999525833</v>
      </c>
      <c r="AN244" s="306"/>
      <c r="AO244" s="29"/>
      <c r="AP244" s="306">
        <f t="shared" ref="AP244" si="875">AP241/AP240</f>
        <v>4.086616454229433</v>
      </c>
      <c r="AQ244" s="306"/>
      <c r="AR244" s="29"/>
      <c r="AS244" s="306">
        <f t="shared" si="873"/>
        <v>3.5909329136458341</v>
      </c>
      <c r="AT244" s="306">
        <f t="shared" si="873"/>
        <v>3.3832378877147389</v>
      </c>
      <c r="AU244" s="306">
        <f t="shared" si="873"/>
        <v>4.6817148113734692</v>
      </c>
    </row>
    <row r="245" spans="1:47">
      <c r="B245" s="225"/>
      <c r="C245" s="35"/>
      <c r="D245" s="35"/>
      <c r="E245" s="35"/>
      <c r="F245" s="314"/>
      <c r="G245" s="314"/>
      <c r="H245" s="35"/>
      <c r="I245" s="314"/>
      <c r="J245" s="314"/>
      <c r="K245" s="35"/>
      <c r="L245" s="314"/>
      <c r="M245" s="314"/>
      <c r="N245" s="35"/>
      <c r="O245" s="314"/>
      <c r="P245" s="314"/>
      <c r="Q245" s="35"/>
      <c r="R245" s="314"/>
      <c r="S245" s="314"/>
      <c r="T245" s="30"/>
      <c r="U245" s="314"/>
      <c r="V245" s="314"/>
      <c r="W245" s="30"/>
      <c r="X245" s="314"/>
      <c r="Y245" s="314"/>
      <c r="Z245" s="30"/>
      <c r="AA245" s="314"/>
      <c r="AB245" s="314"/>
      <c r="AC245" s="30"/>
      <c r="AD245" s="308"/>
      <c r="AE245" s="308"/>
      <c r="AF245" s="30"/>
      <c r="AG245" s="308"/>
      <c r="AH245" s="308"/>
      <c r="AI245" s="30"/>
      <c r="AJ245" s="308"/>
      <c r="AK245" s="308"/>
      <c r="AL245" s="30"/>
      <c r="AM245" s="308"/>
      <c r="AN245" s="308"/>
      <c r="AO245" s="30"/>
      <c r="AP245" s="308"/>
      <c r="AQ245" s="308"/>
      <c r="AR245" s="30"/>
      <c r="AS245" s="308"/>
      <c r="AT245" s="308"/>
      <c r="AU245" s="308"/>
    </row>
    <row r="246" spans="1:47" s="516" customFormat="1">
      <c r="A246" s="217"/>
      <c r="B246" s="515" t="s">
        <v>1180</v>
      </c>
      <c r="C246" s="16"/>
      <c r="D246" s="16"/>
      <c r="E246" s="16"/>
      <c r="F246" s="306"/>
      <c r="G246" s="306"/>
      <c r="H246" s="16"/>
      <c r="I246" s="306"/>
      <c r="J246" s="306"/>
      <c r="K246" s="16"/>
      <c r="L246" s="306"/>
      <c r="M246" s="306"/>
      <c r="N246" s="16"/>
      <c r="O246" s="306"/>
      <c r="P246" s="306"/>
      <c r="Q246" s="16"/>
      <c r="R246" s="306"/>
      <c r="S246" s="306"/>
      <c r="T246" s="29"/>
      <c r="U246" s="306"/>
      <c r="V246" s="306"/>
      <c r="W246" s="29"/>
      <c r="X246" s="306"/>
      <c r="Y246" s="306"/>
      <c r="Z246" s="29"/>
      <c r="AA246" s="306"/>
      <c r="AB246" s="306"/>
      <c r="AC246" s="29"/>
      <c r="AD246" s="306"/>
      <c r="AE246" s="306"/>
      <c r="AF246" s="29"/>
      <c r="AG246" s="306"/>
      <c r="AH246" s="306"/>
      <c r="AI246" s="29"/>
      <c r="AJ246" s="306"/>
      <c r="AK246" s="306"/>
      <c r="AL246" s="29"/>
      <c r="AM246" s="306"/>
      <c r="AN246" s="306"/>
      <c r="AO246" s="29"/>
      <c r="AP246" s="306"/>
      <c r="AQ246" s="306"/>
      <c r="AR246" s="29"/>
      <c r="AS246" s="306"/>
      <c r="AT246" s="306"/>
      <c r="AU246" s="306"/>
    </row>
    <row r="247" spans="1:47" s="516" customFormat="1">
      <c r="A247" s="217"/>
      <c r="B247" s="517" t="s">
        <v>1181</v>
      </c>
      <c r="C247" s="16"/>
      <c r="D247" s="16"/>
      <c r="E247" s="16"/>
      <c r="F247" s="306"/>
      <c r="G247" s="306"/>
      <c r="H247" s="16"/>
      <c r="I247" s="306"/>
      <c r="J247" s="306"/>
      <c r="K247" s="16"/>
      <c r="L247" s="518">
        <f t="shared" ref="L247:AU247" si="876">+L186</f>
        <v>11.981999999999999</v>
      </c>
      <c r="M247" s="518">
        <f t="shared" si="876"/>
        <v>12.149000000000001</v>
      </c>
      <c r="N247" s="519">
        <f t="shared" si="876"/>
        <v>15.622</v>
      </c>
      <c r="O247" s="518">
        <f t="shared" si="876"/>
        <v>15.622</v>
      </c>
      <c r="P247" s="518">
        <f t="shared" si="876"/>
        <v>13.927</v>
      </c>
      <c r="Q247" s="519">
        <f t="shared" si="876"/>
        <v>17.96</v>
      </c>
      <c r="R247" s="518">
        <f t="shared" si="876"/>
        <v>17.96</v>
      </c>
      <c r="S247" s="518">
        <f t="shared" si="876"/>
        <v>17.556999999999999</v>
      </c>
      <c r="T247" s="520">
        <f t="shared" si="876"/>
        <v>21.334000000000003</v>
      </c>
      <c r="U247" s="518">
        <f t="shared" si="876"/>
        <v>21.334000000000003</v>
      </c>
      <c r="V247" s="518">
        <f t="shared" si="876"/>
        <v>20.734999999999999</v>
      </c>
      <c r="W247" s="520">
        <f t="shared" si="876"/>
        <v>24.727999999999998</v>
      </c>
      <c r="X247" s="518">
        <f t="shared" si="876"/>
        <v>24.727999999999998</v>
      </c>
      <c r="Y247" s="518">
        <f t="shared" si="876"/>
        <v>23.718</v>
      </c>
      <c r="Z247" s="520">
        <f t="shared" si="876"/>
        <v>30.15</v>
      </c>
      <c r="AA247" s="518">
        <f t="shared" si="876"/>
        <v>30.15</v>
      </c>
      <c r="AB247" s="518">
        <f t="shared" si="876"/>
        <v>29.855</v>
      </c>
      <c r="AC247" s="520">
        <f t="shared" si="876"/>
        <v>35.343000000000004</v>
      </c>
      <c r="AD247" s="518">
        <f t="shared" si="876"/>
        <v>35.343000000000004</v>
      </c>
      <c r="AE247" s="518">
        <f t="shared" si="876"/>
        <v>36.561</v>
      </c>
      <c r="AF247" s="520">
        <f t="shared" si="876"/>
        <v>46.951000000000001</v>
      </c>
      <c r="AG247" s="518">
        <f t="shared" si="876"/>
        <v>46.951000000000001</v>
      </c>
      <c r="AH247" s="518">
        <f t="shared" si="876"/>
        <v>48.598000000000006</v>
      </c>
      <c r="AI247" s="520">
        <f t="shared" si="876"/>
        <v>61.957000000000001</v>
      </c>
      <c r="AJ247" s="518">
        <f t="shared" si="876"/>
        <v>61.957000000000001</v>
      </c>
      <c r="AK247" s="518">
        <f t="shared" si="876"/>
        <v>63.332000000000001</v>
      </c>
      <c r="AL247" s="520">
        <f t="shared" si="876"/>
        <v>73.549000000000007</v>
      </c>
      <c r="AM247" s="518">
        <f t="shared" si="876"/>
        <v>73.549000000000007</v>
      </c>
      <c r="AN247" s="518">
        <f t="shared" ref="AN247:AP247" si="877">+AN186</f>
        <v>77.11699999999999</v>
      </c>
      <c r="AO247" s="520">
        <f t="shared" si="877"/>
        <v>92.300999999999988</v>
      </c>
      <c r="AP247" s="518">
        <f t="shared" si="877"/>
        <v>92.300999999999988</v>
      </c>
      <c r="AQ247" s="518">
        <f t="shared" si="876"/>
        <v>90.929888000699719</v>
      </c>
      <c r="AR247" s="520">
        <f t="shared" si="876"/>
        <v>109.39373364902008</v>
      </c>
      <c r="AS247" s="518">
        <f t="shared" si="876"/>
        <v>109.39373364902008</v>
      </c>
      <c r="AT247" s="518">
        <f t="shared" si="876"/>
        <v>131.99215150138809</v>
      </c>
      <c r="AU247" s="518">
        <f t="shared" si="876"/>
        <v>158.80615221155659</v>
      </c>
    </row>
    <row r="248" spans="1:47" s="516" customFormat="1">
      <c r="A248" s="217"/>
      <c r="B248" s="517" t="s">
        <v>1182</v>
      </c>
      <c r="C248" s="16"/>
      <c r="D248" s="16"/>
      <c r="E248" s="16"/>
      <c r="F248" s="306"/>
      <c r="G248" s="306"/>
      <c r="H248" s="16"/>
      <c r="I248" s="306"/>
      <c r="J248" s="306"/>
      <c r="K248" s="16"/>
      <c r="L248" s="306"/>
      <c r="M248" s="518"/>
      <c r="N248" s="519"/>
      <c r="O248" s="518">
        <f>+AVERAGE(O247,L247)</f>
        <v>13.802</v>
      </c>
      <c r="P248" s="518"/>
      <c r="Q248" s="519"/>
      <c r="R248" s="518">
        <f>+AVERAGE(R247,O247)</f>
        <v>16.791</v>
      </c>
      <c r="S248" s="518"/>
      <c r="T248" s="519"/>
      <c r="U248" s="518">
        <f>+AVERAGE(U247,R247)</f>
        <v>19.647000000000002</v>
      </c>
      <c r="V248" s="518"/>
      <c r="W248" s="519"/>
      <c r="X248" s="518">
        <f>+AVERAGE(X247,U247)</f>
        <v>23.030999999999999</v>
      </c>
      <c r="Y248" s="518"/>
      <c r="Z248" s="519"/>
      <c r="AA248" s="518">
        <f>+AVERAGE(AA247,X247)</f>
        <v>27.439</v>
      </c>
      <c r="AB248" s="518"/>
      <c r="AC248" s="519"/>
      <c r="AD248" s="518">
        <f>+AVERAGE(AD247,AA247)</f>
        <v>32.746499999999997</v>
      </c>
      <c r="AE248" s="518"/>
      <c r="AF248" s="519"/>
      <c r="AG248" s="518">
        <f>+AVERAGE(AG247,AD247)</f>
        <v>41.147000000000006</v>
      </c>
      <c r="AH248" s="518"/>
      <c r="AI248" s="519"/>
      <c r="AJ248" s="518">
        <f>+AVERAGE(AJ247,AG247)</f>
        <v>54.454000000000001</v>
      </c>
      <c r="AK248" s="518"/>
      <c r="AL248" s="519"/>
      <c r="AM248" s="518">
        <f>+AVERAGE(AM247,AJ247)</f>
        <v>67.753</v>
      </c>
      <c r="AN248" s="518"/>
      <c r="AO248" s="519"/>
      <c r="AP248" s="518">
        <f>+AVERAGE(AP247,AM247)</f>
        <v>82.924999999999997</v>
      </c>
      <c r="AQ248" s="518"/>
      <c r="AR248" s="519"/>
      <c r="AS248" s="518">
        <f>+AVERAGE(AP247:AS247)</f>
        <v>100.50458882468496</v>
      </c>
      <c r="AT248" s="518">
        <f t="shared" ref="AT248:AU248" si="878">+AVERAGE(AS247:AT247)</f>
        <v>120.69294257520409</v>
      </c>
      <c r="AU248" s="518">
        <f t="shared" si="878"/>
        <v>145.39915185647234</v>
      </c>
    </row>
    <row r="249" spans="1:47" s="516" customFormat="1">
      <c r="A249" s="217"/>
      <c r="B249" s="517" t="s">
        <v>1183</v>
      </c>
      <c r="C249" s="16"/>
      <c r="D249" s="16"/>
      <c r="E249" s="16"/>
      <c r="F249" s="306"/>
      <c r="G249" s="306"/>
      <c r="H249" s="16"/>
      <c r="I249" s="306"/>
      <c r="J249" s="306"/>
      <c r="K249" s="16"/>
      <c r="L249" s="306"/>
      <c r="M249" s="518"/>
      <c r="N249" s="519"/>
      <c r="O249" s="518">
        <f>+O51</f>
        <v>4.4700000000000006</v>
      </c>
      <c r="P249" s="518"/>
      <c r="Q249" s="519"/>
      <c r="R249" s="518">
        <f>+R51</f>
        <v>5.2629999999999999</v>
      </c>
      <c r="S249" s="518"/>
      <c r="T249" s="519"/>
      <c r="U249" s="518">
        <f>+U51</f>
        <v>8.202</v>
      </c>
      <c r="V249" s="518"/>
      <c r="W249" s="519"/>
      <c r="X249" s="518">
        <f>+X51</f>
        <v>7.3800000000000008</v>
      </c>
      <c r="Y249" s="518"/>
      <c r="Z249" s="519"/>
      <c r="AA249" s="518">
        <f>+AA51</f>
        <v>9.0500000000000007</v>
      </c>
      <c r="AB249" s="518"/>
      <c r="AC249" s="519"/>
      <c r="AD249" s="518">
        <f>+AD51</f>
        <v>11.024999999999999</v>
      </c>
      <c r="AE249" s="518"/>
      <c r="AF249" s="519"/>
      <c r="AG249" s="518">
        <f>+AG51</f>
        <v>16.085999999999999</v>
      </c>
      <c r="AH249" s="518"/>
      <c r="AI249" s="519"/>
      <c r="AJ249" s="518">
        <f>+AJ51</f>
        <v>19.479999999999997</v>
      </c>
      <c r="AK249" s="518"/>
      <c r="AL249" s="519"/>
      <c r="AM249" s="518">
        <f t="shared" ref="AM249:AU249" si="879">+AM51</f>
        <v>21.087</v>
      </c>
      <c r="AN249" s="518"/>
      <c r="AO249" s="519"/>
      <c r="AP249" s="518">
        <f t="shared" ref="AP249" si="880">+AP51</f>
        <v>31.33</v>
      </c>
      <c r="AQ249" s="518"/>
      <c r="AR249" s="519"/>
      <c r="AS249" s="518">
        <f t="shared" si="879"/>
        <v>33.258075469020078</v>
      </c>
      <c r="AT249" s="518">
        <f t="shared" si="879"/>
        <v>35.374690518005117</v>
      </c>
      <c r="AU249" s="518">
        <f t="shared" si="879"/>
        <v>41.871923287290116</v>
      </c>
    </row>
    <row r="250" spans="1:47" s="516" customFormat="1">
      <c r="A250" s="217"/>
      <c r="B250" s="517" t="s">
        <v>1180</v>
      </c>
      <c r="C250" s="16"/>
      <c r="D250" s="16"/>
      <c r="E250" s="16"/>
      <c r="F250" s="306"/>
      <c r="G250" s="306"/>
      <c r="H250" s="16"/>
      <c r="I250" s="306"/>
      <c r="J250" s="306"/>
      <c r="K250" s="16"/>
      <c r="L250" s="306"/>
      <c r="M250" s="518"/>
      <c r="N250" s="519"/>
      <c r="O250" s="343">
        <f>+O249/O248</f>
        <v>0.32386610636139695</v>
      </c>
      <c r="P250" s="518"/>
      <c r="Q250" s="519"/>
      <c r="R250" s="343">
        <f>+R249/R248</f>
        <v>0.31344172473348819</v>
      </c>
      <c r="S250" s="518"/>
      <c r="T250" s="519"/>
      <c r="U250" s="343">
        <f>+U249/U248</f>
        <v>0.41746831577340049</v>
      </c>
      <c r="V250" s="518"/>
      <c r="W250" s="519"/>
      <c r="X250" s="343">
        <f>+X249/X248</f>
        <v>0.32043767096522086</v>
      </c>
      <c r="Y250" s="518"/>
      <c r="Z250" s="519"/>
      <c r="AA250" s="343">
        <f>+AA249/AA248</f>
        <v>0.3298225153977915</v>
      </c>
      <c r="AB250" s="518"/>
      <c r="AC250" s="519"/>
      <c r="AD250" s="343">
        <f>+AD249/AD248</f>
        <v>0.33667720214374053</v>
      </c>
      <c r="AE250" s="518"/>
      <c r="AF250" s="519"/>
      <c r="AG250" s="343">
        <f>+AG249/AG248</f>
        <v>0.39093980120057348</v>
      </c>
      <c r="AH250" s="518"/>
      <c r="AI250" s="519"/>
      <c r="AJ250" s="343">
        <f>+AJ249/AJ248</f>
        <v>0.35773313255224587</v>
      </c>
      <c r="AK250" s="518"/>
      <c r="AL250" s="519"/>
      <c r="AM250" s="343">
        <f>+AM249/AM248</f>
        <v>0.31123345091730253</v>
      </c>
      <c r="AN250" s="518"/>
      <c r="AO250" s="519"/>
      <c r="AP250" s="343">
        <f>+AP249/AP248</f>
        <v>0.37781127524871871</v>
      </c>
      <c r="AQ250" s="518"/>
      <c r="AR250" s="519"/>
      <c r="AS250" s="343">
        <f t="shared" ref="AS250:AU250" si="881">+AS249/AS248</f>
        <v>0.33091101469042133</v>
      </c>
      <c r="AT250" s="343">
        <f t="shared" si="881"/>
        <v>0.29309659507193686</v>
      </c>
      <c r="AU250" s="343">
        <f t="shared" si="881"/>
        <v>0.28797914398168628</v>
      </c>
    </row>
    <row r="251" spans="1:47" s="516" customFormat="1">
      <c r="A251" s="217"/>
      <c r="B251" s="517"/>
      <c r="C251" s="30"/>
      <c r="D251" s="30"/>
      <c r="E251" s="30"/>
      <c r="F251" s="308"/>
      <c r="G251" s="308"/>
      <c r="H251" s="30"/>
      <c r="I251" s="308"/>
      <c r="J251" s="308"/>
      <c r="K251" s="30"/>
      <c r="L251" s="308"/>
      <c r="M251" s="308"/>
      <c r="N251" s="30"/>
      <c r="O251" s="308"/>
      <c r="P251" s="308"/>
      <c r="Q251" s="30"/>
      <c r="R251" s="308"/>
      <c r="S251" s="308"/>
      <c r="T251" s="30"/>
      <c r="U251" s="308"/>
      <c r="V251" s="308"/>
      <c r="W251" s="30"/>
      <c r="X251" s="308"/>
      <c r="Y251" s="308"/>
      <c r="Z251" s="30"/>
      <c r="AA251" s="308"/>
      <c r="AB251" s="308"/>
      <c r="AC251" s="30"/>
      <c r="AD251" s="308"/>
      <c r="AE251" s="308"/>
      <c r="AF251" s="30"/>
      <c r="AG251" s="308"/>
      <c r="AH251" s="308"/>
      <c r="AI251" s="30"/>
      <c r="AJ251" s="308"/>
      <c r="AK251" s="308"/>
      <c r="AL251" s="30"/>
      <c r="AM251" s="308"/>
      <c r="AN251" s="308"/>
      <c r="AO251" s="30"/>
      <c r="AP251" s="308"/>
      <c r="AQ251" s="308"/>
      <c r="AR251" s="30"/>
      <c r="AS251" s="308"/>
      <c r="AT251" s="308"/>
      <c r="AU251" s="308"/>
    </row>
    <row r="252" spans="1:47" s="54" customFormat="1">
      <c r="A252" s="217"/>
      <c r="B252" s="200" t="s">
        <v>367</v>
      </c>
      <c r="C252" s="201"/>
      <c r="D252" s="201"/>
      <c r="E252" s="201"/>
      <c r="F252" s="280"/>
      <c r="G252" s="280"/>
      <c r="H252" s="201"/>
      <c r="I252" s="280"/>
      <c r="J252" s="280"/>
      <c r="K252" s="201"/>
      <c r="L252" s="280"/>
      <c r="M252" s="280"/>
      <c r="N252" s="201"/>
      <c r="O252" s="280"/>
      <c r="P252" s="280"/>
      <c r="Q252" s="201"/>
      <c r="R252" s="280"/>
      <c r="S252" s="280"/>
      <c r="T252" s="202"/>
      <c r="U252" s="280"/>
      <c r="V252" s="280"/>
      <c r="W252" s="202"/>
      <c r="X252" s="280"/>
      <c r="Y252" s="280"/>
      <c r="Z252" s="202"/>
      <c r="AA252" s="280"/>
      <c r="AB252" s="280"/>
      <c r="AC252" s="202"/>
      <c r="AD252" s="339"/>
      <c r="AE252" s="356"/>
      <c r="AF252" s="202"/>
      <c r="AG252" s="339"/>
      <c r="AH252" s="356"/>
      <c r="AI252" s="202"/>
      <c r="AJ252" s="339"/>
      <c r="AK252" s="339"/>
      <c r="AL252" s="202"/>
      <c r="AM252" s="339"/>
      <c r="AN252" s="339"/>
      <c r="AO252" s="202"/>
      <c r="AP252" s="339"/>
      <c r="AQ252" s="339"/>
      <c r="AR252" s="202"/>
      <c r="AS252" s="339"/>
      <c r="AT252" s="339"/>
      <c r="AU252" s="339"/>
    </row>
    <row r="253" spans="1:47">
      <c r="B253" s="226" t="s">
        <v>368</v>
      </c>
      <c r="C253" s="1"/>
      <c r="F253" s="227"/>
      <c r="G253" s="227"/>
      <c r="I253" s="227"/>
      <c r="J253" s="227"/>
      <c r="L253" s="227"/>
      <c r="M253" s="227"/>
      <c r="O253" s="227"/>
      <c r="P253" s="227"/>
      <c r="R253" s="227"/>
      <c r="S253" s="227"/>
      <c r="T253" s="73"/>
      <c r="U253" s="227"/>
      <c r="V253" s="227"/>
      <c r="W253" s="73"/>
      <c r="X253" s="227"/>
      <c r="Y253" s="227"/>
      <c r="Z253" s="73"/>
      <c r="AA253" s="227"/>
      <c r="AB253" s="227"/>
      <c r="AC253" s="73"/>
      <c r="AD253" s="336"/>
      <c r="AE253" s="336"/>
      <c r="AF253" s="73"/>
      <c r="AG253" s="336"/>
      <c r="AH253" s="336"/>
      <c r="AI253" s="73"/>
      <c r="AJ253" s="336"/>
      <c r="AK253" s="336"/>
      <c r="AL253" s="73"/>
      <c r="AM253" s="336"/>
      <c r="AN253" s="336"/>
      <c r="AO253" s="73"/>
      <c r="AP253" s="336"/>
      <c r="AQ253" s="336"/>
      <c r="AR253" s="73"/>
      <c r="AS253" s="336"/>
      <c r="AT253" s="336"/>
      <c r="AU253" s="336"/>
    </row>
    <row r="254" spans="1:47">
      <c r="B254" s="225" t="s">
        <v>369</v>
      </c>
      <c r="C254" s="4"/>
      <c r="D254" s="4"/>
      <c r="E254" s="4"/>
      <c r="F254" s="316"/>
      <c r="G254" s="316"/>
      <c r="H254" s="70"/>
      <c r="I254" s="316"/>
      <c r="J254" s="316"/>
      <c r="K254" s="88">
        <f>J257</f>
        <v>0</v>
      </c>
      <c r="L254" s="317">
        <f>I257</f>
        <v>0</v>
      </c>
      <c r="M254" s="317">
        <f>L257</f>
        <v>88.253276999999997</v>
      </c>
      <c r="N254" s="88">
        <f>M257</f>
        <v>90.275277000000003</v>
      </c>
      <c r="O254" s="317">
        <f>L257</f>
        <v>88.253276999999997</v>
      </c>
      <c r="P254" s="317">
        <f>O257</f>
        <v>90.797276999999994</v>
      </c>
      <c r="Q254" s="88">
        <f>P257</f>
        <v>91.027276999999998</v>
      </c>
      <c r="R254" s="317">
        <f>O257</f>
        <v>90.797276999999994</v>
      </c>
      <c r="S254" s="317">
        <f>R257</f>
        <v>91.165169000000006</v>
      </c>
      <c r="T254" s="88">
        <f>S257</f>
        <v>91.468040999999999</v>
      </c>
      <c r="U254" s="317">
        <f>R257</f>
        <v>91.165169000000006</v>
      </c>
      <c r="V254" s="317">
        <f>U257</f>
        <v>91.768040999999997</v>
      </c>
      <c r="W254" s="88">
        <f>V257</f>
        <v>91.868041000000005</v>
      </c>
      <c r="X254" s="317">
        <f>U257</f>
        <v>91.768040999999997</v>
      </c>
      <c r="Y254" s="317">
        <f>X257</f>
        <v>92.443040999999994</v>
      </c>
      <c r="Z254" s="88">
        <f>Y257</f>
        <v>92.684845999999993</v>
      </c>
      <c r="AA254" s="317">
        <f>X257</f>
        <v>92.443040999999994</v>
      </c>
      <c r="AB254" s="317">
        <f>AA257</f>
        <v>92.879112000000006</v>
      </c>
      <c r="AC254" s="88">
        <f>AB257</f>
        <v>92.977870999999993</v>
      </c>
      <c r="AD254" s="317">
        <f>AA257</f>
        <v>92.879112000000006</v>
      </c>
      <c r="AE254" s="317">
        <f>AD257</f>
        <v>93.327871000000002</v>
      </c>
      <c r="AF254" s="88">
        <f>AE257</f>
        <v>94.010371000000006</v>
      </c>
      <c r="AG254" s="317">
        <f>AD257</f>
        <v>93.327871000000002</v>
      </c>
      <c r="AH254" s="317">
        <f>AG257</f>
        <v>94.010371000000006</v>
      </c>
      <c r="AI254" s="88">
        <f>+AH257</f>
        <v>94.411620999999997</v>
      </c>
      <c r="AJ254" s="317">
        <f>AG257</f>
        <v>94.010371000000006</v>
      </c>
      <c r="AK254" s="317">
        <f>AJ257</f>
        <v>94.856117999999995</v>
      </c>
      <c r="AL254" s="88">
        <f>+AK257</f>
        <v>94.856117999999995</v>
      </c>
      <c r="AM254" s="317">
        <f>AJ257</f>
        <v>94.856117999999995</v>
      </c>
      <c r="AN254" s="317">
        <f>AM257</f>
        <v>95.116253</v>
      </c>
      <c r="AO254" s="88">
        <f>+AN257</f>
        <v>95.116253</v>
      </c>
      <c r="AP254" s="317">
        <f>AM257</f>
        <v>95.116253</v>
      </c>
      <c r="AQ254" s="317">
        <f>AP257</f>
        <v>95.090245999999993</v>
      </c>
      <c r="AR254" s="88">
        <f>+AQ257</f>
        <v>95.090245999999993</v>
      </c>
      <c r="AS254" s="317">
        <f>AP257</f>
        <v>95.090245999999993</v>
      </c>
      <c r="AT254" s="317">
        <f>AS257</f>
        <v>95.090245999999993</v>
      </c>
      <c r="AU254" s="317">
        <f>AT257</f>
        <v>95.090245999999993</v>
      </c>
    </row>
    <row r="255" spans="1:47">
      <c r="B255" s="225" t="s">
        <v>370</v>
      </c>
      <c r="C255" s="36"/>
      <c r="D255" s="36"/>
      <c r="E255" s="4"/>
      <c r="F255" s="317"/>
      <c r="G255" s="317"/>
      <c r="H255" s="88"/>
      <c r="I255" s="317"/>
      <c r="J255" s="317"/>
      <c r="K255" s="88"/>
      <c r="L255" s="317"/>
      <c r="M255" s="317"/>
      <c r="N255" s="88"/>
      <c r="O255" s="317"/>
      <c r="P255" s="317"/>
      <c r="Q255" s="88"/>
      <c r="R255" s="317"/>
      <c r="S255" s="317"/>
      <c r="T255" s="88"/>
      <c r="U255" s="317"/>
      <c r="V255" s="317"/>
      <c r="W255" s="88"/>
      <c r="X255" s="317"/>
      <c r="Y255" s="317"/>
      <c r="Z255" s="88"/>
      <c r="AA255" s="317"/>
      <c r="AB255" s="317"/>
      <c r="AC255" s="88"/>
      <c r="AD255" s="317"/>
      <c r="AE255" s="317"/>
      <c r="AF255" s="88"/>
      <c r="AG255" s="317"/>
      <c r="AH255" s="317"/>
      <c r="AI255" s="67"/>
      <c r="AJ255" s="340"/>
      <c r="AK255" s="303"/>
      <c r="AL255" s="88"/>
      <c r="AM255" s="317"/>
      <c r="AN255" s="303"/>
      <c r="AO255" s="88"/>
      <c r="AP255" s="317"/>
      <c r="AQ255" s="303"/>
      <c r="AR255" s="88"/>
      <c r="AS255" s="317"/>
      <c r="AT255" s="317"/>
      <c r="AU255" s="317"/>
    </row>
    <row r="256" spans="1:47">
      <c r="B256" s="225" t="s">
        <v>194</v>
      </c>
      <c r="C256" s="57"/>
      <c r="D256" s="57"/>
      <c r="E256" s="4"/>
      <c r="F256" s="289"/>
      <c r="G256" s="289"/>
      <c r="H256" s="36"/>
      <c r="I256" s="289"/>
      <c r="J256" s="289"/>
      <c r="K256" s="88"/>
      <c r="L256" s="317">
        <f>L257-L254</f>
        <v>88.253276999999997</v>
      </c>
      <c r="M256" s="317">
        <f>M257-M254</f>
        <v>2.0220000000000056</v>
      </c>
      <c r="N256" s="88">
        <f>+O256-M256</f>
        <v>0.52199999999999136</v>
      </c>
      <c r="O256" s="317">
        <f>O257-O254</f>
        <v>2.5439999999999969</v>
      </c>
      <c r="P256" s="317">
        <f>P257-P254</f>
        <v>0.23000000000000398</v>
      </c>
      <c r="Q256" s="88">
        <f>+R256-P256</f>
        <v>0.1378920000000079</v>
      </c>
      <c r="R256" s="317">
        <f>R257-R254</f>
        <v>0.36789200000001188</v>
      </c>
      <c r="S256" s="317">
        <f>S257-S254</f>
        <v>0.30287199999999359</v>
      </c>
      <c r="T256" s="88">
        <f>+U256-S256</f>
        <v>0.29999999999999716</v>
      </c>
      <c r="U256" s="317">
        <f>U257-U254</f>
        <v>0.60287199999999075</v>
      </c>
      <c r="V256" s="317">
        <f>V257-V254</f>
        <v>0.10000000000000853</v>
      </c>
      <c r="W256" s="88">
        <f>+X256-V256</f>
        <v>0.57499999999998863</v>
      </c>
      <c r="X256" s="317">
        <f>X257-X254</f>
        <v>0.67499999999999716</v>
      </c>
      <c r="Y256" s="317">
        <f>Y257-Y254</f>
        <v>0.24180499999999938</v>
      </c>
      <c r="Z256" s="88">
        <f>+AA256-Y256</f>
        <v>0.19426600000001315</v>
      </c>
      <c r="AA256" s="317">
        <f>AA257-AA254</f>
        <v>0.43607100000001253</v>
      </c>
      <c r="AB256" s="317">
        <f>AB257-AB254</f>
        <v>9.8758999999986941E-2</v>
      </c>
      <c r="AC256" s="88">
        <f>+AD256-AB256</f>
        <v>0.35000000000000853</v>
      </c>
      <c r="AD256" s="317">
        <f>AD257-AD254</f>
        <v>0.44875899999999547</v>
      </c>
      <c r="AE256" s="317">
        <f>AE257-AE254</f>
        <v>0.68250000000000455</v>
      </c>
      <c r="AF256" s="88">
        <f>+AG256-AE256</f>
        <v>0</v>
      </c>
      <c r="AG256" s="317">
        <f>AG257-AG254</f>
        <v>0.68250000000000455</v>
      </c>
      <c r="AH256" s="317">
        <f>AH257-AH254</f>
        <v>0.40124999999999034</v>
      </c>
      <c r="AI256" s="88">
        <f>+AJ256-AH256</f>
        <v>0</v>
      </c>
      <c r="AJ256" s="303">
        <f>+AH256</f>
        <v>0.40124999999999034</v>
      </c>
      <c r="AK256" s="340"/>
      <c r="AL256" s="88"/>
      <c r="AM256" s="303">
        <f>+AK256</f>
        <v>0</v>
      </c>
      <c r="AN256" s="340"/>
      <c r="AO256" s="88"/>
      <c r="AP256" s="303">
        <f>+AN256</f>
        <v>0</v>
      </c>
      <c r="AQ256" s="340"/>
      <c r="AR256" s="88"/>
      <c r="AS256" s="340"/>
      <c r="AT256" s="340"/>
      <c r="AU256" s="340"/>
    </row>
    <row r="257" spans="1:47">
      <c r="A257" s="217" t="s">
        <v>1085</v>
      </c>
      <c r="B257" s="254" t="s">
        <v>371</v>
      </c>
      <c r="C257" s="40"/>
      <c r="D257" s="40"/>
      <c r="E257" s="38"/>
      <c r="F257" s="290"/>
      <c r="G257" s="290"/>
      <c r="H257" s="40"/>
      <c r="I257" s="290"/>
      <c r="J257" s="290"/>
      <c r="K257" s="72">
        <f>+L257</f>
        <v>88.253276999999997</v>
      </c>
      <c r="L257" s="359">
        <v>88.253276999999997</v>
      </c>
      <c r="M257" s="359">
        <v>90.275277000000003</v>
      </c>
      <c r="N257" s="72">
        <f>+O257</f>
        <v>90.797276999999994</v>
      </c>
      <c r="O257" s="359">
        <v>90.797276999999994</v>
      </c>
      <c r="P257" s="359">
        <v>91.027276999999998</v>
      </c>
      <c r="Q257" s="72">
        <f>+R257</f>
        <v>91.165169000000006</v>
      </c>
      <c r="R257" s="359">
        <v>91.165169000000006</v>
      </c>
      <c r="S257" s="359">
        <v>91.468040999999999</v>
      </c>
      <c r="T257" s="72">
        <f>+U257</f>
        <v>91.768040999999997</v>
      </c>
      <c r="U257" s="359">
        <v>91.768040999999997</v>
      </c>
      <c r="V257" s="359">
        <v>91.868041000000005</v>
      </c>
      <c r="W257" s="72">
        <f>+X257</f>
        <v>92.443040999999994</v>
      </c>
      <c r="X257" s="359">
        <v>92.443040999999994</v>
      </c>
      <c r="Y257" s="359">
        <v>92.684845999999993</v>
      </c>
      <c r="Z257" s="72">
        <f>+AA257</f>
        <v>92.879112000000006</v>
      </c>
      <c r="AA257" s="359">
        <v>92.879112000000006</v>
      </c>
      <c r="AB257" s="359">
        <v>92.977870999999993</v>
      </c>
      <c r="AC257" s="72">
        <f>+AD257</f>
        <v>93.327871000000002</v>
      </c>
      <c r="AD257" s="511">
        <v>93.327871000000002</v>
      </c>
      <c r="AE257" s="359">
        <v>94.010371000000006</v>
      </c>
      <c r="AF257" s="72">
        <f>+AG257</f>
        <v>94.010371000000006</v>
      </c>
      <c r="AG257" s="511">
        <v>94.010371000000006</v>
      </c>
      <c r="AH257" s="359">
        <v>94.411620999999997</v>
      </c>
      <c r="AI257" s="470">
        <f>SUM(AI254:AI256)</f>
        <v>94.411620999999997</v>
      </c>
      <c r="AJ257" s="359">
        <v>94.856117999999995</v>
      </c>
      <c r="AK257" s="305">
        <f>SUM(AK254:AK256)</f>
        <v>94.856117999999995</v>
      </c>
      <c r="AL257" s="470">
        <f>SUM(AL254:AL256)</f>
        <v>94.856117999999995</v>
      </c>
      <c r="AM257" s="359">
        <v>95.116253</v>
      </c>
      <c r="AN257" s="305">
        <f>SUM(AN254:AN256)</f>
        <v>95.116253</v>
      </c>
      <c r="AO257" s="470">
        <f>SUM(AO254:AO256)</f>
        <v>95.116253</v>
      </c>
      <c r="AP257" s="359">
        <v>95.090245999999993</v>
      </c>
      <c r="AQ257" s="305">
        <f>SUM(AQ254:AQ256)</f>
        <v>95.090245999999993</v>
      </c>
      <c r="AR257" s="470">
        <f>SUM(AR254:AR256)</f>
        <v>95.090245999999993</v>
      </c>
      <c r="AS257" s="305">
        <f t="shared" ref="AS257:AU257" si="882">SUM(AS254:AS256)</f>
        <v>95.090245999999993</v>
      </c>
      <c r="AT257" s="305">
        <f t="shared" si="882"/>
        <v>95.090245999999993</v>
      </c>
      <c r="AU257" s="305">
        <f t="shared" si="882"/>
        <v>95.090245999999993</v>
      </c>
    </row>
    <row r="258" spans="1:47">
      <c r="B258" s="254"/>
      <c r="C258" s="4"/>
      <c r="D258" s="4"/>
      <c r="E258" s="4"/>
      <c r="F258" s="285"/>
      <c r="G258" s="285"/>
      <c r="H258" s="38"/>
      <c r="I258" s="285"/>
      <c r="J258" s="285"/>
      <c r="K258" s="72"/>
      <c r="L258" s="305"/>
      <c r="M258" s="305"/>
      <c r="N258" s="72"/>
      <c r="O258" s="305"/>
      <c r="P258" s="305"/>
      <c r="Q258" s="72"/>
      <c r="R258" s="305"/>
      <c r="S258" s="305"/>
      <c r="T258" s="72"/>
      <c r="U258" s="305"/>
      <c r="V258" s="305"/>
      <c r="W258" s="72"/>
      <c r="X258" s="305"/>
      <c r="Y258" s="305"/>
      <c r="Z258" s="72"/>
      <c r="AA258" s="305"/>
      <c r="AB258" s="305"/>
      <c r="AC258" s="72"/>
      <c r="AD258" s="305"/>
      <c r="AE258" s="305"/>
      <c r="AF258" s="72"/>
      <c r="AG258" s="305"/>
      <c r="AH258" s="305"/>
      <c r="AI258" s="72"/>
      <c r="AJ258" s="305"/>
      <c r="AK258" s="305"/>
      <c r="AL258" s="72"/>
      <c r="AM258" s="305"/>
      <c r="AN258" s="305"/>
      <c r="AO258" s="72"/>
      <c r="AP258" s="305"/>
      <c r="AQ258" s="305"/>
      <c r="AR258" s="72"/>
      <c r="AS258" s="305"/>
      <c r="AT258" s="305"/>
      <c r="AU258" s="305"/>
    </row>
    <row r="259" spans="1:47">
      <c r="B259" s="254" t="s">
        <v>243</v>
      </c>
      <c r="C259" s="3"/>
      <c r="D259" s="3"/>
      <c r="E259" s="3"/>
      <c r="F259" s="285"/>
      <c r="G259" s="285"/>
      <c r="H259" s="38"/>
      <c r="I259" s="285"/>
      <c r="J259" s="285"/>
      <c r="K259" s="69">
        <f>K257</f>
        <v>88.253276999999997</v>
      </c>
      <c r="L259" s="305">
        <f t="shared" ref="L259" si="883">L257</f>
        <v>88.253276999999997</v>
      </c>
      <c r="M259" s="318">
        <f>M257</f>
        <v>90.275277000000003</v>
      </c>
      <c r="N259" s="69">
        <f>N257</f>
        <v>90.797276999999994</v>
      </c>
      <c r="O259" s="305">
        <f t="shared" ref="O259" si="884">O257</f>
        <v>90.797276999999994</v>
      </c>
      <c r="P259" s="318">
        <f>P257</f>
        <v>91.027276999999998</v>
      </c>
      <c r="Q259" s="69">
        <f>Q257</f>
        <v>91.165169000000006</v>
      </c>
      <c r="R259" s="305">
        <f t="shared" ref="R259" si="885">R257</f>
        <v>91.165169000000006</v>
      </c>
      <c r="S259" s="318">
        <f>S257</f>
        <v>91.468040999999999</v>
      </c>
      <c r="T259" s="69">
        <f>T257</f>
        <v>91.768040999999997</v>
      </c>
      <c r="U259" s="305">
        <f t="shared" ref="U259" si="886">U257</f>
        <v>91.768040999999997</v>
      </c>
      <c r="V259" s="318">
        <f>V257</f>
        <v>91.868041000000005</v>
      </c>
      <c r="W259" s="69">
        <f>W257</f>
        <v>92.443040999999994</v>
      </c>
      <c r="X259" s="305">
        <f t="shared" ref="X259" si="887">X257</f>
        <v>92.443040999999994</v>
      </c>
      <c r="Y259" s="318">
        <f>Y257</f>
        <v>92.684845999999993</v>
      </c>
      <c r="Z259" s="69">
        <f>Z257</f>
        <v>92.879112000000006</v>
      </c>
      <c r="AA259" s="305">
        <f t="shared" ref="AA259" si="888">AA257</f>
        <v>92.879112000000006</v>
      </c>
      <c r="AB259" s="318">
        <f>AB257</f>
        <v>92.977870999999993</v>
      </c>
      <c r="AC259" s="69">
        <f>AC257</f>
        <v>93.327871000000002</v>
      </c>
      <c r="AD259" s="305">
        <f t="shared" ref="AD259" si="889">AD257</f>
        <v>93.327871000000002</v>
      </c>
      <c r="AE259" s="318">
        <f>AE257</f>
        <v>94.010371000000006</v>
      </c>
      <c r="AF259" s="69">
        <f>AF257</f>
        <v>94.010371000000006</v>
      </c>
      <c r="AG259" s="305">
        <f t="shared" ref="AG259" si="890">AG257</f>
        <v>94.010371000000006</v>
      </c>
      <c r="AH259" s="318">
        <f>AH257</f>
        <v>94.411620999999997</v>
      </c>
      <c r="AI259" s="69">
        <f>AI257</f>
        <v>94.411620999999997</v>
      </c>
      <c r="AJ259" s="318">
        <f t="shared" ref="AJ259:AU259" si="891">AJ257</f>
        <v>94.856117999999995</v>
      </c>
      <c r="AK259" s="318">
        <f>AK257</f>
        <v>94.856117999999995</v>
      </c>
      <c r="AL259" s="69">
        <f>AL257</f>
        <v>94.856117999999995</v>
      </c>
      <c r="AM259" s="318">
        <f t="shared" si="891"/>
        <v>95.116253</v>
      </c>
      <c r="AN259" s="318">
        <f>AN257</f>
        <v>95.116253</v>
      </c>
      <c r="AO259" s="69">
        <f>AO257</f>
        <v>95.116253</v>
      </c>
      <c r="AP259" s="318">
        <f t="shared" ref="AP259" si="892">AP257</f>
        <v>95.090245999999993</v>
      </c>
      <c r="AQ259" s="318">
        <f>AQ257</f>
        <v>95.090245999999993</v>
      </c>
      <c r="AR259" s="69">
        <f>AR257</f>
        <v>95.090245999999993</v>
      </c>
      <c r="AS259" s="318">
        <f t="shared" si="891"/>
        <v>95.090245999999993</v>
      </c>
      <c r="AT259" s="318">
        <f t="shared" si="891"/>
        <v>95.090245999999993</v>
      </c>
      <c r="AU259" s="318">
        <f t="shared" si="891"/>
        <v>95.090245999999993</v>
      </c>
    </row>
    <row r="260" spans="1:47">
      <c r="B260" s="254" t="s">
        <v>372</v>
      </c>
      <c r="C260" s="44"/>
      <c r="D260" s="44"/>
      <c r="E260" s="5"/>
      <c r="F260" s="318"/>
      <c r="G260" s="318"/>
      <c r="H260" s="69"/>
      <c r="I260" s="318"/>
      <c r="J260" s="318"/>
      <c r="K260" s="70">
        <f>+K257</f>
        <v>88.253276999999997</v>
      </c>
      <c r="L260" s="465">
        <f>+K260</f>
        <v>88.253276999999997</v>
      </c>
      <c r="M260" s="318">
        <f>AVERAGE(M254,M257)</f>
        <v>89.264276999999993</v>
      </c>
      <c r="N260" s="70">
        <f t="shared" ref="N260" si="893">AVERAGE(N254,N257)</f>
        <v>90.536276999999998</v>
      </c>
      <c r="O260" s="465">
        <f>+N260</f>
        <v>90.536276999999998</v>
      </c>
      <c r="P260" s="318">
        <f>AVERAGE(P254,P257)</f>
        <v>90.912276999999989</v>
      </c>
      <c r="Q260" s="70">
        <f t="shared" ref="Q260" si="894">AVERAGE(Q254,Q257)</f>
        <v>91.096223000000009</v>
      </c>
      <c r="R260" s="465">
        <f>+Q260</f>
        <v>91.096223000000009</v>
      </c>
      <c r="S260" s="318">
        <f>AVERAGE(S254,S257)</f>
        <v>91.31660500000001</v>
      </c>
      <c r="T260" s="70">
        <f t="shared" ref="T260" si="895">AVERAGE(T254,T257)</f>
        <v>91.618041000000005</v>
      </c>
      <c r="U260" s="465">
        <f>+T260</f>
        <v>91.618041000000005</v>
      </c>
      <c r="V260" s="318">
        <f>AVERAGE(V254,V257)</f>
        <v>91.818040999999994</v>
      </c>
      <c r="W260" s="70">
        <f t="shared" ref="W260" si="896">AVERAGE(W254,W257)</f>
        <v>92.155540999999999</v>
      </c>
      <c r="X260" s="465">
        <f>+W260</f>
        <v>92.155540999999999</v>
      </c>
      <c r="Y260" s="318">
        <f>AVERAGE(Y254,Y257)</f>
        <v>92.563943499999993</v>
      </c>
      <c r="Z260" s="70">
        <f t="shared" ref="Z260" si="897">AVERAGE(Z254,Z257)</f>
        <v>92.781979000000007</v>
      </c>
      <c r="AA260" s="465">
        <f>+Z260</f>
        <v>92.781979000000007</v>
      </c>
      <c r="AB260" s="318">
        <f>AVERAGE(AB254,AB257)</f>
        <v>92.928491500000007</v>
      </c>
      <c r="AC260" s="70">
        <f t="shared" ref="AC260" si="898">AVERAGE(AC254,AC257)</f>
        <v>93.152871000000005</v>
      </c>
      <c r="AD260" s="465">
        <f>+AC260</f>
        <v>93.152871000000005</v>
      </c>
      <c r="AE260" s="318">
        <f>AVERAGE(AE254,AE257)</f>
        <v>93.669121000000004</v>
      </c>
      <c r="AF260" s="70">
        <f t="shared" ref="AF260" si="899">AVERAGE(AF254,AF257)</f>
        <v>94.010371000000006</v>
      </c>
      <c r="AG260" s="465">
        <f>+AF260</f>
        <v>94.010371000000006</v>
      </c>
      <c r="AH260" s="318">
        <f>AVERAGE(AH254,AH257)</f>
        <v>94.210995999999994</v>
      </c>
      <c r="AI260" s="70">
        <f t="shared" ref="AI260:AU260" si="900">AVERAGE(AI254,AI257)</f>
        <v>94.411620999999997</v>
      </c>
      <c r="AJ260" s="318">
        <f>+AI260</f>
        <v>94.411620999999997</v>
      </c>
      <c r="AK260" s="318">
        <f t="shared" si="900"/>
        <v>94.856117999999995</v>
      </c>
      <c r="AL260" s="70">
        <f t="shared" si="900"/>
        <v>94.856117999999995</v>
      </c>
      <c r="AM260" s="318">
        <f t="shared" si="900"/>
        <v>94.986185500000005</v>
      </c>
      <c r="AN260" s="318">
        <f t="shared" ref="AN260:AP260" si="901">AVERAGE(AN254,AN257)</f>
        <v>95.116253</v>
      </c>
      <c r="AO260" s="70">
        <f t="shared" si="901"/>
        <v>95.116253</v>
      </c>
      <c r="AP260" s="318">
        <f t="shared" si="901"/>
        <v>95.103249500000004</v>
      </c>
      <c r="AQ260" s="318">
        <f t="shared" si="900"/>
        <v>95.090245999999993</v>
      </c>
      <c r="AR260" s="70">
        <f t="shared" si="900"/>
        <v>95.090245999999993</v>
      </c>
      <c r="AS260" s="318">
        <f t="shared" si="900"/>
        <v>95.090245999999993</v>
      </c>
      <c r="AT260" s="318">
        <f t="shared" si="900"/>
        <v>95.090245999999993</v>
      </c>
      <c r="AU260" s="318">
        <f t="shared" si="900"/>
        <v>95.090245999999993</v>
      </c>
    </row>
    <row r="261" spans="1:47">
      <c r="B261" s="254" t="s">
        <v>444</v>
      </c>
      <c r="C261" s="3"/>
      <c r="D261" s="3"/>
      <c r="E261" s="3"/>
      <c r="F261" s="285"/>
      <c r="G261" s="285"/>
      <c r="H261" s="4"/>
      <c r="I261" s="285"/>
      <c r="J261" s="285"/>
      <c r="K261" s="88"/>
      <c r="L261" s="340">
        <v>0</v>
      </c>
      <c r="M261" s="317">
        <f>L261</f>
        <v>0</v>
      </c>
      <c r="N261" s="88"/>
      <c r="O261" s="340">
        <v>0</v>
      </c>
      <c r="P261" s="317">
        <f>O261</f>
        <v>0</v>
      </c>
      <c r="Q261" s="88"/>
      <c r="R261" s="340">
        <v>0</v>
      </c>
      <c r="S261" s="317">
        <f>R261</f>
        <v>0</v>
      </c>
      <c r="T261" s="88"/>
      <c r="U261" s="340">
        <v>0</v>
      </c>
      <c r="V261" s="317">
        <f>U261</f>
        <v>0</v>
      </c>
      <c r="W261" s="88"/>
      <c r="X261" s="340">
        <v>0</v>
      </c>
      <c r="Y261" s="317">
        <f>X261</f>
        <v>0</v>
      </c>
      <c r="Z261" s="88"/>
      <c r="AA261" s="340">
        <v>0</v>
      </c>
      <c r="AB261" s="317">
        <f>AA261</f>
        <v>0</v>
      </c>
      <c r="AC261" s="88"/>
      <c r="AD261" s="340">
        <v>0</v>
      </c>
      <c r="AE261" s="317">
        <f>AD261</f>
        <v>0</v>
      </c>
      <c r="AF261" s="88"/>
      <c r="AG261" s="340">
        <v>0</v>
      </c>
      <c r="AH261" s="317">
        <f>AG261</f>
        <v>0</v>
      </c>
      <c r="AI261" s="88"/>
      <c r="AJ261" s="317">
        <f>AG261</f>
        <v>0</v>
      </c>
      <c r="AK261" s="317">
        <f>AJ261</f>
        <v>0</v>
      </c>
      <c r="AL261" s="88"/>
      <c r="AM261" s="317">
        <f>AJ261</f>
        <v>0</v>
      </c>
      <c r="AN261" s="317">
        <f>AM261</f>
        <v>0</v>
      </c>
      <c r="AO261" s="88"/>
      <c r="AP261" s="317">
        <f>AM261</f>
        <v>0</v>
      </c>
      <c r="AQ261" s="317">
        <f>AP261</f>
        <v>0</v>
      </c>
      <c r="AR261" s="88"/>
      <c r="AS261" s="317">
        <f>AP261</f>
        <v>0</v>
      </c>
      <c r="AT261" s="317">
        <f>AS261</f>
        <v>0</v>
      </c>
      <c r="AU261" s="317">
        <f>AT261</f>
        <v>0</v>
      </c>
    </row>
    <row r="262" spans="1:47">
      <c r="A262" s="217" t="s">
        <v>1086</v>
      </c>
      <c r="B262" s="254" t="s">
        <v>429</v>
      </c>
      <c r="C262" s="44"/>
      <c r="D262" s="44"/>
      <c r="E262" s="5"/>
      <c r="F262" s="317"/>
      <c r="G262" s="317"/>
      <c r="H262" s="89"/>
      <c r="I262" s="317"/>
      <c r="J262" s="317"/>
      <c r="K262" s="72">
        <f>+L262</f>
        <v>88.253276999999997</v>
      </c>
      <c r="L262" s="465">
        <f>+L260+L261</f>
        <v>88.253276999999997</v>
      </c>
      <c r="M262" s="305">
        <f>+M260+M261</f>
        <v>89.264276999999993</v>
      </c>
      <c r="N262" s="72">
        <f>+O262</f>
        <v>90.536276999999998</v>
      </c>
      <c r="O262" s="305">
        <f>+O260+O261</f>
        <v>90.536276999999998</v>
      </c>
      <c r="P262" s="305">
        <f>+P260+P261</f>
        <v>90.912276999999989</v>
      </c>
      <c r="Q262" s="72">
        <f>+R262</f>
        <v>91.096223000000009</v>
      </c>
      <c r="R262" s="305">
        <f>+R260+R261</f>
        <v>91.096223000000009</v>
      </c>
      <c r="S262" s="305">
        <f>+S260+S261</f>
        <v>91.31660500000001</v>
      </c>
      <c r="T262" s="72">
        <f>+U262</f>
        <v>91.618041000000005</v>
      </c>
      <c r="U262" s="305">
        <f>+U260+U261</f>
        <v>91.618041000000005</v>
      </c>
      <c r="V262" s="305">
        <f>+V260+V261</f>
        <v>91.818040999999994</v>
      </c>
      <c r="W262" s="72">
        <f>+X262</f>
        <v>92.155540999999999</v>
      </c>
      <c r="X262" s="305">
        <f>+X260+X261</f>
        <v>92.155540999999999</v>
      </c>
      <c r="Y262" s="305">
        <f>+Y260+Y261</f>
        <v>92.563943499999993</v>
      </c>
      <c r="Z262" s="72">
        <f>+AA262</f>
        <v>92.781979000000007</v>
      </c>
      <c r="AA262" s="305">
        <f>+AA260+AA261</f>
        <v>92.781979000000007</v>
      </c>
      <c r="AB262" s="305">
        <f>+AB260+AB261</f>
        <v>92.928491500000007</v>
      </c>
      <c r="AC262" s="72">
        <f>+AD262</f>
        <v>93.152871000000005</v>
      </c>
      <c r="AD262" s="305">
        <f>+AD260+AD261</f>
        <v>93.152871000000005</v>
      </c>
      <c r="AE262" s="305">
        <f>+AE260+AE261</f>
        <v>93.669121000000004</v>
      </c>
      <c r="AF262" s="72">
        <f>+AG262</f>
        <v>94.010371000000006</v>
      </c>
      <c r="AG262" s="305">
        <f>+AG260+AG261</f>
        <v>94.010371000000006</v>
      </c>
      <c r="AH262" s="305">
        <f>+AH260+AH261</f>
        <v>94.210995999999994</v>
      </c>
      <c r="AI262" s="72">
        <f>+AJ262</f>
        <v>94.411620999999997</v>
      </c>
      <c r="AJ262" s="305">
        <f>+AJ260+AJ261</f>
        <v>94.411620999999997</v>
      </c>
      <c r="AK262" s="317">
        <f t="shared" ref="AK262:AL262" si="902">SUM(AK260:AK261)</f>
        <v>94.856117999999995</v>
      </c>
      <c r="AL262" s="89">
        <f t="shared" si="902"/>
        <v>94.856117999999995</v>
      </c>
      <c r="AM262" s="317">
        <f t="shared" ref="AM262:AU262" si="903">SUM(AM260:AM261)</f>
        <v>94.986185500000005</v>
      </c>
      <c r="AN262" s="317">
        <f t="shared" ref="AN262" si="904">SUM(AN260:AN261)</f>
        <v>95.116253</v>
      </c>
      <c r="AO262" s="89">
        <f t="shared" ref="AO262" si="905">SUM(AO260:AO261)</f>
        <v>95.116253</v>
      </c>
      <c r="AP262" s="317">
        <f t="shared" ref="AP262" si="906">SUM(AP260:AP261)</f>
        <v>95.103249500000004</v>
      </c>
      <c r="AQ262" s="317">
        <f t="shared" si="903"/>
        <v>95.090245999999993</v>
      </c>
      <c r="AR262" s="89">
        <f t="shared" si="903"/>
        <v>95.090245999999993</v>
      </c>
      <c r="AS262" s="317">
        <f t="shared" si="903"/>
        <v>95.090245999999993</v>
      </c>
      <c r="AT262" s="317">
        <f t="shared" si="903"/>
        <v>95.090245999999993</v>
      </c>
      <c r="AU262" s="317">
        <f t="shared" si="903"/>
        <v>95.090245999999993</v>
      </c>
    </row>
    <row r="263" spans="1:47">
      <c r="B263" s="254" t="s">
        <v>164</v>
      </c>
      <c r="C263" s="5"/>
      <c r="D263" s="5"/>
      <c r="E263" s="5"/>
      <c r="F263" s="281"/>
      <c r="G263" s="281"/>
      <c r="H263" s="18"/>
      <c r="I263" s="281"/>
      <c r="J263" s="281"/>
      <c r="K263" s="88"/>
      <c r="L263" s="340">
        <f t="shared" ref="L263" si="907">L262</f>
        <v>88.253276999999997</v>
      </c>
      <c r="M263" s="317">
        <f>M262</f>
        <v>89.264276999999993</v>
      </c>
      <c r="N263" s="88"/>
      <c r="O263" s="340">
        <f t="shared" ref="O263" si="908">O262</f>
        <v>90.536276999999998</v>
      </c>
      <c r="P263" s="317">
        <f>P262</f>
        <v>90.912276999999989</v>
      </c>
      <c r="Q263" s="88"/>
      <c r="R263" s="340">
        <f t="shared" ref="R263" si="909">R262</f>
        <v>91.096223000000009</v>
      </c>
      <c r="S263" s="317">
        <f>S262</f>
        <v>91.31660500000001</v>
      </c>
      <c r="T263" s="88"/>
      <c r="U263" s="340">
        <f t="shared" ref="U263" si="910">U262</f>
        <v>91.618041000000005</v>
      </c>
      <c r="V263" s="317">
        <f>V262</f>
        <v>91.818040999999994</v>
      </c>
      <c r="W263" s="88"/>
      <c r="X263" s="340">
        <f t="shared" ref="X263" si="911">X262</f>
        <v>92.155540999999999</v>
      </c>
      <c r="Y263" s="317">
        <f>Y262</f>
        <v>92.563943499999993</v>
      </c>
      <c r="Z263" s="88"/>
      <c r="AA263" s="340">
        <f t="shared" ref="AA263" si="912">AA262</f>
        <v>92.781979000000007</v>
      </c>
      <c r="AB263" s="317">
        <f>AB262</f>
        <v>92.928491500000007</v>
      </c>
      <c r="AC263" s="88"/>
      <c r="AD263" s="340">
        <f t="shared" ref="AD263" si="913">AD262</f>
        <v>93.152871000000005</v>
      </c>
      <c r="AE263" s="317">
        <f>AE262</f>
        <v>93.669121000000004</v>
      </c>
      <c r="AF263" s="88"/>
      <c r="AG263" s="340">
        <f t="shared" ref="AG263" si="914">AG262</f>
        <v>94.010371000000006</v>
      </c>
      <c r="AH263" s="317">
        <f>AH262</f>
        <v>94.210995999999994</v>
      </c>
      <c r="AI263" s="88">
        <f t="shared" ref="AI263:AL263" si="915">AI262</f>
        <v>94.411620999999997</v>
      </c>
      <c r="AJ263" s="317">
        <f t="shared" si="915"/>
        <v>94.411620999999997</v>
      </c>
      <c r="AK263" s="317">
        <f t="shared" si="915"/>
        <v>94.856117999999995</v>
      </c>
      <c r="AL263" s="88">
        <f t="shared" si="915"/>
        <v>94.856117999999995</v>
      </c>
      <c r="AM263" s="317">
        <f t="shared" ref="AM263:AU263" si="916">AM262</f>
        <v>94.986185500000005</v>
      </c>
      <c r="AN263" s="317">
        <f t="shared" si="916"/>
        <v>95.116253</v>
      </c>
      <c r="AO263" s="88">
        <f t="shared" si="916"/>
        <v>95.116253</v>
      </c>
      <c r="AP263" s="317">
        <f t="shared" ref="AP263" si="917">AP262</f>
        <v>95.103249500000004</v>
      </c>
      <c r="AQ263" s="317">
        <f t="shared" ref="AQ263:AR263" si="918">AQ262</f>
        <v>95.090245999999993</v>
      </c>
      <c r="AR263" s="88">
        <f t="shared" si="918"/>
        <v>95.090245999999993</v>
      </c>
      <c r="AS263" s="317">
        <f t="shared" si="916"/>
        <v>95.090245999999993</v>
      </c>
      <c r="AT263" s="317">
        <f t="shared" si="916"/>
        <v>95.090245999999993</v>
      </c>
      <c r="AU263" s="317">
        <f t="shared" si="916"/>
        <v>95.090245999999993</v>
      </c>
    </row>
    <row r="264" spans="1:47">
      <c r="B264" s="225"/>
      <c r="C264" s="19"/>
      <c r="D264" s="19"/>
      <c r="E264" s="19"/>
      <c r="F264" s="227"/>
      <c r="G264" s="227"/>
      <c r="H264" s="19"/>
      <c r="I264" s="227"/>
      <c r="J264" s="227"/>
      <c r="K264" s="19"/>
      <c r="L264" s="227"/>
      <c r="M264" s="227"/>
      <c r="N264" s="19"/>
      <c r="O264" s="227"/>
      <c r="P264" s="227"/>
      <c r="Q264" s="19"/>
      <c r="R264" s="227"/>
      <c r="S264" s="227"/>
      <c r="T264" s="73"/>
      <c r="U264" s="227"/>
      <c r="V264" s="227"/>
      <c r="W264" s="73"/>
      <c r="X264" s="227"/>
      <c r="Y264" s="227"/>
      <c r="Z264" s="73"/>
      <c r="AA264" s="227"/>
      <c r="AB264" s="227"/>
      <c r="AC264" s="73"/>
      <c r="AD264" s="336"/>
      <c r="AE264" s="336"/>
      <c r="AF264" s="73"/>
      <c r="AG264" s="336"/>
      <c r="AH264" s="336"/>
      <c r="AI264" s="73"/>
      <c r="AJ264" s="336"/>
      <c r="AK264" s="336"/>
      <c r="AL264" s="73"/>
      <c r="AM264" s="336"/>
      <c r="AN264" s="336"/>
      <c r="AO264" s="73"/>
      <c r="AP264" s="336"/>
      <c r="AQ264" s="336"/>
      <c r="AR264" s="73"/>
      <c r="AS264" s="336"/>
      <c r="AT264" s="336"/>
      <c r="AU264" s="336"/>
    </row>
    <row r="265" spans="1:47" s="54" customFormat="1">
      <c r="A265" s="217"/>
      <c r="B265" s="200" t="s">
        <v>373</v>
      </c>
      <c r="C265" s="201"/>
      <c r="D265" s="201"/>
      <c r="E265" s="201"/>
      <c r="F265" s="280"/>
      <c r="G265" s="280"/>
      <c r="H265" s="201"/>
      <c r="I265" s="280"/>
      <c r="J265" s="280"/>
      <c r="K265" s="201"/>
      <c r="L265" s="280"/>
      <c r="M265" s="280"/>
      <c r="N265" s="201"/>
      <c r="O265" s="280"/>
      <c r="P265" s="280"/>
      <c r="Q265" s="201"/>
      <c r="R265" s="280"/>
      <c r="S265" s="280"/>
      <c r="T265" s="202"/>
      <c r="U265" s="280"/>
      <c r="V265" s="280"/>
      <c r="W265" s="202"/>
      <c r="X265" s="280"/>
      <c r="Y265" s="280"/>
      <c r="Z265" s="202"/>
      <c r="AA265" s="280"/>
      <c r="AB265" s="280"/>
      <c r="AC265" s="202"/>
      <c r="AD265" s="339"/>
      <c r="AE265" s="356"/>
      <c r="AF265" s="202"/>
      <c r="AG265" s="339"/>
      <c r="AH265" s="356"/>
      <c r="AI265" s="202"/>
      <c r="AJ265" s="339"/>
      <c r="AK265" s="339"/>
      <c r="AL265" s="202"/>
      <c r="AM265" s="339"/>
      <c r="AN265" s="339"/>
      <c r="AO265" s="202"/>
      <c r="AP265" s="339"/>
      <c r="AQ265" s="339"/>
      <c r="AR265" s="202"/>
      <c r="AS265" s="339"/>
      <c r="AT265" s="339"/>
      <c r="AU265" s="339"/>
    </row>
    <row r="266" spans="1:47">
      <c r="B266" s="226" t="s">
        <v>401</v>
      </c>
      <c r="C266" s="3"/>
      <c r="D266" s="3"/>
      <c r="E266" s="5"/>
      <c r="F266" s="281"/>
      <c r="G266" s="265"/>
      <c r="H266" s="5"/>
      <c r="I266" s="281"/>
      <c r="J266" s="265"/>
      <c r="K266" s="5"/>
      <c r="L266" s="281"/>
      <c r="M266" s="265"/>
      <c r="N266" s="5"/>
      <c r="O266" s="281"/>
      <c r="P266" s="265"/>
      <c r="Q266" s="5"/>
      <c r="R266" s="281"/>
      <c r="S266" s="265"/>
      <c r="T266" s="88"/>
      <c r="U266" s="281"/>
      <c r="V266" s="265"/>
      <c r="W266" s="88"/>
      <c r="X266" s="281"/>
      <c r="Y266" s="265"/>
      <c r="Z266" s="88"/>
      <c r="AA266" s="281"/>
      <c r="AB266" s="265"/>
      <c r="AC266" s="88"/>
      <c r="AD266" s="317"/>
      <c r="AE266" s="317"/>
      <c r="AF266" s="88"/>
      <c r="AG266" s="317"/>
      <c r="AH266" s="317"/>
      <c r="AI266" s="88"/>
      <c r="AJ266" s="317"/>
      <c r="AK266" s="317"/>
      <c r="AL266" s="88"/>
      <c r="AM266" s="317"/>
      <c r="AN266" s="317"/>
      <c r="AO266" s="88"/>
      <c r="AP266" s="317"/>
      <c r="AQ266" s="317"/>
      <c r="AR266" s="88"/>
      <c r="AS266" s="317"/>
      <c r="AT266" s="317"/>
      <c r="AU266" s="317"/>
    </row>
    <row r="267" spans="1:47" outlineLevel="1">
      <c r="B267" s="225" t="s">
        <v>402</v>
      </c>
      <c r="C267" s="5"/>
      <c r="D267" s="5"/>
      <c r="E267" s="5"/>
      <c r="F267" s="281"/>
      <c r="G267" s="281"/>
      <c r="H267" s="18"/>
      <c r="I267" s="281"/>
      <c r="J267" s="281"/>
      <c r="K267" s="18"/>
      <c r="L267" s="281">
        <f>L55</f>
        <v>5.6850000000000005</v>
      </c>
      <c r="M267" s="281">
        <f>M55</f>
        <v>1.677</v>
      </c>
      <c r="N267" s="5">
        <f>O267-M267</f>
        <v>2.7930000000000006</v>
      </c>
      <c r="O267" s="281">
        <f>O55</f>
        <v>4.4700000000000006</v>
      </c>
      <c r="P267" s="281">
        <f>P55</f>
        <v>1.4610000000000001</v>
      </c>
      <c r="Q267" s="5">
        <f>R267-P267</f>
        <v>3.8019999999999996</v>
      </c>
      <c r="R267" s="281">
        <f>R55</f>
        <v>5.2629999999999999</v>
      </c>
      <c r="S267" s="281">
        <f>S55</f>
        <v>3.742</v>
      </c>
      <c r="T267" s="5">
        <f>U267-S267</f>
        <v>4.46</v>
      </c>
      <c r="U267" s="281">
        <f>U55</f>
        <v>8.202</v>
      </c>
      <c r="V267" s="281">
        <f>V55</f>
        <v>4.1099999999999994</v>
      </c>
      <c r="W267" s="5">
        <f>X267-V267</f>
        <v>3.2700000000000014</v>
      </c>
      <c r="X267" s="281">
        <f>X55</f>
        <v>7.3800000000000008</v>
      </c>
      <c r="Y267" s="281">
        <f>Y55</f>
        <v>3.6429999999999998</v>
      </c>
      <c r="Z267" s="5">
        <f>AA267-Y267</f>
        <v>5.4070000000000009</v>
      </c>
      <c r="AA267" s="281">
        <f>AA55</f>
        <v>9.0500000000000007</v>
      </c>
      <c r="AB267" s="281">
        <f>AB55</f>
        <v>4.25</v>
      </c>
      <c r="AC267" s="5">
        <f>AD267-AB267</f>
        <v>6.7749999999999986</v>
      </c>
      <c r="AD267" s="317">
        <f>AD55</f>
        <v>11.024999999999999</v>
      </c>
      <c r="AE267" s="317">
        <f>AE55</f>
        <v>7.2270000000000003</v>
      </c>
      <c r="AF267" s="5">
        <f>AG267-AE267</f>
        <v>8.8589999999999982</v>
      </c>
      <c r="AG267" s="317">
        <f>AG55</f>
        <v>16.085999999999999</v>
      </c>
      <c r="AH267" s="317">
        <f>AH55</f>
        <v>10.115</v>
      </c>
      <c r="AI267" s="5">
        <f>AJ267-AH267</f>
        <v>9.3649999999999967</v>
      </c>
      <c r="AJ267" s="317">
        <f>AJ55</f>
        <v>19.479999999999997</v>
      </c>
      <c r="AK267" s="317">
        <f>AK55</f>
        <v>10.724</v>
      </c>
      <c r="AL267" s="5">
        <f>AM267-AK267</f>
        <v>10.363</v>
      </c>
      <c r="AM267" s="317">
        <f t="shared" ref="AM267:AU267" si="919">AM55</f>
        <v>21.087</v>
      </c>
      <c r="AN267" s="317">
        <f>AN55</f>
        <v>16.402999999999999</v>
      </c>
      <c r="AO267" s="5">
        <f>AP267-AN267</f>
        <v>14.927</v>
      </c>
      <c r="AP267" s="317">
        <f t="shared" ref="AP267" si="920">AP55</f>
        <v>31.33</v>
      </c>
      <c r="AQ267" s="317">
        <f>AQ55</f>
        <v>14.794229820699718</v>
      </c>
      <c r="AR267" s="5">
        <f>AS267-AQ267</f>
        <v>18.463845648320358</v>
      </c>
      <c r="AS267" s="317">
        <f t="shared" si="919"/>
        <v>33.258075469020078</v>
      </c>
      <c r="AT267" s="317">
        <f t="shared" si="919"/>
        <v>35.374690518005117</v>
      </c>
      <c r="AU267" s="317">
        <f t="shared" si="919"/>
        <v>41.871923287290116</v>
      </c>
    </row>
    <row r="268" spans="1:47" outlineLevel="1">
      <c r="B268" s="225" t="s">
        <v>403</v>
      </c>
      <c r="C268" s="5"/>
      <c r="D268" s="5"/>
      <c r="E268" s="5"/>
      <c r="F268" s="281"/>
      <c r="G268" s="281"/>
      <c r="H268" s="18"/>
      <c r="I268" s="281"/>
      <c r="J268" s="281"/>
      <c r="K268" s="18"/>
      <c r="L268" s="281"/>
      <c r="M268" s="281"/>
      <c r="N268" s="18"/>
      <c r="O268" s="281"/>
      <c r="P268" s="281"/>
      <c r="Q268" s="5"/>
      <c r="R268" s="281"/>
      <c r="S268" s="281"/>
      <c r="T268" s="5"/>
      <c r="U268" s="281"/>
      <c r="V268" s="281"/>
      <c r="W268" s="5"/>
      <c r="X268" s="281"/>
      <c r="Y268" s="281"/>
      <c r="Z268" s="5"/>
      <c r="AA268" s="281"/>
      <c r="AB268" s="281"/>
      <c r="AC268" s="5"/>
      <c r="AD268" s="317"/>
      <c r="AE268" s="317"/>
      <c r="AF268" s="5"/>
      <c r="AG268" s="317"/>
      <c r="AH268" s="317"/>
      <c r="AI268" s="5"/>
      <c r="AJ268" s="317"/>
      <c r="AK268" s="317"/>
      <c r="AL268" s="5"/>
      <c r="AM268" s="317"/>
      <c r="AN268" s="317"/>
      <c r="AO268" s="5"/>
      <c r="AP268" s="317"/>
      <c r="AQ268" s="317"/>
      <c r="AR268" s="5"/>
      <c r="AS268" s="317"/>
      <c r="AT268" s="317"/>
      <c r="AU268" s="317"/>
    </row>
    <row r="269" spans="1:47" outlineLevel="1">
      <c r="B269" s="225" t="s">
        <v>404</v>
      </c>
      <c r="C269" s="6"/>
      <c r="D269" s="6"/>
      <c r="E269" s="6"/>
      <c r="F269" s="281"/>
      <c r="G269" s="281"/>
      <c r="H269" s="18"/>
      <c r="I269" s="281"/>
      <c r="J269" s="281"/>
      <c r="K269" s="18"/>
      <c r="L269" s="281"/>
      <c r="M269" s="281"/>
      <c r="N269" s="18"/>
      <c r="O269" s="281"/>
      <c r="P269" s="281"/>
      <c r="Q269" s="6"/>
      <c r="R269" s="281"/>
      <c r="S269" s="281"/>
      <c r="T269" s="6"/>
      <c r="U269" s="281"/>
      <c r="V269" s="281"/>
      <c r="W269" s="6"/>
      <c r="X269" s="281"/>
      <c r="Y269" s="281"/>
      <c r="Z269" s="6"/>
      <c r="AA269" s="281"/>
      <c r="AB269" s="281"/>
      <c r="AC269" s="6"/>
      <c r="AD269" s="317"/>
      <c r="AE269" s="317"/>
      <c r="AF269" s="6"/>
      <c r="AG269" s="317"/>
      <c r="AH269" s="317"/>
      <c r="AI269" s="6"/>
      <c r="AJ269" s="317"/>
      <c r="AK269" s="317"/>
      <c r="AL269" s="6"/>
      <c r="AM269" s="317"/>
      <c r="AN269" s="317"/>
      <c r="AO269" s="6"/>
      <c r="AP269" s="317"/>
      <c r="AQ269" s="317"/>
      <c r="AR269" s="6"/>
      <c r="AS269" s="317"/>
      <c r="AT269" s="317"/>
      <c r="AU269" s="317"/>
    </row>
    <row r="270" spans="1:47" outlineLevel="1">
      <c r="B270" s="225" t="s">
        <v>405</v>
      </c>
      <c r="C270" s="5"/>
      <c r="D270" s="5"/>
      <c r="E270" s="5"/>
      <c r="F270" s="281"/>
      <c r="G270" s="281"/>
      <c r="H270" s="18"/>
      <c r="I270" s="281"/>
      <c r="J270" s="281"/>
      <c r="K270" s="18"/>
      <c r="L270" s="281">
        <f t="shared" ref="L270:M270" si="921">SUM(L267:L269)</f>
        <v>5.6850000000000005</v>
      </c>
      <c r="M270" s="281">
        <f t="shared" si="921"/>
        <v>1.677</v>
      </c>
      <c r="N270" s="5">
        <f>O270-M270</f>
        <v>2.7930000000000006</v>
      </c>
      <c r="O270" s="281">
        <f t="shared" ref="O270:P270" si="922">SUM(O267:O269)</f>
        <v>4.4700000000000006</v>
      </c>
      <c r="P270" s="281">
        <f t="shared" si="922"/>
        <v>1.4610000000000001</v>
      </c>
      <c r="Q270" s="5">
        <f>R270-P270</f>
        <v>3.8019999999999996</v>
      </c>
      <c r="R270" s="281">
        <f t="shared" ref="R270:S270" si="923">SUM(R267:R269)</f>
        <v>5.2629999999999999</v>
      </c>
      <c r="S270" s="281">
        <f t="shared" si="923"/>
        <v>3.742</v>
      </c>
      <c r="T270" s="5">
        <f>U270-S270</f>
        <v>4.46</v>
      </c>
      <c r="U270" s="281">
        <f t="shared" ref="U270:AU270" si="924">SUM(U267:U269)</f>
        <v>8.202</v>
      </c>
      <c r="V270" s="281">
        <f t="shared" ref="V270" si="925">SUM(V267:V269)</f>
        <v>4.1099999999999994</v>
      </c>
      <c r="W270" s="5">
        <f>X270-V270</f>
        <v>3.2700000000000014</v>
      </c>
      <c r="X270" s="281">
        <f t="shared" si="924"/>
        <v>7.3800000000000008</v>
      </c>
      <c r="Y270" s="281">
        <f t="shared" si="924"/>
        <v>3.6429999999999998</v>
      </c>
      <c r="Z270" s="5">
        <f>AA270-Y270</f>
        <v>5.4070000000000009</v>
      </c>
      <c r="AA270" s="281">
        <f t="shared" si="924"/>
        <v>9.0500000000000007</v>
      </c>
      <c r="AB270" s="281">
        <f>SUM(AB267:AB269)</f>
        <v>4.25</v>
      </c>
      <c r="AC270" s="5">
        <f>AD270-AB270</f>
        <v>6.7749999999999986</v>
      </c>
      <c r="AD270" s="317">
        <f t="shared" si="924"/>
        <v>11.024999999999999</v>
      </c>
      <c r="AE270" s="317">
        <f>SUM(AE267:AE269)</f>
        <v>7.2270000000000003</v>
      </c>
      <c r="AF270" s="5">
        <f>AG270-AE270</f>
        <v>8.8589999999999982</v>
      </c>
      <c r="AG270" s="317">
        <f t="shared" ref="AG270" si="926">SUM(AG267:AG269)</f>
        <v>16.085999999999999</v>
      </c>
      <c r="AH270" s="317">
        <f>SUM(AH267:AH269)</f>
        <v>10.115</v>
      </c>
      <c r="AI270" s="5">
        <f>AJ270-AH270</f>
        <v>9.3649999999999967</v>
      </c>
      <c r="AJ270" s="317">
        <f t="shared" si="924"/>
        <v>19.479999999999997</v>
      </c>
      <c r="AK270" s="317">
        <f>SUM(AK267:AK269)</f>
        <v>10.724</v>
      </c>
      <c r="AL270" s="5">
        <f>AM270-AK270</f>
        <v>10.363</v>
      </c>
      <c r="AM270" s="317">
        <f t="shared" si="924"/>
        <v>21.087</v>
      </c>
      <c r="AN270" s="317">
        <f>SUM(AN267:AN269)</f>
        <v>16.402999999999999</v>
      </c>
      <c r="AO270" s="5">
        <f>AP270-AN270</f>
        <v>14.927</v>
      </c>
      <c r="AP270" s="317">
        <f t="shared" ref="AP270" si="927">SUM(AP267:AP269)</f>
        <v>31.33</v>
      </c>
      <c r="AQ270" s="317">
        <f>SUM(AQ267:AQ269)</f>
        <v>14.794229820699718</v>
      </c>
      <c r="AR270" s="5">
        <f>AS270-AQ270</f>
        <v>18.463845648320358</v>
      </c>
      <c r="AS270" s="317">
        <f t="shared" si="924"/>
        <v>33.258075469020078</v>
      </c>
      <c r="AT270" s="317">
        <f t="shared" si="924"/>
        <v>35.374690518005117</v>
      </c>
      <c r="AU270" s="317">
        <f t="shared" si="924"/>
        <v>41.871923287290116</v>
      </c>
    </row>
    <row r="271" spans="1:47" outlineLevel="1">
      <c r="B271" s="225" t="s">
        <v>442</v>
      </c>
      <c r="C271" s="3"/>
      <c r="D271" s="3"/>
      <c r="E271" s="5"/>
      <c r="F271" s="265"/>
      <c r="G271" s="265"/>
      <c r="H271" s="23"/>
      <c r="I271" s="265"/>
      <c r="J271" s="265"/>
      <c r="K271" s="23"/>
      <c r="L271" s="265">
        <f>L56</f>
        <v>0</v>
      </c>
      <c r="M271" s="265">
        <f>M56</f>
        <v>0</v>
      </c>
      <c r="N271" s="5">
        <f>O271-M271</f>
        <v>0</v>
      </c>
      <c r="O271" s="265">
        <f>O56</f>
        <v>0</v>
      </c>
      <c r="P271" s="265">
        <f>P56</f>
        <v>0</v>
      </c>
      <c r="Q271" s="5">
        <f>R271-P271</f>
        <v>0</v>
      </c>
      <c r="R271" s="265">
        <f>R56</f>
        <v>0</v>
      </c>
      <c r="S271" s="265">
        <f>S56</f>
        <v>0</v>
      </c>
      <c r="T271" s="5">
        <f>U271-S271</f>
        <v>0</v>
      </c>
      <c r="U271" s="265">
        <f>U56</f>
        <v>0</v>
      </c>
      <c r="V271" s="265">
        <f>V56</f>
        <v>0</v>
      </c>
      <c r="W271" s="5">
        <f>X271-V271</f>
        <v>0</v>
      </c>
      <c r="X271" s="265">
        <f>X56</f>
        <v>0</v>
      </c>
      <c r="Y271" s="265">
        <f>Y56</f>
        <v>0</v>
      </c>
      <c r="Z271" s="5">
        <f>AA271-Y271</f>
        <v>0</v>
      </c>
      <c r="AA271" s="265">
        <f>AA56</f>
        <v>0</v>
      </c>
      <c r="AB271" s="265">
        <f>AB56</f>
        <v>0</v>
      </c>
      <c r="AC271" s="5">
        <f>AD271-AB271</f>
        <v>0</v>
      </c>
      <c r="AD271" s="318">
        <f>AD56</f>
        <v>0</v>
      </c>
      <c r="AE271" s="318">
        <f>AE56</f>
        <v>0</v>
      </c>
      <c r="AF271" s="5">
        <f>AG271-AE271</f>
        <v>0</v>
      </c>
      <c r="AG271" s="318">
        <f>AG56</f>
        <v>0</v>
      </c>
      <c r="AH271" s="318">
        <f>AH56</f>
        <v>-1.4399999999999995</v>
      </c>
      <c r="AI271" s="5">
        <f>AJ271-AH271</f>
        <v>1.5230000000000015</v>
      </c>
      <c r="AJ271" s="318">
        <f>AJ56</f>
        <v>8.3000000000001961E-2</v>
      </c>
      <c r="AK271" s="318">
        <f>AK56</f>
        <v>0</v>
      </c>
      <c r="AL271" s="5">
        <f>AM271-AK271</f>
        <v>0</v>
      </c>
      <c r="AM271" s="318">
        <f t="shared" ref="AM271:AU271" si="928">AM56</f>
        <v>0</v>
      </c>
      <c r="AN271" s="318">
        <f>AN56</f>
        <v>0</v>
      </c>
      <c r="AO271" s="5">
        <f>AP271-AN271</f>
        <v>0</v>
      </c>
      <c r="AP271" s="318">
        <f t="shared" ref="AP271" si="929">AP56</f>
        <v>0</v>
      </c>
      <c r="AQ271" s="318">
        <f>AQ56</f>
        <v>0</v>
      </c>
      <c r="AR271" s="5">
        <f>AS271-AQ271</f>
        <v>0</v>
      </c>
      <c r="AS271" s="318">
        <f t="shared" si="928"/>
        <v>0</v>
      </c>
      <c r="AT271" s="318">
        <f t="shared" si="928"/>
        <v>0</v>
      </c>
      <c r="AU271" s="318">
        <f t="shared" si="928"/>
        <v>0</v>
      </c>
    </row>
    <row r="272" spans="1:47">
      <c r="B272" s="225" t="s">
        <v>400</v>
      </c>
      <c r="C272" s="5"/>
      <c r="D272" s="5"/>
      <c r="E272" s="5"/>
      <c r="F272" s="281"/>
      <c r="G272" s="281"/>
      <c r="H272" s="5"/>
      <c r="I272" s="281"/>
      <c r="J272" s="281"/>
      <c r="K272" s="5"/>
      <c r="L272" s="281">
        <f t="shared" ref="L272:M272" si="930">SUM(L270:L271)</f>
        <v>5.6850000000000005</v>
      </c>
      <c r="M272" s="281">
        <f t="shared" si="930"/>
        <v>1.677</v>
      </c>
      <c r="N272" s="5">
        <f>O272-M272</f>
        <v>2.7930000000000006</v>
      </c>
      <c r="O272" s="281">
        <f t="shared" ref="O272:P272" si="931">SUM(O270:O271)</f>
        <v>4.4700000000000006</v>
      </c>
      <c r="P272" s="281">
        <f t="shared" si="931"/>
        <v>1.4610000000000001</v>
      </c>
      <c r="Q272" s="5">
        <f>R272-P272</f>
        <v>3.8019999999999996</v>
      </c>
      <c r="R272" s="281">
        <f t="shared" ref="R272:S272" si="932">SUM(R270:R271)</f>
        <v>5.2629999999999999</v>
      </c>
      <c r="S272" s="281">
        <f t="shared" si="932"/>
        <v>3.742</v>
      </c>
      <c r="T272" s="5">
        <f>U272-S272</f>
        <v>4.46</v>
      </c>
      <c r="U272" s="281">
        <f t="shared" ref="U272:AU272" si="933">SUM(U270:U271)</f>
        <v>8.202</v>
      </c>
      <c r="V272" s="281">
        <f t="shared" ref="V272" si="934">SUM(V270:V271)</f>
        <v>4.1099999999999994</v>
      </c>
      <c r="W272" s="5">
        <f>X272-V272</f>
        <v>3.2700000000000014</v>
      </c>
      <c r="X272" s="281">
        <f t="shared" si="933"/>
        <v>7.3800000000000008</v>
      </c>
      <c r="Y272" s="281">
        <f t="shared" si="933"/>
        <v>3.6429999999999998</v>
      </c>
      <c r="Z272" s="5">
        <f>AA272-Y272</f>
        <v>5.4070000000000009</v>
      </c>
      <c r="AA272" s="281">
        <f t="shared" si="933"/>
        <v>9.0500000000000007</v>
      </c>
      <c r="AB272" s="281">
        <f>SUM(AB270:AB271)</f>
        <v>4.25</v>
      </c>
      <c r="AC272" s="5">
        <f>AD272-AB272</f>
        <v>6.7749999999999986</v>
      </c>
      <c r="AD272" s="317">
        <f t="shared" si="933"/>
        <v>11.024999999999999</v>
      </c>
      <c r="AE272" s="317">
        <f>SUM(AE270:AE271)</f>
        <v>7.2270000000000003</v>
      </c>
      <c r="AF272" s="5">
        <f>AG272-AE272</f>
        <v>8.8589999999999982</v>
      </c>
      <c r="AG272" s="317">
        <f t="shared" ref="AG272" si="935">SUM(AG270:AG271)</f>
        <v>16.085999999999999</v>
      </c>
      <c r="AH272" s="317">
        <f>SUM(AH270:AH271)</f>
        <v>8.6750000000000007</v>
      </c>
      <c r="AI272" s="5">
        <f>AJ272-AH272</f>
        <v>10.887999999999998</v>
      </c>
      <c r="AJ272" s="317">
        <f t="shared" si="933"/>
        <v>19.562999999999999</v>
      </c>
      <c r="AK272" s="317">
        <f>SUM(AK270:AK271)</f>
        <v>10.724</v>
      </c>
      <c r="AL272" s="5">
        <f>AM272-AK272</f>
        <v>10.363</v>
      </c>
      <c r="AM272" s="317">
        <f t="shared" si="933"/>
        <v>21.087</v>
      </c>
      <c r="AN272" s="317">
        <f>SUM(AN270:AN271)</f>
        <v>16.402999999999999</v>
      </c>
      <c r="AO272" s="5">
        <f>AP272-AN272</f>
        <v>14.927</v>
      </c>
      <c r="AP272" s="317">
        <f t="shared" ref="AP272" si="936">SUM(AP270:AP271)</f>
        <v>31.33</v>
      </c>
      <c r="AQ272" s="317">
        <f>SUM(AQ270:AQ271)</f>
        <v>14.794229820699718</v>
      </c>
      <c r="AR272" s="5">
        <f>AS272-AQ272</f>
        <v>18.463845648320358</v>
      </c>
      <c r="AS272" s="317">
        <f t="shared" si="933"/>
        <v>33.258075469020078</v>
      </c>
      <c r="AT272" s="317">
        <f t="shared" si="933"/>
        <v>35.374690518005117</v>
      </c>
      <c r="AU272" s="317">
        <f t="shared" si="933"/>
        <v>41.871923287290116</v>
      </c>
    </row>
    <row r="273" spans="1:47">
      <c r="B273" s="225"/>
      <c r="C273" s="1"/>
      <c r="F273" s="227"/>
      <c r="G273" s="227"/>
      <c r="H273" s="19"/>
      <c r="I273" s="227"/>
      <c r="J273" s="227"/>
      <c r="K273" s="19"/>
      <c r="L273" s="227"/>
      <c r="M273" s="227"/>
      <c r="N273" s="19"/>
      <c r="O273" s="227"/>
      <c r="P273" s="227"/>
      <c r="R273" s="227"/>
      <c r="S273" s="227"/>
      <c r="U273" s="227"/>
      <c r="V273" s="227"/>
      <c r="X273" s="227"/>
      <c r="Y273" s="227"/>
      <c r="AA273" s="227"/>
      <c r="AB273" s="227"/>
      <c r="AD273" s="336"/>
      <c r="AE273" s="336"/>
      <c r="AG273" s="336"/>
      <c r="AH273" s="336"/>
      <c r="AJ273" s="336"/>
      <c r="AK273" s="336"/>
      <c r="AM273" s="336"/>
      <c r="AN273" s="336"/>
      <c r="AP273" s="336"/>
      <c r="AQ273" s="336"/>
      <c r="AS273" s="336"/>
      <c r="AT273" s="336"/>
      <c r="AU273" s="336"/>
    </row>
    <row r="274" spans="1:47">
      <c r="B274" s="226" t="s">
        <v>374</v>
      </c>
      <c r="C274" s="21"/>
      <c r="D274" s="21"/>
      <c r="E274" s="21"/>
      <c r="F274" s="319"/>
      <c r="G274" s="319"/>
      <c r="H274" s="39"/>
      <c r="I274" s="319"/>
      <c r="J274" s="319"/>
      <c r="K274" s="39"/>
      <c r="L274" s="319"/>
      <c r="M274" s="319"/>
      <c r="N274" s="39"/>
      <c r="O274" s="319"/>
      <c r="P274" s="319"/>
      <c r="Q274" s="21"/>
      <c r="R274" s="319"/>
      <c r="S274" s="319"/>
      <c r="T274" s="21"/>
      <c r="U274" s="319"/>
      <c r="V274" s="319"/>
      <c r="W274" s="21"/>
      <c r="X274" s="319"/>
      <c r="Y274" s="319"/>
      <c r="Z274" s="21"/>
      <c r="AA274" s="319"/>
      <c r="AB274" s="319"/>
      <c r="AC274" s="21"/>
      <c r="AD274" s="319"/>
      <c r="AE274" s="319"/>
      <c r="AF274" s="21"/>
      <c r="AG274" s="319"/>
      <c r="AH274" s="319"/>
      <c r="AI274" s="21"/>
      <c r="AJ274" s="319"/>
      <c r="AK274" s="319"/>
      <c r="AL274" s="21"/>
      <c r="AM274" s="319"/>
      <c r="AN274" s="319"/>
      <c r="AO274" s="21"/>
      <c r="AP274" s="319"/>
      <c r="AQ274" s="319"/>
      <c r="AR274" s="21"/>
      <c r="AS274" s="319"/>
      <c r="AT274" s="319"/>
      <c r="AU274" s="319"/>
    </row>
    <row r="275" spans="1:47">
      <c r="B275" s="266" t="s">
        <v>445</v>
      </c>
      <c r="C275" s="4"/>
      <c r="D275" s="4"/>
      <c r="E275" s="5"/>
      <c r="F275" s="265"/>
      <c r="G275" s="265"/>
      <c r="H275" s="3"/>
      <c r="I275" s="265"/>
      <c r="J275" s="265"/>
      <c r="K275" s="3"/>
      <c r="L275" s="265">
        <f t="shared" ref="L275" si="937">L270*100/L262</f>
        <v>6.4416871455096221</v>
      </c>
      <c r="M275" s="265">
        <f>M270*100/M262</f>
        <v>1.8786910692168608</v>
      </c>
      <c r="N275" s="5">
        <f>O275-M275</f>
        <v>3.0585563504003614</v>
      </c>
      <c r="O275" s="265">
        <f t="shared" ref="O275" si="938">O270*100/O262</f>
        <v>4.937247419617222</v>
      </c>
      <c r="P275" s="265">
        <f>P270*100/P262</f>
        <v>1.6070436779402193</v>
      </c>
      <c r="Q275" s="5">
        <f>R275-P275</f>
        <v>4.1703638003039654</v>
      </c>
      <c r="R275" s="265">
        <f t="shared" ref="R275" si="939">R270*100/R262</f>
        <v>5.7774074782441849</v>
      </c>
      <c r="S275" s="265">
        <f>S270*100/S262</f>
        <v>4.0978308381044162</v>
      </c>
      <c r="T275" s="5">
        <f>U275-S275</f>
        <v>4.8545544240951983</v>
      </c>
      <c r="U275" s="265">
        <f t="shared" ref="U275:AU275" si="940">U270*100/U262</f>
        <v>8.9523852621996145</v>
      </c>
      <c r="V275" s="265">
        <f>V270*100/V262</f>
        <v>4.4762444888145669</v>
      </c>
      <c r="W275" s="5">
        <f>X275-V275</f>
        <v>3.5319554738984742</v>
      </c>
      <c r="X275" s="265">
        <f>X270*100/X262</f>
        <v>8.0081999627130411</v>
      </c>
      <c r="Y275" s="265">
        <f t="shared" si="940"/>
        <v>3.9356577326461895</v>
      </c>
      <c r="Z275" s="5">
        <f>AA275-Y275</f>
        <v>5.818391596264977</v>
      </c>
      <c r="AA275" s="265">
        <f t="shared" si="940"/>
        <v>9.7540493289111669</v>
      </c>
      <c r="AB275" s="265">
        <f>AB270*100/AB262</f>
        <v>4.5734090066446411</v>
      </c>
      <c r="AC275" s="5">
        <f>AD275-AB275</f>
        <v>7.2619750042249729</v>
      </c>
      <c r="AD275" s="318">
        <f t="shared" si="940"/>
        <v>11.835384010869614</v>
      </c>
      <c r="AE275" s="318">
        <f>AE270*100/AE262</f>
        <v>7.7154561960712753</v>
      </c>
      <c r="AF275" s="5">
        <f>AG275-AE275</f>
        <v>9.3954219218333925</v>
      </c>
      <c r="AG275" s="318">
        <f t="shared" ref="AG275" si="941">AG270*100/AG262</f>
        <v>17.110878117904669</v>
      </c>
      <c r="AH275" s="318">
        <f>AH270*100/AH262</f>
        <v>10.736538652027413</v>
      </c>
      <c r="AI275" s="5">
        <f>AJ275-AH275</f>
        <v>9.8965145607756995</v>
      </c>
      <c r="AJ275" s="318">
        <f t="shared" si="940"/>
        <v>20.633053212803112</v>
      </c>
      <c r="AK275" s="318">
        <f>AK270*100/AK262</f>
        <v>11.305543834294379</v>
      </c>
      <c r="AL275" s="5">
        <f>AM275-AK275</f>
        <v>10.894526511724514</v>
      </c>
      <c r="AM275" s="318">
        <f t="shared" si="940"/>
        <v>22.200070346018894</v>
      </c>
      <c r="AN275" s="318">
        <f>AN270*100/AN262</f>
        <v>17.245212550582707</v>
      </c>
      <c r="AO275" s="5">
        <f>AP275-AN275</f>
        <v>15.697930995737444</v>
      </c>
      <c r="AP275" s="318">
        <f t="shared" ref="AP275" si="942">AP270*100/AP262</f>
        <v>32.943143546320151</v>
      </c>
      <c r="AQ275" s="318">
        <f>AQ270*100/AQ262</f>
        <v>15.558093961287806</v>
      </c>
      <c r="AR275" s="5">
        <f>AS275-AQ275</f>
        <v>19.417181493378788</v>
      </c>
      <c r="AS275" s="318">
        <f t="shared" si="940"/>
        <v>34.975275454666594</v>
      </c>
      <c r="AT275" s="318">
        <f t="shared" si="940"/>
        <v>37.201176783163568</v>
      </c>
      <c r="AU275" s="318">
        <f t="shared" si="940"/>
        <v>44.033878393047928</v>
      </c>
    </row>
    <row r="276" spans="1:47">
      <c r="B276" s="225" t="s">
        <v>341</v>
      </c>
      <c r="C276" s="3"/>
      <c r="D276" s="3"/>
      <c r="E276" s="5"/>
      <c r="F276" s="265"/>
      <c r="G276" s="265"/>
      <c r="H276" s="3"/>
      <c r="I276" s="265"/>
      <c r="J276" s="265"/>
      <c r="K276" s="3"/>
      <c r="L276" s="265">
        <f t="shared" ref="L276" si="943">(L270-L268-L269)*100/L262</f>
        <v>6.4416871455096221</v>
      </c>
      <c r="M276" s="265">
        <f>(M270-M268-M269)*100/M262</f>
        <v>1.8786910692168608</v>
      </c>
      <c r="N276" s="5">
        <f>O276-M276</f>
        <v>3.0585563504003614</v>
      </c>
      <c r="O276" s="265">
        <f t="shared" ref="O276" si="944">(O270-O268-O269)*100/O262</f>
        <v>4.937247419617222</v>
      </c>
      <c r="P276" s="265">
        <f>(P270-P268-P269)*100/P262</f>
        <v>1.6070436779402193</v>
      </c>
      <c r="Q276" s="5">
        <f>R276-P276</f>
        <v>4.1703638003039654</v>
      </c>
      <c r="R276" s="265">
        <f t="shared" ref="R276" si="945">(R270-R268-R269)*100/R262</f>
        <v>5.7774074782441849</v>
      </c>
      <c r="S276" s="265">
        <f>(S270-S268-S269)*100/S262</f>
        <v>4.0978308381044162</v>
      </c>
      <c r="T276" s="5">
        <f>U276-S276</f>
        <v>4.8545544240951983</v>
      </c>
      <c r="U276" s="265">
        <f t="shared" ref="U276:AU276" si="946">(U270-U268-U269)*100/U262</f>
        <v>8.9523852621996145</v>
      </c>
      <c r="V276" s="265">
        <f>(V270-V268-V269)*100/V262</f>
        <v>4.4762444888145669</v>
      </c>
      <c r="W276" s="5">
        <f>X276-V276</f>
        <v>3.5319554738984742</v>
      </c>
      <c r="X276" s="265">
        <f>(X270-X268-X269)*100/X262</f>
        <v>8.0081999627130411</v>
      </c>
      <c r="Y276" s="265">
        <f t="shared" si="946"/>
        <v>3.9356577326461895</v>
      </c>
      <c r="Z276" s="5">
        <f>AA276-Y276</f>
        <v>5.818391596264977</v>
      </c>
      <c r="AA276" s="265">
        <f t="shared" si="946"/>
        <v>9.7540493289111669</v>
      </c>
      <c r="AB276" s="265">
        <f>(AB270-AB268-AB269)*100/AB262</f>
        <v>4.5734090066446411</v>
      </c>
      <c r="AC276" s="5">
        <f>AD276-AB276</f>
        <v>7.2619750042249729</v>
      </c>
      <c r="AD276" s="318">
        <f t="shared" si="946"/>
        <v>11.835384010869614</v>
      </c>
      <c r="AE276" s="318">
        <f>(AE270-AE268-AE269)*100/AE262</f>
        <v>7.7154561960712753</v>
      </c>
      <c r="AF276" s="5">
        <f>AG276-AE276</f>
        <v>9.3954219218333925</v>
      </c>
      <c r="AG276" s="318">
        <f t="shared" ref="AG276" si="947">(AG270-AG268-AG269)*100/AG262</f>
        <v>17.110878117904669</v>
      </c>
      <c r="AH276" s="318">
        <f>(AH270-AH268-AH269)*100/AH262</f>
        <v>10.736538652027413</v>
      </c>
      <c r="AI276" s="5">
        <f>AJ276-AH276</f>
        <v>9.8965145607756995</v>
      </c>
      <c r="AJ276" s="318">
        <f t="shared" si="946"/>
        <v>20.633053212803112</v>
      </c>
      <c r="AK276" s="318">
        <f>(AK270-AK268-AK269)*100/AK262</f>
        <v>11.305543834294379</v>
      </c>
      <c r="AL276" s="5">
        <f>AM276-AK276</f>
        <v>10.894526511724514</v>
      </c>
      <c r="AM276" s="318">
        <f t="shared" si="946"/>
        <v>22.200070346018894</v>
      </c>
      <c r="AN276" s="318">
        <f>(AN270-AN268-AN269)*100/AN262</f>
        <v>17.245212550582707</v>
      </c>
      <c r="AO276" s="5">
        <f>AP276-AN276</f>
        <v>15.697930995737444</v>
      </c>
      <c r="AP276" s="318">
        <f t="shared" ref="AP276" si="948">(AP270-AP268-AP269)*100/AP262</f>
        <v>32.943143546320151</v>
      </c>
      <c r="AQ276" s="318">
        <f>(AQ270-AQ268-AQ269)*100/AQ262</f>
        <v>15.558093961287806</v>
      </c>
      <c r="AR276" s="5">
        <f>AS276-AQ276</f>
        <v>19.417181493378788</v>
      </c>
      <c r="AS276" s="318">
        <f t="shared" si="946"/>
        <v>34.975275454666594</v>
      </c>
      <c r="AT276" s="318">
        <f t="shared" si="946"/>
        <v>37.201176783163568</v>
      </c>
      <c r="AU276" s="318">
        <f t="shared" si="946"/>
        <v>44.033878393047928</v>
      </c>
    </row>
    <row r="277" spans="1:47">
      <c r="B277" s="225" t="s">
        <v>376</v>
      </c>
      <c r="C277" s="3"/>
      <c r="D277" s="3"/>
      <c r="E277" s="5"/>
      <c r="F277" s="265"/>
      <c r="G277" s="265"/>
      <c r="H277" s="23"/>
      <c r="I277" s="265"/>
      <c r="J277" s="265"/>
      <c r="K277" s="23"/>
      <c r="L277" s="265">
        <f t="shared" ref="L277" si="949">L272*100/L262</f>
        <v>6.4416871455096221</v>
      </c>
      <c r="M277" s="265">
        <f>M272*100/M262</f>
        <v>1.8786910692168608</v>
      </c>
      <c r="N277" s="5">
        <f>O277-M277</f>
        <v>3.0585563504003614</v>
      </c>
      <c r="O277" s="265">
        <f t="shared" ref="O277" si="950">O272*100/O262</f>
        <v>4.937247419617222</v>
      </c>
      <c r="P277" s="265">
        <f>P272*100/P262</f>
        <v>1.6070436779402193</v>
      </c>
      <c r="Q277" s="5">
        <f>R277-P277</f>
        <v>4.1703638003039654</v>
      </c>
      <c r="R277" s="265">
        <f t="shared" ref="R277" si="951">R272*100/R262</f>
        <v>5.7774074782441849</v>
      </c>
      <c r="S277" s="265">
        <f>S272*100/S262</f>
        <v>4.0978308381044162</v>
      </c>
      <c r="T277" s="5">
        <f>U277-S277</f>
        <v>4.8545544240951983</v>
      </c>
      <c r="U277" s="265">
        <f t="shared" ref="U277:AU277" si="952">U272*100/U262</f>
        <v>8.9523852621996145</v>
      </c>
      <c r="V277" s="265">
        <f>V272*100/V262</f>
        <v>4.4762444888145669</v>
      </c>
      <c r="W277" s="5">
        <f>X277-V277</f>
        <v>3.5319554738984742</v>
      </c>
      <c r="X277" s="265">
        <f>X272*100/X262</f>
        <v>8.0081999627130411</v>
      </c>
      <c r="Y277" s="265">
        <f t="shared" si="952"/>
        <v>3.9356577326461895</v>
      </c>
      <c r="Z277" s="5">
        <f>AA277-Y277</f>
        <v>5.818391596264977</v>
      </c>
      <c r="AA277" s="265">
        <f t="shared" si="952"/>
        <v>9.7540493289111669</v>
      </c>
      <c r="AB277" s="265">
        <f>AB272*100/AB262</f>
        <v>4.5734090066446411</v>
      </c>
      <c r="AC277" s="5">
        <f>AD277-AB277</f>
        <v>7.2619750042249729</v>
      </c>
      <c r="AD277" s="318">
        <f t="shared" si="952"/>
        <v>11.835384010869614</v>
      </c>
      <c r="AE277" s="318">
        <f>AE272*100/AE262</f>
        <v>7.7154561960712753</v>
      </c>
      <c r="AF277" s="5">
        <f>AG277-AE277</f>
        <v>9.3954219218333925</v>
      </c>
      <c r="AG277" s="318">
        <f t="shared" ref="AG277" si="953">AG272*100/AG262</f>
        <v>17.110878117904669</v>
      </c>
      <c r="AH277" s="318">
        <f>AH272*100/AH262</f>
        <v>9.2080546521342388</v>
      </c>
      <c r="AI277" s="5">
        <f>AJ277-AH277</f>
        <v>11.512911467068397</v>
      </c>
      <c r="AJ277" s="318">
        <f t="shared" si="952"/>
        <v>20.720966119202636</v>
      </c>
      <c r="AK277" s="318">
        <f>AK272*100/AK262</f>
        <v>11.305543834294379</v>
      </c>
      <c r="AL277" s="5">
        <f>AM277-AK277</f>
        <v>10.894526511724514</v>
      </c>
      <c r="AM277" s="318">
        <f t="shared" si="952"/>
        <v>22.200070346018894</v>
      </c>
      <c r="AN277" s="318">
        <f>AN272*100/AN262</f>
        <v>17.245212550582707</v>
      </c>
      <c r="AO277" s="5">
        <f>AP277-AN277</f>
        <v>15.697930995737444</v>
      </c>
      <c r="AP277" s="318">
        <f t="shared" ref="AP277" si="954">AP272*100/AP262</f>
        <v>32.943143546320151</v>
      </c>
      <c r="AQ277" s="318">
        <f>AQ272*100/AQ262</f>
        <v>15.558093961287806</v>
      </c>
      <c r="AR277" s="5">
        <f>AS277-AQ277</f>
        <v>19.417181493378788</v>
      </c>
      <c r="AS277" s="318">
        <f t="shared" si="952"/>
        <v>34.975275454666594</v>
      </c>
      <c r="AT277" s="318">
        <f t="shared" si="952"/>
        <v>37.201176783163568</v>
      </c>
      <c r="AU277" s="318">
        <f t="shared" si="952"/>
        <v>44.033878393047928</v>
      </c>
    </row>
    <row r="278" spans="1:47">
      <c r="B278" s="225"/>
      <c r="C278" s="3"/>
      <c r="D278" s="3"/>
      <c r="E278" s="3"/>
      <c r="F278" s="265"/>
      <c r="G278" s="265"/>
      <c r="H278" s="23"/>
      <c r="I278" s="265"/>
      <c r="J278" s="265"/>
      <c r="K278" s="23"/>
      <c r="L278" s="265"/>
      <c r="M278" s="265"/>
      <c r="N278" s="23"/>
      <c r="O278" s="265"/>
      <c r="P278" s="265"/>
      <c r="Q278" s="3"/>
      <c r="R278" s="265"/>
      <c r="S278" s="265"/>
      <c r="T278" s="3"/>
      <c r="U278" s="265"/>
      <c r="V278" s="265"/>
      <c r="W278" s="3"/>
      <c r="X278" s="265"/>
      <c r="Y278" s="265"/>
      <c r="Z278" s="3"/>
      <c r="AA278" s="265"/>
      <c r="AB278" s="265"/>
      <c r="AC278" s="3"/>
      <c r="AD278" s="318"/>
      <c r="AE278" s="318"/>
      <c r="AF278" s="3"/>
      <c r="AG278" s="318"/>
      <c r="AH278" s="318"/>
      <c r="AI278" s="3"/>
      <c r="AJ278" s="318"/>
      <c r="AK278" s="318"/>
      <c r="AL278" s="3"/>
      <c r="AM278" s="318"/>
      <c r="AN278" s="318"/>
      <c r="AO278" s="3"/>
      <c r="AP278" s="318"/>
      <c r="AQ278" s="318"/>
      <c r="AR278" s="3"/>
      <c r="AS278" s="318"/>
      <c r="AT278" s="318"/>
      <c r="AU278" s="318"/>
    </row>
    <row r="279" spans="1:47">
      <c r="B279" s="226" t="s">
        <v>375</v>
      </c>
      <c r="C279" s="3"/>
      <c r="D279" s="3"/>
      <c r="E279" s="3"/>
      <c r="F279" s="265"/>
      <c r="G279" s="265"/>
      <c r="H279" s="23"/>
      <c r="I279" s="265"/>
      <c r="J279" s="265"/>
      <c r="K279" s="23"/>
      <c r="L279" s="265"/>
      <c r="M279" s="265"/>
      <c r="N279" s="23"/>
      <c r="O279" s="265"/>
      <c r="P279" s="265"/>
      <c r="Q279" s="3"/>
      <c r="R279" s="265"/>
      <c r="S279" s="265"/>
      <c r="T279" s="3"/>
      <c r="U279" s="265"/>
      <c r="V279" s="265"/>
      <c r="W279" s="3"/>
      <c r="X279" s="265"/>
      <c r="Y279" s="265"/>
      <c r="Z279" s="3"/>
      <c r="AA279" s="265"/>
      <c r="AB279" s="265"/>
      <c r="AC279" s="3"/>
      <c r="AD279" s="318"/>
      <c r="AE279" s="318"/>
      <c r="AF279" s="3"/>
      <c r="AG279" s="318"/>
      <c r="AH279" s="318"/>
      <c r="AI279" s="3"/>
      <c r="AJ279" s="318"/>
      <c r="AK279" s="318"/>
      <c r="AL279" s="3"/>
      <c r="AM279" s="318"/>
      <c r="AN279" s="318"/>
      <c r="AO279" s="3"/>
      <c r="AP279" s="318"/>
      <c r="AQ279" s="318"/>
      <c r="AR279" s="3"/>
      <c r="AS279" s="318"/>
      <c r="AT279" s="318"/>
      <c r="AU279" s="318"/>
    </row>
    <row r="280" spans="1:47">
      <c r="B280" s="266" t="s">
        <v>445</v>
      </c>
      <c r="C280" s="3"/>
      <c r="D280" s="3"/>
      <c r="E280" s="5"/>
      <c r="F280" s="265"/>
      <c r="G280" s="265"/>
      <c r="H280" s="23"/>
      <c r="I280" s="265"/>
      <c r="J280" s="265"/>
      <c r="K280" s="23"/>
      <c r="L280" s="265">
        <f t="shared" ref="L280" si="955">L270*100/L260</f>
        <v>6.4416871455096221</v>
      </c>
      <c r="M280" s="265">
        <f>M270*100/M260</f>
        <v>1.8786910692168608</v>
      </c>
      <c r="N280" s="5">
        <f>O280-M280</f>
        <v>3.0585563504003614</v>
      </c>
      <c r="O280" s="265">
        <f t="shared" ref="O280" si="956">O270*100/O260</f>
        <v>4.937247419617222</v>
      </c>
      <c r="P280" s="265">
        <f>P270*100/P260</f>
        <v>1.6070436779402193</v>
      </c>
      <c r="Q280" s="5">
        <f>R280-P280</f>
        <v>4.1703638003039654</v>
      </c>
      <c r="R280" s="265">
        <f t="shared" ref="R280" si="957">R270*100/R260</f>
        <v>5.7774074782441849</v>
      </c>
      <c r="S280" s="265">
        <f>S270*100/S260</f>
        <v>4.0978308381044162</v>
      </c>
      <c r="T280" s="5">
        <f>U280-S280</f>
        <v>4.8545544240951983</v>
      </c>
      <c r="U280" s="265">
        <f t="shared" ref="U280:AU280" si="958">U270*100/U260</f>
        <v>8.9523852621996145</v>
      </c>
      <c r="V280" s="265">
        <f>V270*100/V260</f>
        <v>4.4762444888145669</v>
      </c>
      <c r="W280" s="5">
        <f>X280-V280</f>
        <v>3.5319554738984742</v>
      </c>
      <c r="X280" s="265">
        <f>X270*100/X260</f>
        <v>8.0081999627130411</v>
      </c>
      <c r="Y280" s="265">
        <f t="shared" si="958"/>
        <v>3.9356577326461895</v>
      </c>
      <c r="Z280" s="5">
        <f>AA280-Y280</f>
        <v>5.818391596264977</v>
      </c>
      <c r="AA280" s="265">
        <f t="shared" si="958"/>
        <v>9.7540493289111669</v>
      </c>
      <c r="AB280" s="265">
        <f>AB270*100/AB260</f>
        <v>4.5734090066446411</v>
      </c>
      <c r="AC280" s="5">
        <f>AD280-AB280</f>
        <v>7.2619750042249729</v>
      </c>
      <c r="AD280" s="318">
        <f t="shared" si="958"/>
        <v>11.835384010869614</v>
      </c>
      <c r="AE280" s="318">
        <f>AE270*100/AE260</f>
        <v>7.7154561960712753</v>
      </c>
      <c r="AF280" s="5">
        <f>AG280-AE280</f>
        <v>9.3954219218333925</v>
      </c>
      <c r="AG280" s="318">
        <f t="shared" ref="AG280" si="959">AG270*100/AG260</f>
        <v>17.110878117904669</v>
      </c>
      <c r="AH280" s="318">
        <f>AH270*100/AH260</f>
        <v>10.736538652027413</v>
      </c>
      <c r="AI280" s="5">
        <f>AJ280-AH280</f>
        <v>9.8965145607756995</v>
      </c>
      <c r="AJ280" s="318">
        <f t="shared" si="958"/>
        <v>20.633053212803112</v>
      </c>
      <c r="AK280" s="318">
        <f>AK270*100/AK260</f>
        <v>11.305543834294379</v>
      </c>
      <c r="AL280" s="5">
        <f>AM280-AK280</f>
        <v>10.894526511724514</v>
      </c>
      <c r="AM280" s="318">
        <f t="shared" si="958"/>
        <v>22.200070346018894</v>
      </c>
      <c r="AN280" s="318">
        <f>AN270*100/AN260</f>
        <v>17.245212550582707</v>
      </c>
      <c r="AO280" s="5">
        <f>AP280-AN280</f>
        <v>15.697930995737444</v>
      </c>
      <c r="AP280" s="318">
        <f t="shared" ref="AP280" si="960">AP270*100/AP260</f>
        <v>32.943143546320151</v>
      </c>
      <c r="AQ280" s="318">
        <f>AQ270*100/AQ260</f>
        <v>15.558093961287806</v>
      </c>
      <c r="AR280" s="5">
        <f>AS280-AQ280</f>
        <v>19.417181493378788</v>
      </c>
      <c r="AS280" s="318">
        <f t="shared" si="958"/>
        <v>34.975275454666594</v>
      </c>
      <c r="AT280" s="318">
        <f t="shared" si="958"/>
        <v>37.201176783163568</v>
      </c>
      <c r="AU280" s="318">
        <f t="shared" si="958"/>
        <v>44.033878393047928</v>
      </c>
    </row>
    <row r="281" spans="1:47">
      <c r="B281" s="225" t="s">
        <v>341</v>
      </c>
      <c r="C281" s="3"/>
      <c r="D281" s="3"/>
      <c r="E281" s="5"/>
      <c r="F281" s="265"/>
      <c r="G281" s="265"/>
      <c r="H281" s="23"/>
      <c r="I281" s="265"/>
      <c r="J281" s="265"/>
      <c r="K281" s="23"/>
      <c r="L281" s="265">
        <f t="shared" ref="L281" si="961">L267*100/L260</f>
        <v>6.4416871455096221</v>
      </c>
      <c r="M281" s="265">
        <f>M267*100/M260</f>
        <v>1.8786910692168608</v>
      </c>
      <c r="N281" s="5">
        <f>O281-M281</f>
        <v>3.0585563504003614</v>
      </c>
      <c r="O281" s="265">
        <f t="shared" ref="O281" si="962">O267*100/O260</f>
        <v>4.937247419617222</v>
      </c>
      <c r="P281" s="265">
        <f>P267*100/P260</f>
        <v>1.6070436779402193</v>
      </c>
      <c r="Q281" s="5">
        <f>R281-P281</f>
        <v>4.1703638003039654</v>
      </c>
      <c r="R281" s="265">
        <f t="shared" ref="R281" si="963">R267*100/R260</f>
        <v>5.7774074782441849</v>
      </c>
      <c r="S281" s="265">
        <f>S267*100/S260</f>
        <v>4.0978308381044162</v>
      </c>
      <c r="T281" s="5">
        <f>U281-S281</f>
        <v>4.8545544240951983</v>
      </c>
      <c r="U281" s="265">
        <f t="shared" ref="U281:AU281" si="964">U267*100/U260</f>
        <v>8.9523852621996145</v>
      </c>
      <c r="V281" s="265">
        <f>V267*100/V260</f>
        <v>4.4762444888145669</v>
      </c>
      <c r="W281" s="5">
        <f>X281-V281</f>
        <v>3.5319554738984742</v>
      </c>
      <c r="X281" s="265">
        <f>X267*100/X260</f>
        <v>8.0081999627130411</v>
      </c>
      <c r="Y281" s="265">
        <f t="shared" si="964"/>
        <v>3.9356577326461895</v>
      </c>
      <c r="Z281" s="5">
        <f>AA281-Y281</f>
        <v>5.818391596264977</v>
      </c>
      <c r="AA281" s="265">
        <f t="shared" si="964"/>
        <v>9.7540493289111669</v>
      </c>
      <c r="AB281" s="265">
        <f>AB267*100/AB260</f>
        <v>4.5734090066446411</v>
      </c>
      <c r="AC281" s="5">
        <f>AD281-AB281</f>
        <v>7.2619750042249729</v>
      </c>
      <c r="AD281" s="318">
        <f t="shared" si="964"/>
        <v>11.835384010869614</v>
      </c>
      <c r="AE281" s="318">
        <f>AE267*100/AE260</f>
        <v>7.7154561960712753</v>
      </c>
      <c r="AF281" s="5">
        <f>AG281-AE281</f>
        <v>9.3954219218333925</v>
      </c>
      <c r="AG281" s="318">
        <f t="shared" ref="AG281" si="965">AG267*100/AG260</f>
        <v>17.110878117904669</v>
      </c>
      <c r="AH281" s="318">
        <f>AH267*100/AH260</f>
        <v>10.736538652027413</v>
      </c>
      <c r="AI281" s="5">
        <f>AJ281-AH281</f>
        <v>9.8965145607756995</v>
      </c>
      <c r="AJ281" s="318">
        <f t="shared" si="964"/>
        <v>20.633053212803112</v>
      </c>
      <c r="AK281" s="318">
        <f>AK267*100/AK260</f>
        <v>11.305543834294379</v>
      </c>
      <c r="AL281" s="5">
        <f>AM281-AK281</f>
        <v>10.894526511724514</v>
      </c>
      <c r="AM281" s="318">
        <f t="shared" si="964"/>
        <v>22.200070346018894</v>
      </c>
      <c r="AN281" s="318">
        <f>AN267*100/AN260</f>
        <v>17.245212550582707</v>
      </c>
      <c r="AO281" s="5">
        <f>AP281-AN281</f>
        <v>15.697930995737444</v>
      </c>
      <c r="AP281" s="318">
        <f t="shared" ref="AP281" si="966">AP267*100/AP260</f>
        <v>32.943143546320151</v>
      </c>
      <c r="AQ281" s="318">
        <f>AQ267*100/AQ260</f>
        <v>15.558093961287806</v>
      </c>
      <c r="AR281" s="5">
        <f>AS281-AQ281</f>
        <v>19.417181493378788</v>
      </c>
      <c r="AS281" s="318">
        <f t="shared" si="964"/>
        <v>34.975275454666594</v>
      </c>
      <c r="AT281" s="318">
        <f t="shared" si="964"/>
        <v>37.201176783163568</v>
      </c>
      <c r="AU281" s="318">
        <f t="shared" si="964"/>
        <v>44.033878393047928</v>
      </c>
    </row>
    <row r="282" spans="1:47">
      <c r="B282" s="225" t="s">
        <v>376</v>
      </c>
      <c r="C282" s="3"/>
      <c r="D282" s="3"/>
      <c r="E282" s="5"/>
      <c r="F282" s="265"/>
      <c r="G282" s="265"/>
      <c r="H282" s="23"/>
      <c r="I282" s="265"/>
      <c r="J282" s="265"/>
      <c r="K282" s="23"/>
      <c r="L282" s="265">
        <f t="shared" ref="L282" si="967">(L267+L271)*100/L260</f>
        <v>6.4416871455096221</v>
      </c>
      <c r="M282" s="265">
        <f>(M267+M271)*100/M260</f>
        <v>1.8786910692168608</v>
      </c>
      <c r="N282" s="5">
        <f>O282-M282</f>
        <v>3.0585563504003614</v>
      </c>
      <c r="O282" s="265">
        <f t="shared" ref="O282" si="968">(O267+O271)*100/O260</f>
        <v>4.937247419617222</v>
      </c>
      <c r="P282" s="265">
        <f>(P267+P271)*100/P260</f>
        <v>1.6070436779402193</v>
      </c>
      <c r="Q282" s="5">
        <f>R282-P282</f>
        <v>4.1703638003039654</v>
      </c>
      <c r="R282" s="265">
        <f t="shared" ref="R282" si="969">(R267+R271)*100/R260</f>
        <v>5.7774074782441849</v>
      </c>
      <c r="S282" s="265">
        <f>(S267+S271)*100/S260</f>
        <v>4.0978308381044162</v>
      </c>
      <c r="T282" s="5">
        <f>U282-S282</f>
        <v>4.8545544240951983</v>
      </c>
      <c r="U282" s="265">
        <f t="shared" ref="U282:AU282" si="970">(U267+U271)*100/U260</f>
        <v>8.9523852621996145</v>
      </c>
      <c r="V282" s="265">
        <f>(V267+V271)*100/V260</f>
        <v>4.4762444888145669</v>
      </c>
      <c r="W282" s="5">
        <f>X282-V282</f>
        <v>3.5319554738984742</v>
      </c>
      <c r="X282" s="265">
        <f>(X267+X271)*100/X260</f>
        <v>8.0081999627130411</v>
      </c>
      <c r="Y282" s="265">
        <f t="shared" si="970"/>
        <v>3.9356577326461895</v>
      </c>
      <c r="Z282" s="5">
        <f>AA282-Y282</f>
        <v>5.818391596264977</v>
      </c>
      <c r="AA282" s="265">
        <f t="shared" si="970"/>
        <v>9.7540493289111669</v>
      </c>
      <c r="AB282" s="265">
        <f>(AB267+AB271)*100/AB260</f>
        <v>4.5734090066446411</v>
      </c>
      <c r="AC282" s="5">
        <f>AD282-AB282</f>
        <v>7.2619750042249729</v>
      </c>
      <c r="AD282" s="318">
        <f t="shared" si="970"/>
        <v>11.835384010869614</v>
      </c>
      <c r="AE282" s="318">
        <f>(AE267+AE271)*100/AE260</f>
        <v>7.7154561960712753</v>
      </c>
      <c r="AF282" s="5">
        <f>AG282-AE282</f>
        <v>9.3954219218333925</v>
      </c>
      <c r="AG282" s="318">
        <f t="shared" ref="AG282" si="971">(AG267+AG271)*100/AG260</f>
        <v>17.110878117904669</v>
      </c>
      <c r="AH282" s="318">
        <f>(AH267+AH271)*100/AH260</f>
        <v>9.2080546521342388</v>
      </c>
      <c r="AI282" s="5">
        <f>AJ282-AH282</f>
        <v>11.512911467068397</v>
      </c>
      <c r="AJ282" s="318">
        <f t="shared" si="970"/>
        <v>20.720966119202636</v>
      </c>
      <c r="AK282" s="318">
        <f>(AK267+AK271)*100/AK260</f>
        <v>11.305543834294379</v>
      </c>
      <c r="AL282" s="5">
        <f>AM282-AK282</f>
        <v>10.894526511724514</v>
      </c>
      <c r="AM282" s="318">
        <f t="shared" si="970"/>
        <v>22.200070346018894</v>
      </c>
      <c r="AN282" s="318">
        <f>(AN267+AN271)*100/AN260</f>
        <v>17.245212550582707</v>
      </c>
      <c r="AO282" s="5">
        <f>AP282-AN282</f>
        <v>15.697930995737444</v>
      </c>
      <c r="AP282" s="318">
        <f t="shared" ref="AP282" si="972">(AP267+AP271)*100/AP260</f>
        <v>32.943143546320151</v>
      </c>
      <c r="AQ282" s="318">
        <f>(AQ267+AQ271)*100/AQ260</f>
        <v>15.558093961287806</v>
      </c>
      <c r="AR282" s="5">
        <f>AS282-AQ282</f>
        <v>19.417181493378788</v>
      </c>
      <c r="AS282" s="318">
        <f t="shared" si="970"/>
        <v>34.975275454666594</v>
      </c>
      <c r="AT282" s="318">
        <f t="shared" si="970"/>
        <v>37.201176783163568</v>
      </c>
      <c r="AU282" s="318">
        <f t="shared" si="970"/>
        <v>44.033878393047928</v>
      </c>
    </row>
    <row r="283" spans="1:47">
      <c r="B283" s="225"/>
      <c r="C283" s="3"/>
      <c r="D283" s="3"/>
      <c r="E283" s="3"/>
      <c r="F283" s="265"/>
      <c r="G283" s="265"/>
      <c r="H283" s="23"/>
      <c r="I283" s="265"/>
      <c r="J283" s="265"/>
      <c r="K283" s="23"/>
      <c r="L283" s="265"/>
      <c r="M283" s="265"/>
      <c r="N283" s="23"/>
      <c r="O283" s="265"/>
      <c r="P283" s="265"/>
      <c r="Q283" s="3"/>
      <c r="R283" s="265"/>
      <c r="S283" s="265"/>
      <c r="T283" s="3"/>
      <c r="U283" s="265"/>
      <c r="V283" s="265"/>
      <c r="W283" s="3"/>
      <c r="X283" s="265"/>
      <c r="Y283" s="265"/>
      <c r="Z283" s="3"/>
      <c r="AA283" s="265"/>
      <c r="AB283" s="265"/>
      <c r="AC283" s="69"/>
      <c r="AD283" s="318"/>
      <c r="AE283" s="318"/>
      <c r="AF283" s="69"/>
      <c r="AG283" s="318"/>
      <c r="AH283" s="318"/>
      <c r="AI283" s="69"/>
      <c r="AJ283" s="318"/>
      <c r="AK283" s="318"/>
      <c r="AL283" s="69"/>
      <c r="AM283" s="318"/>
      <c r="AN283" s="318"/>
      <c r="AO283" s="69"/>
      <c r="AP283" s="318"/>
      <c r="AQ283" s="318"/>
      <c r="AR283" s="69"/>
      <c r="AS283" s="318"/>
      <c r="AT283" s="318"/>
      <c r="AU283" s="318"/>
    </row>
    <row r="284" spans="1:47" outlineLevel="1">
      <c r="B284" s="226" t="s">
        <v>443</v>
      </c>
      <c r="C284" s="3"/>
      <c r="D284" s="3"/>
      <c r="E284" s="3"/>
      <c r="F284" s="265"/>
      <c r="G284" s="265"/>
      <c r="H284" s="23"/>
      <c r="I284" s="265"/>
      <c r="J284" s="265"/>
      <c r="K284" s="23"/>
      <c r="L284" s="265"/>
      <c r="M284" s="265"/>
      <c r="N284" s="23"/>
      <c r="O284" s="265"/>
      <c r="P284" s="265"/>
      <c r="Q284" s="3"/>
      <c r="R284" s="265"/>
      <c r="S284" s="265"/>
      <c r="T284" s="3"/>
      <c r="U284" s="265"/>
      <c r="V284" s="265"/>
      <c r="W284" s="3"/>
      <c r="X284" s="265"/>
      <c r="Y284" s="265"/>
      <c r="Z284" s="3"/>
      <c r="AA284" s="265"/>
      <c r="AB284" s="265"/>
      <c r="AC284" s="69"/>
      <c r="AD284" s="318"/>
      <c r="AE284" s="318"/>
      <c r="AF284" s="69"/>
      <c r="AG284" s="318"/>
      <c r="AH284" s="318"/>
      <c r="AI284" s="69"/>
      <c r="AJ284" s="318"/>
      <c r="AK284" s="318"/>
      <c r="AL284" s="69"/>
      <c r="AM284" s="318"/>
      <c r="AN284" s="318"/>
      <c r="AO284" s="69"/>
      <c r="AP284" s="318"/>
      <c r="AQ284" s="318"/>
      <c r="AR284" s="69"/>
      <c r="AS284" s="318"/>
      <c r="AT284" s="318"/>
      <c r="AU284" s="318"/>
    </row>
    <row r="285" spans="1:47" outlineLevel="1">
      <c r="B285" s="266" t="s">
        <v>446</v>
      </c>
      <c r="C285" s="24"/>
      <c r="D285" s="24"/>
      <c r="E285" s="24"/>
      <c r="F285" s="315"/>
      <c r="G285" s="315"/>
      <c r="H285" s="24"/>
      <c r="I285" s="315"/>
      <c r="J285" s="315"/>
      <c r="K285" s="24"/>
      <c r="L285" s="315"/>
      <c r="M285" s="315"/>
      <c r="N285" s="24"/>
      <c r="O285" s="315"/>
      <c r="P285" s="315"/>
      <c r="Q285" s="24"/>
      <c r="R285" s="315"/>
      <c r="S285" s="315"/>
      <c r="T285" s="24"/>
      <c r="U285" s="315">
        <f t="shared" ref="U285:AD285" si="973">U275/R275-1</f>
        <v>0.5495506065499709</v>
      </c>
      <c r="V285" s="315">
        <f t="shared" ref="V285:AA285" si="974">V275/S275-1</f>
        <v>9.2344868702583627E-2</v>
      </c>
      <c r="W285" s="24">
        <f t="shared" si="974"/>
        <v>-0.27244497324658845</v>
      </c>
      <c r="X285" s="315">
        <f t="shared" si="974"/>
        <v>-0.10546745608383101</v>
      </c>
      <c r="Y285" s="315">
        <f t="shared" si="974"/>
        <v>-0.12076792443290774</v>
      </c>
      <c r="Z285" s="24">
        <f t="shared" si="974"/>
        <v>0.64735700641288041</v>
      </c>
      <c r="AA285" s="315">
        <f t="shared" si="974"/>
        <v>0.21800771388414009</v>
      </c>
      <c r="AB285" s="315">
        <f t="shared" si="973"/>
        <v>0.16204439443712793</v>
      </c>
      <c r="AC285" s="92">
        <f t="shared" si="973"/>
        <v>0.24810695259608884</v>
      </c>
      <c r="AD285" s="348">
        <f t="shared" si="973"/>
        <v>0.21338160304247555</v>
      </c>
      <c r="AE285" s="348">
        <f>AE275/AB275-1</f>
        <v>0.68702518949466329</v>
      </c>
      <c r="AF285" s="92">
        <f t="shared" ref="AF285:AL285" si="975">AF275/AC275-1</f>
        <v>0.29378329123512459</v>
      </c>
      <c r="AG285" s="348">
        <f t="shared" si="975"/>
        <v>0.4457391582892487</v>
      </c>
      <c r="AH285" s="348">
        <f>AH275/AE275-1</f>
        <v>0.39156238842940727</v>
      </c>
      <c r="AI285" s="92">
        <f t="shared" si="975"/>
        <v>5.3333702638500124E-2</v>
      </c>
      <c r="AJ285" s="348">
        <f t="shared" si="975"/>
        <v>0.2058442045246569</v>
      </c>
      <c r="AK285" s="348">
        <f t="shared" si="975"/>
        <v>5.2997078547239118E-2</v>
      </c>
      <c r="AL285" s="92">
        <f t="shared" si="975"/>
        <v>0.10084479185271755</v>
      </c>
      <c r="AM285" s="348">
        <f>AM275/AJ275-1</f>
        <v>7.5946934128169774E-2</v>
      </c>
      <c r="AN285" s="348">
        <f t="shared" ref="AN285" si="976">AN275/AK275-1</f>
        <v>0.52537664736400047</v>
      </c>
      <c r="AO285" s="92">
        <f t="shared" ref="AO285" si="977">AO275/AL275-1</f>
        <v>0.44090071090685612</v>
      </c>
      <c r="AP285" s="348">
        <f>AP275/AM275-1</f>
        <v>0.48392068281116041</v>
      </c>
      <c r="AQ285" s="348">
        <f t="shared" ref="AQ285" si="978">AQ275/AN275-1</f>
        <v>-9.7831127586646915E-2</v>
      </c>
      <c r="AR285" s="92">
        <f t="shared" ref="AR285" si="979">AR275/AO275-1</f>
        <v>0.23692615916398507</v>
      </c>
      <c r="AS285" s="348">
        <f>AS275/AP275-1</f>
        <v>6.1686035077045398E-2</v>
      </c>
      <c r="AT285" s="348">
        <f>AT275/AS275-1</f>
        <v>6.3642138612520327E-2</v>
      </c>
      <c r="AU285" s="348">
        <f>AU275/AT275-1</f>
        <v>0.18366896428332047</v>
      </c>
    </row>
    <row r="286" spans="1:47" outlineLevel="1">
      <c r="B286" s="225" t="s">
        <v>447</v>
      </c>
      <c r="C286" s="24"/>
      <c r="D286" s="24"/>
      <c r="E286" s="24"/>
      <c r="F286" s="315"/>
      <c r="G286" s="315"/>
      <c r="H286" s="24"/>
      <c r="I286" s="315"/>
      <c r="J286" s="315"/>
      <c r="K286" s="24"/>
      <c r="L286" s="315"/>
      <c r="M286" s="315"/>
      <c r="N286" s="24"/>
      <c r="O286" s="315"/>
      <c r="P286" s="315"/>
      <c r="Q286" s="24"/>
      <c r="R286" s="315"/>
      <c r="S286" s="315"/>
      <c r="T286" s="92"/>
      <c r="U286" s="315">
        <f t="shared" ref="U286:AD286" si="980">U277/R277-1</f>
        <v>0.5495506065499709</v>
      </c>
      <c r="V286" s="315">
        <f t="shared" ref="V286:AA286" si="981">V277/S277-1</f>
        <v>9.2344868702583627E-2</v>
      </c>
      <c r="W286" s="92">
        <f t="shared" si="981"/>
        <v>-0.27244497324658845</v>
      </c>
      <c r="X286" s="315">
        <f t="shared" si="981"/>
        <v>-0.10546745608383101</v>
      </c>
      <c r="Y286" s="315">
        <f t="shared" si="981"/>
        <v>-0.12076792443290774</v>
      </c>
      <c r="Z286" s="92">
        <f t="shared" si="981"/>
        <v>0.64735700641288041</v>
      </c>
      <c r="AA286" s="315">
        <f t="shared" si="981"/>
        <v>0.21800771388414009</v>
      </c>
      <c r="AB286" s="315">
        <f t="shared" si="980"/>
        <v>0.16204439443712793</v>
      </c>
      <c r="AC286" s="92">
        <f t="shared" si="980"/>
        <v>0.24810695259608884</v>
      </c>
      <c r="AD286" s="348">
        <f t="shared" si="980"/>
        <v>0.21338160304247555</v>
      </c>
      <c r="AE286" s="348">
        <f>AE277/AB277-1</f>
        <v>0.68702518949466329</v>
      </c>
      <c r="AF286" s="92">
        <f t="shared" ref="AF286:AL286" si="982">AF277/AC277-1</f>
        <v>0.29378329123512459</v>
      </c>
      <c r="AG286" s="348">
        <f t="shared" si="982"/>
        <v>0.4457391582892487</v>
      </c>
      <c r="AH286" s="348">
        <f>AH277/AE277-1</f>
        <v>0.19345563219229955</v>
      </c>
      <c r="AI286" s="92">
        <f t="shared" si="982"/>
        <v>0.22537460934184472</v>
      </c>
      <c r="AJ286" s="348">
        <f t="shared" si="982"/>
        <v>0.21098204174106083</v>
      </c>
      <c r="AK286" s="348">
        <f t="shared" si="982"/>
        <v>0.22778852443865394</v>
      </c>
      <c r="AL286" s="92">
        <f t="shared" si="982"/>
        <v>-5.3712300065254182E-2</v>
      </c>
      <c r="AM286" s="348">
        <f>AM277/AJ277-1</f>
        <v>7.1382010776299465E-2</v>
      </c>
      <c r="AN286" s="348">
        <f t="shared" ref="AN286" si="983">AN277/AK277-1</f>
        <v>0.52537664736400047</v>
      </c>
      <c r="AO286" s="92">
        <f t="shared" ref="AO286" si="984">AO277/AL277-1</f>
        <v>0.44090071090685612</v>
      </c>
      <c r="AP286" s="348">
        <f>AP277/AM277-1</f>
        <v>0.48392068281116041</v>
      </c>
      <c r="AQ286" s="348">
        <f t="shared" ref="AQ286" si="985">AQ277/AN277-1</f>
        <v>-9.7831127586646915E-2</v>
      </c>
      <c r="AR286" s="92">
        <f t="shared" ref="AR286" si="986">AR277/AO277-1</f>
        <v>0.23692615916398507</v>
      </c>
      <c r="AS286" s="348">
        <f>AS277/AP277-1</f>
        <v>6.1686035077045398E-2</v>
      </c>
      <c r="AT286" s="348">
        <f>AT277/AS277-1</f>
        <v>6.3642138612520327E-2</v>
      </c>
      <c r="AU286" s="348">
        <f>AU277/AT277-1</f>
        <v>0.18366896428332047</v>
      </c>
    </row>
    <row r="287" spans="1:47" outlineLevel="1">
      <c r="B287" s="225"/>
      <c r="C287" s="33"/>
      <c r="D287" s="33"/>
      <c r="E287" s="33"/>
      <c r="F287" s="320"/>
      <c r="G287" s="320"/>
      <c r="H287" s="33"/>
      <c r="I287" s="320"/>
      <c r="J287" s="320"/>
      <c r="K287" s="33"/>
      <c r="L287" s="320"/>
      <c r="M287" s="320"/>
      <c r="N287" s="33"/>
      <c r="O287" s="320"/>
      <c r="P287" s="320"/>
      <c r="Q287" s="33"/>
      <c r="R287" s="320"/>
      <c r="S287" s="320"/>
      <c r="T287" s="93"/>
      <c r="U287" s="320"/>
      <c r="V287" s="320"/>
      <c r="W287" s="93"/>
      <c r="X287" s="320"/>
      <c r="Y287" s="320"/>
      <c r="Z287" s="93"/>
      <c r="AA287" s="320"/>
      <c r="AB287" s="320"/>
      <c r="AC287" s="93"/>
      <c r="AD287" s="349"/>
      <c r="AE287" s="349"/>
      <c r="AF287" s="93"/>
      <c r="AG287" s="349"/>
      <c r="AH287" s="349"/>
      <c r="AI287" s="93"/>
      <c r="AJ287" s="349"/>
      <c r="AK287" s="349"/>
      <c r="AL287" s="93"/>
      <c r="AM287" s="349"/>
      <c r="AN287" s="349"/>
      <c r="AO287" s="93"/>
      <c r="AP287" s="349"/>
      <c r="AQ287" s="349"/>
      <c r="AR287" s="93"/>
      <c r="AS287" s="349"/>
      <c r="AT287" s="349"/>
      <c r="AU287" s="349"/>
    </row>
    <row r="288" spans="1:47" s="54" customFormat="1" outlineLevel="1">
      <c r="A288" s="217"/>
      <c r="B288" s="200" t="s">
        <v>152</v>
      </c>
      <c r="C288" s="201"/>
      <c r="D288" s="201"/>
      <c r="E288" s="201"/>
      <c r="F288" s="280"/>
      <c r="G288" s="280"/>
      <c r="H288" s="201"/>
      <c r="I288" s="280"/>
      <c r="J288" s="280"/>
      <c r="K288" s="201"/>
      <c r="L288" s="280"/>
      <c r="M288" s="280"/>
      <c r="N288" s="201"/>
      <c r="O288" s="280"/>
      <c r="P288" s="280"/>
      <c r="Q288" s="201"/>
      <c r="R288" s="280"/>
      <c r="S288" s="280"/>
      <c r="T288" s="202"/>
      <c r="U288" s="280"/>
      <c r="V288" s="280"/>
      <c r="W288" s="202"/>
      <c r="X288" s="280"/>
      <c r="Y288" s="280"/>
      <c r="Z288" s="202"/>
      <c r="AA288" s="280"/>
      <c r="AB288" s="280"/>
      <c r="AC288" s="202"/>
      <c r="AD288" s="339"/>
      <c r="AE288" s="356"/>
      <c r="AF288" s="202"/>
      <c r="AG288" s="339"/>
      <c r="AH288" s="356"/>
      <c r="AI288" s="202"/>
      <c r="AJ288" s="339"/>
      <c r="AK288" s="339"/>
      <c r="AL288" s="202"/>
      <c r="AM288" s="339"/>
      <c r="AN288" s="339"/>
      <c r="AO288" s="202"/>
      <c r="AP288" s="339"/>
      <c r="AQ288" s="339"/>
      <c r="AR288" s="202"/>
      <c r="AS288" s="339"/>
      <c r="AT288" s="339"/>
      <c r="AU288" s="339"/>
    </row>
    <row r="289" spans="1:47" outlineLevel="1">
      <c r="B289" s="226" t="s">
        <v>147</v>
      </c>
      <c r="C289" s="21"/>
      <c r="D289" s="21"/>
      <c r="E289" s="21"/>
      <c r="F289" s="319"/>
      <c r="G289" s="319"/>
      <c r="H289" s="21"/>
      <c r="I289" s="319"/>
      <c r="J289" s="319"/>
      <c r="K289" s="21"/>
      <c r="L289" s="319"/>
      <c r="M289" s="319"/>
      <c r="N289" s="21"/>
      <c r="O289" s="319"/>
      <c r="P289" s="319"/>
      <c r="Q289" s="21"/>
      <c r="R289" s="319"/>
      <c r="S289" s="319"/>
      <c r="T289" s="39"/>
      <c r="U289" s="319"/>
      <c r="V289" s="319"/>
      <c r="W289" s="39"/>
      <c r="X289" s="319"/>
      <c r="Y289" s="319"/>
      <c r="Z289" s="39"/>
      <c r="AA289" s="319"/>
      <c r="AB289" s="319"/>
      <c r="AC289" s="39"/>
      <c r="AD289" s="319"/>
      <c r="AE289" s="319"/>
      <c r="AF289" s="39"/>
      <c r="AG289" s="319"/>
      <c r="AH289" s="319"/>
      <c r="AI289" s="39"/>
      <c r="AJ289" s="319"/>
      <c r="AK289" s="319"/>
      <c r="AL289" s="39"/>
      <c r="AM289" s="319"/>
      <c r="AN289" s="319"/>
      <c r="AO289" s="39"/>
      <c r="AP289" s="319"/>
      <c r="AQ289" s="319"/>
      <c r="AR289" s="39"/>
      <c r="AS289" s="319"/>
      <c r="AT289" s="319"/>
      <c r="AU289" s="319"/>
    </row>
    <row r="290" spans="1:47" outlineLevel="1">
      <c r="B290" s="225" t="s">
        <v>150</v>
      </c>
      <c r="C290" s="5"/>
      <c r="D290" s="5"/>
      <c r="E290" s="5"/>
      <c r="F290" s="281"/>
      <c r="G290" s="281"/>
      <c r="H290" s="5"/>
      <c r="I290" s="281"/>
      <c r="J290" s="281"/>
      <c r="K290" s="5"/>
      <c r="L290" s="281"/>
      <c r="M290" s="281"/>
      <c r="N290" s="5"/>
      <c r="O290" s="281">
        <f>O270</f>
        <v>4.4700000000000006</v>
      </c>
      <c r="P290" s="281"/>
      <c r="Q290" s="5"/>
      <c r="R290" s="281">
        <f t="shared" ref="R290:AU290" si="987">R270</f>
        <v>5.2629999999999999</v>
      </c>
      <c r="S290" s="281"/>
      <c r="T290" s="89"/>
      <c r="U290" s="281">
        <f t="shared" si="987"/>
        <v>8.202</v>
      </c>
      <c r="V290" s="281"/>
      <c r="W290" s="89"/>
      <c r="X290" s="281">
        <f t="shared" si="987"/>
        <v>7.3800000000000008</v>
      </c>
      <c r="Y290" s="281"/>
      <c r="Z290" s="89"/>
      <c r="AA290" s="281">
        <f t="shared" si="987"/>
        <v>9.0500000000000007</v>
      </c>
      <c r="AB290" s="281">
        <f>AB270</f>
        <v>4.25</v>
      </c>
      <c r="AC290" s="89"/>
      <c r="AD290" s="317">
        <f t="shared" si="987"/>
        <v>11.024999999999999</v>
      </c>
      <c r="AE290" s="317">
        <f>AE270</f>
        <v>7.2270000000000003</v>
      </c>
      <c r="AF290" s="89"/>
      <c r="AG290" s="317">
        <f t="shared" ref="AG290" si="988">AG270</f>
        <v>16.085999999999999</v>
      </c>
      <c r="AH290" s="317">
        <f>AH270</f>
        <v>10.115</v>
      </c>
      <c r="AI290" s="89"/>
      <c r="AJ290" s="317">
        <f t="shared" si="987"/>
        <v>19.479999999999997</v>
      </c>
      <c r="AK290" s="317">
        <f>AK270</f>
        <v>10.724</v>
      </c>
      <c r="AL290" s="89"/>
      <c r="AM290" s="317">
        <f t="shared" si="987"/>
        <v>21.087</v>
      </c>
      <c r="AN290" s="317">
        <f>AN270</f>
        <v>16.402999999999999</v>
      </c>
      <c r="AO290" s="89"/>
      <c r="AP290" s="317">
        <f t="shared" ref="AP290" si="989">AP270</f>
        <v>31.33</v>
      </c>
      <c r="AQ290" s="317">
        <f>AQ270</f>
        <v>14.794229820699718</v>
      </c>
      <c r="AR290" s="89"/>
      <c r="AS290" s="317">
        <f t="shared" si="987"/>
        <v>33.258075469020078</v>
      </c>
      <c r="AT290" s="317">
        <f t="shared" si="987"/>
        <v>35.374690518005117</v>
      </c>
      <c r="AU290" s="317">
        <f t="shared" si="987"/>
        <v>41.871923287290116</v>
      </c>
    </row>
    <row r="291" spans="1:47" outlineLevel="1">
      <c r="B291" s="225" t="s">
        <v>145</v>
      </c>
      <c r="C291" s="5"/>
      <c r="D291" s="5"/>
      <c r="E291" s="5"/>
      <c r="F291" s="281"/>
      <c r="G291" s="281"/>
      <c r="H291" s="5"/>
      <c r="I291" s="281"/>
      <c r="J291" s="281"/>
      <c r="K291" s="5"/>
      <c r="L291" s="281"/>
      <c r="M291" s="281"/>
      <c r="N291" s="5"/>
      <c r="O291" s="281">
        <f>O41</f>
        <v>0</v>
      </c>
      <c r="P291" s="281"/>
      <c r="Q291" s="5"/>
      <c r="R291" s="281">
        <f>R41</f>
        <v>0</v>
      </c>
      <c r="S291" s="281"/>
      <c r="T291" s="88"/>
      <c r="U291" s="281">
        <f>U41</f>
        <v>0</v>
      </c>
      <c r="V291" s="281"/>
      <c r="W291" s="88"/>
      <c r="X291" s="281">
        <f>X41</f>
        <v>0</v>
      </c>
      <c r="Y291" s="281"/>
      <c r="Z291" s="88"/>
      <c r="AA291" s="281">
        <f>AA41</f>
        <v>0</v>
      </c>
      <c r="AB291" s="281">
        <f>AB41</f>
        <v>0</v>
      </c>
      <c r="AC291" s="88"/>
      <c r="AD291" s="317">
        <f>AD41</f>
        <v>0</v>
      </c>
      <c r="AE291" s="317">
        <f>AE41</f>
        <v>0</v>
      </c>
      <c r="AF291" s="88"/>
      <c r="AG291" s="317">
        <f>AG41</f>
        <v>0</v>
      </c>
      <c r="AH291" s="317">
        <f>AH41</f>
        <v>0</v>
      </c>
      <c r="AI291" s="88"/>
      <c r="AJ291" s="317">
        <f>AJ41</f>
        <v>0</v>
      </c>
      <c r="AK291" s="317">
        <f>AK41</f>
        <v>2.37</v>
      </c>
      <c r="AL291" s="88"/>
      <c r="AM291" s="317">
        <f t="shared" ref="AM291:AU291" si="990">AM41</f>
        <v>4.4169999999999998</v>
      </c>
      <c r="AN291" s="317">
        <f>AN41</f>
        <v>2.1520000000000001</v>
      </c>
      <c r="AO291" s="88"/>
      <c r="AP291" s="317">
        <f t="shared" ref="AP291" si="991">AP41</f>
        <v>4.1079999999999997</v>
      </c>
      <c r="AQ291" s="317">
        <f>AQ41</f>
        <v>2.2154526861460897</v>
      </c>
      <c r="AR291" s="88"/>
      <c r="AS291" s="317">
        <f t="shared" si="990"/>
        <v>4.4309053722921794</v>
      </c>
      <c r="AT291" s="317">
        <f t="shared" si="990"/>
        <v>4.9389849379636699</v>
      </c>
      <c r="AU291" s="317">
        <f t="shared" si="990"/>
        <v>2</v>
      </c>
    </row>
    <row r="292" spans="1:47" outlineLevel="1">
      <c r="B292" s="225" t="s">
        <v>146</v>
      </c>
      <c r="C292" s="5"/>
      <c r="D292" s="5"/>
      <c r="E292" s="5"/>
      <c r="F292" s="281"/>
      <c r="G292" s="281"/>
      <c r="H292" s="5"/>
      <c r="I292" s="281"/>
      <c r="J292" s="281"/>
      <c r="K292" s="5"/>
      <c r="L292" s="281"/>
      <c r="M292" s="281"/>
      <c r="N292" s="5"/>
      <c r="O292" s="281">
        <f>O290+O291</f>
        <v>4.4700000000000006</v>
      </c>
      <c r="P292" s="281"/>
      <c r="Q292" s="5"/>
      <c r="R292" s="281">
        <f t="shared" ref="R292:AU292" si="992">R290+R291</f>
        <v>5.2629999999999999</v>
      </c>
      <c r="S292" s="281"/>
      <c r="T292" s="88"/>
      <c r="U292" s="281">
        <f t="shared" si="992"/>
        <v>8.202</v>
      </c>
      <c r="V292" s="281"/>
      <c r="W292" s="88"/>
      <c r="X292" s="281">
        <f t="shared" si="992"/>
        <v>7.3800000000000008</v>
      </c>
      <c r="Y292" s="281"/>
      <c r="Z292" s="88"/>
      <c r="AA292" s="281">
        <f t="shared" si="992"/>
        <v>9.0500000000000007</v>
      </c>
      <c r="AB292" s="281">
        <f>AB290+AB291</f>
        <v>4.25</v>
      </c>
      <c r="AC292" s="88"/>
      <c r="AD292" s="317">
        <f t="shared" si="992"/>
        <v>11.024999999999999</v>
      </c>
      <c r="AE292" s="317">
        <f>AE290+AE291</f>
        <v>7.2270000000000003</v>
      </c>
      <c r="AF292" s="88"/>
      <c r="AG292" s="317">
        <f t="shared" ref="AG292" si="993">AG290+AG291</f>
        <v>16.085999999999999</v>
      </c>
      <c r="AH292" s="317">
        <f>AH290+AH291</f>
        <v>10.115</v>
      </c>
      <c r="AI292" s="88"/>
      <c r="AJ292" s="317">
        <f t="shared" si="992"/>
        <v>19.479999999999997</v>
      </c>
      <c r="AK292" s="317">
        <f>AK290+AK291</f>
        <v>13.094000000000001</v>
      </c>
      <c r="AL292" s="88"/>
      <c r="AM292" s="317">
        <f t="shared" si="992"/>
        <v>25.503999999999998</v>
      </c>
      <c r="AN292" s="317">
        <f>AN290+AN291</f>
        <v>18.555</v>
      </c>
      <c r="AO292" s="88"/>
      <c r="AP292" s="317">
        <f t="shared" ref="AP292" si="994">AP290+AP291</f>
        <v>35.437999999999995</v>
      </c>
      <c r="AQ292" s="317">
        <f>AQ290+AQ291</f>
        <v>17.009682506845806</v>
      </c>
      <c r="AR292" s="88"/>
      <c r="AS292" s="317">
        <f t="shared" si="992"/>
        <v>37.688980841312258</v>
      </c>
      <c r="AT292" s="317">
        <f t="shared" si="992"/>
        <v>40.313675455968784</v>
      </c>
      <c r="AU292" s="317">
        <f t="shared" si="992"/>
        <v>43.871923287290116</v>
      </c>
    </row>
    <row r="293" spans="1:47" outlineLevel="1">
      <c r="B293" s="225" t="s">
        <v>441</v>
      </c>
      <c r="C293" s="5"/>
      <c r="D293" s="5"/>
      <c r="E293" s="5"/>
      <c r="F293" s="281"/>
      <c r="G293" s="281"/>
      <c r="H293" s="5"/>
      <c r="I293" s="281"/>
      <c r="J293" s="281"/>
      <c r="K293" s="5"/>
      <c r="L293" s="281"/>
      <c r="M293" s="281"/>
      <c r="N293" s="5"/>
      <c r="O293" s="281">
        <f>O104</f>
        <v>8.0090000000000003</v>
      </c>
      <c r="P293" s="281"/>
      <c r="Q293" s="5"/>
      <c r="R293" s="281">
        <f>R104</f>
        <v>-1.982</v>
      </c>
      <c r="S293" s="281"/>
      <c r="T293" s="88"/>
      <c r="U293" s="281">
        <f>U104</f>
        <v>5.2359999999999998</v>
      </c>
      <c r="V293" s="281"/>
      <c r="W293" s="88"/>
      <c r="X293" s="281">
        <f>X104</f>
        <v>8.7850000000000001</v>
      </c>
      <c r="Y293" s="281"/>
      <c r="Z293" s="88"/>
      <c r="AA293" s="281">
        <f>AA104</f>
        <v>22.057000000000002</v>
      </c>
      <c r="AB293" s="281">
        <f>AB104</f>
        <v>8.8419999999999987</v>
      </c>
      <c r="AC293" s="88"/>
      <c r="AD293" s="317">
        <f>AD104</f>
        <v>27.923999999999999</v>
      </c>
      <c r="AE293" s="317">
        <f>AE104</f>
        <v>2.79</v>
      </c>
      <c r="AF293" s="88"/>
      <c r="AG293" s="317">
        <f>AG104</f>
        <v>23.580000000000002</v>
      </c>
      <c r="AH293" s="317">
        <f>AH104</f>
        <v>4.6310000000000002</v>
      </c>
      <c r="AI293" s="88"/>
      <c r="AJ293" s="317">
        <f>AJ104</f>
        <v>29.326999999999998</v>
      </c>
      <c r="AK293" s="317">
        <f>AK104</f>
        <v>4.0480000000000009</v>
      </c>
      <c r="AL293" s="88"/>
      <c r="AM293" s="317">
        <f t="shared" ref="AM293:AU293" si="995">AM104</f>
        <v>22.855</v>
      </c>
      <c r="AN293" s="317">
        <f>AN104</f>
        <v>8.9870000000000019</v>
      </c>
      <c r="AO293" s="88"/>
      <c r="AP293" s="317">
        <f t="shared" ref="AP293" si="996">AP104</f>
        <v>40.69</v>
      </c>
      <c r="AQ293" s="317">
        <f>AQ104</f>
        <v>12.635246618552621</v>
      </c>
      <c r="AR293" s="88"/>
      <c r="AS293" s="317">
        <f t="shared" si="995"/>
        <v>30.167042351574359</v>
      </c>
      <c r="AT293" s="317">
        <f t="shared" si="995"/>
        <v>37.920443230964111</v>
      </c>
      <c r="AU293" s="317">
        <f t="shared" si="995"/>
        <v>44.775764828026993</v>
      </c>
    </row>
    <row r="294" spans="1:47" outlineLevel="1">
      <c r="B294" s="225"/>
      <c r="C294" s="5"/>
      <c r="D294" s="5"/>
      <c r="E294" s="5"/>
      <c r="F294" s="281"/>
      <c r="G294" s="281"/>
      <c r="H294" s="5"/>
      <c r="I294" s="281"/>
      <c r="J294" s="281"/>
      <c r="K294" s="5"/>
      <c r="L294" s="281"/>
      <c r="M294" s="281"/>
      <c r="N294" s="5"/>
      <c r="O294" s="281"/>
      <c r="P294" s="281"/>
      <c r="Q294" s="5"/>
      <c r="R294" s="281"/>
      <c r="S294" s="281"/>
      <c r="T294" s="88"/>
      <c r="U294" s="281"/>
      <c r="V294" s="281"/>
      <c r="W294" s="88"/>
      <c r="X294" s="281"/>
      <c r="Y294" s="281"/>
      <c r="Z294" s="88"/>
      <c r="AA294" s="281"/>
      <c r="AB294" s="281"/>
      <c r="AC294" s="88"/>
      <c r="AD294" s="317"/>
      <c r="AE294" s="317"/>
      <c r="AF294" s="88"/>
      <c r="AG294" s="317"/>
      <c r="AH294" s="317"/>
      <c r="AI294" s="88"/>
      <c r="AJ294" s="317"/>
      <c r="AK294" s="317"/>
      <c r="AL294" s="88"/>
      <c r="AM294" s="317"/>
      <c r="AN294" s="317"/>
      <c r="AO294" s="88"/>
      <c r="AP294" s="317"/>
      <c r="AQ294" s="317"/>
      <c r="AR294" s="88"/>
      <c r="AS294" s="317"/>
      <c r="AT294" s="317"/>
      <c r="AU294" s="317"/>
    </row>
    <row r="295" spans="1:47" outlineLevel="1">
      <c r="B295" s="226" t="s">
        <v>148</v>
      </c>
      <c r="C295" s="5"/>
      <c r="D295" s="5"/>
      <c r="E295" s="5"/>
      <c r="F295" s="281"/>
      <c r="G295" s="281"/>
      <c r="H295" s="5"/>
      <c r="I295" s="281"/>
      <c r="J295" s="281"/>
      <c r="K295" s="5"/>
      <c r="L295" s="281"/>
      <c r="M295" s="281"/>
      <c r="N295" s="5"/>
      <c r="O295" s="281"/>
      <c r="P295" s="281"/>
      <c r="Q295" s="5"/>
      <c r="R295" s="281"/>
      <c r="S295" s="281"/>
      <c r="T295" s="88"/>
      <c r="U295" s="281"/>
      <c r="V295" s="281"/>
      <c r="W295" s="88"/>
      <c r="X295" s="281"/>
      <c r="Y295" s="281"/>
      <c r="Z295" s="88"/>
      <c r="AA295" s="281"/>
      <c r="AB295" s="281"/>
      <c r="AC295" s="88"/>
      <c r="AD295" s="317"/>
      <c r="AE295" s="317"/>
      <c r="AF295" s="88"/>
      <c r="AG295" s="317"/>
      <c r="AH295" s="317"/>
      <c r="AI295" s="88"/>
      <c r="AJ295" s="317"/>
      <c r="AK295" s="317"/>
      <c r="AL295" s="88"/>
      <c r="AM295" s="317"/>
      <c r="AN295" s="317"/>
      <c r="AO295" s="88"/>
      <c r="AP295" s="317"/>
      <c r="AQ295" s="317"/>
      <c r="AR295" s="88"/>
      <c r="AS295" s="317"/>
      <c r="AT295" s="317"/>
      <c r="AU295" s="317"/>
    </row>
    <row r="296" spans="1:47" outlineLevel="1">
      <c r="B296" s="225" t="s">
        <v>149</v>
      </c>
      <c r="C296" s="5"/>
      <c r="D296" s="5"/>
      <c r="E296" s="5"/>
      <c r="F296" s="281"/>
      <c r="G296" s="281"/>
      <c r="H296" s="5"/>
      <c r="I296" s="281"/>
      <c r="J296" s="281"/>
      <c r="K296" s="5"/>
      <c r="L296" s="281"/>
      <c r="M296" s="281"/>
      <c r="N296" s="5"/>
      <c r="O296" s="281">
        <f>O292*100/O262</f>
        <v>4.937247419617222</v>
      </c>
      <c r="P296" s="281"/>
      <c r="Q296" s="5"/>
      <c r="R296" s="281">
        <f t="shared" ref="R296:AU296" si="997">R292*100/R262</f>
        <v>5.7774074782441849</v>
      </c>
      <c r="S296" s="281"/>
      <c r="T296" s="88"/>
      <c r="U296" s="281">
        <f t="shared" si="997"/>
        <v>8.9523852621996145</v>
      </c>
      <c r="V296" s="281"/>
      <c r="W296" s="88"/>
      <c r="X296" s="281">
        <f t="shared" si="997"/>
        <v>8.0081999627130411</v>
      </c>
      <c r="Y296" s="281"/>
      <c r="Z296" s="88"/>
      <c r="AA296" s="281">
        <f t="shared" si="997"/>
        <v>9.7540493289111669</v>
      </c>
      <c r="AB296" s="281">
        <f>AB292*100/AB262</f>
        <v>4.5734090066446411</v>
      </c>
      <c r="AC296" s="88"/>
      <c r="AD296" s="317">
        <f t="shared" si="997"/>
        <v>11.835384010869614</v>
      </c>
      <c r="AE296" s="317">
        <f>AE292*100/AE262</f>
        <v>7.7154561960712753</v>
      </c>
      <c r="AF296" s="88"/>
      <c r="AG296" s="317">
        <f t="shared" ref="AG296" si="998">AG292*100/AG262</f>
        <v>17.110878117904669</v>
      </c>
      <c r="AH296" s="317">
        <f>AH292*100/AH262</f>
        <v>10.736538652027413</v>
      </c>
      <c r="AI296" s="88"/>
      <c r="AJ296" s="317">
        <f t="shared" si="997"/>
        <v>20.633053212803112</v>
      </c>
      <c r="AK296" s="317">
        <f>AK292*100/AK262</f>
        <v>13.804064804760408</v>
      </c>
      <c r="AL296" s="88"/>
      <c r="AM296" s="317">
        <f t="shared" si="997"/>
        <v>26.850220235446759</v>
      </c>
      <c r="AN296" s="317">
        <f>AN292*100/AN262</f>
        <v>19.507707058224845</v>
      </c>
      <c r="AO296" s="88"/>
      <c r="AP296" s="317">
        <f t="shared" ref="AP296" si="999">AP292*100/AP262</f>
        <v>37.262659463596975</v>
      </c>
      <c r="AQ296" s="317">
        <f>AQ292*100/AQ262</f>
        <v>17.887936168390823</v>
      </c>
      <c r="AR296" s="88"/>
      <c r="AS296" s="317">
        <f t="shared" si="997"/>
        <v>39.634959868872627</v>
      </c>
      <c r="AT296" s="317">
        <f t="shared" si="997"/>
        <v>42.395174217941118</v>
      </c>
      <c r="AU296" s="317">
        <f t="shared" si="997"/>
        <v>46.137143537613859</v>
      </c>
    </row>
    <row r="297" spans="1:47" outlineLevel="1">
      <c r="B297" s="225" t="s">
        <v>151</v>
      </c>
      <c r="C297" s="5"/>
      <c r="D297" s="5"/>
      <c r="E297" s="5"/>
      <c r="F297" s="281"/>
      <c r="G297" s="281"/>
      <c r="H297" s="5"/>
      <c r="I297" s="281"/>
      <c r="J297" s="281"/>
      <c r="K297" s="5"/>
      <c r="L297" s="281"/>
      <c r="M297" s="281"/>
      <c r="N297" s="5"/>
      <c r="O297" s="281">
        <f>O293*100/O262</f>
        <v>8.8461777592202093</v>
      </c>
      <c r="P297" s="281"/>
      <c r="Q297" s="5"/>
      <c r="R297" s="281">
        <f t="shared" ref="R297:AU297" si="1000">R293*100/R262</f>
        <v>-2.1757213797985893</v>
      </c>
      <c r="S297" s="281"/>
      <c r="T297" s="88"/>
      <c r="U297" s="281">
        <f t="shared" si="1000"/>
        <v>5.7150316060567157</v>
      </c>
      <c r="V297" s="281"/>
      <c r="W297" s="88"/>
      <c r="X297" s="281">
        <f t="shared" si="1000"/>
        <v>9.5327962970777858</v>
      </c>
      <c r="Y297" s="281"/>
      <c r="Z297" s="88"/>
      <c r="AA297" s="281">
        <f t="shared" si="1000"/>
        <v>23.772935474894322</v>
      </c>
      <c r="AB297" s="281">
        <f>AB293*100/AB262</f>
        <v>9.5148429262945662</v>
      </c>
      <c r="AC297" s="88"/>
      <c r="AD297" s="317">
        <f t="shared" si="1000"/>
        <v>29.976531802224322</v>
      </c>
      <c r="AE297" s="317">
        <f>AE293*100/AE262</f>
        <v>2.9785696398282631</v>
      </c>
      <c r="AF297" s="88"/>
      <c r="AG297" s="317">
        <f t="shared" ref="AG297" si="1001">AG293*100/AG262</f>
        <v>25.08233905384758</v>
      </c>
      <c r="AH297" s="317">
        <f>AH293*100/AH262</f>
        <v>4.9155620857675686</v>
      </c>
      <c r="AI297" s="88"/>
      <c r="AJ297" s="317">
        <f t="shared" si="1000"/>
        <v>31.062913325045017</v>
      </c>
      <c r="AK297" s="317">
        <f>AK293*100/AK262</f>
        <v>4.2675159866862789</v>
      </c>
      <c r="AL297" s="88"/>
      <c r="AM297" s="317">
        <f t="shared" si="1000"/>
        <v>24.061393643394595</v>
      </c>
      <c r="AN297" s="317">
        <f>AN293*100/AN262</f>
        <v>9.4484377974813629</v>
      </c>
      <c r="AO297" s="88"/>
      <c r="AP297" s="317">
        <f t="shared" ref="AP297" si="1002">AP293*100/AP262</f>
        <v>42.785078547710398</v>
      </c>
      <c r="AQ297" s="317">
        <f>AQ293*100/AQ262</f>
        <v>13.287636902898139</v>
      </c>
      <c r="AR297" s="88"/>
      <c r="AS297" s="317">
        <f t="shared" si="1000"/>
        <v>31.724644346355316</v>
      </c>
      <c r="AT297" s="317">
        <f t="shared" si="1000"/>
        <v>39.878373257088967</v>
      </c>
      <c r="AU297" s="317">
        <f t="shared" si="1000"/>
        <v>47.087652742035182</v>
      </c>
    </row>
    <row r="298" spans="1:47" outlineLevel="1">
      <c r="B298" s="225"/>
      <c r="C298" s="18"/>
      <c r="D298" s="18"/>
      <c r="E298" s="18"/>
      <c r="F298" s="281"/>
      <c r="G298" s="281"/>
      <c r="H298" s="18"/>
      <c r="I298" s="281"/>
      <c r="J298" s="281"/>
      <c r="K298" s="18"/>
      <c r="L298" s="281"/>
      <c r="M298" s="281"/>
      <c r="N298" s="18"/>
      <c r="O298" s="281"/>
      <c r="P298" s="281"/>
      <c r="Q298" s="18"/>
      <c r="R298" s="281"/>
      <c r="S298" s="281"/>
      <c r="T298" s="88"/>
      <c r="U298" s="281"/>
      <c r="V298" s="281"/>
      <c r="W298" s="88"/>
      <c r="X298" s="281"/>
      <c r="Y298" s="281"/>
      <c r="Z298" s="88"/>
      <c r="AA298" s="281"/>
      <c r="AB298" s="281"/>
      <c r="AC298" s="88"/>
      <c r="AD298" s="317"/>
      <c r="AE298" s="317"/>
      <c r="AF298" s="88"/>
      <c r="AG298" s="317"/>
      <c r="AH298" s="317"/>
      <c r="AI298" s="88"/>
      <c r="AJ298" s="317"/>
      <c r="AK298" s="317"/>
      <c r="AL298" s="88"/>
      <c r="AM298" s="317"/>
      <c r="AN298" s="317"/>
      <c r="AO298" s="88"/>
      <c r="AP298" s="317"/>
      <c r="AQ298" s="317"/>
      <c r="AR298" s="88"/>
      <c r="AS298" s="317"/>
      <c r="AT298" s="317"/>
      <c r="AU298" s="317"/>
    </row>
    <row r="299" spans="1:47" s="54" customFormat="1">
      <c r="A299" s="217"/>
      <c r="B299" s="200" t="s">
        <v>154</v>
      </c>
      <c r="C299" s="201"/>
      <c r="D299" s="201"/>
      <c r="E299" s="201"/>
      <c r="F299" s="280"/>
      <c r="G299" s="280"/>
      <c r="H299" s="201"/>
      <c r="I299" s="280"/>
      <c r="J299" s="280"/>
      <c r="K299" s="201"/>
      <c r="L299" s="280"/>
      <c r="M299" s="280"/>
      <c r="N299" s="201"/>
      <c r="O299" s="280"/>
      <c r="P299" s="280"/>
      <c r="Q299" s="201"/>
      <c r="R299" s="280"/>
      <c r="S299" s="280"/>
      <c r="T299" s="202"/>
      <c r="U299" s="280"/>
      <c r="V299" s="280"/>
      <c r="W299" s="202"/>
      <c r="X299" s="280"/>
      <c r="Y299" s="280"/>
      <c r="Z299" s="202"/>
      <c r="AA299" s="280"/>
      <c r="AB299" s="280"/>
      <c r="AC299" s="202"/>
      <c r="AD299" s="339"/>
      <c r="AE299" s="356"/>
      <c r="AF299" s="202"/>
      <c r="AG299" s="339"/>
      <c r="AH299" s="356"/>
      <c r="AI299" s="202"/>
      <c r="AJ299" s="339"/>
      <c r="AK299" s="339"/>
      <c r="AL299" s="202"/>
      <c r="AM299" s="339"/>
      <c r="AN299" s="339"/>
      <c r="AO299" s="202"/>
      <c r="AP299" s="339"/>
      <c r="AQ299" s="339"/>
      <c r="AR299" s="202"/>
      <c r="AS299" s="339"/>
      <c r="AT299" s="339"/>
      <c r="AU299" s="339"/>
    </row>
    <row r="300" spans="1:47">
      <c r="B300" s="225" t="s">
        <v>153</v>
      </c>
      <c r="C300" s="5"/>
      <c r="D300" s="5"/>
      <c r="E300" s="5"/>
      <c r="F300" s="281"/>
      <c r="G300" s="281"/>
      <c r="H300" s="5"/>
      <c r="I300" s="281"/>
      <c r="J300" s="281"/>
      <c r="K300" s="5"/>
      <c r="L300" s="281"/>
      <c r="M300" s="281"/>
      <c r="N300" s="5"/>
      <c r="O300" s="281"/>
      <c r="P300" s="281"/>
      <c r="Q300" s="5"/>
      <c r="R300" s="281"/>
      <c r="S300" s="281">
        <f>S66+S67</f>
        <v>0</v>
      </c>
      <c r="T300" s="88">
        <f>U300-S300</f>
        <v>5</v>
      </c>
      <c r="U300" s="281">
        <f>U66+U67</f>
        <v>5</v>
      </c>
      <c r="V300" s="281">
        <f>V66+V67</f>
        <v>0</v>
      </c>
      <c r="W300" s="88">
        <f>X300-V300</f>
        <v>5</v>
      </c>
      <c r="X300" s="281">
        <f>X66+X67</f>
        <v>5</v>
      </c>
      <c r="Y300" s="281">
        <f>Y66+Y67</f>
        <v>0</v>
      </c>
      <c r="Z300" s="88">
        <f>AA300-Y300</f>
        <v>6</v>
      </c>
      <c r="AA300" s="281">
        <f>AA66+AA67</f>
        <v>6</v>
      </c>
      <c r="AB300" s="281">
        <f>AB66+AB67</f>
        <v>0</v>
      </c>
      <c r="AC300" s="88">
        <f>AD300-AB300</f>
        <v>7</v>
      </c>
      <c r="AD300" s="281">
        <f>AD66+AD67</f>
        <v>7</v>
      </c>
      <c r="AE300" s="281">
        <f>AE66+AE67</f>
        <v>0</v>
      </c>
      <c r="AF300" s="88">
        <f>AG300-AE300</f>
        <v>9</v>
      </c>
      <c r="AG300" s="281">
        <f>AG66+AG67</f>
        <v>9</v>
      </c>
      <c r="AH300" s="281">
        <f>AH66+AH67</f>
        <v>0</v>
      </c>
      <c r="AI300" s="88">
        <f>AJ300-AH300</f>
        <v>11</v>
      </c>
      <c r="AJ300" s="281">
        <f>AJ66+AJ67</f>
        <v>11</v>
      </c>
      <c r="AK300" s="281">
        <f>AK66+AK67</f>
        <v>0</v>
      </c>
      <c r="AL300" s="88">
        <f>AM300-AK300</f>
        <v>13.5</v>
      </c>
      <c r="AM300" s="281">
        <f t="shared" ref="AM300:AU300" si="1003">AM66+AM67</f>
        <v>13.5</v>
      </c>
      <c r="AN300" s="281">
        <f>AN66+AN67</f>
        <v>0</v>
      </c>
      <c r="AO300" s="88">
        <f>AP300-AN300</f>
        <v>17</v>
      </c>
      <c r="AP300" s="281">
        <f t="shared" ref="AP300" si="1004">AP66+AP67</f>
        <v>17</v>
      </c>
      <c r="AQ300" s="281">
        <f>AQ66+AQ67</f>
        <v>0</v>
      </c>
      <c r="AR300" s="88">
        <f>AS300-AQ300</f>
        <v>13.435944487552517</v>
      </c>
      <c r="AS300" s="317">
        <f t="shared" si="1003"/>
        <v>13.435944487552517</v>
      </c>
      <c r="AT300" s="317">
        <f t="shared" si="1003"/>
        <v>15.835401853016135</v>
      </c>
      <c r="AU300" s="317">
        <f t="shared" si="1003"/>
        <v>20.581504456598854</v>
      </c>
    </row>
    <row r="301" spans="1:47">
      <c r="B301" s="225" t="s">
        <v>342</v>
      </c>
      <c r="C301" s="62"/>
      <c r="D301" s="62"/>
      <c r="E301" s="45"/>
      <c r="F301" s="321"/>
      <c r="G301" s="328"/>
      <c r="H301" s="45"/>
      <c r="I301" s="321"/>
      <c r="J301" s="328"/>
      <c r="K301" s="45"/>
      <c r="L301" s="498">
        <v>1</v>
      </c>
      <c r="M301" s="328"/>
      <c r="N301" s="45"/>
      <c r="O301" s="498">
        <v>1</v>
      </c>
      <c r="P301" s="328"/>
      <c r="Q301" s="45"/>
      <c r="R301" s="498">
        <v>1</v>
      </c>
      <c r="S301" s="328"/>
      <c r="T301" s="79"/>
      <c r="U301" s="500">
        <v>0.8</v>
      </c>
      <c r="V301" s="328"/>
      <c r="W301" s="79"/>
      <c r="X301" s="498">
        <v>1</v>
      </c>
      <c r="Y301" s="328"/>
      <c r="Z301" s="79"/>
      <c r="AA301" s="498">
        <v>0.83333333333333337</v>
      </c>
      <c r="AB301" s="328"/>
      <c r="AC301" s="79"/>
      <c r="AD301" s="498">
        <v>1</v>
      </c>
      <c r="AE301" s="350"/>
      <c r="AF301" s="79"/>
      <c r="AG301" s="498">
        <v>1</v>
      </c>
      <c r="AH301" s="350"/>
      <c r="AI301" s="79"/>
      <c r="AJ301" s="350"/>
      <c r="AK301" s="350"/>
      <c r="AL301" s="79"/>
      <c r="AM301" s="350"/>
      <c r="AN301" s="350"/>
      <c r="AO301" s="79"/>
      <c r="AP301" s="350"/>
      <c r="AQ301" s="350"/>
      <c r="AR301" s="79"/>
      <c r="AS301" s="350"/>
      <c r="AT301" s="350"/>
      <c r="AU301" s="350"/>
    </row>
    <row r="302" spans="1:47">
      <c r="B302" s="225"/>
      <c r="C302" s="19"/>
      <c r="D302" s="19"/>
      <c r="E302" s="19"/>
      <c r="F302" s="227"/>
      <c r="G302" s="227"/>
      <c r="H302" s="19"/>
      <c r="I302" s="227"/>
      <c r="J302" s="227"/>
      <c r="K302" s="19"/>
      <c r="L302" s="227"/>
      <c r="M302" s="227"/>
      <c r="N302" s="19"/>
      <c r="O302" s="227"/>
      <c r="P302" s="227"/>
      <c r="Q302" s="19"/>
      <c r="R302" s="227"/>
      <c r="S302" s="227"/>
      <c r="T302" s="73"/>
      <c r="U302" s="227"/>
      <c r="V302" s="227"/>
      <c r="W302" s="73"/>
      <c r="X302" s="227"/>
      <c r="Y302" s="227"/>
      <c r="Z302" s="73"/>
      <c r="AA302" s="227"/>
      <c r="AB302" s="227"/>
      <c r="AC302" s="73"/>
      <c r="AD302" s="336"/>
      <c r="AE302" s="336"/>
      <c r="AF302" s="73"/>
      <c r="AG302" s="336"/>
      <c r="AH302" s="336"/>
      <c r="AI302" s="73"/>
      <c r="AJ302" s="336"/>
      <c r="AK302" s="336"/>
      <c r="AL302" s="73"/>
      <c r="AM302" s="336"/>
      <c r="AN302" s="336"/>
      <c r="AO302" s="73"/>
      <c r="AP302" s="336"/>
      <c r="AQ302" s="336"/>
      <c r="AR302" s="73"/>
      <c r="AS302" s="336"/>
      <c r="AT302" s="336"/>
      <c r="AU302" s="336"/>
    </row>
    <row r="303" spans="1:47" s="54" customFormat="1" hidden="1" outlineLevel="1">
      <c r="A303" s="217"/>
      <c r="B303" s="200" t="s">
        <v>158</v>
      </c>
      <c r="C303" s="201"/>
      <c r="D303" s="201"/>
      <c r="E303" s="201"/>
      <c r="F303" s="280"/>
      <c r="G303" s="280"/>
      <c r="H303" s="201"/>
      <c r="I303" s="280"/>
      <c r="J303" s="280"/>
      <c r="K303" s="201"/>
      <c r="L303" s="280"/>
      <c r="M303" s="280"/>
      <c r="N303" s="201"/>
      <c r="O303" s="280"/>
      <c r="P303" s="280"/>
      <c r="Q303" s="201"/>
      <c r="R303" s="280"/>
      <c r="S303" s="280"/>
      <c r="T303" s="202"/>
      <c r="U303" s="280"/>
      <c r="V303" s="280"/>
      <c r="W303" s="202"/>
      <c r="X303" s="280"/>
      <c r="Y303" s="280"/>
      <c r="Z303" s="202"/>
      <c r="AA303" s="280"/>
      <c r="AB303" s="280"/>
      <c r="AC303" s="202"/>
      <c r="AD303" s="339"/>
      <c r="AE303" s="356"/>
      <c r="AF303" s="202"/>
      <c r="AG303" s="339"/>
      <c r="AH303" s="356"/>
      <c r="AI303" s="202"/>
      <c r="AJ303" s="339"/>
      <c r="AK303" s="339"/>
      <c r="AL303" s="202"/>
      <c r="AM303" s="339"/>
      <c r="AN303" s="339"/>
      <c r="AO303" s="202"/>
      <c r="AP303" s="339"/>
      <c r="AQ303" s="339"/>
      <c r="AR303" s="202"/>
      <c r="AS303" s="339"/>
      <c r="AT303" s="339"/>
      <c r="AU303" s="339"/>
    </row>
    <row r="304" spans="1:47" hidden="1" outlineLevel="1">
      <c r="B304" s="225" t="s">
        <v>160</v>
      </c>
      <c r="C304" s="5"/>
      <c r="D304" s="5"/>
      <c r="E304" s="5"/>
      <c r="F304" s="281"/>
      <c r="G304" s="281"/>
      <c r="H304" s="5"/>
      <c r="I304" s="281"/>
      <c r="J304" s="281"/>
      <c r="K304" s="5"/>
      <c r="L304" s="281"/>
      <c r="M304" s="281"/>
      <c r="N304" s="5"/>
      <c r="O304" s="281"/>
      <c r="P304" s="281"/>
      <c r="Q304" s="5"/>
      <c r="R304" s="281"/>
      <c r="S304" s="281"/>
      <c r="T304" s="88"/>
      <c r="U304" s="281">
        <f t="shared" ref="U304:AU304" si="1005">U186</f>
        <v>21.334000000000003</v>
      </c>
      <c r="V304" s="281">
        <f t="shared" si="1005"/>
        <v>20.734999999999999</v>
      </c>
      <c r="W304" s="88">
        <f t="shared" si="1005"/>
        <v>24.727999999999998</v>
      </c>
      <c r="X304" s="281">
        <f t="shared" si="1005"/>
        <v>24.727999999999998</v>
      </c>
      <c r="Y304" s="281">
        <f t="shared" si="1005"/>
        <v>23.718</v>
      </c>
      <c r="Z304" s="88">
        <f t="shared" si="1005"/>
        <v>30.15</v>
      </c>
      <c r="AA304" s="281">
        <f t="shared" si="1005"/>
        <v>30.15</v>
      </c>
      <c r="AB304" s="281">
        <f t="shared" si="1005"/>
        <v>29.855</v>
      </c>
      <c r="AC304" s="88">
        <f t="shared" si="1005"/>
        <v>35.343000000000004</v>
      </c>
      <c r="AD304" s="317">
        <f t="shared" si="1005"/>
        <v>35.343000000000004</v>
      </c>
      <c r="AE304" s="317">
        <f t="shared" si="1005"/>
        <v>36.561</v>
      </c>
      <c r="AF304" s="88">
        <f t="shared" si="1005"/>
        <v>46.951000000000001</v>
      </c>
      <c r="AG304" s="317">
        <f t="shared" si="1005"/>
        <v>46.951000000000001</v>
      </c>
      <c r="AH304" s="317">
        <f t="shared" si="1005"/>
        <v>48.598000000000006</v>
      </c>
      <c r="AI304" s="88">
        <f t="shared" si="1005"/>
        <v>61.957000000000001</v>
      </c>
      <c r="AJ304" s="317">
        <f t="shared" si="1005"/>
        <v>61.957000000000001</v>
      </c>
      <c r="AK304" s="317">
        <f t="shared" si="1005"/>
        <v>63.332000000000001</v>
      </c>
      <c r="AL304" s="88">
        <f t="shared" si="1005"/>
        <v>73.549000000000007</v>
      </c>
      <c r="AM304" s="317">
        <f t="shared" si="1005"/>
        <v>73.549000000000007</v>
      </c>
      <c r="AN304" s="317">
        <f t="shared" ref="AN304:AP304" si="1006">AN186</f>
        <v>77.11699999999999</v>
      </c>
      <c r="AO304" s="88">
        <f t="shared" si="1006"/>
        <v>92.300999999999988</v>
      </c>
      <c r="AP304" s="317">
        <f t="shared" si="1006"/>
        <v>92.300999999999988</v>
      </c>
      <c r="AQ304" s="317">
        <f t="shared" si="1005"/>
        <v>90.929888000699719</v>
      </c>
      <c r="AR304" s="88">
        <f t="shared" si="1005"/>
        <v>109.39373364902008</v>
      </c>
      <c r="AS304" s="317">
        <f t="shared" si="1005"/>
        <v>109.39373364902008</v>
      </c>
      <c r="AT304" s="317">
        <f t="shared" si="1005"/>
        <v>131.99215150138809</v>
      </c>
      <c r="AU304" s="317">
        <f t="shared" si="1005"/>
        <v>158.80615221155659</v>
      </c>
    </row>
    <row r="305" spans="1:47" hidden="1" outlineLevel="1">
      <c r="B305" s="225" t="s">
        <v>159</v>
      </c>
      <c r="C305" s="5"/>
      <c r="D305" s="5"/>
      <c r="E305" s="5"/>
      <c r="F305" s="281"/>
      <c r="G305" s="281"/>
      <c r="H305" s="5"/>
      <c r="I305" s="281"/>
      <c r="J305" s="281"/>
      <c r="K305" s="5"/>
      <c r="L305" s="281"/>
      <c r="M305" s="281"/>
      <c r="N305" s="5"/>
      <c r="O305" s="281"/>
      <c r="P305" s="281"/>
      <c r="Q305" s="5"/>
      <c r="R305" s="281"/>
      <c r="S305" s="281"/>
      <c r="T305" s="89"/>
      <c r="U305" s="281">
        <f t="shared" ref="U305:AU305" si="1007">U147+U150+U151</f>
        <v>9.452</v>
      </c>
      <c r="V305" s="281">
        <f t="shared" si="1007"/>
        <v>9.2949999999999999</v>
      </c>
      <c r="W305" s="89">
        <f t="shared" si="1007"/>
        <v>9.3780000000000001</v>
      </c>
      <c r="X305" s="281">
        <f t="shared" si="1007"/>
        <v>9.3780000000000001</v>
      </c>
      <c r="Y305" s="281">
        <f t="shared" si="1007"/>
        <v>9.5039999999999996</v>
      </c>
      <c r="Z305" s="89">
        <f t="shared" si="1007"/>
        <v>13.228999999999999</v>
      </c>
      <c r="AA305" s="281">
        <f t="shared" si="1007"/>
        <v>13.228999999999999</v>
      </c>
      <c r="AB305" s="281">
        <f t="shared" si="1007"/>
        <v>18.204999999999998</v>
      </c>
      <c r="AC305" s="89">
        <f t="shared" si="1007"/>
        <v>17.481000000000002</v>
      </c>
      <c r="AD305" s="317">
        <f t="shared" si="1007"/>
        <v>17.481000000000002</v>
      </c>
      <c r="AE305" s="317">
        <f t="shared" si="1007"/>
        <v>35.506</v>
      </c>
      <c r="AF305" s="89">
        <f t="shared" si="1007"/>
        <v>35.543999999999997</v>
      </c>
      <c r="AG305" s="317">
        <f t="shared" si="1007"/>
        <v>35.543999999999997</v>
      </c>
      <c r="AH305" s="317">
        <f t="shared" si="1007"/>
        <v>35.365000000000002</v>
      </c>
      <c r="AI305" s="89">
        <f t="shared" si="1007"/>
        <v>40.725999999999999</v>
      </c>
      <c r="AJ305" s="317">
        <f t="shared" si="1007"/>
        <v>40.725999999999999</v>
      </c>
      <c r="AK305" s="317">
        <f t="shared" si="1007"/>
        <v>40.725999999999999</v>
      </c>
      <c r="AL305" s="89">
        <f t="shared" si="1007"/>
        <v>41.115000000000002</v>
      </c>
      <c r="AM305" s="317">
        <f t="shared" si="1007"/>
        <v>41.115000000000002</v>
      </c>
      <c r="AN305" s="317">
        <f t="shared" ref="AN305:AP305" si="1008">AN147+AN150+AN151</f>
        <v>47.231999999999999</v>
      </c>
      <c r="AO305" s="89">
        <f t="shared" si="1008"/>
        <v>53.406999999999996</v>
      </c>
      <c r="AP305" s="317">
        <f t="shared" si="1008"/>
        <v>53.406999999999996</v>
      </c>
      <c r="AQ305" s="317">
        <f t="shared" si="1007"/>
        <v>62.252155041878979</v>
      </c>
      <c r="AR305" s="89">
        <f t="shared" si="1007"/>
        <v>67.82455779108281</v>
      </c>
      <c r="AS305" s="317">
        <f t="shared" si="1007"/>
        <v>67.82455779108281</v>
      </c>
      <c r="AT305" s="317">
        <f t="shared" si="1007"/>
        <v>75.866822786451976</v>
      </c>
      <c r="AU305" s="317">
        <f t="shared" si="1007"/>
        <v>80.926575992983942</v>
      </c>
    </row>
    <row r="306" spans="1:47" hidden="1" outlineLevel="1">
      <c r="B306" s="225" t="s">
        <v>161</v>
      </c>
      <c r="C306" s="5"/>
      <c r="D306" s="5"/>
      <c r="E306" s="5"/>
      <c r="F306" s="281"/>
      <c r="G306" s="281"/>
      <c r="H306" s="5"/>
      <c r="I306" s="281"/>
      <c r="J306" s="281"/>
      <c r="K306" s="5"/>
      <c r="L306" s="281"/>
      <c r="M306" s="281"/>
      <c r="N306" s="5"/>
      <c r="O306" s="281"/>
      <c r="P306" s="281"/>
      <c r="Q306" s="5"/>
      <c r="R306" s="281"/>
      <c r="S306" s="281"/>
      <c r="T306" s="88"/>
      <c r="U306" s="281">
        <f t="shared" ref="U306:AL306" si="1009">U304-U305</f>
        <v>11.882000000000003</v>
      </c>
      <c r="V306" s="281">
        <f t="shared" si="1009"/>
        <v>11.44</v>
      </c>
      <c r="W306" s="88">
        <f t="shared" si="1009"/>
        <v>15.349999999999998</v>
      </c>
      <c r="X306" s="281">
        <f t="shared" si="1009"/>
        <v>15.349999999999998</v>
      </c>
      <c r="Y306" s="281">
        <f t="shared" si="1009"/>
        <v>14.214</v>
      </c>
      <c r="Z306" s="88">
        <f t="shared" si="1009"/>
        <v>16.920999999999999</v>
      </c>
      <c r="AA306" s="281">
        <f t="shared" si="1009"/>
        <v>16.920999999999999</v>
      </c>
      <c r="AB306" s="281">
        <f t="shared" si="1009"/>
        <v>11.650000000000002</v>
      </c>
      <c r="AC306" s="88">
        <f t="shared" si="1009"/>
        <v>17.862000000000002</v>
      </c>
      <c r="AD306" s="317">
        <f t="shared" si="1009"/>
        <v>17.862000000000002</v>
      </c>
      <c r="AE306" s="317">
        <f t="shared" si="1009"/>
        <v>1.0549999999999997</v>
      </c>
      <c r="AF306" s="88">
        <f t="shared" si="1009"/>
        <v>11.407000000000004</v>
      </c>
      <c r="AG306" s="317">
        <f t="shared" si="1009"/>
        <v>11.407000000000004</v>
      </c>
      <c r="AH306" s="317">
        <f t="shared" ref="AH306" si="1010">AH304-AH305</f>
        <v>13.233000000000004</v>
      </c>
      <c r="AI306" s="88">
        <f t="shared" si="1009"/>
        <v>21.231000000000002</v>
      </c>
      <c r="AJ306" s="317">
        <f t="shared" si="1009"/>
        <v>21.231000000000002</v>
      </c>
      <c r="AK306" s="317">
        <f t="shared" si="1009"/>
        <v>22.606000000000002</v>
      </c>
      <c r="AL306" s="88">
        <f t="shared" si="1009"/>
        <v>32.434000000000005</v>
      </c>
      <c r="AM306" s="317">
        <f t="shared" ref="AM306:AU306" si="1011">AM304-AM305</f>
        <v>32.434000000000005</v>
      </c>
      <c r="AN306" s="317">
        <f t="shared" si="1011"/>
        <v>29.884999999999991</v>
      </c>
      <c r="AO306" s="88">
        <f t="shared" si="1011"/>
        <v>38.893999999999991</v>
      </c>
      <c r="AP306" s="317">
        <f t="shared" ref="AP306" si="1012">AP304-AP305</f>
        <v>38.893999999999991</v>
      </c>
      <c r="AQ306" s="317">
        <f t="shared" ref="AQ306:AR306" si="1013">AQ304-AQ305</f>
        <v>28.677732958820741</v>
      </c>
      <c r="AR306" s="88">
        <f t="shared" si="1013"/>
        <v>41.569175857937267</v>
      </c>
      <c r="AS306" s="317">
        <f t="shared" si="1011"/>
        <v>41.569175857937267</v>
      </c>
      <c r="AT306" s="317">
        <f t="shared" si="1011"/>
        <v>56.125328714936117</v>
      </c>
      <c r="AU306" s="317">
        <f t="shared" si="1011"/>
        <v>77.879576218572652</v>
      </c>
    </row>
    <row r="307" spans="1:47" hidden="1" outlineLevel="1">
      <c r="B307" s="225" t="s">
        <v>163</v>
      </c>
      <c r="C307" s="22"/>
      <c r="D307" s="22"/>
      <c r="E307" s="22"/>
      <c r="F307" s="322"/>
      <c r="G307" s="322"/>
      <c r="H307" s="22"/>
      <c r="I307" s="322"/>
      <c r="J307" s="322"/>
      <c r="K307" s="22"/>
      <c r="L307" s="322"/>
      <c r="M307" s="322"/>
      <c r="N307" s="22"/>
      <c r="O307" s="322"/>
      <c r="P307" s="322"/>
      <c r="Q307" s="22"/>
      <c r="R307" s="322"/>
      <c r="S307" s="322"/>
      <c r="T307" s="94"/>
      <c r="U307" s="322">
        <f t="shared" ref="U307:AL307" si="1014">U304*100/U259</f>
        <v>23.24774482218707</v>
      </c>
      <c r="V307" s="322">
        <f t="shared" si="1014"/>
        <v>22.570417061576396</v>
      </c>
      <c r="W307" s="94">
        <f t="shared" si="1014"/>
        <v>26.74944455797381</v>
      </c>
      <c r="X307" s="322">
        <f t="shared" si="1014"/>
        <v>26.74944455797381</v>
      </c>
      <c r="Y307" s="322">
        <f t="shared" si="1014"/>
        <v>25.589943797284839</v>
      </c>
      <c r="Z307" s="94">
        <f t="shared" si="1014"/>
        <v>32.461550665988277</v>
      </c>
      <c r="AA307" s="322">
        <f t="shared" si="1014"/>
        <v>32.461550665988277</v>
      </c>
      <c r="AB307" s="322">
        <f t="shared" si="1014"/>
        <v>32.109790941545654</v>
      </c>
      <c r="AC307" s="94">
        <f t="shared" si="1014"/>
        <v>37.869716325147934</v>
      </c>
      <c r="AD307" s="351">
        <f t="shared" si="1014"/>
        <v>37.869716325147934</v>
      </c>
      <c r="AE307" s="351">
        <f t="shared" si="1014"/>
        <v>38.890390082600561</v>
      </c>
      <c r="AF307" s="94">
        <f t="shared" si="1014"/>
        <v>49.942362210228914</v>
      </c>
      <c r="AG307" s="351">
        <f t="shared" si="1014"/>
        <v>49.942362210228914</v>
      </c>
      <c r="AH307" s="351">
        <f t="shared" ref="AH307" si="1015">AH304*100/AH259</f>
        <v>51.474595484384281</v>
      </c>
      <c r="AI307" s="94">
        <f t="shared" si="1014"/>
        <v>65.624336648133607</v>
      </c>
      <c r="AJ307" s="351">
        <f t="shared" si="1014"/>
        <v>65.316820154921373</v>
      </c>
      <c r="AK307" s="351">
        <f t="shared" si="1014"/>
        <v>66.766384009094708</v>
      </c>
      <c r="AL307" s="94">
        <f t="shared" si="1014"/>
        <v>77.537434116795723</v>
      </c>
      <c r="AM307" s="351">
        <f t="shared" ref="AM307:AU307" si="1016">AM304*100/AM259</f>
        <v>77.325375716808367</v>
      </c>
      <c r="AN307" s="351">
        <f t="shared" si="1016"/>
        <v>81.07657478895851</v>
      </c>
      <c r="AO307" s="94">
        <f t="shared" si="1016"/>
        <v>97.040197746225331</v>
      </c>
      <c r="AP307" s="351">
        <f t="shared" ref="AP307" si="1017">AP304*100/AP259</f>
        <v>97.066738054290013</v>
      </c>
      <c r="AQ307" s="351">
        <f t="shared" ref="AQ307:AR307" si="1018">AQ304*100/AQ259</f>
        <v>95.624832015577837</v>
      </c>
      <c r="AR307" s="94">
        <f t="shared" si="1018"/>
        <v>115.04201350895661</v>
      </c>
      <c r="AS307" s="351">
        <f t="shared" si="1016"/>
        <v>115.04201350895661</v>
      </c>
      <c r="AT307" s="351">
        <f t="shared" si="1016"/>
        <v>138.80724580456769</v>
      </c>
      <c r="AU307" s="351">
        <f t="shared" si="1016"/>
        <v>167.00572234459949</v>
      </c>
    </row>
    <row r="308" spans="1:47" hidden="1" outlineLevel="1">
      <c r="B308" s="225" t="s">
        <v>162</v>
      </c>
      <c r="C308" s="22"/>
      <c r="D308" s="22"/>
      <c r="E308" s="22"/>
      <c r="F308" s="322"/>
      <c r="G308" s="322"/>
      <c r="H308" s="22"/>
      <c r="I308" s="322"/>
      <c r="J308" s="322"/>
      <c r="K308" s="22"/>
      <c r="L308" s="322"/>
      <c r="M308" s="322"/>
      <c r="N308" s="22"/>
      <c r="O308" s="322"/>
      <c r="P308" s="322"/>
      <c r="Q308" s="22"/>
      <c r="R308" s="322"/>
      <c r="S308" s="322"/>
      <c r="T308" s="94"/>
      <c r="U308" s="322">
        <f t="shared" ref="U308:AL308" si="1019">U306*100/U259</f>
        <v>12.947862753221465</v>
      </c>
      <c r="V308" s="322">
        <f t="shared" si="1019"/>
        <v>12.452643896042149</v>
      </c>
      <c r="W308" s="94">
        <f t="shared" si="1019"/>
        <v>16.60481939359827</v>
      </c>
      <c r="X308" s="322">
        <f t="shared" si="1019"/>
        <v>16.60481939359827</v>
      </c>
      <c r="Y308" s="322">
        <f t="shared" si="1019"/>
        <v>15.335840337912416</v>
      </c>
      <c r="Z308" s="94">
        <f t="shared" si="1019"/>
        <v>18.218305101797267</v>
      </c>
      <c r="AA308" s="322">
        <f t="shared" si="1019"/>
        <v>18.218305101797267</v>
      </c>
      <c r="AB308" s="322">
        <f t="shared" si="1019"/>
        <v>12.529863154212256</v>
      </c>
      <c r="AC308" s="94">
        <f t="shared" si="1019"/>
        <v>19.138977251500791</v>
      </c>
      <c r="AD308" s="351">
        <f t="shared" si="1019"/>
        <v>19.138977251500791</v>
      </c>
      <c r="AE308" s="351">
        <f t="shared" si="1019"/>
        <v>1.1222166116119248</v>
      </c>
      <c r="AF308" s="94">
        <f t="shared" si="1019"/>
        <v>12.13376766697368</v>
      </c>
      <c r="AG308" s="351">
        <f t="shared" si="1019"/>
        <v>12.13376766697368</v>
      </c>
      <c r="AH308" s="351">
        <f t="shared" ref="AH308" si="1020">AH306*100/AH259</f>
        <v>14.016283016684996</v>
      </c>
      <c r="AI308" s="94">
        <f t="shared" si="1019"/>
        <v>22.487697780339989</v>
      </c>
      <c r="AJ308" s="351">
        <f t="shared" si="1019"/>
        <v>22.382320136693771</v>
      </c>
      <c r="AK308" s="351">
        <f t="shared" si="1019"/>
        <v>23.831883990867098</v>
      </c>
      <c r="AL308" s="94">
        <f t="shared" si="1019"/>
        <v>34.192839306369258</v>
      </c>
      <c r="AM308" s="351">
        <f t="shared" ref="AM308:AU308" si="1021">AM306*100/AM259</f>
        <v>34.099324749472629</v>
      </c>
      <c r="AN308" s="351">
        <f t="shared" si="1021"/>
        <v>31.419446264351887</v>
      </c>
      <c r="AO308" s="94">
        <f t="shared" si="1021"/>
        <v>40.891013652524762</v>
      </c>
      <c r="AP308" s="351">
        <f t="shared" ref="AP308" si="1022">AP306*100/AP259</f>
        <v>40.902197266373669</v>
      </c>
      <c r="AQ308" s="351">
        <f t="shared" ref="AQ308:AR308" si="1023">AQ306*100/AQ259</f>
        <v>30.158438078728647</v>
      </c>
      <c r="AR308" s="94">
        <f t="shared" si="1023"/>
        <v>43.715499335165539</v>
      </c>
      <c r="AS308" s="351">
        <f t="shared" si="1021"/>
        <v>43.715499335165539</v>
      </c>
      <c r="AT308" s="351">
        <f t="shared" si="1021"/>
        <v>59.023223806715272</v>
      </c>
      <c r="AU308" s="351">
        <f t="shared" si="1021"/>
        <v>81.900699067044854</v>
      </c>
    </row>
    <row r="309" spans="1:47" s="19" customFormat="1" hidden="1" outlineLevel="1">
      <c r="A309" s="217"/>
      <c r="B309" s="229"/>
      <c r="C309" s="1"/>
      <c r="D309" s="1"/>
      <c r="E309" s="1"/>
      <c r="F309" s="227"/>
      <c r="G309" s="227"/>
      <c r="H309" s="1"/>
      <c r="I309" s="227"/>
      <c r="J309" s="227"/>
      <c r="K309" s="1"/>
      <c r="L309" s="227"/>
      <c r="M309" s="227"/>
      <c r="N309" s="1"/>
      <c r="O309" s="227"/>
      <c r="P309" s="227"/>
      <c r="Q309" s="1"/>
      <c r="R309" s="227"/>
      <c r="S309" s="227"/>
      <c r="T309" s="1"/>
      <c r="U309" s="227"/>
      <c r="V309" s="227"/>
      <c r="W309" s="1"/>
      <c r="X309" s="227"/>
      <c r="Y309" s="227"/>
      <c r="Z309" s="1"/>
      <c r="AA309" s="227"/>
      <c r="AB309" s="227"/>
      <c r="AC309" s="1"/>
      <c r="AD309" s="227"/>
      <c r="AE309" s="227"/>
      <c r="AF309" s="1"/>
      <c r="AG309" s="227"/>
      <c r="AH309" s="227"/>
      <c r="AJ309" s="227"/>
      <c r="AK309" s="227"/>
      <c r="AM309" s="227"/>
      <c r="AN309" s="227"/>
      <c r="AP309" s="227"/>
      <c r="AQ309" s="227"/>
      <c r="AS309" s="227"/>
      <c r="AT309" s="227"/>
      <c r="AU309" s="227"/>
    </row>
    <row r="310" spans="1:47" s="19" customFormat="1" collapsed="1">
      <c r="A310" s="217"/>
      <c r="B310" s="230" t="s">
        <v>1049</v>
      </c>
      <c r="C310" s="201"/>
      <c r="D310" s="201"/>
      <c r="E310" s="201"/>
      <c r="F310" s="280"/>
      <c r="G310" s="280"/>
      <c r="H310" s="201"/>
      <c r="I310" s="280"/>
      <c r="J310" s="280"/>
      <c r="K310" s="201"/>
      <c r="L310" s="280"/>
      <c r="M310" s="280"/>
      <c r="N310" s="201"/>
      <c r="O310" s="280"/>
      <c r="P310" s="280"/>
      <c r="Q310" s="201"/>
      <c r="R310" s="280"/>
      <c r="S310" s="280"/>
      <c r="T310" s="202"/>
      <c r="U310" s="280"/>
      <c r="V310" s="280"/>
      <c r="W310" s="202"/>
      <c r="X310" s="280"/>
      <c r="Y310" s="280"/>
      <c r="Z310" s="202"/>
      <c r="AA310" s="280"/>
      <c r="AB310" s="280"/>
      <c r="AC310" s="202"/>
      <c r="AD310" s="339"/>
      <c r="AE310" s="356"/>
      <c r="AF310" s="202"/>
      <c r="AG310" s="339"/>
      <c r="AH310" s="356"/>
      <c r="AI310" s="202"/>
      <c r="AJ310" s="339"/>
      <c r="AK310" s="339"/>
      <c r="AL310" s="202"/>
      <c r="AM310" s="339"/>
      <c r="AN310" s="339"/>
      <c r="AO310" s="202"/>
      <c r="AP310" s="339"/>
      <c r="AQ310" s="339"/>
      <c r="AR310" s="202"/>
      <c r="AS310" s="339"/>
      <c r="AT310" s="339"/>
      <c r="AU310" s="339"/>
    </row>
    <row r="311" spans="1:47">
      <c r="A311" s="217" t="s">
        <v>1088</v>
      </c>
      <c r="B311" s="227" t="s">
        <v>1050</v>
      </c>
      <c r="C311" s="1"/>
      <c r="F311" s="227"/>
      <c r="G311" s="227"/>
      <c r="I311" s="227"/>
      <c r="J311" s="227"/>
      <c r="K311" s="3">
        <f>L311-J311</f>
        <v>0</v>
      </c>
      <c r="L311" s="354">
        <v>0</v>
      </c>
      <c r="M311" s="354">
        <v>0</v>
      </c>
      <c r="N311" s="3">
        <f>O311-M311</f>
        <v>0</v>
      </c>
      <c r="O311" s="354">
        <v>0</v>
      </c>
      <c r="P311" s="354">
        <v>0</v>
      </c>
      <c r="Q311" s="3">
        <f>R311-P311</f>
        <v>0</v>
      </c>
      <c r="R311" s="354">
        <v>0</v>
      </c>
      <c r="S311" s="354">
        <v>0</v>
      </c>
      <c r="T311" s="3">
        <f>U311-S311</f>
        <v>2.3E-2</v>
      </c>
      <c r="U311" s="354">
        <v>2.3E-2</v>
      </c>
      <c r="V311" s="354">
        <v>0</v>
      </c>
      <c r="W311" s="3">
        <f>X311-V311</f>
        <v>0</v>
      </c>
      <c r="X311" s="354">
        <v>0</v>
      </c>
      <c r="Y311" s="354">
        <v>0.255</v>
      </c>
      <c r="Z311" s="3">
        <f>AA311-Y311</f>
        <v>0.21200000000000002</v>
      </c>
      <c r="AA311" s="354">
        <v>0.46700000000000003</v>
      </c>
      <c r="AB311" s="354">
        <v>5.8000000000000003E-2</v>
      </c>
      <c r="AC311" s="3">
        <f>AD311-AB311</f>
        <v>0</v>
      </c>
      <c r="AD311" s="354">
        <v>5.8000000000000003E-2</v>
      </c>
      <c r="AE311" s="354">
        <v>3.0000000000000001E-3</v>
      </c>
      <c r="AF311" s="3">
        <f>AG311-AE311</f>
        <v>0</v>
      </c>
      <c r="AG311" s="354">
        <v>3.0000000000000001E-3</v>
      </c>
      <c r="AH311" s="354">
        <v>0</v>
      </c>
      <c r="AI311" s="3">
        <f>AJ311-AH311</f>
        <v>0</v>
      </c>
      <c r="AJ311" s="354">
        <v>0</v>
      </c>
      <c r="AK311" s="354">
        <v>0</v>
      </c>
      <c r="AL311" s="3">
        <f>AM311-AK311</f>
        <v>0</v>
      </c>
      <c r="AM311" s="354">
        <v>0</v>
      </c>
      <c r="AN311" s="354">
        <v>7.048</v>
      </c>
      <c r="AO311" s="3">
        <f>AP311-AN311</f>
        <v>7.0399999999999991</v>
      </c>
      <c r="AP311" s="354">
        <v>14.087999999999999</v>
      </c>
      <c r="AQ311" s="281">
        <f>+AQ316</f>
        <v>6.9427746845541405</v>
      </c>
      <c r="AR311" s="5">
        <f t="shared" ref="AR311" si="1024">+AS311-AQ311</f>
        <v>7.3150223918789807</v>
      </c>
      <c r="AS311" s="281">
        <f t="shared" ref="AS311:AU311" si="1025">+AS316</f>
        <v>14.257797076433121</v>
      </c>
      <c r="AT311" s="281">
        <f t="shared" si="1025"/>
        <v>15.256990959775798</v>
      </c>
      <c r="AU311" s="281">
        <f t="shared" si="1025"/>
        <v>16.245634196830476</v>
      </c>
    </row>
    <row r="312" spans="1:47">
      <c r="A312" s="217" t="s">
        <v>1089</v>
      </c>
      <c r="B312" s="227" t="s">
        <v>1051</v>
      </c>
      <c r="C312" s="1"/>
      <c r="F312" s="227"/>
      <c r="G312" s="227"/>
      <c r="I312" s="227"/>
      <c r="J312" s="227"/>
      <c r="K312" s="3">
        <f t="shared" ref="K312:K313" si="1026">L312-J312</f>
        <v>0.432</v>
      </c>
      <c r="L312" s="354">
        <v>0.432</v>
      </c>
      <c r="M312" s="354">
        <v>0.32700000000000001</v>
      </c>
      <c r="N312" s="3">
        <f t="shared" ref="N312:N313" si="1027">O312-M312</f>
        <v>0.11499999999999999</v>
      </c>
      <c r="O312" s="354">
        <v>0.442</v>
      </c>
      <c r="P312" s="354">
        <v>9.6000000000000002E-2</v>
      </c>
      <c r="Q312" s="3">
        <f t="shared" ref="Q312:Q313" si="1028">R312-P312</f>
        <v>7.5000000000000011E-2</v>
      </c>
      <c r="R312" s="354">
        <v>0.17100000000000001</v>
      </c>
      <c r="S312" s="354">
        <v>3.3340000000000001</v>
      </c>
      <c r="T312" s="3">
        <f t="shared" ref="T312:T313" si="1029">U312-S312</f>
        <v>0.99400000000000022</v>
      </c>
      <c r="U312" s="354">
        <v>4.3280000000000003</v>
      </c>
      <c r="V312" s="354">
        <v>0.66900000000000004</v>
      </c>
      <c r="W312" s="3">
        <f t="shared" ref="W312:W313" si="1030">X312-V312</f>
        <v>1.8210000000000002</v>
      </c>
      <c r="X312" s="354">
        <v>2.4900000000000002</v>
      </c>
      <c r="Y312" s="354">
        <v>0.95</v>
      </c>
      <c r="Z312" s="3">
        <f t="shared" ref="Z312:Z313" si="1031">AA312-Y312</f>
        <v>-7.4999999999999956E-2</v>
      </c>
      <c r="AA312" s="354">
        <v>0.875</v>
      </c>
      <c r="AB312" s="354">
        <v>0.33800000000000002</v>
      </c>
      <c r="AC312" s="3">
        <f t="shared" ref="AC312:AC313" si="1032">AD312-AB312</f>
        <v>0.83299999999999996</v>
      </c>
      <c r="AD312" s="354">
        <v>1.171</v>
      </c>
      <c r="AE312" s="354">
        <v>0.72899999999999998</v>
      </c>
      <c r="AF312" s="3">
        <f t="shared" ref="AF312:AF313" si="1033">AG312-AE312</f>
        <v>0.38400000000000001</v>
      </c>
      <c r="AG312" s="354">
        <v>1.113</v>
      </c>
      <c r="AH312" s="354">
        <v>0.76200000000000001</v>
      </c>
      <c r="AI312" s="3">
        <f t="shared" ref="AI312:AI313" si="1034">AJ312-AH312</f>
        <v>0.45100000000000007</v>
      </c>
      <c r="AJ312" s="354">
        <v>1.2130000000000001</v>
      </c>
      <c r="AK312" s="354">
        <v>0.34300000000000003</v>
      </c>
      <c r="AL312" s="3">
        <f t="shared" ref="AL312:AL313" si="1035">AM312-AK312</f>
        <v>0.22899999999999993</v>
      </c>
      <c r="AM312" s="354">
        <v>0.57199999999999995</v>
      </c>
      <c r="AN312" s="354">
        <v>0.23899999999999999</v>
      </c>
      <c r="AO312" s="3">
        <f t="shared" ref="AO312:AO313" si="1036">AP312-AN312</f>
        <v>0.76700000000000002</v>
      </c>
      <c r="AP312" s="354">
        <v>1.006</v>
      </c>
      <c r="AQ312" s="281">
        <f>+AQ9*AQ322</f>
        <v>0.6171355275159236</v>
      </c>
      <c r="AR312" s="5">
        <f>+AS312-AQ312</f>
        <v>0.65022421261146501</v>
      </c>
      <c r="AS312" s="281">
        <f t="shared" ref="AS312:AU312" si="1037">+AS9*AS322</f>
        <v>1.2673597401273886</v>
      </c>
      <c r="AT312" s="281">
        <f t="shared" si="1037"/>
        <v>1.412684348127389</v>
      </c>
      <c r="AU312" s="281">
        <f t="shared" si="1037"/>
        <v>1.5696264924473888</v>
      </c>
    </row>
    <row r="313" spans="1:47" s="15" customFormat="1">
      <c r="A313" s="217"/>
      <c r="B313" s="226" t="s">
        <v>1052</v>
      </c>
      <c r="F313" s="226"/>
      <c r="G313" s="226"/>
      <c r="I313" s="226"/>
      <c r="J313" s="226"/>
      <c r="K313" s="8">
        <f t="shared" si="1026"/>
        <v>0.432</v>
      </c>
      <c r="L313" s="287">
        <f>SUM(L311:L312)</f>
        <v>0.432</v>
      </c>
      <c r="M313" s="287">
        <f>SUM(M311:M312)</f>
        <v>0.32700000000000001</v>
      </c>
      <c r="N313" s="8">
        <f t="shared" si="1027"/>
        <v>0.11499999999999999</v>
      </c>
      <c r="O313" s="287">
        <f>SUM(O311:O312)</f>
        <v>0.442</v>
      </c>
      <c r="P313" s="287">
        <f>SUM(P311:P312)</f>
        <v>9.6000000000000002E-2</v>
      </c>
      <c r="Q313" s="8">
        <f t="shared" si="1028"/>
        <v>7.5000000000000011E-2</v>
      </c>
      <c r="R313" s="287">
        <f>SUM(R311:R312)</f>
        <v>0.17100000000000001</v>
      </c>
      <c r="S313" s="287">
        <f>SUM(S311:S312)</f>
        <v>3.3340000000000001</v>
      </c>
      <c r="T313" s="8">
        <f t="shared" si="1029"/>
        <v>1.0169999999999999</v>
      </c>
      <c r="U313" s="287">
        <f>SUM(U311:U312)</f>
        <v>4.351</v>
      </c>
      <c r="V313" s="287">
        <f>SUM(V311:V312)</f>
        <v>0.66900000000000004</v>
      </c>
      <c r="W313" s="8">
        <f t="shared" si="1030"/>
        <v>1.8210000000000002</v>
      </c>
      <c r="X313" s="287">
        <f>SUM(X311:X312)</f>
        <v>2.4900000000000002</v>
      </c>
      <c r="Y313" s="287">
        <f>SUM(Y311:Y312)</f>
        <v>1.2050000000000001</v>
      </c>
      <c r="Z313" s="8">
        <f t="shared" si="1031"/>
        <v>0.13700000000000001</v>
      </c>
      <c r="AA313" s="287">
        <f>SUM(AA311:AA312)</f>
        <v>1.3420000000000001</v>
      </c>
      <c r="AB313" s="287">
        <f>SUM(AB311:AB312)</f>
        <v>0.39600000000000002</v>
      </c>
      <c r="AC313" s="8">
        <f t="shared" si="1032"/>
        <v>0.83300000000000007</v>
      </c>
      <c r="AD313" s="287">
        <f>SUM(AD311:AD312)</f>
        <v>1.2290000000000001</v>
      </c>
      <c r="AE313" s="287">
        <f>SUM(AE311:AE312)</f>
        <v>0.73199999999999998</v>
      </c>
      <c r="AF313" s="8">
        <f t="shared" si="1033"/>
        <v>0.3839999999999999</v>
      </c>
      <c r="AG313" s="287">
        <f>SUM(AG311:AG312)</f>
        <v>1.1159999999999999</v>
      </c>
      <c r="AH313" s="287">
        <f>SUM(AH311:AH312)</f>
        <v>0.76200000000000001</v>
      </c>
      <c r="AI313" s="8">
        <f t="shared" si="1034"/>
        <v>0.45100000000000007</v>
      </c>
      <c r="AJ313" s="287">
        <f>SUM(AJ311:AJ312)</f>
        <v>1.2130000000000001</v>
      </c>
      <c r="AK313" s="287">
        <f>SUM(AK311:AK312)</f>
        <v>0.34300000000000003</v>
      </c>
      <c r="AL313" s="8">
        <f t="shared" si="1035"/>
        <v>0.22899999999999993</v>
      </c>
      <c r="AM313" s="287">
        <f>SUM(AM311:AM312)</f>
        <v>0.57199999999999995</v>
      </c>
      <c r="AN313" s="287">
        <f>SUM(AN311:AN312)</f>
        <v>7.2869999999999999</v>
      </c>
      <c r="AO313" s="8">
        <f t="shared" si="1036"/>
        <v>7.8069999999999995</v>
      </c>
      <c r="AP313" s="287">
        <f>SUM(AP311:AP312)</f>
        <v>15.093999999999999</v>
      </c>
      <c r="AQ313" s="287">
        <f>SUM(AQ311:AQ312)</f>
        <v>7.5599102120700641</v>
      </c>
      <c r="AR313" s="8">
        <f t="shared" ref="AR313" si="1038">+AS313-AQ313</f>
        <v>7.9652466044904466</v>
      </c>
      <c r="AS313" s="287">
        <f t="shared" ref="AS313:AU313" si="1039">SUM(AS311:AS312)</f>
        <v>15.525156816560511</v>
      </c>
      <c r="AT313" s="287">
        <f t="shared" si="1039"/>
        <v>16.669675307903187</v>
      </c>
      <c r="AU313" s="287">
        <f t="shared" si="1039"/>
        <v>17.815260689277864</v>
      </c>
    </row>
    <row r="314" spans="1:47">
      <c r="B314" s="227"/>
      <c r="C314" s="1"/>
      <c r="F314" s="227"/>
      <c r="G314" s="227"/>
      <c r="I314" s="227"/>
      <c r="J314" s="227"/>
      <c r="L314" s="227"/>
      <c r="M314" s="227"/>
      <c r="O314" s="227"/>
      <c r="P314" s="227"/>
      <c r="R314" s="227"/>
      <c r="S314" s="227"/>
      <c r="U314" s="227"/>
      <c r="V314" s="227"/>
      <c r="X314" s="227"/>
      <c r="Y314" s="227"/>
      <c r="AA314" s="227"/>
      <c r="AB314" s="227"/>
      <c r="AD314" s="227"/>
      <c r="AE314" s="227"/>
      <c r="AG314" s="227"/>
      <c r="AH314" s="227"/>
      <c r="AJ314" s="227"/>
      <c r="AK314" s="227"/>
      <c r="AM314" s="227"/>
      <c r="AN314" s="227"/>
      <c r="AP314" s="227"/>
      <c r="AQ314" s="227"/>
      <c r="AS314" s="227"/>
      <c r="AT314" s="227"/>
      <c r="AU314" s="227"/>
    </row>
    <row r="315" spans="1:47">
      <c r="B315" s="227" t="s">
        <v>1053</v>
      </c>
      <c r="C315" s="1"/>
      <c r="F315" s="227"/>
      <c r="G315" s="227"/>
      <c r="I315" s="227"/>
      <c r="J315" s="227"/>
      <c r="K315" s="5">
        <f t="shared" ref="K315:AM315" si="1040">K18</f>
        <v>0</v>
      </c>
      <c r="L315" s="281">
        <f t="shared" si="1040"/>
        <v>9.6989999999999998</v>
      </c>
      <c r="M315" s="281">
        <f t="shared" si="1040"/>
        <v>5.4560000000000004</v>
      </c>
      <c r="N315" s="5">
        <f t="shared" si="1040"/>
        <v>5.5029999999999992</v>
      </c>
      <c r="O315" s="281">
        <f t="shared" si="1040"/>
        <v>10.959</v>
      </c>
      <c r="P315" s="281">
        <f t="shared" si="1040"/>
        <v>5.4169999999999998</v>
      </c>
      <c r="Q315" s="5">
        <f t="shared" si="1040"/>
        <v>5.8420000000000005</v>
      </c>
      <c r="R315" s="281">
        <f t="shared" si="1040"/>
        <v>11.259</v>
      </c>
      <c r="S315" s="281">
        <f t="shared" si="1040"/>
        <v>6.23</v>
      </c>
      <c r="T315" s="5">
        <f t="shared" si="1040"/>
        <v>6.6219999999999999</v>
      </c>
      <c r="U315" s="281">
        <f t="shared" si="1040"/>
        <v>12.852</v>
      </c>
      <c r="V315" s="281">
        <f t="shared" si="1040"/>
        <v>6.5789999999999997</v>
      </c>
      <c r="W315" s="5">
        <f t="shared" si="1040"/>
        <v>6.4929999999999994</v>
      </c>
      <c r="X315" s="281">
        <f t="shared" si="1040"/>
        <v>13.071999999999999</v>
      </c>
      <c r="Y315" s="281">
        <f t="shared" si="1040"/>
        <v>6.282</v>
      </c>
      <c r="Z315" s="5">
        <f t="shared" si="1040"/>
        <v>6.9469999999999992</v>
      </c>
      <c r="AA315" s="281">
        <f t="shared" si="1040"/>
        <v>13.228999999999999</v>
      </c>
      <c r="AB315" s="281">
        <f t="shared" si="1040"/>
        <v>7.6820000000000004</v>
      </c>
      <c r="AC315" s="5">
        <f t="shared" si="1040"/>
        <v>8.0549999999999997</v>
      </c>
      <c r="AD315" s="281">
        <f t="shared" si="1040"/>
        <v>15.737</v>
      </c>
      <c r="AE315" s="281">
        <f t="shared" si="1040"/>
        <v>11.249000000000001</v>
      </c>
      <c r="AF315" s="5">
        <f t="shared" si="1040"/>
        <v>11.866999999999999</v>
      </c>
      <c r="AG315" s="281">
        <f t="shared" si="1040"/>
        <v>23.116</v>
      </c>
      <c r="AH315" s="281">
        <f t="shared" si="1040"/>
        <v>12.862</v>
      </c>
      <c r="AI315" s="5">
        <f t="shared" si="1040"/>
        <v>12.156999999999998</v>
      </c>
      <c r="AJ315" s="281">
        <f t="shared" si="1040"/>
        <v>25.018999999999998</v>
      </c>
      <c r="AK315" s="281">
        <f t="shared" si="1040"/>
        <v>13.435</v>
      </c>
      <c r="AL315" s="5">
        <f t="shared" si="1040"/>
        <v>13.772999999999998</v>
      </c>
      <c r="AM315" s="281">
        <f t="shared" si="1040"/>
        <v>27.207999999999998</v>
      </c>
      <c r="AN315" s="281">
        <f>+AN317*(1-AN319)</f>
        <v>7.0784174999999996</v>
      </c>
      <c r="AO315" s="5">
        <f t="shared" ref="AO315:AP315" si="1041">AO18</f>
        <v>9.8369999999999997</v>
      </c>
      <c r="AP315" s="281">
        <f t="shared" si="1041"/>
        <v>17.045999999999999</v>
      </c>
      <c r="AQ315" s="281">
        <f>+AQ317*(1-AQ319)</f>
        <v>8.4856135033439504</v>
      </c>
      <c r="AR315" s="5">
        <f>+AS315-AQ315</f>
        <v>8.9405829234076446</v>
      </c>
      <c r="AS315" s="281">
        <f>+AS317*(1-AS319)</f>
        <v>17.426196426751595</v>
      </c>
      <c r="AT315" s="281">
        <f t="shared" ref="AT315:AU315" si="1042">+AT317*(1-AT319)</f>
        <v>18.647433395281531</v>
      </c>
      <c r="AU315" s="281">
        <f t="shared" si="1042"/>
        <v>19.855775129459474</v>
      </c>
    </row>
    <row r="316" spans="1:47">
      <c r="B316" s="227" t="s">
        <v>1055</v>
      </c>
      <c r="C316" s="1"/>
      <c r="F316" s="227"/>
      <c r="G316" s="227"/>
      <c r="I316" s="227"/>
      <c r="J316" s="227"/>
      <c r="K316" s="5">
        <f t="shared" ref="K316:M316" si="1043">K311</f>
        <v>0</v>
      </c>
      <c r="L316" s="281">
        <f t="shared" si="1043"/>
        <v>0</v>
      </c>
      <c r="M316" s="281">
        <f t="shared" si="1043"/>
        <v>0</v>
      </c>
      <c r="N316" s="5">
        <f t="shared" ref="N316:P316" si="1044">N311</f>
        <v>0</v>
      </c>
      <c r="O316" s="281">
        <f t="shared" si="1044"/>
        <v>0</v>
      </c>
      <c r="P316" s="281">
        <f t="shared" si="1044"/>
        <v>0</v>
      </c>
      <c r="Q316" s="5">
        <f t="shared" ref="Q316:S316" si="1045">Q311</f>
        <v>0</v>
      </c>
      <c r="R316" s="281">
        <f t="shared" si="1045"/>
        <v>0</v>
      </c>
      <c r="S316" s="281">
        <f t="shared" si="1045"/>
        <v>0</v>
      </c>
      <c r="T316" s="5">
        <f t="shared" ref="T316:V316" si="1046">T311</f>
        <v>2.3E-2</v>
      </c>
      <c r="U316" s="281">
        <f t="shared" si="1046"/>
        <v>2.3E-2</v>
      </c>
      <c r="V316" s="281">
        <f t="shared" si="1046"/>
        <v>0</v>
      </c>
      <c r="W316" s="5">
        <f t="shared" ref="W316:Y316" si="1047">W311</f>
        <v>0</v>
      </c>
      <c r="X316" s="281">
        <f t="shared" si="1047"/>
        <v>0</v>
      </c>
      <c r="Y316" s="281">
        <f t="shared" si="1047"/>
        <v>0.255</v>
      </c>
      <c r="Z316" s="5">
        <f t="shared" ref="Z316:AB316" si="1048">Z311</f>
        <v>0.21200000000000002</v>
      </c>
      <c r="AA316" s="281">
        <f t="shared" si="1048"/>
        <v>0.46700000000000003</v>
      </c>
      <c r="AB316" s="281">
        <f t="shared" si="1048"/>
        <v>5.8000000000000003E-2</v>
      </c>
      <c r="AC316" s="5">
        <f t="shared" ref="AC316:AE316" si="1049">AC311</f>
        <v>0</v>
      </c>
      <c r="AD316" s="281">
        <f t="shared" si="1049"/>
        <v>5.8000000000000003E-2</v>
      </c>
      <c r="AE316" s="281">
        <f t="shared" si="1049"/>
        <v>3.0000000000000001E-3</v>
      </c>
      <c r="AF316" s="5">
        <f t="shared" ref="AF316" si="1050">AF311</f>
        <v>0</v>
      </c>
      <c r="AG316" s="281">
        <f t="shared" ref="AG316:AI316" si="1051">AG311</f>
        <v>3.0000000000000001E-3</v>
      </c>
      <c r="AH316" s="281">
        <f t="shared" si="1051"/>
        <v>0</v>
      </c>
      <c r="AI316" s="5">
        <f t="shared" si="1051"/>
        <v>0</v>
      </c>
      <c r="AJ316" s="281">
        <f t="shared" ref="AJ316" si="1052">AJ311</f>
        <v>0</v>
      </c>
      <c r="AK316" s="281">
        <v>0</v>
      </c>
      <c r="AL316" s="5">
        <f t="shared" ref="AL316" si="1053">AL311</f>
        <v>0</v>
      </c>
      <c r="AM316" s="281">
        <f t="shared" ref="AM316" si="1054">AM311</f>
        <v>0</v>
      </c>
      <c r="AN316" s="281">
        <f>+AN317*AN319</f>
        <v>7.0784174999999996</v>
      </c>
      <c r="AO316" s="5">
        <f t="shared" ref="AO316:AP316" si="1055">AO311</f>
        <v>7.0399999999999991</v>
      </c>
      <c r="AP316" s="281">
        <f t="shared" si="1055"/>
        <v>14.087999999999999</v>
      </c>
      <c r="AQ316" s="281">
        <f>+AQ317*AQ319</f>
        <v>6.9427746845541405</v>
      </c>
      <c r="AR316" s="5">
        <f t="shared" ref="AR316:AR317" si="1056">+AS316-AQ316</f>
        <v>7.3150223918789807</v>
      </c>
      <c r="AS316" s="281">
        <f t="shared" ref="AS316:AU316" si="1057">+AS317*AS319</f>
        <v>14.257797076433121</v>
      </c>
      <c r="AT316" s="281">
        <f t="shared" si="1057"/>
        <v>15.256990959775798</v>
      </c>
      <c r="AU316" s="281">
        <f t="shared" si="1057"/>
        <v>16.245634196830476</v>
      </c>
    </row>
    <row r="317" spans="1:47" s="15" customFormat="1">
      <c r="A317" s="217"/>
      <c r="B317" s="226" t="s">
        <v>1056</v>
      </c>
      <c r="F317" s="226"/>
      <c r="G317" s="226"/>
      <c r="I317" s="226"/>
      <c r="J317" s="226"/>
      <c r="K317" s="8">
        <f t="shared" ref="K317:M317" si="1058">SUM(K315:K316)</f>
        <v>0</v>
      </c>
      <c r="L317" s="287">
        <f t="shared" si="1058"/>
        <v>9.6989999999999998</v>
      </c>
      <c r="M317" s="287">
        <f t="shared" si="1058"/>
        <v>5.4560000000000004</v>
      </c>
      <c r="N317" s="8">
        <f t="shared" ref="N317:P317" si="1059">SUM(N315:N316)</f>
        <v>5.5029999999999992</v>
      </c>
      <c r="O317" s="287">
        <f t="shared" si="1059"/>
        <v>10.959</v>
      </c>
      <c r="P317" s="287">
        <f t="shared" si="1059"/>
        <v>5.4169999999999998</v>
      </c>
      <c r="Q317" s="8">
        <f t="shared" ref="Q317:S317" si="1060">SUM(Q315:Q316)</f>
        <v>5.8420000000000005</v>
      </c>
      <c r="R317" s="287">
        <f t="shared" si="1060"/>
        <v>11.259</v>
      </c>
      <c r="S317" s="287">
        <f t="shared" si="1060"/>
        <v>6.23</v>
      </c>
      <c r="T317" s="8">
        <f t="shared" ref="T317:V317" si="1061">SUM(T315:T316)</f>
        <v>6.6449999999999996</v>
      </c>
      <c r="U317" s="287">
        <f t="shared" si="1061"/>
        <v>12.875</v>
      </c>
      <c r="V317" s="287">
        <f t="shared" si="1061"/>
        <v>6.5789999999999997</v>
      </c>
      <c r="W317" s="8">
        <f t="shared" ref="W317:Y317" si="1062">SUM(W315:W316)</f>
        <v>6.4929999999999994</v>
      </c>
      <c r="X317" s="287">
        <f t="shared" si="1062"/>
        <v>13.071999999999999</v>
      </c>
      <c r="Y317" s="287">
        <f t="shared" si="1062"/>
        <v>6.5369999999999999</v>
      </c>
      <c r="Z317" s="8">
        <f t="shared" ref="Z317:AB317" si="1063">SUM(Z315:Z316)</f>
        <v>7.1589999999999989</v>
      </c>
      <c r="AA317" s="287">
        <f t="shared" si="1063"/>
        <v>13.696</v>
      </c>
      <c r="AB317" s="287">
        <f t="shared" si="1063"/>
        <v>7.74</v>
      </c>
      <c r="AC317" s="8">
        <f t="shared" ref="AC317:AE317" si="1064">SUM(AC315:AC316)</f>
        <v>8.0549999999999997</v>
      </c>
      <c r="AD317" s="287">
        <f t="shared" si="1064"/>
        <v>15.795</v>
      </c>
      <c r="AE317" s="287">
        <f t="shared" si="1064"/>
        <v>11.252000000000001</v>
      </c>
      <c r="AF317" s="8">
        <f t="shared" ref="AF317" si="1065">SUM(AF315:AF316)</f>
        <v>11.866999999999999</v>
      </c>
      <c r="AG317" s="287">
        <f t="shared" ref="AG317:AI317" si="1066">SUM(AG315:AG316)</f>
        <v>23.119</v>
      </c>
      <c r="AH317" s="287">
        <f t="shared" si="1066"/>
        <v>12.862</v>
      </c>
      <c r="AI317" s="8">
        <f t="shared" si="1066"/>
        <v>12.156999999999998</v>
      </c>
      <c r="AJ317" s="287">
        <f t="shared" ref="AJ317:AL317" si="1067">SUM(AJ315:AJ316)</f>
        <v>25.018999999999998</v>
      </c>
      <c r="AK317" s="287">
        <f t="shared" si="1067"/>
        <v>13.435</v>
      </c>
      <c r="AL317" s="8">
        <f t="shared" si="1067"/>
        <v>13.772999999999998</v>
      </c>
      <c r="AM317" s="287">
        <f t="shared" ref="AM317" si="1068">SUM(AM315:AM316)</f>
        <v>27.207999999999998</v>
      </c>
      <c r="AN317" s="287">
        <f>+AN9*AN321</f>
        <v>14.156834999999999</v>
      </c>
      <c r="AO317" s="8">
        <f t="shared" ref="AO317" si="1069">SUM(AO315:AO316)</f>
        <v>16.876999999999999</v>
      </c>
      <c r="AP317" s="287">
        <f>SUM(AP315:AP316)</f>
        <v>31.134</v>
      </c>
      <c r="AQ317" s="287">
        <f>+AQ9*AQ321</f>
        <v>15.42838818789809</v>
      </c>
      <c r="AR317" s="8">
        <f t="shared" si="1056"/>
        <v>16.255605315286623</v>
      </c>
      <c r="AS317" s="287">
        <f t="shared" ref="AS317:AU317" si="1070">+AS9*AS321</f>
        <v>31.683993503184713</v>
      </c>
      <c r="AT317" s="287">
        <f t="shared" si="1070"/>
        <v>33.90442435505733</v>
      </c>
      <c r="AU317" s="287">
        <f t="shared" si="1070"/>
        <v>36.101409326289946</v>
      </c>
    </row>
    <row r="318" spans="1:47">
      <c r="B318" s="227"/>
      <c r="C318" s="1"/>
      <c r="F318" s="227"/>
      <c r="G318" s="227"/>
      <c r="I318" s="227"/>
      <c r="J318" s="227"/>
      <c r="L318" s="281"/>
      <c r="M318" s="227"/>
      <c r="O318" s="281"/>
      <c r="P318" s="227"/>
      <c r="R318" s="281"/>
      <c r="S318" s="227"/>
      <c r="U318" s="281"/>
      <c r="V318" s="227"/>
      <c r="X318" s="281"/>
      <c r="Y318" s="227"/>
      <c r="AA318" s="281"/>
      <c r="AB318" s="227"/>
      <c r="AD318" s="281"/>
      <c r="AE318" s="227"/>
      <c r="AG318" s="281"/>
      <c r="AH318" s="227"/>
      <c r="AJ318" s="281"/>
      <c r="AK318" s="227"/>
      <c r="AM318" s="281"/>
      <c r="AN318" s="281"/>
      <c r="AP318" s="281"/>
      <c r="AQ318" s="281"/>
      <c r="AR318" s="5"/>
      <c r="AS318" s="281"/>
      <c r="AT318" s="281"/>
      <c r="AU318" s="281"/>
    </row>
    <row r="319" spans="1:47">
      <c r="A319" s="217" t="s">
        <v>1087</v>
      </c>
      <c r="B319" s="227" t="s">
        <v>1057</v>
      </c>
      <c r="C319" s="1"/>
      <c r="F319" s="227"/>
      <c r="G319" s="227"/>
      <c r="I319" s="227"/>
      <c r="J319" s="227"/>
      <c r="K319" s="20" t="e">
        <f t="shared" ref="K319:M319" si="1071">K316/K317</f>
        <v>#DIV/0!</v>
      </c>
      <c r="L319" s="294">
        <f t="shared" si="1071"/>
        <v>0</v>
      </c>
      <c r="M319" s="294">
        <f t="shared" si="1071"/>
        <v>0</v>
      </c>
      <c r="N319" s="20">
        <f t="shared" ref="N319:P319" si="1072">N316/N317</f>
        <v>0</v>
      </c>
      <c r="O319" s="294">
        <f t="shared" si="1072"/>
        <v>0</v>
      </c>
      <c r="P319" s="294">
        <f t="shared" si="1072"/>
        <v>0</v>
      </c>
      <c r="Q319" s="20">
        <f t="shared" ref="Q319:S319" si="1073">Q316/Q317</f>
        <v>0</v>
      </c>
      <c r="R319" s="294">
        <f t="shared" si="1073"/>
        <v>0</v>
      </c>
      <c r="S319" s="294">
        <f t="shared" si="1073"/>
        <v>0</v>
      </c>
      <c r="T319" s="20">
        <f t="shared" ref="T319:V319" si="1074">T316/T317</f>
        <v>3.4612490594431904E-3</v>
      </c>
      <c r="U319" s="294">
        <f t="shared" si="1074"/>
        <v>1.7864077669902912E-3</v>
      </c>
      <c r="V319" s="294">
        <f t="shared" si="1074"/>
        <v>0</v>
      </c>
      <c r="W319" s="20">
        <f t="shared" ref="W319:Y319" si="1075">W316/W317</f>
        <v>0</v>
      </c>
      <c r="X319" s="294">
        <f t="shared" si="1075"/>
        <v>0</v>
      </c>
      <c r="Y319" s="294">
        <f t="shared" si="1075"/>
        <v>3.9008719596145019E-2</v>
      </c>
      <c r="Z319" s="20">
        <f t="shared" ref="Z319:AB319" si="1076">Z316/Z317</f>
        <v>2.9613074451739076E-2</v>
      </c>
      <c r="AA319" s="294">
        <f t="shared" si="1076"/>
        <v>3.4097546728971966E-2</v>
      </c>
      <c r="AB319" s="294">
        <f t="shared" si="1076"/>
        <v>7.4935400516795867E-3</v>
      </c>
      <c r="AC319" s="20">
        <f t="shared" ref="AC319:AE319" si="1077">AC316/AC317</f>
        <v>0</v>
      </c>
      <c r="AD319" s="294">
        <f t="shared" si="1077"/>
        <v>3.6720481164925611E-3</v>
      </c>
      <c r="AE319" s="294">
        <f t="shared" si="1077"/>
        <v>2.6661926768574472E-4</v>
      </c>
      <c r="AF319" s="20">
        <f t="shared" ref="AF319" si="1078">AF316/AF317</f>
        <v>0</v>
      </c>
      <c r="AG319" s="294">
        <f t="shared" ref="AG319:AI319" si="1079">AG316/AG317</f>
        <v>1.2976339807085083E-4</v>
      </c>
      <c r="AH319" s="294">
        <f t="shared" si="1079"/>
        <v>0</v>
      </c>
      <c r="AI319" s="20">
        <f t="shared" si="1079"/>
        <v>0</v>
      </c>
      <c r="AJ319" s="294">
        <f t="shared" ref="AJ319:AL319" si="1080">AJ316/AJ317</f>
        <v>0</v>
      </c>
      <c r="AK319" s="294">
        <f t="shared" si="1080"/>
        <v>0</v>
      </c>
      <c r="AL319" s="20">
        <f t="shared" si="1080"/>
        <v>0</v>
      </c>
      <c r="AM319" s="294">
        <f t="shared" ref="AM319" si="1081">AM316/AM317</f>
        <v>0</v>
      </c>
      <c r="AN319" s="560">
        <v>0.5</v>
      </c>
      <c r="AO319" s="20">
        <f t="shared" ref="AO319" si="1082">AO316/AO317</f>
        <v>0.41713574687444449</v>
      </c>
      <c r="AP319" s="294">
        <f>AP316/AP317</f>
        <v>0.45249566390441315</v>
      </c>
      <c r="AQ319" s="560">
        <v>0.45</v>
      </c>
      <c r="AR319" s="20">
        <f t="shared" ref="AR319" si="1083">AR316/AR317</f>
        <v>0.45</v>
      </c>
      <c r="AS319" s="483">
        <v>0.45</v>
      </c>
      <c r="AT319" s="483">
        <v>0.45</v>
      </c>
      <c r="AU319" s="483">
        <v>0.45</v>
      </c>
    </row>
    <row r="320" spans="1:47">
      <c r="B320" s="227"/>
      <c r="C320" s="1"/>
      <c r="F320" s="227"/>
      <c r="G320" s="227"/>
      <c r="I320" s="227"/>
      <c r="J320" s="227"/>
      <c r="K320" s="20"/>
      <c r="L320" s="294"/>
      <c r="M320" s="294"/>
      <c r="N320" s="20"/>
      <c r="O320" s="294"/>
      <c r="P320" s="294"/>
      <c r="Q320" s="20"/>
      <c r="R320" s="294"/>
      <c r="S320" s="294"/>
      <c r="T320" s="20"/>
      <c r="U320" s="294"/>
      <c r="V320" s="294"/>
      <c r="W320" s="20"/>
      <c r="X320" s="294"/>
      <c r="Y320" s="294"/>
      <c r="Z320" s="20"/>
      <c r="AA320" s="294"/>
      <c r="AB320" s="294"/>
      <c r="AC320" s="20"/>
      <c r="AD320" s="294"/>
      <c r="AE320" s="294"/>
      <c r="AF320" s="20"/>
      <c r="AG320" s="294"/>
      <c r="AH320" s="294"/>
      <c r="AI320" s="20"/>
      <c r="AJ320" s="294"/>
      <c r="AK320" s="294"/>
      <c r="AL320" s="20"/>
      <c r="AM320" s="294"/>
      <c r="AN320" s="294"/>
      <c r="AO320" s="20"/>
      <c r="AP320" s="294"/>
      <c r="AQ320" s="294"/>
      <c r="AR320" s="20"/>
      <c r="AS320" s="294"/>
      <c r="AT320" s="294"/>
      <c r="AU320" s="294"/>
    </row>
    <row r="321" spans="1:47">
      <c r="B321" s="227" t="s">
        <v>1144</v>
      </c>
      <c r="C321" s="1"/>
      <c r="F321" s="227"/>
      <c r="G321" s="227"/>
      <c r="I321" s="227"/>
      <c r="J321" s="227"/>
      <c r="K321" s="20" t="e">
        <f t="shared" ref="K321:AM321" si="1084">+K317/K9</f>
        <v>#DIV/0!</v>
      </c>
      <c r="L321" s="288">
        <f t="shared" si="1084"/>
        <v>0.19964595212119962</v>
      </c>
      <c r="M321" s="288">
        <f t="shared" si="1084"/>
        <v>0.22731439046746107</v>
      </c>
      <c r="N321" s="31">
        <f t="shared" si="1084"/>
        <v>0.21161315131705438</v>
      </c>
      <c r="O321" s="288">
        <f t="shared" si="1084"/>
        <v>0.21914931909532664</v>
      </c>
      <c r="P321" s="288">
        <f t="shared" si="1084"/>
        <v>0.23774412991002852</v>
      </c>
      <c r="Q321" s="31">
        <f t="shared" si="1084"/>
        <v>0.21348437785492422</v>
      </c>
      <c r="R321" s="288">
        <f t="shared" si="1084"/>
        <v>0.22450648055832503</v>
      </c>
      <c r="S321" s="288">
        <f t="shared" si="1084"/>
        <v>0.20591637745827138</v>
      </c>
      <c r="T321" s="31">
        <f t="shared" si="1084"/>
        <v>0.20544768736087066</v>
      </c>
      <c r="U321" s="288">
        <f t="shared" si="1084"/>
        <v>0.20567421204811578</v>
      </c>
      <c r="V321" s="288">
        <f t="shared" si="1084"/>
        <v>0.19740158425348053</v>
      </c>
      <c r="W321" s="31">
        <f t="shared" si="1084"/>
        <v>0.21801759452017999</v>
      </c>
      <c r="X321" s="288">
        <f t="shared" si="1084"/>
        <v>0.20713040722547932</v>
      </c>
      <c r="Y321" s="288">
        <f t="shared" si="1084"/>
        <v>0.22413083727628061</v>
      </c>
      <c r="Z321" s="31">
        <f t="shared" si="1084"/>
        <v>0.2176384751018422</v>
      </c>
      <c r="AA321" s="288">
        <f t="shared" si="1084"/>
        <v>0.22068965517241379</v>
      </c>
      <c r="AB321" s="288">
        <f t="shared" si="1084"/>
        <v>0.23273295847490755</v>
      </c>
      <c r="AC321" s="31">
        <f t="shared" si="1084"/>
        <v>0.21898703205285044</v>
      </c>
      <c r="AD321" s="288">
        <f t="shared" si="1084"/>
        <v>0.22551399200456879</v>
      </c>
      <c r="AE321" s="288">
        <f t="shared" si="1084"/>
        <v>0.24216076616808349</v>
      </c>
      <c r="AF321" s="31">
        <f t="shared" si="1084"/>
        <v>0.24422218106233665</v>
      </c>
      <c r="AG321" s="288">
        <f t="shared" si="1084"/>
        <v>0.24321452617404477</v>
      </c>
      <c r="AH321" s="288">
        <f t="shared" si="1084"/>
        <v>0.2441765543426673</v>
      </c>
      <c r="AI321" s="31">
        <f t="shared" si="1084"/>
        <v>0.22584060932565481</v>
      </c>
      <c r="AJ321" s="288">
        <f t="shared" si="1084"/>
        <v>0.23490915919440403</v>
      </c>
      <c r="AK321" s="288">
        <f t="shared" si="1084"/>
        <v>0.24412625152181419</v>
      </c>
      <c r="AL321" s="31">
        <f t="shared" si="1084"/>
        <v>0.24875828562139898</v>
      </c>
      <c r="AM321" s="288">
        <f t="shared" si="1084"/>
        <v>0.24644927536231881</v>
      </c>
      <c r="AN321" s="408">
        <v>0.245</v>
      </c>
      <c r="AO321" s="31">
        <f t="shared" ref="AO321:AP321" si="1085">+AO317/AO9</f>
        <v>0.28261634040557965</v>
      </c>
      <c r="AP321" s="288">
        <f t="shared" si="1085"/>
        <v>0.26497021276595745</v>
      </c>
      <c r="AQ321" s="408">
        <v>0.25</v>
      </c>
      <c r="AR321" s="31">
        <f>+AR317/AR9</f>
        <v>0.24999999999999994</v>
      </c>
      <c r="AS321" s="535">
        <v>0.25</v>
      </c>
      <c r="AT321" s="535">
        <v>0.24</v>
      </c>
      <c r="AU321" s="535">
        <v>0.23</v>
      </c>
    </row>
    <row r="322" spans="1:47">
      <c r="B322" s="227" t="s">
        <v>1145</v>
      </c>
      <c r="C322" s="1"/>
      <c r="F322" s="227"/>
      <c r="G322" s="227"/>
      <c r="I322" s="227"/>
      <c r="J322" s="227"/>
      <c r="K322" s="20" t="e">
        <f t="shared" ref="K322:AM322" si="1086">+K312/K9</f>
        <v>#DIV/0!</v>
      </c>
      <c r="L322" s="288">
        <f t="shared" si="1086"/>
        <v>8.8923653280088919E-3</v>
      </c>
      <c r="M322" s="288">
        <f t="shared" si="1086"/>
        <v>1.3623864677943506E-2</v>
      </c>
      <c r="N322" s="31">
        <f t="shared" si="1086"/>
        <v>4.4222264949048259E-3</v>
      </c>
      <c r="O322" s="288">
        <f t="shared" si="1086"/>
        <v>8.8387625732397473E-3</v>
      </c>
      <c r="P322" s="288">
        <f t="shared" si="1086"/>
        <v>4.2132982225148129E-3</v>
      </c>
      <c r="Q322" s="31">
        <f t="shared" si="1086"/>
        <v>2.7407272062854016E-3</v>
      </c>
      <c r="R322" s="288">
        <f t="shared" si="1086"/>
        <v>3.4097706879361919E-3</v>
      </c>
      <c r="S322" s="288">
        <f t="shared" si="1086"/>
        <v>0.11019666170880847</v>
      </c>
      <c r="T322" s="31">
        <f t="shared" si="1086"/>
        <v>3.0732129606727689E-2</v>
      </c>
      <c r="U322" s="288">
        <f t="shared" si="1086"/>
        <v>6.913848464032972E-2</v>
      </c>
      <c r="V322" s="288">
        <f t="shared" si="1086"/>
        <v>2.0073211713874221E-2</v>
      </c>
      <c r="W322" s="31">
        <f t="shared" si="1086"/>
        <v>6.1144315358270106E-2</v>
      </c>
      <c r="X322" s="288">
        <f t="shared" si="1086"/>
        <v>3.9454919980985582E-2</v>
      </c>
      <c r="Y322" s="288">
        <f t="shared" si="1086"/>
        <v>3.2572173078241784E-2</v>
      </c>
      <c r="Z322" s="31">
        <f t="shared" si="1086"/>
        <v>-2.2800510731440368E-3</v>
      </c>
      <c r="AA322" s="288">
        <f t="shared" si="1086"/>
        <v>1.4099258781824041E-2</v>
      </c>
      <c r="AB322" s="288">
        <f t="shared" si="1086"/>
        <v>1.0163273897224646E-2</v>
      </c>
      <c r="AC322" s="31">
        <f t="shared" si="1086"/>
        <v>2.2646331185602039E-2</v>
      </c>
      <c r="AD322" s="288">
        <f t="shared" si="1086"/>
        <v>1.6719017704169045E-2</v>
      </c>
      <c r="AE322" s="288">
        <f t="shared" si="1086"/>
        <v>1.5689228451522649E-2</v>
      </c>
      <c r="AF322" s="31">
        <f t="shared" si="1086"/>
        <v>7.9026980304994759E-3</v>
      </c>
      <c r="AG322" s="288">
        <f t="shared" si="1086"/>
        <v>1.1708887392694833E-2</v>
      </c>
      <c r="AH322" s="288">
        <f t="shared" si="1086"/>
        <v>1.4466065495965829E-2</v>
      </c>
      <c r="AI322" s="31">
        <f t="shared" si="1086"/>
        <v>8.3782277540404987E-3</v>
      </c>
      <c r="AJ322" s="288">
        <f t="shared" si="1086"/>
        <v>1.1389136660250694E-2</v>
      </c>
      <c r="AK322" s="288">
        <f t="shared" si="1086"/>
        <v>6.2326240619264804E-3</v>
      </c>
      <c r="AL322" s="31">
        <f t="shared" si="1086"/>
        <v>4.136037711994508E-3</v>
      </c>
      <c r="AM322" s="288">
        <f t="shared" si="1086"/>
        <v>5.1811594202898544E-3</v>
      </c>
      <c r="AN322" s="408">
        <v>0.01</v>
      </c>
      <c r="AO322" s="31">
        <f t="shared" ref="AO322:AP322" si="1087">+AO312/AO9</f>
        <v>1.2843913793392166E-2</v>
      </c>
      <c r="AP322" s="288">
        <f t="shared" si="1087"/>
        <v>8.5617021276595748E-3</v>
      </c>
      <c r="AQ322" s="408">
        <v>0.01</v>
      </c>
      <c r="AR322" s="31">
        <f>+AR312/AR9</f>
        <v>0.01</v>
      </c>
      <c r="AS322" s="535">
        <v>0.01</v>
      </c>
      <c r="AT322" s="535">
        <v>0.01</v>
      </c>
      <c r="AU322" s="535">
        <v>0.01</v>
      </c>
    </row>
    <row r="323" spans="1:47">
      <c r="B323" s="227"/>
      <c r="C323" s="1"/>
      <c r="F323" s="227"/>
      <c r="G323" s="227"/>
      <c r="I323" s="227"/>
      <c r="J323" s="227"/>
      <c r="L323" s="227"/>
      <c r="M323" s="227"/>
      <c r="O323" s="227"/>
      <c r="P323" s="227"/>
      <c r="R323" s="227"/>
      <c r="S323" s="227"/>
      <c r="U323" s="227"/>
      <c r="V323" s="227"/>
      <c r="X323" s="227"/>
      <c r="Y323" s="227"/>
      <c r="AA323" s="227"/>
      <c r="AB323" s="227"/>
      <c r="AD323" s="227"/>
      <c r="AE323" s="227"/>
      <c r="AG323" s="227"/>
      <c r="AH323" s="227"/>
      <c r="AJ323" s="227"/>
      <c r="AK323" s="227"/>
      <c r="AM323" s="227"/>
      <c r="AN323" s="227"/>
      <c r="AP323" s="227"/>
      <c r="AQ323" s="227"/>
      <c r="AS323" s="227"/>
      <c r="AT323" s="227"/>
      <c r="AU323" s="227"/>
    </row>
    <row r="324" spans="1:47">
      <c r="B324" s="227" t="s">
        <v>1053</v>
      </c>
      <c r="C324" s="1"/>
      <c r="F324" s="227"/>
      <c r="G324" s="227"/>
      <c r="I324" s="227"/>
      <c r="J324" s="227"/>
      <c r="K324" s="5">
        <f>K27</f>
        <v>0</v>
      </c>
      <c r="L324" s="281">
        <f t="shared" ref="L324:AM324" si="1088">L18</f>
        <v>9.6989999999999998</v>
      </c>
      <c r="M324" s="281">
        <f t="shared" si="1088"/>
        <v>5.4560000000000004</v>
      </c>
      <c r="N324" s="5">
        <f t="shared" si="1088"/>
        <v>5.5029999999999992</v>
      </c>
      <c r="O324" s="281">
        <f t="shared" si="1088"/>
        <v>10.959</v>
      </c>
      <c r="P324" s="281">
        <f t="shared" si="1088"/>
        <v>5.4169999999999998</v>
      </c>
      <c r="Q324" s="5">
        <f t="shared" si="1088"/>
        <v>5.8420000000000005</v>
      </c>
      <c r="R324" s="281">
        <f t="shared" si="1088"/>
        <v>11.259</v>
      </c>
      <c r="S324" s="281">
        <f t="shared" si="1088"/>
        <v>6.23</v>
      </c>
      <c r="T324" s="5">
        <f t="shared" si="1088"/>
        <v>6.6219999999999999</v>
      </c>
      <c r="U324" s="281">
        <f t="shared" si="1088"/>
        <v>12.852</v>
      </c>
      <c r="V324" s="281">
        <f t="shared" si="1088"/>
        <v>6.5789999999999997</v>
      </c>
      <c r="W324" s="5">
        <f t="shared" si="1088"/>
        <v>6.4929999999999994</v>
      </c>
      <c r="X324" s="281">
        <f t="shared" si="1088"/>
        <v>13.071999999999999</v>
      </c>
      <c r="Y324" s="281">
        <f t="shared" si="1088"/>
        <v>6.282</v>
      </c>
      <c r="Z324" s="5">
        <f t="shared" si="1088"/>
        <v>6.9469999999999992</v>
      </c>
      <c r="AA324" s="281">
        <f t="shared" si="1088"/>
        <v>13.228999999999999</v>
      </c>
      <c r="AB324" s="281">
        <f t="shared" si="1088"/>
        <v>7.6820000000000004</v>
      </c>
      <c r="AC324" s="5">
        <f t="shared" si="1088"/>
        <v>8.0549999999999997</v>
      </c>
      <c r="AD324" s="281">
        <f t="shared" si="1088"/>
        <v>15.737</v>
      </c>
      <c r="AE324" s="281">
        <f t="shared" si="1088"/>
        <v>11.249000000000001</v>
      </c>
      <c r="AF324" s="5">
        <f t="shared" si="1088"/>
        <v>11.866999999999999</v>
      </c>
      <c r="AG324" s="281">
        <f t="shared" si="1088"/>
        <v>23.116</v>
      </c>
      <c r="AH324" s="281">
        <f t="shared" si="1088"/>
        <v>12.862</v>
      </c>
      <c r="AI324" s="5">
        <f t="shared" si="1088"/>
        <v>12.156999999999998</v>
      </c>
      <c r="AJ324" s="281">
        <f t="shared" si="1088"/>
        <v>25.018999999999998</v>
      </c>
      <c r="AK324" s="281">
        <f t="shared" si="1088"/>
        <v>13.435</v>
      </c>
      <c r="AL324" s="5">
        <f t="shared" si="1088"/>
        <v>13.772999999999998</v>
      </c>
      <c r="AM324" s="281">
        <f t="shared" si="1088"/>
        <v>27.207999999999998</v>
      </c>
      <c r="AN324" s="281">
        <f>+AN326-AN325</f>
        <v>7.0784174999999996</v>
      </c>
      <c r="AO324" s="5">
        <f t="shared" ref="AO324:AP324" si="1089">AO18</f>
        <v>9.8369999999999997</v>
      </c>
      <c r="AP324" s="281">
        <f t="shared" si="1089"/>
        <v>17.045999999999999</v>
      </c>
      <c r="AQ324" s="281">
        <f>+AQ326-AQ325</f>
        <v>8.4856135033439486</v>
      </c>
      <c r="AR324" s="5">
        <f t="shared" ref="AR324" si="1090">+AR326-AR325</f>
        <v>8.9405829234076428</v>
      </c>
      <c r="AS324" s="281">
        <f t="shared" ref="AS324:AU324" si="1091">+AS326-AS325</f>
        <v>17.426196426751591</v>
      </c>
      <c r="AT324" s="281">
        <f t="shared" si="1091"/>
        <v>18.647433395281531</v>
      </c>
      <c r="AU324" s="281">
        <f t="shared" si="1091"/>
        <v>19.85577512945947</v>
      </c>
    </row>
    <row r="325" spans="1:47">
      <c r="B325" s="227" t="s">
        <v>1055</v>
      </c>
      <c r="C325" s="1"/>
      <c r="F325" s="227"/>
      <c r="G325" s="227"/>
      <c r="I325" s="227"/>
      <c r="J325" s="227"/>
      <c r="K325" s="5">
        <f t="shared" ref="K325:AJ325" si="1092">K320</f>
        <v>0</v>
      </c>
      <c r="L325" s="281">
        <f t="shared" si="1092"/>
        <v>0</v>
      </c>
      <c r="M325" s="281">
        <f t="shared" si="1092"/>
        <v>0</v>
      </c>
      <c r="N325" s="5">
        <f t="shared" si="1092"/>
        <v>0</v>
      </c>
      <c r="O325" s="281">
        <f t="shared" si="1092"/>
        <v>0</v>
      </c>
      <c r="P325" s="281">
        <f t="shared" si="1092"/>
        <v>0</v>
      </c>
      <c r="Q325" s="5">
        <f t="shared" si="1092"/>
        <v>0</v>
      </c>
      <c r="R325" s="281">
        <f t="shared" si="1092"/>
        <v>0</v>
      </c>
      <c r="S325" s="281">
        <f t="shared" si="1092"/>
        <v>0</v>
      </c>
      <c r="T325" s="5">
        <f t="shared" si="1092"/>
        <v>0</v>
      </c>
      <c r="U325" s="281">
        <f t="shared" si="1092"/>
        <v>0</v>
      </c>
      <c r="V325" s="281">
        <f t="shared" si="1092"/>
        <v>0</v>
      </c>
      <c r="W325" s="5">
        <f t="shared" si="1092"/>
        <v>0</v>
      </c>
      <c r="X325" s="281">
        <f t="shared" si="1092"/>
        <v>0</v>
      </c>
      <c r="Y325" s="281">
        <f t="shared" si="1092"/>
        <v>0</v>
      </c>
      <c r="Z325" s="5">
        <f t="shared" si="1092"/>
        <v>0</v>
      </c>
      <c r="AA325" s="281">
        <f t="shared" si="1092"/>
        <v>0</v>
      </c>
      <c r="AB325" s="281">
        <f t="shared" si="1092"/>
        <v>0</v>
      </c>
      <c r="AC325" s="5">
        <f t="shared" si="1092"/>
        <v>0</v>
      </c>
      <c r="AD325" s="281">
        <f t="shared" si="1092"/>
        <v>0</v>
      </c>
      <c r="AE325" s="281">
        <f t="shared" si="1092"/>
        <v>0</v>
      </c>
      <c r="AF325" s="5">
        <f t="shared" si="1092"/>
        <v>0</v>
      </c>
      <c r="AG325" s="281">
        <f t="shared" si="1092"/>
        <v>0</v>
      </c>
      <c r="AH325" s="281">
        <f t="shared" si="1092"/>
        <v>0</v>
      </c>
      <c r="AI325" s="5">
        <f t="shared" si="1092"/>
        <v>0</v>
      </c>
      <c r="AJ325" s="281">
        <f t="shared" si="1092"/>
        <v>0</v>
      </c>
      <c r="AK325" s="281">
        <v>0</v>
      </c>
      <c r="AL325" s="5">
        <f t="shared" ref="AL325:AM325" si="1093">AL320</f>
        <v>0</v>
      </c>
      <c r="AM325" s="281">
        <f t="shared" si="1093"/>
        <v>0</v>
      </c>
      <c r="AN325" s="281">
        <f>+AN326*AN319</f>
        <v>7.0784174999999996</v>
      </c>
      <c r="AO325" s="5">
        <f t="shared" ref="AO325:AP325" si="1094">AO320</f>
        <v>0</v>
      </c>
      <c r="AP325" s="281">
        <f t="shared" si="1094"/>
        <v>0</v>
      </c>
      <c r="AQ325" s="281">
        <f>+AQ326*AQ319</f>
        <v>6.9427746845541405</v>
      </c>
      <c r="AR325" s="5">
        <f t="shared" ref="AR325" si="1095">+AR326*AR319</f>
        <v>7.3150223918789807</v>
      </c>
      <c r="AS325" s="281">
        <f t="shared" ref="AS325:AU325" si="1096">+AS326*AS319</f>
        <v>14.257797076433121</v>
      </c>
      <c r="AT325" s="281">
        <f t="shared" si="1096"/>
        <v>15.256990959775798</v>
      </c>
      <c r="AU325" s="281">
        <f t="shared" si="1096"/>
        <v>16.245634196830476</v>
      </c>
    </row>
    <row r="326" spans="1:47" s="15" customFormat="1">
      <c r="A326" s="217"/>
      <c r="B326" s="226" t="s">
        <v>1056</v>
      </c>
      <c r="F326" s="226"/>
      <c r="G326" s="226"/>
      <c r="I326" s="226"/>
      <c r="J326" s="226"/>
      <c r="K326" s="8">
        <f t="shared" ref="K326:M326" si="1097">SUM(K324:K325)</f>
        <v>0</v>
      </c>
      <c r="L326" s="287">
        <f t="shared" si="1097"/>
        <v>9.6989999999999998</v>
      </c>
      <c r="M326" s="287">
        <f t="shared" si="1097"/>
        <v>5.4560000000000004</v>
      </c>
      <c r="N326" s="8">
        <f t="shared" ref="N326:AM326" si="1098">SUM(N324:N325)</f>
        <v>5.5029999999999992</v>
      </c>
      <c r="O326" s="287">
        <f t="shared" si="1098"/>
        <v>10.959</v>
      </c>
      <c r="P326" s="287">
        <f t="shared" si="1098"/>
        <v>5.4169999999999998</v>
      </c>
      <c r="Q326" s="8">
        <f t="shared" si="1098"/>
        <v>5.8420000000000005</v>
      </c>
      <c r="R326" s="287">
        <f t="shared" si="1098"/>
        <v>11.259</v>
      </c>
      <c r="S326" s="287">
        <f t="shared" si="1098"/>
        <v>6.23</v>
      </c>
      <c r="T326" s="8">
        <f t="shared" si="1098"/>
        <v>6.6219999999999999</v>
      </c>
      <c r="U326" s="287">
        <f t="shared" si="1098"/>
        <v>12.852</v>
      </c>
      <c r="V326" s="287">
        <f t="shared" si="1098"/>
        <v>6.5789999999999997</v>
      </c>
      <c r="W326" s="8">
        <f t="shared" si="1098"/>
        <v>6.4929999999999994</v>
      </c>
      <c r="X326" s="287">
        <f t="shared" si="1098"/>
        <v>13.071999999999999</v>
      </c>
      <c r="Y326" s="287">
        <f t="shared" si="1098"/>
        <v>6.282</v>
      </c>
      <c r="Z326" s="8">
        <f t="shared" si="1098"/>
        <v>6.9469999999999992</v>
      </c>
      <c r="AA326" s="287">
        <f t="shared" si="1098"/>
        <v>13.228999999999999</v>
      </c>
      <c r="AB326" s="287">
        <f t="shared" si="1098"/>
        <v>7.6820000000000004</v>
      </c>
      <c r="AC326" s="8">
        <f t="shared" si="1098"/>
        <v>8.0549999999999997</v>
      </c>
      <c r="AD326" s="287">
        <f t="shared" si="1098"/>
        <v>15.737</v>
      </c>
      <c r="AE326" s="287">
        <f t="shared" si="1098"/>
        <v>11.249000000000001</v>
      </c>
      <c r="AF326" s="8">
        <f t="shared" si="1098"/>
        <v>11.866999999999999</v>
      </c>
      <c r="AG326" s="287">
        <f t="shared" si="1098"/>
        <v>23.116</v>
      </c>
      <c r="AH326" s="287">
        <f t="shared" si="1098"/>
        <v>12.862</v>
      </c>
      <c r="AI326" s="8">
        <f t="shared" si="1098"/>
        <v>12.156999999999998</v>
      </c>
      <c r="AJ326" s="287">
        <f t="shared" si="1098"/>
        <v>25.018999999999998</v>
      </c>
      <c r="AK326" s="287">
        <f t="shared" si="1098"/>
        <v>13.435</v>
      </c>
      <c r="AL326" s="8">
        <f t="shared" si="1098"/>
        <v>13.772999999999998</v>
      </c>
      <c r="AM326" s="287">
        <f t="shared" si="1098"/>
        <v>27.207999999999998</v>
      </c>
      <c r="AN326" s="287">
        <f>+AN9*AN321</f>
        <v>14.156834999999999</v>
      </c>
      <c r="AO326" s="8">
        <f t="shared" ref="AO326:AP326" si="1099">SUM(AO324:AO325)</f>
        <v>9.8369999999999997</v>
      </c>
      <c r="AP326" s="287">
        <f t="shared" si="1099"/>
        <v>17.045999999999999</v>
      </c>
      <c r="AQ326" s="287">
        <f>+AQ9*AQ321</f>
        <v>15.42838818789809</v>
      </c>
      <c r="AR326" s="8">
        <f t="shared" ref="AR326" si="1100">+AR9*AR321</f>
        <v>16.255605315286623</v>
      </c>
      <c r="AS326" s="287">
        <f t="shared" ref="AS326:AU326" si="1101">+AS9*AS321</f>
        <v>31.683993503184713</v>
      </c>
      <c r="AT326" s="287">
        <f t="shared" si="1101"/>
        <v>33.90442435505733</v>
      </c>
      <c r="AU326" s="287">
        <f t="shared" si="1101"/>
        <v>36.101409326289946</v>
      </c>
    </row>
    <row r="327" spans="1:47">
      <c r="B327" s="227"/>
      <c r="C327" s="1"/>
      <c r="F327" s="227"/>
      <c r="G327" s="227"/>
      <c r="I327" s="227"/>
      <c r="J327" s="227"/>
      <c r="L327" s="227"/>
      <c r="M327" s="227"/>
      <c r="O327" s="227"/>
      <c r="P327" s="227"/>
      <c r="R327" s="227"/>
      <c r="S327" s="227"/>
      <c r="U327" s="227"/>
      <c r="V327" s="227"/>
      <c r="X327" s="227"/>
      <c r="Y327" s="227"/>
      <c r="AA327" s="227"/>
      <c r="AB327" s="227"/>
      <c r="AD327" s="227"/>
      <c r="AE327" s="227"/>
      <c r="AG327" s="227"/>
      <c r="AH327" s="227"/>
      <c r="AJ327" s="227"/>
      <c r="AK327" s="227"/>
      <c r="AM327" s="227"/>
      <c r="AN327" s="227"/>
      <c r="AP327" s="227"/>
      <c r="AQ327" s="227"/>
      <c r="AS327" s="227"/>
      <c r="AT327" s="227"/>
      <c r="AU327" s="227"/>
    </row>
    <row r="328" spans="1:47">
      <c r="B328" s="226" t="s">
        <v>1215</v>
      </c>
      <c r="C328" s="15"/>
      <c r="D328" s="15"/>
      <c r="E328" s="15"/>
      <c r="F328" s="226"/>
      <c r="G328" s="226"/>
      <c r="H328" s="15"/>
      <c r="I328" s="226"/>
      <c r="J328" s="226"/>
      <c r="K328" s="15"/>
      <c r="L328" s="226"/>
      <c r="M328" s="226"/>
      <c r="N328" s="15"/>
      <c r="O328" s="226"/>
      <c r="P328" s="226"/>
      <c r="Q328" s="15"/>
      <c r="R328" s="226"/>
      <c r="S328" s="226"/>
      <c r="T328" s="15"/>
      <c r="U328" s="226"/>
      <c r="V328" s="226"/>
      <c r="W328" s="15"/>
      <c r="X328" s="226"/>
      <c r="Y328" s="226"/>
      <c r="Z328" s="15"/>
      <c r="AA328" s="226"/>
      <c r="AB328" s="226"/>
      <c r="AC328" s="15"/>
      <c r="AD328" s="226"/>
      <c r="AE328" s="226"/>
      <c r="AF328" s="15"/>
      <c r="AG328" s="226"/>
      <c r="AH328" s="226"/>
      <c r="AI328" s="15"/>
      <c r="AJ328" s="226"/>
      <c r="AK328" s="226"/>
      <c r="AL328" s="15"/>
      <c r="AM328" s="226"/>
      <c r="AN328" s="226"/>
      <c r="AO328" s="15"/>
      <c r="AP328" s="226"/>
      <c r="AQ328" s="226"/>
      <c r="AR328" s="15"/>
      <c r="AS328" s="562">
        <f>+AP331</f>
        <v>0</v>
      </c>
      <c r="AT328" s="562">
        <f t="shared" ref="AT328:AU328" si="1102">+AS331</f>
        <v>13.940957141401276</v>
      </c>
      <c r="AU328" s="562">
        <f t="shared" si="1102"/>
        <v>25.373664572276184</v>
      </c>
    </row>
    <row r="329" spans="1:47">
      <c r="B329" s="227" t="s">
        <v>1116</v>
      </c>
      <c r="C329" s="1"/>
      <c r="F329" s="227"/>
      <c r="G329" s="227"/>
      <c r="I329" s="227"/>
      <c r="J329" s="227"/>
      <c r="L329" s="227"/>
      <c r="M329" s="227"/>
      <c r="O329" s="227"/>
      <c r="P329" s="227"/>
      <c r="R329" s="227"/>
      <c r="S329" s="227"/>
      <c r="U329" s="227"/>
      <c r="V329" s="227"/>
      <c r="X329" s="227"/>
      <c r="Y329" s="227"/>
      <c r="AA329" s="227"/>
      <c r="AB329" s="227"/>
      <c r="AD329" s="227"/>
      <c r="AE329" s="227"/>
      <c r="AG329" s="227"/>
      <c r="AH329" s="227"/>
      <c r="AJ329" s="227"/>
      <c r="AK329" s="227"/>
      <c r="AM329" s="227"/>
      <c r="AN329" s="227"/>
      <c r="AP329" s="227"/>
      <c r="AQ329" s="227"/>
      <c r="AS329" s="561">
        <f>+AS315</f>
        <v>17.426196426751595</v>
      </c>
      <c r="AT329" s="561">
        <f t="shared" ref="AT329:AU329" si="1103">+AT315</f>
        <v>18.647433395281531</v>
      </c>
      <c r="AU329" s="561">
        <f t="shared" si="1103"/>
        <v>19.855775129459474</v>
      </c>
    </row>
    <row r="330" spans="1:47">
      <c r="B330" s="227" t="s">
        <v>984</v>
      </c>
      <c r="C330" s="1"/>
      <c r="F330" s="227"/>
      <c r="G330" s="227"/>
      <c r="I330" s="227"/>
      <c r="J330" s="227"/>
      <c r="L330" s="227"/>
      <c r="M330" s="227"/>
      <c r="O330" s="227"/>
      <c r="P330" s="227"/>
      <c r="R330" s="227"/>
      <c r="S330" s="227"/>
      <c r="U330" s="227"/>
      <c r="V330" s="227"/>
      <c r="X330" s="227"/>
      <c r="Y330" s="227"/>
      <c r="AA330" s="227"/>
      <c r="AB330" s="227"/>
      <c r="AD330" s="227"/>
      <c r="AE330" s="227"/>
      <c r="AG330" s="227"/>
      <c r="AH330" s="227"/>
      <c r="AJ330" s="227"/>
      <c r="AK330" s="227"/>
      <c r="AM330" s="227"/>
      <c r="AN330" s="227">
        <f>+AP330/2</f>
        <v>0</v>
      </c>
      <c r="AP330" s="227"/>
      <c r="AQ330" s="227">
        <f>+AS330/2</f>
        <v>-1.7426196426751595</v>
      </c>
      <c r="AR330" s="563">
        <f>+AS330-AQ330</f>
        <v>-1.7426196426751595</v>
      </c>
      <c r="AS330" s="561">
        <f>+(AP329/5+AS329/5)*-1</f>
        <v>-3.4852392853503189</v>
      </c>
      <c r="AT330" s="561">
        <f>+($AP$329/5+$AS$329/5+$AT$329/5)*-1</f>
        <v>-7.2147259644066253</v>
      </c>
      <c r="AU330" s="561">
        <f>+($AP$329/5+$AS$329/5+$AT$329/5+$AU$329/5)*-1</f>
        <v>-11.18588099029852</v>
      </c>
    </row>
    <row r="331" spans="1:47">
      <c r="B331" s="226" t="s">
        <v>1216</v>
      </c>
      <c r="C331" s="15"/>
      <c r="D331" s="15"/>
      <c r="E331" s="15"/>
      <c r="F331" s="226"/>
      <c r="G331" s="226"/>
      <c r="H331" s="15"/>
      <c r="I331" s="226"/>
      <c r="J331" s="226"/>
      <c r="K331" s="15"/>
      <c r="L331" s="226"/>
      <c r="M331" s="226"/>
      <c r="N331" s="15"/>
      <c r="O331" s="226"/>
      <c r="P331" s="226"/>
      <c r="Q331" s="15"/>
      <c r="R331" s="226"/>
      <c r="S331" s="226"/>
      <c r="T331" s="15"/>
      <c r="U331" s="226"/>
      <c r="V331" s="226"/>
      <c r="W331" s="15"/>
      <c r="X331" s="226"/>
      <c r="Y331" s="226"/>
      <c r="Z331" s="15"/>
      <c r="AA331" s="226"/>
      <c r="AB331" s="226"/>
      <c r="AC331" s="15"/>
      <c r="AD331" s="226"/>
      <c r="AE331" s="226"/>
      <c r="AF331" s="15"/>
      <c r="AG331" s="226"/>
      <c r="AH331" s="226"/>
      <c r="AI331" s="15"/>
      <c r="AJ331" s="226"/>
      <c r="AK331" s="226"/>
      <c r="AL331" s="15"/>
      <c r="AM331" s="226"/>
      <c r="AN331" s="226"/>
      <c r="AO331" s="15"/>
      <c r="AP331" s="226"/>
      <c r="AQ331" s="226"/>
      <c r="AR331" s="15"/>
      <c r="AS331" s="562">
        <f>+AS328+AS329+AS330</f>
        <v>13.940957141401276</v>
      </c>
      <c r="AT331" s="562">
        <f t="shared" ref="AT331:AU331" si="1104">+AT328+AT329+AT330</f>
        <v>25.373664572276184</v>
      </c>
      <c r="AU331" s="562">
        <f t="shared" si="1104"/>
        <v>34.043558711437136</v>
      </c>
    </row>
    <row r="332" spans="1:47">
      <c r="B332" s="227"/>
      <c r="C332" s="1"/>
      <c r="F332" s="227"/>
      <c r="G332" s="227"/>
      <c r="I332" s="227"/>
      <c r="J332" s="227"/>
      <c r="L332" s="227"/>
      <c r="M332" s="227"/>
      <c r="O332" s="227"/>
      <c r="P332" s="227"/>
      <c r="R332" s="227"/>
      <c r="S332" s="227"/>
      <c r="U332" s="227"/>
      <c r="V332" s="227"/>
      <c r="X332" s="227"/>
      <c r="Y332" s="227"/>
      <c r="AA332" s="227"/>
      <c r="AB332" s="227"/>
      <c r="AD332" s="227"/>
      <c r="AE332" s="227"/>
      <c r="AG332" s="227"/>
      <c r="AH332" s="227"/>
      <c r="AJ332" s="227"/>
      <c r="AK332" s="227"/>
      <c r="AM332" s="227"/>
      <c r="AN332" s="227"/>
      <c r="AP332" s="227"/>
      <c r="AQ332" s="227"/>
      <c r="AS332" s="227"/>
      <c r="AT332" s="227"/>
      <c r="AU332" s="227"/>
    </row>
    <row r="333" spans="1:47">
      <c r="B333" s="227"/>
      <c r="C333" s="1"/>
      <c r="F333" s="227"/>
      <c r="G333" s="227"/>
      <c r="I333" s="227"/>
      <c r="J333" s="227"/>
      <c r="L333" s="227"/>
      <c r="M333" s="227"/>
      <c r="O333" s="227"/>
      <c r="P333" s="227"/>
      <c r="R333" s="227"/>
      <c r="S333" s="227"/>
      <c r="U333" s="227"/>
      <c r="V333" s="227"/>
      <c r="X333" s="227"/>
      <c r="Y333" s="227"/>
      <c r="AA333" s="227"/>
      <c r="AB333" s="227"/>
      <c r="AD333" s="227"/>
      <c r="AE333" s="227"/>
      <c r="AG333" s="227"/>
      <c r="AH333" s="227"/>
      <c r="AJ333" s="227"/>
      <c r="AK333" s="227"/>
      <c r="AM333" s="227"/>
      <c r="AN333" s="227"/>
      <c r="AP333" s="227"/>
      <c r="AQ333" s="227"/>
      <c r="AS333" s="227"/>
      <c r="AT333" s="227"/>
      <c r="AU333" s="227"/>
    </row>
    <row r="334" spans="1:47">
      <c r="B334" s="227"/>
      <c r="C334" s="1"/>
      <c r="F334" s="227"/>
      <c r="G334" s="227"/>
      <c r="I334" s="227"/>
      <c r="J334" s="227"/>
      <c r="L334" s="227"/>
      <c r="M334" s="227"/>
      <c r="O334" s="227"/>
      <c r="P334" s="227"/>
      <c r="R334" s="227"/>
      <c r="S334" s="227"/>
      <c r="U334" s="227"/>
      <c r="V334" s="227"/>
      <c r="X334" s="227"/>
      <c r="Y334" s="227"/>
      <c r="AA334" s="227"/>
      <c r="AB334" s="227"/>
      <c r="AD334" s="227"/>
      <c r="AE334" s="227"/>
      <c r="AG334" s="227"/>
      <c r="AH334" s="227"/>
      <c r="AJ334" s="227"/>
      <c r="AK334" s="227"/>
      <c r="AM334" s="227"/>
      <c r="AN334" s="227"/>
      <c r="AP334" s="227"/>
      <c r="AQ334" s="227"/>
      <c r="AS334" s="227"/>
      <c r="AT334" s="227"/>
      <c r="AU334" s="227"/>
    </row>
    <row r="335" spans="1:47">
      <c r="B335" s="227"/>
      <c r="C335" s="1"/>
      <c r="F335" s="227"/>
      <c r="G335" s="227"/>
      <c r="I335" s="227"/>
      <c r="J335" s="227"/>
      <c r="L335" s="227"/>
      <c r="M335" s="227"/>
      <c r="O335" s="227"/>
      <c r="P335" s="227"/>
      <c r="R335" s="227"/>
      <c r="S335" s="227"/>
      <c r="U335" s="227"/>
      <c r="V335" s="227"/>
      <c r="X335" s="227"/>
      <c r="Y335" s="227"/>
      <c r="AA335" s="227"/>
      <c r="AB335" s="227"/>
      <c r="AD335" s="227"/>
      <c r="AE335" s="227"/>
      <c r="AG335" s="227"/>
      <c r="AH335" s="227"/>
      <c r="AJ335" s="227"/>
      <c r="AK335" s="227"/>
      <c r="AM335" s="227"/>
      <c r="AN335" s="227"/>
      <c r="AP335" s="227"/>
      <c r="AQ335" s="227"/>
      <c r="AS335" s="227"/>
      <c r="AT335" s="227"/>
      <c r="AU335" s="227"/>
    </row>
    <row r="336" spans="1:47">
      <c r="B336" s="227"/>
      <c r="C336" s="1"/>
      <c r="F336" s="227"/>
      <c r="G336" s="227"/>
      <c r="I336" s="227"/>
      <c r="J336" s="227"/>
      <c r="L336" s="227"/>
      <c r="M336" s="227"/>
      <c r="O336" s="227"/>
      <c r="P336" s="227"/>
      <c r="R336" s="227"/>
      <c r="S336" s="227"/>
      <c r="U336" s="227"/>
      <c r="V336" s="227"/>
      <c r="X336" s="227"/>
      <c r="Y336" s="227"/>
      <c r="AA336" s="227"/>
      <c r="AB336" s="227"/>
      <c r="AD336" s="227"/>
      <c r="AE336" s="227"/>
      <c r="AG336" s="227"/>
      <c r="AH336" s="227"/>
      <c r="AJ336" s="227"/>
      <c r="AK336" s="227"/>
      <c r="AM336" s="227"/>
      <c r="AN336" s="227"/>
      <c r="AP336" s="227"/>
      <c r="AQ336" s="227"/>
      <c r="AS336" s="227"/>
      <c r="AT336" s="227"/>
      <c r="AU336" s="227"/>
    </row>
    <row r="337" spans="2:47">
      <c r="B337" s="227"/>
      <c r="C337" s="1"/>
      <c r="F337" s="227"/>
      <c r="G337" s="227"/>
      <c r="I337" s="227"/>
      <c r="J337" s="227"/>
      <c r="L337" s="227"/>
      <c r="M337" s="227"/>
      <c r="O337" s="227"/>
      <c r="P337" s="227"/>
      <c r="R337" s="227"/>
      <c r="S337" s="227"/>
      <c r="U337" s="227"/>
      <c r="V337" s="227"/>
      <c r="X337" s="227"/>
      <c r="Y337" s="227"/>
      <c r="AA337" s="227"/>
      <c r="AB337" s="227"/>
      <c r="AD337" s="227"/>
      <c r="AE337" s="227"/>
      <c r="AG337" s="227"/>
      <c r="AH337" s="227"/>
      <c r="AJ337" s="227"/>
      <c r="AK337" s="227"/>
      <c r="AM337" s="227"/>
      <c r="AN337" s="227"/>
      <c r="AP337" s="227"/>
      <c r="AQ337" s="227"/>
      <c r="AS337" s="227"/>
      <c r="AT337" s="227"/>
      <c r="AU337" s="227"/>
    </row>
    <row r="338" spans="2:47">
      <c r="B338" s="227"/>
      <c r="C338" s="1"/>
      <c r="F338" s="227"/>
      <c r="G338" s="227"/>
      <c r="I338" s="227"/>
      <c r="J338" s="227"/>
      <c r="L338" s="227"/>
      <c r="M338" s="227"/>
      <c r="O338" s="227"/>
      <c r="P338" s="227"/>
      <c r="R338" s="227"/>
      <c r="S338" s="227"/>
      <c r="U338" s="227"/>
      <c r="V338" s="227"/>
      <c r="X338" s="227"/>
      <c r="Y338" s="227"/>
      <c r="AA338" s="227"/>
      <c r="AB338" s="227"/>
      <c r="AD338" s="227"/>
      <c r="AE338" s="227"/>
      <c r="AG338" s="227"/>
      <c r="AH338" s="227"/>
      <c r="AJ338" s="227"/>
      <c r="AK338" s="227"/>
      <c r="AM338" s="227"/>
      <c r="AN338" s="227"/>
      <c r="AP338" s="227"/>
      <c r="AQ338" s="227"/>
      <c r="AS338" s="227"/>
      <c r="AT338" s="227"/>
      <c r="AU338" s="227"/>
    </row>
    <row r="339" spans="2:47">
      <c r="B339" s="227"/>
      <c r="C339" s="1"/>
      <c r="F339" s="227"/>
      <c r="G339" s="227"/>
      <c r="I339" s="227"/>
      <c r="J339" s="227"/>
      <c r="L339" s="227"/>
      <c r="M339" s="227"/>
      <c r="O339" s="227"/>
      <c r="P339" s="227"/>
      <c r="R339" s="227"/>
      <c r="S339" s="227"/>
      <c r="U339" s="227"/>
      <c r="V339" s="227"/>
      <c r="X339" s="227"/>
      <c r="Y339" s="227"/>
      <c r="AA339" s="227"/>
      <c r="AB339" s="227"/>
      <c r="AD339" s="227"/>
      <c r="AE339" s="227"/>
      <c r="AG339" s="227"/>
      <c r="AH339" s="227"/>
      <c r="AJ339" s="227"/>
      <c r="AK339" s="227"/>
      <c r="AM339" s="227"/>
      <c r="AN339" s="227"/>
      <c r="AP339" s="227"/>
      <c r="AQ339" s="227"/>
      <c r="AS339" s="227"/>
      <c r="AT339" s="227"/>
      <c r="AU339" s="227"/>
    </row>
    <row r="340" spans="2:47">
      <c r="B340" s="227"/>
      <c r="C340" s="1"/>
      <c r="F340" s="227"/>
      <c r="G340" s="227"/>
      <c r="I340" s="227"/>
      <c r="J340" s="227"/>
      <c r="L340" s="227"/>
      <c r="M340" s="227"/>
      <c r="O340" s="227"/>
      <c r="P340" s="227"/>
      <c r="R340" s="227"/>
      <c r="S340" s="227"/>
      <c r="U340" s="227"/>
      <c r="V340" s="227"/>
      <c r="X340" s="227"/>
      <c r="Y340" s="227"/>
      <c r="AA340" s="227"/>
      <c r="AB340" s="227"/>
      <c r="AD340" s="227"/>
      <c r="AE340" s="227"/>
      <c r="AG340" s="227"/>
      <c r="AH340" s="227"/>
      <c r="AJ340" s="227"/>
      <c r="AK340" s="227"/>
      <c r="AM340" s="227"/>
      <c r="AN340" s="227"/>
      <c r="AP340" s="227"/>
      <c r="AQ340" s="227"/>
      <c r="AS340" s="227"/>
      <c r="AT340" s="227"/>
      <c r="AU340" s="227"/>
    </row>
    <row r="341" spans="2:47">
      <c r="B341" s="227"/>
      <c r="C341" s="1"/>
      <c r="F341" s="227"/>
      <c r="G341" s="227"/>
      <c r="I341" s="227"/>
      <c r="J341" s="227"/>
      <c r="L341" s="227"/>
      <c r="M341" s="227"/>
      <c r="O341" s="227"/>
      <c r="P341" s="227"/>
      <c r="R341" s="227"/>
      <c r="S341" s="227"/>
      <c r="U341" s="227"/>
      <c r="V341" s="227"/>
      <c r="X341" s="227"/>
      <c r="Y341" s="227"/>
      <c r="AA341" s="227"/>
      <c r="AB341" s="227"/>
      <c r="AD341" s="227"/>
      <c r="AE341" s="227"/>
      <c r="AG341" s="227"/>
      <c r="AH341" s="227"/>
      <c r="AJ341" s="227"/>
      <c r="AK341" s="227"/>
      <c r="AM341" s="227"/>
      <c r="AN341" s="227"/>
      <c r="AP341" s="227"/>
      <c r="AQ341" s="227"/>
      <c r="AS341" s="227"/>
      <c r="AT341" s="227"/>
      <c r="AU341" s="227"/>
    </row>
    <row r="342" spans="2:47" ht="14.25">
      <c r="R342" s="431"/>
    </row>
    <row r="343" spans="2:47" ht="14.25">
      <c r="R343" s="431"/>
    </row>
    <row r="344" spans="2:47" ht="14.25">
      <c r="R344" s="431"/>
    </row>
    <row r="345" spans="2:47">
      <c r="R345" s="434"/>
    </row>
    <row r="346" spans="2:47">
      <c r="R346" s="435"/>
    </row>
  </sheetData>
  <customSheetViews>
    <customSheetView guid="{92309AA5-604A-11D5-9E55-00508BC944B9}" scale="80" showPageBreaks="1" printArea="1" hiddenRows="1" hiddenColumns="1" showRuler="0">
      <pane xSplit="1" ySplit="2" topLeftCell="B17" activePane="bottomRight" state="frozen"/>
      <selection pane="bottomRight" activeCell="I1" sqref="I1"/>
      <rowBreaks count="2" manualBreakCount="2">
        <brk id="107" max="16383" man="1"/>
        <brk id="208" max="16383" man="1"/>
      </rowBreaks>
      <pageMargins left="0" right="0" top="0" bottom="0" header="0" footer="0"/>
      <printOptions horizontalCentered="1"/>
      <pageSetup paperSize="9" scale="45" orientation="portrait" blackAndWhite="1" verticalDpi="0" r:id="rId1"/>
      <headerFooter alignWithMargins="0">
        <oddHeader>&amp;R&amp;"Verdana,Bold"&amp;12JBWere</oddHeader>
        <oddFooter>&amp;L&amp;12Updated: &amp;D&amp;C&amp;12Analyst: Lou Capparelli</oddFooter>
      </headerFooter>
    </customSheetView>
    <customSheetView guid="{92309AA4-604A-11D5-9E55-00508BC944B9}" scale="80" showPageBreaks="1" printArea="1" hiddenRows="1" hiddenColumns="1" showRuler="0">
      <pane xSplit="1" ySplit="2" topLeftCell="B17" activePane="bottomRight" state="frozen"/>
      <selection pane="bottomRight" activeCell="T20" sqref="T20"/>
      <rowBreaks count="2" manualBreakCount="2">
        <brk id="107" max="16383" man="1"/>
        <brk id="208" max="16383" man="1"/>
      </rowBreaks>
      <pageMargins left="0" right="0" top="0" bottom="0" header="0" footer="0"/>
      <printOptions horizontalCentered="1"/>
      <pageSetup paperSize="9" scale="55" orientation="portrait" blackAndWhite="1" verticalDpi="0" r:id="rId2"/>
      <headerFooter alignWithMargins="0">
        <oddHeader>&amp;R&amp;"Verdana,Bold"&amp;12JBWere</oddHeader>
        <oddFooter>&amp;L&amp;12Updated: &amp;D&amp;C&amp;12Analyst: Lou Capparelli</oddFooter>
      </headerFooter>
    </customSheetView>
  </customSheetViews>
  <phoneticPr fontId="0" type="noConversion"/>
  <conditionalFormatting sqref="AF187 AJ187:AK187 AS187 AM187:AN187 AP187">
    <cfRule type="cellIs" dxfId="82" priority="161" operator="lessThan">
      <formula>-0.1</formula>
    </cfRule>
    <cfRule type="cellIs" dxfId="81" priority="162" operator="greaterThan">
      <formula>0.1</formula>
    </cfRule>
  </conditionalFormatting>
  <conditionalFormatting sqref="AT187:AU187">
    <cfRule type="cellIs" dxfId="80" priority="159" operator="lessThan">
      <formula>-0.1</formula>
    </cfRule>
    <cfRule type="cellIs" dxfId="79" priority="160" operator="greaterThan">
      <formula>0.1</formula>
    </cfRule>
  </conditionalFormatting>
  <conditionalFormatting sqref="AG187">
    <cfRule type="cellIs" dxfId="72" priority="141" operator="lessThan">
      <formula>-0.1</formula>
    </cfRule>
    <cfRule type="cellIs" dxfId="71" priority="142" operator="greaterThan">
      <formula>0.1</formula>
    </cfRule>
  </conditionalFormatting>
  <conditionalFormatting sqref="AI187">
    <cfRule type="cellIs" dxfId="70" priority="139" operator="lessThan">
      <formula>-0.1</formula>
    </cfRule>
    <cfRule type="cellIs" dxfId="69" priority="140" operator="greaterThan">
      <formula>0.1</formula>
    </cfRule>
  </conditionalFormatting>
  <conditionalFormatting sqref="AL187">
    <cfRule type="cellIs" dxfId="68" priority="137" operator="lessThan">
      <formula>-0.1</formula>
    </cfRule>
    <cfRule type="cellIs" dxfId="67" priority="138" operator="greaterThan">
      <formula>0.1</formula>
    </cfRule>
  </conditionalFormatting>
  <conditionalFormatting sqref="AI130 AF130 AL130 AS130:AU130 AO130">
    <cfRule type="cellIs" dxfId="66" priority="130" operator="lessThan">
      <formula>0</formula>
    </cfRule>
  </conditionalFormatting>
  <conditionalFormatting sqref="U187">
    <cfRule type="cellIs" dxfId="65" priority="80" operator="lessThan">
      <formula>-0.1</formula>
    </cfRule>
    <cfRule type="cellIs" dxfId="64" priority="81" operator="greaterThan">
      <formula>0.1</formula>
    </cfRule>
  </conditionalFormatting>
  <conditionalFormatting sqref="T130">
    <cfRule type="cellIs" dxfId="63" priority="79" operator="lessThan">
      <formula>0</formula>
    </cfRule>
  </conditionalFormatting>
  <conditionalFormatting sqref="S187">
    <cfRule type="cellIs" dxfId="62" priority="69" operator="lessThan">
      <formula>-0.1</formula>
    </cfRule>
    <cfRule type="cellIs" dxfId="61" priority="70" operator="greaterThan">
      <formula>0.1</formula>
    </cfRule>
  </conditionalFormatting>
  <conditionalFormatting sqref="Q130">
    <cfRule type="cellIs" dxfId="60" priority="71" operator="lessThan">
      <formula>0</formula>
    </cfRule>
  </conditionalFormatting>
  <conditionalFormatting sqref="AH187">
    <cfRule type="cellIs" dxfId="59" priority="109" operator="lessThan">
      <formula>-0.1</formula>
    </cfRule>
    <cfRule type="cellIs" dxfId="58" priority="110" operator="greaterThan">
      <formula>0.1</formula>
    </cfRule>
  </conditionalFormatting>
  <conditionalFormatting sqref="AH130">
    <cfRule type="cellIs" dxfId="57" priority="108" operator="lessThan">
      <formula>0</formula>
    </cfRule>
  </conditionalFormatting>
  <conditionalFormatting sqref="AC187">
    <cfRule type="cellIs" dxfId="56" priority="106" operator="lessThan">
      <formula>-0.1</formula>
    </cfRule>
    <cfRule type="cellIs" dxfId="55" priority="107" operator="greaterThan">
      <formula>0.1</formula>
    </cfRule>
  </conditionalFormatting>
  <conditionalFormatting sqref="AD187">
    <cfRule type="cellIs" dxfId="54" priority="104" operator="lessThan">
      <formula>-0.1</formula>
    </cfRule>
    <cfRule type="cellIs" dxfId="53" priority="105" operator="greaterThan">
      <formula>0.1</formula>
    </cfRule>
  </conditionalFormatting>
  <conditionalFormatting sqref="AC130">
    <cfRule type="cellIs" dxfId="52" priority="103" operator="lessThan">
      <formula>0</formula>
    </cfRule>
  </conditionalFormatting>
  <conditionalFormatting sqref="AE187">
    <cfRule type="cellIs" dxfId="51" priority="101" operator="lessThan">
      <formula>-0.1</formula>
    </cfRule>
    <cfRule type="cellIs" dxfId="50" priority="102" operator="greaterThan">
      <formula>0.1</formula>
    </cfRule>
  </conditionalFormatting>
  <conditionalFormatting sqref="Z187">
    <cfRule type="cellIs" dxfId="49" priority="98" operator="lessThan">
      <formula>-0.1</formula>
    </cfRule>
    <cfRule type="cellIs" dxfId="48" priority="99" operator="greaterThan">
      <formula>0.1</formula>
    </cfRule>
  </conditionalFormatting>
  <conditionalFormatting sqref="AA187">
    <cfRule type="cellIs" dxfId="47" priority="96" operator="lessThan">
      <formula>-0.1</formula>
    </cfRule>
    <cfRule type="cellIs" dxfId="46" priority="97" operator="greaterThan">
      <formula>0.1</formula>
    </cfRule>
  </conditionalFormatting>
  <conditionalFormatting sqref="Z130">
    <cfRule type="cellIs" dxfId="45" priority="95" operator="lessThan">
      <formula>0</formula>
    </cfRule>
  </conditionalFormatting>
  <conditionalFormatting sqref="AB187">
    <cfRule type="cellIs" dxfId="44" priority="93" operator="lessThan">
      <formula>-0.1</formula>
    </cfRule>
    <cfRule type="cellIs" dxfId="43" priority="94" operator="greaterThan">
      <formula>0.1</formula>
    </cfRule>
  </conditionalFormatting>
  <conditionalFormatting sqref="AB130">
    <cfRule type="cellIs" dxfId="42" priority="92" operator="lessThan">
      <formula>0</formula>
    </cfRule>
  </conditionalFormatting>
  <conditionalFormatting sqref="W187">
    <cfRule type="cellIs" dxfId="41" priority="90" operator="lessThan">
      <formula>-0.1</formula>
    </cfRule>
    <cfRule type="cellIs" dxfId="40" priority="91" operator="greaterThan">
      <formula>0.1</formula>
    </cfRule>
  </conditionalFormatting>
  <conditionalFormatting sqref="X187">
    <cfRule type="cellIs" dxfId="39" priority="88" operator="lessThan">
      <formula>-0.1</formula>
    </cfRule>
    <cfRule type="cellIs" dxfId="38" priority="89" operator="greaterThan">
      <formula>0.1</formula>
    </cfRule>
  </conditionalFormatting>
  <conditionalFormatting sqref="W130">
    <cfRule type="cellIs" dxfId="37" priority="87" operator="lessThan">
      <formula>0</formula>
    </cfRule>
  </conditionalFormatting>
  <conditionalFormatting sqref="Y187">
    <cfRule type="cellIs" dxfId="36" priority="85" operator="lessThan">
      <formula>-0.1</formula>
    </cfRule>
    <cfRule type="cellIs" dxfId="35" priority="86" operator="greaterThan">
      <formula>0.1</formula>
    </cfRule>
  </conditionalFormatting>
  <conditionalFormatting sqref="Y130">
    <cfRule type="cellIs" dxfId="34" priority="84" operator="lessThan">
      <formula>0</formula>
    </cfRule>
  </conditionalFormatting>
  <conditionalFormatting sqref="T187">
    <cfRule type="cellIs" dxfId="33" priority="82" operator="lessThan">
      <formula>-0.1</formula>
    </cfRule>
    <cfRule type="cellIs" dxfId="32" priority="83" operator="greaterThan">
      <formula>0.1</formula>
    </cfRule>
  </conditionalFormatting>
  <conditionalFormatting sqref="V187">
    <cfRule type="cellIs" dxfId="31" priority="77" operator="lessThan">
      <formula>-0.1</formula>
    </cfRule>
    <cfRule type="cellIs" dxfId="30" priority="78" operator="greaterThan">
      <formula>0.1</formula>
    </cfRule>
  </conditionalFormatting>
  <conditionalFormatting sqref="V130">
    <cfRule type="cellIs" dxfId="29" priority="76" operator="lessThan">
      <formula>0</formula>
    </cfRule>
  </conditionalFormatting>
  <conditionalFormatting sqref="Q187">
    <cfRule type="cellIs" dxfId="28" priority="74" operator="lessThan">
      <formula>-0.1</formula>
    </cfRule>
    <cfRule type="cellIs" dxfId="27" priority="75" operator="greaterThan">
      <formula>0.1</formula>
    </cfRule>
  </conditionalFormatting>
  <conditionalFormatting sqref="R187">
    <cfRule type="cellIs" dxfId="26" priority="72" operator="lessThan">
      <formula>-0.1</formula>
    </cfRule>
    <cfRule type="cellIs" dxfId="25" priority="73" operator="greaterThan">
      <formula>0.1</formula>
    </cfRule>
  </conditionalFormatting>
  <conditionalFormatting sqref="S130">
    <cfRule type="cellIs" dxfId="24" priority="68" operator="lessThan">
      <formula>0</formula>
    </cfRule>
  </conditionalFormatting>
  <conditionalFormatting sqref="N187">
    <cfRule type="cellIs" dxfId="23" priority="66" operator="lessThan">
      <formula>-0.1</formula>
    </cfRule>
    <cfRule type="cellIs" dxfId="22" priority="67" operator="greaterThan">
      <formula>0.1</formula>
    </cfRule>
  </conditionalFormatting>
  <conditionalFormatting sqref="O187">
    <cfRule type="cellIs" dxfId="21" priority="64" operator="lessThan">
      <formula>-0.1</formula>
    </cfRule>
    <cfRule type="cellIs" dxfId="20" priority="65" operator="greaterThan">
      <formula>0.1</formula>
    </cfRule>
  </conditionalFormatting>
  <conditionalFormatting sqref="N130">
    <cfRule type="cellIs" dxfId="19" priority="63" operator="lessThan">
      <formula>0</formula>
    </cfRule>
  </conditionalFormatting>
  <conditionalFormatting sqref="P187">
    <cfRule type="cellIs" dxfId="18" priority="61" operator="lessThan">
      <formula>-0.1</formula>
    </cfRule>
    <cfRule type="cellIs" dxfId="17" priority="62" operator="greaterThan">
      <formula>0.1</formula>
    </cfRule>
  </conditionalFormatting>
  <conditionalFormatting sqref="P130">
    <cfRule type="cellIs" dxfId="16" priority="60" operator="lessThan">
      <formula>0</formula>
    </cfRule>
  </conditionalFormatting>
  <conditionalFormatting sqref="K187">
    <cfRule type="cellIs" dxfId="15" priority="58" operator="lessThan">
      <formula>-0.1</formula>
    </cfRule>
    <cfRule type="cellIs" dxfId="14" priority="59" operator="greaterThan">
      <formula>0.1</formula>
    </cfRule>
  </conditionalFormatting>
  <conditionalFormatting sqref="L187">
    <cfRule type="cellIs" dxfId="13" priority="56" operator="lessThan">
      <formula>-0.1</formula>
    </cfRule>
    <cfRule type="cellIs" dxfId="12" priority="57" operator="greaterThan">
      <formula>0.1</formula>
    </cfRule>
  </conditionalFormatting>
  <conditionalFormatting sqref="K130">
    <cfRule type="cellIs" dxfId="11" priority="55" operator="lessThan">
      <formula>0</formula>
    </cfRule>
  </conditionalFormatting>
  <conditionalFormatting sqref="M187">
    <cfRule type="cellIs" dxfId="10" priority="53" operator="lessThan">
      <formula>-0.1</formula>
    </cfRule>
    <cfRule type="cellIs" dxfId="9" priority="54" operator="greaterThan">
      <formula>0.1</formula>
    </cfRule>
  </conditionalFormatting>
  <conditionalFormatting sqref="M130">
    <cfRule type="cellIs" dxfId="8" priority="52" operator="lessThan">
      <formula>0</formula>
    </cfRule>
  </conditionalFormatting>
  <conditionalFormatting sqref="AE130">
    <cfRule type="cellIs" dxfId="7" priority="35" operator="lessThan">
      <formula>0</formula>
    </cfRule>
  </conditionalFormatting>
  <conditionalFormatting sqref="AQ187">
    <cfRule type="cellIs" dxfId="6" priority="6" operator="lessThan">
      <formula>-0.1</formula>
    </cfRule>
    <cfRule type="cellIs" dxfId="5" priority="7" operator="greaterThan">
      <formula>0.1</formula>
    </cfRule>
  </conditionalFormatting>
  <conditionalFormatting sqref="AR187">
    <cfRule type="cellIs" dxfId="4" priority="4" operator="lessThan">
      <formula>-0.1</formula>
    </cfRule>
    <cfRule type="cellIs" dxfId="3" priority="5" operator="greaterThan">
      <formula>0.1</formula>
    </cfRule>
  </conditionalFormatting>
  <conditionalFormatting sqref="AQ130:AR130">
    <cfRule type="cellIs" dxfId="2" priority="3" operator="lessThan">
      <formula>0</formula>
    </cfRule>
  </conditionalFormatting>
  <conditionalFormatting sqref="AO187">
    <cfRule type="cellIs" dxfId="1" priority="1" operator="lessThan">
      <formula>-0.1</formula>
    </cfRule>
    <cfRule type="cellIs" dxfId="0" priority="2" operator="greaterThan">
      <formula>0.1</formula>
    </cfRule>
  </conditionalFormatting>
  <pageMargins left="0.74803149606299202" right="0.74803149606299202" top="0.39370078740157499" bottom="0.98425196850393704" header="0.35433070866141703" footer="0.511811023622047"/>
  <pageSetup paperSize="187" scale="48" fitToHeight="2" orientation="landscape" r:id="rId3"/>
  <headerFooter alignWithMargins="0">
    <oddFooter>&amp;L&amp;"Verdana,Bold"Goldman Sachs
CME Research&amp;R&amp;"Verdana,Bold"Christian Guerra
+613-9679-1302
christian.guerra@gs.com
Page &amp;P of &amp;N</oddFooter>
  </headerFooter>
  <rowBreaks count="1" manualBreakCount="1">
    <brk id="94" min="1" max="33" man="1"/>
  </rowBreaks>
  <customProperties>
    <customPr name="Qube.Worksheet.Visibility" r:id="rId4"/>
    <customPr name="QXL_SHEET_ID" r:id="rId5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pageSetUpPr fitToPage="1"/>
  </sheetPr>
  <dimension ref="A1:XEL152"/>
  <sheetViews>
    <sheetView showGridLines="0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9.140625" defaultRowHeight="12.75" outlineLevelRow="1" outlineLevelCol="2"/>
  <cols>
    <col min="1" max="1" width="9" style="217" customWidth="1"/>
    <col min="2" max="2" width="62.140625" style="25" customWidth="1"/>
    <col min="3" max="4" width="10.7109375" style="25" customWidth="1"/>
    <col min="5" max="6" width="10.7109375" style="25" hidden="1" customWidth="1" outlineLevel="1"/>
    <col min="7" max="7" width="12.85546875" style="25" customWidth="1" collapsed="1"/>
    <col min="8" max="9" width="10.7109375" style="25" hidden="1" customWidth="1" outlineLevel="1"/>
    <col min="10" max="10" width="10.7109375" style="25" customWidth="1" collapsed="1"/>
    <col min="11" max="11" width="11.7109375" style="25" hidden="1" customWidth="1" outlineLevel="1"/>
    <col min="12" max="12" width="10.7109375" style="25" hidden="1" customWidth="1" outlineLevel="1"/>
    <col min="13" max="13" width="10.7109375" style="25" customWidth="1" collapsed="1"/>
    <col min="14" max="14" width="10.7109375" style="25" hidden="1" customWidth="1" outlineLevel="1"/>
    <col min="15" max="15" width="10.7109375" style="25" hidden="1" customWidth="1" outlineLevel="2"/>
    <col min="16" max="16" width="10.7109375" style="25" customWidth="1" collapsed="1"/>
    <col min="17" max="17" width="10.7109375" style="25" hidden="1" customWidth="1" outlineLevel="1"/>
    <col min="18" max="18" width="10.7109375" style="25" hidden="1" customWidth="1" outlineLevel="2"/>
    <col min="19" max="19" width="10.7109375" style="25" customWidth="1" collapsed="1"/>
    <col min="20" max="21" width="10.7109375" style="25" hidden="1" customWidth="1" outlineLevel="1"/>
    <col min="22" max="22" width="10.7109375" style="25" customWidth="1" collapsed="1"/>
    <col min="23" max="24" width="10.7109375" style="25" hidden="1" customWidth="1" outlineLevel="1"/>
    <col min="25" max="25" width="10.7109375" style="25" customWidth="1" collapsed="1"/>
    <col min="26" max="27" width="10.7109375" style="25" hidden="1" customWidth="1" outlineLevel="1"/>
    <col min="28" max="28" width="10.7109375" style="25" customWidth="1" collapsed="1"/>
    <col min="29" max="30" width="10.7109375" style="25" hidden="1" customWidth="1" outlineLevel="1"/>
    <col min="31" max="31" width="10.7109375" style="25" customWidth="1" collapsed="1"/>
    <col min="32" max="33" width="10.7109375" style="25" customWidth="1" outlineLevel="1"/>
    <col min="34" max="34" width="10.7109375" style="25" customWidth="1"/>
    <col min="35" max="36" width="10.7109375" style="25" customWidth="1" outlineLevel="1"/>
    <col min="37" max="37" width="10.7109375" style="25" customWidth="1"/>
    <col min="38" max="39" width="10.7109375" style="25" customWidth="1" outlineLevel="1"/>
    <col min="40" max="41" width="9.140625" style="25"/>
    <col min="42" max="42" width="28.7109375" style="25" customWidth="1"/>
    <col min="43" max="44" width="9.140625" style="25" customWidth="1"/>
    <col min="45" max="45" width="22.42578125" style="25" customWidth="1"/>
    <col min="46" max="48" width="9.140625" style="25" customWidth="1"/>
    <col min="49" max="16384" width="9.140625" style="25"/>
  </cols>
  <sheetData>
    <row r="1" spans="1:39" s="47" customFormat="1" ht="30" customHeight="1">
      <c r="A1" s="217"/>
      <c r="B1" s="46" t="s">
        <v>1147</v>
      </c>
      <c r="C1" s="46"/>
      <c r="D1" s="384" t="s">
        <v>104</v>
      </c>
      <c r="E1" s="268" t="s">
        <v>104</v>
      </c>
      <c r="F1" s="268" t="s">
        <v>104</v>
      </c>
      <c r="G1" s="383" t="s">
        <v>104</v>
      </c>
      <c r="H1" s="383" t="s">
        <v>104</v>
      </c>
      <c r="I1" s="268" t="s">
        <v>104</v>
      </c>
      <c r="J1" s="383" t="s">
        <v>104</v>
      </c>
      <c r="K1" s="383" t="s">
        <v>104</v>
      </c>
      <c r="L1" s="268" t="s">
        <v>104</v>
      </c>
      <c r="M1" s="383" t="s">
        <v>104</v>
      </c>
      <c r="N1" s="383" t="s">
        <v>104</v>
      </c>
      <c r="O1" s="268" t="s">
        <v>104</v>
      </c>
      <c r="P1" s="383" t="s">
        <v>104</v>
      </c>
      <c r="Q1" s="383" t="s">
        <v>104</v>
      </c>
      <c r="R1" s="268" t="s">
        <v>104</v>
      </c>
      <c r="S1" s="383" t="s">
        <v>104</v>
      </c>
      <c r="T1" s="383" t="s">
        <v>104</v>
      </c>
      <c r="U1" s="268" t="s">
        <v>104</v>
      </c>
      <c r="V1" s="383" t="s">
        <v>104</v>
      </c>
      <c r="W1" s="394" t="s">
        <v>104</v>
      </c>
      <c r="X1" s="268" t="s">
        <v>104</v>
      </c>
      <c r="Y1" s="383" t="s">
        <v>104</v>
      </c>
      <c r="Z1" s="394" t="s">
        <v>104</v>
      </c>
      <c r="AA1" s="268" t="s">
        <v>104</v>
      </c>
      <c r="AB1" s="383" t="s">
        <v>104</v>
      </c>
      <c r="AC1" s="394" t="s">
        <v>104</v>
      </c>
      <c r="AD1" s="268" t="s">
        <v>104</v>
      </c>
      <c r="AE1" s="383" t="s">
        <v>104</v>
      </c>
      <c r="AF1" s="394" t="s">
        <v>104</v>
      </c>
      <c r="AG1" s="268" t="s">
        <v>104</v>
      </c>
      <c r="AH1" s="383" t="s">
        <v>104</v>
      </c>
      <c r="AI1" s="404" t="s">
        <v>105</v>
      </c>
      <c r="AJ1" s="403" t="s">
        <v>105</v>
      </c>
      <c r="AK1" s="404" t="s">
        <v>105</v>
      </c>
      <c r="AL1" s="404" t="s">
        <v>105</v>
      </c>
      <c r="AM1" s="404" t="s">
        <v>105</v>
      </c>
    </row>
    <row r="2" spans="1:39">
      <c r="B2" s="234" t="s">
        <v>1134</v>
      </c>
      <c r="C2" s="235" t="s">
        <v>1103</v>
      </c>
      <c r="D2" s="385">
        <v>2014</v>
      </c>
      <c r="E2" s="269" t="s">
        <v>449</v>
      </c>
      <c r="F2" s="269" t="s">
        <v>448</v>
      </c>
      <c r="G2" s="386">
        <v>2015</v>
      </c>
      <c r="H2" s="388" t="str">
        <f>"1H"&amp;RIGHT(J2,2)</f>
        <v>1H16</v>
      </c>
      <c r="I2" s="270" t="str">
        <f>"2H"&amp;RIGHT(J2,2)</f>
        <v>2H16</v>
      </c>
      <c r="J2" s="390">
        <v>2016</v>
      </c>
      <c r="K2" s="388" t="str">
        <f>"1H"&amp;RIGHT(M2,2)</f>
        <v>1H17</v>
      </c>
      <c r="L2" s="270" t="str">
        <f>"2H"&amp;RIGHT(M2,2)</f>
        <v>2H17</v>
      </c>
      <c r="M2" s="390">
        <v>2017</v>
      </c>
      <c r="N2" s="388" t="str">
        <f>"1H"&amp;RIGHT(P2,2)</f>
        <v>1H18</v>
      </c>
      <c r="O2" s="270" t="str">
        <f>"2H"&amp;RIGHT(P2,2)</f>
        <v>2H18</v>
      </c>
      <c r="P2" s="390">
        <v>2018</v>
      </c>
      <c r="Q2" s="388" t="str">
        <f>"1H"&amp;RIGHT(S2,2)</f>
        <v>1H19</v>
      </c>
      <c r="R2" s="270" t="str">
        <f>"2H"&amp;RIGHT(S2,2)</f>
        <v>2H19</v>
      </c>
      <c r="S2" s="390">
        <v>2019</v>
      </c>
      <c r="T2" s="388" t="str">
        <f>"1H"&amp;RIGHT(V2,2)</f>
        <v>1H20</v>
      </c>
      <c r="U2" s="270" t="str">
        <f>"2H"&amp;RIGHT(V2,2)</f>
        <v>2H20</v>
      </c>
      <c r="V2" s="390">
        <v>2020</v>
      </c>
      <c r="W2" s="395" t="s">
        <v>1043</v>
      </c>
      <c r="X2" s="270" t="s">
        <v>1138</v>
      </c>
      <c r="Y2" s="386">
        <v>2021</v>
      </c>
      <c r="Z2" s="395" t="s">
        <v>1117</v>
      </c>
      <c r="AA2" s="270" t="s">
        <v>1118</v>
      </c>
      <c r="AB2" s="386">
        <v>2022</v>
      </c>
      <c r="AC2" s="388" t="s">
        <v>1198</v>
      </c>
      <c r="AD2" s="270" t="s">
        <v>1208</v>
      </c>
      <c r="AE2" s="386">
        <v>2023</v>
      </c>
      <c r="AF2" s="388" t="s">
        <v>2054</v>
      </c>
      <c r="AG2" s="270" t="s">
        <v>2057</v>
      </c>
      <c r="AH2" s="386">
        <v>2024</v>
      </c>
      <c r="AI2" s="388" t="s">
        <v>1221</v>
      </c>
      <c r="AJ2" s="270" t="s">
        <v>1222</v>
      </c>
      <c r="AK2" s="386" t="s">
        <v>897</v>
      </c>
      <c r="AL2" s="386" t="s">
        <v>898</v>
      </c>
      <c r="AM2" s="386" t="s">
        <v>899</v>
      </c>
    </row>
    <row r="3" spans="1:39" s="54" customFormat="1">
      <c r="A3" s="217" t="s">
        <v>1111</v>
      </c>
      <c r="B3" s="243" t="s">
        <v>1140</v>
      </c>
      <c r="C3" s="200"/>
      <c r="D3" s="375"/>
      <c r="E3" s="201"/>
      <c r="F3" s="201"/>
      <c r="G3" s="280"/>
      <c r="H3" s="280"/>
      <c r="I3" s="201"/>
      <c r="J3" s="339"/>
      <c r="K3" s="339"/>
      <c r="L3" s="202"/>
      <c r="M3" s="339"/>
      <c r="N3" s="339"/>
      <c r="O3" s="202"/>
      <c r="P3" s="339"/>
      <c r="Q3" s="339"/>
      <c r="R3" s="202"/>
      <c r="S3" s="339"/>
      <c r="T3" s="339"/>
      <c r="U3" s="202"/>
      <c r="V3" s="339"/>
      <c r="W3" s="402"/>
      <c r="X3" s="202"/>
      <c r="Y3" s="280"/>
      <c r="Z3" s="402"/>
      <c r="AA3" s="202"/>
      <c r="AB3" s="280"/>
      <c r="AC3" s="339"/>
      <c r="AD3" s="202"/>
      <c r="AE3" s="280"/>
      <c r="AF3" s="339"/>
      <c r="AG3" s="202"/>
      <c r="AH3" s="280"/>
      <c r="AI3" s="339"/>
      <c r="AJ3" s="202"/>
      <c r="AK3" s="280"/>
      <c r="AL3" s="280"/>
      <c r="AM3" s="280"/>
    </row>
    <row r="4" spans="1:39" s="28" customFormat="1">
      <c r="A4" s="217"/>
      <c r="B4" s="232"/>
      <c r="C4" s="236"/>
      <c r="D4" s="377"/>
      <c r="G4" s="370"/>
      <c r="H4" s="370"/>
      <c r="J4" s="370"/>
      <c r="K4" s="370"/>
      <c r="M4" s="370"/>
      <c r="N4" s="370"/>
      <c r="P4" s="370"/>
      <c r="Q4" s="370"/>
      <c r="S4" s="370"/>
      <c r="T4" s="370"/>
      <c r="V4" s="370"/>
      <c r="W4" s="370"/>
      <c r="Y4" s="370"/>
      <c r="Z4" s="370"/>
      <c r="AB4" s="370"/>
      <c r="AC4" s="370"/>
      <c r="AE4" s="370"/>
      <c r="AF4" s="370"/>
      <c r="AH4" s="370"/>
      <c r="AI4" s="370"/>
      <c r="AK4" s="370"/>
      <c r="AL4" s="370"/>
      <c r="AM4" s="370"/>
    </row>
    <row r="5" spans="1:39" s="28" customFormat="1">
      <c r="A5" s="217"/>
      <c r="B5" s="28" t="s">
        <v>1106</v>
      </c>
      <c r="C5" s="237" t="s">
        <v>1152</v>
      </c>
      <c r="D5" s="377"/>
      <c r="G5" s="370"/>
      <c r="H5" s="370"/>
      <c r="J5" s="373"/>
      <c r="K5" s="370"/>
      <c r="L5" s="208">
        <f>+M5</f>
        <v>34.4</v>
      </c>
      <c r="M5" s="393">
        <v>34.4</v>
      </c>
      <c r="N5" s="393"/>
      <c r="O5" s="499"/>
      <c r="P5" s="393">
        <v>40.5</v>
      </c>
      <c r="Q5" s="393">
        <v>42.2</v>
      </c>
      <c r="R5" s="499">
        <f>+S5</f>
        <v>46.6</v>
      </c>
      <c r="S5" s="393">
        <v>46.6</v>
      </c>
      <c r="T5" s="393">
        <v>54.1</v>
      </c>
      <c r="U5" s="499">
        <f>+V5</f>
        <v>56.641221374045799</v>
      </c>
      <c r="V5" s="393">
        <f>+Y5/(1+31%)</f>
        <v>56.641221374045799</v>
      </c>
      <c r="W5" s="393">
        <v>70.099999999999994</v>
      </c>
      <c r="X5" s="499">
        <f>+Y5</f>
        <v>74.2</v>
      </c>
      <c r="Y5" s="393">
        <v>74.2</v>
      </c>
      <c r="Z5" s="393">
        <v>79.5</v>
      </c>
      <c r="AA5" s="499">
        <f>+AB5</f>
        <v>85.5</v>
      </c>
      <c r="AB5" s="393">
        <v>85.5</v>
      </c>
      <c r="AC5" s="393">
        <v>89.022999999999996</v>
      </c>
      <c r="AD5" s="499">
        <f>+AE5</f>
        <v>94.2</v>
      </c>
      <c r="AE5" s="546">
        <v>94.2</v>
      </c>
      <c r="AF5" s="393">
        <v>97.486999999999995</v>
      </c>
      <c r="AG5" s="499">
        <f>+AH5</f>
        <v>104.514</v>
      </c>
      <c r="AH5" s="546">
        <v>104.514</v>
      </c>
      <c r="AI5" s="371">
        <f t="shared" ref="AI5:AM5" si="0">+AI28+AI40+AI52</f>
        <v>111.50076</v>
      </c>
      <c r="AJ5" s="565">
        <f t="shared" si="0"/>
        <v>118.48752</v>
      </c>
      <c r="AK5" s="371">
        <f>+AK28+AK40+AK52</f>
        <v>118.48752</v>
      </c>
      <c r="AL5" s="371">
        <f t="shared" si="0"/>
        <v>133.57811080000002</v>
      </c>
      <c r="AM5" s="371">
        <f t="shared" si="0"/>
        <v>149.69096581400001</v>
      </c>
    </row>
    <row r="6" spans="1:39" s="28" customFormat="1">
      <c r="A6" s="217"/>
      <c r="B6" s="233" t="s">
        <v>1101</v>
      </c>
      <c r="C6" s="238" t="s">
        <v>1104</v>
      </c>
      <c r="D6" s="377"/>
      <c r="G6" s="370"/>
      <c r="H6" s="370"/>
      <c r="J6" s="370"/>
      <c r="K6" s="370"/>
      <c r="M6" s="370"/>
      <c r="N6" s="370"/>
      <c r="P6" s="370"/>
      <c r="Q6" s="284"/>
      <c r="R6" s="221" t="e">
        <f t="shared" ref="R6:S6" si="1">+R5/O5-1</f>
        <v>#DIV/0!</v>
      </c>
      <c r="S6" s="284">
        <f t="shared" si="1"/>
        <v>0.15061728395061724</v>
      </c>
      <c r="T6" s="284">
        <f t="shared" ref="T6" si="2">+T5/Q5-1</f>
        <v>0.28199052132701419</v>
      </c>
      <c r="U6" s="221">
        <f t="shared" ref="U6" si="3">+U5/R5-1</f>
        <v>0.215476853520296</v>
      </c>
      <c r="V6" s="284">
        <f t="shared" ref="V6:Y6" si="4">+V5/S5-1</f>
        <v>0.215476853520296</v>
      </c>
      <c r="W6" s="284">
        <f t="shared" ref="W6" si="5">+W5/T5-1</f>
        <v>0.29574861367837335</v>
      </c>
      <c r="X6" s="221">
        <f t="shared" ref="X6" si="6">+X5/U5-1</f>
        <v>0.31000000000000005</v>
      </c>
      <c r="Y6" s="284">
        <f t="shared" si="4"/>
        <v>0.31000000000000005</v>
      </c>
      <c r="Z6" s="284">
        <f t="shared" ref="Z6:AF6" si="7">+Z5/W5-1</f>
        <v>0.13409415121255353</v>
      </c>
      <c r="AA6" s="221">
        <f t="shared" si="7"/>
        <v>0.15229110512129385</v>
      </c>
      <c r="AB6" s="284">
        <f t="shared" si="7"/>
        <v>0.15229110512129385</v>
      </c>
      <c r="AC6" s="284">
        <f t="shared" si="7"/>
        <v>0.11978616352201255</v>
      </c>
      <c r="AD6" s="221">
        <f t="shared" si="7"/>
        <v>0.10175438596491237</v>
      </c>
      <c r="AE6" s="284">
        <f t="shared" si="7"/>
        <v>0.10175438596491237</v>
      </c>
      <c r="AF6" s="284">
        <f t="shared" si="7"/>
        <v>9.5076553250283524E-2</v>
      </c>
      <c r="AG6" s="221">
        <f>+AG5/AD5-1</f>
        <v>0.10949044585987244</v>
      </c>
      <c r="AH6" s="284">
        <f t="shared" ref="AH6" si="8">+AH5/AE5-1</f>
        <v>0.10949044585987244</v>
      </c>
      <c r="AI6" s="284">
        <f t="shared" ref="AI6:AJ6" si="9">+AI5/AF5-1</f>
        <v>0.14375003846666745</v>
      </c>
      <c r="AJ6" s="221">
        <f t="shared" si="9"/>
        <v>0.13369998277742701</v>
      </c>
      <c r="AK6" s="284">
        <f>+AK5/AH5-1</f>
        <v>0.13369998277742701</v>
      </c>
      <c r="AL6" s="284">
        <f t="shared" ref="AL6:AM6" si="10">+AL5/AK5-1</f>
        <v>0.12736017092770635</v>
      </c>
      <c r="AM6" s="284">
        <f t="shared" si="10"/>
        <v>0.12062496555386226</v>
      </c>
    </row>
    <row r="7" spans="1:39" s="28" customFormat="1">
      <c r="A7" s="217"/>
      <c r="B7" s="233" t="s">
        <v>1102</v>
      </c>
      <c r="C7" s="238" t="s">
        <v>1104</v>
      </c>
      <c r="D7" s="377"/>
      <c r="G7" s="370"/>
      <c r="H7" s="284"/>
      <c r="I7" s="221"/>
      <c r="J7" s="284"/>
      <c r="K7" s="284"/>
      <c r="L7" s="221"/>
      <c r="M7" s="284"/>
      <c r="N7" s="284"/>
      <c r="O7" s="221"/>
      <c r="P7" s="284"/>
      <c r="Q7" s="284" t="e">
        <f>+Q5/O5-1</f>
        <v>#DIV/0!</v>
      </c>
      <c r="R7" s="221">
        <f>+R5/Q5-1</f>
        <v>0.10426540284360186</v>
      </c>
      <c r="S7" s="284">
        <f>+S5/P5-1</f>
        <v>0.15061728395061724</v>
      </c>
      <c r="T7" s="284">
        <f>+T5/R5-1</f>
        <v>0.16094420600858372</v>
      </c>
      <c r="U7" s="221">
        <f>+U5/T5-1</f>
        <v>4.6972668651493521E-2</v>
      </c>
      <c r="V7" s="284">
        <f>+V5/S5-1</f>
        <v>0.215476853520296</v>
      </c>
      <c r="W7" s="284">
        <f>+W5/U5-1</f>
        <v>0.23761455525606467</v>
      </c>
      <c r="X7" s="221">
        <f>+X5/W5-1</f>
        <v>5.8487874465050105E-2</v>
      </c>
      <c r="Y7" s="284">
        <f>+Y5/V5-1</f>
        <v>0.31000000000000005</v>
      </c>
      <c r="Z7" s="284">
        <f>+Z5/X5-1</f>
        <v>7.1428571428571397E-2</v>
      </c>
      <c r="AA7" s="221">
        <f>+AA5/Z5-1</f>
        <v>7.547169811320753E-2</v>
      </c>
      <c r="AB7" s="284">
        <f>+AB5/Y5-1</f>
        <v>0.15229110512129385</v>
      </c>
      <c r="AC7" s="284">
        <f>+AC5/AA5-1</f>
        <v>4.1204678362573022E-2</v>
      </c>
      <c r="AD7" s="221">
        <f>+AD5/AC5-1</f>
        <v>5.8153510890444071E-2</v>
      </c>
      <c r="AE7" s="284">
        <f>+AE5/AB5-1</f>
        <v>0.10175438596491237</v>
      </c>
      <c r="AF7" s="284">
        <f>+AF5/AD5-1</f>
        <v>3.4893842887473436E-2</v>
      </c>
      <c r="AG7" s="221">
        <f>+AG5/AF5-1</f>
        <v>7.2081405725891612E-2</v>
      </c>
      <c r="AH7" s="284">
        <f>+AH5/AE5-1</f>
        <v>0.10949044585987244</v>
      </c>
      <c r="AI7" s="284">
        <f>+AI5/AG5-1</f>
        <v>6.6849991388713503E-2</v>
      </c>
      <c r="AJ7" s="221">
        <f>+AJ5/AI5-1</f>
        <v>6.2661097556644396E-2</v>
      </c>
      <c r="AK7" s="284">
        <f>+AK6</f>
        <v>0.13369998277742701</v>
      </c>
      <c r="AL7" s="284">
        <f t="shared" ref="AL7:AM7" si="11">+AL6</f>
        <v>0.12736017092770635</v>
      </c>
      <c r="AM7" s="284">
        <f t="shared" si="11"/>
        <v>0.12062496555386226</v>
      </c>
    </row>
    <row r="8" spans="1:39" s="28" customFormat="1">
      <c r="A8" s="217"/>
      <c r="B8" s="233" t="s">
        <v>1195</v>
      </c>
      <c r="C8" s="238" t="s">
        <v>1104</v>
      </c>
      <c r="D8" s="377"/>
      <c r="G8" s="370"/>
      <c r="H8" s="284"/>
      <c r="I8" s="221"/>
      <c r="J8" s="284"/>
      <c r="K8" s="284"/>
      <c r="L8" s="221"/>
      <c r="M8" s="284"/>
      <c r="N8" s="284"/>
      <c r="O8" s="221"/>
      <c r="P8" s="284">
        <f>+P13/M5</f>
        <v>1.1337209302325582</v>
      </c>
      <c r="Q8" s="284">
        <f>+(Q13*2)/P5</f>
        <v>1.037037037037037</v>
      </c>
      <c r="R8" s="221">
        <f>+(R13*2)/Q5</f>
        <v>1.0426540284360188</v>
      </c>
      <c r="S8" s="284">
        <f>+S13/P5</f>
        <v>1.0617283950617284</v>
      </c>
      <c r="T8" s="284">
        <f>+(T13*2)/S5</f>
        <v>1.0729613733905579</v>
      </c>
      <c r="U8" s="221">
        <f>+(U13*2)/T5</f>
        <v>1.0351201478743068</v>
      </c>
      <c r="V8" s="284">
        <f>+V13/S5</f>
        <v>1.1373390557939913</v>
      </c>
      <c r="W8" s="284">
        <f>+(W13*2)/V5</f>
        <v>1.1976948652291108</v>
      </c>
      <c r="X8" s="221">
        <f>+(X13*2)/W5</f>
        <v>1.0294022824536375</v>
      </c>
      <c r="Y8" s="284">
        <f>+Y13/V5</f>
        <v>1.2358490566037736</v>
      </c>
      <c r="Z8" s="284">
        <f>+(Z13*2)/Y5</f>
        <v>1.0648584905660377</v>
      </c>
      <c r="AA8" s="221">
        <f>+(AA13*2)/Z5</f>
        <v>0.96839622641509449</v>
      </c>
      <c r="AB8" s="284">
        <f>+AB13/Y5</f>
        <v>1.0512129380053907</v>
      </c>
      <c r="AC8" s="284">
        <f>+(AC13*2)/AB5</f>
        <v>1.0041108771929825</v>
      </c>
      <c r="AD8" s="221">
        <f>+(AD13*2)/AC5</f>
        <v>0.9991633622771644</v>
      </c>
      <c r="AE8" s="284">
        <f>+AE13/AB5</f>
        <v>1.0222222222222224</v>
      </c>
      <c r="AF8" s="284">
        <f>+(AF13*2)/AE5</f>
        <v>0.98145222929936315</v>
      </c>
      <c r="AG8" s="221">
        <f>+(AG13*2)/AF5</f>
        <v>1.0519064080338916</v>
      </c>
      <c r="AH8" s="284">
        <f>+AH13/AE5</f>
        <v>1.0350318471337578</v>
      </c>
      <c r="AI8" s="284">
        <f>+(AI13*2)/AH5</f>
        <v>1.0135487303136421</v>
      </c>
      <c r="AJ8" s="221">
        <f>+(AJ13*2)/AI5</f>
        <v>0.9996262626371335</v>
      </c>
      <c r="AK8" s="397">
        <v>1.04</v>
      </c>
      <c r="AL8" s="557">
        <f>AK8</f>
        <v>1.04</v>
      </c>
      <c r="AM8" s="557">
        <f t="shared" ref="AM8" si="12">+AL8</f>
        <v>1.04</v>
      </c>
    </row>
    <row r="9" spans="1:39" s="28" customFormat="1">
      <c r="A9" s="217"/>
      <c r="C9" s="237"/>
      <c r="D9" s="377"/>
      <c r="G9" s="370"/>
      <c r="H9" s="370"/>
      <c r="J9" s="370"/>
      <c r="K9" s="370"/>
      <c r="M9" s="370"/>
      <c r="N9" s="370"/>
      <c r="P9" s="370"/>
      <c r="Q9" s="370"/>
      <c r="S9" s="370"/>
      <c r="T9" s="370"/>
      <c r="V9" s="370"/>
      <c r="W9" s="370"/>
      <c r="Y9" s="370"/>
      <c r="Z9" s="370"/>
      <c r="AB9" s="370"/>
      <c r="AC9" s="370"/>
      <c r="AE9" s="370"/>
      <c r="AF9" s="370"/>
      <c r="AH9" s="370"/>
      <c r="AI9" s="370"/>
      <c r="AK9" s="370"/>
      <c r="AL9" s="370"/>
      <c r="AM9" s="370"/>
    </row>
    <row r="10" spans="1:39" s="28" customFormat="1">
      <c r="A10" s="217"/>
      <c r="B10" s="28" t="s">
        <v>1109</v>
      </c>
      <c r="C10" s="237" t="s">
        <v>1152</v>
      </c>
      <c r="D10" s="377"/>
      <c r="G10" s="370"/>
      <c r="H10" s="371"/>
      <c r="I10" s="208"/>
      <c r="J10" s="371"/>
      <c r="K10" s="371"/>
      <c r="L10" s="208"/>
      <c r="M10" s="371"/>
      <c r="N10" s="371"/>
      <c r="O10" s="208">
        <f>+O5-N5</f>
        <v>0</v>
      </c>
      <c r="P10" s="371">
        <f>+P5-M5</f>
        <v>6.1000000000000014</v>
      </c>
      <c r="Q10" s="371">
        <f>+Q5-O5</f>
        <v>42.2</v>
      </c>
      <c r="R10" s="208">
        <f>+R5-Q5</f>
        <v>4.3999999999999986</v>
      </c>
      <c r="S10" s="371">
        <f>+S5-P5</f>
        <v>6.1000000000000014</v>
      </c>
      <c r="T10" s="371">
        <f>+T5-R5</f>
        <v>7.5</v>
      </c>
      <c r="U10" s="208">
        <f>+U5-T5</f>
        <v>2.5412213740457972</v>
      </c>
      <c r="V10" s="371">
        <f>+V5-S5</f>
        <v>10.041221374045797</v>
      </c>
      <c r="W10" s="371">
        <f>+W5-U5</f>
        <v>13.458778625954196</v>
      </c>
      <c r="X10" s="208">
        <f>+X5-W5</f>
        <v>4.1000000000000085</v>
      </c>
      <c r="Y10" s="371">
        <f>+Y5-V5</f>
        <v>17.558778625954204</v>
      </c>
      <c r="Z10" s="371">
        <f>+Z5-X5</f>
        <v>5.2999999999999972</v>
      </c>
      <c r="AA10" s="208">
        <f>+AA5-Z5</f>
        <v>6</v>
      </c>
      <c r="AB10" s="371">
        <f>+AB5-Y5</f>
        <v>11.299999999999997</v>
      </c>
      <c r="AC10" s="371">
        <f>+AC5-AA5</f>
        <v>3.5229999999999961</v>
      </c>
      <c r="AD10" s="208">
        <f>+AD5-AC5</f>
        <v>5.1770000000000067</v>
      </c>
      <c r="AE10" s="371">
        <f>+AE5-AB5</f>
        <v>8.7000000000000028</v>
      </c>
      <c r="AF10" s="371">
        <f>+AF5-AD5</f>
        <v>3.2869999999999919</v>
      </c>
      <c r="AG10" s="208">
        <f>+AG5-AF5</f>
        <v>7.027000000000001</v>
      </c>
      <c r="AH10" s="371">
        <f>+AH5-AE5</f>
        <v>10.313999999999993</v>
      </c>
      <c r="AI10" s="371">
        <f>+AI5-AG5</f>
        <v>6.9867600000000039</v>
      </c>
      <c r="AJ10" s="208">
        <f>+AJ5-AI5</f>
        <v>6.9867600000000039</v>
      </c>
      <c r="AK10" s="371">
        <f>+AK5-AH5</f>
        <v>13.973520000000008</v>
      </c>
      <c r="AL10" s="371">
        <f t="shared" ref="AL10:AM10" si="13">+AL5-AK5</f>
        <v>15.090590800000015</v>
      </c>
      <c r="AM10" s="371">
        <f t="shared" si="13"/>
        <v>16.11285501399999</v>
      </c>
    </row>
    <row r="11" spans="1:39" s="28" customFormat="1">
      <c r="A11" s="217"/>
      <c r="B11" s="28" t="s">
        <v>1110</v>
      </c>
      <c r="C11" s="237" t="s">
        <v>1152</v>
      </c>
      <c r="D11" s="377"/>
      <c r="G11" s="370"/>
      <c r="H11" s="371"/>
      <c r="I11" s="208"/>
      <c r="J11" s="371"/>
      <c r="K11" s="371"/>
      <c r="L11" s="208"/>
      <c r="M11" s="371"/>
      <c r="N11" s="371"/>
      <c r="O11" s="208">
        <f t="shared" ref="O11:AF11" si="14">+O5-L5</f>
        <v>-34.4</v>
      </c>
      <c r="P11" s="371">
        <f t="shared" si="14"/>
        <v>6.1000000000000014</v>
      </c>
      <c r="Q11" s="371">
        <f t="shared" si="14"/>
        <v>42.2</v>
      </c>
      <c r="R11" s="208">
        <f t="shared" si="14"/>
        <v>46.6</v>
      </c>
      <c r="S11" s="371">
        <f t="shared" si="14"/>
        <v>6.1000000000000014</v>
      </c>
      <c r="T11" s="371">
        <f t="shared" si="14"/>
        <v>11.899999999999999</v>
      </c>
      <c r="U11" s="208">
        <f t="shared" si="14"/>
        <v>10.041221374045797</v>
      </c>
      <c r="V11" s="371">
        <f t="shared" si="14"/>
        <v>10.041221374045797</v>
      </c>
      <c r="W11" s="371">
        <f t="shared" si="14"/>
        <v>15.999999999999993</v>
      </c>
      <c r="X11" s="208">
        <f t="shared" si="14"/>
        <v>17.558778625954204</v>
      </c>
      <c r="Y11" s="371">
        <f t="shared" si="14"/>
        <v>17.558778625954204</v>
      </c>
      <c r="Z11" s="371">
        <f t="shared" ref="Z11" si="15">+Z5-W5</f>
        <v>9.4000000000000057</v>
      </c>
      <c r="AA11" s="208">
        <f t="shared" si="14"/>
        <v>11.299999999999997</v>
      </c>
      <c r="AB11" s="371">
        <f t="shared" si="14"/>
        <v>11.299999999999997</v>
      </c>
      <c r="AC11" s="371">
        <f t="shared" si="14"/>
        <v>9.5229999999999961</v>
      </c>
      <c r="AD11" s="208">
        <f t="shared" si="14"/>
        <v>8.7000000000000028</v>
      </c>
      <c r="AE11" s="371">
        <f t="shared" ref="AE11" si="16">+AE5-AB5</f>
        <v>8.7000000000000028</v>
      </c>
      <c r="AF11" s="371">
        <f t="shared" si="14"/>
        <v>8.4639999999999986</v>
      </c>
      <c r="AG11" s="208">
        <f t="shared" ref="AG11" si="17">+AG5-AD5</f>
        <v>10.313999999999993</v>
      </c>
      <c r="AH11" s="371">
        <f t="shared" ref="AH11" si="18">+AH5-AE5</f>
        <v>10.313999999999993</v>
      </c>
      <c r="AI11" s="371">
        <f t="shared" ref="AI11" si="19">+AI5-AF5</f>
        <v>14.013760000000005</v>
      </c>
      <c r="AJ11" s="208">
        <f t="shared" ref="AJ11" si="20">+AJ5-AG5</f>
        <v>13.973520000000008</v>
      </c>
      <c r="AK11" s="371">
        <f t="shared" ref="AK11:AM11" si="21">+AK10</f>
        <v>13.973520000000008</v>
      </c>
      <c r="AL11" s="371">
        <f t="shared" si="21"/>
        <v>15.090590800000015</v>
      </c>
      <c r="AM11" s="371">
        <f t="shared" si="21"/>
        <v>16.11285501399999</v>
      </c>
    </row>
    <row r="12" spans="1:39" s="28" customFormat="1">
      <c r="A12" s="217"/>
      <c r="C12" s="237"/>
      <c r="D12" s="377"/>
      <c r="G12" s="370"/>
      <c r="H12" s="370"/>
      <c r="J12" s="370"/>
      <c r="K12" s="370"/>
      <c r="M12" s="370"/>
      <c r="N12" s="370"/>
      <c r="P12" s="370"/>
      <c r="Q12" s="370"/>
      <c r="S12" s="370"/>
      <c r="T12" s="370"/>
      <c r="V12" s="370"/>
      <c r="W12" s="370"/>
      <c r="Y12" s="370"/>
      <c r="Z12" s="370"/>
      <c r="AB12" s="370"/>
      <c r="AC12" s="370"/>
      <c r="AE12" s="370"/>
      <c r="AF12" s="370"/>
      <c r="AH12" s="370"/>
      <c r="AI12" s="370"/>
      <c r="AK12" s="370"/>
      <c r="AL12" s="370"/>
      <c r="AM12" s="370"/>
    </row>
    <row r="13" spans="1:39" s="28" customFormat="1">
      <c r="A13" s="217"/>
      <c r="B13" s="28" t="s">
        <v>1165</v>
      </c>
      <c r="C13" s="237" t="s">
        <v>1152</v>
      </c>
      <c r="D13" s="393">
        <v>25</v>
      </c>
      <c r="E13" s="373">
        <v>12.7</v>
      </c>
      <c r="F13" s="208">
        <f>+G13-E13</f>
        <v>14.3</v>
      </c>
      <c r="G13" s="393">
        <v>27</v>
      </c>
      <c r="H13" s="373">
        <v>14.2</v>
      </c>
      <c r="I13" s="208">
        <f>+J13-H13</f>
        <v>16.8</v>
      </c>
      <c r="J13" s="393">
        <v>31</v>
      </c>
      <c r="K13" s="370"/>
      <c r="M13" s="393">
        <v>34</v>
      </c>
      <c r="N13" s="496">
        <f>+N15*N16</f>
        <v>18.996960000000001</v>
      </c>
      <c r="O13" s="208">
        <f>+P13-N13</f>
        <v>20.003039999999999</v>
      </c>
      <c r="P13" s="393">
        <v>39</v>
      </c>
      <c r="Q13" s="393">
        <v>21</v>
      </c>
      <c r="R13" s="208">
        <f>+S13-Q13</f>
        <v>22</v>
      </c>
      <c r="S13" s="393">
        <v>43</v>
      </c>
      <c r="T13" s="393">
        <v>25</v>
      </c>
      <c r="U13" s="208">
        <f>+V13-T13</f>
        <v>28</v>
      </c>
      <c r="V13" s="393">
        <v>53</v>
      </c>
      <c r="W13" s="496">
        <f>+W15*W16</f>
        <v>33.919450000000005</v>
      </c>
      <c r="X13" s="208">
        <f>+Y13-W13</f>
        <v>36.080549999999995</v>
      </c>
      <c r="Y13" s="393">
        <v>70</v>
      </c>
      <c r="Z13" s="525">
        <f>+Z15*Z16</f>
        <v>39.506249999999994</v>
      </c>
      <c r="AA13" s="208">
        <f>+AB13-Z13</f>
        <v>38.493750000000006</v>
      </c>
      <c r="AB13" s="532">
        <v>78</v>
      </c>
      <c r="AC13" s="525">
        <f>+AC15*AC16</f>
        <v>42.925740000000005</v>
      </c>
      <c r="AD13" s="208">
        <f>+AE13-AC13</f>
        <v>44.474260000000001</v>
      </c>
      <c r="AE13" s="525">
        <f>+AE15-AE14</f>
        <v>87.4</v>
      </c>
      <c r="AF13" s="525">
        <f>+AF15*AF16</f>
        <v>46.226400000000005</v>
      </c>
      <c r="AG13" s="208">
        <f>+AH13-AF13</f>
        <v>51.273599999999995</v>
      </c>
      <c r="AH13" s="525">
        <f>+AH15-AH14</f>
        <v>97.5</v>
      </c>
      <c r="AI13" s="525">
        <f>+AI32+AI44+AI56</f>
        <v>52.965015999999991</v>
      </c>
      <c r="AJ13" s="526">
        <f t="shared" ref="AJ13" si="22">+AJ32+AJ44+AJ56</f>
        <v>55.729543999999997</v>
      </c>
      <c r="AK13" s="525">
        <f t="shared" ref="AK13:AM14" si="23">+AK32+AK44+AK56</f>
        <v>108.69456</v>
      </c>
      <c r="AL13" s="525">
        <f t="shared" si="23"/>
        <v>123.22702079999999</v>
      </c>
      <c r="AM13" s="525">
        <f t="shared" si="23"/>
        <v>138.92123523200002</v>
      </c>
    </row>
    <row r="14" spans="1:39" s="28" customFormat="1">
      <c r="A14" s="217"/>
      <c r="B14" s="28" t="s">
        <v>1166</v>
      </c>
      <c r="C14" s="237" t="s">
        <v>1152</v>
      </c>
      <c r="D14" s="371">
        <f>+D15-D13</f>
        <v>24</v>
      </c>
      <c r="E14" s="371">
        <f>+E15-E13</f>
        <v>11.302</v>
      </c>
      <c r="F14" s="208">
        <f t="shared" ref="F14:F15" si="24">+G14-E14</f>
        <v>11.698</v>
      </c>
      <c r="G14" s="371">
        <f>+G15-G13</f>
        <v>23</v>
      </c>
      <c r="H14" s="371">
        <f>+H15-H13</f>
        <v>8.5850000000000009</v>
      </c>
      <c r="I14" s="208">
        <f t="shared" ref="I14:I15" si="25">+J14-H14</f>
        <v>10.414999999999999</v>
      </c>
      <c r="J14" s="371">
        <f>+J15-J13</f>
        <v>19</v>
      </c>
      <c r="K14" s="370"/>
      <c r="M14" s="371">
        <f>+M15-M13</f>
        <v>29</v>
      </c>
      <c r="N14" s="496">
        <f>+N15-N13</f>
        <v>14.331040000000002</v>
      </c>
      <c r="O14" s="208">
        <f t="shared" ref="O14:O15" si="26">+P14-N14</f>
        <v>9.6689599999999984</v>
      </c>
      <c r="P14" s="371">
        <f>+P15-P13</f>
        <v>24</v>
      </c>
      <c r="Q14" s="371">
        <f>+Q15-Q13</f>
        <v>8</v>
      </c>
      <c r="R14" s="208">
        <f t="shared" ref="R14:R15" si="27">+S14-Q14</f>
        <v>11</v>
      </c>
      <c r="S14" s="371">
        <f>+S15-S13</f>
        <v>19</v>
      </c>
      <c r="T14" s="371">
        <f>+T15-T13</f>
        <v>8</v>
      </c>
      <c r="U14" s="208">
        <f t="shared" ref="U14:U15" si="28">+V14-T14</f>
        <v>9</v>
      </c>
      <c r="V14" s="371">
        <f>+V15-V13</f>
        <v>17</v>
      </c>
      <c r="W14" s="496">
        <f>+W15-W13</f>
        <v>12.545549999999999</v>
      </c>
      <c r="X14" s="208">
        <f t="shared" ref="X14:X15" si="29">+Y14-W14</f>
        <v>12.454450000000001</v>
      </c>
      <c r="Y14" s="371">
        <f>+Y15-Y13</f>
        <v>25</v>
      </c>
      <c r="Z14" s="525">
        <f>+Z15-Z13</f>
        <v>13.168750000000003</v>
      </c>
      <c r="AA14" s="208">
        <f t="shared" ref="AA14:AA15" si="30">+AB14-Z14</f>
        <v>15.831249999999997</v>
      </c>
      <c r="AB14" s="525">
        <f t="shared" ref="AB14" si="31">+AB15-AB13</f>
        <v>29</v>
      </c>
      <c r="AC14" s="525">
        <f>+AC15-AC13</f>
        <v>12.107259999999997</v>
      </c>
      <c r="AD14" s="208">
        <f t="shared" ref="AD14:AD15" si="32">+AE14-AC14</f>
        <v>10.892740000000003</v>
      </c>
      <c r="AE14" s="544">
        <v>23</v>
      </c>
      <c r="AF14" s="525">
        <f>+AF15-AF13</f>
        <v>11.556599999999996</v>
      </c>
      <c r="AG14" s="208">
        <f t="shared" ref="AG14:AG15" si="33">+AH14-AF14</f>
        <v>8.443400000000004</v>
      </c>
      <c r="AH14" s="544">
        <v>20</v>
      </c>
      <c r="AI14" s="525">
        <f>+AI33+AI45+AI57</f>
        <v>8.7485367515923649</v>
      </c>
      <c r="AJ14" s="526">
        <f t="shared" ref="AJ14" si="34">+AJ33+AJ45+AJ57</f>
        <v>9.2928772611465043</v>
      </c>
      <c r="AK14" s="525">
        <f t="shared" si="23"/>
        <v>18.041414012738869</v>
      </c>
      <c r="AL14" s="525">
        <f t="shared" si="23"/>
        <v>18.041414012738869</v>
      </c>
      <c r="AM14" s="525">
        <f t="shared" si="23"/>
        <v>18.041414012738869</v>
      </c>
    </row>
    <row r="15" spans="1:39" s="28" customFormat="1">
      <c r="A15" s="217"/>
      <c r="B15" s="28" t="s">
        <v>1159</v>
      </c>
      <c r="C15" s="237" t="s">
        <v>1152</v>
      </c>
      <c r="D15" s="393">
        <v>49</v>
      </c>
      <c r="E15" s="496">
        <f>+E68</f>
        <v>24.001999999999999</v>
      </c>
      <c r="F15" s="208">
        <f t="shared" si="24"/>
        <v>25.998000000000001</v>
      </c>
      <c r="G15" s="393">
        <v>50</v>
      </c>
      <c r="H15" s="496">
        <f>+H68</f>
        <v>22.785</v>
      </c>
      <c r="I15" s="208">
        <f t="shared" si="25"/>
        <v>27.215</v>
      </c>
      <c r="J15" s="393">
        <v>50</v>
      </c>
      <c r="K15" s="370"/>
      <c r="M15" s="393">
        <v>63</v>
      </c>
      <c r="N15" s="496">
        <f>+N68</f>
        <v>33.328000000000003</v>
      </c>
      <c r="O15" s="208">
        <f t="shared" si="26"/>
        <v>29.671999999999997</v>
      </c>
      <c r="P15" s="393">
        <v>63</v>
      </c>
      <c r="Q15" s="393">
        <v>29</v>
      </c>
      <c r="R15" s="208">
        <f t="shared" si="27"/>
        <v>33</v>
      </c>
      <c r="S15" s="393">
        <v>62</v>
      </c>
      <c r="T15" s="393">
        <v>33</v>
      </c>
      <c r="U15" s="208">
        <f t="shared" si="28"/>
        <v>37</v>
      </c>
      <c r="V15" s="393">
        <v>70</v>
      </c>
      <c r="W15" s="496">
        <f>+W68</f>
        <v>46.465000000000003</v>
      </c>
      <c r="X15" s="208">
        <f t="shared" si="29"/>
        <v>48.534999999999997</v>
      </c>
      <c r="Y15" s="393">
        <v>95</v>
      </c>
      <c r="Z15" s="525">
        <f>+Z68</f>
        <v>52.674999999999997</v>
      </c>
      <c r="AA15" s="208">
        <f t="shared" si="30"/>
        <v>54.325000000000003</v>
      </c>
      <c r="AB15" s="532">
        <v>107</v>
      </c>
      <c r="AC15" s="525">
        <f>+AC68</f>
        <v>55.033000000000001</v>
      </c>
      <c r="AD15" s="208">
        <f t="shared" si="32"/>
        <v>55.367000000000004</v>
      </c>
      <c r="AE15" s="545">
        <f>+AE68</f>
        <v>110.4</v>
      </c>
      <c r="AF15" s="525">
        <f>+AF68</f>
        <v>57.783000000000001</v>
      </c>
      <c r="AG15" s="208">
        <f t="shared" si="33"/>
        <v>59.716999999999999</v>
      </c>
      <c r="AH15" s="545">
        <f>+AH68</f>
        <v>117.5</v>
      </c>
      <c r="AI15" s="525">
        <f t="shared" ref="AI15:AJ15" si="35">+AI68</f>
        <v>61.71355275159236</v>
      </c>
      <c r="AJ15" s="526">
        <f t="shared" si="35"/>
        <v>65.022421261146505</v>
      </c>
      <c r="AK15" s="525">
        <f t="shared" ref="AK15:AM15" si="36">+AK68</f>
        <v>126.73597401273885</v>
      </c>
      <c r="AL15" s="525">
        <f t="shared" si="36"/>
        <v>141.26843481273889</v>
      </c>
      <c r="AM15" s="525">
        <f t="shared" si="36"/>
        <v>156.96264924473888</v>
      </c>
    </row>
    <row r="16" spans="1:39" s="28" customFormat="1">
      <c r="A16" s="217"/>
      <c r="B16" s="272" t="s">
        <v>1168</v>
      </c>
      <c r="C16" s="237" t="s">
        <v>1104</v>
      </c>
      <c r="D16" s="284">
        <f t="shared" ref="D16:J16" si="37">+D13/D15</f>
        <v>0.51020408163265307</v>
      </c>
      <c r="E16" s="284">
        <f t="shared" si="37"/>
        <v>0.52912257311890676</v>
      </c>
      <c r="F16" s="221">
        <f t="shared" si="37"/>
        <v>0.55004231094699596</v>
      </c>
      <c r="G16" s="284">
        <f t="shared" si="37"/>
        <v>0.54</v>
      </c>
      <c r="H16" s="284">
        <f t="shared" si="37"/>
        <v>0.62321702874698259</v>
      </c>
      <c r="I16" s="221">
        <f t="shared" si="37"/>
        <v>0.61730663237185379</v>
      </c>
      <c r="J16" s="284">
        <f t="shared" si="37"/>
        <v>0.62</v>
      </c>
      <c r="K16" s="370"/>
      <c r="M16" s="284">
        <f>+M13/M15</f>
        <v>0.53968253968253965</v>
      </c>
      <c r="N16" s="501">
        <v>0.56999999999999995</v>
      </c>
      <c r="O16" s="221">
        <f t="shared" ref="O16:V16" si="38">+O13/O15</f>
        <v>0.67413858182798603</v>
      </c>
      <c r="P16" s="284">
        <f t="shared" si="38"/>
        <v>0.61904761904761907</v>
      </c>
      <c r="Q16" s="284">
        <f t="shared" si="38"/>
        <v>0.72413793103448276</v>
      </c>
      <c r="R16" s="221">
        <f t="shared" si="38"/>
        <v>0.66666666666666663</v>
      </c>
      <c r="S16" s="284">
        <f t="shared" si="38"/>
        <v>0.69354838709677424</v>
      </c>
      <c r="T16" s="284">
        <f t="shared" si="38"/>
        <v>0.75757575757575757</v>
      </c>
      <c r="U16" s="221">
        <f t="shared" si="38"/>
        <v>0.7567567567567568</v>
      </c>
      <c r="V16" s="284">
        <f t="shared" si="38"/>
        <v>0.75714285714285712</v>
      </c>
      <c r="W16" s="501">
        <v>0.73</v>
      </c>
      <c r="X16" s="221">
        <f>+X13/X15</f>
        <v>0.74339239723910577</v>
      </c>
      <c r="Y16" s="284">
        <f>+Y13/Y15</f>
        <v>0.73684210526315785</v>
      </c>
      <c r="Z16" s="533">
        <v>0.75</v>
      </c>
      <c r="AA16" s="221">
        <f>+AA13/AA15</f>
        <v>0.7085826046939715</v>
      </c>
      <c r="AB16" s="284">
        <f>+AB13/AB15</f>
        <v>0.7289719626168224</v>
      </c>
      <c r="AC16" s="533">
        <v>0.78</v>
      </c>
      <c r="AD16" s="221">
        <f>+AD13/AD15</f>
        <v>0.80326295446746254</v>
      </c>
      <c r="AE16" s="284">
        <f>+AE13/AE15</f>
        <v>0.79166666666666663</v>
      </c>
      <c r="AF16" s="533">
        <v>0.8</v>
      </c>
      <c r="AG16" s="221">
        <f>+AG13/AG15</f>
        <v>0.85860977611065514</v>
      </c>
      <c r="AH16" s="578">
        <f>+AH13/AH15</f>
        <v>0.82978723404255317</v>
      </c>
      <c r="AI16" s="555">
        <f t="shared" ref="AI16:AJ16" si="39">+AI13/AI15</f>
        <v>0.85823961898925627</v>
      </c>
      <c r="AJ16" s="536">
        <f t="shared" si="39"/>
        <v>0.85708195602523074</v>
      </c>
      <c r="AK16" s="555">
        <f>+AK13/AK15</f>
        <v>0.85764567516618906</v>
      </c>
      <c r="AL16" s="555">
        <f t="shared" ref="AL16:AM16" si="40">+AL13/AL15</f>
        <v>0.8722898428325192</v>
      </c>
      <c r="AM16" s="555">
        <f t="shared" si="40"/>
        <v>0.88505919019875623</v>
      </c>
    </row>
    <row r="17" spans="1:16366" s="28" customFormat="1">
      <c r="A17" s="217"/>
      <c r="C17" s="237"/>
      <c r="D17" s="377"/>
      <c r="G17" s="370"/>
      <c r="H17" s="370"/>
      <c r="J17" s="370"/>
      <c r="K17" s="370"/>
      <c r="M17" s="370"/>
      <c r="N17" s="370"/>
      <c r="P17" s="370"/>
      <c r="Q17" s="370"/>
      <c r="S17" s="370"/>
      <c r="T17" s="370"/>
      <c r="V17" s="370"/>
      <c r="W17" s="370"/>
      <c r="Y17" s="370"/>
      <c r="Z17" s="370"/>
      <c r="AB17" s="370"/>
      <c r="AC17" s="370"/>
      <c r="AE17" s="370"/>
      <c r="AF17" s="370"/>
      <c r="AH17" s="370"/>
      <c r="AI17" s="370"/>
      <c r="AK17" s="370"/>
      <c r="AL17" s="370"/>
      <c r="AM17" s="370"/>
    </row>
    <row r="18" spans="1:16366" s="28" customFormat="1">
      <c r="A18" s="217"/>
      <c r="B18" s="28" t="s">
        <v>1209</v>
      </c>
      <c r="C18" s="237" t="s">
        <v>1152</v>
      </c>
      <c r="D18" s="393"/>
      <c r="E18" s="373"/>
      <c r="F18" s="208"/>
      <c r="G18" s="393"/>
      <c r="H18" s="373"/>
      <c r="I18" s="208"/>
      <c r="J18" s="393"/>
      <c r="K18" s="370"/>
      <c r="M18" s="393">
        <v>11</v>
      </c>
      <c r="N18" s="496"/>
      <c r="O18" s="208"/>
      <c r="P18" s="393">
        <v>13</v>
      </c>
      <c r="Q18" s="496"/>
      <c r="R18" s="208"/>
      <c r="S18" s="393">
        <v>16</v>
      </c>
      <c r="T18" s="496"/>
      <c r="U18" s="208"/>
      <c r="V18" s="393">
        <v>23</v>
      </c>
      <c r="W18" s="496"/>
      <c r="X18" s="208"/>
      <c r="Y18" s="393">
        <v>36</v>
      </c>
      <c r="Z18" s="496"/>
      <c r="AA18" s="208"/>
      <c r="AB18" s="532">
        <v>44</v>
      </c>
      <c r="AC18" s="496"/>
      <c r="AD18" s="208"/>
      <c r="AE18" s="532">
        <v>53</v>
      </c>
      <c r="AF18" s="496"/>
      <c r="AG18" s="208"/>
      <c r="AH18" s="532">
        <v>62</v>
      </c>
      <c r="AI18" s="496"/>
      <c r="AJ18" s="208"/>
      <c r="AK18" s="545"/>
      <c r="AL18" s="545"/>
      <c r="AM18" s="545"/>
    </row>
    <row r="19" spans="1:16366" s="28" customFormat="1">
      <c r="A19" s="217"/>
      <c r="B19" s="28" t="s">
        <v>1210</v>
      </c>
      <c r="C19" s="237" t="s">
        <v>1152</v>
      </c>
      <c r="D19" s="393"/>
      <c r="E19" s="373"/>
      <c r="F19" s="208"/>
      <c r="G19" s="393"/>
      <c r="H19" s="373"/>
      <c r="I19" s="208"/>
      <c r="J19" s="393"/>
      <c r="K19" s="370"/>
      <c r="M19" s="393">
        <v>23</v>
      </c>
      <c r="N19" s="496"/>
      <c r="O19" s="208"/>
      <c r="P19" s="393">
        <v>26</v>
      </c>
      <c r="Q19" s="496"/>
      <c r="R19" s="208"/>
      <c r="S19" s="393">
        <v>27</v>
      </c>
      <c r="T19" s="496"/>
      <c r="U19" s="208"/>
      <c r="V19" s="393">
        <v>29</v>
      </c>
      <c r="W19" s="496"/>
      <c r="X19" s="208"/>
      <c r="Y19" s="393">
        <v>32</v>
      </c>
      <c r="Z19" s="496"/>
      <c r="AA19" s="208"/>
      <c r="AB19" s="532">
        <v>32</v>
      </c>
      <c r="AC19" s="496"/>
      <c r="AD19" s="208"/>
      <c r="AE19" s="532">
        <v>33</v>
      </c>
      <c r="AF19" s="496"/>
      <c r="AG19" s="208"/>
      <c r="AH19" s="532">
        <v>34</v>
      </c>
      <c r="AI19" s="496"/>
      <c r="AJ19" s="208"/>
      <c r="AK19" s="545"/>
      <c r="AL19" s="545"/>
      <c r="AM19" s="545"/>
    </row>
    <row r="20" spans="1:16366" s="28" customFormat="1">
      <c r="A20" s="217"/>
      <c r="B20" s="28" t="s">
        <v>1185</v>
      </c>
      <c r="C20" s="237" t="s">
        <v>1152</v>
      </c>
      <c r="D20" s="393"/>
      <c r="E20" s="373"/>
      <c r="F20" s="208"/>
      <c r="G20" s="393"/>
      <c r="H20" s="373"/>
      <c r="I20" s="208"/>
      <c r="J20" s="393"/>
      <c r="K20" s="370"/>
      <c r="M20" s="393">
        <v>28</v>
      </c>
      <c r="N20" s="496"/>
      <c r="O20" s="208"/>
      <c r="P20" s="393">
        <v>24</v>
      </c>
      <c r="Q20" s="496"/>
      <c r="R20" s="208"/>
      <c r="S20" s="393">
        <v>18</v>
      </c>
      <c r="T20" s="496"/>
      <c r="U20" s="208"/>
      <c r="V20" s="393">
        <v>18</v>
      </c>
      <c r="W20" s="496"/>
      <c r="X20" s="208"/>
      <c r="Y20" s="393">
        <v>27</v>
      </c>
      <c r="Z20" s="496"/>
      <c r="AA20" s="208"/>
      <c r="AB20" s="532">
        <v>30</v>
      </c>
      <c r="AC20" s="496"/>
      <c r="AD20" s="208"/>
      <c r="AE20" s="532">
        <v>23</v>
      </c>
      <c r="AF20" s="496"/>
      <c r="AG20" s="208"/>
      <c r="AH20" s="532">
        <v>20</v>
      </c>
      <c r="AI20" s="577"/>
      <c r="AJ20" s="208"/>
      <c r="AK20" s="545"/>
      <c r="AL20" s="545"/>
      <c r="AM20" s="545"/>
    </row>
    <row r="21" spans="1:16366" s="28" customFormat="1">
      <c r="A21" s="217"/>
      <c r="B21" s="28" t="s">
        <v>1159</v>
      </c>
      <c r="C21" s="237" t="s">
        <v>1152</v>
      </c>
      <c r="D21" s="393"/>
      <c r="E21" s="496"/>
      <c r="F21" s="208"/>
      <c r="G21" s="393"/>
      <c r="H21" s="496"/>
      <c r="I21" s="208"/>
      <c r="J21" s="393"/>
      <c r="K21" s="370"/>
      <c r="M21" s="496">
        <f>SUM(M18:M20)</f>
        <v>62</v>
      </c>
      <c r="N21" s="496"/>
      <c r="O21" s="208"/>
      <c r="P21" s="496">
        <f>SUM(P18:P20)</f>
        <v>63</v>
      </c>
      <c r="Q21" s="496"/>
      <c r="R21" s="208"/>
      <c r="S21" s="496">
        <f>SUM(S18:S20)</f>
        <v>61</v>
      </c>
      <c r="T21" s="496"/>
      <c r="U21" s="208"/>
      <c r="V21" s="496">
        <f>SUM(V18:V20)</f>
        <v>70</v>
      </c>
      <c r="W21" s="496"/>
      <c r="X21" s="208"/>
      <c r="Y21" s="496">
        <f>SUM(Y18:Y20)</f>
        <v>95</v>
      </c>
      <c r="Z21" s="496"/>
      <c r="AA21" s="208"/>
      <c r="AB21" s="496">
        <f>SUM(AB18:AB20)</f>
        <v>106</v>
      </c>
      <c r="AC21" s="496"/>
      <c r="AD21" s="208"/>
      <c r="AE21" s="496">
        <f>SUM(AE18:AE20)</f>
        <v>109</v>
      </c>
      <c r="AF21" s="496"/>
      <c r="AG21" s="208"/>
      <c r="AH21" s="496">
        <f>SUM(AH18:AH20)</f>
        <v>116</v>
      </c>
      <c r="AI21" s="496"/>
      <c r="AJ21" s="208"/>
      <c r="AK21" s="545"/>
      <c r="AL21" s="545"/>
      <c r="AM21" s="545"/>
    </row>
    <row r="22" spans="1:16366" s="28" customFormat="1">
      <c r="A22" s="217"/>
      <c r="B22" s="272" t="s">
        <v>1168</v>
      </c>
      <c r="C22" s="237" t="s">
        <v>1104</v>
      </c>
      <c r="D22" s="284"/>
      <c r="E22" s="284"/>
      <c r="F22" s="221"/>
      <c r="G22" s="284"/>
      <c r="H22" s="284"/>
      <c r="I22" s="221"/>
      <c r="J22" s="284"/>
      <c r="K22" s="370"/>
      <c r="M22" s="284">
        <f>+(M18+M19)/M21</f>
        <v>0.54838709677419351</v>
      </c>
      <c r="N22" s="501"/>
      <c r="O22" s="221"/>
      <c r="P22" s="284">
        <f>+(P18+P19)/P21</f>
        <v>0.61904761904761907</v>
      </c>
      <c r="Q22" s="501"/>
      <c r="R22" s="221"/>
      <c r="S22" s="284">
        <f>+(S18+S19)/S21</f>
        <v>0.70491803278688525</v>
      </c>
      <c r="T22" s="501"/>
      <c r="U22" s="221"/>
      <c r="V22" s="284">
        <f>+(V18+V19)/V21</f>
        <v>0.74285714285714288</v>
      </c>
      <c r="W22" s="501"/>
      <c r="X22" s="221"/>
      <c r="Y22" s="284">
        <f>+(Y18+Y19)/Y21</f>
        <v>0.71578947368421053</v>
      </c>
      <c r="Z22" s="501"/>
      <c r="AA22" s="221"/>
      <c r="AB22" s="284">
        <f>+(AB18+AB19)/AB21</f>
        <v>0.71698113207547165</v>
      </c>
      <c r="AC22" s="501"/>
      <c r="AD22" s="221"/>
      <c r="AE22" s="284">
        <f>+(AE18+AE19)/AE21</f>
        <v>0.78899082568807344</v>
      </c>
      <c r="AF22" s="501"/>
      <c r="AG22" s="221"/>
      <c r="AH22" s="284">
        <f>+(AH18+AH19)/AH21</f>
        <v>0.82758620689655171</v>
      </c>
      <c r="AI22" s="501"/>
      <c r="AJ22" s="221"/>
      <c r="AK22" s="549"/>
      <c r="AL22" s="399"/>
      <c r="AM22" s="399"/>
    </row>
    <row r="23" spans="1:16366" s="28" customFormat="1">
      <c r="A23" s="217"/>
      <c r="C23" s="237"/>
      <c r="D23" s="377"/>
      <c r="G23" s="370"/>
      <c r="H23" s="370"/>
      <c r="J23" s="370"/>
      <c r="K23" s="370"/>
      <c r="M23" s="370"/>
      <c r="N23" s="370"/>
      <c r="P23" s="370"/>
      <c r="Q23" s="370"/>
      <c r="S23" s="370"/>
      <c r="T23" s="370"/>
      <c r="V23" s="370"/>
      <c r="W23" s="370"/>
      <c r="Y23" s="370"/>
      <c r="Z23" s="370"/>
      <c r="AB23" s="370"/>
      <c r="AC23" s="370"/>
      <c r="AE23" s="370"/>
      <c r="AF23" s="370"/>
      <c r="AH23" s="370"/>
      <c r="AI23" s="370"/>
      <c r="AK23" s="370"/>
      <c r="AL23" s="370"/>
      <c r="AM23" s="370"/>
    </row>
    <row r="24" spans="1:16366" s="54" customFormat="1">
      <c r="A24" s="217" t="s">
        <v>1111</v>
      </c>
      <c r="B24" s="243" t="s">
        <v>1157</v>
      </c>
      <c r="C24" s="200"/>
      <c r="D24" s="375"/>
      <c r="E24" s="201"/>
      <c r="F24" s="201"/>
      <c r="G24" s="280"/>
      <c r="H24" s="280"/>
      <c r="I24" s="201"/>
      <c r="J24" s="339"/>
      <c r="K24" s="339"/>
      <c r="L24" s="202"/>
      <c r="M24" s="339"/>
      <c r="N24" s="339"/>
      <c r="O24" s="202"/>
      <c r="P24" s="339"/>
      <c r="Q24" s="339"/>
      <c r="R24" s="202"/>
      <c r="S24" s="339"/>
      <c r="T24" s="339"/>
      <c r="U24" s="202"/>
      <c r="V24" s="339"/>
      <c r="W24" s="402"/>
      <c r="X24" s="202"/>
      <c r="Y24" s="280"/>
      <c r="Z24" s="402"/>
      <c r="AA24" s="202"/>
      <c r="AB24" s="280"/>
      <c r="AC24" s="402"/>
      <c r="AD24" s="202"/>
      <c r="AE24" s="280"/>
      <c r="AF24" s="339"/>
      <c r="AG24" s="202"/>
      <c r="AH24" s="280"/>
      <c r="AI24" s="339"/>
      <c r="AJ24" s="202"/>
      <c r="AK24" s="280"/>
      <c r="AL24" s="280"/>
      <c r="AM24" s="280"/>
    </row>
    <row r="25" spans="1:16366" s="54" customFormat="1">
      <c r="A25" s="429"/>
      <c r="B25" s="471"/>
      <c r="C25" s="471"/>
      <c r="D25" s="472"/>
      <c r="E25" s="473"/>
      <c r="F25" s="473"/>
      <c r="G25" s="474"/>
      <c r="H25" s="474"/>
      <c r="I25" s="473"/>
      <c r="J25" s="475"/>
      <c r="K25" s="475"/>
      <c r="L25" s="476"/>
      <c r="M25" s="475"/>
      <c r="N25" s="475"/>
      <c r="O25" s="476"/>
      <c r="P25" s="475"/>
      <c r="Q25" s="475"/>
      <c r="R25" s="476"/>
      <c r="S25" s="475"/>
      <c r="T25" s="475"/>
      <c r="U25" s="476"/>
      <c r="V25" s="475"/>
      <c r="W25" s="475"/>
      <c r="X25" s="476"/>
      <c r="Y25" s="474"/>
      <c r="Z25" s="475"/>
      <c r="AA25" s="476"/>
      <c r="AB25" s="474"/>
      <c r="AC25" s="475"/>
      <c r="AD25" s="476"/>
      <c r="AE25" s="474"/>
      <c r="AF25" s="475"/>
      <c r="AG25" s="476"/>
      <c r="AH25" s="474"/>
      <c r="AI25" s="475"/>
      <c r="AJ25" s="476"/>
      <c r="AK25" s="474"/>
      <c r="AL25" s="474"/>
      <c r="AM25" s="474"/>
    </row>
    <row r="26" spans="1:16366" s="28" customFormat="1">
      <c r="A26" s="217" t="s">
        <v>1111</v>
      </c>
      <c r="B26" s="212" t="s">
        <v>1154</v>
      </c>
      <c r="C26" s="212"/>
      <c r="D26" s="376"/>
      <c r="E26" s="213"/>
      <c r="F26" s="213"/>
      <c r="G26" s="387"/>
      <c r="H26" s="389"/>
      <c r="I26" s="213"/>
      <c r="J26" s="387"/>
      <c r="K26" s="389"/>
      <c r="L26" s="213"/>
      <c r="M26" s="387"/>
      <c r="N26" s="387"/>
      <c r="O26" s="213"/>
      <c r="P26" s="387"/>
      <c r="Q26" s="387"/>
      <c r="R26" s="213"/>
      <c r="S26" s="387"/>
      <c r="T26" s="387"/>
      <c r="U26" s="214"/>
      <c r="V26" s="387"/>
      <c r="W26" s="387"/>
      <c r="X26" s="214"/>
      <c r="Y26" s="387"/>
      <c r="Z26" s="387"/>
      <c r="AA26" s="214"/>
      <c r="AB26" s="396"/>
      <c r="AC26" s="387"/>
      <c r="AD26" s="214"/>
      <c r="AE26" s="396"/>
      <c r="AF26" s="396"/>
      <c r="AG26" s="214"/>
      <c r="AH26" s="396"/>
      <c r="AI26" s="396"/>
      <c r="AJ26" s="214"/>
      <c r="AK26" s="396"/>
      <c r="AL26" s="396"/>
      <c r="AM26" s="396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25"/>
      <c r="BP26" s="25"/>
      <c r="BQ26" s="25"/>
      <c r="BR26" s="25"/>
      <c r="BS26" s="25"/>
      <c r="BT26" s="25"/>
      <c r="BU26" s="25"/>
      <c r="BV26" s="25"/>
      <c r="BW26" s="25"/>
      <c r="BX26" s="25"/>
      <c r="BY26" s="25"/>
      <c r="BZ26" s="25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  <c r="CW26" s="25"/>
      <c r="CX26" s="25"/>
      <c r="CY26" s="25"/>
      <c r="CZ26" s="25"/>
      <c r="DA26" s="25"/>
      <c r="DB26" s="25"/>
      <c r="DC26" s="25"/>
      <c r="DD26" s="25"/>
      <c r="DE26" s="25"/>
      <c r="DF26" s="25"/>
      <c r="DG26" s="25"/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25"/>
      <c r="DT26" s="25"/>
      <c r="DU26" s="25"/>
      <c r="DV26" s="25"/>
      <c r="DW26" s="25"/>
      <c r="DX26" s="25"/>
      <c r="DY26" s="25"/>
      <c r="DZ26" s="25"/>
      <c r="EA26" s="25"/>
      <c r="EB26" s="2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25"/>
      <c r="EP26" s="25"/>
      <c r="EQ26" s="25"/>
      <c r="ER26" s="25"/>
      <c r="ES26" s="25"/>
      <c r="ET26" s="25"/>
      <c r="EU26" s="25"/>
      <c r="EV26" s="25"/>
      <c r="EW26" s="25"/>
      <c r="EX26" s="25"/>
      <c r="EY26" s="25"/>
      <c r="EZ26" s="25"/>
      <c r="FA26" s="25"/>
      <c r="FB26" s="25"/>
      <c r="FC26" s="25"/>
      <c r="FD26" s="25"/>
      <c r="FE26" s="25"/>
      <c r="FF26" s="25"/>
      <c r="FG26" s="25"/>
      <c r="FH26" s="25"/>
      <c r="FI26" s="25"/>
      <c r="FJ26" s="25"/>
      <c r="FK26" s="25"/>
      <c r="FL26" s="25"/>
      <c r="FM26" s="25"/>
      <c r="FN26" s="25"/>
      <c r="FO26" s="25"/>
      <c r="FP26" s="25"/>
      <c r="FQ26" s="25"/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25"/>
      <c r="GG26" s="25"/>
      <c r="GH26" s="25"/>
      <c r="GI26" s="25"/>
      <c r="GJ26" s="25"/>
      <c r="GK26" s="25"/>
      <c r="GL26" s="25"/>
      <c r="GM26" s="25"/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25"/>
      <c r="HD26" s="25"/>
      <c r="HE26" s="25"/>
      <c r="HF26" s="25"/>
      <c r="HG26" s="25"/>
      <c r="HH26" s="25"/>
      <c r="HI26" s="25"/>
      <c r="HJ26" s="25"/>
      <c r="HK26" s="25"/>
      <c r="HL26" s="25"/>
      <c r="HM26" s="25"/>
      <c r="HN26" s="25"/>
      <c r="HO26" s="25"/>
      <c r="HP26" s="25"/>
      <c r="HQ26" s="25"/>
      <c r="HR26" s="25"/>
      <c r="HS26" s="25"/>
      <c r="HT26" s="25"/>
      <c r="HU26" s="25"/>
      <c r="HV26" s="25"/>
      <c r="HW26" s="25"/>
      <c r="HX26" s="25"/>
      <c r="HY26" s="25"/>
      <c r="HZ26" s="25"/>
      <c r="IA26" s="25"/>
      <c r="IB26" s="25"/>
      <c r="IC26" s="25"/>
      <c r="ID26" s="25"/>
      <c r="IE26" s="25"/>
      <c r="IF26" s="25"/>
      <c r="IG26" s="25"/>
      <c r="IH26" s="25"/>
      <c r="II26" s="25"/>
      <c r="IJ26" s="25"/>
      <c r="IK26" s="25"/>
      <c r="IL26" s="25"/>
      <c r="IM26" s="25"/>
      <c r="IN26" s="25"/>
      <c r="IO26" s="25"/>
      <c r="IP26" s="25"/>
      <c r="IQ26" s="25"/>
      <c r="IR26" s="25"/>
      <c r="IS26" s="25"/>
      <c r="IT26" s="25"/>
      <c r="IU26" s="25"/>
      <c r="IV26" s="25"/>
      <c r="IW26" s="25"/>
      <c r="IX26" s="25"/>
      <c r="IY26" s="25"/>
      <c r="IZ26" s="25"/>
      <c r="JA26" s="25"/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25"/>
      <c r="JM26" s="25"/>
      <c r="JN26" s="25"/>
      <c r="JO26" s="25"/>
      <c r="JP26" s="25"/>
      <c r="JQ26" s="25"/>
      <c r="JR26" s="25"/>
      <c r="JS26" s="25"/>
      <c r="JT26" s="25"/>
      <c r="JU26" s="25"/>
      <c r="JV26" s="25"/>
      <c r="JW26" s="25"/>
      <c r="JX26" s="25"/>
      <c r="JY26" s="25"/>
      <c r="JZ26" s="25"/>
      <c r="KA26" s="25"/>
      <c r="KB26" s="25"/>
      <c r="KC26" s="25"/>
      <c r="KD26" s="25"/>
      <c r="KE26" s="25"/>
      <c r="KF26" s="25"/>
      <c r="KG26" s="25"/>
      <c r="KH26" s="25"/>
      <c r="KI26" s="25"/>
      <c r="KJ26" s="25"/>
      <c r="KK26" s="25"/>
      <c r="KL26" s="25"/>
      <c r="KM26" s="25"/>
      <c r="KN26" s="25"/>
      <c r="KO26" s="25"/>
      <c r="KP26" s="25"/>
      <c r="KQ26" s="25"/>
      <c r="KR26" s="25"/>
      <c r="KS26" s="25"/>
      <c r="KT26" s="25"/>
      <c r="KU26" s="25"/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25"/>
      <c r="LJ26" s="25"/>
      <c r="LK26" s="25"/>
      <c r="LL26" s="25"/>
      <c r="LM26" s="25"/>
      <c r="LN26" s="25"/>
      <c r="LO26" s="25"/>
      <c r="LP26" s="25"/>
      <c r="LQ26" s="25"/>
      <c r="LR26" s="25"/>
      <c r="LS26" s="25"/>
      <c r="LT26" s="25"/>
      <c r="LU26" s="25"/>
      <c r="LV26" s="25"/>
      <c r="LW26" s="25"/>
      <c r="LX26" s="25"/>
      <c r="LY26" s="25"/>
      <c r="LZ26" s="25"/>
      <c r="MA26" s="25"/>
      <c r="MB26" s="25"/>
      <c r="MC26" s="25"/>
      <c r="MD26" s="25"/>
      <c r="ME26" s="25"/>
      <c r="MF26" s="25"/>
      <c r="MG26" s="25"/>
      <c r="MH26" s="25"/>
      <c r="MI26" s="25"/>
      <c r="MJ26" s="25"/>
      <c r="MK26" s="25"/>
      <c r="ML26" s="25"/>
      <c r="MM26" s="25"/>
      <c r="MN26" s="25"/>
      <c r="MO26" s="25"/>
      <c r="MP26" s="25"/>
      <c r="MQ26" s="25"/>
      <c r="MR26" s="25"/>
      <c r="MS26" s="25"/>
      <c r="MT26" s="25"/>
      <c r="MU26" s="25"/>
      <c r="MV26" s="25"/>
      <c r="MW26" s="25"/>
      <c r="MX26" s="25"/>
      <c r="MY26" s="25"/>
      <c r="MZ26" s="25"/>
      <c r="NA26" s="25"/>
      <c r="NB26" s="25"/>
      <c r="NC26" s="25"/>
      <c r="ND26" s="25"/>
      <c r="NE26" s="25"/>
      <c r="NF26" s="25"/>
      <c r="NG26" s="25"/>
      <c r="NH26" s="25"/>
      <c r="NI26" s="25"/>
      <c r="NJ26" s="25"/>
      <c r="NK26" s="25"/>
      <c r="NL26" s="25"/>
      <c r="NM26" s="25"/>
      <c r="NN26" s="25"/>
      <c r="NO26" s="25"/>
      <c r="NP26" s="25"/>
      <c r="NQ26" s="25"/>
      <c r="NR26" s="25"/>
      <c r="NS26" s="25"/>
      <c r="NT26" s="25"/>
      <c r="NU26" s="25"/>
      <c r="NV26" s="25"/>
      <c r="NW26" s="25"/>
      <c r="NX26" s="25"/>
      <c r="NY26" s="25"/>
      <c r="NZ26" s="25"/>
      <c r="OA26" s="25"/>
      <c r="OB26" s="25"/>
      <c r="OC26" s="25"/>
      <c r="OD26" s="25"/>
      <c r="OE26" s="25"/>
      <c r="OF26" s="25"/>
      <c r="OG26" s="25"/>
      <c r="OH26" s="25"/>
      <c r="OI26" s="25"/>
      <c r="OJ26" s="25"/>
      <c r="OK26" s="25"/>
      <c r="OL26" s="25"/>
      <c r="OM26" s="25"/>
      <c r="ON26" s="25"/>
      <c r="OO26" s="25"/>
      <c r="OP26" s="25"/>
      <c r="OQ26" s="25"/>
      <c r="OR26" s="25"/>
      <c r="OS26" s="25"/>
      <c r="OT26" s="25"/>
      <c r="OU26" s="25"/>
      <c r="OV26" s="25"/>
      <c r="OW26" s="25"/>
      <c r="OX26" s="25"/>
      <c r="OY26" s="25"/>
      <c r="OZ26" s="25"/>
      <c r="PA26" s="25"/>
      <c r="PB26" s="25"/>
      <c r="PC26" s="25"/>
      <c r="PD26" s="25"/>
      <c r="PE26" s="25"/>
      <c r="PF26" s="25"/>
      <c r="PG26" s="25"/>
      <c r="PH26" s="25"/>
      <c r="PI26" s="25"/>
      <c r="PJ26" s="25"/>
      <c r="PK26" s="25"/>
      <c r="PL26" s="25"/>
      <c r="PM26" s="25"/>
      <c r="PN26" s="25"/>
      <c r="PO26" s="25"/>
      <c r="PP26" s="25"/>
      <c r="PQ26" s="25"/>
      <c r="PR26" s="25"/>
      <c r="PS26" s="25"/>
      <c r="PT26" s="25"/>
      <c r="PU26" s="25"/>
      <c r="PV26" s="25"/>
      <c r="PW26" s="25"/>
      <c r="PX26" s="25"/>
      <c r="PY26" s="25"/>
      <c r="PZ26" s="25"/>
      <c r="QA26" s="25"/>
      <c r="QB26" s="25"/>
      <c r="QC26" s="25"/>
      <c r="QD26" s="25"/>
      <c r="QE26" s="25"/>
      <c r="QF26" s="25"/>
      <c r="QG26" s="25"/>
      <c r="QH26" s="25"/>
      <c r="QI26" s="25"/>
      <c r="QJ26" s="25"/>
      <c r="QK26" s="25"/>
      <c r="QL26" s="25"/>
      <c r="QM26" s="25"/>
      <c r="QN26" s="25"/>
      <c r="QO26" s="25"/>
      <c r="QP26" s="25"/>
      <c r="QQ26" s="25"/>
      <c r="QR26" s="25"/>
      <c r="QS26" s="25"/>
      <c r="QT26" s="25"/>
      <c r="QU26" s="25"/>
      <c r="QV26" s="25"/>
      <c r="QW26" s="25"/>
      <c r="QX26" s="25"/>
      <c r="QY26" s="25"/>
      <c r="QZ26" s="25"/>
      <c r="RA26" s="25"/>
      <c r="RB26" s="25"/>
      <c r="RC26" s="25"/>
      <c r="RD26" s="25"/>
      <c r="RE26" s="25"/>
      <c r="RF26" s="25"/>
      <c r="RG26" s="25"/>
      <c r="RH26" s="25"/>
      <c r="RI26" s="25"/>
      <c r="RJ26" s="25"/>
      <c r="RK26" s="25"/>
      <c r="RL26" s="25"/>
      <c r="RM26" s="25"/>
      <c r="RN26" s="25"/>
      <c r="RO26" s="25"/>
      <c r="RP26" s="25"/>
      <c r="RQ26" s="25"/>
      <c r="RR26" s="25"/>
      <c r="RS26" s="25"/>
      <c r="RT26" s="25"/>
      <c r="RU26" s="25"/>
      <c r="RV26" s="25"/>
      <c r="RW26" s="25"/>
      <c r="RX26" s="25"/>
      <c r="RY26" s="25"/>
      <c r="RZ26" s="25"/>
      <c r="SA26" s="25"/>
      <c r="SB26" s="25"/>
      <c r="SC26" s="25"/>
      <c r="SD26" s="25"/>
      <c r="SE26" s="25"/>
      <c r="SF26" s="25"/>
      <c r="SG26" s="25"/>
      <c r="SH26" s="25"/>
      <c r="SI26" s="25"/>
      <c r="SJ26" s="25"/>
      <c r="SK26" s="25"/>
      <c r="SL26" s="25"/>
      <c r="SM26" s="25"/>
      <c r="SN26" s="25"/>
      <c r="SO26" s="25"/>
      <c r="SP26" s="25"/>
      <c r="SQ26" s="25"/>
      <c r="SR26" s="25"/>
      <c r="SS26" s="25"/>
      <c r="ST26" s="25"/>
      <c r="SU26" s="25"/>
      <c r="SV26" s="25"/>
      <c r="SW26" s="25"/>
      <c r="SX26" s="25"/>
      <c r="SY26" s="25"/>
      <c r="SZ26" s="25"/>
      <c r="TA26" s="25"/>
      <c r="TB26" s="25"/>
      <c r="TC26" s="25"/>
      <c r="TD26" s="25"/>
      <c r="TE26" s="25"/>
      <c r="TF26" s="25"/>
      <c r="TG26" s="25"/>
      <c r="TH26" s="25"/>
      <c r="TI26" s="25"/>
      <c r="TJ26" s="25"/>
      <c r="TK26" s="25"/>
      <c r="TL26" s="25"/>
      <c r="TM26" s="25"/>
      <c r="TN26" s="25"/>
      <c r="TO26" s="25"/>
      <c r="TP26" s="25"/>
      <c r="TQ26" s="25"/>
      <c r="TR26" s="25"/>
      <c r="TS26" s="25"/>
      <c r="TT26" s="25"/>
      <c r="TU26" s="25"/>
      <c r="TV26" s="25"/>
      <c r="TW26" s="25"/>
      <c r="TX26" s="25"/>
      <c r="TY26" s="25"/>
      <c r="TZ26" s="25"/>
      <c r="UA26" s="25"/>
      <c r="UB26" s="25"/>
      <c r="UC26" s="25"/>
      <c r="UD26" s="25"/>
      <c r="UE26" s="25"/>
      <c r="UF26" s="25"/>
      <c r="UG26" s="25"/>
      <c r="UH26" s="25"/>
      <c r="UI26" s="25"/>
      <c r="UJ26" s="25"/>
      <c r="UK26" s="25"/>
      <c r="UL26" s="25"/>
      <c r="UM26" s="25"/>
      <c r="UN26" s="25"/>
      <c r="UO26" s="25"/>
      <c r="UP26" s="25"/>
      <c r="UQ26" s="25"/>
      <c r="UR26" s="25"/>
      <c r="US26" s="25"/>
      <c r="UT26" s="25"/>
      <c r="UU26" s="25"/>
      <c r="UV26" s="25"/>
      <c r="UW26" s="25"/>
      <c r="UX26" s="25"/>
      <c r="UY26" s="25"/>
      <c r="UZ26" s="25"/>
      <c r="VA26" s="25"/>
      <c r="VB26" s="25"/>
      <c r="VC26" s="25"/>
      <c r="VD26" s="25"/>
      <c r="VE26" s="25"/>
      <c r="VF26" s="25"/>
      <c r="VG26" s="25"/>
      <c r="VH26" s="25"/>
      <c r="VI26" s="25"/>
      <c r="VJ26" s="25"/>
      <c r="VK26" s="25"/>
      <c r="VL26" s="25"/>
      <c r="VM26" s="25"/>
      <c r="VN26" s="25"/>
      <c r="VO26" s="25"/>
      <c r="VP26" s="25"/>
      <c r="VQ26" s="25"/>
      <c r="VR26" s="25"/>
      <c r="VS26" s="25"/>
      <c r="VT26" s="25"/>
      <c r="VU26" s="25"/>
      <c r="VV26" s="25"/>
      <c r="VW26" s="25"/>
      <c r="VX26" s="25"/>
      <c r="VY26" s="25"/>
      <c r="VZ26" s="25"/>
      <c r="WA26" s="25"/>
      <c r="WB26" s="25"/>
      <c r="WC26" s="25"/>
      <c r="WD26" s="25"/>
      <c r="WE26" s="25"/>
      <c r="WF26" s="25"/>
      <c r="WG26" s="25"/>
      <c r="WH26" s="25"/>
      <c r="WI26" s="25"/>
      <c r="WJ26" s="25"/>
      <c r="WK26" s="25"/>
      <c r="WL26" s="25"/>
      <c r="WM26" s="25"/>
      <c r="WN26" s="25"/>
      <c r="WO26" s="25"/>
      <c r="WP26" s="25"/>
      <c r="WQ26" s="25"/>
      <c r="WR26" s="25"/>
      <c r="WS26" s="25"/>
      <c r="WT26" s="25"/>
      <c r="WU26" s="25"/>
      <c r="WV26" s="25"/>
      <c r="WW26" s="25"/>
      <c r="WX26" s="25"/>
      <c r="WY26" s="25"/>
      <c r="WZ26" s="25"/>
      <c r="XA26" s="25"/>
      <c r="XB26" s="25"/>
      <c r="XC26" s="25"/>
      <c r="XD26" s="25"/>
      <c r="XE26" s="25"/>
      <c r="XF26" s="25"/>
      <c r="XG26" s="25"/>
      <c r="XH26" s="25"/>
      <c r="XI26" s="25"/>
      <c r="XJ26" s="25"/>
      <c r="XK26" s="25"/>
      <c r="XL26" s="25"/>
      <c r="XM26" s="25"/>
      <c r="XN26" s="25"/>
      <c r="XO26" s="25"/>
      <c r="XP26" s="25"/>
      <c r="XQ26" s="25"/>
      <c r="XR26" s="25"/>
      <c r="XS26" s="25"/>
      <c r="XT26" s="25"/>
      <c r="XU26" s="25"/>
      <c r="XV26" s="25"/>
      <c r="XW26" s="25"/>
      <c r="XX26" s="25"/>
      <c r="XY26" s="25"/>
      <c r="XZ26" s="25"/>
      <c r="YA26" s="25"/>
      <c r="YB26" s="25"/>
      <c r="YC26" s="25"/>
      <c r="YD26" s="25"/>
      <c r="YE26" s="25"/>
      <c r="YF26" s="25"/>
      <c r="YG26" s="25"/>
      <c r="YH26" s="25"/>
      <c r="YI26" s="25"/>
      <c r="YJ26" s="25"/>
      <c r="YK26" s="25"/>
      <c r="YL26" s="25"/>
      <c r="YM26" s="25"/>
      <c r="YN26" s="25"/>
      <c r="YO26" s="25"/>
      <c r="YP26" s="25"/>
      <c r="YQ26" s="25"/>
      <c r="YR26" s="25"/>
      <c r="YS26" s="25"/>
      <c r="YT26" s="25"/>
      <c r="YU26" s="25"/>
      <c r="YV26" s="25"/>
      <c r="YW26" s="25"/>
      <c r="YX26" s="25"/>
      <c r="YY26" s="25"/>
      <c r="YZ26" s="25"/>
      <c r="ZA26" s="25"/>
      <c r="ZB26" s="25"/>
      <c r="ZC26" s="25"/>
      <c r="ZD26" s="25"/>
      <c r="ZE26" s="25"/>
      <c r="ZF26" s="25"/>
      <c r="ZG26" s="25"/>
      <c r="ZH26" s="25"/>
      <c r="ZI26" s="25"/>
      <c r="ZJ26" s="25"/>
      <c r="ZK26" s="25"/>
      <c r="ZL26" s="25"/>
      <c r="ZM26" s="25"/>
      <c r="ZN26" s="25"/>
      <c r="ZO26" s="25"/>
      <c r="ZP26" s="25"/>
      <c r="ZQ26" s="25"/>
      <c r="ZR26" s="25"/>
      <c r="ZS26" s="25"/>
      <c r="ZT26" s="25"/>
      <c r="ZU26" s="25"/>
      <c r="ZV26" s="25"/>
      <c r="ZW26" s="25"/>
      <c r="ZX26" s="25"/>
      <c r="ZY26" s="25"/>
      <c r="ZZ26" s="25"/>
      <c r="AAA26" s="25"/>
      <c r="AAB26" s="25"/>
      <c r="AAC26" s="25"/>
      <c r="AAD26" s="25"/>
      <c r="AAE26" s="25"/>
      <c r="AAF26" s="25"/>
      <c r="AAG26" s="25"/>
      <c r="AAH26" s="25"/>
      <c r="AAI26" s="25"/>
      <c r="AAJ26" s="25"/>
      <c r="AAK26" s="25"/>
      <c r="AAL26" s="25"/>
      <c r="AAM26" s="25"/>
      <c r="AAN26" s="25"/>
      <c r="AAO26" s="25"/>
      <c r="AAP26" s="25"/>
      <c r="AAQ26" s="25"/>
      <c r="AAR26" s="25"/>
      <c r="AAS26" s="25"/>
      <c r="AAT26" s="25"/>
      <c r="AAU26" s="25"/>
      <c r="AAV26" s="25"/>
      <c r="AAW26" s="25"/>
      <c r="AAX26" s="25"/>
      <c r="AAY26" s="25"/>
      <c r="AAZ26" s="25"/>
      <c r="ABA26" s="25"/>
      <c r="ABB26" s="25"/>
      <c r="ABC26" s="25"/>
      <c r="ABD26" s="25"/>
      <c r="ABE26" s="25"/>
      <c r="ABF26" s="25"/>
      <c r="ABG26" s="25"/>
      <c r="ABH26" s="25"/>
      <c r="ABI26" s="25"/>
      <c r="ABJ26" s="25"/>
      <c r="ABK26" s="25"/>
      <c r="ABL26" s="25"/>
      <c r="ABM26" s="25"/>
      <c r="ABN26" s="25"/>
      <c r="ABO26" s="25"/>
      <c r="ABP26" s="25"/>
      <c r="ABQ26" s="25"/>
      <c r="ABR26" s="25"/>
      <c r="ABS26" s="25"/>
      <c r="ABT26" s="25"/>
      <c r="ABU26" s="25"/>
      <c r="ABV26" s="25"/>
      <c r="ABW26" s="25"/>
      <c r="ABX26" s="25"/>
      <c r="ABY26" s="25"/>
      <c r="ABZ26" s="25"/>
      <c r="ACA26" s="25"/>
      <c r="ACB26" s="25"/>
      <c r="ACC26" s="25"/>
      <c r="ACD26" s="25"/>
      <c r="ACE26" s="25"/>
      <c r="ACF26" s="25"/>
      <c r="ACG26" s="25"/>
      <c r="ACH26" s="25"/>
      <c r="ACI26" s="25"/>
      <c r="ACJ26" s="25"/>
      <c r="ACK26" s="25"/>
      <c r="ACL26" s="25"/>
      <c r="ACM26" s="25"/>
      <c r="ACN26" s="25"/>
      <c r="ACO26" s="25"/>
      <c r="ACP26" s="25"/>
      <c r="ACQ26" s="25"/>
      <c r="ACR26" s="25"/>
      <c r="ACS26" s="25"/>
      <c r="ACT26" s="25"/>
      <c r="ACU26" s="25"/>
      <c r="ACV26" s="25"/>
      <c r="ACW26" s="25"/>
      <c r="ACX26" s="25"/>
      <c r="ACY26" s="25"/>
      <c r="ACZ26" s="25"/>
      <c r="ADA26" s="25"/>
      <c r="ADB26" s="25"/>
      <c r="ADC26" s="25"/>
      <c r="ADD26" s="25"/>
      <c r="ADE26" s="25"/>
      <c r="ADF26" s="25"/>
      <c r="ADG26" s="25"/>
      <c r="ADH26" s="25"/>
      <c r="ADI26" s="25"/>
      <c r="ADJ26" s="25"/>
      <c r="ADK26" s="25"/>
      <c r="ADL26" s="25"/>
      <c r="ADM26" s="25"/>
      <c r="ADN26" s="25"/>
      <c r="ADO26" s="25"/>
      <c r="ADP26" s="25"/>
      <c r="ADQ26" s="25"/>
      <c r="ADR26" s="25"/>
      <c r="ADS26" s="25"/>
      <c r="ADT26" s="25"/>
      <c r="ADU26" s="25"/>
      <c r="ADV26" s="25"/>
      <c r="ADW26" s="25"/>
      <c r="ADX26" s="25"/>
      <c r="ADY26" s="25"/>
      <c r="ADZ26" s="25"/>
      <c r="AEA26" s="25"/>
      <c r="AEB26" s="25"/>
      <c r="AEC26" s="25"/>
      <c r="AED26" s="25"/>
      <c r="AEE26" s="25"/>
      <c r="AEF26" s="25"/>
      <c r="AEG26" s="25"/>
      <c r="AEH26" s="25"/>
      <c r="AEI26" s="25"/>
      <c r="AEJ26" s="25"/>
      <c r="AEK26" s="25"/>
      <c r="AEL26" s="25"/>
      <c r="AEM26" s="25"/>
      <c r="AEN26" s="25"/>
      <c r="AEO26" s="25"/>
      <c r="AEP26" s="25"/>
      <c r="AEQ26" s="25"/>
      <c r="AER26" s="25"/>
      <c r="AES26" s="25"/>
      <c r="AET26" s="25"/>
      <c r="AEU26" s="25"/>
      <c r="AEV26" s="25"/>
      <c r="AEW26" s="25"/>
      <c r="AEX26" s="25"/>
      <c r="AEY26" s="25"/>
      <c r="AEZ26" s="25"/>
      <c r="AFA26" s="25"/>
      <c r="AFB26" s="25"/>
      <c r="AFC26" s="25"/>
      <c r="AFD26" s="25"/>
      <c r="AFE26" s="25"/>
      <c r="AFF26" s="25"/>
      <c r="AFG26" s="25"/>
      <c r="AFH26" s="25"/>
      <c r="AFI26" s="25"/>
      <c r="AFJ26" s="25"/>
      <c r="AFK26" s="25"/>
      <c r="AFL26" s="25"/>
      <c r="AFM26" s="25"/>
      <c r="AFN26" s="25"/>
      <c r="AFO26" s="25"/>
      <c r="AFP26" s="25"/>
      <c r="AFQ26" s="25"/>
      <c r="AFR26" s="25"/>
      <c r="AFS26" s="25"/>
      <c r="AFT26" s="25"/>
      <c r="AFU26" s="25"/>
      <c r="AFV26" s="25"/>
      <c r="AFW26" s="25"/>
      <c r="AFX26" s="25"/>
      <c r="AFY26" s="25"/>
      <c r="AFZ26" s="25"/>
      <c r="AGA26" s="25"/>
      <c r="AGB26" s="25"/>
      <c r="AGC26" s="25"/>
      <c r="AGD26" s="25"/>
      <c r="AGE26" s="25"/>
      <c r="AGF26" s="25"/>
      <c r="AGG26" s="25"/>
      <c r="AGH26" s="25"/>
      <c r="AGI26" s="25"/>
      <c r="AGJ26" s="25"/>
      <c r="AGK26" s="25"/>
      <c r="AGL26" s="25"/>
      <c r="AGM26" s="25"/>
      <c r="AGN26" s="25"/>
      <c r="AGO26" s="25"/>
      <c r="AGP26" s="25"/>
      <c r="AGQ26" s="25"/>
      <c r="AGR26" s="25"/>
      <c r="AGS26" s="25"/>
      <c r="AGT26" s="25"/>
      <c r="AGU26" s="25"/>
      <c r="AGV26" s="25"/>
      <c r="AGW26" s="25"/>
      <c r="AGX26" s="25"/>
      <c r="AGY26" s="25"/>
      <c r="AGZ26" s="25"/>
      <c r="AHA26" s="25"/>
      <c r="AHB26" s="25"/>
      <c r="AHC26" s="25"/>
      <c r="AHD26" s="25"/>
      <c r="AHE26" s="25"/>
      <c r="AHF26" s="25"/>
      <c r="AHG26" s="25"/>
      <c r="AHH26" s="25"/>
      <c r="AHI26" s="25"/>
      <c r="AHJ26" s="25"/>
      <c r="AHK26" s="25"/>
      <c r="AHL26" s="25"/>
      <c r="AHM26" s="25"/>
      <c r="AHN26" s="25"/>
      <c r="AHO26" s="25"/>
      <c r="AHP26" s="25"/>
      <c r="AHQ26" s="25"/>
      <c r="AHR26" s="25"/>
      <c r="AHS26" s="25"/>
      <c r="AHT26" s="25"/>
      <c r="AHU26" s="25"/>
      <c r="AHV26" s="25"/>
      <c r="AHW26" s="25"/>
      <c r="AHX26" s="25"/>
      <c r="AHY26" s="25"/>
      <c r="AHZ26" s="25"/>
      <c r="AIA26" s="25"/>
      <c r="AIB26" s="25"/>
      <c r="AIC26" s="25"/>
      <c r="AID26" s="25"/>
      <c r="AIE26" s="25"/>
      <c r="AIF26" s="25"/>
      <c r="AIG26" s="25"/>
      <c r="AIH26" s="25"/>
      <c r="AII26" s="25"/>
      <c r="AIJ26" s="25"/>
      <c r="AIK26" s="25"/>
      <c r="AIL26" s="25"/>
      <c r="AIM26" s="25"/>
      <c r="AIN26" s="25"/>
      <c r="AIO26" s="25"/>
      <c r="AIP26" s="25"/>
      <c r="AIQ26" s="25"/>
      <c r="AIR26" s="25"/>
      <c r="AIS26" s="25"/>
      <c r="AIT26" s="25"/>
      <c r="AIU26" s="25"/>
      <c r="AIV26" s="25"/>
      <c r="AIW26" s="25"/>
      <c r="AIX26" s="25"/>
      <c r="AIY26" s="25"/>
      <c r="AIZ26" s="25"/>
      <c r="AJA26" s="25"/>
      <c r="AJB26" s="25"/>
      <c r="AJC26" s="25"/>
      <c r="AJD26" s="25"/>
      <c r="AJE26" s="25"/>
      <c r="AJF26" s="25"/>
      <c r="AJG26" s="25"/>
      <c r="AJH26" s="25"/>
      <c r="AJI26" s="25"/>
      <c r="AJJ26" s="25"/>
      <c r="AJK26" s="25"/>
      <c r="AJL26" s="25"/>
      <c r="AJM26" s="25"/>
      <c r="AJN26" s="25"/>
      <c r="AJO26" s="25"/>
      <c r="AJP26" s="25"/>
      <c r="AJQ26" s="25"/>
      <c r="AJR26" s="25"/>
      <c r="AJS26" s="25"/>
      <c r="AJT26" s="25"/>
      <c r="AJU26" s="25"/>
      <c r="AJV26" s="25"/>
      <c r="AJW26" s="25"/>
      <c r="AJX26" s="25"/>
      <c r="AJY26" s="25"/>
      <c r="AJZ26" s="25"/>
      <c r="AKA26" s="25"/>
      <c r="AKB26" s="25"/>
      <c r="AKC26" s="25"/>
      <c r="AKD26" s="25"/>
      <c r="AKE26" s="25"/>
      <c r="AKF26" s="25"/>
      <c r="AKG26" s="25"/>
      <c r="AKH26" s="25"/>
      <c r="AKI26" s="25"/>
      <c r="AKJ26" s="25"/>
      <c r="AKK26" s="25"/>
      <c r="AKL26" s="25"/>
      <c r="AKM26" s="25"/>
      <c r="AKN26" s="25"/>
      <c r="AKO26" s="25"/>
      <c r="AKP26" s="25"/>
      <c r="AKQ26" s="25"/>
      <c r="AKR26" s="25"/>
      <c r="AKS26" s="25"/>
      <c r="AKT26" s="25"/>
      <c r="AKU26" s="25"/>
      <c r="AKV26" s="25"/>
      <c r="AKW26" s="25"/>
      <c r="AKX26" s="25"/>
      <c r="AKY26" s="25"/>
      <c r="AKZ26" s="25"/>
      <c r="ALA26" s="25"/>
      <c r="ALB26" s="25"/>
      <c r="ALC26" s="25"/>
      <c r="ALD26" s="25"/>
      <c r="ALE26" s="25"/>
      <c r="ALF26" s="25"/>
      <c r="ALG26" s="25"/>
      <c r="ALH26" s="25"/>
      <c r="ALI26" s="25"/>
      <c r="ALJ26" s="25"/>
      <c r="ALK26" s="25"/>
      <c r="ALL26" s="25"/>
      <c r="ALM26" s="25"/>
      <c r="ALN26" s="25"/>
      <c r="ALO26" s="25"/>
      <c r="ALP26" s="25"/>
      <c r="ALQ26" s="25"/>
      <c r="ALR26" s="25"/>
      <c r="ALS26" s="25"/>
      <c r="ALT26" s="25"/>
      <c r="ALU26" s="25"/>
      <c r="ALV26" s="25"/>
      <c r="ALW26" s="25"/>
      <c r="ALX26" s="25"/>
      <c r="ALY26" s="25"/>
      <c r="ALZ26" s="25"/>
      <c r="AMA26" s="25"/>
      <c r="AMB26" s="25"/>
      <c r="AMC26" s="25"/>
      <c r="AMD26" s="25"/>
      <c r="AME26" s="25"/>
      <c r="AMF26" s="25"/>
      <c r="AMG26" s="25"/>
      <c r="AMH26" s="25"/>
      <c r="AMI26" s="25"/>
      <c r="AMJ26" s="25"/>
      <c r="AMK26" s="25"/>
      <c r="AML26" s="25"/>
      <c r="AMM26" s="25"/>
      <c r="AMN26" s="25"/>
      <c r="AMO26" s="25"/>
      <c r="AMP26" s="25"/>
      <c r="AMQ26" s="25"/>
      <c r="AMR26" s="25"/>
      <c r="AMS26" s="25"/>
      <c r="AMT26" s="25"/>
      <c r="AMU26" s="25"/>
      <c r="AMV26" s="25"/>
      <c r="AMW26" s="25"/>
      <c r="AMX26" s="25"/>
      <c r="AMY26" s="25"/>
      <c r="AMZ26" s="25"/>
      <c r="ANA26" s="25"/>
      <c r="ANB26" s="25"/>
      <c r="ANC26" s="25"/>
      <c r="AND26" s="25"/>
      <c r="ANE26" s="25"/>
      <c r="ANF26" s="25"/>
      <c r="ANG26" s="25"/>
      <c r="ANH26" s="25"/>
      <c r="ANI26" s="25"/>
      <c r="ANJ26" s="25"/>
      <c r="ANK26" s="25"/>
      <c r="ANL26" s="25"/>
      <c r="ANM26" s="25"/>
      <c r="ANN26" s="25"/>
      <c r="ANO26" s="25"/>
      <c r="ANP26" s="25"/>
      <c r="ANQ26" s="25"/>
      <c r="ANR26" s="25"/>
      <c r="ANS26" s="25"/>
      <c r="ANT26" s="25"/>
      <c r="ANU26" s="25"/>
      <c r="ANV26" s="25"/>
      <c r="ANW26" s="25"/>
      <c r="ANX26" s="25"/>
      <c r="ANY26" s="25"/>
      <c r="ANZ26" s="25"/>
      <c r="AOA26" s="25"/>
      <c r="AOB26" s="25"/>
      <c r="AOC26" s="25"/>
      <c r="AOD26" s="25"/>
      <c r="AOE26" s="25"/>
      <c r="AOF26" s="25"/>
      <c r="AOG26" s="25"/>
      <c r="AOH26" s="25"/>
      <c r="AOI26" s="25"/>
      <c r="AOJ26" s="25"/>
      <c r="AOK26" s="25"/>
      <c r="AOL26" s="25"/>
      <c r="AOM26" s="25"/>
      <c r="AON26" s="25"/>
      <c r="AOO26" s="25"/>
      <c r="AOP26" s="25"/>
      <c r="AOQ26" s="25"/>
      <c r="AOR26" s="25"/>
      <c r="AOS26" s="25"/>
      <c r="AOT26" s="25"/>
      <c r="AOU26" s="25"/>
      <c r="AOV26" s="25"/>
      <c r="AOW26" s="25"/>
      <c r="AOX26" s="25"/>
      <c r="AOY26" s="25"/>
      <c r="AOZ26" s="25"/>
      <c r="APA26" s="25"/>
      <c r="APB26" s="25"/>
      <c r="APC26" s="25"/>
      <c r="APD26" s="25"/>
      <c r="APE26" s="25"/>
      <c r="APF26" s="25"/>
      <c r="APG26" s="25"/>
      <c r="APH26" s="25"/>
      <c r="API26" s="25"/>
      <c r="APJ26" s="25"/>
      <c r="APK26" s="25"/>
      <c r="APL26" s="25"/>
      <c r="APM26" s="25"/>
      <c r="APN26" s="25"/>
      <c r="APO26" s="25"/>
      <c r="APP26" s="25"/>
      <c r="APQ26" s="25"/>
      <c r="APR26" s="25"/>
      <c r="APS26" s="25"/>
      <c r="APT26" s="25"/>
      <c r="APU26" s="25"/>
      <c r="APV26" s="25"/>
      <c r="APW26" s="25"/>
      <c r="APX26" s="25"/>
      <c r="APY26" s="25"/>
      <c r="APZ26" s="25"/>
      <c r="AQA26" s="25"/>
      <c r="AQB26" s="25"/>
      <c r="AQC26" s="25"/>
      <c r="AQD26" s="25"/>
      <c r="AQE26" s="25"/>
      <c r="AQF26" s="25"/>
      <c r="AQG26" s="25"/>
      <c r="AQH26" s="25"/>
      <c r="AQI26" s="25"/>
      <c r="AQJ26" s="25"/>
      <c r="AQK26" s="25"/>
      <c r="AQL26" s="25"/>
      <c r="AQM26" s="25"/>
      <c r="AQN26" s="25"/>
      <c r="AQO26" s="25"/>
      <c r="AQP26" s="25"/>
      <c r="AQQ26" s="25"/>
      <c r="AQR26" s="25"/>
      <c r="AQS26" s="25"/>
      <c r="AQT26" s="25"/>
      <c r="AQU26" s="25"/>
      <c r="AQV26" s="25"/>
      <c r="AQW26" s="25"/>
      <c r="AQX26" s="25"/>
      <c r="AQY26" s="25"/>
      <c r="AQZ26" s="25"/>
      <c r="ARA26" s="25"/>
      <c r="ARB26" s="25"/>
      <c r="ARC26" s="25"/>
      <c r="ARD26" s="25"/>
      <c r="ARE26" s="25"/>
      <c r="ARF26" s="25"/>
      <c r="ARG26" s="25"/>
      <c r="ARH26" s="25"/>
      <c r="ARI26" s="25"/>
      <c r="ARJ26" s="25"/>
      <c r="ARK26" s="25"/>
      <c r="ARL26" s="25"/>
      <c r="ARM26" s="25"/>
      <c r="ARN26" s="25"/>
      <c r="ARO26" s="25"/>
      <c r="ARP26" s="25"/>
      <c r="ARQ26" s="25"/>
      <c r="ARR26" s="25"/>
      <c r="ARS26" s="25"/>
      <c r="ART26" s="25"/>
      <c r="ARU26" s="25"/>
      <c r="ARV26" s="25"/>
      <c r="ARW26" s="25"/>
      <c r="ARX26" s="25"/>
      <c r="ARY26" s="25"/>
      <c r="ARZ26" s="25"/>
      <c r="ASA26" s="25"/>
      <c r="ASB26" s="25"/>
      <c r="ASC26" s="25"/>
      <c r="ASD26" s="25"/>
      <c r="ASE26" s="25"/>
      <c r="ASF26" s="25"/>
      <c r="ASG26" s="25"/>
      <c r="ASH26" s="25"/>
      <c r="ASI26" s="25"/>
      <c r="ASJ26" s="25"/>
      <c r="ASK26" s="25"/>
      <c r="ASL26" s="25"/>
      <c r="ASM26" s="25"/>
      <c r="ASN26" s="25"/>
      <c r="ASO26" s="25"/>
      <c r="ASP26" s="25"/>
      <c r="ASQ26" s="25"/>
      <c r="ASR26" s="25"/>
      <c r="ASS26" s="25"/>
      <c r="AST26" s="25"/>
      <c r="ASU26" s="25"/>
      <c r="ASV26" s="25"/>
      <c r="ASW26" s="25"/>
      <c r="ASX26" s="25"/>
      <c r="ASY26" s="25"/>
      <c r="ASZ26" s="25"/>
      <c r="ATA26" s="25"/>
      <c r="ATB26" s="25"/>
      <c r="ATC26" s="25"/>
      <c r="ATD26" s="25"/>
      <c r="ATE26" s="25"/>
      <c r="ATF26" s="25"/>
      <c r="ATG26" s="25"/>
      <c r="ATH26" s="25"/>
      <c r="ATI26" s="25"/>
      <c r="ATJ26" s="25"/>
      <c r="ATK26" s="25"/>
      <c r="ATL26" s="25"/>
      <c r="ATM26" s="25"/>
      <c r="ATN26" s="25"/>
      <c r="ATO26" s="25"/>
      <c r="ATP26" s="25"/>
      <c r="ATQ26" s="25"/>
      <c r="ATR26" s="25"/>
      <c r="ATS26" s="25"/>
      <c r="ATT26" s="25"/>
      <c r="ATU26" s="25"/>
      <c r="ATV26" s="25"/>
      <c r="ATW26" s="25"/>
      <c r="ATX26" s="25"/>
      <c r="ATY26" s="25"/>
      <c r="ATZ26" s="25"/>
      <c r="AUA26" s="25"/>
      <c r="AUB26" s="25"/>
      <c r="AUC26" s="25"/>
      <c r="AUD26" s="25"/>
      <c r="AUE26" s="25"/>
      <c r="AUF26" s="25"/>
      <c r="AUG26" s="25"/>
      <c r="AUH26" s="25"/>
      <c r="AUI26" s="25"/>
      <c r="AUJ26" s="25"/>
      <c r="AUK26" s="25"/>
      <c r="AUL26" s="25"/>
      <c r="AUM26" s="25"/>
      <c r="AUN26" s="25"/>
      <c r="AUO26" s="25"/>
      <c r="AUP26" s="25"/>
      <c r="AUQ26" s="25"/>
      <c r="AUR26" s="25"/>
      <c r="AUS26" s="25"/>
      <c r="AUT26" s="25"/>
      <c r="AUU26" s="25"/>
      <c r="AUV26" s="25"/>
      <c r="AUW26" s="25"/>
      <c r="AUX26" s="25"/>
      <c r="AUY26" s="25"/>
      <c r="AUZ26" s="25"/>
      <c r="AVA26" s="25"/>
      <c r="AVB26" s="25"/>
      <c r="AVC26" s="25"/>
      <c r="AVD26" s="25"/>
      <c r="AVE26" s="25"/>
      <c r="AVF26" s="25"/>
      <c r="AVG26" s="25"/>
      <c r="AVH26" s="25"/>
      <c r="AVI26" s="25"/>
      <c r="AVJ26" s="25"/>
      <c r="AVK26" s="25"/>
      <c r="AVL26" s="25"/>
      <c r="AVM26" s="25"/>
      <c r="AVN26" s="25"/>
      <c r="AVO26" s="25"/>
      <c r="AVP26" s="25"/>
      <c r="AVQ26" s="25"/>
      <c r="AVR26" s="25"/>
      <c r="AVS26" s="25"/>
      <c r="AVT26" s="25"/>
      <c r="AVU26" s="25"/>
      <c r="AVV26" s="25"/>
      <c r="AVW26" s="25"/>
      <c r="AVX26" s="25"/>
      <c r="AVY26" s="25"/>
      <c r="AVZ26" s="25"/>
      <c r="AWA26" s="25"/>
      <c r="AWB26" s="25"/>
      <c r="AWC26" s="25"/>
      <c r="AWD26" s="25"/>
      <c r="AWE26" s="25"/>
      <c r="AWF26" s="25"/>
      <c r="AWG26" s="25"/>
      <c r="AWH26" s="25"/>
      <c r="AWI26" s="25"/>
      <c r="AWJ26" s="25"/>
      <c r="AWK26" s="25"/>
      <c r="AWL26" s="25"/>
      <c r="AWM26" s="25"/>
      <c r="AWN26" s="25"/>
      <c r="AWO26" s="25"/>
      <c r="AWP26" s="25"/>
      <c r="AWQ26" s="25"/>
      <c r="AWR26" s="25"/>
      <c r="AWS26" s="25"/>
      <c r="AWT26" s="25"/>
      <c r="AWU26" s="25"/>
      <c r="AWV26" s="25"/>
      <c r="AWW26" s="25"/>
      <c r="AWX26" s="25"/>
      <c r="AWY26" s="25"/>
      <c r="AWZ26" s="25"/>
      <c r="AXA26" s="25"/>
      <c r="AXB26" s="25"/>
      <c r="AXC26" s="25"/>
      <c r="AXD26" s="25"/>
      <c r="AXE26" s="25"/>
      <c r="AXF26" s="25"/>
      <c r="AXG26" s="25"/>
      <c r="AXH26" s="25"/>
      <c r="AXI26" s="25"/>
      <c r="AXJ26" s="25"/>
      <c r="AXK26" s="25"/>
      <c r="AXL26" s="25"/>
      <c r="AXM26" s="25"/>
      <c r="AXN26" s="25"/>
      <c r="AXO26" s="25"/>
      <c r="AXP26" s="25"/>
      <c r="AXQ26" s="25"/>
      <c r="AXR26" s="25"/>
      <c r="AXS26" s="25"/>
      <c r="AXT26" s="25"/>
      <c r="AXU26" s="25"/>
      <c r="AXV26" s="25"/>
      <c r="AXW26" s="25"/>
      <c r="AXX26" s="25"/>
      <c r="AXY26" s="25"/>
      <c r="AXZ26" s="25"/>
      <c r="AYA26" s="25"/>
      <c r="AYB26" s="25"/>
      <c r="AYC26" s="25"/>
      <c r="AYD26" s="25"/>
      <c r="AYE26" s="25"/>
      <c r="AYF26" s="25"/>
      <c r="AYG26" s="25"/>
      <c r="AYH26" s="25"/>
      <c r="AYI26" s="25"/>
      <c r="AYJ26" s="25"/>
      <c r="AYK26" s="25"/>
      <c r="AYL26" s="25"/>
      <c r="AYM26" s="25"/>
      <c r="AYN26" s="25"/>
      <c r="AYO26" s="25"/>
      <c r="AYP26" s="25"/>
      <c r="AYQ26" s="25"/>
      <c r="AYR26" s="25"/>
      <c r="AYS26" s="25"/>
      <c r="AYT26" s="25"/>
      <c r="AYU26" s="25"/>
      <c r="AYV26" s="25"/>
      <c r="AYW26" s="25"/>
      <c r="AYX26" s="25"/>
      <c r="AYY26" s="25"/>
      <c r="AYZ26" s="25"/>
      <c r="AZA26" s="25"/>
      <c r="AZB26" s="25"/>
      <c r="AZC26" s="25"/>
      <c r="AZD26" s="25"/>
      <c r="AZE26" s="25"/>
      <c r="AZF26" s="25"/>
      <c r="AZG26" s="25"/>
      <c r="AZH26" s="25"/>
      <c r="AZI26" s="25"/>
      <c r="AZJ26" s="25"/>
      <c r="AZK26" s="25"/>
      <c r="AZL26" s="25"/>
      <c r="AZM26" s="25"/>
      <c r="AZN26" s="25"/>
      <c r="AZO26" s="25"/>
      <c r="AZP26" s="25"/>
      <c r="AZQ26" s="25"/>
      <c r="AZR26" s="25"/>
      <c r="AZS26" s="25"/>
      <c r="AZT26" s="25"/>
      <c r="AZU26" s="25"/>
      <c r="AZV26" s="25"/>
      <c r="AZW26" s="25"/>
      <c r="AZX26" s="25"/>
      <c r="AZY26" s="25"/>
      <c r="AZZ26" s="25"/>
      <c r="BAA26" s="25"/>
      <c r="BAB26" s="25"/>
      <c r="BAC26" s="25"/>
      <c r="BAD26" s="25"/>
      <c r="BAE26" s="25"/>
      <c r="BAF26" s="25"/>
      <c r="BAG26" s="25"/>
      <c r="BAH26" s="25"/>
      <c r="BAI26" s="25"/>
      <c r="BAJ26" s="25"/>
      <c r="BAK26" s="25"/>
      <c r="BAL26" s="25"/>
      <c r="BAM26" s="25"/>
      <c r="BAN26" s="25"/>
      <c r="BAO26" s="25"/>
      <c r="BAP26" s="25"/>
      <c r="BAQ26" s="25"/>
      <c r="BAR26" s="25"/>
      <c r="BAS26" s="25"/>
      <c r="BAT26" s="25"/>
      <c r="BAU26" s="25"/>
      <c r="BAV26" s="25"/>
      <c r="BAW26" s="25"/>
      <c r="BAX26" s="25"/>
      <c r="BAY26" s="25"/>
      <c r="BAZ26" s="25"/>
      <c r="BBA26" s="25"/>
      <c r="BBB26" s="25"/>
      <c r="BBC26" s="25"/>
      <c r="BBD26" s="25"/>
      <c r="BBE26" s="25"/>
      <c r="BBF26" s="25"/>
      <c r="BBG26" s="25"/>
      <c r="BBH26" s="25"/>
      <c r="BBI26" s="25"/>
      <c r="BBJ26" s="25"/>
      <c r="BBK26" s="25"/>
      <c r="BBL26" s="25"/>
      <c r="BBM26" s="25"/>
      <c r="BBN26" s="25"/>
      <c r="BBO26" s="25"/>
      <c r="BBP26" s="25"/>
      <c r="BBQ26" s="25"/>
      <c r="BBR26" s="25"/>
      <c r="BBS26" s="25"/>
      <c r="BBT26" s="25"/>
      <c r="BBU26" s="25"/>
      <c r="BBV26" s="25"/>
      <c r="BBW26" s="25"/>
      <c r="BBX26" s="25"/>
      <c r="BBY26" s="25"/>
      <c r="BBZ26" s="25"/>
      <c r="BCA26" s="25"/>
      <c r="BCB26" s="25"/>
      <c r="BCC26" s="25"/>
      <c r="BCD26" s="25"/>
      <c r="BCE26" s="25"/>
      <c r="BCF26" s="25"/>
      <c r="BCG26" s="25"/>
      <c r="BCH26" s="25"/>
      <c r="BCI26" s="25"/>
      <c r="BCJ26" s="25"/>
      <c r="BCK26" s="25"/>
      <c r="BCL26" s="25"/>
      <c r="BCM26" s="25"/>
      <c r="BCN26" s="25"/>
      <c r="BCO26" s="25"/>
      <c r="BCP26" s="25"/>
      <c r="BCQ26" s="25"/>
      <c r="BCR26" s="25"/>
      <c r="BCS26" s="25"/>
      <c r="BCT26" s="25"/>
      <c r="BCU26" s="25"/>
      <c r="BCV26" s="25"/>
      <c r="BCW26" s="25"/>
      <c r="BCX26" s="25"/>
      <c r="BCY26" s="25"/>
      <c r="BCZ26" s="25"/>
      <c r="BDA26" s="25"/>
      <c r="BDB26" s="25"/>
      <c r="BDC26" s="25"/>
      <c r="BDD26" s="25"/>
      <c r="BDE26" s="25"/>
      <c r="BDF26" s="25"/>
      <c r="BDG26" s="25"/>
      <c r="BDH26" s="25"/>
      <c r="BDI26" s="25"/>
      <c r="BDJ26" s="25"/>
      <c r="BDK26" s="25"/>
      <c r="BDL26" s="25"/>
      <c r="BDM26" s="25"/>
      <c r="BDN26" s="25"/>
      <c r="BDO26" s="25"/>
      <c r="BDP26" s="25"/>
      <c r="BDQ26" s="25"/>
      <c r="BDR26" s="25"/>
      <c r="BDS26" s="25"/>
      <c r="BDT26" s="25"/>
      <c r="BDU26" s="25"/>
      <c r="BDV26" s="25"/>
      <c r="BDW26" s="25"/>
      <c r="BDX26" s="25"/>
      <c r="BDY26" s="25"/>
      <c r="BDZ26" s="25"/>
      <c r="BEA26" s="25"/>
      <c r="BEB26" s="25"/>
      <c r="BEC26" s="25"/>
      <c r="BED26" s="25"/>
      <c r="BEE26" s="25"/>
      <c r="BEF26" s="25"/>
      <c r="BEG26" s="25"/>
      <c r="BEH26" s="25"/>
      <c r="BEI26" s="25"/>
      <c r="BEJ26" s="25"/>
      <c r="BEK26" s="25"/>
      <c r="BEL26" s="25"/>
      <c r="BEM26" s="25"/>
      <c r="BEN26" s="25"/>
      <c r="BEO26" s="25"/>
      <c r="BEP26" s="25"/>
      <c r="BEQ26" s="25"/>
      <c r="BER26" s="25"/>
      <c r="BES26" s="25"/>
      <c r="BET26" s="25"/>
      <c r="BEU26" s="25"/>
      <c r="BEV26" s="25"/>
      <c r="BEW26" s="25"/>
      <c r="BEX26" s="25"/>
      <c r="BEY26" s="25"/>
      <c r="BEZ26" s="25"/>
      <c r="BFA26" s="25"/>
      <c r="BFB26" s="25"/>
      <c r="BFC26" s="25"/>
      <c r="BFD26" s="25"/>
      <c r="BFE26" s="25"/>
      <c r="BFF26" s="25"/>
      <c r="BFG26" s="25"/>
      <c r="BFH26" s="25"/>
      <c r="BFI26" s="25"/>
      <c r="BFJ26" s="25"/>
      <c r="BFK26" s="25"/>
      <c r="BFL26" s="25"/>
      <c r="BFM26" s="25"/>
      <c r="BFN26" s="25"/>
      <c r="BFO26" s="25"/>
      <c r="BFP26" s="25"/>
      <c r="BFQ26" s="25"/>
      <c r="BFR26" s="25"/>
      <c r="BFS26" s="25"/>
      <c r="BFT26" s="25"/>
      <c r="BFU26" s="25"/>
      <c r="BFV26" s="25"/>
      <c r="BFW26" s="25"/>
      <c r="BFX26" s="25"/>
      <c r="BFY26" s="25"/>
      <c r="BFZ26" s="25"/>
      <c r="BGA26" s="25"/>
      <c r="BGB26" s="25"/>
      <c r="BGC26" s="25"/>
      <c r="BGD26" s="25"/>
      <c r="BGE26" s="25"/>
      <c r="BGF26" s="25"/>
      <c r="BGG26" s="25"/>
      <c r="BGH26" s="25"/>
      <c r="BGI26" s="25"/>
      <c r="BGJ26" s="25"/>
      <c r="BGK26" s="25"/>
      <c r="BGL26" s="25"/>
      <c r="BGM26" s="25"/>
      <c r="BGN26" s="25"/>
      <c r="BGO26" s="25"/>
      <c r="BGP26" s="25"/>
      <c r="BGQ26" s="25"/>
      <c r="BGR26" s="25"/>
      <c r="BGS26" s="25"/>
      <c r="BGT26" s="25"/>
      <c r="BGU26" s="25"/>
      <c r="BGV26" s="25"/>
      <c r="BGW26" s="25"/>
      <c r="BGX26" s="25"/>
      <c r="BGY26" s="25"/>
      <c r="BGZ26" s="25"/>
      <c r="BHA26" s="25"/>
      <c r="BHB26" s="25"/>
      <c r="BHC26" s="25"/>
      <c r="BHD26" s="25"/>
      <c r="BHE26" s="25"/>
      <c r="BHF26" s="25"/>
      <c r="BHG26" s="25"/>
      <c r="BHH26" s="25"/>
      <c r="BHI26" s="25"/>
      <c r="BHJ26" s="25"/>
      <c r="BHK26" s="25"/>
      <c r="BHL26" s="25"/>
      <c r="BHM26" s="25"/>
      <c r="BHN26" s="25"/>
      <c r="BHO26" s="25"/>
      <c r="BHP26" s="25"/>
      <c r="BHQ26" s="25"/>
      <c r="BHR26" s="25"/>
      <c r="BHS26" s="25"/>
      <c r="BHT26" s="25"/>
      <c r="BHU26" s="25"/>
      <c r="BHV26" s="25"/>
      <c r="BHW26" s="25"/>
      <c r="BHX26" s="25"/>
      <c r="BHY26" s="25"/>
      <c r="BHZ26" s="25"/>
      <c r="BIA26" s="25"/>
      <c r="BIB26" s="25"/>
      <c r="BIC26" s="25"/>
      <c r="BID26" s="25"/>
      <c r="BIE26" s="25"/>
      <c r="BIF26" s="25"/>
      <c r="BIG26" s="25"/>
      <c r="BIH26" s="25"/>
      <c r="BII26" s="25"/>
      <c r="BIJ26" s="25"/>
      <c r="BIK26" s="25"/>
      <c r="BIL26" s="25"/>
      <c r="BIM26" s="25"/>
      <c r="BIN26" s="25"/>
      <c r="BIO26" s="25"/>
      <c r="BIP26" s="25"/>
      <c r="BIQ26" s="25"/>
      <c r="BIR26" s="25"/>
      <c r="BIS26" s="25"/>
      <c r="BIT26" s="25"/>
      <c r="BIU26" s="25"/>
      <c r="BIV26" s="25"/>
      <c r="BIW26" s="25"/>
      <c r="BIX26" s="25"/>
      <c r="BIY26" s="25"/>
      <c r="BIZ26" s="25"/>
      <c r="BJA26" s="25"/>
      <c r="BJB26" s="25"/>
      <c r="BJC26" s="25"/>
      <c r="BJD26" s="25"/>
      <c r="BJE26" s="25"/>
      <c r="BJF26" s="25"/>
      <c r="BJG26" s="25"/>
      <c r="BJH26" s="25"/>
      <c r="BJI26" s="25"/>
      <c r="BJJ26" s="25"/>
      <c r="BJK26" s="25"/>
      <c r="BJL26" s="25"/>
      <c r="BJM26" s="25"/>
      <c r="BJN26" s="25"/>
      <c r="BJO26" s="25"/>
      <c r="BJP26" s="25"/>
      <c r="BJQ26" s="25"/>
      <c r="BJR26" s="25"/>
      <c r="BJS26" s="25"/>
      <c r="BJT26" s="25"/>
      <c r="BJU26" s="25"/>
      <c r="BJV26" s="25"/>
      <c r="BJW26" s="25"/>
      <c r="BJX26" s="25"/>
      <c r="BJY26" s="25"/>
      <c r="BJZ26" s="25"/>
      <c r="BKA26" s="25"/>
      <c r="BKB26" s="25"/>
      <c r="BKC26" s="25"/>
      <c r="BKD26" s="25"/>
      <c r="BKE26" s="25"/>
      <c r="BKF26" s="25"/>
      <c r="BKG26" s="25"/>
      <c r="BKH26" s="25"/>
      <c r="BKI26" s="25"/>
      <c r="BKJ26" s="25"/>
      <c r="BKK26" s="25"/>
      <c r="BKL26" s="25"/>
      <c r="BKM26" s="25"/>
      <c r="BKN26" s="25"/>
      <c r="BKO26" s="25"/>
      <c r="BKP26" s="25"/>
      <c r="BKQ26" s="25"/>
      <c r="BKR26" s="25"/>
      <c r="BKS26" s="25"/>
      <c r="BKT26" s="25"/>
      <c r="BKU26" s="25"/>
      <c r="BKV26" s="25"/>
      <c r="BKW26" s="25"/>
      <c r="BKX26" s="25"/>
      <c r="BKY26" s="25"/>
      <c r="BKZ26" s="25"/>
      <c r="BLA26" s="25"/>
      <c r="BLB26" s="25"/>
      <c r="BLC26" s="25"/>
      <c r="BLD26" s="25"/>
      <c r="BLE26" s="25"/>
      <c r="BLF26" s="25"/>
      <c r="BLG26" s="25"/>
      <c r="BLH26" s="25"/>
      <c r="BLI26" s="25"/>
      <c r="BLJ26" s="25"/>
      <c r="BLK26" s="25"/>
      <c r="BLL26" s="25"/>
      <c r="BLM26" s="25"/>
      <c r="BLN26" s="25"/>
      <c r="BLO26" s="25"/>
      <c r="BLP26" s="25"/>
      <c r="BLQ26" s="25"/>
      <c r="BLR26" s="25"/>
      <c r="BLS26" s="25"/>
      <c r="BLT26" s="25"/>
      <c r="BLU26" s="25"/>
      <c r="BLV26" s="25"/>
      <c r="BLW26" s="25"/>
      <c r="BLX26" s="25"/>
      <c r="BLY26" s="25"/>
      <c r="BLZ26" s="25"/>
      <c r="BMA26" s="25"/>
      <c r="BMB26" s="25"/>
      <c r="BMC26" s="25"/>
      <c r="BMD26" s="25"/>
      <c r="BME26" s="25"/>
      <c r="BMF26" s="25"/>
      <c r="BMG26" s="25"/>
      <c r="BMH26" s="25"/>
      <c r="BMI26" s="25"/>
      <c r="BMJ26" s="25"/>
      <c r="BMK26" s="25"/>
      <c r="BML26" s="25"/>
      <c r="BMM26" s="25"/>
      <c r="BMN26" s="25"/>
      <c r="BMO26" s="25"/>
      <c r="BMP26" s="25"/>
      <c r="BMQ26" s="25"/>
      <c r="BMR26" s="25"/>
      <c r="BMS26" s="25"/>
      <c r="BMT26" s="25"/>
      <c r="BMU26" s="25"/>
      <c r="BMV26" s="25"/>
      <c r="BMW26" s="25"/>
      <c r="BMX26" s="25"/>
      <c r="BMY26" s="25"/>
      <c r="BMZ26" s="25"/>
      <c r="BNA26" s="25"/>
      <c r="BNB26" s="25"/>
      <c r="BNC26" s="25"/>
      <c r="BND26" s="25"/>
      <c r="BNE26" s="25"/>
      <c r="BNF26" s="25"/>
      <c r="BNG26" s="25"/>
      <c r="BNH26" s="25"/>
      <c r="BNI26" s="25"/>
      <c r="BNJ26" s="25"/>
      <c r="BNK26" s="25"/>
      <c r="BNL26" s="25"/>
      <c r="BNM26" s="25"/>
      <c r="BNN26" s="25"/>
      <c r="BNO26" s="25"/>
      <c r="BNP26" s="25"/>
      <c r="BNQ26" s="25"/>
      <c r="BNR26" s="25"/>
      <c r="BNS26" s="25"/>
      <c r="BNT26" s="25"/>
      <c r="BNU26" s="25"/>
      <c r="BNV26" s="25"/>
      <c r="BNW26" s="25"/>
      <c r="BNX26" s="25"/>
      <c r="BNY26" s="25"/>
      <c r="BNZ26" s="25"/>
      <c r="BOA26" s="25"/>
      <c r="BOB26" s="25"/>
      <c r="BOC26" s="25"/>
      <c r="BOD26" s="25"/>
      <c r="BOE26" s="25"/>
      <c r="BOF26" s="25"/>
      <c r="BOG26" s="25"/>
      <c r="BOH26" s="25"/>
      <c r="BOI26" s="25"/>
      <c r="BOJ26" s="25"/>
      <c r="BOK26" s="25"/>
      <c r="BOL26" s="25"/>
      <c r="BOM26" s="25"/>
      <c r="BON26" s="25"/>
      <c r="BOO26" s="25"/>
      <c r="BOP26" s="25"/>
      <c r="BOQ26" s="25"/>
      <c r="BOR26" s="25"/>
      <c r="BOS26" s="25"/>
      <c r="BOT26" s="25"/>
      <c r="BOU26" s="25"/>
      <c r="BOV26" s="25"/>
      <c r="BOW26" s="25"/>
      <c r="BOX26" s="25"/>
      <c r="BOY26" s="25"/>
      <c r="BOZ26" s="25"/>
      <c r="BPA26" s="25"/>
      <c r="BPB26" s="25"/>
      <c r="BPC26" s="25"/>
      <c r="BPD26" s="25"/>
      <c r="BPE26" s="25"/>
      <c r="BPF26" s="25"/>
      <c r="BPG26" s="25"/>
      <c r="BPH26" s="25"/>
      <c r="BPI26" s="25"/>
      <c r="BPJ26" s="25"/>
      <c r="BPK26" s="25"/>
      <c r="BPL26" s="25"/>
      <c r="BPM26" s="25"/>
      <c r="BPN26" s="25"/>
      <c r="BPO26" s="25"/>
      <c r="BPP26" s="25"/>
      <c r="BPQ26" s="25"/>
      <c r="BPR26" s="25"/>
      <c r="BPS26" s="25"/>
      <c r="BPT26" s="25"/>
      <c r="BPU26" s="25"/>
      <c r="BPV26" s="25"/>
      <c r="BPW26" s="25"/>
      <c r="BPX26" s="25"/>
      <c r="BPY26" s="25"/>
      <c r="BPZ26" s="25"/>
      <c r="BQA26" s="25"/>
      <c r="BQB26" s="25"/>
      <c r="BQC26" s="25"/>
      <c r="BQD26" s="25"/>
      <c r="BQE26" s="25"/>
      <c r="BQF26" s="25"/>
      <c r="BQG26" s="25"/>
      <c r="BQH26" s="25"/>
      <c r="BQI26" s="25"/>
      <c r="BQJ26" s="25"/>
      <c r="BQK26" s="25"/>
      <c r="BQL26" s="25"/>
      <c r="BQM26" s="25"/>
      <c r="BQN26" s="25"/>
      <c r="BQO26" s="25"/>
      <c r="BQP26" s="25"/>
      <c r="BQQ26" s="25"/>
      <c r="BQR26" s="25"/>
      <c r="BQS26" s="25"/>
      <c r="BQT26" s="25"/>
      <c r="BQU26" s="25"/>
      <c r="BQV26" s="25"/>
      <c r="BQW26" s="25"/>
      <c r="BQX26" s="25"/>
      <c r="BQY26" s="25"/>
      <c r="BQZ26" s="25"/>
      <c r="BRA26" s="25"/>
      <c r="BRB26" s="25"/>
      <c r="BRC26" s="25"/>
      <c r="BRD26" s="25"/>
      <c r="BRE26" s="25"/>
      <c r="BRF26" s="25"/>
      <c r="BRG26" s="25"/>
      <c r="BRH26" s="25"/>
      <c r="BRI26" s="25"/>
      <c r="BRJ26" s="25"/>
      <c r="BRK26" s="25"/>
      <c r="BRL26" s="25"/>
      <c r="BRM26" s="25"/>
      <c r="BRN26" s="25"/>
      <c r="BRO26" s="25"/>
      <c r="BRP26" s="25"/>
      <c r="BRQ26" s="25"/>
      <c r="BRR26" s="25"/>
      <c r="BRS26" s="25"/>
      <c r="BRT26" s="25"/>
      <c r="BRU26" s="25"/>
      <c r="BRV26" s="25"/>
      <c r="BRW26" s="25"/>
      <c r="BRX26" s="25"/>
      <c r="BRY26" s="25"/>
      <c r="BRZ26" s="25"/>
      <c r="BSA26" s="25"/>
      <c r="BSB26" s="25"/>
      <c r="BSC26" s="25"/>
      <c r="BSD26" s="25"/>
      <c r="BSE26" s="25"/>
      <c r="BSF26" s="25"/>
      <c r="BSG26" s="25"/>
      <c r="BSH26" s="25"/>
      <c r="BSI26" s="25"/>
      <c r="BSJ26" s="25"/>
      <c r="BSK26" s="25"/>
      <c r="BSL26" s="25"/>
      <c r="BSM26" s="25"/>
      <c r="BSN26" s="25"/>
      <c r="BSO26" s="25"/>
      <c r="BSP26" s="25"/>
      <c r="BSQ26" s="25"/>
      <c r="BSR26" s="25"/>
      <c r="BSS26" s="25"/>
      <c r="BST26" s="25"/>
      <c r="BSU26" s="25"/>
      <c r="BSV26" s="25"/>
      <c r="BSW26" s="25"/>
      <c r="BSX26" s="25"/>
      <c r="BSY26" s="25"/>
      <c r="BSZ26" s="25"/>
      <c r="BTA26" s="25"/>
      <c r="BTB26" s="25"/>
      <c r="BTC26" s="25"/>
      <c r="BTD26" s="25"/>
      <c r="BTE26" s="25"/>
      <c r="BTF26" s="25"/>
      <c r="BTG26" s="25"/>
      <c r="BTH26" s="25"/>
      <c r="BTI26" s="25"/>
      <c r="BTJ26" s="25"/>
      <c r="BTK26" s="25"/>
      <c r="BTL26" s="25"/>
      <c r="BTM26" s="25"/>
      <c r="BTN26" s="25"/>
      <c r="BTO26" s="25"/>
      <c r="BTP26" s="25"/>
      <c r="BTQ26" s="25"/>
      <c r="BTR26" s="25"/>
      <c r="BTS26" s="25"/>
      <c r="BTT26" s="25"/>
      <c r="BTU26" s="25"/>
      <c r="BTV26" s="25"/>
      <c r="BTW26" s="25"/>
      <c r="BTX26" s="25"/>
      <c r="BTY26" s="25"/>
      <c r="BTZ26" s="25"/>
      <c r="BUA26" s="25"/>
      <c r="BUB26" s="25"/>
      <c r="BUC26" s="25"/>
      <c r="BUD26" s="25"/>
      <c r="BUE26" s="25"/>
      <c r="BUF26" s="25"/>
      <c r="BUG26" s="25"/>
      <c r="BUH26" s="25"/>
      <c r="BUI26" s="25"/>
      <c r="BUJ26" s="25"/>
      <c r="BUK26" s="25"/>
      <c r="BUL26" s="25"/>
      <c r="BUM26" s="25"/>
      <c r="BUN26" s="25"/>
      <c r="BUO26" s="25"/>
      <c r="BUP26" s="25"/>
      <c r="BUQ26" s="25"/>
      <c r="BUR26" s="25"/>
      <c r="BUS26" s="25"/>
      <c r="BUT26" s="25"/>
      <c r="BUU26" s="25"/>
      <c r="BUV26" s="25"/>
      <c r="BUW26" s="25"/>
      <c r="BUX26" s="25"/>
      <c r="BUY26" s="25"/>
      <c r="BUZ26" s="25"/>
      <c r="BVA26" s="25"/>
      <c r="BVB26" s="25"/>
      <c r="BVC26" s="25"/>
      <c r="BVD26" s="25"/>
      <c r="BVE26" s="25"/>
      <c r="BVF26" s="25"/>
      <c r="BVG26" s="25"/>
      <c r="BVH26" s="25"/>
      <c r="BVI26" s="25"/>
      <c r="BVJ26" s="25"/>
      <c r="BVK26" s="25"/>
      <c r="BVL26" s="25"/>
      <c r="BVM26" s="25"/>
      <c r="BVN26" s="25"/>
      <c r="BVO26" s="25"/>
      <c r="BVP26" s="25"/>
      <c r="BVQ26" s="25"/>
      <c r="BVR26" s="25"/>
      <c r="BVS26" s="25"/>
      <c r="BVT26" s="25"/>
      <c r="BVU26" s="25"/>
      <c r="BVV26" s="25"/>
      <c r="BVW26" s="25"/>
      <c r="BVX26" s="25"/>
      <c r="BVY26" s="25"/>
      <c r="BVZ26" s="25"/>
      <c r="BWA26" s="25"/>
      <c r="BWB26" s="25"/>
      <c r="BWC26" s="25"/>
      <c r="BWD26" s="25"/>
      <c r="BWE26" s="25"/>
      <c r="BWF26" s="25"/>
      <c r="BWG26" s="25"/>
      <c r="BWH26" s="25"/>
      <c r="BWI26" s="25"/>
      <c r="BWJ26" s="25"/>
      <c r="BWK26" s="25"/>
      <c r="BWL26" s="25"/>
      <c r="BWM26" s="25"/>
      <c r="BWN26" s="25"/>
      <c r="BWO26" s="25"/>
      <c r="BWP26" s="25"/>
      <c r="BWQ26" s="25"/>
      <c r="BWR26" s="25"/>
      <c r="BWS26" s="25"/>
      <c r="BWT26" s="25"/>
      <c r="BWU26" s="25"/>
      <c r="BWV26" s="25"/>
      <c r="BWW26" s="25"/>
      <c r="BWX26" s="25"/>
      <c r="BWY26" s="25"/>
      <c r="BWZ26" s="25"/>
      <c r="BXA26" s="25"/>
      <c r="BXB26" s="25"/>
      <c r="BXC26" s="25"/>
      <c r="BXD26" s="25"/>
      <c r="BXE26" s="25"/>
      <c r="BXF26" s="25"/>
      <c r="BXG26" s="25"/>
      <c r="BXH26" s="25"/>
      <c r="BXI26" s="25"/>
      <c r="BXJ26" s="25"/>
      <c r="BXK26" s="25"/>
      <c r="BXL26" s="25"/>
      <c r="BXM26" s="25"/>
      <c r="BXN26" s="25"/>
      <c r="BXO26" s="25"/>
      <c r="BXP26" s="25"/>
      <c r="BXQ26" s="25"/>
      <c r="BXR26" s="25"/>
      <c r="BXS26" s="25"/>
      <c r="BXT26" s="25"/>
      <c r="BXU26" s="25"/>
      <c r="BXV26" s="25"/>
      <c r="BXW26" s="25"/>
      <c r="BXX26" s="25"/>
      <c r="BXY26" s="25"/>
      <c r="BXZ26" s="25"/>
      <c r="BYA26" s="25"/>
      <c r="BYB26" s="25"/>
      <c r="BYC26" s="25"/>
      <c r="BYD26" s="25"/>
      <c r="BYE26" s="25"/>
      <c r="BYF26" s="25"/>
      <c r="BYG26" s="25"/>
      <c r="BYH26" s="25"/>
      <c r="BYI26" s="25"/>
      <c r="BYJ26" s="25"/>
      <c r="BYK26" s="25"/>
      <c r="BYL26" s="25"/>
      <c r="BYM26" s="25"/>
      <c r="BYN26" s="25"/>
      <c r="BYO26" s="25"/>
      <c r="BYP26" s="25"/>
      <c r="BYQ26" s="25"/>
      <c r="BYR26" s="25"/>
      <c r="BYS26" s="25"/>
      <c r="BYT26" s="25"/>
      <c r="BYU26" s="25"/>
      <c r="BYV26" s="25"/>
      <c r="BYW26" s="25"/>
      <c r="BYX26" s="25"/>
      <c r="BYY26" s="25"/>
      <c r="BYZ26" s="25"/>
      <c r="BZA26" s="25"/>
      <c r="BZB26" s="25"/>
      <c r="BZC26" s="25"/>
      <c r="BZD26" s="25"/>
      <c r="BZE26" s="25"/>
      <c r="BZF26" s="25"/>
      <c r="BZG26" s="25"/>
      <c r="BZH26" s="25"/>
      <c r="BZI26" s="25"/>
      <c r="BZJ26" s="25"/>
      <c r="BZK26" s="25"/>
      <c r="BZL26" s="25"/>
      <c r="BZM26" s="25"/>
      <c r="BZN26" s="25"/>
      <c r="BZO26" s="25"/>
      <c r="BZP26" s="25"/>
      <c r="BZQ26" s="25"/>
      <c r="BZR26" s="25"/>
      <c r="BZS26" s="25"/>
      <c r="BZT26" s="25"/>
      <c r="BZU26" s="25"/>
      <c r="BZV26" s="25"/>
      <c r="BZW26" s="25"/>
      <c r="BZX26" s="25"/>
      <c r="BZY26" s="25"/>
      <c r="BZZ26" s="25"/>
      <c r="CAA26" s="25"/>
      <c r="CAB26" s="25"/>
      <c r="CAC26" s="25"/>
      <c r="CAD26" s="25"/>
      <c r="CAE26" s="25"/>
      <c r="CAF26" s="25"/>
      <c r="CAG26" s="25"/>
      <c r="CAH26" s="25"/>
      <c r="CAI26" s="25"/>
      <c r="CAJ26" s="25"/>
      <c r="CAK26" s="25"/>
      <c r="CAL26" s="25"/>
      <c r="CAM26" s="25"/>
      <c r="CAN26" s="25"/>
      <c r="CAO26" s="25"/>
      <c r="CAP26" s="25"/>
      <c r="CAQ26" s="25"/>
      <c r="CAR26" s="25"/>
      <c r="CAS26" s="25"/>
      <c r="CAT26" s="25"/>
      <c r="CAU26" s="25"/>
      <c r="CAV26" s="25"/>
      <c r="CAW26" s="25"/>
      <c r="CAX26" s="25"/>
      <c r="CAY26" s="25"/>
      <c r="CAZ26" s="25"/>
      <c r="CBA26" s="25"/>
      <c r="CBB26" s="25"/>
      <c r="CBC26" s="25"/>
      <c r="CBD26" s="25"/>
      <c r="CBE26" s="25"/>
      <c r="CBF26" s="25"/>
      <c r="CBG26" s="25"/>
      <c r="CBH26" s="25"/>
      <c r="CBI26" s="25"/>
      <c r="CBJ26" s="25"/>
      <c r="CBK26" s="25"/>
      <c r="CBL26" s="25"/>
      <c r="CBM26" s="25"/>
      <c r="CBN26" s="25"/>
      <c r="CBO26" s="25"/>
      <c r="CBP26" s="25"/>
      <c r="CBQ26" s="25"/>
      <c r="CBR26" s="25"/>
      <c r="CBS26" s="25"/>
      <c r="CBT26" s="25"/>
      <c r="CBU26" s="25"/>
      <c r="CBV26" s="25"/>
      <c r="CBW26" s="25"/>
      <c r="CBX26" s="25"/>
      <c r="CBY26" s="25"/>
      <c r="CBZ26" s="25"/>
      <c r="CCA26" s="25"/>
      <c r="CCB26" s="25"/>
      <c r="CCC26" s="25"/>
      <c r="CCD26" s="25"/>
      <c r="CCE26" s="25"/>
      <c r="CCF26" s="25"/>
      <c r="CCG26" s="25"/>
      <c r="CCH26" s="25"/>
      <c r="CCI26" s="25"/>
      <c r="CCJ26" s="25"/>
      <c r="CCK26" s="25"/>
      <c r="CCL26" s="25"/>
      <c r="CCM26" s="25"/>
      <c r="CCN26" s="25"/>
      <c r="CCO26" s="25"/>
      <c r="CCP26" s="25"/>
      <c r="CCQ26" s="25"/>
      <c r="CCR26" s="25"/>
      <c r="CCS26" s="25"/>
      <c r="CCT26" s="25"/>
      <c r="CCU26" s="25"/>
      <c r="CCV26" s="25"/>
      <c r="CCW26" s="25"/>
      <c r="CCX26" s="25"/>
      <c r="CCY26" s="25"/>
      <c r="CCZ26" s="25"/>
      <c r="CDA26" s="25"/>
      <c r="CDB26" s="25"/>
      <c r="CDC26" s="25"/>
      <c r="CDD26" s="25"/>
      <c r="CDE26" s="25"/>
      <c r="CDF26" s="25"/>
      <c r="CDG26" s="25"/>
      <c r="CDH26" s="25"/>
      <c r="CDI26" s="25"/>
      <c r="CDJ26" s="25"/>
      <c r="CDK26" s="25"/>
      <c r="CDL26" s="25"/>
      <c r="CDM26" s="25"/>
      <c r="CDN26" s="25"/>
      <c r="CDO26" s="25"/>
      <c r="CDP26" s="25"/>
      <c r="CDQ26" s="25"/>
      <c r="CDR26" s="25"/>
      <c r="CDS26" s="25"/>
      <c r="CDT26" s="25"/>
      <c r="CDU26" s="25"/>
      <c r="CDV26" s="25"/>
      <c r="CDW26" s="25"/>
      <c r="CDX26" s="25"/>
      <c r="CDY26" s="25"/>
      <c r="CDZ26" s="25"/>
      <c r="CEA26" s="25"/>
      <c r="CEB26" s="25"/>
      <c r="CEC26" s="25"/>
      <c r="CED26" s="25"/>
      <c r="CEE26" s="25"/>
      <c r="CEF26" s="25"/>
      <c r="CEG26" s="25"/>
      <c r="CEH26" s="25"/>
      <c r="CEI26" s="25"/>
      <c r="CEJ26" s="25"/>
      <c r="CEK26" s="25"/>
      <c r="CEL26" s="25"/>
      <c r="CEM26" s="25"/>
      <c r="CEN26" s="25"/>
      <c r="CEO26" s="25"/>
      <c r="CEP26" s="25"/>
      <c r="CEQ26" s="25"/>
      <c r="CER26" s="25"/>
      <c r="CES26" s="25"/>
      <c r="CET26" s="25"/>
      <c r="CEU26" s="25"/>
      <c r="CEV26" s="25"/>
      <c r="CEW26" s="25"/>
      <c r="CEX26" s="25"/>
      <c r="CEY26" s="25"/>
      <c r="CEZ26" s="25"/>
      <c r="CFA26" s="25"/>
      <c r="CFB26" s="25"/>
      <c r="CFC26" s="25"/>
      <c r="CFD26" s="25"/>
      <c r="CFE26" s="25"/>
      <c r="CFF26" s="25"/>
      <c r="CFG26" s="25"/>
      <c r="CFH26" s="25"/>
      <c r="CFI26" s="25"/>
      <c r="CFJ26" s="25"/>
      <c r="CFK26" s="25"/>
      <c r="CFL26" s="25"/>
      <c r="CFM26" s="25"/>
      <c r="CFN26" s="25"/>
      <c r="CFO26" s="25"/>
      <c r="CFP26" s="25"/>
      <c r="CFQ26" s="25"/>
      <c r="CFR26" s="25"/>
      <c r="CFS26" s="25"/>
      <c r="CFT26" s="25"/>
      <c r="CFU26" s="25"/>
      <c r="CFV26" s="25"/>
      <c r="CFW26" s="25"/>
      <c r="CFX26" s="25"/>
      <c r="CFY26" s="25"/>
      <c r="CFZ26" s="25"/>
      <c r="CGA26" s="25"/>
      <c r="CGB26" s="25"/>
      <c r="CGC26" s="25"/>
      <c r="CGD26" s="25"/>
      <c r="CGE26" s="25"/>
      <c r="CGF26" s="25"/>
      <c r="CGG26" s="25"/>
      <c r="CGH26" s="25"/>
      <c r="CGI26" s="25"/>
      <c r="CGJ26" s="25"/>
      <c r="CGK26" s="25"/>
      <c r="CGL26" s="25"/>
      <c r="CGM26" s="25"/>
      <c r="CGN26" s="25"/>
      <c r="CGO26" s="25"/>
      <c r="CGP26" s="25"/>
      <c r="CGQ26" s="25"/>
      <c r="CGR26" s="25"/>
      <c r="CGS26" s="25"/>
      <c r="CGT26" s="25"/>
      <c r="CGU26" s="25"/>
      <c r="CGV26" s="25"/>
      <c r="CGW26" s="25"/>
      <c r="CGX26" s="25"/>
      <c r="CGY26" s="25"/>
      <c r="CGZ26" s="25"/>
      <c r="CHA26" s="25"/>
      <c r="CHB26" s="25"/>
      <c r="CHC26" s="25"/>
      <c r="CHD26" s="25"/>
      <c r="CHE26" s="25"/>
      <c r="CHF26" s="25"/>
      <c r="CHG26" s="25"/>
      <c r="CHH26" s="25"/>
      <c r="CHI26" s="25"/>
      <c r="CHJ26" s="25"/>
      <c r="CHK26" s="25"/>
      <c r="CHL26" s="25"/>
      <c r="CHM26" s="25"/>
      <c r="CHN26" s="25"/>
      <c r="CHO26" s="25"/>
      <c r="CHP26" s="25"/>
      <c r="CHQ26" s="25"/>
      <c r="CHR26" s="25"/>
      <c r="CHS26" s="25"/>
      <c r="CHT26" s="25"/>
      <c r="CHU26" s="25"/>
      <c r="CHV26" s="25"/>
      <c r="CHW26" s="25"/>
      <c r="CHX26" s="25"/>
      <c r="CHY26" s="25"/>
      <c r="CHZ26" s="25"/>
      <c r="CIA26" s="25"/>
      <c r="CIB26" s="25"/>
      <c r="CIC26" s="25"/>
      <c r="CID26" s="25"/>
      <c r="CIE26" s="25"/>
      <c r="CIF26" s="25"/>
      <c r="CIG26" s="25"/>
      <c r="CIH26" s="25"/>
      <c r="CII26" s="25"/>
      <c r="CIJ26" s="25"/>
      <c r="CIK26" s="25"/>
      <c r="CIL26" s="25"/>
      <c r="CIM26" s="25"/>
      <c r="CIN26" s="25"/>
      <c r="CIO26" s="25"/>
      <c r="CIP26" s="25"/>
      <c r="CIQ26" s="25"/>
      <c r="CIR26" s="25"/>
      <c r="CIS26" s="25"/>
      <c r="CIT26" s="25"/>
      <c r="CIU26" s="25"/>
      <c r="CIV26" s="25"/>
      <c r="CIW26" s="25"/>
      <c r="CIX26" s="25"/>
      <c r="CIY26" s="25"/>
      <c r="CIZ26" s="25"/>
      <c r="CJA26" s="25"/>
      <c r="CJB26" s="25"/>
      <c r="CJC26" s="25"/>
      <c r="CJD26" s="25"/>
      <c r="CJE26" s="25"/>
      <c r="CJF26" s="25"/>
      <c r="CJG26" s="25"/>
      <c r="CJH26" s="25"/>
      <c r="CJI26" s="25"/>
      <c r="CJJ26" s="25"/>
      <c r="CJK26" s="25"/>
      <c r="CJL26" s="25"/>
      <c r="CJM26" s="25"/>
      <c r="CJN26" s="25"/>
      <c r="CJO26" s="25"/>
      <c r="CJP26" s="25"/>
      <c r="CJQ26" s="25"/>
      <c r="CJR26" s="25"/>
      <c r="CJS26" s="25"/>
      <c r="CJT26" s="25"/>
      <c r="CJU26" s="25"/>
      <c r="CJV26" s="25"/>
      <c r="CJW26" s="25"/>
      <c r="CJX26" s="25"/>
      <c r="CJY26" s="25"/>
      <c r="CJZ26" s="25"/>
      <c r="CKA26" s="25"/>
      <c r="CKB26" s="25"/>
      <c r="CKC26" s="25"/>
      <c r="CKD26" s="25"/>
      <c r="CKE26" s="25"/>
      <c r="CKF26" s="25"/>
      <c r="CKG26" s="25"/>
      <c r="CKH26" s="25"/>
      <c r="CKI26" s="25"/>
      <c r="CKJ26" s="25"/>
      <c r="CKK26" s="25"/>
      <c r="CKL26" s="25"/>
      <c r="CKM26" s="25"/>
      <c r="CKN26" s="25"/>
      <c r="CKO26" s="25"/>
      <c r="CKP26" s="25"/>
      <c r="CKQ26" s="25"/>
      <c r="CKR26" s="25"/>
      <c r="CKS26" s="25"/>
      <c r="CKT26" s="25"/>
      <c r="CKU26" s="25"/>
      <c r="CKV26" s="25"/>
      <c r="CKW26" s="25"/>
      <c r="CKX26" s="25"/>
      <c r="CKY26" s="25"/>
      <c r="CKZ26" s="25"/>
      <c r="CLA26" s="25"/>
      <c r="CLB26" s="25"/>
      <c r="CLC26" s="25"/>
      <c r="CLD26" s="25"/>
      <c r="CLE26" s="25"/>
      <c r="CLF26" s="25"/>
      <c r="CLG26" s="25"/>
      <c r="CLH26" s="25"/>
      <c r="CLI26" s="25"/>
      <c r="CLJ26" s="25"/>
      <c r="CLK26" s="25"/>
      <c r="CLL26" s="25"/>
      <c r="CLM26" s="25"/>
      <c r="CLN26" s="25"/>
      <c r="CLO26" s="25"/>
      <c r="CLP26" s="25"/>
      <c r="CLQ26" s="25"/>
      <c r="CLR26" s="25"/>
      <c r="CLS26" s="25"/>
      <c r="CLT26" s="25"/>
      <c r="CLU26" s="25"/>
      <c r="CLV26" s="25"/>
      <c r="CLW26" s="25"/>
      <c r="CLX26" s="25"/>
      <c r="CLY26" s="25"/>
      <c r="CLZ26" s="25"/>
      <c r="CMA26" s="25"/>
      <c r="CMB26" s="25"/>
      <c r="CMC26" s="25"/>
      <c r="CMD26" s="25"/>
      <c r="CME26" s="25"/>
      <c r="CMF26" s="25"/>
      <c r="CMG26" s="25"/>
      <c r="CMH26" s="25"/>
      <c r="CMI26" s="25"/>
      <c r="CMJ26" s="25"/>
      <c r="CMK26" s="25"/>
      <c r="CML26" s="25"/>
      <c r="CMM26" s="25"/>
      <c r="CMN26" s="25"/>
      <c r="CMO26" s="25"/>
      <c r="CMP26" s="25"/>
      <c r="CMQ26" s="25"/>
      <c r="CMR26" s="25"/>
      <c r="CMS26" s="25"/>
      <c r="CMT26" s="25"/>
      <c r="CMU26" s="25"/>
      <c r="CMV26" s="25"/>
      <c r="CMW26" s="25"/>
      <c r="CMX26" s="25"/>
      <c r="CMY26" s="25"/>
      <c r="CMZ26" s="25"/>
      <c r="CNA26" s="25"/>
      <c r="CNB26" s="25"/>
      <c r="CNC26" s="25"/>
      <c r="CND26" s="25"/>
      <c r="CNE26" s="25"/>
      <c r="CNF26" s="25"/>
      <c r="CNG26" s="25"/>
      <c r="CNH26" s="25"/>
      <c r="CNI26" s="25"/>
      <c r="CNJ26" s="25"/>
      <c r="CNK26" s="25"/>
      <c r="CNL26" s="25"/>
      <c r="CNM26" s="25"/>
      <c r="CNN26" s="25"/>
      <c r="CNO26" s="25"/>
      <c r="CNP26" s="25"/>
      <c r="CNQ26" s="25"/>
      <c r="CNR26" s="25"/>
      <c r="CNS26" s="25"/>
      <c r="CNT26" s="25"/>
      <c r="CNU26" s="25"/>
      <c r="CNV26" s="25"/>
      <c r="CNW26" s="25"/>
      <c r="CNX26" s="25"/>
      <c r="CNY26" s="25"/>
      <c r="CNZ26" s="25"/>
      <c r="COA26" s="25"/>
      <c r="COB26" s="25"/>
      <c r="COC26" s="25"/>
      <c r="COD26" s="25"/>
      <c r="COE26" s="25"/>
      <c r="COF26" s="25"/>
      <c r="COG26" s="25"/>
      <c r="COH26" s="25"/>
      <c r="COI26" s="25"/>
      <c r="COJ26" s="25"/>
      <c r="COK26" s="25"/>
      <c r="COL26" s="25"/>
      <c r="COM26" s="25"/>
      <c r="CON26" s="25"/>
      <c r="COO26" s="25"/>
      <c r="COP26" s="25"/>
      <c r="COQ26" s="25"/>
      <c r="COR26" s="25"/>
      <c r="COS26" s="25"/>
      <c r="COT26" s="25"/>
      <c r="COU26" s="25"/>
      <c r="COV26" s="25"/>
      <c r="COW26" s="25"/>
      <c r="COX26" s="25"/>
      <c r="COY26" s="25"/>
      <c r="COZ26" s="25"/>
      <c r="CPA26" s="25"/>
      <c r="CPB26" s="25"/>
      <c r="CPC26" s="25"/>
      <c r="CPD26" s="25"/>
      <c r="CPE26" s="25"/>
      <c r="CPF26" s="25"/>
      <c r="CPG26" s="25"/>
      <c r="CPH26" s="25"/>
      <c r="CPI26" s="25"/>
      <c r="CPJ26" s="25"/>
      <c r="CPK26" s="25"/>
      <c r="CPL26" s="25"/>
      <c r="CPM26" s="25"/>
      <c r="CPN26" s="25"/>
      <c r="CPO26" s="25"/>
      <c r="CPP26" s="25"/>
      <c r="CPQ26" s="25"/>
      <c r="CPR26" s="25"/>
      <c r="CPS26" s="25"/>
      <c r="CPT26" s="25"/>
      <c r="CPU26" s="25"/>
      <c r="CPV26" s="25"/>
      <c r="CPW26" s="25"/>
      <c r="CPX26" s="25"/>
      <c r="CPY26" s="25"/>
      <c r="CPZ26" s="25"/>
      <c r="CQA26" s="25"/>
      <c r="CQB26" s="25"/>
      <c r="CQC26" s="25"/>
      <c r="CQD26" s="25"/>
      <c r="CQE26" s="25"/>
      <c r="CQF26" s="25"/>
      <c r="CQG26" s="25"/>
      <c r="CQH26" s="25"/>
      <c r="CQI26" s="25"/>
      <c r="CQJ26" s="25"/>
      <c r="CQK26" s="25"/>
      <c r="CQL26" s="25"/>
      <c r="CQM26" s="25"/>
      <c r="CQN26" s="25"/>
      <c r="CQO26" s="25"/>
      <c r="CQP26" s="25"/>
      <c r="CQQ26" s="25"/>
      <c r="CQR26" s="25"/>
      <c r="CQS26" s="25"/>
      <c r="CQT26" s="25"/>
      <c r="CQU26" s="25"/>
      <c r="CQV26" s="25"/>
      <c r="CQW26" s="25"/>
      <c r="CQX26" s="25"/>
      <c r="CQY26" s="25"/>
      <c r="CQZ26" s="25"/>
      <c r="CRA26" s="25"/>
      <c r="CRB26" s="25"/>
      <c r="CRC26" s="25"/>
      <c r="CRD26" s="25"/>
      <c r="CRE26" s="25"/>
      <c r="CRF26" s="25"/>
      <c r="CRG26" s="25"/>
      <c r="CRH26" s="25"/>
      <c r="CRI26" s="25"/>
      <c r="CRJ26" s="25"/>
      <c r="CRK26" s="25"/>
      <c r="CRL26" s="25"/>
      <c r="CRM26" s="25"/>
      <c r="CRN26" s="25"/>
      <c r="CRO26" s="25"/>
      <c r="CRP26" s="25"/>
      <c r="CRQ26" s="25"/>
      <c r="CRR26" s="25"/>
      <c r="CRS26" s="25"/>
      <c r="CRT26" s="25"/>
      <c r="CRU26" s="25"/>
      <c r="CRV26" s="25"/>
      <c r="CRW26" s="25"/>
      <c r="CRX26" s="25"/>
      <c r="CRY26" s="25"/>
      <c r="CRZ26" s="25"/>
      <c r="CSA26" s="25"/>
      <c r="CSB26" s="25"/>
      <c r="CSC26" s="25"/>
      <c r="CSD26" s="25"/>
      <c r="CSE26" s="25"/>
      <c r="CSF26" s="25"/>
      <c r="CSG26" s="25"/>
      <c r="CSH26" s="25"/>
      <c r="CSI26" s="25"/>
      <c r="CSJ26" s="25"/>
      <c r="CSK26" s="25"/>
      <c r="CSL26" s="25"/>
      <c r="CSM26" s="25"/>
      <c r="CSN26" s="25"/>
      <c r="CSO26" s="25"/>
      <c r="CSP26" s="25"/>
      <c r="CSQ26" s="25"/>
      <c r="CSR26" s="25"/>
      <c r="CSS26" s="25"/>
      <c r="CST26" s="25"/>
      <c r="CSU26" s="25"/>
      <c r="CSV26" s="25"/>
      <c r="CSW26" s="25"/>
      <c r="CSX26" s="25"/>
      <c r="CSY26" s="25"/>
      <c r="CSZ26" s="25"/>
      <c r="CTA26" s="25"/>
      <c r="CTB26" s="25"/>
      <c r="CTC26" s="25"/>
      <c r="CTD26" s="25"/>
      <c r="CTE26" s="25"/>
      <c r="CTF26" s="25"/>
      <c r="CTG26" s="25"/>
      <c r="CTH26" s="25"/>
      <c r="CTI26" s="25"/>
      <c r="CTJ26" s="25"/>
      <c r="CTK26" s="25"/>
      <c r="CTL26" s="25"/>
      <c r="CTM26" s="25"/>
      <c r="CTN26" s="25"/>
      <c r="CTO26" s="25"/>
      <c r="CTP26" s="25"/>
      <c r="CTQ26" s="25"/>
      <c r="CTR26" s="25"/>
      <c r="CTS26" s="25"/>
      <c r="CTT26" s="25"/>
      <c r="CTU26" s="25"/>
      <c r="CTV26" s="25"/>
      <c r="CTW26" s="25"/>
      <c r="CTX26" s="25"/>
      <c r="CTY26" s="25"/>
      <c r="CTZ26" s="25"/>
      <c r="CUA26" s="25"/>
      <c r="CUB26" s="25"/>
      <c r="CUC26" s="25"/>
      <c r="CUD26" s="25"/>
      <c r="CUE26" s="25"/>
      <c r="CUF26" s="25"/>
      <c r="CUG26" s="25"/>
      <c r="CUH26" s="25"/>
      <c r="CUI26" s="25"/>
      <c r="CUJ26" s="25"/>
      <c r="CUK26" s="25"/>
      <c r="CUL26" s="25"/>
      <c r="CUM26" s="25"/>
      <c r="CUN26" s="25"/>
      <c r="CUO26" s="25"/>
      <c r="CUP26" s="25"/>
      <c r="CUQ26" s="25"/>
      <c r="CUR26" s="25"/>
      <c r="CUS26" s="25"/>
      <c r="CUT26" s="25"/>
      <c r="CUU26" s="25"/>
      <c r="CUV26" s="25"/>
      <c r="CUW26" s="25"/>
      <c r="CUX26" s="25"/>
      <c r="CUY26" s="25"/>
      <c r="CUZ26" s="25"/>
      <c r="CVA26" s="25"/>
      <c r="CVB26" s="25"/>
      <c r="CVC26" s="25"/>
      <c r="CVD26" s="25"/>
      <c r="CVE26" s="25"/>
      <c r="CVF26" s="25"/>
      <c r="CVG26" s="25"/>
      <c r="CVH26" s="25"/>
      <c r="CVI26" s="25"/>
      <c r="CVJ26" s="25"/>
      <c r="CVK26" s="25"/>
      <c r="CVL26" s="25"/>
      <c r="CVM26" s="25"/>
      <c r="CVN26" s="25"/>
      <c r="CVO26" s="25"/>
      <c r="CVP26" s="25"/>
      <c r="CVQ26" s="25"/>
      <c r="CVR26" s="25"/>
      <c r="CVS26" s="25"/>
      <c r="CVT26" s="25"/>
      <c r="CVU26" s="25"/>
      <c r="CVV26" s="25"/>
      <c r="CVW26" s="25"/>
      <c r="CVX26" s="25"/>
      <c r="CVY26" s="25"/>
      <c r="CVZ26" s="25"/>
      <c r="CWA26" s="25"/>
      <c r="CWB26" s="25"/>
      <c r="CWC26" s="25"/>
      <c r="CWD26" s="25"/>
      <c r="CWE26" s="25"/>
      <c r="CWF26" s="25"/>
      <c r="CWG26" s="25"/>
      <c r="CWH26" s="25"/>
      <c r="CWI26" s="25"/>
      <c r="CWJ26" s="25"/>
      <c r="CWK26" s="25"/>
      <c r="CWL26" s="25"/>
      <c r="CWM26" s="25"/>
      <c r="CWN26" s="25"/>
      <c r="CWO26" s="25"/>
      <c r="CWP26" s="25"/>
      <c r="CWQ26" s="25"/>
      <c r="CWR26" s="25"/>
      <c r="CWS26" s="25"/>
      <c r="CWT26" s="25"/>
      <c r="CWU26" s="25"/>
      <c r="CWV26" s="25"/>
      <c r="CWW26" s="25"/>
      <c r="CWX26" s="25"/>
      <c r="CWY26" s="25"/>
      <c r="CWZ26" s="25"/>
      <c r="CXA26" s="25"/>
      <c r="CXB26" s="25"/>
      <c r="CXC26" s="25"/>
      <c r="CXD26" s="25"/>
      <c r="CXE26" s="25"/>
      <c r="CXF26" s="25"/>
      <c r="CXG26" s="25"/>
      <c r="CXH26" s="25"/>
      <c r="CXI26" s="25"/>
      <c r="CXJ26" s="25"/>
      <c r="CXK26" s="25"/>
      <c r="CXL26" s="25"/>
      <c r="CXM26" s="25"/>
      <c r="CXN26" s="25"/>
      <c r="CXO26" s="25"/>
      <c r="CXP26" s="25"/>
      <c r="CXQ26" s="25"/>
      <c r="CXR26" s="25"/>
      <c r="CXS26" s="25"/>
      <c r="CXT26" s="25"/>
      <c r="CXU26" s="25"/>
      <c r="CXV26" s="25"/>
      <c r="CXW26" s="25"/>
      <c r="CXX26" s="25"/>
      <c r="CXY26" s="25"/>
      <c r="CXZ26" s="25"/>
      <c r="CYA26" s="25"/>
      <c r="CYB26" s="25"/>
      <c r="CYC26" s="25"/>
      <c r="CYD26" s="25"/>
      <c r="CYE26" s="25"/>
      <c r="CYF26" s="25"/>
      <c r="CYG26" s="25"/>
      <c r="CYH26" s="25"/>
      <c r="CYI26" s="25"/>
      <c r="CYJ26" s="25"/>
      <c r="CYK26" s="25"/>
      <c r="CYL26" s="25"/>
      <c r="CYM26" s="25"/>
      <c r="CYN26" s="25"/>
      <c r="CYO26" s="25"/>
      <c r="CYP26" s="25"/>
      <c r="CYQ26" s="25"/>
      <c r="CYR26" s="25"/>
      <c r="CYS26" s="25"/>
      <c r="CYT26" s="25"/>
      <c r="CYU26" s="25"/>
      <c r="CYV26" s="25"/>
      <c r="CYW26" s="25"/>
      <c r="CYX26" s="25"/>
      <c r="CYY26" s="25"/>
      <c r="CYZ26" s="25"/>
      <c r="CZA26" s="25"/>
      <c r="CZB26" s="25"/>
      <c r="CZC26" s="25"/>
      <c r="CZD26" s="25"/>
      <c r="CZE26" s="25"/>
      <c r="CZF26" s="25"/>
      <c r="CZG26" s="25"/>
      <c r="CZH26" s="25"/>
      <c r="CZI26" s="25"/>
      <c r="CZJ26" s="25"/>
      <c r="CZK26" s="25"/>
      <c r="CZL26" s="25"/>
      <c r="CZM26" s="25"/>
      <c r="CZN26" s="25"/>
      <c r="CZO26" s="25"/>
      <c r="CZP26" s="25"/>
      <c r="CZQ26" s="25"/>
      <c r="CZR26" s="25"/>
      <c r="CZS26" s="25"/>
      <c r="CZT26" s="25"/>
      <c r="CZU26" s="25"/>
      <c r="CZV26" s="25"/>
      <c r="CZW26" s="25"/>
      <c r="CZX26" s="25"/>
      <c r="CZY26" s="25"/>
      <c r="CZZ26" s="25"/>
      <c r="DAA26" s="25"/>
      <c r="DAB26" s="25"/>
      <c r="DAC26" s="25"/>
      <c r="DAD26" s="25"/>
      <c r="DAE26" s="25"/>
      <c r="DAF26" s="25"/>
      <c r="DAG26" s="25"/>
      <c r="DAH26" s="25"/>
      <c r="DAI26" s="25"/>
      <c r="DAJ26" s="25"/>
      <c r="DAK26" s="25"/>
      <c r="DAL26" s="25"/>
      <c r="DAM26" s="25"/>
      <c r="DAN26" s="25"/>
      <c r="DAO26" s="25"/>
      <c r="DAP26" s="25"/>
      <c r="DAQ26" s="25"/>
      <c r="DAR26" s="25"/>
      <c r="DAS26" s="25"/>
      <c r="DAT26" s="25"/>
      <c r="DAU26" s="25"/>
      <c r="DAV26" s="25"/>
      <c r="DAW26" s="25"/>
      <c r="DAX26" s="25"/>
      <c r="DAY26" s="25"/>
      <c r="DAZ26" s="25"/>
      <c r="DBA26" s="25"/>
      <c r="DBB26" s="25"/>
      <c r="DBC26" s="25"/>
      <c r="DBD26" s="25"/>
      <c r="DBE26" s="25"/>
      <c r="DBF26" s="25"/>
      <c r="DBG26" s="25"/>
      <c r="DBH26" s="25"/>
      <c r="DBI26" s="25"/>
      <c r="DBJ26" s="25"/>
      <c r="DBK26" s="25"/>
      <c r="DBL26" s="25"/>
      <c r="DBM26" s="25"/>
      <c r="DBN26" s="25"/>
      <c r="DBO26" s="25"/>
      <c r="DBP26" s="25"/>
      <c r="DBQ26" s="25"/>
      <c r="DBR26" s="25"/>
      <c r="DBS26" s="25"/>
      <c r="DBT26" s="25"/>
      <c r="DBU26" s="25"/>
      <c r="DBV26" s="25"/>
      <c r="DBW26" s="25"/>
      <c r="DBX26" s="25"/>
      <c r="DBY26" s="25"/>
      <c r="DBZ26" s="25"/>
      <c r="DCA26" s="25"/>
      <c r="DCB26" s="25"/>
      <c r="DCC26" s="25"/>
      <c r="DCD26" s="25"/>
      <c r="DCE26" s="25"/>
      <c r="DCF26" s="25"/>
      <c r="DCG26" s="25"/>
      <c r="DCH26" s="25"/>
      <c r="DCI26" s="25"/>
      <c r="DCJ26" s="25"/>
      <c r="DCK26" s="25"/>
      <c r="DCL26" s="25"/>
      <c r="DCM26" s="25"/>
      <c r="DCN26" s="25"/>
      <c r="DCO26" s="25"/>
      <c r="DCP26" s="25"/>
      <c r="DCQ26" s="25"/>
      <c r="DCR26" s="25"/>
      <c r="DCS26" s="25"/>
      <c r="DCT26" s="25"/>
      <c r="DCU26" s="25"/>
      <c r="DCV26" s="25"/>
      <c r="DCW26" s="25"/>
      <c r="DCX26" s="25"/>
      <c r="DCY26" s="25"/>
      <c r="DCZ26" s="25"/>
      <c r="DDA26" s="25"/>
      <c r="DDB26" s="25"/>
      <c r="DDC26" s="25"/>
      <c r="DDD26" s="25"/>
      <c r="DDE26" s="25"/>
      <c r="DDF26" s="25"/>
      <c r="DDG26" s="25"/>
      <c r="DDH26" s="25"/>
      <c r="DDI26" s="25"/>
      <c r="DDJ26" s="25"/>
      <c r="DDK26" s="25"/>
      <c r="DDL26" s="25"/>
      <c r="DDM26" s="25"/>
      <c r="DDN26" s="25"/>
      <c r="DDO26" s="25"/>
      <c r="DDP26" s="25"/>
      <c r="DDQ26" s="25"/>
      <c r="DDR26" s="25"/>
      <c r="DDS26" s="25"/>
      <c r="DDT26" s="25"/>
      <c r="DDU26" s="25"/>
      <c r="DDV26" s="25"/>
      <c r="DDW26" s="25"/>
      <c r="DDX26" s="25"/>
      <c r="DDY26" s="25"/>
      <c r="DDZ26" s="25"/>
      <c r="DEA26" s="25"/>
      <c r="DEB26" s="25"/>
      <c r="DEC26" s="25"/>
      <c r="DED26" s="25"/>
      <c r="DEE26" s="25"/>
      <c r="DEF26" s="25"/>
      <c r="DEG26" s="25"/>
      <c r="DEH26" s="25"/>
      <c r="DEI26" s="25"/>
      <c r="DEJ26" s="25"/>
      <c r="DEK26" s="25"/>
      <c r="DEL26" s="25"/>
      <c r="DEM26" s="25"/>
      <c r="DEN26" s="25"/>
      <c r="DEO26" s="25"/>
      <c r="DEP26" s="25"/>
      <c r="DEQ26" s="25"/>
      <c r="DER26" s="25"/>
      <c r="DES26" s="25"/>
      <c r="DET26" s="25"/>
      <c r="DEU26" s="25"/>
      <c r="DEV26" s="25"/>
      <c r="DEW26" s="25"/>
      <c r="DEX26" s="25"/>
      <c r="DEY26" s="25"/>
      <c r="DEZ26" s="25"/>
      <c r="DFA26" s="25"/>
      <c r="DFB26" s="25"/>
      <c r="DFC26" s="25"/>
      <c r="DFD26" s="25"/>
      <c r="DFE26" s="25"/>
      <c r="DFF26" s="25"/>
      <c r="DFG26" s="25"/>
      <c r="DFH26" s="25"/>
      <c r="DFI26" s="25"/>
      <c r="DFJ26" s="25"/>
      <c r="DFK26" s="25"/>
      <c r="DFL26" s="25"/>
      <c r="DFM26" s="25"/>
      <c r="DFN26" s="25"/>
      <c r="DFO26" s="25"/>
      <c r="DFP26" s="25"/>
      <c r="DFQ26" s="25"/>
      <c r="DFR26" s="25"/>
      <c r="DFS26" s="25"/>
      <c r="DFT26" s="25"/>
      <c r="DFU26" s="25"/>
      <c r="DFV26" s="25"/>
      <c r="DFW26" s="25"/>
      <c r="DFX26" s="25"/>
      <c r="DFY26" s="25"/>
      <c r="DFZ26" s="25"/>
      <c r="DGA26" s="25"/>
      <c r="DGB26" s="25"/>
      <c r="DGC26" s="25"/>
      <c r="DGD26" s="25"/>
      <c r="DGE26" s="25"/>
      <c r="DGF26" s="25"/>
      <c r="DGG26" s="25"/>
      <c r="DGH26" s="25"/>
      <c r="DGI26" s="25"/>
      <c r="DGJ26" s="25"/>
      <c r="DGK26" s="25"/>
      <c r="DGL26" s="25"/>
      <c r="DGM26" s="25"/>
      <c r="DGN26" s="25"/>
      <c r="DGO26" s="25"/>
      <c r="DGP26" s="25"/>
      <c r="DGQ26" s="25"/>
      <c r="DGR26" s="25"/>
      <c r="DGS26" s="25"/>
      <c r="DGT26" s="25"/>
      <c r="DGU26" s="25"/>
      <c r="DGV26" s="25"/>
      <c r="DGW26" s="25"/>
      <c r="DGX26" s="25"/>
      <c r="DGY26" s="25"/>
      <c r="DGZ26" s="25"/>
      <c r="DHA26" s="25"/>
      <c r="DHB26" s="25"/>
      <c r="DHC26" s="25"/>
      <c r="DHD26" s="25"/>
      <c r="DHE26" s="25"/>
      <c r="DHF26" s="25"/>
      <c r="DHG26" s="25"/>
      <c r="DHH26" s="25"/>
      <c r="DHI26" s="25"/>
      <c r="DHJ26" s="25"/>
      <c r="DHK26" s="25"/>
      <c r="DHL26" s="25"/>
      <c r="DHM26" s="25"/>
      <c r="DHN26" s="25"/>
      <c r="DHO26" s="25"/>
      <c r="DHP26" s="25"/>
      <c r="DHQ26" s="25"/>
      <c r="DHR26" s="25"/>
      <c r="DHS26" s="25"/>
      <c r="DHT26" s="25"/>
      <c r="DHU26" s="25"/>
      <c r="DHV26" s="25"/>
      <c r="DHW26" s="25"/>
      <c r="DHX26" s="25"/>
      <c r="DHY26" s="25"/>
      <c r="DHZ26" s="25"/>
      <c r="DIA26" s="25"/>
      <c r="DIB26" s="25"/>
      <c r="DIC26" s="25"/>
      <c r="DID26" s="25"/>
      <c r="DIE26" s="25"/>
      <c r="DIF26" s="25"/>
      <c r="DIG26" s="25"/>
      <c r="DIH26" s="25"/>
      <c r="DII26" s="25"/>
      <c r="DIJ26" s="25"/>
      <c r="DIK26" s="25"/>
      <c r="DIL26" s="25"/>
      <c r="DIM26" s="25"/>
      <c r="DIN26" s="25"/>
      <c r="DIO26" s="25"/>
      <c r="DIP26" s="25"/>
      <c r="DIQ26" s="25"/>
      <c r="DIR26" s="25"/>
      <c r="DIS26" s="25"/>
      <c r="DIT26" s="25"/>
      <c r="DIU26" s="25"/>
      <c r="DIV26" s="25"/>
      <c r="DIW26" s="25"/>
      <c r="DIX26" s="25"/>
      <c r="DIY26" s="25"/>
      <c r="DIZ26" s="25"/>
      <c r="DJA26" s="25"/>
      <c r="DJB26" s="25"/>
      <c r="DJC26" s="25"/>
      <c r="DJD26" s="25"/>
      <c r="DJE26" s="25"/>
      <c r="DJF26" s="25"/>
      <c r="DJG26" s="25"/>
      <c r="DJH26" s="25"/>
      <c r="DJI26" s="25"/>
      <c r="DJJ26" s="25"/>
      <c r="DJK26" s="25"/>
      <c r="DJL26" s="25"/>
      <c r="DJM26" s="25"/>
      <c r="DJN26" s="25"/>
      <c r="DJO26" s="25"/>
      <c r="DJP26" s="25"/>
      <c r="DJQ26" s="25"/>
      <c r="DJR26" s="25"/>
      <c r="DJS26" s="25"/>
      <c r="DJT26" s="25"/>
      <c r="DJU26" s="25"/>
      <c r="DJV26" s="25"/>
      <c r="DJW26" s="25"/>
      <c r="DJX26" s="25"/>
      <c r="DJY26" s="25"/>
      <c r="DJZ26" s="25"/>
      <c r="DKA26" s="25"/>
      <c r="DKB26" s="25"/>
      <c r="DKC26" s="25"/>
      <c r="DKD26" s="25"/>
      <c r="DKE26" s="25"/>
      <c r="DKF26" s="25"/>
      <c r="DKG26" s="25"/>
      <c r="DKH26" s="25"/>
      <c r="DKI26" s="25"/>
      <c r="DKJ26" s="25"/>
      <c r="DKK26" s="25"/>
      <c r="DKL26" s="25"/>
      <c r="DKM26" s="25"/>
      <c r="DKN26" s="25"/>
      <c r="DKO26" s="25"/>
      <c r="DKP26" s="25"/>
      <c r="DKQ26" s="25"/>
      <c r="DKR26" s="25"/>
      <c r="DKS26" s="25"/>
      <c r="DKT26" s="25"/>
      <c r="DKU26" s="25"/>
      <c r="DKV26" s="25"/>
      <c r="DKW26" s="25"/>
      <c r="DKX26" s="25"/>
      <c r="DKY26" s="25"/>
      <c r="DKZ26" s="25"/>
      <c r="DLA26" s="25"/>
      <c r="DLB26" s="25"/>
      <c r="DLC26" s="25"/>
      <c r="DLD26" s="25"/>
      <c r="DLE26" s="25"/>
      <c r="DLF26" s="25"/>
      <c r="DLG26" s="25"/>
      <c r="DLH26" s="25"/>
      <c r="DLI26" s="25"/>
      <c r="DLJ26" s="25"/>
      <c r="DLK26" s="25"/>
      <c r="DLL26" s="25"/>
      <c r="DLM26" s="25"/>
      <c r="DLN26" s="25"/>
      <c r="DLO26" s="25"/>
      <c r="DLP26" s="25"/>
      <c r="DLQ26" s="25"/>
      <c r="DLR26" s="25"/>
      <c r="DLS26" s="25"/>
      <c r="DLT26" s="25"/>
      <c r="DLU26" s="25"/>
      <c r="DLV26" s="25"/>
      <c r="DLW26" s="25"/>
      <c r="DLX26" s="25"/>
      <c r="DLY26" s="25"/>
      <c r="DLZ26" s="25"/>
      <c r="DMA26" s="25"/>
      <c r="DMB26" s="25"/>
      <c r="DMC26" s="25"/>
      <c r="DMD26" s="25"/>
      <c r="DME26" s="25"/>
      <c r="DMF26" s="25"/>
      <c r="DMG26" s="25"/>
      <c r="DMH26" s="25"/>
      <c r="DMI26" s="25"/>
      <c r="DMJ26" s="25"/>
      <c r="DMK26" s="25"/>
      <c r="DML26" s="25"/>
      <c r="DMM26" s="25"/>
      <c r="DMN26" s="25"/>
      <c r="DMO26" s="25"/>
      <c r="DMP26" s="25"/>
      <c r="DMQ26" s="25"/>
      <c r="DMR26" s="25"/>
      <c r="DMS26" s="25"/>
      <c r="DMT26" s="25"/>
      <c r="DMU26" s="25"/>
      <c r="DMV26" s="25"/>
      <c r="DMW26" s="25"/>
      <c r="DMX26" s="25"/>
      <c r="DMY26" s="25"/>
      <c r="DMZ26" s="25"/>
      <c r="DNA26" s="25"/>
      <c r="DNB26" s="25"/>
      <c r="DNC26" s="25"/>
      <c r="DND26" s="25"/>
      <c r="DNE26" s="25"/>
      <c r="DNF26" s="25"/>
      <c r="DNG26" s="25"/>
      <c r="DNH26" s="25"/>
      <c r="DNI26" s="25"/>
      <c r="DNJ26" s="25"/>
      <c r="DNK26" s="25"/>
      <c r="DNL26" s="25"/>
      <c r="DNM26" s="25"/>
      <c r="DNN26" s="25"/>
      <c r="DNO26" s="25"/>
      <c r="DNP26" s="25"/>
      <c r="DNQ26" s="25"/>
      <c r="DNR26" s="25"/>
      <c r="DNS26" s="25"/>
      <c r="DNT26" s="25"/>
      <c r="DNU26" s="25"/>
      <c r="DNV26" s="25"/>
      <c r="DNW26" s="25"/>
      <c r="DNX26" s="25"/>
      <c r="DNY26" s="25"/>
      <c r="DNZ26" s="25"/>
      <c r="DOA26" s="25"/>
      <c r="DOB26" s="25"/>
      <c r="DOC26" s="25"/>
      <c r="DOD26" s="25"/>
      <c r="DOE26" s="25"/>
      <c r="DOF26" s="25"/>
      <c r="DOG26" s="25"/>
      <c r="DOH26" s="25"/>
      <c r="DOI26" s="25"/>
      <c r="DOJ26" s="25"/>
      <c r="DOK26" s="25"/>
      <c r="DOL26" s="25"/>
      <c r="DOM26" s="25"/>
      <c r="DON26" s="25"/>
      <c r="DOO26" s="25"/>
      <c r="DOP26" s="25"/>
      <c r="DOQ26" s="25"/>
      <c r="DOR26" s="25"/>
      <c r="DOS26" s="25"/>
      <c r="DOT26" s="25"/>
      <c r="DOU26" s="25"/>
      <c r="DOV26" s="25"/>
      <c r="DOW26" s="25"/>
      <c r="DOX26" s="25"/>
      <c r="DOY26" s="25"/>
      <c r="DOZ26" s="25"/>
      <c r="DPA26" s="25"/>
      <c r="DPB26" s="25"/>
      <c r="DPC26" s="25"/>
      <c r="DPD26" s="25"/>
      <c r="DPE26" s="25"/>
      <c r="DPF26" s="25"/>
      <c r="DPG26" s="25"/>
      <c r="DPH26" s="25"/>
      <c r="DPI26" s="25"/>
      <c r="DPJ26" s="25"/>
      <c r="DPK26" s="25"/>
      <c r="DPL26" s="25"/>
      <c r="DPM26" s="25"/>
      <c r="DPN26" s="25"/>
      <c r="DPO26" s="25"/>
      <c r="DPP26" s="25"/>
      <c r="DPQ26" s="25"/>
      <c r="DPR26" s="25"/>
      <c r="DPS26" s="25"/>
      <c r="DPT26" s="25"/>
      <c r="DPU26" s="25"/>
      <c r="DPV26" s="25"/>
      <c r="DPW26" s="25"/>
      <c r="DPX26" s="25"/>
      <c r="DPY26" s="25"/>
      <c r="DPZ26" s="25"/>
      <c r="DQA26" s="25"/>
      <c r="DQB26" s="25"/>
      <c r="DQC26" s="25"/>
      <c r="DQD26" s="25"/>
      <c r="DQE26" s="25"/>
      <c r="DQF26" s="25"/>
      <c r="DQG26" s="25"/>
      <c r="DQH26" s="25"/>
      <c r="DQI26" s="25"/>
      <c r="DQJ26" s="25"/>
      <c r="DQK26" s="25"/>
      <c r="DQL26" s="25"/>
      <c r="DQM26" s="25"/>
      <c r="DQN26" s="25"/>
      <c r="DQO26" s="25"/>
      <c r="DQP26" s="25"/>
      <c r="DQQ26" s="25"/>
      <c r="DQR26" s="25"/>
      <c r="DQS26" s="25"/>
      <c r="DQT26" s="25"/>
      <c r="DQU26" s="25"/>
      <c r="DQV26" s="25"/>
      <c r="DQW26" s="25"/>
      <c r="DQX26" s="25"/>
      <c r="DQY26" s="25"/>
      <c r="DQZ26" s="25"/>
      <c r="DRA26" s="25"/>
      <c r="DRB26" s="25"/>
      <c r="DRC26" s="25"/>
      <c r="DRD26" s="25"/>
      <c r="DRE26" s="25"/>
      <c r="DRF26" s="25"/>
      <c r="DRG26" s="25"/>
      <c r="DRH26" s="25"/>
      <c r="DRI26" s="25"/>
      <c r="DRJ26" s="25"/>
      <c r="DRK26" s="25"/>
      <c r="DRL26" s="25"/>
      <c r="DRM26" s="25"/>
      <c r="DRN26" s="25"/>
      <c r="DRO26" s="25"/>
      <c r="DRP26" s="25"/>
      <c r="DRQ26" s="25"/>
      <c r="DRR26" s="25"/>
      <c r="DRS26" s="25"/>
      <c r="DRT26" s="25"/>
      <c r="DRU26" s="25"/>
      <c r="DRV26" s="25"/>
      <c r="DRW26" s="25"/>
      <c r="DRX26" s="25"/>
      <c r="DRY26" s="25"/>
      <c r="DRZ26" s="25"/>
      <c r="DSA26" s="25"/>
      <c r="DSB26" s="25"/>
      <c r="DSC26" s="25"/>
      <c r="DSD26" s="25"/>
      <c r="DSE26" s="25"/>
      <c r="DSF26" s="25"/>
      <c r="DSG26" s="25"/>
      <c r="DSH26" s="25"/>
      <c r="DSI26" s="25"/>
      <c r="DSJ26" s="25"/>
      <c r="DSK26" s="25"/>
      <c r="DSL26" s="25"/>
      <c r="DSM26" s="25"/>
      <c r="DSN26" s="25"/>
      <c r="DSO26" s="25"/>
      <c r="DSP26" s="25"/>
      <c r="DSQ26" s="25"/>
      <c r="DSR26" s="25"/>
      <c r="DSS26" s="25"/>
      <c r="DST26" s="25"/>
      <c r="DSU26" s="25"/>
      <c r="DSV26" s="25"/>
      <c r="DSW26" s="25"/>
      <c r="DSX26" s="25"/>
      <c r="DSY26" s="25"/>
      <c r="DSZ26" s="25"/>
      <c r="DTA26" s="25"/>
      <c r="DTB26" s="25"/>
      <c r="DTC26" s="25"/>
      <c r="DTD26" s="25"/>
      <c r="DTE26" s="25"/>
      <c r="DTF26" s="25"/>
      <c r="DTG26" s="25"/>
      <c r="DTH26" s="25"/>
      <c r="DTI26" s="25"/>
      <c r="DTJ26" s="25"/>
      <c r="DTK26" s="25"/>
      <c r="DTL26" s="25"/>
      <c r="DTM26" s="25"/>
      <c r="DTN26" s="25"/>
      <c r="DTO26" s="25"/>
      <c r="DTP26" s="25"/>
      <c r="DTQ26" s="25"/>
      <c r="DTR26" s="25"/>
      <c r="DTS26" s="25"/>
      <c r="DTT26" s="25"/>
      <c r="DTU26" s="25"/>
      <c r="DTV26" s="25"/>
      <c r="DTW26" s="25"/>
      <c r="DTX26" s="25"/>
      <c r="DTY26" s="25"/>
      <c r="DTZ26" s="25"/>
      <c r="DUA26" s="25"/>
      <c r="DUB26" s="25"/>
      <c r="DUC26" s="25"/>
      <c r="DUD26" s="25"/>
      <c r="DUE26" s="25"/>
      <c r="DUF26" s="25"/>
      <c r="DUG26" s="25"/>
      <c r="DUH26" s="25"/>
      <c r="DUI26" s="25"/>
      <c r="DUJ26" s="25"/>
      <c r="DUK26" s="25"/>
      <c r="DUL26" s="25"/>
      <c r="DUM26" s="25"/>
      <c r="DUN26" s="25"/>
      <c r="DUO26" s="25"/>
      <c r="DUP26" s="25"/>
      <c r="DUQ26" s="25"/>
      <c r="DUR26" s="25"/>
      <c r="DUS26" s="25"/>
      <c r="DUT26" s="25"/>
      <c r="DUU26" s="25"/>
      <c r="DUV26" s="25"/>
      <c r="DUW26" s="25"/>
      <c r="DUX26" s="25"/>
      <c r="DUY26" s="25"/>
      <c r="DUZ26" s="25"/>
      <c r="DVA26" s="25"/>
      <c r="DVB26" s="25"/>
      <c r="DVC26" s="25"/>
      <c r="DVD26" s="25"/>
      <c r="DVE26" s="25"/>
      <c r="DVF26" s="25"/>
      <c r="DVG26" s="25"/>
      <c r="DVH26" s="25"/>
      <c r="DVI26" s="25"/>
      <c r="DVJ26" s="25"/>
      <c r="DVK26" s="25"/>
      <c r="DVL26" s="25"/>
      <c r="DVM26" s="25"/>
      <c r="DVN26" s="25"/>
      <c r="DVO26" s="25"/>
      <c r="DVP26" s="25"/>
      <c r="DVQ26" s="25"/>
      <c r="DVR26" s="25"/>
      <c r="DVS26" s="25"/>
      <c r="DVT26" s="25"/>
      <c r="DVU26" s="25"/>
      <c r="DVV26" s="25"/>
      <c r="DVW26" s="25"/>
      <c r="DVX26" s="25"/>
      <c r="DVY26" s="25"/>
      <c r="DVZ26" s="25"/>
      <c r="DWA26" s="25"/>
      <c r="DWB26" s="25"/>
      <c r="DWC26" s="25"/>
      <c r="DWD26" s="25"/>
      <c r="DWE26" s="25"/>
      <c r="DWF26" s="25"/>
      <c r="DWG26" s="25"/>
      <c r="DWH26" s="25"/>
      <c r="DWI26" s="25"/>
      <c r="DWJ26" s="25"/>
      <c r="DWK26" s="25"/>
      <c r="DWL26" s="25"/>
      <c r="DWM26" s="25"/>
      <c r="DWN26" s="25"/>
      <c r="DWO26" s="25"/>
      <c r="DWP26" s="25"/>
      <c r="DWQ26" s="25"/>
      <c r="DWR26" s="25"/>
      <c r="DWS26" s="25"/>
      <c r="DWT26" s="25"/>
      <c r="DWU26" s="25"/>
      <c r="DWV26" s="25"/>
      <c r="DWW26" s="25"/>
      <c r="DWX26" s="25"/>
      <c r="DWY26" s="25"/>
      <c r="DWZ26" s="25"/>
      <c r="DXA26" s="25"/>
      <c r="DXB26" s="25"/>
      <c r="DXC26" s="25"/>
      <c r="DXD26" s="25"/>
      <c r="DXE26" s="25"/>
      <c r="DXF26" s="25"/>
      <c r="DXG26" s="25"/>
      <c r="DXH26" s="25"/>
      <c r="DXI26" s="25"/>
      <c r="DXJ26" s="25"/>
      <c r="DXK26" s="25"/>
      <c r="DXL26" s="25"/>
      <c r="DXM26" s="25"/>
      <c r="DXN26" s="25"/>
      <c r="DXO26" s="25"/>
      <c r="DXP26" s="25"/>
      <c r="DXQ26" s="25"/>
      <c r="DXR26" s="25"/>
      <c r="DXS26" s="25"/>
      <c r="DXT26" s="25"/>
      <c r="DXU26" s="25"/>
      <c r="DXV26" s="25"/>
      <c r="DXW26" s="25"/>
      <c r="DXX26" s="25"/>
      <c r="DXY26" s="25"/>
      <c r="DXZ26" s="25"/>
      <c r="DYA26" s="25"/>
      <c r="DYB26" s="25"/>
      <c r="DYC26" s="25"/>
      <c r="DYD26" s="25"/>
      <c r="DYE26" s="25"/>
      <c r="DYF26" s="25"/>
      <c r="DYG26" s="25"/>
      <c r="DYH26" s="25"/>
      <c r="DYI26" s="25"/>
      <c r="DYJ26" s="25"/>
      <c r="DYK26" s="25"/>
      <c r="DYL26" s="25"/>
      <c r="DYM26" s="25"/>
      <c r="DYN26" s="25"/>
      <c r="DYO26" s="25"/>
      <c r="DYP26" s="25"/>
      <c r="DYQ26" s="25"/>
      <c r="DYR26" s="25"/>
      <c r="DYS26" s="25"/>
      <c r="DYT26" s="25"/>
      <c r="DYU26" s="25"/>
      <c r="DYV26" s="25"/>
      <c r="DYW26" s="25"/>
      <c r="DYX26" s="25"/>
      <c r="DYY26" s="25"/>
      <c r="DYZ26" s="25"/>
      <c r="DZA26" s="25"/>
      <c r="DZB26" s="25"/>
      <c r="DZC26" s="25"/>
      <c r="DZD26" s="25"/>
      <c r="DZE26" s="25"/>
      <c r="DZF26" s="25"/>
      <c r="DZG26" s="25"/>
      <c r="DZH26" s="25"/>
      <c r="DZI26" s="25"/>
      <c r="DZJ26" s="25"/>
      <c r="DZK26" s="25"/>
      <c r="DZL26" s="25"/>
      <c r="DZM26" s="25"/>
      <c r="DZN26" s="25"/>
      <c r="DZO26" s="25"/>
      <c r="DZP26" s="25"/>
      <c r="DZQ26" s="25"/>
      <c r="DZR26" s="25"/>
      <c r="DZS26" s="25"/>
      <c r="DZT26" s="25"/>
      <c r="DZU26" s="25"/>
      <c r="DZV26" s="25"/>
      <c r="DZW26" s="25"/>
      <c r="DZX26" s="25"/>
      <c r="DZY26" s="25"/>
      <c r="DZZ26" s="25"/>
      <c r="EAA26" s="25"/>
      <c r="EAB26" s="25"/>
      <c r="EAC26" s="25"/>
      <c r="EAD26" s="25"/>
      <c r="EAE26" s="25"/>
      <c r="EAF26" s="25"/>
      <c r="EAG26" s="25"/>
      <c r="EAH26" s="25"/>
      <c r="EAI26" s="25"/>
      <c r="EAJ26" s="25"/>
      <c r="EAK26" s="25"/>
      <c r="EAL26" s="25"/>
      <c r="EAM26" s="25"/>
      <c r="EAN26" s="25"/>
      <c r="EAO26" s="25"/>
      <c r="EAP26" s="25"/>
      <c r="EAQ26" s="25"/>
      <c r="EAR26" s="25"/>
      <c r="EAS26" s="25"/>
      <c r="EAT26" s="25"/>
      <c r="EAU26" s="25"/>
      <c r="EAV26" s="25"/>
      <c r="EAW26" s="25"/>
      <c r="EAX26" s="25"/>
      <c r="EAY26" s="25"/>
      <c r="EAZ26" s="25"/>
      <c r="EBA26" s="25"/>
      <c r="EBB26" s="25"/>
      <c r="EBC26" s="25"/>
      <c r="EBD26" s="25"/>
      <c r="EBE26" s="25"/>
      <c r="EBF26" s="25"/>
      <c r="EBG26" s="25"/>
      <c r="EBH26" s="25"/>
      <c r="EBI26" s="25"/>
      <c r="EBJ26" s="25"/>
      <c r="EBK26" s="25"/>
      <c r="EBL26" s="25"/>
      <c r="EBM26" s="25"/>
      <c r="EBN26" s="25"/>
      <c r="EBO26" s="25"/>
      <c r="EBP26" s="25"/>
      <c r="EBQ26" s="25"/>
      <c r="EBR26" s="25"/>
      <c r="EBS26" s="25"/>
      <c r="EBT26" s="25"/>
      <c r="EBU26" s="25"/>
      <c r="EBV26" s="25"/>
      <c r="EBW26" s="25"/>
      <c r="EBX26" s="25"/>
      <c r="EBY26" s="25"/>
      <c r="EBZ26" s="25"/>
      <c r="ECA26" s="25"/>
      <c r="ECB26" s="25"/>
      <c r="ECC26" s="25"/>
      <c r="ECD26" s="25"/>
      <c r="ECE26" s="25"/>
      <c r="ECF26" s="25"/>
      <c r="ECG26" s="25"/>
      <c r="ECH26" s="25"/>
      <c r="ECI26" s="25"/>
      <c r="ECJ26" s="25"/>
      <c r="ECK26" s="25"/>
      <c r="ECL26" s="25"/>
      <c r="ECM26" s="25"/>
      <c r="ECN26" s="25"/>
      <c r="ECO26" s="25"/>
      <c r="ECP26" s="25"/>
      <c r="ECQ26" s="25"/>
      <c r="ECR26" s="25"/>
      <c r="ECS26" s="25"/>
      <c r="ECT26" s="25"/>
      <c r="ECU26" s="25"/>
      <c r="ECV26" s="25"/>
      <c r="ECW26" s="25"/>
      <c r="ECX26" s="25"/>
      <c r="ECY26" s="25"/>
      <c r="ECZ26" s="25"/>
      <c r="EDA26" s="25"/>
      <c r="EDB26" s="25"/>
      <c r="EDC26" s="25"/>
      <c r="EDD26" s="25"/>
      <c r="EDE26" s="25"/>
      <c r="EDF26" s="25"/>
      <c r="EDG26" s="25"/>
      <c r="EDH26" s="25"/>
      <c r="EDI26" s="25"/>
      <c r="EDJ26" s="25"/>
      <c r="EDK26" s="25"/>
      <c r="EDL26" s="25"/>
      <c r="EDM26" s="25"/>
      <c r="EDN26" s="25"/>
      <c r="EDO26" s="25"/>
      <c r="EDP26" s="25"/>
      <c r="EDQ26" s="25"/>
      <c r="EDR26" s="25"/>
      <c r="EDS26" s="25"/>
      <c r="EDT26" s="25"/>
      <c r="EDU26" s="25"/>
      <c r="EDV26" s="25"/>
      <c r="EDW26" s="25"/>
      <c r="EDX26" s="25"/>
      <c r="EDY26" s="25"/>
      <c r="EDZ26" s="25"/>
      <c r="EEA26" s="25"/>
      <c r="EEB26" s="25"/>
      <c r="EEC26" s="25"/>
      <c r="EED26" s="25"/>
      <c r="EEE26" s="25"/>
      <c r="EEF26" s="25"/>
      <c r="EEG26" s="25"/>
      <c r="EEH26" s="25"/>
      <c r="EEI26" s="25"/>
      <c r="EEJ26" s="25"/>
      <c r="EEK26" s="25"/>
      <c r="EEL26" s="25"/>
      <c r="EEM26" s="25"/>
      <c r="EEN26" s="25"/>
      <c r="EEO26" s="25"/>
      <c r="EEP26" s="25"/>
      <c r="EEQ26" s="25"/>
      <c r="EER26" s="25"/>
      <c r="EES26" s="25"/>
      <c r="EET26" s="25"/>
      <c r="EEU26" s="25"/>
      <c r="EEV26" s="25"/>
      <c r="EEW26" s="25"/>
      <c r="EEX26" s="25"/>
      <c r="EEY26" s="25"/>
      <c r="EEZ26" s="25"/>
      <c r="EFA26" s="25"/>
      <c r="EFB26" s="25"/>
      <c r="EFC26" s="25"/>
      <c r="EFD26" s="25"/>
      <c r="EFE26" s="25"/>
      <c r="EFF26" s="25"/>
      <c r="EFG26" s="25"/>
      <c r="EFH26" s="25"/>
      <c r="EFI26" s="25"/>
      <c r="EFJ26" s="25"/>
      <c r="EFK26" s="25"/>
      <c r="EFL26" s="25"/>
      <c r="EFM26" s="25"/>
      <c r="EFN26" s="25"/>
      <c r="EFO26" s="25"/>
      <c r="EFP26" s="25"/>
      <c r="EFQ26" s="25"/>
      <c r="EFR26" s="25"/>
      <c r="EFS26" s="25"/>
      <c r="EFT26" s="25"/>
      <c r="EFU26" s="25"/>
      <c r="EFV26" s="25"/>
      <c r="EFW26" s="25"/>
      <c r="EFX26" s="25"/>
      <c r="EFY26" s="25"/>
      <c r="EFZ26" s="25"/>
      <c r="EGA26" s="25"/>
      <c r="EGB26" s="25"/>
      <c r="EGC26" s="25"/>
      <c r="EGD26" s="25"/>
      <c r="EGE26" s="25"/>
      <c r="EGF26" s="25"/>
      <c r="EGG26" s="25"/>
      <c r="EGH26" s="25"/>
      <c r="EGI26" s="25"/>
      <c r="EGJ26" s="25"/>
      <c r="EGK26" s="25"/>
      <c r="EGL26" s="25"/>
      <c r="EGM26" s="25"/>
      <c r="EGN26" s="25"/>
      <c r="EGO26" s="25"/>
      <c r="EGP26" s="25"/>
      <c r="EGQ26" s="25"/>
      <c r="EGR26" s="25"/>
      <c r="EGS26" s="25"/>
      <c r="EGT26" s="25"/>
      <c r="EGU26" s="25"/>
      <c r="EGV26" s="25"/>
      <c r="EGW26" s="25"/>
      <c r="EGX26" s="25"/>
      <c r="EGY26" s="25"/>
      <c r="EGZ26" s="25"/>
      <c r="EHA26" s="25"/>
      <c r="EHB26" s="25"/>
      <c r="EHC26" s="25"/>
      <c r="EHD26" s="25"/>
      <c r="EHE26" s="25"/>
      <c r="EHF26" s="25"/>
      <c r="EHG26" s="25"/>
      <c r="EHH26" s="25"/>
      <c r="EHI26" s="25"/>
      <c r="EHJ26" s="25"/>
      <c r="EHK26" s="25"/>
      <c r="EHL26" s="25"/>
      <c r="EHM26" s="25"/>
      <c r="EHN26" s="25"/>
      <c r="EHO26" s="25"/>
      <c r="EHP26" s="25"/>
      <c r="EHQ26" s="25"/>
      <c r="EHR26" s="25"/>
      <c r="EHS26" s="25"/>
      <c r="EHT26" s="25"/>
      <c r="EHU26" s="25"/>
      <c r="EHV26" s="25"/>
      <c r="EHW26" s="25"/>
      <c r="EHX26" s="25"/>
      <c r="EHY26" s="25"/>
      <c r="EHZ26" s="25"/>
      <c r="EIA26" s="25"/>
      <c r="EIB26" s="25"/>
      <c r="EIC26" s="25"/>
      <c r="EID26" s="25"/>
      <c r="EIE26" s="25"/>
      <c r="EIF26" s="25"/>
      <c r="EIG26" s="25"/>
      <c r="EIH26" s="25"/>
      <c r="EII26" s="25"/>
      <c r="EIJ26" s="25"/>
      <c r="EIK26" s="25"/>
      <c r="EIL26" s="25"/>
      <c r="EIM26" s="25"/>
      <c r="EIN26" s="25"/>
      <c r="EIO26" s="25"/>
      <c r="EIP26" s="25"/>
      <c r="EIQ26" s="25"/>
      <c r="EIR26" s="25"/>
      <c r="EIS26" s="25"/>
      <c r="EIT26" s="25"/>
      <c r="EIU26" s="25"/>
      <c r="EIV26" s="25"/>
      <c r="EIW26" s="25"/>
      <c r="EIX26" s="25"/>
      <c r="EIY26" s="25"/>
      <c r="EIZ26" s="25"/>
      <c r="EJA26" s="25"/>
      <c r="EJB26" s="25"/>
      <c r="EJC26" s="25"/>
      <c r="EJD26" s="25"/>
      <c r="EJE26" s="25"/>
      <c r="EJF26" s="25"/>
      <c r="EJG26" s="25"/>
      <c r="EJH26" s="25"/>
      <c r="EJI26" s="25"/>
      <c r="EJJ26" s="25"/>
      <c r="EJK26" s="25"/>
      <c r="EJL26" s="25"/>
      <c r="EJM26" s="25"/>
      <c r="EJN26" s="25"/>
      <c r="EJO26" s="25"/>
      <c r="EJP26" s="25"/>
      <c r="EJQ26" s="25"/>
      <c r="EJR26" s="25"/>
      <c r="EJS26" s="25"/>
      <c r="EJT26" s="25"/>
      <c r="EJU26" s="25"/>
      <c r="EJV26" s="25"/>
      <c r="EJW26" s="25"/>
      <c r="EJX26" s="25"/>
      <c r="EJY26" s="25"/>
      <c r="EJZ26" s="25"/>
      <c r="EKA26" s="25"/>
      <c r="EKB26" s="25"/>
      <c r="EKC26" s="25"/>
      <c r="EKD26" s="25"/>
      <c r="EKE26" s="25"/>
      <c r="EKF26" s="25"/>
      <c r="EKG26" s="25"/>
      <c r="EKH26" s="25"/>
      <c r="EKI26" s="25"/>
      <c r="EKJ26" s="25"/>
      <c r="EKK26" s="25"/>
      <c r="EKL26" s="25"/>
      <c r="EKM26" s="25"/>
      <c r="EKN26" s="25"/>
      <c r="EKO26" s="25"/>
      <c r="EKP26" s="25"/>
      <c r="EKQ26" s="25"/>
      <c r="EKR26" s="25"/>
      <c r="EKS26" s="25"/>
      <c r="EKT26" s="25"/>
      <c r="EKU26" s="25"/>
      <c r="EKV26" s="25"/>
      <c r="EKW26" s="25"/>
      <c r="EKX26" s="25"/>
      <c r="EKY26" s="25"/>
      <c r="EKZ26" s="25"/>
      <c r="ELA26" s="25"/>
      <c r="ELB26" s="25"/>
      <c r="ELC26" s="25"/>
      <c r="ELD26" s="25"/>
      <c r="ELE26" s="25"/>
      <c r="ELF26" s="25"/>
      <c r="ELG26" s="25"/>
      <c r="ELH26" s="25"/>
      <c r="ELI26" s="25"/>
      <c r="ELJ26" s="25"/>
      <c r="ELK26" s="25"/>
      <c r="ELL26" s="25"/>
      <c r="ELM26" s="25"/>
      <c r="ELN26" s="25"/>
      <c r="ELO26" s="25"/>
      <c r="ELP26" s="25"/>
      <c r="ELQ26" s="25"/>
      <c r="ELR26" s="25"/>
      <c r="ELS26" s="25"/>
      <c r="ELT26" s="25"/>
      <c r="ELU26" s="25"/>
      <c r="ELV26" s="25"/>
      <c r="ELW26" s="25"/>
      <c r="ELX26" s="25"/>
      <c r="ELY26" s="25"/>
      <c r="ELZ26" s="25"/>
      <c r="EMA26" s="25"/>
      <c r="EMB26" s="25"/>
      <c r="EMC26" s="25"/>
      <c r="EMD26" s="25"/>
      <c r="EME26" s="25"/>
      <c r="EMF26" s="25"/>
      <c r="EMG26" s="25"/>
      <c r="EMH26" s="25"/>
      <c r="EMI26" s="25"/>
      <c r="EMJ26" s="25"/>
      <c r="EMK26" s="25"/>
      <c r="EML26" s="25"/>
      <c r="EMM26" s="25"/>
      <c r="EMN26" s="25"/>
      <c r="EMO26" s="25"/>
      <c r="EMP26" s="25"/>
      <c r="EMQ26" s="25"/>
      <c r="EMR26" s="25"/>
      <c r="EMS26" s="25"/>
      <c r="EMT26" s="25"/>
      <c r="EMU26" s="25"/>
      <c r="EMV26" s="25"/>
      <c r="EMW26" s="25"/>
      <c r="EMX26" s="25"/>
      <c r="EMY26" s="25"/>
      <c r="EMZ26" s="25"/>
      <c r="ENA26" s="25"/>
      <c r="ENB26" s="25"/>
      <c r="ENC26" s="25"/>
      <c r="END26" s="25"/>
      <c r="ENE26" s="25"/>
      <c r="ENF26" s="25"/>
      <c r="ENG26" s="25"/>
      <c r="ENH26" s="25"/>
      <c r="ENI26" s="25"/>
      <c r="ENJ26" s="25"/>
      <c r="ENK26" s="25"/>
      <c r="ENL26" s="25"/>
      <c r="ENM26" s="25"/>
      <c r="ENN26" s="25"/>
      <c r="ENO26" s="25"/>
      <c r="ENP26" s="25"/>
      <c r="ENQ26" s="25"/>
      <c r="ENR26" s="25"/>
      <c r="ENS26" s="25"/>
      <c r="ENT26" s="25"/>
      <c r="ENU26" s="25"/>
      <c r="ENV26" s="25"/>
      <c r="ENW26" s="25"/>
      <c r="ENX26" s="25"/>
      <c r="ENY26" s="25"/>
      <c r="ENZ26" s="25"/>
      <c r="EOA26" s="25"/>
      <c r="EOB26" s="25"/>
      <c r="EOC26" s="25"/>
      <c r="EOD26" s="25"/>
      <c r="EOE26" s="25"/>
      <c r="EOF26" s="25"/>
      <c r="EOG26" s="25"/>
      <c r="EOH26" s="25"/>
      <c r="EOI26" s="25"/>
      <c r="EOJ26" s="25"/>
      <c r="EOK26" s="25"/>
      <c r="EOL26" s="25"/>
      <c r="EOM26" s="25"/>
      <c r="EON26" s="25"/>
      <c r="EOO26" s="25"/>
      <c r="EOP26" s="25"/>
      <c r="EOQ26" s="25"/>
      <c r="EOR26" s="25"/>
      <c r="EOS26" s="25"/>
      <c r="EOT26" s="25"/>
      <c r="EOU26" s="25"/>
      <c r="EOV26" s="25"/>
      <c r="EOW26" s="25"/>
      <c r="EOX26" s="25"/>
      <c r="EOY26" s="25"/>
      <c r="EOZ26" s="25"/>
      <c r="EPA26" s="25"/>
      <c r="EPB26" s="25"/>
      <c r="EPC26" s="25"/>
      <c r="EPD26" s="25"/>
      <c r="EPE26" s="25"/>
      <c r="EPF26" s="25"/>
      <c r="EPG26" s="25"/>
      <c r="EPH26" s="25"/>
      <c r="EPI26" s="25"/>
      <c r="EPJ26" s="25"/>
      <c r="EPK26" s="25"/>
      <c r="EPL26" s="25"/>
      <c r="EPM26" s="25"/>
      <c r="EPN26" s="25"/>
      <c r="EPO26" s="25"/>
      <c r="EPP26" s="25"/>
      <c r="EPQ26" s="25"/>
      <c r="EPR26" s="25"/>
      <c r="EPS26" s="25"/>
      <c r="EPT26" s="25"/>
      <c r="EPU26" s="25"/>
      <c r="EPV26" s="25"/>
      <c r="EPW26" s="25"/>
      <c r="EPX26" s="25"/>
      <c r="EPY26" s="25"/>
      <c r="EPZ26" s="25"/>
      <c r="EQA26" s="25"/>
      <c r="EQB26" s="25"/>
      <c r="EQC26" s="25"/>
      <c r="EQD26" s="25"/>
      <c r="EQE26" s="25"/>
      <c r="EQF26" s="25"/>
      <c r="EQG26" s="25"/>
      <c r="EQH26" s="25"/>
      <c r="EQI26" s="25"/>
      <c r="EQJ26" s="25"/>
      <c r="EQK26" s="25"/>
      <c r="EQL26" s="25"/>
      <c r="EQM26" s="25"/>
      <c r="EQN26" s="25"/>
      <c r="EQO26" s="25"/>
      <c r="EQP26" s="25"/>
      <c r="EQQ26" s="25"/>
      <c r="EQR26" s="25"/>
      <c r="EQS26" s="25"/>
      <c r="EQT26" s="25"/>
      <c r="EQU26" s="25"/>
      <c r="EQV26" s="25"/>
      <c r="EQW26" s="25"/>
      <c r="EQX26" s="25"/>
      <c r="EQY26" s="25"/>
      <c r="EQZ26" s="25"/>
      <c r="ERA26" s="25"/>
      <c r="ERB26" s="25"/>
      <c r="ERC26" s="25"/>
      <c r="ERD26" s="25"/>
      <c r="ERE26" s="25"/>
      <c r="ERF26" s="25"/>
      <c r="ERG26" s="25"/>
      <c r="ERH26" s="25"/>
      <c r="ERI26" s="25"/>
      <c r="ERJ26" s="25"/>
      <c r="ERK26" s="25"/>
      <c r="ERL26" s="25"/>
      <c r="ERM26" s="25"/>
      <c r="ERN26" s="25"/>
      <c r="ERO26" s="25"/>
      <c r="ERP26" s="25"/>
      <c r="ERQ26" s="25"/>
      <c r="ERR26" s="25"/>
      <c r="ERS26" s="25"/>
      <c r="ERT26" s="25"/>
      <c r="ERU26" s="25"/>
      <c r="ERV26" s="25"/>
      <c r="ERW26" s="25"/>
      <c r="ERX26" s="25"/>
      <c r="ERY26" s="25"/>
      <c r="ERZ26" s="25"/>
      <c r="ESA26" s="25"/>
      <c r="ESB26" s="25"/>
      <c r="ESC26" s="25"/>
      <c r="ESD26" s="25"/>
      <c r="ESE26" s="25"/>
      <c r="ESF26" s="25"/>
      <c r="ESG26" s="25"/>
      <c r="ESH26" s="25"/>
      <c r="ESI26" s="25"/>
      <c r="ESJ26" s="25"/>
      <c r="ESK26" s="25"/>
      <c r="ESL26" s="25"/>
      <c r="ESM26" s="25"/>
      <c r="ESN26" s="25"/>
      <c r="ESO26" s="25"/>
      <c r="ESP26" s="25"/>
      <c r="ESQ26" s="25"/>
      <c r="ESR26" s="25"/>
      <c r="ESS26" s="25"/>
      <c r="EST26" s="25"/>
      <c r="ESU26" s="25"/>
      <c r="ESV26" s="25"/>
      <c r="ESW26" s="25"/>
      <c r="ESX26" s="25"/>
      <c r="ESY26" s="25"/>
      <c r="ESZ26" s="25"/>
      <c r="ETA26" s="25"/>
      <c r="ETB26" s="25"/>
      <c r="ETC26" s="25"/>
      <c r="ETD26" s="25"/>
      <c r="ETE26" s="25"/>
      <c r="ETF26" s="25"/>
      <c r="ETG26" s="25"/>
      <c r="ETH26" s="25"/>
      <c r="ETI26" s="25"/>
      <c r="ETJ26" s="25"/>
      <c r="ETK26" s="25"/>
      <c r="ETL26" s="25"/>
      <c r="ETM26" s="25"/>
      <c r="ETN26" s="25"/>
      <c r="ETO26" s="25"/>
      <c r="ETP26" s="25"/>
      <c r="ETQ26" s="25"/>
      <c r="ETR26" s="25"/>
      <c r="ETS26" s="25"/>
      <c r="ETT26" s="25"/>
      <c r="ETU26" s="25"/>
      <c r="ETV26" s="25"/>
      <c r="ETW26" s="25"/>
      <c r="ETX26" s="25"/>
      <c r="ETY26" s="25"/>
      <c r="ETZ26" s="25"/>
      <c r="EUA26" s="25"/>
      <c r="EUB26" s="25"/>
      <c r="EUC26" s="25"/>
      <c r="EUD26" s="25"/>
      <c r="EUE26" s="25"/>
      <c r="EUF26" s="25"/>
      <c r="EUG26" s="25"/>
      <c r="EUH26" s="25"/>
      <c r="EUI26" s="25"/>
      <c r="EUJ26" s="25"/>
      <c r="EUK26" s="25"/>
      <c r="EUL26" s="25"/>
      <c r="EUM26" s="25"/>
      <c r="EUN26" s="25"/>
      <c r="EUO26" s="25"/>
      <c r="EUP26" s="25"/>
      <c r="EUQ26" s="25"/>
      <c r="EUR26" s="25"/>
      <c r="EUS26" s="25"/>
      <c r="EUT26" s="25"/>
      <c r="EUU26" s="25"/>
      <c r="EUV26" s="25"/>
      <c r="EUW26" s="25"/>
      <c r="EUX26" s="25"/>
      <c r="EUY26" s="25"/>
      <c r="EUZ26" s="25"/>
      <c r="EVA26" s="25"/>
      <c r="EVB26" s="25"/>
      <c r="EVC26" s="25"/>
      <c r="EVD26" s="25"/>
      <c r="EVE26" s="25"/>
      <c r="EVF26" s="25"/>
      <c r="EVG26" s="25"/>
      <c r="EVH26" s="25"/>
      <c r="EVI26" s="25"/>
      <c r="EVJ26" s="25"/>
      <c r="EVK26" s="25"/>
      <c r="EVL26" s="25"/>
      <c r="EVM26" s="25"/>
      <c r="EVN26" s="25"/>
      <c r="EVO26" s="25"/>
      <c r="EVP26" s="25"/>
      <c r="EVQ26" s="25"/>
      <c r="EVR26" s="25"/>
      <c r="EVS26" s="25"/>
      <c r="EVT26" s="25"/>
      <c r="EVU26" s="25"/>
      <c r="EVV26" s="25"/>
      <c r="EVW26" s="25"/>
      <c r="EVX26" s="25"/>
      <c r="EVY26" s="25"/>
      <c r="EVZ26" s="25"/>
      <c r="EWA26" s="25"/>
      <c r="EWB26" s="25"/>
      <c r="EWC26" s="25"/>
      <c r="EWD26" s="25"/>
      <c r="EWE26" s="25"/>
      <c r="EWF26" s="25"/>
      <c r="EWG26" s="25"/>
      <c r="EWH26" s="25"/>
      <c r="EWI26" s="25"/>
      <c r="EWJ26" s="25"/>
      <c r="EWK26" s="25"/>
      <c r="EWL26" s="25"/>
      <c r="EWM26" s="25"/>
      <c r="EWN26" s="25"/>
      <c r="EWO26" s="25"/>
      <c r="EWP26" s="25"/>
      <c r="EWQ26" s="25"/>
      <c r="EWR26" s="25"/>
      <c r="EWS26" s="25"/>
      <c r="EWT26" s="25"/>
      <c r="EWU26" s="25"/>
      <c r="EWV26" s="25"/>
      <c r="EWW26" s="25"/>
      <c r="EWX26" s="25"/>
      <c r="EWY26" s="25"/>
      <c r="EWZ26" s="25"/>
      <c r="EXA26" s="25"/>
      <c r="EXB26" s="25"/>
      <c r="EXC26" s="25"/>
      <c r="EXD26" s="25"/>
      <c r="EXE26" s="25"/>
      <c r="EXF26" s="25"/>
      <c r="EXG26" s="25"/>
      <c r="EXH26" s="25"/>
      <c r="EXI26" s="25"/>
      <c r="EXJ26" s="25"/>
      <c r="EXK26" s="25"/>
      <c r="EXL26" s="25"/>
      <c r="EXM26" s="25"/>
      <c r="EXN26" s="25"/>
      <c r="EXO26" s="25"/>
      <c r="EXP26" s="25"/>
      <c r="EXQ26" s="25"/>
      <c r="EXR26" s="25"/>
      <c r="EXS26" s="25"/>
      <c r="EXT26" s="25"/>
      <c r="EXU26" s="25"/>
      <c r="EXV26" s="25"/>
      <c r="EXW26" s="25"/>
      <c r="EXX26" s="25"/>
      <c r="EXY26" s="25"/>
      <c r="EXZ26" s="25"/>
      <c r="EYA26" s="25"/>
      <c r="EYB26" s="25"/>
      <c r="EYC26" s="25"/>
      <c r="EYD26" s="25"/>
      <c r="EYE26" s="25"/>
      <c r="EYF26" s="25"/>
      <c r="EYG26" s="25"/>
      <c r="EYH26" s="25"/>
      <c r="EYI26" s="25"/>
      <c r="EYJ26" s="25"/>
      <c r="EYK26" s="25"/>
      <c r="EYL26" s="25"/>
      <c r="EYM26" s="25"/>
      <c r="EYN26" s="25"/>
      <c r="EYO26" s="25"/>
      <c r="EYP26" s="25"/>
      <c r="EYQ26" s="25"/>
      <c r="EYR26" s="25"/>
      <c r="EYS26" s="25"/>
      <c r="EYT26" s="25"/>
      <c r="EYU26" s="25"/>
      <c r="EYV26" s="25"/>
      <c r="EYW26" s="25"/>
      <c r="EYX26" s="25"/>
      <c r="EYY26" s="25"/>
      <c r="EYZ26" s="25"/>
      <c r="EZA26" s="25"/>
      <c r="EZB26" s="25"/>
      <c r="EZC26" s="25"/>
      <c r="EZD26" s="25"/>
      <c r="EZE26" s="25"/>
      <c r="EZF26" s="25"/>
      <c r="EZG26" s="25"/>
      <c r="EZH26" s="25"/>
      <c r="EZI26" s="25"/>
      <c r="EZJ26" s="25"/>
      <c r="EZK26" s="25"/>
      <c r="EZL26" s="25"/>
      <c r="EZM26" s="25"/>
      <c r="EZN26" s="25"/>
      <c r="EZO26" s="25"/>
      <c r="EZP26" s="25"/>
      <c r="EZQ26" s="25"/>
      <c r="EZR26" s="25"/>
      <c r="EZS26" s="25"/>
      <c r="EZT26" s="25"/>
      <c r="EZU26" s="25"/>
      <c r="EZV26" s="25"/>
      <c r="EZW26" s="25"/>
      <c r="EZX26" s="25"/>
      <c r="EZY26" s="25"/>
      <c r="EZZ26" s="25"/>
      <c r="FAA26" s="25"/>
      <c r="FAB26" s="25"/>
      <c r="FAC26" s="25"/>
      <c r="FAD26" s="25"/>
      <c r="FAE26" s="25"/>
      <c r="FAF26" s="25"/>
      <c r="FAG26" s="25"/>
      <c r="FAH26" s="25"/>
      <c r="FAI26" s="25"/>
      <c r="FAJ26" s="25"/>
      <c r="FAK26" s="25"/>
      <c r="FAL26" s="25"/>
      <c r="FAM26" s="25"/>
      <c r="FAN26" s="25"/>
      <c r="FAO26" s="25"/>
      <c r="FAP26" s="25"/>
      <c r="FAQ26" s="25"/>
      <c r="FAR26" s="25"/>
      <c r="FAS26" s="25"/>
      <c r="FAT26" s="25"/>
      <c r="FAU26" s="25"/>
      <c r="FAV26" s="25"/>
      <c r="FAW26" s="25"/>
      <c r="FAX26" s="25"/>
      <c r="FAY26" s="25"/>
      <c r="FAZ26" s="25"/>
      <c r="FBA26" s="25"/>
      <c r="FBB26" s="25"/>
      <c r="FBC26" s="25"/>
      <c r="FBD26" s="25"/>
      <c r="FBE26" s="25"/>
      <c r="FBF26" s="25"/>
      <c r="FBG26" s="25"/>
      <c r="FBH26" s="25"/>
      <c r="FBI26" s="25"/>
      <c r="FBJ26" s="25"/>
      <c r="FBK26" s="25"/>
      <c r="FBL26" s="25"/>
      <c r="FBM26" s="25"/>
      <c r="FBN26" s="25"/>
      <c r="FBO26" s="25"/>
      <c r="FBP26" s="25"/>
      <c r="FBQ26" s="25"/>
      <c r="FBR26" s="25"/>
      <c r="FBS26" s="25"/>
      <c r="FBT26" s="25"/>
      <c r="FBU26" s="25"/>
      <c r="FBV26" s="25"/>
      <c r="FBW26" s="25"/>
      <c r="FBX26" s="25"/>
      <c r="FBY26" s="25"/>
      <c r="FBZ26" s="25"/>
      <c r="FCA26" s="25"/>
      <c r="FCB26" s="25"/>
      <c r="FCC26" s="25"/>
      <c r="FCD26" s="25"/>
      <c r="FCE26" s="25"/>
      <c r="FCF26" s="25"/>
      <c r="FCG26" s="25"/>
      <c r="FCH26" s="25"/>
      <c r="FCI26" s="25"/>
      <c r="FCJ26" s="25"/>
      <c r="FCK26" s="25"/>
      <c r="FCL26" s="25"/>
      <c r="FCM26" s="25"/>
      <c r="FCN26" s="25"/>
      <c r="FCO26" s="25"/>
      <c r="FCP26" s="25"/>
      <c r="FCQ26" s="25"/>
      <c r="FCR26" s="25"/>
      <c r="FCS26" s="25"/>
      <c r="FCT26" s="25"/>
      <c r="FCU26" s="25"/>
      <c r="FCV26" s="25"/>
      <c r="FCW26" s="25"/>
      <c r="FCX26" s="25"/>
      <c r="FCY26" s="25"/>
      <c r="FCZ26" s="25"/>
      <c r="FDA26" s="25"/>
      <c r="FDB26" s="25"/>
      <c r="FDC26" s="25"/>
      <c r="FDD26" s="25"/>
      <c r="FDE26" s="25"/>
      <c r="FDF26" s="25"/>
      <c r="FDG26" s="25"/>
      <c r="FDH26" s="25"/>
      <c r="FDI26" s="25"/>
      <c r="FDJ26" s="25"/>
      <c r="FDK26" s="25"/>
      <c r="FDL26" s="25"/>
      <c r="FDM26" s="25"/>
      <c r="FDN26" s="25"/>
      <c r="FDO26" s="25"/>
      <c r="FDP26" s="25"/>
      <c r="FDQ26" s="25"/>
      <c r="FDR26" s="25"/>
      <c r="FDS26" s="25"/>
      <c r="FDT26" s="25"/>
      <c r="FDU26" s="25"/>
      <c r="FDV26" s="25"/>
      <c r="FDW26" s="25"/>
      <c r="FDX26" s="25"/>
      <c r="FDY26" s="25"/>
      <c r="FDZ26" s="25"/>
      <c r="FEA26" s="25"/>
      <c r="FEB26" s="25"/>
      <c r="FEC26" s="25"/>
      <c r="FED26" s="25"/>
      <c r="FEE26" s="25"/>
      <c r="FEF26" s="25"/>
      <c r="FEG26" s="25"/>
      <c r="FEH26" s="25"/>
      <c r="FEI26" s="25"/>
      <c r="FEJ26" s="25"/>
      <c r="FEK26" s="25"/>
      <c r="FEL26" s="25"/>
      <c r="FEM26" s="25"/>
      <c r="FEN26" s="25"/>
      <c r="FEO26" s="25"/>
      <c r="FEP26" s="25"/>
      <c r="FEQ26" s="25"/>
      <c r="FER26" s="25"/>
      <c r="FES26" s="25"/>
      <c r="FET26" s="25"/>
      <c r="FEU26" s="25"/>
      <c r="FEV26" s="25"/>
      <c r="FEW26" s="25"/>
      <c r="FEX26" s="25"/>
      <c r="FEY26" s="25"/>
      <c r="FEZ26" s="25"/>
      <c r="FFA26" s="25"/>
      <c r="FFB26" s="25"/>
      <c r="FFC26" s="25"/>
      <c r="FFD26" s="25"/>
      <c r="FFE26" s="25"/>
      <c r="FFF26" s="25"/>
      <c r="FFG26" s="25"/>
      <c r="FFH26" s="25"/>
      <c r="FFI26" s="25"/>
      <c r="FFJ26" s="25"/>
      <c r="FFK26" s="25"/>
      <c r="FFL26" s="25"/>
      <c r="FFM26" s="25"/>
      <c r="FFN26" s="25"/>
      <c r="FFO26" s="25"/>
      <c r="FFP26" s="25"/>
      <c r="FFQ26" s="25"/>
      <c r="FFR26" s="25"/>
      <c r="FFS26" s="25"/>
      <c r="FFT26" s="25"/>
      <c r="FFU26" s="25"/>
      <c r="FFV26" s="25"/>
      <c r="FFW26" s="25"/>
      <c r="FFX26" s="25"/>
      <c r="FFY26" s="25"/>
      <c r="FFZ26" s="25"/>
      <c r="FGA26" s="25"/>
      <c r="FGB26" s="25"/>
      <c r="FGC26" s="25"/>
      <c r="FGD26" s="25"/>
      <c r="FGE26" s="25"/>
      <c r="FGF26" s="25"/>
      <c r="FGG26" s="25"/>
      <c r="FGH26" s="25"/>
      <c r="FGI26" s="25"/>
      <c r="FGJ26" s="25"/>
      <c r="FGK26" s="25"/>
      <c r="FGL26" s="25"/>
      <c r="FGM26" s="25"/>
      <c r="FGN26" s="25"/>
      <c r="FGO26" s="25"/>
      <c r="FGP26" s="25"/>
      <c r="FGQ26" s="25"/>
      <c r="FGR26" s="25"/>
      <c r="FGS26" s="25"/>
      <c r="FGT26" s="25"/>
      <c r="FGU26" s="25"/>
      <c r="FGV26" s="25"/>
      <c r="FGW26" s="25"/>
      <c r="FGX26" s="25"/>
      <c r="FGY26" s="25"/>
      <c r="FGZ26" s="25"/>
      <c r="FHA26" s="25"/>
      <c r="FHB26" s="25"/>
      <c r="FHC26" s="25"/>
      <c r="FHD26" s="25"/>
      <c r="FHE26" s="25"/>
      <c r="FHF26" s="25"/>
      <c r="FHG26" s="25"/>
      <c r="FHH26" s="25"/>
      <c r="FHI26" s="25"/>
      <c r="FHJ26" s="25"/>
      <c r="FHK26" s="25"/>
      <c r="FHL26" s="25"/>
      <c r="FHM26" s="25"/>
      <c r="FHN26" s="25"/>
      <c r="FHO26" s="25"/>
      <c r="FHP26" s="25"/>
      <c r="FHQ26" s="25"/>
      <c r="FHR26" s="25"/>
      <c r="FHS26" s="25"/>
      <c r="FHT26" s="25"/>
      <c r="FHU26" s="25"/>
      <c r="FHV26" s="25"/>
      <c r="FHW26" s="25"/>
      <c r="FHX26" s="25"/>
      <c r="FHY26" s="25"/>
      <c r="FHZ26" s="25"/>
      <c r="FIA26" s="25"/>
      <c r="FIB26" s="25"/>
      <c r="FIC26" s="25"/>
      <c r="FID26" s="25"/>
      <c r="FIE26" s="25"/>
      <c r="FIF26" s="25"/>
      <c r="FIG26" s="25"/>
      <c r="FIH26" s="25"/>
      <c r="FII26" s="25"/>
      <c r="FIJ26" s="25"/>
      <c r="FIK26" s="25"/>
      <c r="FIL26" s="25"/>
      <c r="FIM26" s="25"/>
      <c r="FIN26" s="25"/>
      <c r="FIO26" s="25"/>
      <c r="FIP26" s="25"/>
      <c r="FIQ26" s="25"/>
      <c r="FIR26" s="25"/>
      <c r="FIS26" s="25"/>
      <c r="FIT26" s="25"/>
      <c r="FIU26" s="25"/>
      <c r="FIV26" s="25"/>
      <c r="FIW26" s="25"/>
      <c r="FIX26" s="25"/>
      <c r="FIY26" s="25"/>
      <c r="FIZ26" s="25"/>
      <c r="FJA26" s="25"/>
      <c r="FJB26" s="25"/>
      <c r="FJC26" s="25"/>
      <c r="FJD26" s="25"/>
      <c r="FJE26" s="25"/>
      <c r="FJF26" s="25"/>
      <c r="FJG26" s="25"/>
      <c r="FJH26" s="25"/>
      <c r="FJI26" s="25"/>
      <c r="FJJ26" s="25"/>
      <c r="FJK26" s="25"/>
      <c r="FJL26" s="25"/>
      <c r="FJM26" s="25"/>
      <c r="FJN26" s="25"/>
      <c r="FJO26" s="25"/>
      <c r="FJP26" s="25"/>
      <c r="FJQ26" s="25"/>
      <c r="FJR26" s="25"/>
      <c r="FJS26" s="25"/>
      <c r="FJT26" s="25"/>
      <c r="FJU26" s="25"/>
      <c r="FJV26" s="25"/>
      <c r="FJW26" s="25"/>
      <c r="FJX26" s="25"/>
      <c r="FJY26" s="25"/>
      <c r="FJZ26" s="25"/>
      <c r="FKA26" s="25"/>
      <c r="FKB26" s="25"/>
      <c r="FKC26" s="25"/>
      <c r="FKD26" s="25"/>
      <c r="FKE26" s="25"/>
      <c r="FKF26" s="25"/>
      <c r="FKG26" s="25"/>
      <c r="FKH26" s="25"/>
      <c r="FKI26" s="25"/>
      <c r="FKJ26" s="25"/>
      <c r="FKK26" s="25"/>
      <c r="FKL26" s="25"/>
      <c r="FKM26" s="25"/>
      <c r="FKN26" s="25"/>
      <c r="FKO26" s="25"/>
      <c r="FKP26" s="25"/>
      <c r="FKQ26" s="25"/>
      <c r="FKR26" s="25"/>
      <c r="FKS26" s="25"/>
      <c r="FKT26" s="25"/>
      <c r="FKU26" s="25"/>
      <c r="FKV26" s="25"/>
      <c r="FKW26" s="25"/>
      <c r="FKX26" s="25"/>
      <c r="FKY26" s="25"/>
      <c r="FKZ26" s="25"/>
      <c r="FLA26" s="25"/>
      <c r="FLB26" s="25"/>
      <c r="FLC26" s="25"/>
      <c r="FLD26" s="25"/>
      <c r="FLE26" s="25"/>
      <c r="FLF26" s="25"/>
      <c r="FLG26" s="25"/>
      <c r="FLH26" s="25"/>
      <c r="FLI26" s="25"/>
      <c r="FLJ26" s="25"/>
      <c r="FLK26" s="25"/>
      <c r="FLL26" s="25"/>
      <c r="FLM26" s="25"/>
      <c r="FLN26" s="25"/>
      <c r="FLO26" s="25"/>
      <c r="FLP26" s="25"/>
      <c r="FLQ26" s="25"/>
      <c r="FLR26" s="25"/>
      <c r="FLS26" s="25"/>
      <c r="FLT26" s="25"/>
      <c r="FLU26" s="25"/>
      <c r="FLV26" s="25"/>
      <c r="FLW26" s="25"/>
      <c r="FLX26" s="25"/>
      <c r="FLY26" s="25"/>
      <c r="FLZ26" s="25"/>
      <c r="FMA26" s="25"/>
      <c r="FMB26" s="25"/>
      <c r="FMC26" s="25"/>
      <c r="FMD26" s="25"/>
      <c r="FME26" s="25"/>
      <c r="FMF26" s="25"/>
      <c r="FMG26" s="25"/>
      <c r="FMH26" s="25"/>
      <c r="FMI26" s="25"/>
      <c r="FMJ26" s="25"/>
      <c r="FMK26" s="25"/>
      <c r="FML26" s="25"/>
      <c r="FMM26" s="25"/>
      <c r="FMN26" s="25"/>
      <c r="FMO26" s="25"/>
      <c r="FMP26" s="25"/>
      <c r="FMQ26" s="25"/>
      <c r="FMR26" s="25"/>
      <c r="FMS26" s="25"/>
      <c r="FMT26" s="25"/>
      <c r="FMU26" s="25"/>
      <c r="FMV26" s="25"/>
      <c r="FMW26" s="25"/>
      <c r="FMX26" s="25"/>
      <c r="FMY26" s="25"/>
      <c r="FMZ26" s="25"/>
      <c r="FNA26" s="25"/>
      <c r="FNB26" s="25"/>
      <c r="FNC26" s="25"/>
      <c r="FND26" s="25"/>
      <c r="FNE26" s="25"/>
      <c r="FNF26" s="25"/>
      <c r="FNG26" s="25"/>
      <c r="FNH26" s="25"/>
      <c r="FNI26" s="25"/>
      <c r="FNJ26" s="25"/>
      <c r="FNK26" s="25"/>
      <c r="FNL26" s="25"/>
      <c r="FNM26" s="25"/>
      <c r="FNN26" s="25"/>
      <c r="FNO26" s="25"/>
      <c r="FNP26" s="25"/>
      <c r="FNQ26" s="25"/>
      <c r="FNR26" s="25"/>
      <c r="FNS26" s="25"/>
      <c r="FNT26" s="25"/>
      <c r="FNU26" s="25"/>
      <c r="FNV26" s="25"/>
      <c r="FNW26" s="25"/>
      <c r="FNX26" s="25"/>
      <c r="FNY26" s="25"/>
      <c r="FNZ26" s="25"/>
      <c r="FOA26" s="25"/>
      <c r="FOB26" s="25"/>
      <c r="FOC26" s="25"/>
      <c r="FOD26" s="25"/>
      <c r="FOE26" s="25"/>
      <c r="FOF26" s="25"/>
      <c r="FOG26" s="25"/>
      <c r="FOH26" s="25"/>
      <c r="FOI26" s="25"/>
      <c r="FOJ26" s="25"/>
      <c r="FOK26" s="25"/>
      <c r="FOL26" s="25"/>
      <c r="FOM26" s="25"/>
      <c r="FON26" s="25"/>
      <c r="FOO26" s="25"/>
      <c r="FOP26" s="25"/>
      <c r="FOQ26" s="25"/>
      <c r="FOR26" s="25"/>
      <c r="FOS26" s="25"/>
      <c r="FOT26" s="25"/>
      <c r="FOU26" s="25"/>
      <c r="FOV26" s="25"/>
      <c r="FOW26" s="25"/>
      <c r="FOX26" s="25"/>
      <c r="FOY26" s="25"/>
      <c r="FOZ26" s="25"/>
      <c r="FPA26" s="25"/>
      <c r="FPB26" s="25"/>
      <c r="FPC26" s="25"/>
      <c r="FPD26" s="25"/>
      <c r="FPE26" s="25"/>
      <c r="FPF26" s="25"/>
      <c r="FPG26" s="25"/>
      <c r="FPH26" s="25"/>
      <c r="FPI26" s="25"/>
      <c r="FPJ26" s="25"/>
      <c r="FPK26" s="25"/>
      <c r="FPL26" s="25"/>
      <c r="FPM26" s="25"/>
      <c r="FPN26" s="25"/>
      <c r="FPO26" s="25"/>
      <c r="FPP26" s="25"/>
      <c r="FPQ26" s="25"/>
      <c r="FPR26" s="25"/>
      <c r="FPS26" s="25"/>
      <c r="FPT26" s="25"/>
      <c r="FPU26" s="25"/>
      <c r="FPV26" s="25"/>
      <c r="FPW26" s="25"/>
      <c r="FPX26" s="25"/>
      <c r="FPY26" s="25"/>
      <c r="FPZ26" s="25"/>
      <c r="FQA26" s="25"/>
      <c r="FQB26" s="25"/>
      <c r="FQC26" s="25"/>
      <c r="FQD26" s="25"/>
      <c r="FQE26" s="25"/>
      <c r="FQF26" s="25"/>
      <c r="FQG26" s="25"/>
      <c r="FQH26" s="25"/>
      <c r="FQI26" s="25"/>
      <c r="FQJ26" s="25"/>
      <c r="FQK26" s="25"/>
      <c r="FQL26" s="25"/>
      <c r="FQM26" s="25"/>
      <c r="FQN26" s="25"/>
      <c r="FQO26" s="25"/>
      <c r="FQP26" s="25"/>
      <c r="FQQ26" s="25"/>
      <c r="FQR26" s="25"/>
      <c r="FQS26" s="25"/>
      <c r="FQT26" s="25"/>
      <c r="FQU26" s="25"/>
      <c r="FQV26" s="25"/>
      <c r="FQW26" s="25"/>
      <c r="FQX26" s="25"/>
      <c r="FQY26" s="25"/>
      <c r="FQZ26" s="25"/>
      <c r="FRA26" s="25"/>
      <c r="FRB26" s="25"/>
      <c r="FRC26" s="25"/>
      <c r="FRD26" s="25"/>
      <c r="FRE26" s="25"/>
      <c r="FRF26" s="25"/>
      <c r="FRG26" s="25"/>
      <c r="FRH26" s="25"/>
      <c r="FRI26" s="25"/>
      <c r="FRJ26" s="25"/>
      <c r="FRK26" s="25"/>
      <c r="FRL26" s="25"/>
      <c r="FRM26" s="25"/>
      <c r="FRN26" s="25"/>
      <c r="FRO26" s="25"/>
      <c r="FRP26" s="25"/>
      <c r="FRQ26" s="25"/>
      <c r="FRR26" s="25"/>
      <c r="FRS26" s="25"/>
      <c r="FRT26" s="25"/>
      <c r="FRU26" s="25"/>
      <c r="FRV26" s="25"/>
      <c r="FRW26" s="25"/>
      <c r="FRX26" s="25"/>
      <c r="FRY26" s="25"/>
      <c r="FRZ26" s="25"/>
      <c r="FSA26" s="25"/>
      <c r="FSB26" s="25"/>
      <c r="FSC26" s="25"/>
      <c r="FSD26" s="25"/>
      <c r="FSE26" s="25"/>
      <c r="FSF26" s="25"/>
      <c r="FSG26" s="25"/>
      <c r="FSH26" s="25"/>
      <c r="FSI26" s="25"/>
      <c r="FSJ26" s="25"/>
      <c r="FSK26" s="25"/>
      <c r="FSL26" s="25"/>
      <c r="FSM26" s="25"/>
      <c r="FSN26" s="25"/>
      <c r="FSO26" s="25"/>
      <c r="FSP26" s="25"/>
      <c r="FSQ26" s="25"/>
      <c r="FSR26" s="25"/>
      <c r="FSS26" s="25"/>
      <c r="FST26" s="25"/>
      <c r="FSU26" s="25"/>
      <c r="FSV26" s="25"/>
      <c r="FSW26" s="25"/>
      <c r="FSX26" s="25"/>
      <c r="FSY26" s="25"/>
      <c r="FSZ26" s="25"/>
      <c r="FTA26" s="25"/>
      <c r="FTB26" s="25"/>
      <c r="FTC26" s="25"/>
      <c r="FTD26" s="25"/>
      <c r="FTE26" s="25"/>
      <c r="FTF26" s="25"/>
      <c r="FTG26" s="25"/>
      <c r="FTH26" s="25"/>
      <c r="FTI26" s="25"/>
      <c r="FTJ26" s="25"/>
      <c r="FTK26" s="25"/>
      <c r="FTL26" s="25"/>
      <c r="FTM26" s="25"/>
      <c r="FTN26" s="25"/>
      <c r="FTO26" s="25"/>
      <c r="FTP26" s="25"/>
      <c r="FTQ26" s="25"/>
      <c r="FTR26" s="25"/>
      <c r="FTS26" s="25"/>
      <c r="FTT26" s="25"/>
      <c r="FTU26" s="25"/>
      <c r="FTV26" s="25"/>
      <c r="FTW26" s="25"/>
      <c r="FTX26" s="25"/>
      <c r="FTY26" s="25"/>
      <c r="FTZ26" s="25"/>
      <c r="FUA26" s="25"/>
      <c r="FUB26" s="25"/>
      <c r="FUC26" s="25"/>
      <c r="FUD26" s="25"/>
      <c r="FUE26" s="25"/>
      <c r="FUF26" s="25"/>
      <c r="FUG26" s="25"/>
      <c r="FUH26" s="25"/>
      <c r="FUI26" s="25"/>
      <c r="FUJ26" s="25"/>
      <c r="FUK26" s="25"/>
      <c r="FUL26" s="25"/>
      <c r="FUM26" s="25"/>
      <c r="FUN26" s="25"/>
      <c r="FUO26" s="25"/>
      <c r="FUP26" s="25"/>
      <c r="FUQ26" s="25"/>
      <c r="FUR26" s="25"/>
      <c r="FUS26" s="25"/>
      <c r="FUT26" s="25"/>
      <c r="FUU26" s="25"/>
      <c r="FUV26" s="25"/>
      <c r="FUW26" s="25"/>
      <c r="FUX26" s="25"/>
      <c r="FUY26" s="25"/>
      <c r="FUZ26" s="25"/>
      <c r="FVA26" s="25"/>
      <c r="FVB26" s="25"/>
      <c r="FVC26" s="25"/>
      <c r="FVD26" s="25"/>
      <c r="FVE26" s="25"/>
      <c r="FVF26" s="25"/>
      <c r="FVG26" s="25"/>
      <c r="FVH26" s="25"/>
      <c r="FVI26" s="25"/>
      <c r="FVJ26" s="25"/>
      <c r="FVK26" s="25"/>
      <c r="FVL26" s="25"/>
      <c r="FVM26" s="25"/>
      <c r="FVN26" s="25"/>
      <c r="FVO26" s="25"/>
      <c r="FVP26" s="25"/>
      <c r="FVQ26" s="25"/>
      <c r="FVR26" s="25"/>
      <c r="FVS26" s="25"/>
      <c r="FVT26" s="25"/>
      <c r="FVU26" s="25"/>
      <c r="FVV26" s="25"/>
      <c r="FVW26" s="25"/>
      <c r="FVX26" s="25"/>
      <c r="FVY26" s="25"/>
      <c r="FVZ26" s="25"/>
      <c r="FWA26" s="25"/>
      <c r="FWB26" s="25"/>
      <c r="FWC26" s="25"/>
      <c r="FWD26" s="25"/>
      <c r="FWE26" s="25"/>
      <c r="FWF26" s="25"/>
      <c r="FWG26" s="25"/>
      <c r="FWH26" s="25"/>
      <c r="FWI26" s="25"/>
      <c r="FWJ26" s="25"/>
      <c r="FWK26" s="25"/>
      <c r="FWL26" s="25"/>
      <c r="FWM26" s="25"/>
      <c r="FWN26" s="25"/>
      <c r="FWO26" s="25"/>
      <c r="FWP26" s="25"/>
      <c r="FWQ26" s="25"/>
      <c r="FWR26" s="25"/>
      <c r="FWS26" s="25"/>
      <c r="FWT26" s="25"/>
      <c r="FWU26" s="25"/>
      <c r="FWV26" s="25"/>
      <c r="FWW26" s="25"/>
      <c r="FWX26" s="25"/>
      <c r="FWY26" s="25"/>
      <c r="FWZ26" s="25"/>
      <c r="FXA26" s="25"/>
      <c r="FXB26" s="25"/>
      <c r="FXC26" s="25"/>
      <c r="FXD26" s="25"/>
      <c r="FXE26" s="25"/>
      <c r="FXF26" s="25"/>
      <c r="FXG26" s="25"/>
      <c r="FXH26" s="25"/>
      <c r="FXI26" s="25"/>
      <c r="FXJ26" s="25"/>
      <c r="FXK26" s="25"/>
      <c r="FXL26" s="25"/>
      <c r="FXM26" s="25"/>
      <c r="FXN26" s="25"/>
      <c r="FXO26" s="25"/>
      <c r="FXP26" s="25"/>
      <c r="FXQ26" s="25"/>
      <c r="FXR26" s="25"/>
      <c r="FXS26" s="25"/>
      <c r="FXT26" s="25"/>
      <c r="FXU26" s="25"/>
      <c r="FXV26" s="25"/>
      <c r="FXW26" s="25"/>
      <c r="FXX26" s="25"/>
      <c r="FXY26" s="25"/>
      <c r="FXZ26" s="25"/>
      <c r="FYA26" s="25"/>
      <c r="FYB26" s="25"/>
      <c r="FYC26" s="25"/>
      <c r="FYD26" s="25"/>
      <c r="FYE26" s="25"/>
      <c r="FYF26" s="25"/>
      <c r="FYG26" s="25"/>
      <c r="FYH26" s="25"/>
      <c r="FYI26" s="25"/>
      <c r="FYJ26" s="25"/>
      <c r="FYK26" s="25"/>
      <c r="FYL26" s="25"/>
      <c r="FYM26" s="25"/>
      <c r="FYN26" s="25"/>
      <c r="FYO26" s="25"/>
      <c r="FYP26" s="25"/>
      <c r="FYQ26" s="25"/>
      <c r="FYR26" s="25"/>
      <c r="FYS26" s="25"/>
      <c r="FYT26" s="25"/>
      <c r="FYU26" s="25"/>
      <c r="FYV26" s="25"/>
      <c r="FYW26" s="25"/>
      <c r="FYX26" s="25"/>
      <c r="FYY26" s="25"/>
      <c r="FYZ26" s="25"/>
      <c r="FZA26" s="25"/>
      <c r="FZB26" s="25"/>
      <c r="FZC26" s="25"/>
      <c r="FZD26" s="25"/>
      <c r="FZE26" s="25"/>
      <c r="FZF26" s="25"/>
      <c r="FZG26" s="25"/>
      <c r="FZH26" s="25"/>
      <c r="FZI26" s="25"/>
      <c r="FZJ26" s="25"/>
      <c r="FZK26" s="25"/>
      <c r="FZL26" s="25"/>
      <c r="FZM26" s="25"/>
      <c r="FZN26" s="25"/>
      <c r="FZO26" s="25"/>
      <c r="FZP26" s="25"/>
      <c r="FZQ26" s="25"/>
      <c r="FZR26" s="25"/>
      <c r="FZS26" s="25"/>
      <c r="FZT26" s="25"/>
      <c r="FZU26" s="25"/>
      <c r="FZV26" s="25"/>
      <c r="FZW26" s="25"/>
      <c r="FZX26" s="25"/>
      <c r="FZY26" s="25"/>
      <c r="FZZ26" s="25"/>
      <c r="GAA26" s="25"/>
      <c r="GAB26" s="25"/>
      <c r="GAC26" s="25"/>
      <c r="GAD26" s="25"/>
      <c r="GAE26" s="25"/>
      <c r="GAF26" s="25"/>
      <c r="GAG26" s="25"/>
      <c r="GAH26" s="25"/>
      <c r="GAI26" s="25"/>
      <c r="GAJ26" s="25"/>
      <c r="GAK26" s="25"/>
      <c r="GAL26" s="25"/>
      <c r="GAM26" s="25"/>
      <c r="GAN26" s="25"/>
      <c r="GAO26" s="25"/>
      <c r="GAP26" s="25"/>
      <c r="GAQ26" s="25"/>
      <c r="GAR26" s="25"/>
      <c r="GAS26" s="25"/>
      <c r="GAT26" s="25"/>
      <c r="GAU26" s="25"/>
      <c r="GAV26" s="25"/>
      <c r="GAW26" s="25"/>
      <c r="GAX26" s="25"/>
      <c r="GAY26" s="25"/>
      <c r="GAZ26" s="25"/>
      <c r="GBA26" s="25"/>
      <c r="GBB26" s="25"/>
      <c r="GBC26" s="25"/>
      <c r="GBD26" s="25"/>
      <c r="GBE26" s="25"/>
      <c r="GBF26" s="25"/>
      <c r="GBG26" s="25"/>
      <c r="GBH26" s="25"/>
      <c r="GBI26" s="25"/>
      <c r="GBJ26" s="25"/>
      <c r="GBK26" s="25"/>
      <c r="GBL26" s="25"/>
      <c r="GBM26" s="25"/>
      <c r="GBN26" s="25"/>
      <c r="GBO26" s="25"/>
      <c r="GBP26" s="25"/>
      <c r="GBQ26" s="25"/>
      <c r="GBR26" s="25"/>
      <c r="GBS26" s="25"/>
      <c r="GBT26" s="25"/>
      <c r="GBU26" s="25"/>
      <c r="GBV26" s="25"/>
      <c r="GBW26" s="25"/>
      <c r="GBX26" s="25"/>
      <c r="GBY26" s="25"/>
      <c r="GBZ26" s="25"/>
      <c r="GCA26" s="25"/>
      <c r="GCB26" s="25"/>
      <c r="GCC26" s="25"/>
      <c r="GCD26" s="25"/>
      <c r="GCE26" s="25"/>
      <c r="GCF26" s="25"/>
      <c r="GCG26" s="25"/>
      <c r="GCH26" s="25"/>
      <c r="GCI26" s="25"/>
      <c r="GCJ26" s="25"/>
      <c r="GCK26" s="25"/>
      <c r="GCL26" s="25"/>
      <c r="GCM26" s="25"/>
      <c r="GCN26" s="25"/>
      <c r="GCO26" s="25"/>
      <c r="GCP26" s="25"/>
      <c r="GCQ26" s="25"/>
      <c r="GCR26" s="25"/>
      <c r="GCS26" s="25"/>
      <c r="GCT26" s="25"/>
      <c r="GCU26" s="25"/>
      <c r="GCV26" s="25"/>
      <c r="GCW26" s="25"/>
      <c r="GCX26" s="25"/>
      <c r="GCY26" s="25"/>
      <c r="GCZ26" s="25"/>
      <c r="GDA26" s="25"/>
      <c r="GDB26" s="25"/>
      <c r="GDC26" s="25"/>
      <c r="GDD26" s="25"/>
      <c r="GDE26" s="25"/>
      <c r="GDF26" s="25"/>
      <c r="GDG26" s="25"/>
      <c r="GDH26" s="25"/>
      <c r="GDI26" s="25"/>
      <c r="GDJ26" s="25"/>
      <c r="GDK26" s="25"/>
      <c r="GDL26" s="25"/>
      <c r="GDM26" s="25"/>
      <c r="GDN26" s="25"/>
      <c r="GDO26" s="25"/>
      <c r="GDP26" s="25"/>
      <c r="GDQ26" s="25"/>
      <c r="GDR26" s="25"/>
      <c r="GDS26" s="25"/>
      <c r="GDT26" s="25"/>
      <c r="GDU26" s="25"/>
      <c r="GDV26" s="25"/>
      <c r="GDW26" s="25"/>
      <c r="GDX26" s="25"/>
      <c r="GDY26" s="25"/>
      <c r="GDZ26" s="25"/>
      <c r="GEA26" s="25"/>
      <c r="GEB26" s="25"/>
      <c r="GEC26" s="25"/>
      <c r="GED26" s="25"/>
      <c r="GEE26" s="25"/>
      <c r="GEF26" s="25"/>
      <c r="GEG26" s="25"/>
      <c r="GEH26" s="25"/>
      <c r="GEI26" s="25"/>
      <c r="GEJ26" s="25"/>
      <c r="GEK26" s="25"/>
      <c r="GEL26" s="25"/>
      <c r="GEM26" s="25"/>
      <c r="GEN26" s="25"/>
      <c r="GEO26" s="25"/>
      <c r="GEP26" s="25"/>
      <c r="GEQ26" s="25"/>
      <c r="GER26" s="25"/>
      <c r="GES26" s="25"/>
      <c r="GET26" s="25"/>
      <c r="GEU26" s="25"/>
      <c r="GEV26" s="25"/>
      <c r="GEW26" s="25"/>
      <c r="GEX26" s="25"/>
      <c r="GEY26" s="25"/>
      <c r="GEZ26" s="25"/>
      <c r="GFA26" s="25"/>
      <c r="GFB26" s="25"/>
      <c r="GFC26" s="25"/>
      <c r="GFD26" s="25"/>
      <c r="GFE26" s="25"/>
      <c r="GFF26" s="25"/>
      <c r="GFG26" s="25"/>
      <c r="GFH26" s="25"/>
      <c r="GFI26" s="25"/>
      <c r="GFJ26" s="25"/>
      <c r="GFK26" s="25"/>
      <c r="GFL26" s="25"/>
      <c r="GFM26" s="25"/>
      <c r="GFN26" s="25"/>
      <c r="GFO26" s="25"/>
      <c r="GFP26" s="25"/>
      <c r="GFQ26" s="25"/>
      <c r="GFR26" s="25"/>
      <c r="GFS26" s="25"/>
      <c r="GFT26" s="25"/>
      <c r="GFU26" s="25"/>
      <c r="GFV26" s="25"/>
      <c r="GFW26" s="25"/>
      <c r="GFX26" s="25"/>
      <c r="GFY26" s="25"/>
      <c r="GFZ26" s="25"/>
      <c r="GGA26" s="25"/>
      <c r="GGB26" s="25"/>
      <c r="GGC26" s="25"/>
      <c r="GGD26" s="25"/>
      <c r="GGE26" s="25"/>
      <c r="GGF26" s="25"/>
      <c r="GGG26" s="25"/>
      <c r="GGH26" s="25"/>
      <c r="GGI26" s="25"/>
      <c r="GGJ26" s="25"/>
      <c r="GGK26" s="25"/>
      <c r="GGL26" s="25"/>
      <c r="GGM26" s="25"/>
      <c r="GGN26" s="25"/>
      <c r="GGO26" s="25"/>
      <c r="GGP26" s="25"/>
      <c r="GGQ26" s="25"/>
      <c r="GGR26" s="25"/>
      <c r="GGS26" s="25"/>
      <c r="GGT26" s="25"/>
      <c r="GGU26" s="25"/>
      <c r="GGV26" s="25"/>
      <c r="GGW26" s="25"/>
      <c r="GGX26" s="25"/>
      <c r="GGY26" s="25"/>
      <c r="GGZ26" s="25"/>
      <c r="GHA26" s="25"/>
      <c r="GHB26" s="25"/>
      <c r="GHC26" s="25"/>
      <c r="GHD26" s="25"/>
      <c r="GHE26" s="25"/>
      <c r="GHF26" s="25"/>
      <c r="GHG26" s="25"/>
      <c r="GHH26" s="25"/>
      <c r="GHI26" s="25"/>
      <c r="GHJ26" s="25"/>
      <c r="GHK26" s="25"/>
      <c r="GHL26" s="25"/>
      <c r="GHM26" s="25"/>
      <c r="GHN26" s="25"/>
      <c r="GHO26" s="25"/>
      <c r="GHP26" s="25"/>
      <c r="GHQ26" s="25"/>
      <c r="GHR26" s="25"/>
      <c r="GHS26" s="25"/>
      <c r="GHT26" s="25"/>
      <c r="GHU26" s="25"/>
      <c r="GHV26" s="25"/>
      <c r="GHW26" s="25"/>
      <c r="GHX26" s="25"/>
      <c r="GHY26" s="25"/>
      <c r="GHZ26" s="25"/>
      <c r="GIA26" s="25"/>
      <c r="GIB26" s="25"/>
      <c r="GIC26" s="25"/>
      <c r="GID26" s="25"/>
      <c r="GIE26" s="25"/>
      <c r="GIF26" s="25"/>
      <c r="GIG26" s="25"/>
      <c r="GIH26" s="25"/>
      <c r="GII26" s="25"/>
      <c r="GIJ26" s="25"/>
      <c r="GIK26" s="25"/>
      <c r="GIL26" s="25"/>
      <c r="GIM26" s="25"/>
      <c r="GIN26" s="25"/>
      <c r="GIO26" s="25"/>
      <c r="GIP26" s="25"/>
      <c r="GIQ26" s="25"/>
      <c r="GIR26" s="25"/>
      <c r="GIS26" s="25"/>
      <c r="GIT26" s="25"/>
      <c r="GIU26" s="25"/>
      <c r="GIV26" s="25"/>
      <c r="GIW26" s="25"/>
      <c r="GIX26" s="25"/>
      <c r="GIY26" s="25"/>
      <c r="GIZ26" s="25"/>
      <c r="GJA26" s="25"/>
      <c r="GJB26" s="25"/>
      <c r="GJC26" s="25"/>
      <c r="GJD26" s="25"/>
      <c r="GJE26" s="25"/>
      <c r="GJF26" s="25"/>
      <c r="GJG26" s="25"/>
      <c r="GJH26" s="25"/>
      <c r="GJI26" s="25"/>
      <c r="GJJ26" s="25"/>
      <c r="GJK26" s="25"/>
      <c r="GJL26" s="25"/>
      <c r="GJM26" s="25"/>
      <c r="GJN26" s="25"/>
      <c r="GJO26" s="25"/>
      <c r="GJP26" s="25"/>
      <c r="GJQ26" s="25"/>
      <c r="GJR26" s="25"/>
      <c r="GJS26" s="25"/>
      <c r="GJT26" s="25"/>
      <c r="GJU26" s="25"/>
      <c r="GJV26" s="25"/>
      <c r="GJW26" s="25"/>
      <c r="GJX26" s="25"/>
      <c r="GJY26" s="25"/>
      <c r="GJZ26" s="25"/>
      <c r="GKA26" s="25"/>
      <c r="GKB26" s="25"/>
      <c r="GKC26" s="25"/>
      <c r="GKD26" s="25"/>
      <c r="GKE26" s="25"/>
      <c r="GKF26" s="25"/>
      <c r="GKG26" s="25"/>
      <c r="GKH26" s="25"/>
      <c r="GKI26" s="25"/>
      <c r="GKJ26" s="25"/>
      <c r="GKK26" s="25"/>
      <c r="GKL26" s="25"/>
      <c r="GKM26" s="25"/>
      <c r="GKN26" s="25"/>
      <c r="GKO26" s="25"/>
      <c r="GKP26" s="25"/>
      <c r="GKQ26" s="25"/>
      <c r="GKR26" s="25"/>
      <c r="GKS26" s="25"/>
      <c r="GKT26" s="25"/>
      <c r="GKU26" s="25"/>
      <c r="GKV26" s="25"/>
      <c r="GKW26" s="25"/>
      <c r="GKX26" s="25"/>
      <c r="GKY26" s="25"/>
      <c r="GKZ26" s="25"/>
      <c r="GLA26" s="25"/>
      <c r="GLB26" s="25"/>
      <c r="GLC26" s="25"/>
      <c r="GLD26" s="25"/>
      <c r="GLE26" s="25"/>
      <c r="GLF26" s="25"/>
      <c r="GLG26" s="25"/>
      <c r="GLH26" s="25"/>
      <c r="GLI26" s="25"/>
      <c r="GLJ26" s="25"/>
      <c r="GLK26" s="25"/>
      <c r="GLL26" s="25"/>
      <c r="GLM26" s="25"/>
      <c r="GLN26" s="25"/>
      <c r="GLO26" s="25"/>
      <c r="GLP26" s="25"/>
      <c r="GLQ26" s="25"/>
      <c r="GLR26" s="25"/>
      <c r="GLS26" s="25"/>
      <c r="GLT26" s="25"/>
      <c r="GLU26" s="25"/>
      <c r="GLV26" s="25"/>
      <c r="GLW26" s="25"/>
      <c r="GLX26" s="25"/>
      <c r="GLY26" s="25"/>
      <c r="GLZ26" s="25"/>
      <c r="GMA26" s="25"/>
      <c r="GMB26" s="25"/>
      <c r="GMC26" s="25"/>
      <c r="GMD26" s="25"/>
      <c r="GME26" s="25"/>
      <c r="GMF26" s="25"/>
      <c r="GMG26" s="25"/>
      <c r="GMH26" s="25"/>
      <c r="GMI26" s="25"/>
      <c r="GMJ26" s="25"/>
      <c r="GMK26" s="25"/>
      <c r="GML26" s="25"/>
      <c r="GMM26" s="25"/>
      <c r="GMN26" s="25"/>
      <c r="GMO26" s="25"/>
      <c r="GMP26" s="25"/>
      <c r="GMQ26" s="25"/>
      <c r="GMR26" s="25"/>
      <c r="GMS26" s="25"/>
      <c r="GMT26" s="25"/>
      <c r="GMU26" s="25"/>
      <c r="GMV26" s="25"/>
      <c r="GMW26" s="25"/>
      <c r="GMX26" s="25"/>
      <c r="GMY26" s="25"/>
      <c r="GMZ26" s="25"/>
      <c r="GNA26" s="25"/>
      <c r="GNB26" s="25"/>
      <c r="GNC26" s="25"/>
      <c r="GND26" s="25"/>
      <c r="GNE26" s="25"/>
      <c r="GNF26" s="25"/>
      <c r="GNG26" s="25"/>
      <c r="GNH26" s="25"/>
      <c r="GNI26" s="25"/>
      <c r="GNJ26" s="25"/>
      <c r="GNK26" s="25"/>
      <c r="GNL26" s="25"/>
      <c r="GNM26" s="25"/>
      <c r="GNN26" s="25"/>
      <c r="GNO26" s="25"/>
      <c r="GNP26" s="25"/>
      <c r="GNQ26" s="25"/>
      <c r="GNR26" s="25"/>
      <c r="GNS26" s="25"/>
      <c r="GNT26" s="25"/>
      <c r="GNU26" s="25"/>
      <c r="GNV26" s="25"/>
      <c r="GNW26" s="25"/>
      <c r="GNX26" s="25"/>
      <c r="GNY26" s="25"/>
      <c r="GNZ26" s="25"/>
      <c r="GOA26" s="25"/>
      <c r="GOB26" s="25"/>
      <c r="GOC26" s="25"/>
      <c r="GOD26" s="25"/>
      <c r="GOE26" s="25"/>
      <c r="GOF26" s="25"/>
      <c r="GOG26" s="25"/>
      <c r="GOH26" s="25"/>
      <c r="GOI26" s="25"/>
      <c r="GOJ26" s="25"/>
      <c r="GOK26" s="25"/>
      <c r="GOL26" s="25"/>
      <c r="GOM26" s="25"/>
      <c r="GON26" s="25"/>
      <c r="GOO26" s="25"/>
      <c r="GOP26" s="25"/>
      <c r="GOQ26" s="25"/>
      <c r="GOR26" s="25"/>
      <c r="GOS26" s="25"/>
      <c r="GOT26" s="25"/>
      <c r="GOU26" s="25"/>
      <c r="GOV26" s="25"/>
      <c r="GOW26" s="25"/>
      <c r="GOX26" s="25"/>
      <c r="GOY26" s="25"/>
      <c r="GOZ26" s="25"/>
      <c r="GPA26" s="25"/>
      <c r="GPB26" s="25"/>
      <c r="GPC26" s="25"/>
      <c r="GPD26" s="25"/>
      <c r="GPE26" s="25"/>
      <c r="GPF26" s="25"/>
      <c r="GPG26" s="25"/>
      <c r="GPH26" s="25"/>
      <c r="GPI26" s="25"/>
      <c r="GPJ26" s="25"/>
      <c r="GPK26" s="25"/>
      <c r="GPL26" s="25"/>
      <c r="GPM26" s="25"/>
      <c r="GPN26" s="25"/>
      <c r="GPO26" s="25"/>
      <c r="GPP26" s="25"/>
      <c r="GPQ26" s="25"/>
      <c r="GPR26" s="25"/>
      <c r="GPS26" s="25"/>
      <c r="GPT26" s="25"/>
      <c r="GPU26" s="25"/>
      <c r="GPV26" s="25"/>
      <c r="GPW26" s="25"/>
      <c r="GPX26" s="25"/>
      <c r="GPY26" s="25"/>
      <c r="GPZ26" s="25"/>
      <c r="GQA26" s="25"/>
      <c r="GQB26" s="25"/>
      <c r="GQC26" s="25"/>
      <c r="GQD26" s="25"/>
      <c r="GQE26" s="25"/>
      <c r="GQF26" s="25"/>
      <c r="GQG26" s="25"/>
      <c r="GQH26" s="25"/>
      <c r="GQI26" s="25"/>
      <c r="GQJ26" s="25"/>
      <c r="GQK26" s="25"/>
      <c r="GQL26" s="25"/>
      <c r="GQM26" s="25"/>
      <c r="GQN26" s="25"/>
      <c r="GQO26" s="25"/>
      <c r="GQP26" s="25"/>
      <c r="GQQ26" s="25"/>
      <c r="GQR26" s="25"/>
      <c r="GQS26" s="25"/>
      <c r="GQT26" s="25"/>
      <c r="GQU26" s="25"/>
      <c r="GQV26" s="25"/>
      <c r="GQW26" s="25"/>
      <c r="GQX26" s="25"/>
      <c r="GQY26" s="25"/>
      <c r="GQZ26" s="25"/>
      <c r="GRA26" s="25"/>
      <c r="GRB26" s="25"/>
      <c r="GRC26" s="25"/>
      <c r="GRD26" s="25"/>
      <c r="GRE26" s="25"/>
      <c r="GRF26" s="25"/>
      <c r="GRG26" s="25"/>
      <c r="GRH26" s="25"/>
      <c r="GRI26" s="25"/>
      <c r="GRJ26" s="25"/>
      <c r="GRK26" s="25"/>
      <c r="GRL26" s="25"/>
      <c r="GRM26" s="25"/>
      <c r="GRN26" s="25"/>
      <c r="GRO26" s="25"/>
      <c r="GRP26" s="25"/>
      <c r="GRQ26" s="25"/>
      <c r="GRR26" s="25"/>
      <c r="GRS26" s="25"/>
      <c r="GRT26" s="25"/>
      <c r="GRU26" s="25"/>
      <c r="GRV26" s="25"/>
      <c r="GRW26" s="25"/>
      <c r="GRX26" s="25"/>
      <c r="GRY26" s="25"/>
      <c r="GRZ26" s="25"/>
      <c r="GSA26" s="25"/>
      <c r="GSB26" s="25"/>
      <c r="GSC26" s="25"/>
      <c r="GSD26" s="25"/>
      <c r="GSE26" s="25"/>
      <c r="GSF26" s="25"/>
      <c r="GSG26" s="25"/>
      <c r="GSH26" s="25"/>
      <c r="GSI26" s="25"/>
      <c r="GSJ26" s="25"/>
      <c r="GSK26" s="25"/>
      <c r="GSL26" s="25"/>
      <c r="GSM26" s="25"/>
      <c r="GSN26" s="25"/>
      <c r="GSO26" s="25"/>
      <c r="GSP26" s="25"/>
      <c r="GSQ26" s="25"/>
      <c r="GSR26" s="25"/>
      <c r="GSS26" s="25"/>
      <c r="GST26" s="25"/>
      <c r="GSU26" s="25"/>
      <c r="GSV26" s="25"/>
      <c r="GSW26" s="25"/>
      <c r="GSX26" s="25"/>
      <c r="GSY26" s="25"/>
      <c r="GSZ26" s="25"/>
      <c r="GTA26" s="25"/>
      <c r="GTB26" s="25"/>
      <c r="GTC26" s="25"/>
      <c r="GTD26" s="25"/>
      <c r="GTE26" s="25"/>
      <c r="GTF26" s="25"/>
      <c r="GTG26" s="25"/>
      <c r="GTH26" s="25"/>
      <c r="GTI26" s="25"/>
      <c r="GTJ26" s="25"/>
      <c r="GTK26" s="25"/>
      <c r="GTL26" s="25"/>
      <c r="GTM26" s="25"/>
      <c r="GTN26" s="25"/>
      <c r="GTO26" s="25"/>
      <c r="GTP26" s="25"/>
      <c r="GTQ26" s="25"/>
      <c r="GTR26" s="25"/>
      <c r="GTS26" s="25"/>
      <c r="GTT26" s="25"/>
      <c r="GTU26" s="25"/>
      <c r="GTV26" s="25"/>
      <c r="GTW26" s="25"/>
      <c r="GTX26" s="25"/>
      <c r="GTY26" s="25"/>
      <c r="GTZ26" s="25"/>
      <c r="GUA26" s="25"/>
      <c r="GUB26" s="25"/>
      <c r="GUC26" s="25"/>
      <c r="GUD26" s="25"/>
      <c r="GUE26" s="25"/>
      <c r="GUF26" s="25"/>
      <c r="GUG26" s="25"/>
      <c r="GUH26" s="25"/>
      <c r="GUI26" s="25"/>
      <c r="GUJ26" s="25"/>
      <c r="GUK26" s="25"/>
      <c r="GUL26" s="25"/>
      <c r="GUM26" s="25"/>
      <c r="GUN26" s="25"/>
      <c r="GUO26" s="25"/>
      <c r="GUP26" s="25"/>
      <c r="GUQ26" s="25"/>
      <c r="GUR26" s="25"/>
      <c r="GUS26" s="25"/>
      <c r="GUT26" s="25"/>
      <c r="GUU26" s="25"/>
      <c r="GUV26" s="25"/>
      <c r="GUW26" s="25"/>
      <c r="GUX26" s="25"/>
      <c r="GUY26" s="25"/>
      <c r="GUZ26" s="25"/>
      <c r="GVA26" s="25"/>
      <c r="GVB26" s="25"/>
      <c r="GVC26" s="25"/>
      <c r="GVD26" s="25"/>
      <c r="GVE26" s="25"/>
      <c r="GVF26" s="25"/>
      <c r="GVG26" s="25"/>
      <c r="GVH26" s="25"/>
      <c r="GVI26" s="25"/>
      <c r="GVJ26" s="25"/>
      <c r="GVK26" s="25"/>
      <c r="GVL26" s="25"/>
      <c r="GVM26" s="25"/>
      <c r="GVN26" s="25"/>
      <c r="GVO26" s="25"/>
      <c r="GVP26" s="25"/>
      <c r="GVQ26" s="25"/>
      <c r="GVR26" s="25"/>
      <c r="GVS26" s="25"/>
      <c r="GVT26" s="25"/>
      <c r="GVU26" s="25"/>
      <c r="GVV26" s="25"/>
      <c r="GVW26" s="25"/>
      <c r="GVX26" s="25"/>
      <c r="GVY26" s="25"/>
      <c r="GVZ26" s="25"/>
      <c r="GWA26" s="25"/>
      <c r="GWB26" s="25"/>
      <c r="GWC26" s="25"/>
      <c r="GWD26" s="25"/>
      <c r="GWE26" s="25"/>
      <c r="GWF26" s="25"/>
      <c r="GWG26" s="25"/>
      <c r="GWH26" s="25"/>
      <c r="GWI26" s="25"/>
      <c r="GWJ26" s="25"/>
      <c r="GWK26" s="25"/>
      <c r="GWL26" s="25"/>
      <c r="GWM26" s="25"/>
      <c r="GWN26" s="25"/>
      <c r="GWO26" s="25"/>
      <c r="GWP26" s="25"/>
      <c r="GWQ26" s="25"/>
      <c r="GWR26" s="25"/>
      <c r="GWS26" s="25"/>
      <c r="GWT26" s="25"/>
      <c r="GWU26" s="25"/>
      <c r="GWV26" s="25"/>
      <c r="GWW26" s="25"/>
      <c r="GWX26" s="25"/>
      <c r="GWY26" s="25"/>
      <c r="GWZ26" s="25"/>
      <c r="GXA26" s="25"/>
      <c r="GXB26" s="25"/>
      <c r="GXC26" s="25"/>
      <c r="GXD26" s="25"/>
      <c r="GXE26" s="25"/>
      <c r="GXF26" s="25"/>
      <c r="GXG26" s="25"/>
      <c r="GXH26" s="25"/>
      <c r="GXI26" s="25"/>
      <c r="GXJ26" s="25"/>
      <c r="GXK26" s="25"/>
      <c r="GXL26" s="25"/>
      <c r="GXM26" s="25"/>
      <c r="GXN26" s="25"/>
      <c r="GXO26" s="25"/>
      <c r="GXP26" s="25"/>
      <c r="GXQ26" s="25"/>
      <c r="GXR26" s="25"/>
      <c r="GXS26" s="25"/>
      <c r="GXT26" s="25"/>
      <c r="GXU26" s="25"/>
      <c r="GXV26" s="25"/>
      <c r="GXW26" s="25"/>
      <c r="GXX26" s="25"/>
      <c r="GXY26" s="25"/>
      <c r="GXZ26" s="25"/>
      <c r="GYA26" s="25"/>
      <c r="GYB26" s="25"/>
      <c r="GYC26" s="25"/>
      <c r="GYD26" s="25"/>
      <c r="GYE26" s="25"/>
      <c r="GYF26" s="25"/>
      <c r="GYG26" s="25"/>
      <c r="GYH26" s="25"/>
      <c r="GYI26" s="25"/>
      <c r="GYJ26" s="25"/>
      <c r="GYK26" s="25"/>
      <c r="GYL26" s="25"/>
      <c r="GYM26" s="25"/>
      <c r="GYN26" s="25"/>
      <c r="GYO26" s="25"/>
      <c r="GYP26" s="25"/>
      <c r="GYQ26" s="25"/>
      <c r="GYR26" s="25"/>
      <c r="GYS26" s="25"/>
      <c r="GYT26" s="25"/>
      <c r="GYU26" s="25"/>
      <c r="GYV26" s="25"/>
      <c r="GYW26" s="25"/>
      <c r="GYX26" s="25"/>
      <c r="GYY26" s="25"/>
      <c r="GYZ26" s="25"/>
      <c r="GZA26" s="25"/>
      <c r="GZB26" s="25"/>
      <c r="GZC26" s="25"/>
      <c r="GZD26" s="25"/>
      <c r="GZE26" s="25"/>
      <c r="GZF26" s="25"/>
      <c r="GZG26" s="25"/>
      <c r="GZH26" s="25"/>
      <c r="GZI26" s="25"/>
      <c r="GZJ26" s="25"/>
      <c r="GZK26" s="25"/>
      <c r="GZL26" s="25"/>
      <c r="GZM26" s="25"/>
      <c r="GZN26" s="25"/>
      <c r="GZO26" s="25"/>
      <c r="GZP26" s="25"/>
      <c r="GZQ26" s="25"/>
      <c r="GZR26" s="25"/>
      <c r="GZS26" s="25"/>
      <c r="GZT26" s="25"/>
      <c r="GZU26" s="25"/>
      <c r="GZV26" s="25"/>
      <c r="GZW26" s="25"/>
      <c r="GZX26" s="25"/>
      <c r="GZY26" s="25"/>
      <c r="GZZ26" s="25"/>
      <c r="HAA26" s="25"/>
      <c r="HAB26" s="25"/>
      <c r="HAC26" s="25"/>
      <c r="HAD26" s="25"/>
      <c r="HAE26" s="25"/>
      <c r="HAF26" s="25"/>
      <c r="HAG26" s="25"/>
      <c r="HAH26" s="25"/>
      <c r="HAI26" s="25"/>
      <c r="HAJ26" s="25"/>
      <c r="HAK26" s="25"/>
      <c r="HAL26" s="25"/>
      <c r="HAM26" s="25"/>
      <c r="HAN26" s="25"/>
      <c r="HAO26" s="25"/>
      <c r="HAP26" s="25"/>
      <c r="HAQ26" s="25"/>
      <c r="HAR26" s="25"/>
      <c r="HAS26" s="25"/>
      <c r="HAT26" s="25"/>
      <c r="HAU26" s="25"/>
      <c r="HAV26" s="25"/>
      <c r="HAW26" s="25"/>
      <c r="HAX26" s="25"/>
      <c r="HAY26" s="25"/>
      <c r="HAZ26" s="25"/>
      <c r="HBA26" s="25"/>
      <c r="HBB26" s="25"/>
      <c r="HBC26" s="25"/>
      <c r="HBD26" s="25"/>
      <c r="HBE26" s="25"/>
      <c r="HBF26" s="25"/>
      <c r="HBG26" s="25"/>
      <c r="HBH26" s="25"/>
      <c r="HBI26" s="25"/>
      <c r="HBJ26" s="25"/>
      <c r="HBK26" s="25"/>
      <c r="HBL26" s="25"/>
      <c r="HBM26" s="25"/>
      <c r="HBN26" s="25"/>
      <c r="HBO26" s="25"/>
      <c r="HBP26" s="25"/>
      <c r="HBQ26" s="25"/>
      <c r="HBR26" s="25"/>
      <c r="HBS26" s="25"/>
      <c r="HBT26" s="25"/>
      <c r="HBU26" s="25"/>
      <c r="HBV26" s="25"/>
      <c r="HBW26" s="25"/>
      <c r="HBX26" s="25"/>
      <c r="HBY26" s="25"/>
      <c r="HBZ26" s="25"/>
      <c r="HCA26" s="25"/>
      <c r="HCB26" s="25"/>
      <c r="HCC26" s="25"/>
      <c r="HCD26" s="25"/>
      <c r="HCE26" s="25"/>
      <c r="HCF26" s="25"/>
      <c r="HCG26" s="25"/>
      <c r="HCH26" s="25"/>
      <c r="HCI26" s="25"/>
      <c r="HCJ26" s="25"/>
      <c r="HCK26" s="25"/>
      <c r="HCL26" s="25"/>
      <c r="HCM26" s="25"/>
      <c r="HCN26" s="25"/>
      <c r="HCO26" s="25"/>
      <c r="HCP26" s="25"/>
      <c r="HCQ26" s="25"/>
      <c r="HCR26" s="25"/>
      <c r="HCS26" s="25"/>
      <c r="HCT26" s="25"/>
      <c r="HCU26" s="25"/>
      <c r="HCV26" s="25"/>
      <c r="HCW26" s="25"/>
      <c r="HCX26" s="25"/>
      <c r="HCY26" s="25"/>
      <c r="HCZ26" s="25"/>
      <c r="HDA26" s="25"/>
      <c r="HDB26" s="25"/>
      <c r="HDC26" s="25"/>
      <c r="HDD26" s="25"/>
      <c r="HDE26" s="25"/>
      <c r="HDF26" s="25"/>
      <c r="HDG26" s="25"/>
      <c r="HDH26" s="25"/>
      <c r="HDI26" s="25"/>
      <c r="HDJ26" s="25"/>
      <c r="HDK26" s="25"/>
      <c r="HDL26" s="25"/>
      <c r="HDM26" s="25"/>
      <c r="HDN26" s="25"/>
      <c r="HDO26" s="25"/>
      <c r="HDP26" s="25"/>
      <c r="HDQ26" s="25"/>
      <c r="HDR26" s="25"/>
      <c r="HDS26" s="25"/>
      <c r="HDT26" s="25"/>
      <c r="HDU26" s="25"/>
      <c r="HDV26" s="25"/>
      <c r="HDW26" s="25"/>
      <c r="HDX26" s="25"/>
      <c r="HDY26" s="25"/>
      <c r="HDZ26" s="25"/>
      <c r="HEA26" s="25"/>
      <c r="HEB26" s="25"/>
      <c r="HEC26" s="25"/>
      <c r="HED26" s="25"/>
      <c r="HEE26" s="25"/>
      <c r="HEF26" s="25"/>
      <c r="HEG26" s="25"/>
      <c r="HEH26" s="25"/>
      <c r="HEI26" s="25"/>
      <c r="HEJ26" s="25"/>
      <c r="HEK26" s="25"/>
      <c r="HEL26" s="25"/>
      <c r="HEM26" s="25"/>
      <c r="HEN26" s="25"/>
      <c r="HEO26" s="25"/>
      <c r="HEP26" s="25"/>
      <c r="HEQ26" s="25"/>
      <c r="HER26" s="25"/>
      <c r="HES26" s="25"/>
      <c r="HET26" s="25"/>
      <c r="HEU26" s="25"/>
      <c r="HEV26" s="25"/>
      <c r="HEW26" s="25"/>
      <c r="HEX26" s="25"/>
      <c r="HEY26" s="25"/>
      <c r="HEZ26" s="25"/>
      <c r="HFA26" s="25"/>
      <c r="HFB26" s="25"/>
      <c r="HFC26" s="25"/>
      <c r="HFD26" s="25"/>
      <c r="HFE26" s="25"/>
      <c r="HFF26" s="25"/>
      <c r="HFG26" s="25"/>
      <c r="HFH26" s="25"/>
      <c r="HFI26" s="25"/>
      <c r="HFJ26" s="25"/>
      <c r="HFK26" s="25"/>
      <c r="HFL26" s="25"/>
      <c r="HFM26" s="25"/>
      <c r="HFN26" s="25"/>
      <c r="HFO26" s="25"/>
      <c r="HFP26" s="25"/>
      <c r="HFQ26" s="25"/>
      <c r="HFR26" s="25"/>
      <c r="HFS26" s="25"/>
      <c r="HFT26" s="25"/>
      <c r="HFU26" s="25"/>
      <c r="HFV26" s="25"/>
      <c r="HFW26" s="25"/>
      <c r="HFX26" s="25"/>
      <c r="HFY26" s="25"/>
      <c r="HFZ26" s="25"/>
      <c r="HGA26" s="25"/>
      <c r="HGB26" s="25"/>
      <c r="HGC26" s="25"/>
      <c r="HGD26" s="25"/>
      <c r="HGE26" s="25"/>
      <c r="HGF26" s="25"/>
      <c r="HGG26" s="25"/>
      <c r="HGH26" s="25"/>
      <c r="HGI26" s="25"/>
      <c r="HGJ26" s="25"/>
      <c r="HGK26" s="25"/>
      <c r="HGL26" s="25"/>
      <c r="HGM26" s="25"/>
      <c r="HGN26" s="25"/>
      <c r="HGO26" s="25"/>
      <c r="HGP26" s="25"/>
      <c r="HGQ26" s="25"/>
      <c r="HGR26" s="25"/>
      <c r="HGS26" s="25"/>
      <c r="HGT26" s="25"/>
      <c r="HGU26" s="25"/>
      <c r="HGV26" s="25"/>
      <c r="HGW26" s="25"/>
      <c r="HGX26" s="25"/>
      <c r="HGY26" s="25"/>
      <c r="HGZ26" s="25"/>
      <c r="HHA26" s="25"/>
      <c r="HHB26" s="25"/>
      <c r="HHC26" s="25"/>
      <c r="HHD26" s="25"/>
      <c r="HHE26" s="25"/>
      <c r="HHF26" s="25"/>
      <c r="HHG26" s="25"/>
      <c r="HHH26" s="25"/>
      <c r="HHI26" s="25"/>
      <c r="HHJ26" s="25"/>
      <c r="HHK26" s="25"/>
      <c r="HHL26" s="25"/>
      <c r="HHM26" s="25"/>
      <c r="HHN26" s="25"/>
      <c r="HHO26" s="25"/>
      <c r="HHP26" s="25"/>
      <c r="HHQ26" s="25"/>
      <c r="HHR26" s="25"/>
      <c r="HHS26" s="25"/>
      <c r="HHT26" s="25"/>
      <c r="HHU26" s="25"/>
      <c r="HHV26" s="25"/>
      <c r="HHW26" s="25"/>
      <c r="HHX26" s="25"/>
      <c r="HHY26" s="25"/>
      <c r="HHZ26" s="25"/>
      <c r="HIA26" s="25"/>
      <c r="HIB26" s="25"/>
      <c r="HIC26" s="25"/>
      <c r="HID26" s="25"/>
      <c r="HIE26" s="25"/>
      <c r="HIF26" s="25"/>
      <c r="HIG26" s="25"/>
      <c r="HIH26" s="25"/>
      <c r="HII26" s="25"/>
      <c r="HIJ26" s="25"/>
      <c r="HIK26" s="25"/>
      <c r="HIL26" s="25"/>
      <c r="HIM26" s="25"/>
      <c r="HIN26" s="25"/>
      <c r="HIO26" s="25"/>
      <c r="HIP26" s="25"/>
      <c r="HIQ26" s="25"/>
      <c r="HIR26" s="25"/>
      <c r="HIS26" s="25"/>
      <c r="HIT26" s="25"/>
      <c r="HIU26" s="25"/>
      <c r="HIV26" s="25"/>
      <c r="HIW26" s="25"/>
      <c r="HIX26" s="25"/>
      <c r="HIY26" s="25"/>
      <c r="HIZ26" s="25"/>
      <c r="HJA26" s="25"/>
      <c r="HJB26" s="25"/>
      <c r="HJC26" s="25"/>
      <c r="HJD26" s="25"/>
      <c r="HJE26" s="25"/>
      <c r="HJF26" s="25"/>
      <c r="HJG26" s="25"/>
      <c r="HJH26" s="25"/>
      <c r="HJI26" s="25"/>
      <c r="HJJ26" s="25"/>
      <c r="HJK26" s="25"/>
      <c r="HJL26" s="25"/>
      <c r="HJM26" s="25"/>
      <c r="HJN26" s="25"/>
      <c r="HJO26" s="25"/>
      <c r="HJP26" s="25"/>
      <c r="HJQ26" s="25"/>
      <c r="HJR26" s="25"/>
      <c r="HJS26" s="25"/>
      <c r="HJT26" s="25"/>
      <c r="HJU26" s="25"/>
      <c r="HJV26" s="25"/>
      <c r="HJW26" s="25"/>
      <c r="HJX26" s="25"/>
      <c r="HJY26" s="25"/>
      <c r="HJZ26" s="25"/>
      <c r="HKA26" s="25"/>
      <c r="HKB26" s="25"/>
      <c r="HKC26" s="25"/>
      <c r="HKD26" s="25"/>
      <c r="HKE26" s="25"/>
      <c r="HKF26" s="25"/>
      <c r="HKG26" s="25"/>
      <c r="HKH26" s="25"/>
      <c r="HKI26" s="25"/>
      <c r="HKJ26" s="25"/>
      <c r="HKK26" s="25"/>
      <c r="HKL26" s="25"/>
      <c r="HKM26" s="25"/>
      <c r="HKN26" s="25"/>
      <c r="HKO26" s="25"/>
      <c r="HKP26" s="25"/>
      <c r="HKQ26" s="25"/>
      <c r="HKR26" s="25"/>
      <c r="HKS26" s="25"/>
      <c r="HKT26" s="25"/>
      <c r="HKU26" s="25"/>
      <c r="HKV26" s="25"/>
      <c r="HKW26" s="25"/>
      <c r="HKX26" s="25"/>
      <c r="HKY26" s="25"/>
      <c r="HKZ26" s="25"/>
      <c r="HLA26" s="25"/>
      <c r="HLB26" s="25"/>
      <c r="HLC26" s="25"/>
      <c r="HLD26" s="25"/>
      <c r="HLE26" s="25"/>
      <c r="HLF26" s="25"/>
      <c r="HLG26" s="25"/>
      <c r="HLH26" s="25"/>
      <c r="HLI26" s="25"/>
      <c r="HLJ26" s="25"/>
      <c r="HLK26" s="25"/>
      <c r="HLL26" s="25"/>
      <c r="HLM26" s="25"/>
      <c r="HLN26" s="25"/>
      <c r="HLO26" s="25"/>
      <c r="HLP26" s="25"/>
      <c r="HLQ26" s="25"/>
      <c r="HLR26" s="25"/>
      <c r="HLS26" s="25"/>
      <c r="HLT26" s="25"/>
      <c r="HLU26" s="25"/>
      <c r="HLV26" s="25"/>
      <c r="HLW26" s="25"/>
      <c r="HLX26" s="25"/>
      <c r="HLY26" s="25"/>
      <c r="HLZ26" s="25"/>
      <c r="HMA26" s="25"/>
      <c r="HMB26" s="25"/>
      <c r="HMC26" s="25"/>
      <c r="HMD26" s="25"/>
      <c r="HME26" s="25"/>
      <c r="HMF26" s="25"/>
      <c r="HMG26" s="25"/>
      <c r="HMH26" s="25"/>
      <c r="HMI26" s="25"/>
      <c r="HMJ26" s="25"/>
      <c r="HMK26" s="25"/>
      <c r="HML26" s="25"/>
      <c r="HMM26" s="25"/>
      <c r="HMN26" s="25"/>
      <c r="HMO26" s="25"/>
      <c r="HMP26" s="25"/>
      <c r="HMQ26" s="25"/>
      <c r="HMR26" s="25"/>
      <c r="HMS26" s="25"/>
      <c r="HMT26" s="25"/>
      <c r="HMU26" s="25"/>
      <c r="HMV26" s="25"/>
      <c r="HMW26" s="25"/>
      <c r="HMX26" s="25"/>
      <c r="HMY26" s="25"/>
      <c r="HMZ26" s="25"/>
      <c r="HNA26" s="25"/>
      <c r="HNB26" s="25"/>
      <c r="HNC26" s="25"/>
      <c r="HND26" s="25"/>
      <c r="HNE26" s="25"/>
      <c r="HNF26" s="25"/>
      <c r="HNG26" s="25"/>
      <c r="HNH26" s="25"/>
      <c r="HNI26" s="25"/>
      <c r="HNJ26" s="25"/>
      <c r="HNK26" s="25"/>
      <c r="HNL26" s="25"/>
      <c r="HNM26" s="25"/>
      <c r="HNN26" s="25"/>
      <c r="HNO26" s="25"/>
      <c r="HNP26" s="25"/>
      <c r="HNQ26" s="25"/>
      <c r="HNR26" s="25"/>
      <c r="HNS26" s="25"/>
      <c r="HNT26" s="25"/>
      <c r="HNU26" s="25"/>
      <c r="HNV26" s="25"/>
      <c r="HNW26" s="25"/>
      <c r="HNX26" s="25"/>
      <c r="HNY26" s="25"/>
      <c r="HNZ26" s="25"/>
      <c r="HOA26" s="25"/>
      <c r="HOB26" s="25"/>
      <c r="HOC26" s="25"/>
      <c r="HOD26" s="25"/>
      <c r="HOE26" s="25"/>
      <c r="HOF26" s="25"/>
      <c r="HOG26" s="25"/>
      <c r="HOH26" s="25"/>
      <c r="HOI26" s="25"/>
      <c r="HOJ26" s="25"/>
      <c r="HOK26" s="25"/>
      <c r="HOL26" s="25"/>
      <c r="HOM26" s="25"/>
      <c r="HON26" s="25"/>
      <c r="HOO26" s="25"/>
      <c r="HOP26" s="25"/>
      <c r="HOQ26" s="25"/>
      <c r="HOR26" s="25"/>
      <c r="HOS26" s="25"/>
      <c r="HOT26" s="25"/>
      <c r="HOU26" s="25"/>
      <c r="HOV26" s="25"/>
      <c r="HOW26" s="25"/>
      <c r="HOX26" s="25"/>
      <c r="HOY26" s="25"/>
      <c r="HOZ26" s="25"/>
      <c r="HPA26" s="25"/>
      <c r="HPB26" s="25"/>
      <c r="HPC26" s="25"/>
      <c r="HPD26" s="25"/>
      <c r="HPE26" s="25"/>
      <c r="HPF26" s="25"/>
      <c r="HPG26" s="25"/>
      <c r="HPH26" s="25"/>
      <c r="HPI26" s="25"/>
      <c r="HPJ26" s="25"/>
      <c r="HPK26" s="25"/>
      <c r="HPL26" s="25"/>
      <c r="HPM26" s="25"/>
      <c r="HPN26" s="25"/>
      <c r="HPO26" s="25"/>
      <c r="HPP26" s="25"/>
      <c r="HPQ26" s="25"/>
      <c r="HPR26" s="25"/>
      <c r="HPS26" s="25"/>
      <c r="HPT26" s="25"/>
      <c r="HPU26" s="25"/>
      <c r="HPV26" s="25"/>
      <c r="HPW26" s="25"/>
      <c r="HPX26" s="25"/>
      <c r="HPY26" s="25"/>
      <c r="HPZ26" s="25"/>
      <c r="HQA26" s="25"/>
      <c r="HQB26" s="25"/>
      <c r="HQC26" s="25"/>
      <c r="HQD26" s="25"/>
      <c r="HQE26" s="25"/>
      <c r="HQF26" s="25"/>
      <c r="HQG26" s="25"/>
      <c r="HQH26" s="25"/>
      <c r="HQI26" s="25"/>
      <c r="HQJ26" s="25"/>
      <c r="HQK26" s="25"/>
      <c r="HQL26" s="25"/>
      <c r="HQM26" s="25"/>
      <c r="HQN26" s="25"/>
      <c r="HQO26" s="25"/>
      <c r="HQP26" s="25"/>
      <c r="HQQ26" s="25"/>
      <c r="HQR26" s="25"/>
      <c r="HQS26" s="25"/>
      <c r="HQT26" s="25"/>
      <c r="HQU26" s="25"/>
      <c r="HQV26" s="25"/>
      <c r="HQW26" s="25"/>
      <c r="HQX26" s="25"/>
      <c r="HQY26" s="25"/>
      <c r="HQZ26" s="25"/>
      <c r="HRA26" s="25"/>
      <c r="HRB26" s="25"/>
      <c r="HRC26" s="25"/>
      <c r="HRD26" s="25"/>
      <c r="HRE26" s="25"/>
      <c r="HRF26" s="25"/>
      <c r="HRG26" s="25"/>
      <c r="HRH26" s="25"/>
      <c r="HRI26" s="25"/>
      <c r="HRJ26" s="25"/>
      <c r="HRK26" s="25"/>
      <c r="HRL26" s="25"/>
      <c r="HRM26" s="25"/>
      <c r="HRN26" s="25"/>
      <c r="HRO26" s="25"/>
      <c r="HRP26" s="25"/>
      <c r="HRQ26" s="25"/>
      <c r="HRR26" s="25"/>
      <c r="HRS26" s="25"/>
      <c r="HRT26" s="25"/>
      <c r="HRU26" s="25"/>
      <c r="HRV26" s="25"/>
      <c r="HRW26" s="25"/>
      <c r="HRX26" s="25"/>
      <c r="HRY26" s="25"/>
      <c r="HRZ26" s="25"/>
      <c r="HSA26" s="25"/>
      <c r="HSB26" s="25"/>
      <c r="HSC26" s="25"/>
      <c r="HSD26" s="25"/>
      <c r="HSE26" s="25"/>
      <c r="HSF26" s="25"/>
      <c r="HSG26" s="25"/>
      <c r="HSH26" s="25"/>
      <c r="HSI26" s="25"/>
      <c r="HSJ26" s="25"/>
      <c r="HSK26" s="25"/>
      <c r="HSL26" s="25"/>
      <c r="HSM26" s="25"/>
      <c r="HSN26" s="25"/>
      <c r="HSO26" s="25"/>
      <c r="HSP26" s="25"/>
      <c r="HSQ26" s="25"/>
      <c r="HSR26" s="25"/>
      <c r="HSS26" s="25"/>
      <c r="HST26" s="25"/>
      <c r="HSU26" s="25"/>
      <c r="HSV26" s="25"/>
      <c r="HSW26" s="25"/>
      <c r="HSX26" s="25"/>
      <c r="HSY26" s="25"/>
      <c r="HSZ26" s="25"/>
      <c r="HTA26" s="25"/>
      <c r="HTB26" s="25"/>
      <c r="HTC26" s="25"/>
      <c r="HTD26" s="25"/>
      <c r="HTE26" s="25"/>
      <c r="HTF26" s="25"/>
      <c r="HTG26" s="25"/>
      <c r="HTH26" s="25"/>
      <c r="HTI26" s="25"/>
      <c r="HTJ26" s="25"/>
      <c r="HTK26" s="25"/>
      <c r="HTL26" s="25"/>
      <c r="HTM26" s="25"/>
      <c r="HTN26" s="25"/>
      <c r="HTO26" s="25"/>
      <c r="HTP26" s="25"/>
      <c r="HTQ26" s="25"/>
      <c r="HTR26" s="25"/>
      <c r="HTS26" s="25"/>
      <c r="HTT26" s="25"/>
      <c r="HTU26" s="25"/>
      <c r="HTV26" s="25"/>
      <c r="HTW26" s="25"/>
      <c r="HTX26" s="25"/>
      <c r="HTY26" s="25"/>
      <c r="HTZ26" s="25"/>
      <c r="HUA26" s="25"/>
      <c r="HUB26" s="25"/>
      <c r="HUC26" s="25"/>
      <c r="HUD26" s="25"/>
      <c r="HUE26" s="25"/>
      <c r="HUF26" s="25"/>
      <c r="HUG26" s="25"/>
      <c r="HUH26" s="25"/>
      <c r="HUI26" s="25"/>
      <c r="HUJ26" s="25"/>
      <c r="HUK26" s="25"/>
      <c r="HUL26" s="25"/>
      <c r="HUM26" s="25"/>
      <c r="HUN26" s="25"/>
      <c r="HUO26" s="25"/>
      <c r="HUP26" s="25"/>
      <c r="HUQ26" s="25"/>
      <c r="HUR26" s="25"/>
      <c r="HUS26" s="25"/>
      <c r="HUT26" s="25"/>
      <c r="HUU26" s="25"/>
      <c r="HUV26" s="25"/>
      <c r="HUW26" s="25"/>
      <c r="HUX26" s="25"/>
      <c r="HUY26" s="25"/>
      <c r="HUZ26" s="25"/>
      <c r="HVA26" s="25"/>
      <c r="HVB26" s="25"/>
      <c r="HVC26" s="25"/>
      <c r="HVD26" s="25"/>
      <c r="HVE26" s="25"/>
      <c r="HVF26" s="25"/>
      <c r="HVG26" s="25"/>
      <c r="HVH26" s="25"/>
      <c r="HVI26" s="25"/>
      <c r="HVJ26" s="25"/>
      <c r="HVK26" s="25"/>
      <c r="HVL26" s="25"/>
      <c r="HVM26" s="25"/>
      <c r="HVN26" s="25"/>
      <c r="HVO26" s="25"/>
      <c r="HVP26" s="25"/>
      <c r="HVQ26" s="25"/>
      <c r="HVR26" s="25"/>
      <c r="HVS26" s="25"/>
      <c r="HVT26" s="25"/>
      <c r="HVU26" s="25"/>
      <c r="HVV26" s="25"/>
      <c r="HVW26" s="25"/>
      <c r="HVX26" s="25"/>
      <c r="HVY26" s="25"/>
      <c r="HVZ26" s="25"/>
      <c r="HWA26" s="25"/>
      <c r="HWB26" s="25"/>
      <c r="HWC26" s="25"/>
      <c r="HWD26" s="25"/>
      <c r="HWE26" s="25"/>
      <c r="HWF26" s="25"/>
      <c r="HWG26" s="25"/>
      <c r="HWH26" s="25"/>
      <c r="HWI26" s="25"/>
      <c r="HWJ26" s="25"/>
      <c r="HWK26" s="25"/>
      <c r="HWL26" s="25"/>
      <c r="HWM26" s="25"/>
      <c r="HWN26" s="25"/>
      <c r="HWO26" s="25"/>
      <c r="HWP26" s="25"/>
      <c r="HWQ26" s="25"/>
      <c r="HWR26" s="25"/>
      <c r="HWS26" s="25"/>
      <c r="HWT26" s="25"/>
      <c r="HWU26" s="25"/>
      <c r="HWV26" s="25"/>
      <c r="HWW26" s="25"/>
      <c r="HWX26" s="25"/>
      <c r="HWY26" s="25"/>
      <c r="HWZ26" s="25"/>
      <c r="HXA26" s="25"/>
      <c r="HXB26" s="25"/>
      <c r="HXC26" s="25"/>
      <c r="HXD26" s="25"/>
      <c r="HXE26" s="25"/>
      <c r="HXF26" s="25"/>
      <c r="HXG26" s="25"/>
      <c r="HXH26" s="25"/>
      <c r="HXI26" s="25"/>
      <c r="HXJ26" s="25"/>
      <c r="HXK26" s="25"/>
      <c r="HXL26" s="25"/>
      <c r="HXM26" s="25"/>
      <c r="HXN26" s="25"/>
      <c r="HXO26" s="25"/>
      <c r="HXP26" s="25"/>
      <c r="HXQ26" s="25"/>
      <c r="HXR26" s="25"/>
      <c r="HXS26" s="25"/>
      <c r="HXT26" s="25"/>
      <c r="HXU26" s="25"/>
      <c r="HXV26" s="25"/>
      <c r="HXW26" s="25"/>
      <c r="HXX26" s="25"/>
      <c r="HXY26" s="25"/>
      <c r="HXZ26" s="25"/>
      <c r="HYA26" s="25"/>
      <c r="HYB26" s="25"/>
      <c r="HYC26" s="25"/>
      <c r="HYD26" s="25"/>
      <c r="HYE26" s="25"/>
      <c r="HYF26" s="25"/>
      <c r="HYG26" s="25"/>
      <c r="HYH26" s="25"/>
      <c r="HYI26" s="25"/>
      <c r="HYJ26" s="25"/>
      <c r="HYK26" s="25"/>
      <c r="HYL26" s="25"/>
      <c r="HYM26" s="25"/>
      <c r="HYN26" s="25"/>
      <c r="HYO26" s="25"/>
      <c r="HYP26" s="25"/>
      <c r="HYQ26" s="25"/>
      <c r="HYR26" s="25"/>
      <c r="HYS26" s="25"/>
      <c r="HYT26" s="25"/>
      <c r="HYU26" s="25"/>
      <c r="HYV26" s="25"/>
      <c r="HYW26" s="25"/>
      <c r="HYX26" s="25"/>
      <c r="HYY26" s="25"/>
      <c r="HYZ26" s="25"/>
      <c r="HZA26" s="25"/>
      <c r="HZB26" s="25"/>
      <c r="HZC26" s="25"/>
      <c r="HZD26" s="25"/>
      <c r="HZE26" s="25"/>
      <c r="HZF26" s="25"/>
      <c r="HZG26" s="25"/>
      <c r="HZH26" s="25"/>
      <c r="HZI26" s="25"/>
      <c r="HZJ26" s="25"/>
      <c r="HZK26" s="25"/>
      <c r="HZL26" s="25"/>
      <c r="HZM26" s="25"/>
      <c r="HZN26" s="25"/>
      <c r="HZO26" s="25"/>
      <c r="HZP26" s="25"/>
      <c r="HZQ26" s="25"/>
      <c r="HZR26" s="25"/>
      <c r="HZS26" s="25"/>
      <c r="HZT26" s="25"/>
      <c r="HZU26" s="25"/>
      <c r="HZV26" s="25"/>
      <c r="HZW26" s="25"/>
      <c r="HZX26" s="25"/>
      <c r="HZY26" s="25"/>
      <c r="HZZ26" s="25"/>
      <c r="IAA26" s="25"/>
      <c r="IAB26" s="25"/>
      <c r="IAC26" s="25"/>
      <c r="IAD26" s="25"/>
      <c r="IAE26" s="25"/>
      <c r="IAF26" s="25"/>
      <c r="IAG26" s="25"/>
      <c r="IAH26" s="25"/>
      <c r="IAI26" s="25"/>
      <c r="IAJ26" s="25"/>
      <c r="IAK26" s="25"/>
      <c r="IAL26" s="25"/>
      <c r="IAM26" s="25"/>
      <c r="IAN26" s="25"/>
      <c r="IAO26" s="25"/>
      <c r="IAP26" s="25"/>
      <c r="IAQ26" s="25"/>
      <c r="IAR26" s="25"/>
      <c r="IAS26" s="25"/>
      <c r="IAT26" s="25"/>
      <c r="IAU26" s="25"/>
      <c r="IAV26" s="25"/>
      <c r="IAW26" s="25"/>
      <c r="IAX26" s="25"/>
      <c r="IAY26" s="25"/>
      <c r="IAZ26" s="25"/>
      <c r="IBA26" s="25"/>
      <c r="IBB26" s="25"/>
      <c r="IBC26" s="25"/>
      <c r="IBD26" s="25"/>
      <c r="IBE26" s="25"/>
      <c r="IBF26" s="25"/>
      <c r="IBG26" s="25"/>
      <c r="IBH26" s="25"/>
      <c r="IBI26" s="25"/>
      <c r="IBJ26" s="25"/>
      <c r="IBK26" s="25"/>
      <c r="IBL26" s="25"/>
      <c r="IBM26" s="25"/>
      <c r="IBN26" s="25"/>
      <c r="IBO26" s="25"/>
      <c r="IBP26" s="25"/>
      <c r="IBQ26" s="25"/>
      <c r="IBR26" s="25"/>
      <c r="IBS26" s="25"/>
      <c r="IBT26" s="25"/>
      <c r="IBU26" s="25"/>
      <c r="IBV26" s="25"/>
      <c r="IBW26" s="25"/>
      <c r="IBX26" s="25"/>
      <c r="IBY26" s="25"/>
      <c r="IBZ26" s="25"/>
      <c r="ICA26" s="25"/>
      <c r="ICB26" s="25"/>
      <c r="ICC26" s="25"/>
      <c r="ICD26" s="25"/>
      <c r="ICE26" s="25"/>
      <c r="ICF26" s="25"/>
      <c r="ICG26" s="25"/>
      <c r="ICH26" s="25"/>
      <c r="ICI26" s="25"/>
      <c r="ICJ26" s="25"/>
      <c r="ICK26" s="25"/>
      <c r="ICL26" s="25"/>
      <c r="ICM26" s="25"/>
      <c r="ICN26" s="25"/>
      <c r="ICO26" s="25"/>
      <c r="ICP26" s="25"/>
      <c r="ICQ26" s="25"/>
      <c r="ICR26" s="25"/>
      <c r="ICS26" s="25"/>
      <c r="ICT26" s="25"/>
      <c r="ICU26" s="25"/>
      <c r="ICV26" s="25"/>
      <c r="ICW26" s="25"/>
      <c r="ICX26" s="25"/>
      <c r="ICY26" s="25"/>
      <c r="ICZ26" s="25"/>
      <c r="IDA26" s="25"/>
      <c r="IDB26" s="25"/>
      <c r="IDC26" s="25"/>
      <c r="IDD26" s="25"/>
      <c r="IDE26" s="25"/>
      <c r="IDF26" s="25"/>
      <c r="IDG26" s="25"/>
      <c r="IDH26" s="25"/>
      <c r="IDI26" s="25"/>
      <c r="IDJ26" s="25"/>
      <c r="IDK26" s="25"/>
      <c r="IDL26" s="25"/>
      <c r="IDM26" s="25"/>
      <c r="IDN26" s="25"/>
      <c r="IDO26" s="25"/>
      <c r="IDP26" s="25"/>
      <c r="IDQ26" s="25"/>
      <c r="IDR26" s="25"/>
      <c r="IDS26" s="25"/>
      <c r="IDT26" s="25"/>
      <c r="IDU26" s="25"/>
      <c r="IDV26" s="25"/>
      <c r="IDW26" s="25"/>
      <c r="IDX26" s="25"/>
      <c r="IDY26" s="25"/>
      <c r="IDZ26" s="25"/>
      <c r="IEA26" s="25"/>
      <c r="IEB26" s="25"/>
      <c r="IEC26" s="25"/>
      <c r="IED26" s="25"/>
      <c r="IEE26" s="25"/>
      <c r="IEF26" s="25"/>
      <c r="IEG26" s="25"/>
      <c r="IEH26" s="25"/>
      <c r="IEI26" s="25"/>
      <c r="IEJ26" s="25"/>
      <c r="IEK26" s="25"/>
      <c r="IEL26" s="25"/>
      <c r="IEM26" s="25"/>
      <c r="IEN26" s="25"/>
      <c r="IEO26" s="25"/>
      <c r="IEP26" s="25"/>
      <c r="IEQ26" s="25"/>
      <c r="IER26" s="25"/>
      <c r="IES26" s="25"/>
      <c r="IET26" s="25"/>
      <c r="IEU26" s="25"/>
      <c r="IEV26" s="25"/>
      <c r="IEW26" s="25"/>
      <c r="IEX26" s="25"/>
      <c r="IEY26" s="25"/>
      <c r="IEZ26" s="25"/>
      <c r="IFA26" s="25"/>
      <c r="IFB26" s="25"/>
      <c r="IFC26" s="25"/>
      <c r="IFD26" s="25"/>
      <c r="IFE26" s="25"/>
      <c r="IFF26" s="25"/>
      <c r="IFG26" s="25"/>
      <c r="IFH26" s="25"/>
      <c r="IFI26" s="25"/>
      <c r="IFJ26" s="25"/>
      <c r="IFK26" s="25"/>
      <c r="IFL26" s="25"/>
      <c r="IFM26" s="25"/>
      <c r="IFN26" s="25"/>
      <c r="IFO26" s="25"/>
      <c r="IFP26" s="25"/>
      <c r="IFQ26" s="25"/>
      <c r="IFR26" s="25"/>
      <c r="IFS26" s="25"/>
      <c r="IFT26" s="25"/>
      <c r="IFU26" s="25"/>
      <c r="IFV26" s="25"/>
      <c r="IFW26" s="25"/>
      <c r="IFX26" s="25"/>
      <c r="IFY26" s="25"/>
      <c r="IFZ26" s="25"/>
      <c r="IGA26" s="25"/>
      <c r="IGB26" s="25"/>
      <c r="IGC26" s="25"/>
      <c r="IGD26" s="25"/>
      <c r="IGE26" s="25"/>
      <c r="IGF26" s="25"/>
      <c r="IGG26" s="25"/>
      <c r="IGH26" s="25"/>
      <c r="IGI26" s="25"/>
      <c r="IGJ26" s="25"/>
      <c r="IGK26" s="25"/>
      <c r="IGL26" s="25"/>
      <c r="IGM26" s="25"/>
      <c r="IGN26" s="25"/>
      <c r="IGO26" s="25"/>
      <c r="IGP26" s="25"/>
      <c r="IGQ26" s="25"/>
      <c r="IGR26" s="25"/>
      <c r="IGS26" s="25"/>
      <c r="IGT26" s="25"/>
      <c r="IGU26" s="25"/>
      <c r="IGV26" s="25"/>
      <c r="IGW26" s="25"/>
      <c r="IGX26" s="25"/>
      <c r="IGY26" s="25"/>
      <c r="IGZ26" s="25"/>
      <c r="IHA26" s="25"/>
      <c r="IHB26" s="25"/>
      <c r="IHC26" s="25"/>
      <c r="IHD26" s="25"/>
      <c r="IHE26" s="25"/>
      <c r="IHF26" s="25"/>
      <c r="IHG26" s="25"/>
      <c r="IHH26" s="25"/>
      <c r="IHI26" s="25"/>
      <c r="IHJ26" s="25"/>
      <c r="IHK26" s="25"/>
      <c r="IHL26" s="25"/>
      <c r="IHM26" s="25"/>
      <c r="IHN26" s="25"/>
      <c r="IHO26" s="25"/>
      <c r="IHP26" s="25"/>
      <c r="IHQ26" s="25"/>
      <c r="IHR26" s="25"/>
      <c r="IHS26" s="25"/>
      <c r="IHT26" s="25"/>
      <c r="IHU26" s="25"/>
      <c r="IHV26" s="25"/>
      <c r="IHW26" s="25"/>
      <c r="IHX26" s="25"/>
      <c r="IHY26" s="25"/>
      <c r="IHZ26" s="25"/>
      <c r="IIA26" s="25"/>
      <c r="IIB26" s="25"/>
      <c r="IIC26" s="25"/>
      <c r="IID26" s="25"/>
      <c r="IIE26" s="25"/>
      <c r="IIF26" s="25"/>
      <c r="IIG26" s="25"/>
      <c r="IIH26" s="25"/>
      <c r="III26" s="25"/>
      <c r="IIJ26" s="25"/>
      <c r="IIK26" s="25"/>
      <c r="IIL26" s="25"/>
      <c r="IIM26" s="25"/>
      <c r="IIN26" s="25"/>
      <c r="IIO26" s="25"/>
      <c r="IIP26" s="25"/>
      <c r="IIQ26" s="25"/>
      <c r="IIR26" s="25"/>
      <c r="IIS26" s="25"/>
      <c r="IIT26" s="25"/>
      <c r="IIU26" s="25"/>
      <c r="IIV26" s="25"/>
      <c r="IIW26" s="25"/>
      <c r="IIX26" s="25"/>
      <c r="IIY26" s="25"/>
      <c r="IIZ26" s="25"/>
      <c r="IJA26" s="25"/>
      <c r="IJB26" s="25"/>
      <c r="IJC26" s="25"/>
      <c r="IJD26" s="25"/>
      <c r="IJE26" s="25"/>
      <c r="IJF26" s="25"/>
      <c r="IJG26" s="25"/>
      <c r="IJH26" s="25"/>
      <c r="IJI26" s="25"/>
      <c r="IJJ26" s="25"/>
      <c r="IJK26" s="25"/>
      <c r="IJL26" s="25"/>
      <c r="IJM26" s="25"/>
      <c r="IJN26" s="25"/>
      <c r="IJO26" s="25"/>
      <c r="IJP26" s="25"/>
      <c r="IJQ26" s="25"/>
      <c r="IJR26" s="25"/>
      <c r="IJS26" s="25"/>
      <c r="IJT26" s="25"/>
      <c r="IJU26" s="25"/>
      <c r="IJV26" s="25"/>
      <c r="IJW26" s="25"/>
      <c r="IJX26" s="25"/>
      <c r="IJY26" s="25"/>
      <c r="IJZ26" s="25"/>
      <c r="IKA26" s="25"/>
      <c r="IKB26" s="25"/>
      <c r="IKC26" s="25"/>
      <c r="IKD26" s="25"/>
      <c r="IKE26" s="25"/>
      <c r="IKF26" s="25"/>
      <c r="IKG26" s="25"/>
      <c r="IKH26" s="25"/>
      <c r="IKI26" s="25"/>
      <c r="IKJ26" s="25"/>
      <c r="IKK26" s="25"/>
      <c r="IKL26" s="25"/>
      <c r="IKM26" s="25"/>
      <c r="IKN26" s="25"/>
      <c r="IKO26" s="25"/>
      <c r="IKP26" s="25"/>
      <c r="IKQ26" s="25"/>
      <c r="IKR26" s="25"/>
      <c r="IKS26" s="25"/>
      <c r="IKT26" s="25"/>
      <c r="IKU26" s="25"/>
      <c r="IKV26" s="25"/>
      <c r="IKW26" s="25"/>
      <c r="IKX26" s="25"/>
      <c r="IKY26" s="25"/>
      <c r="IKZ26" s="25"/>
      <c r="ILA26" s="25"/>
      <c r="ILB26" s="25"/>
      <c r="ILC26" s="25"/>
      <c r="ILD26" s="25"/>
      <c r="ILE26" s="25"/>
      <c r="ILF26" s="25"/>
      <c r="ILG26" s="25"/>
      <c r="ILH26" s="25"/>
      <c r="ILI26" s="25"/>
      <c r="ILJ26" s="25"/>
      <c r="ILK26" s="25"/>
      <c r="ILL26" s="25"/>
      <c r="ILM26" s="25"/>
      <c r="ILN26" s="25"/>
      <c r="ILO26" s="25"/>
      <c r="ILP26" s="25"/>
      <c r="ILQ26" s="25"/>
      <c r="ILR26" s="25"/>
      <c r="ILS26" s="25"/>
      <c r="ILT26" s="25"/>
      <c r="ILU26" s="25"/>
      <c r="ILV26" s="25"/>
      <c r="ILW26" s="25"/>
      <c r="ILX26" s="25"/>
      <c r="ILY26" s="25"/>
      <c r="ILZ26" s="25"/>
      <c r="IMA26" s="25"/>
      <c r="IMB26" s="25"/>
      <c r="IMC26" s="25"/>
      <c r="IMD26" s="25"/>
      <c r="IME26" s="25"/>
      <c r="IMF26" s="25"/>
      <c r="IMG26" s="25"/>
      <c r="IMH26" s="25"/>
      <c r="IMI26" s="25"/>
      <c r="IMJ26" s="25"/>
      <c r="IMK26" s="25"/>
      <c r="IML26" s="25"/>
      <c r="IMM26" s="25"/>
      <c r="IMN26" s="25"/>
      <c r="IMO26" s="25"/>
      <c r="IMP26" s="25"/>
      <c r="IMQ26" s="25"/>
      <c r="IMR26" s="25"/>
      <c r="IMS26" s="25"/>
      <c r="IMT26" s="25"/>
      <c r="IMU26" s="25"/>
      <c r="IMV26" s="25"/>
      <c r="IMW26" s="25"/>
      <c r="IMX26" s="25"/>
      <c r="IMY26" s="25"/>
      <c r="IMZ26" s="25"/>
      <c r="INA26" s="25"/>
      <c r="INB26" s="25"/>
      <c r="INC26" s="25"/>
      <c r="IND26" s="25"/>
      <c r="INE26" s="25"/>
      <c r="INF26" s="25"/>
      <c r="ING26" s="25"/>
      <c r="INH26" s="25"/>
      <c r="INI26" s="25"/>
      <c r="INJ26" s="25"/>
      <c r="INK26" s="25"/>
      <c r="INL26" s="25"/>
      <c r="INM26" s="25"/>
      <c r="INN26" s="25"/>
      <c r="INO26" s="25"/>
      <c r="INP26" s="25"/>
      <c r="INQ26" s="25"/>
      <c r="INR26" s="25"/>
      <c r="INS26" s="25"/>
      <c r="INT26" s="25"/>
      <c r="INU26" s="25"/>
      <c r="INV26" s="25"/>
      <c r="INW26" s="25"/>
      <c r="INX26" s="25"/>
      <c r="INY26" s="25"/>
      <c r="INZ26" s="25"/>
      <c r="IOA26" s="25"/>
      <c r="IOB26" s="25"/>
      <c r="IOC26" s="25"/>
      <c r="IOD26" s="25"/>
      <c r="IOE26" s="25"/>
      <c r="IOF26" s="25"/>
      <c r="IOG26" s="25"/>
      <c r="IOH26" s="25"/>
      <c r="IOI26" s="25"/>
      <c r="IOJ26" s="25"/>
      <c r="IOK26" s="25"/>
      <c r="IOL26" s="25"/>
      <c r="IOM26" s="25"/>
      <c r="ION26" s="25"/>
      <c r="IOO26" s="25"/>
      <c r="IOP26" s="25"/>
      <c r="IOQ26" s="25"/>
      <c r="IOR26" s="25"/>
      <c r="IOS26" s="25"/>
      <c r="IOT26" s="25"/>
      <c r="IOU26" s="25"/>
      <c r="IOV26" s="25"/>
      <c r="IOW26" s="25"/>
      <c r="IOX26" s="25"/>
      <c r="IOY26" s="25"/>
      <c r="IOZ26" s="25"/>
      <c r="IPA26" s="25"/>
      <c r="IPB26" s="25"/>
      <c r="IPC26" s="25"/>
      <c r="IPD26" s="25"/>
      <c r="IPE26" s="25"/>
      <c r="IPF26" s="25"/>
      <c r="IPG26" s="25"/>
      <c r="IPH26" s="25"/>
      <c r="IPI26" s="25"/>
      <c r="IPJ26" s="25"/>
      <c r="IPK26" s="25"/>
      <c r="IPL26" s="25"/>
      <c r="IPM26" s="25"/>
      <c r="IPN26" s="25"/>
      <c r="IPO26" s="25"/>
      <c r="IPP26" s="25"/>
      <c r="IPQ26" s="25"/>
      <c r="IPR26" s="25"/>
      <c r="IPS26" s="25"/>
      <c r="IPT26" s="25"/>
      <c r="IPU26" s="25"/>
      <c r="IPV26" s="25"/>
      <c r="IPW26" s="25"/>
      <c r="IPX26" s="25"/>
      <c r="IPY26" s="25"/>
      <c r="IPZ26" s="25"/>
      <c r="IQA26" s="25"/>
      <c r="IQB26" s="25"/>
      <c r="IQC26" s="25"/>
      <c r="IQD26" s="25"/>
      <c r="IQE26" s="25"/>
      <c r="IQF26" s="25"/>
      <c r="IQG26" s="25"/>
      <c r="IQH26" s="25"/>
      <c r="IQI26" s="25"/>
      <c r="IQJ26" s="25"/>
      <c r="IQK26" s="25"/>
      <c r="IQL26" s="25"/>
      <c r="IQM26" s="25"/>
      <c r="IQN26" s="25"/>
      <c r="IQO26" s="25"/>
      <c r="IQP26" s="25"/>
      <c r="IQQ26" s="25"/>
      <c r="IQR26" s="25"/>
      <c r="IQS26" s="25"/>
      <c r="IQT26" s="25"/>
      <c r="IQU26" s="25"/>
      <c r="IQV26" s="25"/>
      <c r="IQW26" s="25"/>
      <c r="IQX26" s="25"/>
      <c r="IQY26" s="25"/>
      <c r="IQZ26" s="25"/>
      <c r="IRA26" s="25"/>
      <c r="IRB26" s="25"/>
      <c r="IRC26" s="25"/>
      <c r="IRD26" s="25"/>
      <c r="IRE26" s="25"/>
      <c r="IRF26" s="25"/>
      <c r="IRG26" s="25"/>
      <c r="IRH26" s="25"/>
      <c r="IRI26" s="25"/>
      <c r="IRJ26" s="25"/>
      <c r="IRK26" s="25"/>
      <c r="IRL26" s="25"/>
      <c r="IRM26" s="25"/>
      <c r="IRN26" s="25"/>
      <c r="IRO26" s="25"/>
      <c r="IRP26" s="25"/>
      <c r="IRQ26" s="25"/>
      <c r="IRR26" s="25"/>
      <c r="IRS26" s="25"/>
      <c r="IRT26" s="25"/>
      <c r="IRU26" s="25"/>
      <c r="IRV26" s="25"/>
      <c r="IRW26" s="25"/>
      <c r="IRX26" s="25"/>
      <c r="IRY26" s="25"/>
      <c r="IRZ26" s="25"/>
      <c r="ISA26" s="25"/>
      <c r="ISB26" s="25"/>
      <c r="ISC26" s="25"/>
      <c r="ISD26" s="25"/>
      <c r="ISE26" s="25"/>
      <c r="ISF26" s="25"/>
      <c r="ISG26" s="25"/>
      <c r="ISH26" s="25"/>
      <c r="ISI26" s="25"/>
      <c r="ISJ26" s="25"/>
      <c r="ISK26" s="25"/>
      <c r="ISL26" s="25"/>
      <c r="ISM26" s="25"/>
      <c r="ISN26" s="25"/>
      <c r="ISO26" s="25"/>
      <c r="ISP26" s="25"/>
      <c r="ISQ26" s="25"/>
      <c r="ISR26" s="25"/>
      <c r="ISS26" s="25"/>
      <c r="IST26" s="25"/>
      <c r="ISU26" s="25"/>
      <c r="ISV26" s="25"/>
      <c r="ISW26" s="25"/>
      <c r="ISX26" s="25"/>
      <c r="ISY26" s="25"/>
      <c r="ISZ26" s="25"/>
      <c r="ITA26" s="25"/>
      <c r="ITB26" s="25"/>
      <c r="ITC26" s="25"/>
      <c r="ITD26" s="25"/>
      <c r="ITE26" s="25"/>
      <c r="ITF26" s="25"/>
      <c r="ITG26" s="25"/>
      <c r="ITH26" s="25"/>
      <c r="ITI26" s="25"/>
      <c r="ITJ26" s="25"/>
      <c r="ITK26" s="25"/>
      <c r="ITL26" s="25"/>
      <c r="ITM26" s="25"/>
      <c r="ITN26" s="25"/>
      <c r="ITO26" s="25"/>
      <c r="ITP26" s="25"/>
      <c r="ITQ26" s="25"/>
      <c r="ITR26" s="25"/>
      <c r="ITS26" s="25"/>
      <c r="ITT26" s="25"/>
      <c r="ITU26" s="25"/>
      <c r="ITV26" s="25"/>
      <c r="ITW26" s="25"/>
      <c r="ITX26" s="25"/>
      <c r="ITY26" s="25"/>
      <c r="ITZ26" s="25"/>
      <c r="IUA26" s="25"/>
      <c r="IUB26" s="25"/>
      <c r="IUC26" s="25"/>
      <c r="IUD26" s="25"/>
      <c r="IUE26" s="25"/>
      <c r="IUF26" s="25"/>
      <c r="IUG26" s="25"/>
      <c r="IUH26" s="25"/>
      <c r="IUI26" s="25"/>
      <c r="IUJ26" s="25"/>
      <c r="IUK26" s="25"/>
      <c r="IUL26" s="25"/>
      <c r="IUM26" s="25"/>
      <c r="IUN26" s="25"/>
      <c r="IUO26" s="25"/>
      <c r="IUP26" s="25"/>
      <c r="IUQ26" s="25"/>
      <c r="IUR26" s="25"/>
      <c r="IUS26" s="25"/>
      <c r="IUT26" s="25"/>
      <c r="IUU26" s="25"/>
      <c r="IUV26" s="25"/>
      <c r="IUW26" s="25"/>
      <c r="IUX26" s="25"/>
      <c r="IUY26" s="25"/>
      <c r="IUZ26" s="25"/>
      <c r="IVA26" s="25"/>
      <c r="IVB26" s="25"/>
      <c r="IVC26" s="25"/>
      <c r="IVD26" s="25"/>
      <c r="IVE26" s="25"/>
      <c r="IVF26" s="25"/>
      <c r="IVG26" s="25"/>
      <c r="IVH26" s="25"/>
      <c r="IVI26" s="25"/>
      <c r="IVJ26" s="25"/>
      <c r="IVK26" s="25"/>
      <c r="IVL26" s="25"/>
      <c r="IVM26" s="25"/>
      <c r="IVN26" s="25"/>
      <c r="IVO26" s="25"/>
      <c r="IVP26" s="25"/>
      <c r="IVQ26" s="25"/>
      <c r="IVR26" s="25"/>
      <c r="IVS26" s="25"/>
      <c r="IVT26" s="25"/>
      <c r="IVU26" s="25"/>
      <c r="IVV26" s="25"/>
      <c r="IVW26" s="25"/>
      <c r="IVX26" s="25"/>
      <c r="IVY26" s="25"/>
      <c r="IVZ26" s="25"/>
      <c r="IWA26" s="25"/>
      <c r="IWB26" s="25"/>
      <c r="IWC26" s="25"/>
      <c r="IWD26" s="25"/>
      <c r="IWE26" s="25"/>
      <c r="IWF26" s="25"/>
      <c r="IWG26" s="25"/>
      <c r="IWH26" s="25"/>
      <c r="IWI26" s="25"/>
      <c r="IWJ26" s="25"/>
      <c r="IWK26" s="25"/>
      <c r="IWL26" s="25"/>
      <c r="IWM26" s="25"/>
      <c r="IWN26" s="25"/>
      <c r="IWO26" s="25"/>
      <c r="IWP26" s="25"/>
      <c r="IWQ26" s="25"/>
      <c r="IWR26" s="25"/>
      <c r="IWS26" s="25"/>
      <c r="IWT26" s="25"/>
      <c r="IWU26" s="25"/>
      <c r="IWV26" s="25"/>
      <c r="IWW26" s="25"/>
      <c r="IWX26" s="25"/>
      <c r="IWY26" s="25"/>
      <c r="IWZ26" s="25"/>
      <c r="IXA26" s="25"/>
      <c r="IXB26" s="25"/>
      <c r="IXC26" s="25"/>
      <c r="IXD26" s="25"/>
      <c r="IXE26" s="25"/>
      <c r="IXF26" s="25"/>
      <c r="IXG26" s="25"/>
      <c r="IXH26" s="25"/>
      <c r="IXI26" s="25"/>
      <c r="IXJ26" s="25"/>
      <c r="IXK26" s="25"/>
      <c r="IXL26" s="25"/>
      <c r="IXM26" s="25"/>
      <c r="IXN26" s="25"/>
      <c r="IXO26" s="25"/>
      <c r="IXP26" s="25"/>
      <c r="IXQ26" s="25"/>
      <c r="IXR26" s="25"/>
      <c r="IXS26" s="25"/>
      <c r="IXT26" s="25"/>
      <c r="IXU26" s="25"/>
      <c r="IXV26" s="25"/>
      <c r="IXW26" s="25"/>
      <c r="IXX26" s="25"/>
      <c r="IXY26" s="25"/>
      <c r="IXZ26" s="25"/>
      <c r="IYA26" s="25"/>
      <c r="IYB26" s="25"/>
      <c r="IYC26" s="25"/>
      <c r="IYD26" s="25"/>
      <c r="IYE26" s="25"/>
      <c r="IYF26" s="25"/>
      <c r="IYG26" s="25"/>
      <c r="IYH26" s="25"/>
      <c r="IYI26" s="25"/>
      <c r="IYJ26" s="25"/>
      <c r="IYK26" s="25"/>
      <c r="IYL26" s="25"/>
      <c r="IYM26" s="25"/>
      <c r="IYN26" s="25"/>
      <c r="IYO26" s="25"/>
      <c r="IYP26" s="25"/>
      <c r="IYQ26" s="25"/>
      <c r="IYR26" s="25"/>
      <c r="IYS26" s="25"/>
      <c r="IYT26" s="25"/>
      <c r="IYU26" s="25"/>
      <c r="IYV26" s="25"/>
      <c r="IYW26" s="25"/>
      <c r="IYX26" s="25"/>
      <c r="IYY26" s="25"/>
      <c r="IYZ26" s="25"/>
      <c r="IZA26" s="25"/>
      <c r="IZB26" s="25"/>
      <c r="IZC26" s="25"/>
      <c r="IZD26" s="25"/>
      <c r="IZE26" s="25"/>
      <c r="IZF26" s="25"/>
      <c r="IZG26" s="25"/>
      <c r="IZH26" s="25"/>
      <c r="IZI26" s="25"/>
      <c r="IZJ26" s="25"/>
      <c r="IZK26" s="25"/>
      <c r="IZL26" s="25"/>
      <c r="IZM26" s="25"/>
      <c r="IZN26" s="25"/>
      <c r="IZO26" s="25"/>
      <c r="IZP26" s="25"/>
      <c r="IZQ26" s="25"/>
      <c r="IZR26" s="25"/>
      <c r="IZS26" s="25"/>
      <c r="IZT26" s="25"/>
      <c r="IZU26" s="25"/>
      <c r="IZV26" s="25"/>
      <c r="IZW26" s="25"/>
      <c r="IZX26" s="25"/>
      <c r="IZY26" s="25"/>
      <c r="IZZ26" s="25"/>
      <c r="JAA26" s="25"/>
      <c r="JAB26" s="25"/>
      <c r="JAC26" s="25"/>
      <c r="JAD26" s="25"/>
      <c r="JAE26" s="25"/>
      <c r="JAF26" s="25"/>
      <c r="JAG26" s="25"/>
      <c r="JAH26" s="25"/>
      <c r="JAI26" s="25"/>
      <c r="JAJ26" s="25"/>
      <c r="JAK26" s="25"/>
      <c r="JAL26" s="25"/>
      <c r="JAM26" s="25"/>
      <c r="JAN26" s="25"/>
      <c r="JAO26" s="25"/>
      <c r="JAP26" s="25"/>
      <c r="JAQ26" s="25"/>
      <c r="JAR26" s="25"/>
      <c r="JAS26" s="25"/>
      <c r="JAT26" s="25"/>
      <c r="JAU26" s="25"/>
      <c r="JAV26" s="25"/>
      <c r="JAW26" s="25"/>
      <c r="JAX26" s="25"/>
      <c r="JAY26" s="25"/>
      <c r="JAZ26" s="25"/>
      <c r="JBA26" s="25"/>
      <c r="JBB26" s="25"/>
      <c r="JBC26" s="25"/>
      <c r="JBD26" s="25"/>
      <c r="JBE26" s="25"/>
      <c r="JBF26" s="25"/>
      <c r="JBG26" s="25"/>
      <c r="JBH26" s="25"/>
      <c r="JBI26" s="25"/>
      <c r="JBJ26" s="25"/>
      <c r="JBK26" s="25"/>
      <c r="JBL26" s="25"/>
      <c r="JBM26" s="25"/>
      <c r="JBN26" s="25"/>
      <c r="JBO26" s="25"/>
      <c r="JBP26" s="25"/>
      <c r="JBQ26" s="25"/>
      <c r="JBR26" s="25"/>
      <c r="JBS26" s="25"/>
      <c r="JBT26" s="25"/>
      <c r="JBU26" s="25"/>
      <c r="JBV26" s="25"/>
      <c r="JBW26" s="25"/>
      <c r="JBX26" s="25"/>
      <c r="JBY26" s="25"/>
      <c r="JBZ26" s="25"/>
      <c r="JCA26" s="25"/>
      <c r="JCB26" s="25"/>
      <c r="JCC26" s="25"/>
      <c r="JCD26" s="25"/>
      <c r="JCE26" s="25"/>
      <c r="JCF26" s="25"/>
      <c r="JCG26" s="25"/>
      <c r="JCH26" s="25"/>
      <c r="JCI26" s="25"/>
      <c r="JCJ26" s="25"/>
      <c r="JCK26" s="25"/>
      <c r="JCL26" s="25"/>
      <c r="JCM26" s="25"/>
      <c r="JCN26" s="25"/>
      <c r="JCO26" s="25"/>
      <c r="JCP26" s="25"/>
      <c r="JCQ26" s="25"/>
      <c r="JCR26" s="25"/>
      <c r="JCS26" s="25"/>
      <c r="JCT26" s="25"/>
      <c r="JCU26" s="25"/>
      <c r="JCV26" s="25"/>
      <c r="JCW26" s="25"/>
      <c r="JCX26" s="25"/>
      <c r="JCY26" s="25"/>
      <c r="JCZ26" s="25"/>
      <c r="JDA26" s="25"/>
      <c r="JDB26" s="25"/>
      <c r="JDC26" s="25"/>
      <c r="JDD26" s="25"/>
      <c r="JDE26" s="25"/>
      <c r="JDF26" s="25"/>
      <c r="JDG26" s="25"/>
      <c r="JDH26" s="25"/>
      <c r="JDI26" s="25"/>
      <c r="JDJ26" s="25"/>
      <c r="JDK26" s="25"/>
      <c r="JDL26" s="25"/>
      <c r="JDM26" s="25"/>
      <c r="JDN26" s="25"/>
      <c r="JDO26" s="25"/>
      <c r="JDP26" s="25"/>
      <c r="JDQ26" s="25"/>
      <c r="JDR26" s="25"/>
      <c r="JDS26" s="25"/>
      <c r="JDT26" s="25"/>
      <c r="JDU26" s="25"/>
      <c r="JDV26" s="25"/>
      <c r="JDW26" s="25"/>
      <c r="JDX26" s="25"/>
      <c r="JDY26" s="25"/>
      <c r="JDZ26" s="25"/>
      <c r="JEA26" s="25"/>
      <c r="JEB26" s="25"/>
      <c r="JEC26" s="25"/>
      <c r="JED26" s="25"/>
      <c r="JEE26" s="25"/>
      <c r="JEF26" s="25"/>
      <c r="JEG26" s="25"/>
      <c r="JEH26" s="25"/>
      <c r="JEI26" s="25"/>
      <c r="JEJ26" s="25"/>
      <c r="JEK26" s="25"/>
      <c r="JEL26" s="25"/>
      <c r="JEM26" s="25"/>
      <c r="JEN26" s="25"/>
      <c r="JEO26" s="25"/>
      <c r="JEP26" s="25"/>
      <c r="JEQ26" s="25"/>
      <c r="JER26" s="25"/>
      <c r="JES26" s="25"/>
      <c r="JET26" s="25"/>
      <c r="JEU26" s="25"/>
      <c r="JEV26" s="25"/>
      <c r="JEW26" s="25"/>
      <c r="JEX26" s="25"/>
      <c r="JEY26" s="25"/>
      <c r="JEZ26" s="25"/>
      <c r="JFA26" s="25"/>
      <c r="JFB26" s="25"/>
      <c r="JFC26" s="25"/>
      <c r="JFD26" s="25"/>
      <c r="JFE26" s="25"/>
      <c r="JFF26" s="25"/>
      <c r="JFG26" s="25"/>
      <c r="JFH26" s="25"/>
      <c r="JFI26" s="25"/>
      <c r="JFJ26" s="25"/>
      <c r="JFK26" s="25"/>
      <c r="JFL26" s="25"/>
      <c r="JFM26" s="25"/>
      <c r="JFN26" s="25"/>
      <c r="JFO26" s="25"/>
      <c r="JFP26" s="25"/>
      <c r="JFQ26" s="25"/>
      <c r="JFR26" s="25"/>
      <c r="JFS26" s="25"/>
      <c r="JFT26" s="25"/>
      <c r="JFU26" s="25"/>
      <c r="JFV26" s="25"/>
      <c r="JFW26" s="25"/>
      <c r="JFX26" s="25"/>
      <c r="JFY26" s="25"/>
      <c r="JFZ26" s="25"/>
      <c r="JGA26" s="25"/>
      <c r="JGB26" s="25"/>
      <c r="JGC26" s="25"/>
      <c r="JGD26" s="25"/>
      <c r="JGE26" s="25"/>
      <c r="JGF26" s="25"/>
      <c r="JGG26" s="25"/>
      <c r="JGH26" s="25"/>
      <c r="JGI26" s="25"/>
      <c r="JGJ26" s="25"/>
      <c r="JGK26" s="25"/>
      <c r="JGL26" s="25"/>
      <c r="JGM26" s="25"/>
      <c r="JGN26" s="25"/>
      <c r="JGO26" s="25"/>
      <c r="JGP26" s="25"/>
      <c r="JGQ26" s="25"/>
      <c r="JGR26" s="25"/>
      <c r="JGS26" s="25"/>
      <c r="JGT26" s="25"/>
      <c r="JGU26" s="25"/>
      <c r="JGV26" s="25"/>
      <c r="JGW26" s="25"/>
      <c r="JGX26" s="25"/>
      <c r="JGY26" s="25"/>
      <c r="JGZ26" s="25"/>
      <c r="JHA26" s="25"/>
      <c r="JHB26" s="25"/>
      <c r="JHC26" s="25"/>
      <c r="JHD26" s="25"/>
      <c r="JHE26" s="25"/>
      <c r="JHF26" s="25"/>
      <c r="JHG26" s="25"/>
      <c r="JHH26" s="25"/>
      <c r="JHI26" s="25"/>
      <c r="JHJ26" s="25"/>
      <c r="JHK26" s="25"/>
      <c r="JHL26" s="25"/>
      <c r="JHM26" s="25"/>
      <c r="JHN26" s="25"/>
      <c r="JHO26" s="25"/>
      <c r="JHP26" s="25"/>
      <c r="JHQ26" s="25"/>
      <c r="JHR26" s="25"/>
      <c r="JHS26" s="25"/>
      <c r="JHT26" s="25"/>
      <c r="JHU26" s="25"/>
      <c r="JHV26" s="25"/>
      <c r="JHW26" s="25"/>
      <c r="JHX26" s="25"/>
      <c r="JHY26" s="25"/>
      <c r="JHZ26" s="25"/>
      <c r="JIA26" s="25"/>
      <c r="JIB26" s="25"/>
      <c r="JIC26" s="25"/>
      <c r="JID26" s="25"/>
      <c r="JIE26" s="25"/>
      <c r="JIF26" s="25"/>
      <c r="JIG26" s="25"/>
      <c r="JIH26" s="25"/>
      <c r="JII26" s="25"/>
      <c r="JIJ26" s="25"/>
      <c r="JIK26" s="25"/>
      <c r="JIL26" s="25"/>
      <c r="JIM26" s="25"/>
      <c r="JIN26" s="25"/>
      <c r="JIO26" s="25"/>
      <c r="JIP26" s="25"/>
      <c r="JIQ26" s="25"/>
      <c r="JIR26" s="25"/>
      <c r="JIS26" s="25"/>
      <c r="JIT26" s="25"/>
      <c r="JIU26" s="25"/>
      <c r="JIV26" s="25"/>
      <c r="JIW26" s="25"/>
      <c r="JIX26" s="25"/>
      <c r="JIY26" s="25"/>
      <c r="JIZ26" s="25"/>
      <c r="JJA26" s="25"/>
      <c r="JJB26" s="25"/>
      <c r="JJC26" s="25"/>
      <c r="JJD26" s="25"/>
      <c r="JJE26" s="25"/>
      <c r="JJF26" s="25"/>
      <c r="JJG26" s="25"/>
      <c r="JJH26" s="25"/>
      <c r="JJI26" s="25"/>
      <c r="JJJ26" s="25"/>
      <c r="JJK26" s="25"/>
      <c r="JJL26" s="25"/>
      <c r="JJM26" s="25"/>
      <c r="JJN26" s="25"/>
      <c r="JJO26" s="25"/>
      <c r="JJP26" s="25"/>
      <c r="JJQ26" s="25"/>
      <c r="JJR26" s="25"/>
      <c r="JJS26" s="25"/>
      <c r="JJT26" s="25"/>
      <c r="JJU26" s="25"/>
      <c r="JJV26" s="25"/>
      <c r="JJW26" s="25"/>
      <c r="JJX26" s="25"/>
      <c r="JJY26" s="25"/>
      <c r="JJZ26" s="25"/>
      <c r="JKA26" s="25"/>
      <c r="JKB26" s="25"/>
      <c r="JKC26" s="25"/>
      <c r="JKD26" s="25"/>
      <c r="JKE26" s="25"/>
      <c r="JKF26" s="25"/>
      <c r="JKG26" s="25"/>
      <c r="JKH26" s="25"/>
      <c r="JKI26" s="25"/>
      <c r="JKJ26" s="25"/>
      <c r="JKK26" s="25"/>
      <c r="JKL26" s="25"/>
      <c r="JKM26" s="25"/>
      <c r="JKN26" s="25"/>
      <c r="JKO26" s="25"/>
      <c r="JKP26" s="25"/>
      <c r="JKQ26" s="25"/>
      <c r="JKR26" s="25"/>
      <c r="JKS26" s="25"/>
      <c r="JKT26" s="25"/>
      <c r="JKU26" s="25"/>
      <c r="JKV26" s="25"/>
      <c r="JKW26" s="25"/>
      <c r="JKX26" s="25"/>
      <c r="JKY26" s="25"/>
      <c r="JKZ26" s="25"/>
      <c r="JLA26" s="25"/>
      <c r="JLB26" s="25"/>
      <c r="JLC26" s="25"/>
      <c r="JLD26" s="25"/>
      <c r="JLE26" s="25"/>
      <c r="JLF26" s="25"/>
      <c r="JLG26" s="25"/>
      <c r="JLH26" s="25"/>
      <c r="JLI26" s="25"/>
      <c r="JLJ26" s="25"/>
      <c r="JLK26" s="25"/>
      <c r="JLL26" s="25"/>
      <c r="JLM26" s="25"/>
      <c r="JLN26" s="25"/>
      <c r="JLO26" s="25"/>
      <c r="JLP26" s="25"/>
      <c r="JLQ26" s="25"/>
      <c r="JLR26" s="25"/>
      <c r="JLS26" s="25"/>
      <c r="JLT26" s="25"/>
      <c r="JLU26" s="25"/>
      <c r="JLV26" s="25"/>
      <c r="JLW26" s="25"/>
      <c r="JLX26" s="25"/>
      <c r="JLY26" s="25"/>
      <c r="JLZ26" s="25"/>
      <c r="JMA26" s="25"/>
      <c r="JMB26" s="25"/>
      <c r="JMC26" s="25"/>
      <c r="JMD26" s="25"/>
      <c r="JME26" s="25"/>
      <c r="JMF26" s="25"/>
      <c r="JMG26" s="25"/>
      <c r="JMH26" s="25"/>
      <c r="JMI26" s="25"/>
      <c r="JMJ26" s="25"/>
      <c r="JMK26" s="25"/>
      <c r="JML26" s="25"/>
      <c r="JMM26" s="25"/>
      <c r="JMN26" s="25"/>
      <c r="JMO26" s="25"/>
      <c r="JMP26" s="25"/>
      <c r="JMQ26" s="25"/>
      <c r="JMR26" s="25"/>
      <c r="JMS26" s="25"/>
      <c r="JMT26" s="25"/>
      <c r="JMU26" s="25"/>
      <c r="JMV26" s="25"/>
      <c r="JMW26" s="25"/>
      <c r="JMX26" s="25"/>
      <c r="JMY26" s="25"/>
      <c r="JMZ26" s="25"/>
      <c r="JNA26" s="25"/>
      <c r="JNB26" s="25"/>
      <c r="JNC26" s="25"/>
      <c r="JND26" s="25"/>
      <c r="JNE26" s="25"/>
      <c r="JNF26" s="25"/>
      <c r="JNG26" s="25"/>
      <c r="JNH26" s="25"/>
      <c r="JNI26" s="25"/>
      <c r="JNJ26" s="25"/>
      <c r="JNK26" s="25"/>
      <c r="JNL26" s="25"/>
      <c r="JNM26" s="25"/>
      <c r="JNN26" s="25"/>
      <c r="JNO26" s="25"/>
      <c r="JNP26" s="25"/>
      <c r="JNQ26" s="25"/>
      <c r="JNR26" s="25"/>
      <c r="JNS26" s="25"/>
      <c r="JNT26" s="25"/>
      <c r="JNU26" s="25"/>
      <c r="JNV26" s="25"/>
      <c r="JNW26" s="25"/>
      <c r="JNX26" s="25"/>
      <c r="JNY26" s="25"/>
      <c r="JNZ26" s="25"/>
      <c r="JOA26" s="25"/>
      <c r="JOB26" s="25"/>
      <c r="JOC26" s="25"/>
      <c r="JOD26" s="25"/>
      <c r="JOE26" s="25"/>
      <c r="JOF26" s="25"/>
      <c r="JOG26" s="25"/>
      <c r="JOH26" s="25"/>
      <c r="JOI26" s="25"/>
      <c r="JOJ26" s="25"/>
      <c r="JOK26" s="25"/>
      <c r="JOL26" s="25"/>
      <c r="JOM26" s="25"/>
      <c r="JON26" s="25"/>
      <c r="JOO26" s="25"/>
      <c r="JOP26" s="25"/>
      <c r="JOQ26" s="25"/>
      <c r="JOR26" s="25"/>
      <c r="JOS26" s="25"/>
      <c r="JOT26" s="25"/>
      <c r="JOU26" s="25"/>
      <c r="JOV26" s="25"/>
      <c r="JOW26" s="25"/>
      <c r="JOX26" s="25"/>
      <c r="JOY26" s="25"/>
      <c r="JOZ26" s="25"/>
      <c r="JPA26" s="25"/>
      <c r="JPB26" s="25"/>
      <c r="JPC26" s="25"/>
      <c r="JPD26" s="25"/>
      <c r="JPE26" s="25"/>
      <c r="JPF26" s="25"/>
      <c r="JPG26" s="25"/>
      <c r="JPH26" s="25"/>
      <c r="JPI26" s="25"/>
      <c r="JPJ26" s="25"/>
      <c r="JPK26" s="25"/>
      <c r="JPL26" s="25"/>
      <c r="JPM26" s="25"/>
      <c r="JPN26" s="25"/>
      <c r="JPO26" s="25"/>
      <c r="JPP26" s="25"/>
      <c r="JPQ26" s="25"/>
      <c r="JPR26" s="25"/>
      <c r="JPS26" s="25"/>
      <c r="JPT26" s="25"/>
      <c r="JPU26" s="25"/>
      <c r="JPV26" s="25"/>
      <c r="JPW26" s="25"/>
      <c r="JPX26" s="25"/>
      <c r="JPY26" s="25"/>
      <c r="JPZ26" s="25"/>
      <c r="JQA26" s="25"/>
      <c r="JQB26" s="25"/>
      <c r="JQC26" s="25"/>
      <c r="JQD26" s="25"/>
      <c r="JQE26" s="25"/>
      <c r="JQF26" s="25"/>
      <c r="JQG26" s="25"/>
      <c r="JQH26" s="25"/>
      <c r="JQI26" s="25"/>
      <c r="JQJ26" s="25"/>
      <c r="JQK26" s="25"/>
      <c r="JQL26" s="25"/>
      <c r="JQM26" s="25"/>
      <c r="JQN26" s="25"/>
      <c r="JQO26" s="25"/>
      <c r="JQP26" s="25"/>
      <c r="JQQ26" s="25"/>
      <c r="JQR26" s="25"/>
      <c r="JQS26" s="25"/>
      <c r="JQT26" s="25"/>
      <c r="JQU26" s="25"/>
      <c r="JQV26" s="25"/>
      <c r="JQW26" s="25"/>
      <c r="JQX26" s="25"/>
      <c r="JQY26" s="25"/>
      <c r="JQZ26" s="25"/>
      <c r="JRA26" s="25"/>
      <c r="JRB26" s="25"/>
      <c r="JRC26" s="25"/>
      <c r="JRD26" s="25"/>
      <c r="JRE26" s="25"/>
      <c r="JRF26" s="25"/>
      <c r="JRG26" s="25"/>
      <c r="JRH26" s="25"/>
      <c r="JRI26" s="25"/>
      <c r="JRJ26" s="25"/>
      <c r="JRK26" s="25"/>
      <c r="JRL26" s="25"/>
      <c r="JRM26" s="25"/>
      <c r="JRN26" s="25"/>
      <c r="JRO26" s="25"/>
      <c r="JRP26" s="25"/>
      <c r="JRQ26" s="25"/>
      <c r="JRR26" s="25"/>
      <c r="JRS26" s="25"/>
      <c r="JRT26" s="25"/>
      <c r="JRU26" s="25"/>
      <c r="JRV26" s="25"/>
      <c r="JRW26" s="25"/>
      <c r="JRX26" s="25"/>
      <c r="JRY26" s="25"/>
      <c r="JRZ26" s="25"/>
      <c r="JSA26" s="25"/>
      <c r="JSB26" s="25"/>
      <c r="JSC26" s="25"/>
      <c r="JSD26" s="25"/>
      <c r="JSE26" s="25"/>
      <c r="JSF26" s="25"/>
      <c r="JSG26" s="25"/>
      <c r="JSH26" s="25"/>
      <c r="JSI26" s="25"/>
      <c r="JSJ26" s="25"/>
      <c r="JSK26" s="25"/>
      <c r="JSL26" s="25"/>
      <c r="JSM26" s="25"/>
      <c r="JSN26" s="25"/>
      <c r="JSO26" s="25"/>
      <c r="JSP26" s="25"/>
      <c r="JSQ26" s="25"/>
      <c r="JSR26" s="25"/>
      <c r="JSS26" s="25"/>
      <c r="JST26" s="25"/>
      <c r="JSU26" s="25"/>
      <c r="JSV26" s="25"/>
      <c r="JSW26" s="25"/>
      <c r="JSX26" s="25"/>
      <c r="JSY26" s="25"/>
      <c r="JSZ26" s="25"/>
      <c r="JTA26" s="25"/>
      <c r="JTB26" s="25"/>
      <c r="JTC26" s="25"/>
      <c r="JTD26" s="25"/>
      <c r="JTE26" s="25"/>
      <c r="JTF26" s="25"/>
      <c r="JTG26" s="25"/>
      <c r="JTH26" s="25"/>
      <c r="JTI26" s="25"/>
      <c r="JTJ26" s="25"/>
      <c r="JTK26" s="25"/>
      <c r="JTL26" s="25"/>
      <c r="JTM26" s="25"/>
      <c r="JTN26" s="25"/>
      <c r="JTO26" s="25"/>
      <c r="JTP26" s="25"/>
      <c r="JTQ26" s="25"/>
      <c r="JTR26" s="25"/>
      <c r="JTS26" s="25"/>
      <c r="JTT26" s="25"/>
      <c r="JTU26" s="25"/>
      <c r="JTV26" s="25"/>
      <c r="JTW26" s="25"/>
      <c r="JTX26" s="25"/>
      <c r="JTY26" s="25"/>
      <c r="JTZ26" s="25"/>
      <c r="JUA26" s="25"/>
      <c r="JUB26" s="25"/>
      <c r="JUC26" s="25"/>
      <c r="JUD26" s="25"/>
      <c r="JUE26" s="25"/>
      <c r="JUF26" s="25"/>
      <c r="JUG26" s="25"/>
      <c r="JUH26" s="25"/>
      <c r="JUI26" s="25"/>
      <c r="JUJ26" s="25"/>
      <c r="JUK26" s="25"/>
      <c r="JUL26" s="25"/>
      <c r="JUM26" s="25"/>
      <c r="JUN26" s="25"/>
      <c r="JUO26" s="25"/>
      <c r="JUP26" s="25"/>
      <c r="JUQ26" s="25"/>
      <c r="JUR26" s="25"/>
      <c r="JUS26" s="25"/>
      <c r="JUT26" s="25"/>
      <c r="JUU26" s="25"/>
      <c r="JUV26" s="25"/>
      <c r="JUW26" s="25"/>
      <c r="JUX26" s="25"/>
      <c r="JUY26" s="25"/>
      <c r="JUZ26" s="25"/>
      <c r="JVA26" s="25"/>
      <c r="JVB26" s="25"/>
      <c r="JVC26" s="25"/>
      <c r="JVD26" s="25"/>
      <c r="JVE26" s="25"/>
      <c r="JVF26" s="25"/>
      <c r="JVG26" s="25"/>
      <c r="JVH26" s="25"/>
      <c r="JVI26" s="25"/>
      <c r="JVJ26" s="25"/>
      <c r="JVK26" s="25"/>
      <c r="JVL26" s="25"/>
      <c r="JVM26" s="25"/>
      <c r="JVN26" s="25"/>
      <c r="JVO26" s="25"/>
      <c r="JVP26" s="25"/>
      <c r="JVQ26" s="25"/>
      <c r="JVR26" s="25"/>
      <c r="JVS26" s="25"/>
      <c r="JVT26" s="25"/>
      <c r="JVU26" s="25"/>
      <c r="JVV26" s="25"/>
      <c r="JVW26" s="25"/>
      <c r="JVX26" s="25"/>
      <c r="JVY26" s="25"/>
      <c r="JVZ26" s="25"/>
      <c r="JWA26" s="25"/>
      <c r="JWB26" s="25"/>
      <c r="JWC26" s="25"/>
      <c r="JWD26" s="25"/>
      <c r="JWE26" s="25"/>
      <c r="JWF26" s="25"/>
      <c r="JWG26" s="25"/>
      <c r="JWH26" s="25"/>
      <c r="JWI26" s="25"/>
      <c r="JWJ26" s="25"/>
      <c r="JWK26" s="25"/>
      <c r="JWL26" s="25"/>
      <c r="JWM26" s="25"/>
      <c r="JWN26" s="25"/>
      <c r="JWO26" s="25"/>
      <c r="JWP26" s="25"/>
      <c r="JWQ26" s="25"/>
      <c r="JWR26" s="25"/>
      <c r="JWS26" s="25"/>
      <c r="JWT26" s="25"/>
      <c r="JWU26" s="25"/>
      <c r="JWV26" s="25"/>
      <c r="JWW26" s="25"/>
      <c r="JWX26" s="25"/>
      <c r="JWY26" s="25"/>
      <c r="JWZ26" s="25"/>
      <c r="JXA26" s="25"/>
      <c r="JXB26" s="25"/>
      <c r="JXC26" s="25"/>
      <c r="JXD26" s="25"/>
      <c r="JXE26" s="25"/>
      <c r="JXF26" s="25"/>
      <c r="JXG26" s="25"/>
      <c r="JXH26" s="25"/>
      <c r="JXI26" s="25"/>
      <c r="JXJ26" s="25"/>
      <c r="JXK26" s="25"/>
      <c r="JXL26" s="25"/>
      <c r="JXM26" s="25"/>
      <c r="JXN26" s="25"/>
      <c r="JXO26" s="25"/>
      <c r="JXP26" s="25"/>
      <c r="JXQ26" s="25"/>
      <c r="JXR26" s="25"/>
      <c r="JXS26" s="25"/>
      <c r="JXT26" s="25"/>
      <c r="JXU26" s="25"/>
      <c r="JXV26" s="25"/>
      <c r="JXW26" s="25"/>
      <c r="JXX26" s="25"/>
      <c r="JXY26" s="25"/>
      <c r="JXZ26" s="25"/>
      <c r="JYA26" s="25"/>
      <c r="JYB26" s="25"/>
      <c r="JYC26" s="25"/>
      <c r="JYD26" s="25"/>
      <c r="JYE26" s="25"/>
      <c r="JYF26" s="25"/>
      <c r="JYG26" s="25"/>
      <c r="JYH26" s="25"/>
      <c r="JYI26" s="25"/>
      <c r="JYJ26" s="25"/>
      <c r="JYK26" s="25"/>
      <c r="JYL26" s="25"/>
      <c r="JYM26" s="25"/>
      <c r="JYN26" s="25"/>
      <c r="JYO26" s="25"/>
      <c r="JYP26" s="25"/>
      <c r="JYQ26" s="25"/>
      <c r="JYR26" s="25"/>
      <c r="JYS26" s="25"/>
      <c r="JYT26" s="25"/>
      <c r="JYU26" s="25"/>
      <c r="JYV26" s="25"/>
      <c r="JYW26" s="25"/>
      <c r="JYX26" s="25"/>
      <c r="JYY26" s="25"/>
      <c r="JYZ26" s="25"/>
      <c r="JZA26" s="25"/>
      <c r="JZB26" s="25"/>
      <c r="JZC26" s="25"/>
      <c r="JZD26" s="25"/>
      <c r="JZE26" s="25"/>
      <c r="JZF26" s="25"/>
      <c r="JZG26" s="25"/>
      <c r="JZH26" s="25"/>
      <c r="JZI26" s="25"/>
      <c r="JZJ26" s="25"/>
      <c r="JZK26" s="25"/>
      <c r="JZL26" s="25"/>
      <c r="JZM26" s="25"/>
      <c r="JZN26" s="25"/>
      <c r="JZO26" s="25"/>
      <c r="JZP26" s="25"/>
      <c r="JZQ26" s="25"/>
      <c r="JZR26" s="25"/>
      <c r="JZS26" s="25"/>
      <c r="JZT26" s="25"/>
      <c r="JZU26" s="25"/>
      <c r="JZV26" s="25"/>
      <c r="JZW26" s="25"/>
      <c r="JZX26" s="25"/>
      <c r="JZY26" s="25"/>
      <c r="JZZ26" s="25"/>
      <c r="KAA26" s="25"/>
      <c r="KAB26" s="25"/>
      <c r="KAC26" s="25"/>
      <c r="KAD26" s="25"/>
      <c r="KAE26" s="25"/>
      <c r="KAF26" s="25"/>
      <c r="KAG26" s="25"/>
      <c r="KAH26" s="25"/>
      <c r="KAI26" s="25"/>
      <c r="KAJ26" s="25"/>
      <c r="KAK26" s="25"/>
      <c r="KAL26" s="25"/>
      <c r="KAM26" s="25"/>
      <c r="KAN26" s="25"/>
      <c r="KAO26" s="25"/>
      <c r="KAP26" s="25"/>
      <c r="KAQ26" s="25"/>
      <c r="KAR26" s="25"/>
      <c r="KAS26" s="25"/>
      <c r="KAT26" s="25"/>
      <c r="KAU26" s="25"/>
      <c r="KAV26" s="25"/>
      <c r="KAW26" s="25"/>
      <c r="KAX26" s="25"/>
      <c r="KAY26" s="25"/>
      <c r="KAZ26" s="25"/>
      <c r="KBA26" s="25"/>
      <c r="KBB26" s="25"/>
      <c r="KBC26" s="25"/>
      <c r="KBD26" s="25"/>
      <c r="KBE26" s="25"/>
      <c r="KBF26" s="25"/>
      <c r="KBG26" s="25"/>
      <c r="KBH26" s="25"/>
      <c r="KBI26" s="25"/>
      <c r="KBJ26" s="25"/>
      <c r="KBK26" s="25"/>
      <c r="KBL26" s="25"/>
      <c r="KBM26" s="25"/>
      <c r="KBN26" s="25"/>
      <c r="KBO26" s="25"/>
      <c r="KBP26" s="25"/>
      <c r="KBQ26" s="25"/>
      <c r="KBR26" s="25"/>
      <c r="KBS26" s="25"/>
      <c r="KBT26" s="25"/>
      <c r="KBU26" s="25"/>
      <c r="KBV26" s="25"/>
      <c r="KBW26" s="25"/>
      <c r="KBX26" s="25"/>
      <c r="KBY26" s="25"/>
      <c r="KBZ26" s="25"/>
      <c r="KCA26" s="25"/>
      <c r="KCB26" s="25"/>
      <c r="KCC26" s="25"/>
      <c r="KCD26" s="25"/>
      <c r="KCE26" s="25"/>
      <c r="KCF26" s="25"/>
      <c r="KCG26" s="25"/>
      <c r="KCH26" s="25"/>
      <c r="KCI26" s="25"/>
      <c r="KCJ26" s="25"/>
      <c r="KCK26" s="25"/>
      <c r="KCL26" s="25"/>
      <c r="KCM26" s="25"/>
      <c r="KCN26" s="25"/>
      <c r="KCO26" s="25"/>
      <c r="KCP26" s="25"/>
      <c r="KCQ26" s="25"/>
      <c r="KCR26" s="25"/>
      <c r="KCS26" s="25"/>
      <c r="KCT26" s="25"/>
      <c r="KCU26" s="25"/>
      <c r="KCV26" s="25"/>
      <c r="KCW26" s="25"/>
      <c r="KCX26" s="25"/>
      <c r="KCY26" s="25"/>
      <c r="KCZ26" s="25"/>
      <c r="KDA26" s="25"/>
      <c r="KDB26" s="25"/>
      <c r="KDC26" s="25"/>
      <c r="KDD26" s="25"/>
      <c r="KDE26" s="25"/>
      <c r="KDF26" s="25"/>
      <c r="KDG26" s="25"/>
      <c r="KDH26" s="25"/>
      <c r="KDI26" s="25"/>
      <c r="KDJ26" s="25"/>
      <c r="KDK26" s="25"/>
      <c r="KDL26" s="25"/>
      <c r="KDM26" s="25"/>
      <c r="KDN26" s="25"/>
      <c r="KDO26" s="25"/>
      <c r="KDP26" s="25"/>
      <c r="KDQ26" s="25"/>
      <c r="KDR26" s="25"/>
      <c r="KDS26" s="25"/>
      <c r="KDT26" s="25"/>
      <c r="KDU26" s="25"/>
      <c r="KDV26" s="25"/>
      <c r="KDW26" s="25"/>
      <c r="KDX26" s="25"/>
      <c r="KDY26" s="25"/>
      <c r="KDZ26" s="25"/>
      <c r="KEA26" s="25"/>
      <c r="KEB26" s="25"/>
      <c r="KEC26" s="25"/>
      <c r="KED26" s="25"/>
      <c r="KEE26" s="25"/>
      <c r="KEF26" s="25"/>
      <c r="KEG26" s="25"/>
      <c r="KEH26" s="25"/>
      <c r="KEI26" s="25"/>
      <c r="KEJ26" s="25"/>
      <c r="KEK26" s="25"/>
      <c r="KEL26" s="25"/>
      <c r="KEM26" s="25"/>
      <c r="KEN26" s="25"/>
      <c r="KEO26" s="25"/>
      <c r="KEP26" s="25"/>
      <c r="KEQ26" s="25"/>
      <c r="KER26" s="25"/>
      <c r="KES26" s="25"/>
      <c r="KET26" s="25"/>
      <c r="KEU26" s="25"/>
      <c r="KEV26" s="25"/>
      <c r="KEW26" s="25"/>
      <c r="KEX26" s="25"/>
      <c r="KEY26" s="25"/>
      <c r="KEZ26" s="25"/>
      <c r="KFA26" s="25"/>
      <c r="KFB26" s="25"/>
      <c r="KFC26" s="25"/>
      <c r="KFD26" s="25"/>
      <c r="KFE26" s="25"/>
      <c r="KFF26" s="25"/>
      <c r="KFG26" s="25"/>
      <c r="KFH26" s="25"/>
      <c r="KFI26" s="25"/>
      <c r="KFJ26" s="25"/>
      <c r="KFK26" s="25"/>
      <c r="KFL26" s="25"/>
      <c r="KFM26" s="25"/>
      <c r="KFN26" s="25"/>
      <c r="KFO26" s="25"/>
      <c r="KFP26" s="25"/>
      <c r="KFQ26" s="25"/>
      <c r="KFR26" s="25"/>
      <c r="KFS26" s="25"/>
      <c r="KFT26" s="25"/>
      <c r="KFU26" s="25"/>
      <c r="KFV26" s="25"/>
      <c r="KFW26" s="25"/>
      <c r="KFX26" s="25"/>
      <c r="KFY26" s="25"/>
      <c r="KFZ26" s="25"/>
      <c r="KGA26" s="25"/>
      <c r="KGB26" s="25"/>
      <c r="KGC26" s="25"/>
      <c r="KGD26" s="25"/>
      <c r="KGE26" s="25"/>
      <c r="KGF26" s="25"/>
      <c r="KGG26" s="25"/>
      <c r="KGH26" s="25"/>
      <c r="KGI26" s="25"/>
      <c r="KGJ26" s="25"/>
      <c r="KGK26" s="25"/>
      <c r="KGL26" s="25"/>
      <c r="KGM26" s="25"/>
      <c r="KGN26" s="25"/>
      <c r="KGO26" s="25"/>
      <c r="KGP26" s="25"/>
      <c r="KGQ26" s="25"/>
      <c r="KGR26" s="25"/>
      <c r="KGS26" s="25"/>
      <c r="KGT26" s="25"/>
      <c r="KGU26" s="25"/>
      <c r="KGV26" s="25"/>
      <c r="KGW26" s="25"/>
      <c r="KGX26" s="25"/>
      <c r="KGY26" s="25"/>
      <c r="KGZ26" s="25"/>
      <c r="KHA26" s="25"/>
      <c r="KHB26" s="25"/>
      <c r="KHC26" s="25"/>
      <c r="KHD26" s="25"/>
      <c r="KHE26" s="25"/>
      <c r="KHF26" s="25"/>
      <c r="KHG26" s="25"/>
      <c r="KHH26" s="25"/>
      <c r="KHI26" s="25"/>
      <c r="KHJ26" s="25"/>
      <c r="KHK26" s="25"/>
      <c r="KHL26" s="25"/>
      <c r="KHM26" s="25"/>
      <c r="KHN26" s="25"/>
      <c r="KHO26" s="25"/>
      <c r="KHP26" s="25"/>
      <c r="KHQ26" s="25"/>
      <c r="KHR26" s="25"/>
      <c r="KHS26" s="25"/>
      <c r="KHT26" s="25"/>
      <c r="KHU26" s="25"/>
      <c r="KHV26" s="25"/>
      <c r="KHW26" s="25"/>
      <c r="KHX26" s="25"/>
      <c r="KHY26" s="25"/>
      <c r="KHZ26" s="25"/>
      <c r="KIA26" s="25"/>
      <c r="KIB26" s="25"/>
      <c r="KIC26" s="25"/>
      <c r="KID26" s="25"/>
      <c r="KIE26" s="25"/>
      <c r="KIF26" s="25"/>
      <c r="KIG26" s="25"/>
      <c r="KIH26" s="25"/>
      <c r="KII26" s="25"/>
      <c r="KIJ26" s="25"/>
      <c r="KIK26" s="25"/>
      <c r="KIL26" s="25"/>
      <c r="KIM26" s="25"/>
      <c r="KIN26" s="25"/>
      <c r="KIO26" s="25"/>
      <c r="KIP26" s="25"/>
      <c r="KIQ26" s="25"/>
      <c r="KIR26" s="25"/>
      <c r="KIS26" s="25"/>
      <c r="KIT26" s="25"/>
      <c r="KIU26" s="25"/>
      <c r="KIV26" s="25"/>
      <c r="KIW26" s="25"/>
      <c r="KIX26" s="25"/>
      <c r="KIY26" s="25"/>
      <c r="KIZ26" s="25"/>
      <c r="KJA26" s="25"/>
      <c r="KJB26" s="25"/>
      <c r="KJC26" s="25"/>
      <c r="KJD26" s="25"/>
      <c r="KJE26" s="25"/>
      <c r="KJF26" s="25"/>
      <c r="KJG26" s="25"/>
      <c r="KJH26" s="25"/>
      <c r="KJI26" s="25"/>
      <c r="KJJ26" s="25"/>
      <c r="KJK26" s="25"/>
      <c r="KJL26" s="25"/>
      <c r="KJM26" s="25"/>
      <c r="KJN26" s="25"/>
      <c r="KJO26" s="25"/>
      <c r="KJP26" s="25"/>
      <c r="KJQ26" s="25"/>
      <c r="KJR26" s="25"/>
      <c r="KJS26" s="25"/>
      <c r="KJT26" s="25"/>
      <c r="KJU26" s="25"/>
      <c r="KJV26" s="25"/>
      <c r="KJW26" s="25"/>
      <c r="KJX26" s="25"/>
      <c r="KJY26" s="25"/>
      <c r="KJZ26" s="25"/>
      <c r="KKA26" s="25"/>
      <c r="KKB26" s="25"/>
      <c r="KKC26" s="25"/>
      <c r="KKD26" s="25"/>
      <c r="KKE26" s="25"/>
      <c r="KKF26" s="25"/>
      <c r="KKG26" s="25"/>
      <c r="KKH26" s="25"/>
      <c r="KKI26" s="25"/>
      <c r="KKJ26" s="25"/>
      <c r="KKK26" s="25"/>
      <c r="KKL26" s="25"/>
      <c r="KKM26" s="25"/>
      <c r="KKN26" s="25"/>
      <c r="KKO26" s="25"/>
      <c r="KKP26" s="25"/>
      <c r="KKQ26" s="25"/>
      <c r="KKR26" s="25"/>
      <c r="KKS26" s="25"/>
      <c r="KKT26" s="25"/>
      <c r="KKU26" s="25"/>
      <c r="KKV26" s="25"/>
      <c r="KKW26" s="25"/>
      <c r="KKX26" s="25"/>
      <c r="KKY26" s="25"/>
      <c r="KKZ26" s="25"/>
      <c r="KLA26" s="25"/>
      <c r="KLB26" s="25"/>
      <c r="KLC26" s="25"/>
      <c r="KLD26" s="25"/>
      <c r="KLE26" s="25"/>
      <c r="KLF26" s="25"/>
      <c r="KLG26" s="25"/>
      <c r="KLH26" s="25"/>
      <c r="KLI26" s="25"/>
      <c r="KLJ26" s="25"/>
      <c r="KLK26" s="25"/>
      <c r="KLL26" s="25"/>
      <c r="KLM26" s="25"/>
      <c r="KLN26" s="25"/>
      <c r="KLO26" s="25"/>
      <c r="KLP26" s="25"/>
      <c r="KLQ26" s="25"/>
      <c r="KLR26" s="25"/>
      <c r="KLS26" s="25"/>
      <c r="KLT26" s="25"/>
      <c r="KLU26" s="25"/>
      <c r="KLV26" s="25"/>
      <c r="KLW26" s="25"/>
      <c r="KLX26" s="25"/>
      <c r="KLY26" s="25"/>
      <c r="KLZ26" s="25"/>
      <c r="KMA26" s="25"/>
      <c r="KMB26" s="25"/>
      <c r="KMC26" s="25"/>
      <c r="KMD26" s="25"/>
      <c r="KME26" s="25"/>
      <c r="KMF26" s="25"/>
      <c r="KMG26" s="25"/>
      <c r="KMH26" s="25"/>
      <c r="KMI26" s="25"/>
      <c r="KMJ26" s="25"/>
      <c r="KMK26" s="25"/>
      <c r="KML26" s="25"/>
      <c r="KMM26" s="25"/>
      <c r="KMN26" s="25"/>
      <c r="KMO26" s="25"/>
      <c r="KMP26" s="25"/>
      <c r="KMQ26" s="25"/>
      <c r="KMR26" s="25"/>
      <c r="KMS26" s="25"/>
      <c r="KMT26" s="25"/>
      <c r="KMU26" s="25"/>
      <c r="KMV26" s="25"/>
      <c r="KMW26" s="25"/>
      <c r="KMX26" s="25"/>
      <c r="KMY26" s="25"/>
      <c r="KMZ26" s="25"/>
      <c r="KNA26" s="25"/>
      <c r="KNB26" s="25"/>
      <c r="KNC26" s="25"/>
      <c r="KND26" s="25"/>
      <c r="KNE26" s="25"/>
      <c r="KNF26" s="25"/>
      <c r="KNG26" s="25"/>
      <c r="KNH26" s="25"/>
      <c r="KNI26" s="25"/>
      <c r="KNJ26" s="25"/>
      <c r="KNK26" s="25"/>
      <c r="KNL26" s="25"/>
      <c r="KNM26" s="25"/>
      <c r="KNN26" s="25"/>
      <c r="KNO26" s="25"/>
      <c r="KNP26" s="25"/>
      <c r="KNQ26" s="25"/>
      <c r="KNR26" s="25"/>
      <c r="KNS26" s="25"/>
      <c r="KNT26" s="25"/>
      <c r="KNU26" s="25"/>
      <c r="KNV26" s="25"/>
      <c r="KNW26" s="25"/>
      <c r="KNX26" s="25"/>
      <c r="KNY26" s="25"/>
      <c r="KNZ26" s="25"/>
      <c r="KOA26" s="25"/>
      <c r="KOB26" s="25"/>
      <c r="KOC26" s="25"/>
      <c r="KOD26" s="25"/>
      <c r="KOE26" s="25"/>
      <c r="KOF26" s="25"/>
      <c r="KOG26" s="25"/>
      <c r="KOH26" s="25"/>
      <c r="KOI26" s="25"/>
      <c r="KOJ26" s="25"/>
      <c r="KOK26" s="25"/>
      <c r="KOL26" s="25"/>
      <c r="KOM26" s="25"/>
      <c r="KON26" s="25"/>
      <c r="KOO26" s="25"/>
      <c r="KOP26" s="25"/>
      <c r="KOQ26" s="25"/>
      <c r="KOR26" s="25"/>
      <c r="KOS26" s="25"/>
      <c r="KOT26" s="25"/>
      <c r="KOU26" s="25"/>
      <c r="KOV26" s="25"/>
      <c r="KOW26" s="25"/>
      <c r="KOX26" s="25"/>
      <c r="KOY26" s="25"/>
      <c r="KOZ26" s="25"/>
      <c r="KPA26" s="25"/>
      <c r="KPB26" s="25"/>
      <c r="KPC26" s="25"/>
      <c r="KPD26" s="25"/>
      <c r="KPE26" s="25"/>
      <c r="KPF26" s="25"/>
      <c r="KPG26" s="25"/>
      <c r="KPH26" s="25"/>
      <c r="KPI26" s="25"/>
      <c r="KPJ26" s="25"/>
      <c r="KPK26" s="25"/>
      <c r="KPL26" s="25"/>
      <c r="KPM26" s="25"/>
      <c r="KPN26" s="25"/>
      <c r="KPO26" s="25"/>
      <c r="KPP26" s="25"/>
      <c r="KPQ26" s="25"/>
      <c r="KPR26" s="25"/>
      <c r="KPS26" s="25"/>
      <c r="KPT26" s="25"/>
      <c r="KPU26" s="25"/>
      <c r="KPV26" s="25"/>
      <c r="KPW26" s="25"/>
      <c r="KPX26" s="25"/>
      <c r="KPY26" s="25"/>
      <c r="KPZ26" s="25"/>
      <c r="KQA26" s="25"/>
      <c r="KQB26" s="25"/>
      <c r="KQC26" s="25"/>
      <c r="KQD26" s="25"/>
      <c r="KQE26" s="25"/>
      <c r="KQF26" s="25"/>
      <c r="KQG26" s="25"/>
      <c r="KQH26" s="25"/>
      <c r="KQI26" s="25"/>
      <c r="KQJ26" s="25"/>
      <c r="KQK26" s="25"/>
      <c r="KQL26" s="25"/>
      <c r="KQM26" s="25"/>
      <c r="KQN26" s="25"/>
      <c r="KQO26" s="25"/>
      <c r="KQP26" s="25"/>
      <c r="KQQ26" s="25"/>
      <c r="KQR26" s="25"/>
      <c r="KQS26" s="25"/>
      <c r="KQT26" s="25"/>
      <c r="KQU26" s="25"/>
      <c r="KQV26" s="25"/>
      <c r="KQW26" s="25"/>
      <c r="KQX26" s="25"/>
      <c r="KQY26" s="25"/>
      <c r="KQZ26" s="25"/>
      <c r="KRA26" s="25"/>
      <c r="KRB26" s="25"/>
      <c r="KRC26" s="25"/>
      <c r="KRD26" s="25"/>
      <c r="KRE26" s="25"/>
      <c r="KRF26" s="25"/>
      <c r="KRG26" s="25"/>
      <c r="KRH26" s="25"/>
      <c r="KRI26" s="25"/>
      <c r="KRJ26" s="25"/>
      <c r="KRK26" s="25"/>
      <c r="KRL26" s="25"/>
      <c r="KRM26" s="25"/>
      <c r="KRN26" s="25"/>
      <c r="KRO26" s="25"/>
      <c r="KRP26" s="25"/>
      <c r="KRQ26" s="25"/>
      <c r="KRR26" s="25"/>
      <c r="KRS26" s="25"/>
      <c r="KRT26" s="25"/>
      <c r="KRU26" s="25"/>
      <c r="KRV26" s="25"/>
      <c r="KRW26" s="25"/>
      <c r="KRX26" s="25"/>
      <c r="KRY26" s="25"/>
      <c r="KRZ26" s="25"/>
      <c r="KSA26" s="25"/>
      <c r="KSB26" s="25"/>
      <c r="KSC26" s="25"/>
      <c r="KSD26" s="25"/>
      <c r="KSE26" s="25"/>
      <c r="KSF26" s="25"/>
      <c r="KSG26" s="25"/>
      <c r="KSH26" s="25"/>
      <c r="KSI26" s="25"/>
      <c r="KSJ26" s="25"/>
      <c r="KSK26" s="25"/>
      <c r="KSL26" s="25"/>
      <c r="KSM26" s="25"/>
      <c r="KSN26" s="25"/>
      <c r="KSO26" s="25"/>
      <c r="KSP26" s="25"/>
      <c r="KSQ26" s="25"/>
      <c r="KSR26" s="25"/>
      <c r="KSS26" s="25"/>
      <c r="KST26" s="25"/>
      <c r="KSU26" s="25"/>
      <c r="KSV26" s="25"/>
      <c r="KSW26" s="25"/>
      <c r="KSX26" s="25"/>
      <c r="KSY26" s="25"/>
      <c r="KSZ26" s="25"/>
      <c r="KTA26" s="25"/>
      <c r="KTB26" s="25"/>
      <c r="KTC26" s="25"/>
      <c r="KTD26" s="25"/>
      <c r="KTE26" s="25"/>
      <c r="KTF26" s="25"/>
      <c r="KTG26" s="25"/>
      <c r="KTH26" s="25"/>
      <c r="KTI26" s="25"/>
      <c r="KTJ26" s="25"/>
      <c r="KTK26" s="25"/>
      <c r="KTL26" s="25"/>
      <c r="KTM26" s="25"/>
      <c r="KTN26" s="25"/>
      <c r="KTO26" s="25"/>
      <c r="KTP26" s="25"/>
      <c r="KTQ26" s="25"/>
      <c r="KTR26" s="25"/>
      <c r="KTS26" s="25"/>
      <c r="KTT26" s="25"/>
      <c r="KTU26" s="25"/>
      <c r="KTV26" s="25"/>
      <c r="KTW26" s="25"/>
      <c r="KTX26" s="25"/>
      <c r="KTY26" s="25"/>
      <c r="KTZ26" s="25"/>
      <c r="KUA26" s="25"/>
      <c r="KUB26" s="25"/>
      <c r="KUC26" s="25"/>
      <c r="KUD26" s="25"/>
      <c r="KUE26" s="25"/>
      <c r="KUF26" s="25"/>
      <c r="KUG26" s="25"/>
      <c r="KUH26" s="25"/>
      <c r="KUI26" s="25"/>
      <c r="KUJ26" s="25"/>
      <c r="KUK26" s="25"/>
      <c r="KUL26" s="25"/>
      <c r="KUM26" s="25"/>
      <c r="KUN26" s="25"/>
      <c r="KUO26" s="25"/>
      <c r="KUP26" s="25"/>
      <c r="KUQ26" s="25"/>
      <c r="KUR26" s="25"/>
      <c r="KUS26" s="25"/>
      <c r="KUT26" s="25"/>
      <c r="KUU26" s="25"/>
      <c r="KUV26" s="25"/>
      <c r="KUW26" s="25"/>
      <c r="KUX26" s="25"/>
      <c r="KUY26" s="25"/>
      <c r="KUZ26" s="25"/>
      <c r="KVA26" s="25"/>
      <c r="KVB26" s="25"/>
      <c r="KVC26" s="25"/>
      <c r="KVD26" s="25"/>
      <c r="KVE26" s="25"/>
      <c r="KVF26" s="25"/>
      <c r="KVG26" s="25"/>
      <c r="KVH26" s="25"/>
      <c r="KVI26" s="25"/>
      <c r="KVJ26" s="25"/>
      <c r="KVK26" s="25"/>
      <c r="KVL26" s="25"/>
      <c r="KVM26" s="25"/>
      <c r="KVN26" s="25"/>
      <c r="KVO26" s="25"/>
      <c r="KVP26" s="25"/>
      <c r="KVQ26" s="25"/>
      <c r="KVR26" s="25"/>
      <c r="KVS26" s="25"/>
      <c r="KVT26" s="25"/>
      <c r="KVU26" s="25"/>
      <c r="KVV26" s="25"/>
      <c r="KVW26" s="25"/>
      <c r="KVX26" s="25"/>
      <c r="KVY26" s="25"/>
      <c r="KVZ26" s="25"/>
      <c r="KWA26" s="25"/>
      <c r="KWB26" s="25"/>
      <c r="KWC26" s="25"/>
      <c r="KWD26" s="25"/>
      <c r="KWE26" s="25"/>
      <c r="KWF26" s="25"/>
      <c r="KWG26" s="25"/>
      <c r="KWH26" s="25"/>
      <c r="KWI26" s="25"/>
      <c r="KWJ26" s="25"/>
      <c r="KWK26" s="25"/>
      <c r="KWL26" s="25"/>
      <c r="KWM26" s="25"/>
      <c r="KWN26" s="25"/>
      <c r="KWO26" s="25"/>
      <c r="KWP26" s="25"/>
      <c r="KWQ26" s="25"/>
      <c r="KWR26" s="25"/>
      <c r="KWS26" s="25"/>
      <c r="KWT26" s="25"/>
      <c r="KWU26" s="25"/>
      <c r="KWV26" s="25"/>
      <c r="KWW26" s="25"/>
      <c r="KWX26" s="25"/>
      <c r="KWY26" s="25"/>
      <c r="KWZ26" s="25"/>
      <c r="KXA26" s="25"/>
      <c r="KXB26" s="25"/>
      <c r="KXC26" s="25"/>
      <c r="KXD26" s="25"/>
      <c r="KXE26" s="25"/>
      <c r="KXF26" s="25"/>
      <c r="KXG26" s="25"/>
      <c r="KXH26" s="25"/>
      <c r="KXI26" s="25"/>
      <c r="KXJ26" s="25"/>
      <c r="KXK26" s="25"/>
      <c r="KXL26" s="25"/>
      <c r="KXM26" s="25"/>
      <c r="KXN26" s="25"/>
      <c r="KXO26" s="25"/>
      <c r="KXP26" s="25"/>
      <c r="KXQ26" s="25"/>
      <c r="KXR26" s="25"/>
      <c r="KXS26" s="25"/>
      <c r="KXT26" s="25"/>
      <c r="KXU26" s="25"/>
      <c r="KXV26" s="25"/>
      <c r="KXW26" s="25"/>
      <c r="KXX26" s="25"/>
      <c r="KXY26" s="25"/>
      <c r="KXZ26" s="25"/>
      <c r="KYA26" s="25"/>
      <c r="KYB26" s="25"/>
      <c r="KYC26" s="25"/>
      <c r="KYD26" s="25"/>
      <c r="KYE26" s="25"/>
      <c r="KYF26" s="25"/>
      <c r="KYG26" s="25"/>
      <c r="KYH26" s="25"/>
      <c r="KYI26" s="25"/>
      <c r="KYJ26" s="25"/>
      <c r="KYK26" s="25"/>
      <c r="KYL26" s="25"/>
      <c r="KYM26" s="25"/>
      <c r="KYN26" s="25"/>
      <c r="KYO26" s="25"/>
      <c r="KYP26" s="25"/>
      <c r="KYQ26" s="25"/>
      <c r="KYR26" s="25"/>
      <c r="KYS26" s="25"/>
      <c r="KYT26" s="25"/>
      <c r="KYU26" s="25"/>
      <c r="KYV26" s="25"/>
      <c r="KYW26" s="25"/>
      <c r="KYX26" s="25"/>
      <c r="KYY26" s="25"/>
      <c r="KYZ26" s="25"/>
      <c r="KZA26" s="25"/>
      <c r="KZB26" s="25"/>
      <c r="KZC26" s="25"/>
      <c r="KZD26" s="25"/>
      <c r="KZE26" s="25"/>
      <c r="KZF26" s="25"/>
      <c r="KZG26" s="25"/>
      <c r="KZH26" s="25"/>
      <c r="KZI26" s="25"/>
      <c r="KZJ26" s="25"/>
      <c r="KZK26" s="25"/>
      <c r="KZL26" s="25"/>
      <c r="KZM26" s="25"/>
      <c r="KZN26" s="25"/>
      <c r="KZO26" s="25"/>
      <c r="KZP26" s="25"/>
      <c r="KZQ26" s="25"/>
      <c r="KZR26" s="25"/>
      <c r="KZS26" s="25"/>
      <c r="KZT26" s="25"/>
      <c r="KZU26" s="25"/>
      <c r="KZV26" s="25"/>
      <c r="KZW26" s="25"/>
      <c r="KZX26" s="25"/>
      <c r="KZY26" s="25"/>
      <c r="KZZ26" s="25"/>
      <c r="LAA26" s="25"/>
      <c r="LAB26" s="25"/>
      <c r="LAC26" s="25"/>
      <c r="LAD26" s="25"/>
      <c r="LAE26" s="25"/>
      <c r="LAF26" s="25"/>
      <c r="LAG26" s="25"/>
      <c r="LAH26" s="25"/>
      <c r="LAI26" s="25"/>
      <c r="LAJ26" s="25"/>
      <c r="LAK26" s="25"/>
      <c r="LAL26" s="25"/>
      <c r="LAM26" s="25"/>
      <c r="LAN26" s="25"/>
      <c r="LAO26" s="25"/>
      <c r="LAP26" s="25"/>
      <c r="LAQ26" s="25"/>
      <c r="LAR26" s="25"/>
      <c r="LAS26" s="25"/>
      <c r="LAT26" s="25"/>
      <c r="LAU26" s="25"/>
      <c r="LAV26" s="25"/>
      <c r="LAW26" s="25"/>
      <c r="LAX26" s="25"/>
      <c r="LAY26" s="25"/>
      <c r="LAZ26" s="25"/>
      <c r="LBA26" s="25"/>
      <c r="LBB26" s="25"/>
      <c r="LBC26" s="25"/>
      <c r="LBD26" s="25"/>
      <c r="LBE26" s="25"/>
      <c r="LBF26" s="25"/>
      <c r="LBG26" s="25"/>
      <c r="LBH26" s="25"/>
      <c r="LBI26" s="25"/>
      <c r="LBJ26" s="25"/>
      <c r="LBK26" s="25"/>
      <c r="LBL26" s="25"/>
      <c r="LBM26" s="25"/>
      <c r="LBN26" s="25"/>
      <c r="LBO26" s="25"/>
      <c r="LBP26" s="25"/>
      <c r="LBQ26" s="25"/>
      <c r="LBR26" s="25"/>
      <c r="LBS26" s="25"/>
      <c r="LBT26" s="25"/>
      <c r="LBU26" s="25"/>
      <c r="LBV26" s="25"/>
      <c r="LBW26" s="25"/>
      <c r="LBX26" s="25"/>
      <c r="LBY26" s="25"/>
      <c r="LBZ26" s="25"/>
      <c r="LCA26" s="25"/>
      <c r="LCB26" s="25"/>
      <c r="LCC26" s="25"/>
      <c r="LCD26" s="25"/>
      <c r="LCE26" s="25"/>
      <c r="LCF26" s="25"/>
      <c r="LCG26" s="25"/>
      <c r="LCH26" s="25"/>
      <c r="LCI26" s="25"/>
      <c r="LCJ26" s="25"/>
      <c r="LCK26" s="25"/>
      <c r="LCL26" s="25"/>
      <c r="LCM26" s="25"/>
      <c r="LCN26" s="25"/>
      <c r="LCO26" s="25"/>
      <c r="LCP26" s="25"/>
      <c r="LCQ26" s="25"/>
      <c r="LCR26" s="25"/>
      <c r="LCS26" s="25"/>
      <c r="LCT26" s="25"/>
      <c r="LCU26" s="25"/>
      <c r="LCV26" s="25"/>
      <c r="LCW26" s="25"/>
      <c r="LCX26" s="25"/>
      <c r="LCY26" s="25"/>
      <c r="LCZ26" s="25"/>
      <c r="LDA26" s="25"/>
      <c r="LDB26" s="25"/>
      <c r="LDC26" s="25"/>
      <c r="LDD26" s="25"/>
      <c r="LDE26" s="25"/>
      <c r="LDF26" s="25"/>
      <c r="LDG26" s="25"/>
      <c r="LDH26" s="25"/>
      <c r="LDI26" s="25"/>
      <c r="LDJ26" s="25"/>
      <c r="LDK26" s="25"/>
      <c r="LDL26" s="25"/>
      <c r="LDM26" s="25"/>
      <c r="LDN26" s="25"/>
      <c r="LDO26" s="25"/>
      <c r="LDP26" s="25"/>
      <c r="LDQ26" s="25"/>
      <c r="LDR26" s="25"/>
      <c r="LDS26" s="25"/>
      <c r="LDT26" s="25"/>
      <c r="LDU26" s="25"/>
      <c r="LDV26" s="25"/>
      <c r="LDW26" s="25"/>
      <c r="LDX26" s="25"/>
      <c r="LDY26" s="25"/>
      <c r="LDZ26" s="25"/>
      <c r="LEA26" s="25"/>
      <c r="LEB26" s="25"/>
      <c r="LEC26" s="25"/>
      <c r="LED26" s="25"/>
      <c r="LEE26" s="25"/>
      <c r="LEF26" s="25"/>
      <c r="LEG26" s="25"/>
      <c r="LEH26" s="25"/>
      <c r="LEI26" s="25"/>
      <c r="LEJ26" s="25"/>
      <c r="LEK26" s="25"/>
      <c r="LEL26" s="25"/>
      <c r="LEM26" s="25"/>
      <c r="LEN26" s="25"/>
      <c r="LEO26" s="25"/>
      <c r="LEP26" s="25"/>
      <c r="LEQ26" s="25"/>
      <c r="LER26" s="25"/>
      <c r="LES26" s="25"/>
      <c r="LET26" s="25"/>
      <c r="LEU26" s="25"/>
      <c r="LEV26" s="25"/>
      <c r="LEW26" s="25"/>
      <c r="LEX26" s="25"/>
      <c r="LEY26" s="25"/>
      <c r="LEZ26" s="25"/>
      <c r="LFA26" s="25"/>
      <c r="LFB26" s="25"/>
      <c r="LFC26" s="25"/>
      <c r="LFD26" s="25"/>
      <c r="LFE26" s="25"/>
      <c r="LFF26" s="25"/>
      <c r="LFG26" s="25"/>
      <c r="LFH26" s="25"/>
      <c r="LFI26" s="25"/>
      <c r="LFJ26" s="25"/>
      <c r="LFK26" s="25"/>
      <c r="LFL26" s="25"/>
      <c r="LFM26" s="25"/>
      <c r="LFN26" s="25"/>
      <c r="LFO26" s="25"/>
      <c r="LFP26" s="25"/>
      <c r="LFQ26" s="25"/>
      <c r="LFR26" s="25"/>
      <c r="LFS26" s="25"/>
      <c r="LFT26" s="25"/>
      <c r="LFU26" s="25"/>
      <c r="LFV26" s="25"/>
      <c r="LFW26" s="25"/>
      <c r="LFX26" s="25"/>
      <c r="LFY26" s="25"/>
      <c r="LFZ26" s="25"/>
      <c r="LGA26" s="25"/>
      <c r="LGB26" s="25"/>
      <c r="LGC26" s="25"/>
      <c r="LGD26" s="25"/>
      <c r="LGE26" s="25"/>
      <c r="LGF26" s="25"/>
      <c r="LGG26" s="25"/>
      <c r="LGH26" s="25"/>
      <c r="LGI26" s="25"/>
      <c r="LGJ26" s="25"/>
      <c r="LGK26" s="25"/>
      <c r="LGL26" s="25"/>
      <c r="LGM26" s="25"/>
      <c r="LGN26" s="25"/>
      <c r="LGO26" s="25"/>
      <c r="LGP26" s="25"/>
      <c r="LGQ26" s="25"/>
      <c r="LGR26" s="25"/>
      <c r="LGS26" s="25"/>
      <c r="LGT26" s="25"/>
      <c r="LGU26" s="25"/>
      <c r="LGV26" s="25"/>
      <c r="LGW26" s="25"/>
      <c r="LGX26" s="25"/>
      <c r="LGY26" s="25"/>
      <c r="LGZ26" s="25"/>
      <c r="LHA26" s="25"/>
      <c r="LHB26" s="25"/>
      <c r="LHC26" s="25"/>
      <c r="LHD26" s="25"/>
      <c r="LHE26" s="25"/>
      <c r="LHF26" s="25"/>
      <c r="LHG26" s="25"/>
      <c r="LHH26" s="25"/>
      <c r="LHI26" s="25"/>
      <c r="LHJ26" s="25"/>
      <c r="LHK26" s="25"/>
      <c r="LHL26" s="25"/>
      <c r="LHM26" s="25"/>
      <c r="LHN26" s="25"/>
      <c r="LHO26" s="25"/>
      <c r="LHP26" s="25"/>
      <c r="LHQ26" s="25"/>
      <c r="LHR26" s="25"/>
      <c r="LHS26" s="25"/>
      <c r="LHT26" s="25"/>
      <c r="LHU26" s="25"/>
      <c r="LHV26" s="25"/>
      <c r="LHW26" s="25"/>
      <c r="LHX26" s="25"/>
      <c r="LHY26" s="25"/>
      <c r="LHZ26" s="25"/>
      <c r="LIA26" s="25"/>
      <c r="LIB26" s="25"/>
      <c r="LIC26" s="25"/>
      <c r="LID26" s="25"/>
      <c r="LIE26" s="25"/>
      <c r="LIF26" s="25"/>
      <c r="LIG26" s="25"/>
      <c r="LIH26" s="25"/>
      <c r="LII26" s="25"/>
      <c r="LIJ26" s="25"/>
      <c r="LIK26" s="25"/>
      <c r="LIL26" s="25"/>
      <c r="LIM26" s="25"/>
      <c r="LIN26" s="25"/>
      <c r="LIO26" s="25"/>
      <c r="LIP26" s="25"/>
      <c r="LIQ26" s="25"/>
      <c r="LIR26" s="25"/>
      <c r="LIS26" s="25"/>
      <c r="LIT26" s="25"/>
      <c r="LIU26" s="25"/>
      <c r="LIV26" s="25"/>
      <c r="LIW26" s="25"/>
      <c r="LIX26" s="25"/>
      <c r="LIY26" s="25"/>
      <c r="LIZ26" s="25"/>
      <c r="LJA26" s="25"/>
      <c r="LJB26" s="25"/>
      <c r="LJC26" s="25"/>
      <c r="LJD26" s="25"/>
      <c r="LJE26" s="25"/>
      <c r="LJF26" s="25"/>
      <c r="LJG26" s="25"/>
      <c r="LJH26" s="25"/>
      <c r="LJI26" s="25"/>
      <c r="LJJ26" s="25"/>
      <c r="LJK26" s="25"/>
      <c r="LJL26" s="25"/>
      <c r="LJM26" s="25"/>
      <c r="LJN26" s="25"/>
      <c r="LJO26" s="25"/>
      <c r="LJP26" s="25"/>
      <c r="LJQ26" s="25"/>
      <c r="LJR26" s="25"/>
      <c r="LJS26" s="25"/>
      <c r="LJT26" s="25"/>
      <c r="LJU26" s="25"/>
      <c r="LJV26" s="25"/>
      <c r="LJW26" s="25"/>
      <c r="LJX26" s="25"/>
      <c r="LJY26" s="25"/>
      <c r="LJZ26" s="25"/>
      <c r="LKA26" s="25"/>
      <c r="LKB26" s="25"/>
      <c r="LKC26" s="25"/>
      <c r="LKD26" s="25"/>
      <c r="LKE26" s="25"/>
      <c r="LKF26" s="25"/>
      <c r="LKG26" s="25"/>
      <c r="LKH26" s="25"/>
      <c r="LKI26" s="25"/>
      <c r="LKJ26" s="25"/>
      <c r="LKK26" s="25"/>
      <c r="LKL26" s="25"/>
      <c r="LKM26" s="25"/>
      <c r="LKN26" s="25"/>
      <c r="LKO26" s="25"/>
      <c r="LKP26" s="25"/>
      <c r="LKQ26" s="25"/>
      <c r="LKR26" s="25"/>
      <c r="LKS26" s="25"/>
      <c r="LKT26" s="25"/>
      <c r="LKU26" s="25"/>
      <c r="LKV26" s="25"/>
      <c r="LKW26" s="25"/>
      <c r="LKX26" s="25"/>
      <c r="LKY26" s="25"/>
      <c r="LKZ26" s="25"/>
      <c r="LLA26" s="25"/>
      <c r="LLB26" s="25"/>
      <c r="LLC26" s="25"/>
      <c r="LLD26" s="25"/>
      <c r="LLE26" s="25"/>
      <c r="LLF26" s="25"/>
      <c r="LLG26" s="25"/>
      <c r="LLH26" s="25"/>
      <c r="LLI26" s="25"/>
      <c r="LLJ26" s="25"/>
      <c r="LLK26" s="25"/>
      <c r="LLL26" s="25"/>
      <c r="LLM26" s="25"/>
      <c r="LLN26" s="25"/>
      <c r="LLO26" s="25"/>
      <c r="LLP26" s="25"/>
      <c r="LLQ26" s="25"/>
      <c r="LLR26" s="25"/>
      <c r="LLS26" s="25"/>
      <c r="LLT26" s="25"/>
      <c r="LLU26" s="25"/>
      <c r="LLV26" s="25"/>
      <c r="LLW26" s="25"/>
      <c r="LLX26" s="25"/>
      <c r="LLY26" s="25"/>
      <c r="LLZ26" s="25"/>
      <c r="LMA26" s="25"/>
      <c r="LMB26" s="25"/>
      <c r="LMC26" s="25"/>
      <c r="LMD26" s="25"/>
      <c r="LME26" s="25"/>
      <c r="LMF26" s="25"/>
      <c r="LMG26" s="25"/>
      <c r="LMH26" s="25"/>
      <c r="LMI26" s="25"/>
      <c r="LMJ26" s="25"/>
      <c r="LMK26" s="25"/>
      <c r="LML26" s="25"/>
      <c r="LMM26" s="25"/>
      <c r="LMN26" s="25"/>
      <c r="LMO26" s="25"/>
      <c r="LMP26" s="25"/>
      <c r="LMQ26" s="25"/>
      <c r="LMR26" s="25"/>
      <c r="LMS26" s="25"/>
      <c r="LMT26" s="25"/>
      <c r="LMU26" s="25"/>
      <c r="LMV26" s="25"/>
      <c r="LMW26" s="25"/>
      <c r="LMX26" s="25"/>
      <c r="LMY26" s="25"/>
      <c r="LMZ26" s="25"/>
      <c r="LNA26" s="25"/>
      <c r="LNB26" s="25"/>
      <c r="LNC26" s="25"/>
      <c r="LND26" s="25"/>
      <c r="LNE26" s="25"/>
      <c r="LNF26" s="25"/>
      <c r="LNG26" s="25"/>
      <c r="LNH26" s="25"/>
      <c r="LNI26" s="25"/>
      <c r="LNJ26" s="25"/>
      <c r="LNK26" s="25"/>
      <c r="LNL26" s="25"/>
      <c r="LNM26" s="25"/>
      <c r="LNN26" s="25"/>
      <c r="LNO26" s="25"/>
      <c r="LNP26" s="25"/>
      <c r="LNQ26" s="25"/>
      <c r="LNR26" s="25"/>
      <c r="LNS26" s="25"/>
      <c r="LNT26" s="25"/>
      <c r="LNU26" s="25"/>
      <c r="LNV26" s="25"/>
      <c r="LNW26" s="25"/>
      <c r="LNX26" s="25"/>
      <c r="LNY26" s="25"/>
      <c r="LNZ26" s="25"/>
      <c r="LOA26" s="25"/>
      <c r="LOB26" s="25"/>
      <c r="LOC26" s="25"/>
      <c r="LOD26" s="25"/>
      <c r="LOE26" s="25"/>
      <c r="LOF26" s="25"/>
      <c r="LOG26" s="25"/>
      <c r="LOH26" s="25"/>
      <c r="LOI26" s="25"/>
      <c r="LOJ26" s="25"/>
      <c r="LOK26" s="25"/>
      <c r="LOL26" s="25"/>
      <c r="LOM26" s="25"/>
      <c r="LON26" s="25"/>
      <c r="LOO26" s="25"/>
      <c r="LOP26" s="25"/>
      <c r="LOQ26" s="25"/>
      <c r="LOR26" s="25"/>
      <c r="LOS26" s="25"/>
      <c r="LOT26" s="25"/>
      <c r="LOU26" s="25"/>
      <c r="LOV26" s="25"/>
      <c r="LOW26" s="25"/>
      <c r="LOX26" s="25"/>
      <c r="LOY26" s="25"/>
      <c r="LOZ26" s="25"/>
      <c r="LPA26" s="25"/>
      <c r="LPB26" s="25"/>
      <c r="LPC26" s="25"/>
      <c r="LPD26" s="25"/>
      <c r="LPE26" s="25"/>
      <c r="LPF26" s="25"/>
      <c r="LPG26" s="25"/>
      <c r="LPH26" s="25"/>
      <c r="LPI26" s="25"/>
      <c r="LPJ26" s="25"/>
      <c r="LPK26" s="25"/>
      <c r="LPL26" s="25"/>
      <c r="LPM26" s="25"/>
      <c r="LPN26" s="25"/>
      <c r="LPO26" s="25"/>
      <c r="LPP26" s="25"/>
      <c r="LPQ26" s="25"/>
      <c r="LPR26" s="25"/>
      <c r="LPS26" s="25"/>
      <c r="LPT26" s="25"/>
      <c r="LPU26" s="25"/>
      <c r="LPV26" s="25"/>
      <c r="LPW26" s="25"/>
      <c r="LPX26" s="25"/>
      <c r="LPY26" s="25"/>
      <c r="LPZ26" s="25"/>
      <c r="LQA26" s="25"/>
      <c r="LQB26" s="25"/>
      <c r="LQC26" s="25"/>
      <c r="LQD26" s="25"/>
      <c r="LQE26" s="25"/>
      <c r="LQF26" s="25"/>
      <c r="LQG26" s="25"/>
      <c r="LQH26" s="25"/>
      <c r="LQI26" s="25"/>
      <c r="LQJ26" s="25"/>
      <c r="LQK26" s="25"/>
      <c r="LQL26" s="25"/>
      <c r="LQM26" s="25"/>
      <c r="LQN26" s="25"/>
      <c r="LQO26" s="25"/>
      <c r="LQP26" s="25"/>
      <c r="LQQ26" s="25"/>
      <c r="LQR26" s="25"/>
      <c r="LQS26" s="25"/>
      <c r="LQT26" s="25"/>
      <c r="LQU26" s="25"/>
      <c r="LQV26" s="25"/>
      <c r="LQW26" s="25"/>
      <c r="LQX26" s="25"/>
      <c r="LQY26" s="25"/>
      <c r="LQZ26" s="25"/>
      <c r="LRA26" s="25"/>
      <c r="LRB26" s="25"/>
      <c r="LRC26" s="25"/>
      <c r="LRD26" s="25"/>
      <c r="LRE26" s="25"/>
      <c r="LRF26" s="25"/>
      <c r="LRG26" s="25"/>
      <c r="LRH26" s="25"/>
      <c r="LRI26" s="25"/>
      <c r="LRJ26" s="25"/>
      <c r="LRK26" s="25"/>
      <c r="LRL26" s="25"/>
      <c r="LRM26" s="25"/>
      <c r="LRN26" s="25"/>
      <c r="LRO26" s="25"/>
      <c r="LRP26" s="25"/>
      <c r="LRQ26" s="25"/>
      <c r="LRR26" s="25"/>
      <c r="LRS26" s="25"/>
      <c r="LRT26" s="25"/>
      <c r="LRU26" s="25"/>
      <c r="LRV26" s="25"/>
      <c r="LRW26" s="25"/>
      <c r="LRX26" s="25"/>
      <c r="LRY26" s="25"/>
      <c r="LRZ26" s="25"/>
      <c r="LSA26" s="25"/>
      <c r="LSB26" s="25"/>
      <c r="LSC26" s="25"/>
      <c r="LSD26" s="25"/>
      <c r="LSE26" s="25"/>
      <c r="LSF26" s="25"/>
      <c r="LSG26" s="25"/>
      <c r="LSH26" s="25"/>
      <c r="LSI26" s="25"/>
      <c r="LSJ26" s="25"/>
      <c r="LSK26" s="25"/>
      <c r="LSL26" s="25"/>
      <c r="LSM26" s="25"/>
      <c r="LSN26" s="25"/>
      <c r="LSO26" s="25"/>
      <c r="LSP26" s="25"/>
      <c r="LSQ26" s="25"/>
      <c r="LSR26" s="25"/>
      <c r="LSS26" s="25"/>
      <c r="LST26" s="25"/>
      <c r="LSU26" s="25"/>
      <c r="LSV26" s="25"/>
      <c r="LSW26" s="25"/>
      <c r="LSX26" s="25"/>
      <c r="LSY26" s="25"/>
      <c r="LSZ26" s="25"/>
      <c r="LTA26" s="25"/>
      <c r="LTB26" s="25"/>
      <c r="LTC26" s="25"/>
      <c r="LTD26" s="25"/>
      <c r="LTE26" s="25"/>
      <c r="LTF26" s="25"/>
      <c r="LTG26" s="25"/>
      <c r="LTH26" s="25"/>
      <c r="LTI26" s="25"/>
      <c r="LTJ26" s="25"/>
      <c r="LTK26" s="25"/>
      <c r="LTL26" s="25"/>
      <c r="LTM26" s="25"/>
      <c r="LTN26" s="25"/>
      <c r="LTO26" s="25"/>
      <c r="LTP26" s="25"/>
      <c r="LTQ26" s="25"/>
      <c r="LTR26" s="25"/>
      <c r="LTS26" s="25"/>
      <c r="LTT26" s="25"/>
      <c r="LTU26" s="25"/>
      <c r="LTV26" s="25"/>
      <c r="LTW26" s="25"/>
      <c r="LTX26" s="25"/>
      <c r="LTY26" s="25"/>
      <c r="LTZ26" s="25"/>
      <c r="LUA26" s="25"/>
      <c r="LUB26" s="25"/>
      <c r="LUC26" s="25"/>
      <c r="LUD26" s="25"/>
      <c r="LUE26" s="25"/>
      <c r="LUF26" s="25"/>
      <c r="LUG26" s="25"/>
      <c r="LUH26" s="25"/>
      <c r="LUI26" s="25"/>
      <c r="LUJ26" s="25"/>
      <c r="LUK26" s="25"/>
      <c r="LUL26" s="25"/>
      <c r="LUM26" s="25"/>
      <c r="LUN26" s="25"/>
      <c r="LUO26" s="25"/>
      <c r="LUP26" s="25"/>
      <c r="LUQ26" s="25"/>
      <c r="LUR26" s="25"/>
      <c r="LUS26" s="25"/>
      <c r="LUT26" s="25"/>
      <c r="LUU26" s="25"/>
      <c r="LUV26" s="25"/>
      <c r="LUW26" s="25"/>
      <c r="LUX26" s="25"/>
      <c r="LUY26" s="25"/>
      <c r="LUZ26" s="25"/>
      <c r="LVA26" s="25"/>
      <c r="LVB26" s="25"/>
      <c r="LVC26" s="25"/>
      <c r="LVD26" s="25"/>
      <c r="LVE26" s="25"/>
      <c r="LVF26" s="25"/>
      <c r="LVG26" s="25"/>
      <c r="LVH26" s="25"/>
      <c r="LVI26" s="25"/>
      <c r="LVJ26" s="25"/>
      <c r="LVK26" s="25"/>
      <c r="LVL26" s="25"/>
      <c r="LVM26" s="25"/>
      <c r="LVN26" s="25"/>
      <c r="LVO26" s="25"/>
      <c r="LVP26" s="25"/>
      <c r="LVQ26" s="25"/>
      <c r="LVR26" s="25"/>
      <c r="LVS26" s="25"/>
      <c r="LVT26" s="25"/>
      <c r="LVU26" s="25"/>
      <c r="LVV26" s="25"/>
      <c r="LVW26" s="25"/>
      <c r="LVX26" s="25"/>
      <c r="LVY26" s="25"/>
      <c r="LVZ26" s="25"/>
      <c r="LWA26" s="25"/>
      <c r="LWB26" s="25"/>
      <c r="LWC26" s="25"/>
      <c r="LWD26" s="25"/>
      <c r="LWE26" s="25"/>
      <c r="LWF26" s="25"/>
      <c r="LWG26" s="25"/>
      <c r="LWH26" s="25"/>
      <c r="LWI26" s="25"/>
      <c r="LWJ26" s="25"/>
      <c r="LWK26" s="25"/>
      <c r="LWL26" s="25"/>
      <c r="LWM26" s="25"/>
      <c r="LWN26" s="25"/>
      <c r="LWO26" s="25"/>
      <c r="LWP26" s="25"/>
      <c r="LWQ26" s="25"/>
      <c r="LWR26" s="25"/>
      <c r="LWS26" s="25"/>
      <c r="LWT26" s="25"/>
      <c r="LWU26" s="25"/>
      <c r="LWV26" s="25"/>
      <c r="LWW26" s="25"/>
      <c r="LWX26" s="25"/>
      <c r="LWY26" s="25"/>
      <c r="LWZ26" s="25"/>
      <c r="LXA26" s="25"/>
      <c r="LXB26" s="25"/>
      <c r="LXC26" s="25"/>
      <c r="LXD26" s="25"/>
      <c r="LXE26" s="25"/>
      <c r="LXF26" s="25"/>
      <c r="LXG26" s="25"/>
      <c r="LXH26" s="25"/>
      <c r="LXI26" s="25"/>
      <c r="LXJ26" s="25"/>
      <c r="LXK26" s="25"/>
      <c r="LXL26" s="25"/>
      <c r="LXM26" s="25"/>
      <c r="LXN26" s="25"/>
      <c r="LXO26" s="25"/>
      <c r="LXP26" s="25"/>
      <c r="LXQ26" s="25"/>
      <c r="LXR26" s="25"/>
      <c r="LXS26" s="25"/>
      <c r="LXT26" s="25"/>
      <c r="LXU26" s="25"/>
      <c r="LXV26" s="25"/>
      <c r="LXW26" s="25"/>
      <c r="LXX26" s="25"/>
      <c r="LXY26" s="25"/>
      <c r="LXZ26" s="25"/>
      <c r="LYA26" s="25"/>
      <c r="LYB26" s="25"/>
      <c r="LYC26" s="25"/>
      <c r="LYD26" s="25"/>
      <c r="LYE26" s="25"/>
      <c r="LYF26" s="25"/>
      <c r="LYG26" s="25"/>
      <c r="LYH26" s="25"/>
      <c r="LYI26" s="25"/>
      <c r="LYJ26" s="25"/>
      <c r="LYK26" s="25"/>
      <c r="LYL26" s="25"/>
      <c r="LYM26" s="25"/>
      <c r="LYN26" s="25"/>
      <c r="LYO26" s="25"/>
      <c r="LYP26" s="25"/>
      <c r="LYQ26" s="25"/>
      <c r="LYR26" s="25"/>
      <c r="LYS26" s="25"/>
      <c r="LYT26" s="25"/>
      <c r="LYU26" s="25"/>
      <c r="LYV26" s="25"/>
      <c r="LYW26" s="25"/>
      <c r="LYX26" s="25"/>
      <c r="LYY26" s="25"/>
      <c r="LYZ26" s="25"/>
      <c r="LZA26" s="25"/>
      <c r="LZB26" s="25"/>
      <c r="LZC26" s="25"/>
      <c r="LZD26" s="25"/>
      <c r="LZE26" s="25"/>
      <c r="LZF26" s="25"/>
      <c r="LZG26" s="25"/>
      <c r="LZH26" s="25"/>
      <c r="LZI26" s="25"/>
      <c r="LZJ26" s="25"/>
      <c r="LZK26" s="25"/>
      <c r="LZL26" s="25"/>
      <c r="LZM26" s="25"/>
      <c r="LZN26" s="25"/>
      <c r="LZO26" s="25"/>
      <c r="LZP26" s="25"/>
      <c r="LZQ26" s="25"/>
      <c r="LZR26" s="25"/>
      <c r="LZS26" s="25"/>
      <c r="LZT26" s="25"/>
      <c r="LZU26" s="25"/>
      <c r="LZV26" s="25"/>
      <c r="LZW26" s="25"/>
      <c r="LZX26" s="25"/>
      <c r="LZY26" s="25"/>
      <c r="LZZ26" s="25"/>
      <c r="MAA26" s="25"/>
      <c r="MAB26" s="25"/>
      <c r="MAC26" s="25"/>
      <c r="MAD26" s="25"/>
      <c r="MAE26" s="25"/>
      <c r="MAF26" s="25"/>
      <c r="MAG26" s="25"/>
      <c r="MAH26" s="25"/>
      <c r="MAI26" s="25"/>
      <c r="MAJ26" s="25"/>
      <c r="MAK26" s="25"/>
      <c r="MAL26" s="25"/>
      <c r="MAM26" s="25"/>
      <c r="MAN26" s="25"/>
      <c r="MAO26" s="25"/>
      <c r="MAP26" s="25"/>
      <c r="MAQ26" s="25"/>
      <c r="MAR26" s="25"/>
      <c r="MAS26" s="25"/>
      <c r="MAT26" s="25"/>
      <c r="MAU26" s="25"/>
      <c r="MAV26" s="25"/>
      <c r="MAW26" s="25"/>
      <c r="MAX26" s="25"/>
      <c r="MAY26" s="25"/>
      <c r="MAZ26" s="25"/>
      <c r="MBA26" s="25"/>
      <c r="MBB26" s="25"/>
      <c r="MBC26" s="25"/>
      <c r="MBD26" s="25"/>
      <c r="MBE26" s="25"/>
      <c r="MBF26" s="25"/>
      <c r="MBG26" s="25"/>
      <c r="MBH26" s="25"/>
      <c r="MBI26" s="25"/>
      <c r="MBJ26" s="25"/>
      <c r="MBK26" s="25"/>
      <c r="MBL26" s="25"/>
      <c r="MBM26" s="25"/>
      <c r="MBN26" s="25"/>
      <c r="MBO26" s="25"/>
      <c r="MBP26" s="25"/>
      <c r="MBQ26" s="25"/>
      <c r="MBR26" s="25"/>
      <c r="MBS26" s="25"/>
      <c r="MBT26" s="25"/>
      <c r="MBU26" s="25"/>
      <c r="MBV26" s="25"/>
      <c r="MBW26" s="25"/>
      <c r="MBX26" s="25"/>
      <c r="MBY26" s="25"/>
      <c r="MBZ26" s="25"/>
      <c r="MCA26" s="25"/>
      <c r="MCB26" s="25"/>
      <c r="MCC26" s="25"/>
      <c r="MCD26" s="25"/>
      <c r="MCE26" s="25"/>
      <c r="MCF26" s="25"/>
      <c r="MCG26" s="25"/>
      <c r="MCH26" s="25"/>
      <c r="MCI26" s="25"/>
      <c r="MCJ26" s="25"/>
      <c r="MCK26" s="25"/>
      <c r="MCL26" s="25"/>
      <c r="MCM26" s="25"/>
      <c r="MCN26" s="25"/>
      <c r="MCO26" s="25"/>
      <c r="MCP26" s="25"/>
      <c r="MCQ26" s="25"/>
      <c r="MCR26" s="25"/>
      <c r="MCS26" s="25"/>
      <c r="MCT26" s="25"/>
      <c r="MCU26" s="25"/>
      <c r="MCV26" s="25"/>
      <c r="MCW26" s="25"/>
      <c r="MCX26" s="25"/>
      <c r="MCY26" s="25"/>
      <c r="MCZ26" s="25"/>
      <c r="MDA26" s="25"/>
      <c r="MDB26" s="25"/>
      <c r="MDC26" s="25"/>
      <c r="MDD26" s="25"/>
      <c r="MDE26" s="25"/>
      <c r="MDF26" s="25"/>
      <c r="MDG26" s="25"/>
      <c r="MDH26" s="25"/>
      <c r="MDI26" s="25"/>
      <c r="MDJ26" s="25"/>
      <c r="MDK26" s="25"/>
      <c r="MDL26" s="25"/>
      <c r="MDM26" s="25"/>
      <c r="MDN26" s="25"/>
      <c r="MDO26" s="25"/>
      <c r="MDP26" s="25"/>
      <c r="MDQ26" s="25"/>
      <c r="MDR26" s="25"/>
      <c r="MDS26" s="25"/>
      <c r="MDT26" s="25"/>
      <c r="MDU26" s="25"/>
      <c r="MDV26" s="25"/>
      <c r="MDW26" s="25"/>
      <c r="MDX26" s="25"/>
      <c r="MDY26" s="25"/>
      <c r="MDZ26" s="25"/>
      <c r="MEA26" s="25"/>
      <c r="MEB26" s="25"/>
      <c r="MEC26" s="25"/>
      <c r="MED26" s="25"/>
      <c r="MEE26" s="25"/>
      <c r="MEF26" s="25"/>
      <c r="MEG26" s="25"/>
      <c r="MEH26" s="25"/>
      <c r="MEI26" s="25"/>
      <c r="MEJ26" s="25"/>
      <c r="MEK26" s="25"/>
      <c r="MEL26" s="25"/>
      <c r="MEM26" s="25"/>
      <c r="MEN26" s="25"/>
      <c r="MEO26" s="25"/>
      <c r="MEP26" s="25"/>
      <c r="MEQ26" s="25"/>
      <c r="MER26" s="25"/>
      <c r="MES26" s="25"/>
      <c r="MET26" s="25"/>
      <c r="MEU26" s="25"/>
      <c r="MEV26" s="25"/>
      <c r="MEW26" s="25"/>
      <c r="MEX26" s="25"/>
      <c r="MEY26" s="25"/>
      <c r="MEZ26" s="25"/>
      <c r="MFA26" s="25"/>
      <c r="MFB26" s="25"/>
      <c r="MFC26" s="25"/>
      <c r="MFD26" s="25"/>
      <c r="MFE26" s="25"/>
      <c r="MFF26" s="25"/>
      <c r="MFG26" s="25"/>
      <c r="MFH26" s="25"/>
      <c r="MFI26" s="25"/>
      <c r="MFJ26" s="25"/>
      <c r="MFK26" s="25"/>
      <c r="MFL26" s="25"/>
      <c r="MFM26" s="25"/>
      <c r="MFN26" s="25"/>
      <c r="MFO26" s="25"/>
      <c r="MFP26" s="25"/>
      <c r="MFQ26" s="25"/>
      <c r="MFR26" s="25"/>
      <c r="MFS26" s="25"/>
      <c r="MFT26" s="25"/>
      <c r="MFU26" s="25"/>
      <c r="MFV26" s="25"/>
      <c r="MFW26" s="25"/>
      <c r="MFX26" s="25"/>
      <c r="MFY26" s="25"/>
      <c r="MFZ26" s="25"/>
      <c r="MGA26" s="25"/>
      <c r="MGB26" s="25"/>
      <c r="MGC26" s="25"/>
      <c r="MGD26" s="25"/>
      <c r="MGE26" s="25"/>
      <c r="MGF26" s="25"/>
      <c r="MGG26" s="25"/>
      <c r="MGH26" s="25"/>
      <c r="MGI26" s="25"/>
      <c r="MGJ26" s="25"/>
      <c r="MGK26" s="25"/>
      <c r="MGL26" s="25"/>
      <c r="MGM26" s="25"/>
      <c r="MGN26" s="25"/>
      <c r="MGO26" s="25"/>
      <c r="MGP26" s="25"/>
      <c r="MGQ26" s="25"/>
      <c r="MGR26" s="25"/>
      <c r="MGS26" s="25"/>
      <c r="MGT26" s="25"/>
      <c r="MGU26" s="25"/>
      <c r="MGV26" s="25"/>
      <c r="MGW26" s="25"/>
      <c r="MGX26" s="25"/>
      <c r="MGY26" s="25"/>
      <c r="MGZ26" s="25"/>
      <c r="MHA26" s="25"/>
      <c r="MHB26" s="25"/>
      <c r="MHC26" s="25"/>
      <c r="MHD26" s="25"/>
      <c r="MHE26" s="25"/>
      <c r="MHF26" s="25"/>
      <c r="MHG26" s="25"/>
      <c r="MHH26" s="25"/>
      <c r="MHI26" s="25"/>
      <c r="MHJ26" s="25"/>
      <c r="MHK26" s="25"/>
      <c r="MHL26" s="25"/>
      <c r="MHM26" s="25"/>
      <c r="MHN26" s="25"/>
      <c r="MHO26" s="25"/>
      <c r="MHP26" s="25"/>
      <c r="MHQ26" s="25"/>
      <c r="MHR26" s="25"/>
      <c r="MHS26" s="25"/>
      <c r="MHT26" s="25"/>
      <c r="MHU26" s="25"/>
      <c r="MHV26" s="25"/>
      <c r="MHW26" s="25"/>
      <c r="MHX26" s="25"/>
      <c r="MHY26" s="25"/>
      <c r="MHZ26" s="25"/>
      <c r="MIA26" s="25"/>
      <c r="MIB26" s="25"/>
      <c r="MIC26" s="25"/>
      <c r="MID26" s="25"/>
      <c r="MIE26" s="25"/>
      <c r="MIF26" s="25"/>
      <c r="MIG26" s="25"/>
      <c r="MIH26" s="25"/>
      <c r="MII26" s="25"/>
      <c r="MIJ26" s="25"/>
      <c r="MIK26" s="25"/>
      <c r="MIL26" s="25"/>
      <c r="MIM26" s="25"/>
      <c r="MIN26" s="25"/>
      <c r="MIO26" s="25"/>
      <c r="MIP26" s="25"/>
      <c r="MIQ26" s="25"/>
      <c r="MIR26" s="25"/>
      <c r="MIS26" s="25"/>
      <c r="MIT26" s="25"/>
      <c r="MIU26" s="25"/>
      <c r="MIV26" s="25"/>
      <c r="MIW26" s="25"/>
      <c r="MIX26" s="25"/>
      <c r="MIY26" s="25"/>
      <c r="MIZ26" s="25"/>
      <c r="MJA26" s="25"/>
      <c r="MJB26" s="25"/>
      <c r="MJC26" s="25"/>
      <c r="MJD26" s="25"/>
      <c r="MJE26" s="25"/>
      <c r="MJF26" s="25"/>
      <c r="MJG26" s="25"/>
      <c r="MJH26" s="25"/>
      <c r="MJI26" s="25"/>
      <c r="MJJ26" s="25"/>
      <c r="MJK26" s="25"/>
      <c r="MJL26" s="25"/>
      <c r="MJM26" s="25"/>
      <c r="MJN26" s="25"/>
      <c r="MJO26" s="25"/>
      <c r="MJP26" s="25"/>
      <c r="MJQ26" s="25"/>
      <c r="MJR26" s="25"/>
      <c r="MJS26" s="25"/>
      <c r="MJT26" s="25"/>
      <c r="MJU26" s="25"/>
      <c r="MJV26" s="25"/>
      <c r="MJW26" s="25"/>
      <c r="MJX26" s="25"/>
      <c r="MJY26" s="25"/>
      <c r="MJZ26" s="25"/>
      <c r="MKA26" s="25"/>
      <c r="MKB26" s="25"/>
      <c r="MKC26" s="25"/>
      <c r="MKD26" s="25"/>
      <c r="MKE26" s="25"/>
      <c r="MKF26" s="25"/>
      <c r="MKG26" s="25"/>
      <c r="MKH26" s="25"/>
      <c r="MKI26" s="25"/>
      <c r="MKJ26" s="25"/>
      <c r="MKK26" s="25"/>
      <c r="MKL26" s="25"/>
      <c r="MKM26" s="25"/>
      <c r="MKN26" s="25"/>
      <c r="MKO26" s="25"/>
      <c r="MKP26" s="25"/>
      <c r="MKQ26" s="25"/>
      <c r="MKR26" s="25"/>
      <c r="MKS26" s="25"/>
      <c r="MKT26" s="25"/>
      <c r="MKU26" s="25"/>
      <c r="MKV26" s="25"/>
      <c r="MKW26" s="25"/>
      <c r="MKX26" s="25"/>
      <c r="MKY26" s="25"/>
      <c r="MKZ26" s="25"/>
      <c r="MLA26" s="25"/>
      <c r="MLB26" s="25"/>
      <c r="MLC26" s="25"/>
      <c r="MLD26" s="25"/>
      <c r="MLE26" s="25"/>
      <c r="MLF26" s="25"/>
      <c r="MLG26" s="25"/>
      <c r="MLH26" s="25"/>
      <c r="MLI26" s="25"/>
      <c r="MLJ26" s="25"/>
      <c r="MLK26" s="25"/>
      <c r="MLL26" s="25"/>
      <c r="MLM26" s="25"/>
      <c r="MLN26" s="25"/>
      <c r="MLO26" s="25"/>
      <c r="MLP26" s="25"/>
      <c r="MLQ26" s="25"/>
      <c r="MLR26" s="25"/>
      <c r="MLS26" s="25"/>
      <c r="MLT26" s="25"/>
      <c r="MLU26" s="25"/>
      <c r="MLV26" s="25"/>
      <c r="MLW26" s="25"/>
      <c r="MLX26" s="25"/>
      <c r="MLY26" s="25"/>
      <c r="MLZ26" s="25"/>
      <c r="MMA26" s="25"/>
      <c r="MMB26" s="25"/>
      <c r="MMC26" s="25"/>
      <c r="MMD26" s="25"/>
      <c r="MME26" s="25"/>
      <c r="MMF26" s="25"/>
      <c r="MMG26" s="25"/>
      <c r="MMH26" s="25"/>
      <c r="MMI26" s="25"/>
      <c r="MMJ26" s="25"/>
      <c r="MMK26" s="25"/>
      <c r="MML26" s="25"/>
      <c r="MMM26" s="25"/>
      <c r="MMN26" s="25"/>
      <c r="MMO26" s="25"/>
      <c r="MMP26" s="25"/>
      <c r="MMQ26" s="25"/>
      <c r="MMR26" s="25"/>
      <c r="MMS26" s="25"/>
      <c r="MMT26" s="25"/>
      <c r="MMU26" s="25"/>
      <c r="MMV26" s="25"/>
      <c r="MMW26" s="25"/>
      <c r="MMX26" s="25"/>
      <c r="MMY26" s="25"/>
      <c r="MMZ26" s="25"/>
      <c r="MNA26" s="25"/>
      <c r="MNB26" s="25"/>
      <c r="MNC26" s="25"/>
      <c r="MND26" s="25"/>
      <c r="MNE26" s="25"/>
      <c r="MNF26" s="25"/>
      <c r="MNG26" s="25"/>
      <c r="MNH26" s="25"/>
      <c r="MNI26" s="25"/>
      <c r="MNJ26" s="25"/>
      <c r="MNK26" s="25"/>
      <c r="MNL26" s="25"/>
      <c r="MNM26" s="25"/>
      <c r="MNN26" s="25"/>
      <c r="MNO26" s="25"/>
      <c r="MNP26" s="25"/>
      <c r="MNQ26" s="25"/>
      <c r="MNR26" s="25"/>
      <c r="MNS26" s="25"/>
      <c r="MNT26" s="25"/>
      <c r="MNU26" s="25"/>
      <c r="MNV26" s="25"/>
      <c r="MNW26" s="25"/>
      <c r="MNX26" s="25"/>
      <c r="MNY26" s="25"/>
      <c r="MNZ26" s="25"/>
      <c r="MOA26" s="25"/>
      <c r="MOB26" s="25"/>
      <c r="MOC26" s="25"/>
      <c r="MOD26" s="25"/>
      <c r="MOE26" s="25"/>
      <c r="MOF26" s="25"/>
      <c r="MOG26" s="25"/>
      <c r="MOH26" s="25"/>
      <c r="MOI26" s="25"/>
      <c r="MOJ26" s="25"/>
      <c r="MOK26" s="25"/>
      <c r="MOL26" s="25"/>
      <c r="MOM26" s="25"/>
      <c r="MON26" s="25"/>
      <c r="MOO26" s="25"/>
      <c r="MOP26" s="25"/>
      <c r="MOQ26" s="25"/>
      <c r="MOR26" s="25"/>
      <c r="MOS26" s="25"/>
      <c r="MOT26" s="25"/>
      <c r="MOU26" s="25"/>
      <c r="MOV26" s="25"/>
      <c r="MOW26" s="25"/>
      <c r="MOX26" s="25"/>
      <c r="MOY26" s="25"/>
      <c r="MOZ26" s="25"/>
      <c r="MPA26" s="25"/>
      <c r="MPB26" s="25"/>
      <c r="MPC26" s="25"/>
      <c r="MPD26" s="25"/>
      <c r="MPE26" s="25"/>
      <c r="MPF26" s="25"/>
      <c r="MPG26" s="25"/>
      <c r="MPH26" s="25"/>
      <c r="MPI26" s="25"/>
      <c r="MPJ26" s="25"/>
      <c r="MPK26" s="25"/>
      <c r="MPL26" s="25"/>
      <c r="MPM26" s="25"/>
      <c r="MPN26" s="25"/>
      <c r="MPO26" s="25"/>
      <c r="MPP26" s="25"/>
      <c r="MPQ26" s="25"/>
      <c r="MPR26" s="25"/>
      <c r="MPS26" s="25"/>
      <c r="MPT26" s="25"/>
      <c r="MPU26" s="25"/>
      <c r="MPV26" s="25"/>
      <c r="MPW26" s="25"/>
      <c r="MPX26" s="25"/>
      <c r="MPY26" s="25"/>
      <c r="MPZ26" s="25"/>
      <c r="MQA26" s="25"/>
      <c r="MQB26" s="25"/>
      <c r="MQC26" s="25"/>
      <c r="MQD26" s="25"/>
      <c r="MQE26" s="25"/>
      <c r="MQF26" s="25"/>
      <c r="MQG26" s="25"/>
      <c r="MQH26" s="25"/>
      <c r="MQI26" s="25"/>
      <c r="MQJ26" s="25"/>
      <c r="MQK26" s="25"/>
      <c r="MQL26" s="25"/>
      <c r="MQM26" s="25"/>
      <c r="MQN26" s="25"/>
      <c r="MQO26" s="25"/>
      <c r="MQP26" s="25"/>
      <c r="MQQ26" s="25"/>
      <c r="MQR26" s="25"/>
      <c r="MQS26" s="25"/>
      <c r="MQT26" s="25"/>
      <c r="MQU26" s="25"/>
      <c r="MQV26" s="25"/>
      <c r="MQW26" s="25"/>
      <c r="MQX26" s="25"/>
      <c r="MQY26" s="25"/>
      <c r="MQZ26" s="25"/>
      <c r="MRA26" s="25"/>
      <c r="MRB26" s="25"/>
      <c r="MRC26" s="25"/>
      <c r="MRD26" s="25"/>
      <c r="MRE26" s="25"/>
      <c r="MRF26" s="25"/>
      <c r="MRG26" s="25"/>
      <c r="MRH26" s="25"/>
      <c r="MRI26" s="25"/>
      <c r="MRJ26" s="25"/>
      <c r="MRK26" s="25"/>
      <c r="MRL26" s="25"/>
      <c r="MRM26" s="25"/>
      <c r="MRN26" s="25"/>
      <c r="MRO26" s="25"/>
      <c r="MRP26" s="25"/>
      <c r="MRQ26" s="25"/>
      <c r="MRR26" s="25"/>
      <c r="MRS26" s="25"/>
      <c r="MRT26" s="25"/>
      <c r="MRU26" s="25"/>
      <c r="MRV26" s="25"/>
      <c r="MRW26" s="25"/>
      <c r="MRX26" s="25"/>
      <c r="MRY26" s="25"/>
      <c r="MRZ26" s="25"/>
      <c r="MSA26" s="25"/>
      <c r="MSB26" s="25"/>
      <c r="MSC26" s="25"/>
      <c r="MSD26" s="25"/>
      <c r="MSE26" s="25"/>
      <c r="MSF26" s="25"/>
      <c r="MSG26" s="25"/>
      <c r="MSH26" s="25"/>
      <c r="MSI26" s="25"/>
      <c r="MSJ26" s="25"/>
      <c r="MSK26" s="25"/>
      <c r="MSL26" s="25"/>
      <c r="MSM26" s="25"/>
      <c r="MSN26" s="25"/>
      <c r="MSO26" s="25"/>
      <c r="MSP26" s="25"/>
      <c r="MSQ26" s="25"/>
      <c r="MSR26" s="25"/>
      <c r="MSS26" s="25"/>
      <c r="MST26" s="25"/>
      <c r="MSU26" s="25"/>
      <c r="MSV26" s="25"/>
      <c r="MSW26" s="25"/>
      <c r="MSX26" s="25"/>
      <c r="MSY26" s="25"/>
      <c r="MSZ26" s="25"/>
      <c r="MTA26" s="25"/>
      <c r="MTB26" s="25"/>
      <c r="MTC26" s="25"/>
      <c r="MTD26" s="25"/>
      <c r="MTE26" s="25"/>
      <c r="MTF26" s="25"/>
      <c r="MTG26" s="25"/>
      <c r="MTH26" s="25"/>
      <c r="MTI26" s="25"/>
      <c r="MTJ26" s="25"/>
      <c r="MTK26" s="25"/>
      <c r="MTL26" s="25"/>
      <c r="MTM26" s="25"/>
      <c r="MTN26" s="25"/>
      <c r="MTO26" s="25"/>
      <c r="MTP26" s="25"/>
      <c r="MTQ26" s="25"/>
      <c r="MTR26" s="25"/>
      <c r="MTS26" s="25"/>
      <c r="MTT26" s="25"/>
      <c r="MTU26" s="25"/>
      <c r="MTV26" s="25"/>
      <c r="MTW26" s="25"/>
      <c r="MTX26" s="25"/>
      <c r="MTY26" s="25"/>
      <c r="MTZ26" s="25"/>
      <c r="MUA26" s="25"/>
      <c r="MUB26" s="25"/>
      <c r="MUC26" s="25"/>
      <c r="MUD26" s="25"/>
      <c r="MUE26" s="25"/>
      <c r="MUF26" s="25"/>
      <c r="MUG26" s="25"/>
      <c r="MUH26" s="25"/>
      <c r="MUI26" s="25"/>
      <c r="MUJ26" s="25"/>
      <c r="MUK26" s="25"/>
      <c r="MUL26" s="25"/>
      <c r="MUM26" s="25"/>
      <c r="MUN26" s="25"/>
      <c r="MUO26" s="25"/>
      <c r="MUP26" s="25"/>
      <c r="MUQ26" s="25"/>
      <c r="MUR26" s="25"/>
      <c r="MUS26" s="25"/>
      <c r="MUT26" s="25"/>
      <c r="MUU26" s="25"/>
      <c r="MUV26" s="25"/>
      <c r="MUW26" s="25"/>
      <c r="MUX26" s="25"/>
      <c r="MUY26" s="25"/>
      <c r="MUZ26" s="25"/>
      <c r="MVA26" s="25"/>
      <c r="MVB26" s="25"/>
      <c r="MVC26" s="25"/>
      <c r="MVD26" s="25"/>
      <c r="MVE26" s="25"/>
      <c r="MVF26" s="25"/>
      <c r="MVG26" s="25"/>
      <c r="MVH26" s="25"/>
      <c r="MVI26" s="25"/>
      <c r="MVJ26" s="25"/>
      <c r="MVK26" s="25"/>
      <c r="MVL26" s="25"/>
      <c r="MVM26" s="25"/>
      <c r="MVN26" s="25"/>
      <c r="MVO26" s="25"/>
      <c r="MVP26" s="25"/>
      <c r="MVQ26" s="25"/>
      <c r="MVR26" s="25"/>
      <c r="MVS26" s="25"/>
      <c r="MVT26" s="25"/>
      <c r="MVU26" s="25"/>
      <c r="MVV26" s="25"/>
      <c r="MVW26" s="25"/>
      <c r="MVX26" s="25"/>
      <c r="MVY26" s="25"/>
      <c r="MVZ26" s="25"/>
      <c r="MWA26" s="25"/>
      <c r="MWB26" s="25"/>
      <c r="MWC26" s="25"/>
      <c r="MWD26" s="25"/>
      <c r="MWE26" s="25"/>
      <c r="MWF26" s="25"/>
      <c r="MWG26" s="25"/>
      <c r="MWH26" s="25"/>
      <c r="MWI26" s="25"/>
      <c r="MWJ26" s="25"/>
      <c r="MWK26" s="25"/>
      <c r="MWL26" s="25"/>
      <c r="MWM26" s="25"/>
      <c r="MWN26" s="25"/>
      <c r="MWO26" s="25"/>
      <c r="MWP26" s="25"/>
      <c r="MWQ26" s="25"/>
      <c r="MWR26" s="25"/>
      <c r="MWS26" s="25"/>
      <c r="MWT26" s="25"/>
      <c r="MWU26" s="25"/>
      <c r="MWV26" s="25"/>
      <c r="MWW26" s="25"/>
      <c r="MWX26" s="25"/>
      <c r="MWY26" s="25"/>
      <c r="MWZ26" s="25"/>
      <c r="MXA26" s="25"/>
      <c r="MXB26" s="25"/>
      <c r="MXC26" s="25"/>
      <c r="MXD26" s="25"/>
      <c r="MXE26" s="25"/>
      <c r="MXF26" s="25"/>
      <c r="MXG26" s="25"/>
      <c r="MXH26" s="25"/>
      <c r="MXI26" s="25"/>
      <c r="MXJ26" s="25"/>
      <c r="MXK26" s="25"/>
      <c r="MXL26" s="25"/>
      <c r="MXM26" s="25"/>
      <c r="MXN26" s="25"/>
      <c r="MXO26" s="25"/>
      <c r="MXP26" s="25"/>
      <c r="MXQ26" s="25"/>
      <c r="MXR26" s="25"/>
      <c r="MXS26" s="25"/>
      <c r="MXT26" s="25"/>
      <c r="MXU26" s="25"/>
      <c r="MXV26" s="25"/>
      <c r="MXW26" s="25"/>
      <c r="MXX26" s="25"/>
      <c r="MXY26" s="25"/>
      <c r="MXZ26" s="25"/>
      <c r="MYA26" s="25"/>
      <c r="MYB26" s="25"/>
      <c r="MYC26" s="25"/>
      <c r="MYD26" s="25"/>
      <c r="MYE26" s="25"/>
      <c r="MYF26" s="25"/>
      <c r="MYG26" s="25"/>
      <c r="MYH26" s="25"/>
      <c r="MYI26" s="25"/>
      <c r="MYJ26" s="25"/>
      <c r="MYK26" s="25"/>
      <c r="MYL26" s="25"/>
      <c r="MYM26" s="25"/>
      <c r="MYN26" s="25"/>
      <c r="MYO26" s="25"/>
      <c r="MYP26" s="25"/>
      <c r="MYQ26" s="25"/>
      <c r="MYR26" s="25"/>
      <c r="MYS26" s="25"/>
      <c r="MYT26" s="25"/>
      <c r="MYU26" s="25"/>
      <c r="MYV26" s="25"/>
      <c r="MYW26" s="25"/>
      <c r="MYX26" s="25"/>
      <c r="MYY26" s="25"/>
      <c r="MYZ26" s="25"/>
      <c r="MZA26" s="25"/>
      <c r="MZB26" s="25"/>
      <c r="MZC26" s="25"/>
      <c r="MZD26" s="25"/>
      <c r="MZE26" s="25"/>
      <c r="MZF26" s="25"/>
      <c r="MZG26" s="25"/>
      <c r="MZH26" s="25"/>
      <c r="MZI26" s="25"/>
      <c r="MZJ26" s="25"/>
      <c r="MZK26" s="25"/>
      <c r="MZL26" s="25"/>
      <c r="MZM26" s="25"/>
      <c r="MZN26" s="25"/>
      <c r="MZO26" s="25"/>
      <c r="MZP26" s="25"/>
      <c r="MZQ26" s="25"/>
      <c r="MZR26" s="25"/>
      <c r="MZS26" s="25"/>
      <c r="MZT26" s="25"/>
      <c r="MZU26" s="25"/>
      <c r="MZV26" s="25"/>
      <c r="MZW26" s="25"/>
      <c r="MZX26" s="25"/>
      <c r="MZY26" s="25"/>
      <c r="MZZ26" s="25"/>
      <c r="NAA26" s="25"/>
      <c r="NAB26" s="25"/>
      <c r="NAC26" s="25"/>
      <c r="NAD26" s="25"/>
      <c r="NAE26" s="25"/>
      <c r="NAF26" s="25"/>
      <c r="NAG26" s="25"/>
      <c r="NAH26" s="25"/>
      <c r="NAI26" s="25"/>
      <c r="NAJ26" s="25"/>
      <c r="NAK26" s="25"/>
      <c r="NAL26" s="25"/>
      <c r="NAM26" s="25"/>
      <c r="NAN26" s="25"/>
      <c r="NAO26" s="25"/>
      <c r="NAP26" s="25"/>
      <c r="NAQ26" s="25"/>
      <c r="NAR26" s="25"/>
      <c r="NAS26" s="25"/>
      <c r="NAT26" s="25"/>
      <c r="NAU26" s="25"/>
      <c r="NAV26" s="25"/>
      <c r="NAW26" s="25"/>
      <c r="NAX26" s="25"/>
      <c r="NAY26" s="25"/>
      <c r="NAZ26" s="25"/>
      <c r="NBA26" s="25"/>
      <c r="NBB26" s="25"/>
      <c r="NBC26" s="25"/>
      <c r="NBD26" s="25"/>
      <c r="NBE26" s="25"/>
      <c r="NBF26" s="25"/>
      <c r="NBG26" s="25"/>
      <c r="NBH26" s="25"/>
      <c r="NBI26" s="25"/>
      <c r="NBJ26" s="25"/>
      <c r="NBK26" s="25"/>
      <c r="NBL26" s="25"/>
      <c r="NBM26" s="25"/>
      <c r="NBN26" s="25"/>
      <c r="NBO26" s="25"/>
      <c r="NBP26" s="25"/>
      <c r="NBQ26" s="25"/>
      <c r="NBR26" s="25"/>
      <c r="NBS26" s="25"/>
      <c r="NBT26" s="25"/>
      <c r="NBU26" s="25"/>
      <c r="NBV26" s="25"/>
      <c r="NBW26" s="25"/>
      <c r="NBX26" s="25"/>
      <c r="NBY26" s="25"/>
      <c r="NBZ26" s="25"/>
      <c r="NCA26" s="25"/>
      <c r="NCB26" s="25"/>
      <c r="NCC26" s="25"/>
      <c r="NCD26" s="25"/>
      <c r="NCE26" s="25"/>
      <c r="NCF26" s="25"/>
      <c r="NCG26" s="25"/>
      <c r="NCH26" s="25"/>
      <c r="NCI26" s="25"/>
      <c r="NCJ26" s="25"/>
      <c r="NCK26" s="25"/>
      <c r="NCL26" s="25"/>
      <c r="NCM26" s="25"/>
      <c r="NCN26" s="25"/>
      <c r="NCO26" s="25"/>
      <c r="NCP26" s="25"/>
      <c r="NCQ26" s="25"/>
      <c r="NCR26" s="25"/>
      <c r="NCS26" s="25"/>
      <c r="NCT26" s="25"/>
      <c r="NCU26" s="25"/>
      <c r="NCV26" s="25"/>
      <c r="NCW26" s="25"/>
      <c r="NCX26" s="25"/>
      <c r="NCY26" s="25"/>
      <c r="NCZ26" s="25"/>
      <c r="NDA26" s="25"/>
      <c r="NDB26" s="25"/>
      <c r="NDC26" s="25"/>
      <c r="NDD26" s="25"/>
      <c r="NDE26" s="25"/>
      <c r="NDF26" s="25"/>
      <c r="NDG26" s="25"/>
      <c r="NDH26" s="25"/>
      <c r="NDI26" s="25"/>
      <c r="NDJ26" s="25"/>
      <c r="NDK26" s="25"/>
      <c r="NDL26" s="25"/>
      <c r="NDM26" s="25"/>
      <c r="NDN26" s="25"/>
      <c r="NDO26" s="25"/>
      <c r="NDP26" s="25"/>
      <c r="NDQ26" s="25"/>
      <c r="NDR26" s="25"/>
      <c r="NDS26" s="25"/>
      <c r="NDT26" s="25"/>
      <c r="NDU26" s="25"/>
      <c r="NDV26" s="25"/>
      <c r="NDW26" s="25"/>
      <c r="NDX26" s="25"/>
      <c r="NDY26" s="25"/>
      <c r="NDZ26" s="25"/>
      <c r="NEA26" s="25"/>
      <c r="NEB26" s="25"/>
      <c r="NEC26" s="25"/>
      <c r="NED26" s="25"/>
      <c r="NEE26" s="25"/>
      <c r="NEF26" s="25"/>
      <c r="NEG26" s="25"/>
      <c r="NEH26" s="25"/>
      <c r="NEI26" s="25"/>
      <c r="NEJ26" s="25"/>
      <c r="NEK26" s="25"/>
      <c r="NEL26" s="25"/>
      <c r="NEM26" s="25"/>
      <c r="NEN26" s="25"/>
      <c r="NEO26" s="25"/>
      <c r="NEP26" s="25"/>
      <c r="NEQ26" s="25"/>
      <c r="NER26" s="25"/>
      <c r="NES26" s="25"/>
      <c r="NET26" s="25"/>
      <c r="NEU26" s="25"/>
      <c r="NEV26" s="25"/>
      <c r="NEW26" s="25"/>
      <c r="NEX26" s="25"/>
      <c r="NEY26" s="25"/>
      <c r="NEZ26" s="25"/>
      <c r="NFA26" s="25"/>
      <c r="NFB26" s="25"/>
      <c r="NFC26" s="25"/>
      <c r="NFD26" s="25"/>
      <c r="NFE26" s="25"/>
      <c r="NFF26" s="25"/>
      <c r="NFG26" s="25"/>
      <c r="NFH26" s="25"/>
      <c r="NFI26" s="25"/>
      <c r="NFJ26" s="25"/>
      <c r="NFK26" s="25"/>
      <c r="NFL26" s="25"/>
      <c r="NFM26" s="25"/>
      <c r="NFN26" s="25"/>
      <c r="NFO26" s="25"/>
      <c r="NFP26" s="25"/>
      <c r="NFQ26" s="25"/>
      <c r="NFR26" s="25"/>
      <c r="NFS26" s="25"/>
      <c r="NFT26" s="25"/>
      <c r="NFU26" s="25"/>
      <c r="NFV26" s="25"/>
      <c r="NFW26" s="25"/>
      <c r="NFX26" s="25"/>
      <c r="NFY26" s="25"/>
      <c r="NFZ26" s="25"/>
      <c r="NGA26" s="25"/>
      <c r="NGB26" s="25"/>
      <c r="NGC26" s="25"/>
      <c r="NGD26" s="25"/>
      <c r="NGE26" s="25"/>
      <c r="NGF26" s="25"/>
      <c r="NGG26" s="25"/>
      <c r="NGH26" s="25"/>
      <c r="NGI26" s="25"/>
      <c r="NGJ26" s="25"/>
      <c r="NGK26" s="25"/>
      <c r="NGL26" s="25"/>
      <c r="NGM26" s="25"/>
      <c r="NGN26" s="25"/>
      <c r="NGO26" s="25"/>
      <c r="NGP26" s="25"/>
      <c r="NGQ26" s="25"/>
      <c r="NGR26" s="25"/>
      <c r="NGS26" s="25"/>
      <c r="NGT26" s="25"/>
      <c r="NGU26" s="25"/>
      <c r="NGV26" s="25"/>
      <c r="NGW26" s="25"/>
      <c r="NGX26" s="25"/>
      <c r="NGY26" s="25"/>
      <c r="NGZ26" s="25"/>
      <c r="NHA26" s="25"/>
      <c r="NHB26" s="25"/>
      <c r="NHC26" s="25"/>
      <c r="NHD26" s="25"/>
      <c r="NHE26" s="25"/>
      <c r="NHF26" s="25"/>
      <c r="NHG26" s="25"/>
      <c r="NHH26" s="25"/>
      <c r="NHI26" s="25"/>
      <c r="NHJ26" s="25"/>
      <c r="NHK26" s="25"/>
      <c r="NHL26" s="25"/>
      <c r="NHM26" s="25"/>
      <c r="NHN26" s="25"/>
      <c r="NHO26" s="25"/>
      <c r="NHP26" s="25"/>
      <c r="NHQ26" s="25"/>
      <c r="NHR26" s="25"/>
      <c r="NHS26" s="25"/>
      <c r="NHT26" s="25"/>
      <c r="NHU26" s="25"/>
      <c r="NHV26" s="25"/>
      <c r="NHW26" s="25"/>
      <c r="NHX26" s="25"/>
      <c r="NHY26" s="25"/>
      <c r="NHZ26" s="25"/>
      <c r="NIA26" s="25"/>
      <c r="NIB26" s="25"/>
      <c r="NIC26" s="25"/>
      <c r="NID26" s="25"/>
      <c r="NIE26" s="25"/>
      <c r="NIF26" s="25"/>
      <c r="NIG26" s="25"/>
      <c r="NIH26" s="25"/>
      <c r="NII26" s="25"/>
      <c r="NIJ26" s="25"/>
      <c r="NIK26" s="25"/>
      <c r="NIL26" s="25"/>
      <c r="NIM26" s="25"/>
      <c r="NIN26" s="25"/>
      <c r="NIO26" s="25"/>
      <c r="NIP26" s="25"/>
      <c r="NIQ26" s="25"/>
      <c r="NIR26" s="25"/>
      <c r="NIS26" s="25"/>
      <c r="NIT26" s="25"/>
      <c r="NIU26" s="25"/>
      <c r="NIV26" s="25"/>
      <c r="NIW26" s="25"/>
      <c r="NIX26" s="25"/>
      <c r="NIY26" s="25"/>
      <c r="NIZ26" s="25"/>
      <c r="NJA26" s="25"/>
      <c r="NJB26" s="25"/>
      <c r="NJC26" s="25"/>
      <c r="NJD26" s="25"/>
      <c r="NJE26" s="25"/>
      <c r="NJF26" s="25"/>
      <c r="NJG26" s="25"/>
      <c r="NJH26" s="25"/>
      <c r="NJI26" s="25"/>
      <c r="NJJ26" s="25"/>
      <c r="NJK26" s="25"/>
      <c r="NJL26" s="25"/>
      <c r="NJM26" s="25"/>
      <c r="NJN26" s="25"/>
      <c r="NJO26" s="25"/>
      <c r="NJP26" s="25"/>
      <c r="NJQ26" s="25"/>
      <c r="NJR26" s="25"/>
      <c r="NJS26" s="25"/>
      <c r="NJT26" s="25"/>
      <c r="NJU26" s="25"/>
      <c r="NJV26" s="25"/>
      <c r="NJW26" s="25"/>
      <c r="NJX26" s="25"/>
      <c r="NJY26" s="25"/>
      <c r="NJZ26" s="25"/>
      <c r="NKA26" s="25"/>
      <c r="NKB26" s="25"/>
      <c r="NKC26" s="25"/>
      <c r="NKD26" s="25"/>
      <c r="NKE26" s="25"/>
      <c r="NKF26" s="25"/>
      <c r="NKG26" s="25"/>
      <c r="NKH26" s="25"/>
      <c r="NKI26" s="25"/>
      <c r="NKJ26" s="25"/>
      <c r="NKK26" s="25"/>
      <c r="NKL26" s="25"/>
      <c r="NKM26" s="25"/>
      <c r="NKN26" s="25"/>
      <c r="NKO26" s="25"/>
      <c r="NKP26" s="25"/>
      <c r="NKQ26" s="25"/>
      <c r="NKR26" s="25"/>
      <c r="NKS26" s="25"/>
      <c r="NKT26" s="25"/>
      <c r="NKU26" s="25"/>
      <c r="NKV26" s="25"/>
      <c r="NKW26" s="25"/>
      <c r="NKX26" s="25"/>
      <c r="NKY26" s="25"/>
      <c r="NKZ26" s="25"/>
      <c r="NLA26" s="25"/>
      <c r="NLB26" s="25"/>
      <c r="NLC26" s="25"/>
      <c r="NLD26" s="25"/>
      <c r="NLE26" s="25"/>
      <c r="NLF26" s="25"/>
      <c r="NLG26" s="25"/>
      <c r="NLH26" s="25"/>
      <c r="NLI26" s="25"/>
      <c r="NLJ26" s="25"/>
      <c r="NLK26" s="25"/>
      <c r="NLL26" s="25"/>
      <c r="NLM26" s="25"/>
      <c r="NLN26" s="25"/>
      <c r="NLO26" s="25"/>
      <c r="NLP26" s="25"/>
      <c r="NLQ26" s="25"/>
      <c r="NLR26" s="25"/>
      <c r="NLS26" s="25"/>
      <c r="NLT26" s="25"/>
      <c r="NLU26" s="25"/>
      <c r="NLV26" s="25"/>
      <c r="NLW26" s="25"/>
      <c r="NLX26" s="25"/>
      <c r="NLY26" s="25"/>
      <c r="NLZ26" s="25"/>
      <c r="NMA26" s="25"/>
      <c r="NMB26" s="25"/>
      <c r="NMC26" s="25"/>
      <c r="NMD26" s="25"/>
      <c r="NME26" s="25"/>
      <c r="NMF26" s="25"/>
      <c r="NMG26" s="25"/>
      <c r="NMH26" s="25"/>
      <c r="NMI26" s="25"/>
      <c r="NMJ26" s="25"/>
      <c r="NMK26" s="25"/>
      <c r="NML26" s="25"/>
      <c r="NMM26" s="25"/>
      <c r="NMN26" s="25"/>
      <c r="NMO26" s="25"/>
      <c r="NMP26" s="25"/>
      <c r="NMQ26" s="25"/>
      <c r="NMR26" s="25"/>
      <c r="NMS26" s="25"/>
      <c r="NMT26" s="25"/>
      <c r="NMU26" s="25"/>
      <c r="NMV26" s="25"/>
      <c r="NMW26" s="25"/>
      <c r="NMX26" s="25"/>
      <c r="NMY26" s="25"/>
      <c r="NMZ26" s="25"/>
      <c r="NNA26" s="25"/>
      <c r="NNB26" s="25"/>
      <c r="NNC26" s="25"/>
      <c r="NND26" s="25"/>
      <c r="NNE26" s="25"/>
      <c r="NNF26" s="25"/>
      <c r="NNG26" s="25"/>
      <c r="NNH26" s="25"/>
      <c r="NNI26" s="25"/>
      <c r="NNJ26" s="25"/>
      <c r="NNK26" s="25"/>
      <c r="NNL26" s="25"/>
      <c r="NNM26" s="25"/>
      <c r="NNN26" s="25"/>
      <c r="NNO26" s="25"/>
      <c r="NNP26" s="25"/>
      <c r="NNQ26" s="25"/>
      <c r="NNR26" s="25"/>
      <c r="NNS26" s="25"/>
      <c r="NNT26" s="25"/>
      <c r="NNU26" s="25"/>
      <c r="NNV26" s="25"/>
      <c r="NNW26" s="25"/>
      <c r="NNX26" s="25"/>
      <c r="NNY26" s="25"/>
      <c r="NNZ26" s="25"/>
      <c r="NOA26" s="25"/>
      <c r="NOB26" s="25"/>
      <c r="NOC26" s="25"/>
      <c r="NOD26" s="25"/>
      <c r="NOE26" s="25"/>
      <c r="NOF26" s="25"/>
      <c r="NOG26" s="25"/>
      <c r="NOH26" s="25"/>
      <c r="NOI26" s="25"/>
      <c r="NOJ26" s="25"/>
      <c r="NOK26" s="25"/>
      <c r="NOL26" s="25"/>
      <c r="NOM26" s="25"/>
      <c r="NON26" s="25"/>
      <c r="NOO26" s="25"/>
      <c r="NOP26" s="25"/>
      <c r="NOQ26" s="25"/>
      <c r="NOR26" s="25"/>
      <c r="NOS26" s="25"/>
      <c r="NOT26" s="25"/>
      <c r="NOU26" s="25"/>
      <c r="NOV26" s="25"/>
      <c r="NOW26" s="25"/>
      <c r="NOX26" s="25"/>
      <c r="NOY26" s="25"/>
      <c r="NOZ26" s="25"/>
      <c r="NPA26" s="25"/>
      <c r="NPB26" s="25"/>
      <c r="NPC26" s="25"/>
      <c r="NPD26" s="25"/>
      <c r="NPE26" s="25"/>
      <c r="NPF26" s="25"/>
      <c r="NPG26" s="25"/>
      <c r="NPH26" s="25"/>
      <c r="NPI26" s="25"/>
      <c r="NPJ26" s="25"/>
      <c r="NPK26" s="25"/>
      <c r="NPL26" s="25"/>
      <c r="NPM26" s="25"/>
      <c r="NPN26" s="25"/>
      <c r="NPO26" s="25"/>
      <c r="NPP26" s="25"/>
      <c r="NPQ26" s="25"/>
      <c r="NPR26" s="25"/>
      <c r="NPS26" s="25"/>
      <c r="NPT26" s="25"/>
      <c r="NPU26" s="25"/>
      <c r="NPV26" s="25"/>
      <c r="NPW26" s="25"/>
      <c r="NPX26" s="25"/>
      <c r="NPY26" s="25"/>
      <c r="NPZ26" s="25"/>
      <c r="NQA26" s="25"/>
      <c r="NQB26" s="25"/>
      <c r="NQC26" s="25"/>
      <c r="NQD26" s="25"/>
      <c r="NQE26" s="25"/>
      <c r="NQF26" s="25"/>
      <c r="NQG26" s="25"/>
      <c r="NQH26" s="25"/>
      <c r="NQI26" s="25"/>
      <c r="NQJ26" s="25"/>
      <c r="NQK26" s="25"/>
      <c r="NQL26" s="25"/>
      <c r="NQM26" s="25"/>
      <c r="NQN26" s="25"/>
      <c r="NQO26" s="25"/>
      <c r="NQP26" s="25"/>
      <c r="NQQ26" s="25"/>
      <c r="NQR26" s="25"/>
      <c r="NQS26" s="25"/>
      <c r="NQT26" s="25"/>
      <c r="NQU26" s="25"/>
      <c r="NQV26" s="25"/>
      <c r="NQW26" s="25"/>
      <c r="NQX26" s="25"/>
      <c r="NQY26" s="25"/>
      <c r="NQZ26" s="25"/>
      <c r="NRA26" s="25"/>
      <c r="NRB26" s="25"/>
      <c r="NRC26" s="25"/>
      <c r="NRD26" s="25"/>
      <c r="NRE26" s="25"/>
      <c r="NRF26" s="25"/>
      <c r="NRG26" s="25"/>
      <c r="NRH26" s="25"/>
      <c r="NRI26" s="25"/>
      <c r="NRJ26" s="25"/>
      <c r="NRK26" s="25"/>
      <c r="NRL26" s="25"/>
      <c r="NRM26" s="25"/>
      <c r="NRN26" s="25"/>
      <c r="NRO26" s="25"/>
      <c r="NRP26" s="25"/>
      <c r="NRQ26" s="25"/>
      <c r="NRR26" s="25"/>
      <c r="NRS26" s="25"/>
      <c r="NRT26" s="25"/>
      <c r="NRU26" s="25"/>
      <c r="NRV26" s="25"/>
      <c r="NRW26" s="25"/>
      <c r="NRX26" s="25"/>
      <c r="NRY26" s="25"/>
      <c r="NRZ26" s="25"/>
      <c r="NSA26" s="25"/>
      <c r="NSB26" s="25"/>
      <c r="NSC26" s="25"/>
      <c r="NSD26" s="25"/>
      <c r="NSE26" s="25"/>
      <c r="NSF26" s="25"/>
      <c r="NSG26" s="25"/>
      <c r="NSH26" s="25"/>
      <c r="NSI26" s="25"/>
      <c r="NSJ26" s="25"/>
      <c r="NSK26" s="25"/>
      <c r="NSL26" s="25"/>
      <c r="NSM26" s="25"/>
      <c r="NSN26" s="25"/>
      <c r="NSO26" s="25"/>
      <c r="NSP26" s="25"/>
      <c r="NSQ26" s="25"/>
      <c r="NSR26" s="25"/>
      <c r="NSS26" s="25"/>
      <c r="NST26" s="25"/>
      <c r="NSU26" s="25"/>
      <c r="NSV26" s="25"/>
      <c r="NSW26" s="25"/>
      <c r="NSX26" s="25"/>
      <c r="NSY26" s="25"/>
      <c r="NSZ26" s="25"/>
      <c r="NTA26" s="25"/>
      <c r="NTB26" s="25"/>
      <c r="NTC26" s="25"/>
      <c r="NTD26" s="25"/>
      <c r="NTE26" s="25"/>
      <c r="NTF26" s="25"/>
      <c r="NTG26" s="25"/>
      <c r="NTH26" s="25"/>
      <c r="NTI26" s="25"/>
      <c r="NTJ26" s="25"/>
      <c r="NTK26" s="25"/>
      <c r="NTL26" s="25"/>
      <c r="NTM26" s="25"/>
      <c r="NTN26" s="25"/>
      <c r="NTO26" s="25"/>
      <c r="NTP26" s="25"/>
      <c r="NTQ26" s="25"/>
      <c r="NTR26" s="25"/>
      <c r="NTS26" s="25"/>
      <c r="NTT26" s="25"/>
      <c r="NTU26" s="25"/>
      <c r="NTV26" s="25"/>
      <c r="NTW26" s="25"/>
      <c r="NTX26" s="25"/>
      <c r="NTY26" s="25"/>
      <c r="NTZ26" s="25"/>
      <c r="NUA26" s="25"/>
      <c r="NUB26" s="25"/>
      <c r="NUC26" s="25"/>
      <c r="NUD26" s="25"/>
      <c r="NUE26" s="25"/>
      <c r="NUF26" s="25"/>
      <c r="NUG26" s="25"/>
      <c r="NUH26" s="25"/>
      <c r="NUI26" s="25"/>
      <c r="NUJ26" s="25"/>
      <c r="NUK26" s="25"/>
      <c r="NUL26" s="25"/>
      <c r="NUM26" s="25"/>
      <c r="NUN26" s="25"/>
      <c r="NUO26" s="25"/>
      <c r="NUP26" s="25"/>
      <c r="NUQ26" s="25"/>
      <c r="NUR26" s="25"/>
      <c r="NUS26" s="25"/>
      <c r="NUT26" s="25"/>
      <c r="NUU26" s="25"/>
      <c r="NUV26" s="25"/>
      <c r="NUW26" s="25"/>
      <c r="NUX26" s="25"/>
      <c r="NUY26" s="25"/>
      <c r="NUZ26" s="25"/>
      <c r="NVA26" s="25"/>
      <c r="NVB26" s="25"/>
      <c r="NVC26" s="25"/>
      <c r="NVD26" s="25"/>
      <c r="NVE26" s="25"/>
      <c r="NVF26" s="25"/>
      <c r="NVG26" s="25"/>
      <c r="NVH26" s="25"/>
      <c r="NVI26" s="25"/>
      <c r="NVJ26" s="25"/>
      <c r="NVK26" s="25"/>
      <c r="NVL26" s="25"/>
      <c r="NVM26" s="25"/>
      <c r="NVN26" s="25"/>
      <c r="NVO26" s="25"/>
      <c r="NVP26" s="25"/>
      <c r="NVQ26" s="25"/>
      <c r="NVR26" s="25"/>
      <c r="NVS26" s="25"/>
      <c r="NVT26" s="25"/>
      <c r="NVU26" s="25"/>
      <c r="NVV26" s="25"/>
      <c r="NVW26" s="25"/>
      <c r="NVX26" s="25"/>
      <c r="NVY26" s="25"/>
      <c r="NVZ26" s="25"/>
      <c r="NWA26" s="25"/>
      <c r="NWB26" s="25"/>
      <c r="NWC26" s="25"/>
      <c r="NWD26" s="25"/>
      <c r="NWE26" s="25"/>
      <c r="NWF26" s="25"/>
      <c r="NWG26" s="25"/>
      <c r="NWH26" s="25"/>
      <c r="NWI26" s="25"/>
      <c r="NWJ26" s="25"/>
      <c r="NWK26" s="25"/>
      <c r="NWL26" s="25"/>
      <c r="NWM26" s="25"/>
      <c r="NWN26" s="25"/>
      <c r="NWO26" s="25"/>
      <c r="NWP26" s="25"/>
      <c r="NWQ26" s="25"/>
      <c r="NWR26" s="25"/>
      <c r="NWS26" s="25"/>
      <c r="NWT26" s="25"/>
      <c r="NWU26" s="25"/>
      <c r="NWV26" s="25"/>
      <c r="NWW26" s="25"/>
      <c r="NWX26" s="25"/>
      <c r="NWY26" s="25"/>
      <c r="NWZ26" s="25"/>
      <c r="NXA26" s="25"/>
      <c r="NXB26" s="25"/>
      <c r="NXC26" s="25"/>
      <c r="NXD26" s="25"/>
      <c r="NXE26" s="25"/>
      <c r="NXF26" s="25"/>
      <c r="NXG26" s="25"/>
      <c r="NXH26" s="25"/>
      <c r="NXI26" s="25"/>
      <c r="NXJ26" s="25"/>
      <c r="NXK26" s="25"/>
      <c r="NXL26" s="25"/>
      <c r="NXM26" s="25"/>
      <c r="NXN26" s="25"/>
      <c r="NXO26" s="25"/>
      <c r="NXP26" s="25"/>
      <c r="NXQ26" s="25"/>
      <c r="NXR26" s="25"/>
      <c r="NXS26" s="25"/>
      <c r="NXT26" s="25"/>
      <c r="NXU26" s="25"/>
      <c r="NXV26" s="25"/>
      <c r="NXW26" s="25"/>
      <c r="NXX26" s="25"/>
      <c r="NXY26" s="25"/>
      <c r="NXZ26" s="25"/>
      <c r="NYA26" s="25"/>
      <c r="NYB26" s="25"/>
      <c r="NYC26" s="25"/>
      <c r="NYD26" s="25"/>
      <c r="NYE26" s="25"/>
      <c r="NYF26" s="25"/>
      <c r="NYG26" s="25"/>
      <c r="NYH26" s="25"/>
      <c r="NYI26" s="25"/>
      <c r="NYJ26" s="25"/>
      <c r="NYK26" s="25"/>
      <c r="NYL26" s="25"/>
      <c r="NYM26" s="25"/>
      <c r="NYN26" s="25"/>
      <c r="NYO26" s="25"/>
      <c r="NYP26" s="25"/>
      <c r="NYQ26" s="25"/>
      <c r="NYR26" s="25"/>
      <c r="NYS26" s="25"/>
      <c r="NYT26" s="25"/>
      <c r="NYU26" s="25"/>
      <c r="NYV26" s="25"/>
      <c r="NYW26" s="25"/>
      <c r="NYX26" s="25"/>
      <c r="NYY26" s="25"/>
      <c r="NYZ26" s="25"/>
      <c r="NZA26" s="25"/>
      <c r="NZB26" s="25"/>
      <c r="NZC26" s="25"/>
      <c r="NZD26" s="25"/>
      <c r="NZE26" s="25"/>
      <c r="NZF26" s="25"/>
      <c r="NZG26" s="25"/>
      <c r="NZH26" s="25"/>
      <c r="NZI26" s="25"/>
      <c r="NZJ26" s="25"/>
      <c r="NZK26" s="25"/>
      <c r="NZL26" s="25"/>
      <c r="NZM26" s="25"/>
      <c r="NZN26" s="25"/>
      <c r="NZO26" s="25"/>
      <c r="NZP26" s="25"/>
      <c r="NZQ26" s="25"/>
      <c r="NZR26" s="25"/>
      <c r="NZS26" s="25"/>
      <c r="NZT26" s="25"/>
      <c r="NZU26" s="25"/>
      <c r="NZV26" s="25"/>
      <c r="NZW26" s="25"/>
      <c r="NZX26" s="25"/>
      <c r="NZY26" s="25"/>
      <c r="NZZ26" s="25"/>
      <c r="OAA26" s="25"/>
      <c r="OAB26" s="25"/>
      <c r="OAC26" s="25"/>
      <c r="OAD26" s="25"/>
      <c r="OAE26" s="25"/>
      <c r="OAF26" s="25"/>
      <c r="OAG26" s="25"/>
      <c r="OAH26" s="25"/>
      <c r="OAI26" s="25"/>
      <c r="OAJ26" s="25"/>
      <c r="OAK26" s="25"/>
      <c r="OAL26" s="25"/>
      <c r="OAM26" s="25"/>
      <c r="OAN26" s="25"/>
      <c r="OAO26" s="25"/>
      <c r="OAP26" s="25"/>
      <c r="OAQ26" s="25"/>
      <c r="OAR26" s="25"/>
      <c r="OAS26" s="25"/>
      <c r="OAT26" s="25"/>
      <c r="OAU26" s="25"/>
      <c r="OAV26" s="25"/>
      <c r="OAW26" s="25"/>
      <c r="OAX26" s="25"/>
      <c r="OAY26" s="25"/>
      <c r="OAZ26" s="25"/>
      <c r="OBA26" s="25"/>
      <c r="OBB26" s="25"/>
      <c r="OBC26" s="25"/>
      <c r="OBD26" s="25"/>
      <c r="OBE26" s="25"/>
      <c r="OBF26" s="25"/>
      <c r="OBG26" s="25"/>
      <c r="OBH26" s="25"/>
      <c r="OBI26" s="25"/>
      <c r="OBJ26" s="25"/>
      <c r="OBK26" s="25"/>
      <c r="OBL26" s="25"/>
      <c r="OBM26" s="25"/>
      <c r="OBN26" s="25"/>
      <c r="OBO26" s="25"/>
      <c r="OBP26" s="25"/>
      <c r="OBQ26" s="25"/>
      <c r="OBR26" s="25"/>
      <c r="OBS26" s="25"/>
      <c r="OBT26" s="25"/>
      <c r="OBU26" s="25"/>
      <c r="OBV26" s="25"/>
      <c r="OBW26" s="25"/>
      <c r="OBX26" s="25"/>
      <c r="OBY26" s="25"/>
      <c r="OBZ26" s="25"/>
      <c r="OCA26" s="25"/>
      <c r="OCB26" s="25"/>
      <c r="OCC26" s="25"/>
      <c r="OCD26" s="25"/>
      <c r="OCE26" s="25"/>
      <c r="OCF26" s="25"/>
      <c r="OCG26" s="25"/>
      <c r="OCH26" s="25"/>
      <c r="OCI26" s="25"/>
      <c r="OCJ26" s="25"/>
      <c r="OCK26" s="25"/>
      <c r="OCL26" s="25"/>
      <c r="OCM26" s="25"/>
      <c r="OCN26" s="25"/>
      <c r="OCO26" s="25"/>
      <c r="OCP26" s="25"/>
      <c r="OCQ26" s="25"/>
      <c r="OCR26" s="25"/>
      <c r="OCS26" s="25"/>
      <c r="OCT26" s="25"/>
      <c r="OCU26" s="25"/>
      <c r="OCV26" s="25"/>
      <c r="OCW26" s="25"/>
      <c r="OCX26" s="25"/>
      <c r="OCY26" s="25"/>
      <c r="OCZ26" s="25"/>
      <c r="ODA26" s="25"/>
      <c r="ODB26" s="25"/>
      <c r="ODC26" s="25"/>
      <c r="ODD26" s="25"/>
      <c r="ODE26" s="25"/>
      <c r="ODF26" s="25"/>
      <c r="ODG26" s="25"/>
      <c r="ODH26" s="25"/>
      <c r="ODI26" s="25"/>
      <c r="ODJ26" s="25"/>
      <c r="ODK26" s="25"/>
      <c r="ODL26" s="25"/>
      <c r="ODM26" s="25"/>
      <c r="ODN26" s="25"/>
      <c r="ODO26" s="25"/>
      <c r="ODP26" s="25"/>
      <c r="ODQ26" s="25"/>
      <c r="ODR26" s="25"/>
      <c r="ODS26" s="25"/>
      <c r="ODT26" s="25"/>
      <c r="ODU26" s="25"/>
      <c r="ODV26" s="25"/>
      <c r="ODW26" s="25"/>
      <c r="ODX26" s="25"/>
      <c r="ODY26" s="25"/>
      <c r="ODZ26" s="25"/>
      <c r="OEA26" s="25"/>
      <c r="OEB26" s="25"/>
      <c r="OEC26" s="25"/>
      <c r="OED26" s="25"/>
      <c r="OEE26" s="25"/>
      <c r="OEF26" s="25"/>
      <c r="OEG26" s="25"/>
      <c r="OEH26" s="25"/>
      <c r="OEI26" s="25"/>
      <c r="OEJ26" s="25"/>
      <c r="OEK26" s="25"/>
      <c r="OEL26" s="25"/>
      <c r="OEM26" s="25"/>
      <c r="OEN26" s="25"/>
      <c r="OEO26" s="25"/>
      <c r="OEP26" s="25"/>
      <c r="OEQ26" s="25"/>
      <c r="OER26" s="25"/>
      <c r="OES26" s="25"/>
      <c r="OET26" s="25"/>
      <c r="OEU26" s="25"/>
      <c r="OEV26" s="25"/>
      <c r="OEW26" s="25"/>
      <c r="OEX26" s="25"/>
      <c r="OEY26" s="25"/>
      <c r="OEZ26" s="25"/>
      <c r="OFA26" s="25"/>
      <c r="OFB26" s="25"/>
      <c r="OFC26" s="25"/>
      <c r="OFD26" s="25"/>
      <c r="OFE26" s="25"/>
      <c r="OFF26" s="25"/>
      <c r="OFG26" s="25"/>
      <c r="OFH26" s="25"/>
      <c r="OFI26" s="25"/>
      <c r="OFJ26" s="25"/>
      <c r="OFK26" s="25"/>
      <c r="OFL26" s="25"/>
      <c r="OFM26" s="25"/>
      <c r="OFN26" s="25"/>
      <c r="OFO26" s="25"/>
      <c r="OFP26" s="25"/>
      <c r="OFQ26" s="25"/>
      <c r="OFR26" s="25"/>
      <c r="OFS26" s="25"/>
      <c r="OFT26" s="25"/>
      <c r="OFU26" s="25"/>
      <c r="OFV26" s="25"/>
      <c r="OFW26" s="25"/>
      <c r="OFX26" s="25"/>
      <c r="OFY26" s="25"/>
      <c r="OFZ26" s="25"/>
      <c r="OGA26" s="25"/>
      <c r="OGB26" s="25"/>
      <c r="OGC26" s="25"/>
      <c r="OGD26" s="25"/>
      <c r="OGE26" s="25"/>
      <c r="OGF26" s="25"/>
      <c r="OGG26" s="25"/>
      <c r="OGH26" s="25"/>
      <c r="OGI26" s="25"/>
      <c r="OGJ26" s="25"/>
      <c r="OGK26" s="25"/>
      <c r="OGL26" s="25"/>
      <c r="OGM26" s="25"/>
      <c r="OGN26" s="25"/>
      <c r="OGO26" s="25"/>
      <c r="OGP26" s="25"/>
      <c r="OGQ26" s="25"/>
      <c r="OGR26" s="25"/>
      <c r="OGS26" s="25"/>
      <c r="OGT26" s="25"/>
      <c r="OGU26" s="25"/>
      <c r="OGV26" s="25"/>
      <c r="OGW26" s="25"/>
      <c r="OGX26" s="25"/>
      <c r="OGY26" s="25"/>
      <c r="OGZ26" s="25"/>
      <c r="OHA26" s="25"/>
      <c r="OHB26" s="25"/>
      <c r="OHC26" s="25"/>
      <c r="OHD26" s="25"/>
      <c r="OHE26" s="25"/>
      <c r="OHF26" s="25"/>
      <c r="OHG26" s="25"/>
      <c r="OHH26" s="25"/>
      <c r="OHI26" s="25"/>
      <c r="OHJ26" s="25"/>
      <c r="OHK26" s="25"/>
      <c r="OHL26" s="25"/>
      <c r="OHM26" s="25"/>
      <c r="OHN26" s="25"/>
      <c r="OHO26" s="25"/>
      <c r="OHP26" s="25"/>
      <c r="OHQ26" s="25"/>
      <c r="OHR26" s="25"/>
      <c r="OHS26" s="25"/>
      <c r="OHT26" s="25"/>
      <c r="OHU26" s="25"/>
      <c r="OHV26" s="25"/>
      <c r="OHW26" s="25"/>
      <c r="OHX26" s="25"/>
      <c r="OHY26" s="25"/>
      <c r="OHZ26" s="25"/>
      <c r="OIA26" s="25"/>
      <c r="OIB26" s="25"/>
      <c r="OIC26" s="25"/>
      <c r="OID26" s="25"/>
      <c r="OIE26" s="25"/>
      <c r="OIF26" s="25"/>
      <c r="OIG26" s="25"/>
      <c r="OIH26" s="25"/>
      <c r="OII26" s="25"/>
      <c r="OIJ26" s="25"/>
      <c r="OIK26" s="25"/>
      <c r="OIL26" s="25"/>
      <c r="OIM26" s="25"/>
      <c r="OIN26" s="25"/>
      <c r="OIO26" s="25"/>
      <c r="OIP26" s="25"/>
      <c r="OIQ26" s="25"/>
      <c r="OIR26" s="25"/>
      <c r="OIS26" s="25"/>
      <c r="OIT26" s="25"/>
      <c r="OIU26" s="25"/>
      <c r="OIV26" s="25"/>
      <c r="OIW26" s="25"/>
      <c r="OIX26" s="25"/>
      <c r="OIY26" s="25"/>
      <c r="OIZ26" s="25"/>
      <c r="OJA26" s="25"/>
      <c r="OJB26" s="25"/>
      <c r="OJC26" s="25"/>
      <c r="OJD26" s="25"/>
      <c r="OJE26" s="25"/>
      <c r="OJF26" s="25"/>
      <c r="OJG26" s="25"/>
      <c r="OJH26" s="25"/>
      <c r="OJI26" s="25"/>
      <c r="OJJ26" s="25"/>
      <c r="OJK26" s="25"/>
      <c r="OJL26" s="25"/>
      <c r="OJM26" s="25"/>
      <c r="OJN26" s="25"/>
      <c r="OJO26" s="25"/>
      <c r="OJP26" s="25"/>
      <c r="OJQ26" s="25"/>
      <c r="OJR26" s="25"/>
      <c r="OJS26" s="25"/>
      <c r="OJT26" s="25"/>
      <c r="OJU26" s="25"/>
      <c r="OJV26" s="25"/>
      <c r="OJW26" s="25"/>
      <c r="OJX26" s="25"/>
      <c r="OJY26" s="25"/>
      <c r="OJZ26" s="25"/>
      <c r="OKA26" s="25"/>
      <c r="OKB26" s="25"/>
      <c r="OKC26" s="25"/>
      <c r="OKD26" s="25"/>
      <c r="OKE26" s="25"/>
      <c r="OKF26" s="25"/>
      <c r="OKG26" s="25"/>
      <c r="OKH26" s="25"/>
      <c r="OKI26" s="25"/>
      <c r="OKJ26" s="25"/>
      <c r="OKK26" s="25"/>
      <c r="OKL26" s="25"/>
      <c r="OKM26" s="25"/>
      <c r="OKN26" s="25"/>
      <c r="OKO26" s="25"/>
      <c r="OKP26" s="25"/>
      <c r="OKQ26" s="25"/>
      <c r="OKR26" s="25"/>
      <c r="OKS26" s="25"/>
      <c r="OKT26" s="25"/>
      <c r="OKU26" s="25"/>
      <c r="OKV26" s="25"/>
      <c r="OKW26" s="25"/>
      <c r="OKX26" s="25"/>
      <c r="OKY26" s="25"/>
      <c r="OKZ26" s="25"/>
      <c r="OLA26" s="25"/>
      <c r="OLB26" s="25"/>
      <c r="OLC26" s="25"/>
      <c r="OLD26" s="25"/>
      <c r="OLE26" s="25"/>
      <c r="OLF26" s="25"/>
      <c r="OLG26" s="25"/>
      <c r="OLH26" s="25"/>
      <c r="OLI26" s="25"/>
      <c r="OLJ26" s="25"/>
      <c r="OLK26" s="25"/>
      <c r="OLL26" s="25"/>
      <c r="OLM26" s="25"/>
      <c r="OLN26" s="25"/>
      <c r="OLO26" s="25"/>
      <c r="OLP26" s="25"/>
      <c r="OLQ26" s="25"/>
      <c r="OLR26" s="25"/>
      <c r="OLS26" s="25"/>
      <c r="OLT26" s="25"/>
      <c r="OLU26" s="25"/>
      <c r="OLV26" s="25"/>
      <c r="OLW26" s="25"/>
      <c r="OLX26" s="25"/>
      <c r="OLY26" s="25"/>
      <c r="OLZ26" s="25"/>
      <c r="OMA26" s="25"/>
      <c r="OMB26" s="25"/>
      <c r="OMC26" s="25"/>
      <c r="OMD26" s="25"/>
      <c r="OME26" s="25"/>
      <c r="OMF26" s="25"/>
      <c r="OMG26" s="25"/>
      <c r="OMH26" s="25"/>
      <c r="OMI26" s="25"/>
      <c r="OMJ26" s="25"/>
      <c r="OMK26" s="25"/>
      <c r="OML26" s="25"/>
      <c r="OMM26" s="25"/>
      <c r="OMN26" s="25"/>
      <c r="OMO26" s="25"/>
      <c r="OMP26" s="25"/>
      <c r="OMQ26" s="25"/>
      <c r="OMR26" s="25"/>
      <c r="OMS26" s="25"/>
      <c r="OMT26" s="25"/>
      <c r="OMU26" s="25"/>
      <c r="OMV26" s="25"/>
      <c r="OMW26" s="25"/>
      <c r="OMX26" s="25"/>
      <c r="OMY26" s="25"/>
      <c r="OMZ26" s="25"/>
      <c r="ONA26" s="25"/>
      <c r="ONB26" s="25"/>
      <c r="ONC26" s="25"/>
      <c r="OND26" s="25"/>
      <c r="ONE26" s="25"/>
      <c r="ONF26" s="25"/>
      <c r="ONG26" s="25"/>
      <c r="ONH26" s="25"/>
      <c r="ONI26" s="25"/>
      <c r="ONJ26" s="25"/>
      <c r="ONK26" s="25"/>
      <c r="ONL26" s="25"/>
      <c r="ONM26" s="25"/>
      <c r="ONN26" s="25"/>
      <c r="ONO26" s="25"/>
      <c r="ONP26" s="25"/>
      <c r="ONQ26" s="25"/>
      <c r="ONR26" s="25"/>
      <c r="ONS26" s="25"/>
      <c r="ONT26" s="25"/>
      <c r="ONU26" s="25"/>
      <c r="ONV26" s="25"/>
      <c r="ONW26" s="25"/>
      <c r="ONX26" s="25"/>
      <c r="ONY26" s="25"/>
      <c r="ONZ26" s="25"/>
      <c r="OOA26" s="25"/>
      <c r="OOB26" s="25"/>
      <c r="OOC26" s="25"/>
      <c r="OOD26" s="25"/>
      <c r="OOE26" s="25"/>
      <c r="OOF26" s="25"/>
      <c r="OOG26" s="25"/>
      <c r="OOH26" s="25"/>
      <c r="OOI26" s="25"/>
      <c r="OOJ26" s="25"/>
      <c r="OOK26" s="25"/>
      <c r="OOL26" s="25"/>
      <c r="OOM26" s="25"/>
      <c r="OON26" s="25"/>
      <c r="OOO26" s="25"/>
      <c r="OOP26" s="25"/>
      <c r="OOQ26" s="25"/>
      <c r="OOR26" s="25"/>
      <c r="OOS26" s="25"/>
      <c r="OOT26" s="25"/>
      <c r="OOU26" s="25"/>
      <c r="OOV26" s="25"/>
      <c r="OOW26" s="25"/>
      <c r="OOX26" s="25"/>
      <c r="OOY26" s="25"/>
      <c r="OOZ26" s="25"/>
      <c r="OPA26" s="25"/>
      <c r="OPB26" s="25"/>
      <c r="OPC26" s="25"/>
      <c r="OPD26" s="25"/>
      <c r="OPE26" s="25"/>
      <c r="OPF26" s="25"/>
      <c r="OPG26" s="25"/>
      <c r="OPH26" s="25"/>
      <c r="OPI26" s="25"/>
      <c r="OPJ26" s="25"/>
      <c r="OPK26" s="25"/>
      <c r="OPL26" s="25"/>
      <c r="OPM26" s="25"/>
      <c r="OPN26" s="25"/>
      <c r="OPO26" s="25"/>
      <c r="OPP26" s="25"/>
      <c r="OPQ26" s="25"/>
      <c r="OPR26" s="25"/>
      <c r="OPS26" s="25"/>
      <c r="OPT26" s="25"/>
      <c r="OPU26" s="25"/>
      <c r="OPV26" s="25"/>
      <c r="OPW26" s="25"/>
      <c r="OPX26" s="25"/>
      <c r="OPY26" s="25"/>
      <c r="OPZ26" s="25"/>
      <c r="OQA26" s="25"/>
      <c r="OQB26" s="25"/>
      <c r="OQC26" s="25"/>
      <c r="OQD26" s="25"/>
      <c r="OQE26" s="25"/>
      <c r="OQF26" s="25"/>
      <c r="OQG26" s="25"/>
      <c r="OQH26" s="25"/>
      <c r="OQI26" s="25"/>
      <c r="OQJ26" s="25"/>
      <c r="OQK26" s="25"/>
      <c r="OQL26" s="25"/>
      <c r="OQM26" s="25"/>
      <c r="OQN26" s="25"/>
      <c r="OQO26" s="25"/>
      <c r="OQP26" s="25"/>
      <c r="OQQ26" s="25"/>
      <c r="OQR26" s="25"/>
      <c r="OQS26" s="25"/>
      <c r="OQT26" s="25"/>
      <c r="OQU26" s="25"/>
      <c r="OQV26" s="25"/>
      <c r="OQW26" s="25"/>
      <c r="OQX26" s="25"/>
      <c r="OQY26" s="25"/>
      <c r="OQZ26" s="25"/>
      <c r="ORA26" s="25"/>
      <c r="ORB26" s="25"/>
      <c r="ORC26" s="25"/>
      <c r="ORD26" s="25"/>
      <c r="ORE26" s="25"/>
      <c r="ORF26" s="25"/>
      <c r="ORG26" s="25"/>
      <c r="ORH26" s="25"/>
      <c r="ORI26" s="25"/>
      <c r="ORJ26" s="25"/>
      <c r="ORK26" s="25"/>
      <c r="ORL26" s="25"/>
      <c r="ORM26" s="25"/>
      <c r="ORN26" s="25"/>
      <c r="ORO26" s="25"/>
      <c r="ORP26" s="25"/>
      <c r="ORQ26" s="25"/>
      <c r="ORR26" s="25"/>
      <c r="ORS26" s="25"/>
      <c r="ORT26" s="25"/>
      <c r="ORU26" s="25"/>
      <c r="ORV26" s="25"/>
      <c r="ORW26" s="25"/>
      <c r="ORX26" s="25"/>
      <c r="ORY26" s="25"/>
      <c r="ORZ26" s="25"/>
      <c r="OSA26" s="25"/>
      <c r="OSB26" s="25"/>
      <c r="OSC26" s="25"/>
      <c r="OSD26" s="25"/>
      <c r="OSE26" s="25"/>
      <c r="OSF26" s="25"/>
      <c r="OSG26" s="25"/>
      <c r="OSH26" s="25"/>
      <c r="OSI26" s="25"/>
      <c r="OSJ26" s="25"/>
      <c r="OSK26" s="25"/>
      <c r="OSL26" s="25"/>
      <c r="OSM26" s="25"/>
      <c r="OSN26" s="25"/>
      <c r="OSO26" s="25"/>
      <c r="OSP26" s="25"/>
      <c r="OSQ26" s="25"/>
      <c r="OSR26" s="25"/>
      <c r="OSS26" s="25"/>
      <c r="OST26" s="25"/>
      <c r="OSU26" s="25"/>
      <c r="OSV26" s="25"/>
      <c r="OSW26" s="25"/>
      <c r="OSX26" s="25"/>
      <c r="OSY26" s="25"/>
      <c r="OSZ26" s="25"/>
      <c r="OTA26" s="25"/>
      <c r="OTB26" s="25"/>
      <c r="OTC26" s="25"/>
      <c r="OTD26" s="25"/>
      <c r="OTE26" s="25"/>
      <c r="OTF26" s="25"/>
      <c r="OTG26" s="25"/>
      <c r="OTH26" s="25"/>
      <c r="OTI26" s="25"/>
      <c r="OTJ26" s="25"/>
      <c r="OTK26" s="25"/>
      <c r="OTL26" s="25"/>
      <c r="OTM26" s="25"/>
      <c r="OTN26" s="25"/>
      <c r="OTO26" s="25"/>
      <c r="OTP26" s="25"/>
      <c r="OTQ26" s="25"/>
      <c r="OTR26" s="25"/>
      <c r="OTS26" s="25"/>
      <c r="OTT26" s="25"/>
      <c r="OTU26" s="25"/>
      <c r="OTV26" s="25"/>
      <c r="OTW26" s="25"/>
      <c r="OTX26" s="25"/>
      <c r="OTY26" s="25"/>
      <c r="OTZ26" s="25"/>
      <c r="OUA26" s="25"/>
      <c r="OUB26" s="25"/>
      <c r="OUC26" s="25"/>
      <c r="OUD26" s="25"/>
      <c r="OUE26" s="25"/>
      <c r="OUF26" s="25"/>
      <c r="OUG26" s="25"/>
      <c r="OUH26" s="25"/>
      <c r="OUI26" s="25"/>
      <c r="OUJ26" s="25"/>
      <c r="OUK26" s="25"/>
      <c r="OUL26" s="25"/>
      <c r="OUM26" s="25"/>
      <c r="OUN26" s="25"/>
      <c r="OUO26" s="25"/>
      <c r="OUP26" s="25"/>
      <c r="OUQ26" s="25"/>
      <c r="OUR26" s="25"/>
      <c r="OUS26" s="25"/>
      <c r="OUT26" s="25"/>
      <c r="OUU26" s="25"/>
      <c r="OUV26" s="25"/>
      <c r="OUW26" s="25"/>
      <c r="OUX26" s="25"/>
      <c r="OUY26" s="25"/>
      <c r="OUZ26" s="25"/>
      <c r="OVA26" s="25"/>
      <c r="OVB26" s="25"/>
      <c r="OVC26" s="25"/>
      <c r="OVD26" s="25"/>
      <c r="OVE26" s="25"/>
      <c r="OVF26" s="25"/>
      <c r="OVG26" s="25"/>
      <c r="OVH26" s="25"/>
      <c r="OVI26" s="25"/>
      <c r="OVJ26" s="25"/>
      <c r="OVK26" s="25"/>
      <c r="OVL26" s="25"/>
      <c r="OVM26" s="25"/>
      <c r="OVN26" s="25"/>
      <c r="OVO26" s="25"/>
      <c r="OVP26" s="25"/>
      <c r="OVQ26" s="25"/>
      <c r="OVR26" s="25"/>
      <c r="OVS26" s="25"/>
      <c r="OVT26" s="25"/>
      <c r="OVU26" s="25"/>
      <c r="OVV26" s="25"/>
      <c r="OVW26" s="25"/>
      <c r="OVX26" s="25"/>
      <c r="OVY26" s="25"/>
      <c r="OVZ26" s="25"/>
      <c r="OWA26" s="25"/>
      <c r="OWB26" s="25"/>
      <c r="OWC26" s="25"/>
      <c r="OWD26" s="25"/>
      <c r="OWE26" s="25"/>
      <c r="OWF26" s="25"/>
      <c r="OWG26" s="25"/>
      <c r="OWH26" s="25"/>
      <c r="OWI26" s="25"/>
      <c r="OWJ26" s="25"/>
      <c r="OWK26" s="25"/>
      <c r="OWL26" s="25"/>
      <c r="OWM26" s="25"/>
      <c r="OWN26" s="25"/>
      <c r="OWO26" s="25"/>
      <c r="OWP26" s="25"/>
      <c r="OWQ26" s="25"/>
      <c r="OWR26" s="25"/>
      <c r="OWS26" s="25"/>
      <c r="OWT26" s="25"/>
      <c r="OWU26" s="25"/>
      <c r="OWV26" s="25"/>
      <c r="OWW26" s="25"/>
      <c r="OWX26" s="25"/>
      <c r="OWY26" s="25"/>
      <c r="OWZ26" s="25"/>
      <c r="OXA26" s="25"/>
      <c r="OXB26" s="25"/>
      <c r="OXC26" s="25"/>
      <c r="OXD26" s="25"/>
      <c r="OXE26" s="25"/>
      <c r="OXF26" s="25"/>
      <c r="OXG26" s="25"/>
      <c r="OXH26" s="25"/>
      <c r="OXI26" s="25"/>
      <c r="OXJ26" s="25"/>
      <c r="OXK26" s="25"/>
      <c r="OXL26" s="25"/>
      <c r="OXM26" s="25"/>
      <c r="OXN26" s="25"/>
      <c r="OXO26" s="25"/>
      <c r="OXP26" s="25"/>
      <c r="OXQ26" s="25"/>
      <c r="OXR26" s="25"/>
      <c r="OXS26" s="25"/>
      <c r="OXT26" s="25"/>
      <c r="OXU26" s="25"/>
      <c r="OXV26" s="25"/>
      <c r="OXW26" s="25"/>
      <c r="OXX26" s="25"/>
      <c r="OXY26" s="25"/>
      <c r="OXZ26" s="25"/>
      <c r="OYA26" s="25"/>
      <c r="OYB26" s="25"/>
      <c r="OYC26" s="25"/>
      <c r="OYD26" s="25"/>
      <c r="OYE26" s="25"/>
      <c r="OYF26" s="25"/>
      <c r="OYG26" s="25"/>
      <c r="OYH26" s="25"/>
      <c r="OYI26" s="25"/>
      <c r="OYJ26" s="25"/>
      <c r="OYK26" s="25"/>
      <c r="OYL26" s="25"/>
      <c r="OYM26" s="25"/>
      <c r="OYN26" s="25"/>
      <c r="OYO26" s="25"/>
      <c r="OYP26" s="25"/>
      <c r="OYQ26" s="25"/>
      <c r="OYR26" s="25"/>
      <c r="OYS26" s="25"/>
      <c r="OYT26" s="25"/>
      <c r="OYU26" s="25"/>
      <c r="OYV26" s="25"/>
      <c r="OYW26" s="25"/>
      <c r="OYX26" s="25"/>
      <c r="OYY26" s="25"/>
      <c r="OYZ26" s="25"/>
      <c r="OZA26" s="25"/>
      <c r="OZB26" s="25"/>
      <c r="OZC26" s="25"/>
      <c r="OZD26" s="25"/>
      <c r="OZE26" s="25"/>
      <c r="OZF26" s="25"/>
      <c r="OZG26" s="25"/>
      <c r="OZH26" s="25"/>
      <c r="OZI26" s="25"/>
      <c r="OZJ26" s="25"/>
      <c r="OZK26" s="25"/>
      <c r="OZL26" s="25"/>
      <c r="OZM26" s="25"/>
      <c r="OZN26" s="25"/>
      <c r="OZO26" s="25"/>
      <c r="OZP26" s="25"/>
      <c r="OZQ26" s="25"/>
      <c r="OZR26" s="25"/>
      <c r="OZS26" s="25"/>
      <c r="OZT26" s="25"/>
      <c r="OZU26" s="25"/>
      <c r="OZV26" s="25"/>
      <c r="OZW26" s="25"/>
      <c r="OZX26" s="25"/>
      <c r="OZY26" s="25"/>
      <c r="OZZ26" s="25"/>
      <c r="PAA26" s="25"/>
      <c r="PAB26" s="25"/>
      <c r="PAC26" s="25"/>
      <c r="PAD26" s="25"/>
      <c r="PAE26" s="25"/>
      <c r="PAF26" s="25"/>
      <c r="PAG26" s="25"/>
      <c r="PAH26" s="25"/>
      <c r="PAI26" s="25"/>
      <c r="PAJ26" s="25"/>
      <c r="PAK26" s="25"/>
      <c r="PAL26" s="25"/>
      <c r="PAM26" s="25"/>
      <c r="PAN26" s="25"/>
      <c r="PAO26" s="25"/>
      <c r="PAP26" s="25"/>
      <c r="PAQ26" s="25"/>
      <c r="PAR26" s="25"/>
      <c r="PAS26" s="25"/>
      <c r="PAT26" s="25"/>
      <c r="PAU26" s="25"/>
      <c r="PAV26" s="25"/>
      <c r="PAW26" s="25"/>
      <c r="PAX26" s="25"/>
      <c r="PAY26" s="25"/>
      <c r="PAZ26" s="25"/>
      <c r="PBA26" s="25"/>
      <c r="PBB26" s="25"/>
      <c r="PBC26" s="25"/>
      <c r="PBD26" s="25"/>
      <c r="PBE26" s="25"/>
      <c r="PBF26" s="25"/>
      <c r="PBG26" s="25"/>
      <c r="PBH26" s="25"/>
      <c r="PBI26" s="25"/>
      <c r="PBJ26" s="25"/>
      <c r="PBK26" s="25"/>
      <c r="PBL26" s="25"/>
      <c r="PBM26" s="25"/>
      <c r="PBN26" s="25"/>
      <c r="PBO26" s="25"/>
      <c r="PBP26" s="25"/>
      <c r="PBQ26" s="25"/>
      <c r="PBR26" s="25"/>
      <c r="PBS26" s="25"/>
      <c r="PBT26" s="25"/>
      <c r="PBU26" s="25"/>
      <c r="PBV26" s="25"/>
      <c r="PBW26" s="25"/>
      <c r="PBX26" s="25"/>
      <c r="PBY26" s="25"/>
      <c r="PBZ26" s="25"/>
      <c r="PCA26" s="25"/>
      <c r="PCB26" s="25"/>
      <c r="PCC26" s="25"/>
      <c r="PCD26" s="25"/>
      <c r="PCE26" s="25"/>
      <c r="PCF26" s="25"/>
      <c r="PCG26" s="25"/>
      <c r="PCH26" s="25"/>
      <c r="PCI26" s="25"/>
      <c r="PCJ26" s="25"/>
      <c r="PCK26" s="25"/>
      <c r="PCL26" s="25"/>
      <c r="PCM26" s="25"/>
      <c r="PCN26" s="25"/>
      <c r="PCO26" s="25"/>
      <c r="PCP26" s="25"/>
      <c r="PCQ26" s="25"/>
      <c r="PCR26" s="25"/>
      <c r="PCS26" s="25"/>
      <c r="PCT26" s="25"/>
      <c r="PCU26" s="25"/>
      <c r="PCV26" s="25"/>
      <c r="PCW26" s="25"/>
      <c r="PCX26" s="25"/>
      <c r="PCY26" s="25"/>
      <c r="PCZ26" s="25"/>
      <c r="PDA26" s="25"/>
      <c r="PDB26" s="25"/>
      <c r="PDC26" s="25"/>
      <c r="PDD26" s="25"/>
      <c r="PDE26" s="25"/>
      <c r="PDF26" s="25"/>
      <c r="PDG26" s="25"/>
      <c r="PDH26" s="25"/>
      <c r="PDI26" s="25"/>
      <c r="PDJ26" s="25"/>
      <c r="PDK26" s="25"/>
      <c r="PDL26" s="25"/>
      <c r="PDM26" s="25"/>
      <c r="PDN26" s="25"/>
      <c r="PDO26" s="25"/>
      <c r="PDP26" s="25"/>
      <c r="PDQ26" s="25"/>
      <c r="PDR26" s="25"/>
      <c r="PDS26" s="25"/>
      <c r="PDT26" s="25"/>
      <c r="PDU26" s="25"/>
      <c r="PDV26" s="25"/>
      <c r="PDW26" s="25"/>
      <c r="PDX26" s="25"/>
      <c r="PDY26" s="25"/>
      <c r="PDZ26" s="25"/>
      <c r="PEA26" s="25"/>
      <c r="PEB26" s="25"/>
      <c r="PEC26" s="25"/>
      <c r="PED26" s="25"/>
      <c r="PEE26" s="25"/>
      <c r="PEF26" s="25"/>
      <c r="PEG26" s="25"/>
      <c r="PEH26" s="25"/>
      <c r="PEI26" s="25"/>
      <c r="PEJ26" s="25"/>
      <c r="PEK26" s="25"/>
      <c r="PEL26" s="25"/>
      <c r="PEM26" s="25"/>
      <c r="PEN26" s="25"/>
      <c r="PEO26" s="25"/>
      <c r="PEP26" s="25"/>
      <c r="PEQ26" s="25"/>
      <c r="PER26" s="25"/>
      <c r="PES26" s="25"/>
      <c r="PET26" s="25"/>
      <c r="PEU26" s="25"/>
      <c r="PEV26" s="25"/>
      <c r="PEW26" s="25"/>
      <c r="PEX26" s="25"/>
      <c r="PEY26" s="25"/>
      <c r="PEZ26" s="25"/>
      <c r="PFA26" s="25"/>
      <c r="PFB26" s="25"/>
      <c r="PFC26" s="25"/>
      <c r="PFD26" s="25"/>
      <c r="PFE26" s="25"/>
      <c r="PFF26" s="25"/>
      <c r="PFG26" s="25"/>
      <c r="PFH26" s="25"/>
      <c r="PFI26" s="25"/>
      <c r="PFJ26" s="25"/>
      <c r="PFK26" s="25"/>
      <c r="PFL26" s="25"/>
      <c r="PFM26" s="25"/>
      <c r="PFN26" s="25"/>
      <c r="PFO26" s="25"/>
      <c r="PFP26" s="25"/>
      <c r="PFQ26" s="25"/>
      <c r="PFR26" s="25"/>
      <c r="PFS26" s="25"/>
      <c r="PFT26" s="25"/>
      <c r="PFU26" s="25"/>
      <c r="PFV26" s="25"/>
      <c r="PFW26" s="25"/>
      <c r="PFX26" s="25"/>
      <c r="PFY26" s="25"/>
      <c r="PFZ26" s="25"/>
      <c r="PGA26" s="25"/>
      <c r="PGB26" s="25"/>
      <c r="PGC26" s="25"/>
      <c r="PGD26" s="25"/>
      <c r="PGE26" s="25"/>
      <c r="PGF26" s="25"/>
      <c r="PGG26" s="25"/>
      <c r="PGH26" s="25"/>
      <c r="PGI26" s="25"/>
      <c r="PGJ26" s="25"/>
      <c r="PGK26" s="25"/>
      <c r="PGL26" s="25"/>
      <c r="PGM26" s="25"/>
      <c r="PGN26" s="25"/>
      <c r="PGO26" s="25"/>
      <c r="PGP26" s="25"/>
      <c r="PGQ26" s="25"/>
      <c r="PGR26" s="25"/>
      <c r="PGS26" s="25"/>
      <c r="PGT26" s="25"/>
      <c r="PGU26" s="25"/>
      <c r="PGV26" s="25"/>
      <c r="PGW26" s="25"/>
      <c r="PGX26" s="25"/>
      <c r="PGY26" s="25"/>
      <c r="PGZ26" s="25"/>
      <c r="PHA26" s="25"/>
      <c r="PHB26" s="25"/>
      <c r="PHC26" s="25"/>
      <c r="PHD26" s="25"/>
      <c r="PHE26" s="25"/>
      <c r="PHF26" s="25"/>
      <c r="PHG26" s="25"/>
      <c r="PHH26" s="25"/>
      <c r="PHI26" s="25"/>
      <c r="PHJ26" s="25"/>
      <c r="PHK26" s="25"/>
      <c r="PHL26" s="25"/>
      <c r="PHM26" s="25"/>
      <c r="PHN26" s="25"/>
      <c r="PHO26" s="25"/>
      <c r="PHP26" s="25"/>
      <c r="PHQ26" s="25"/>
      <c r="PHR26" s="25"/>
      <c r="PHS26" s="25"/>
      <c r="PHT26" s="25"/>
      <c r="PHU26" s="25"/>
      <c r="PHV26" s="25"/>
      <c r="PHW26" s="25"/>
      <c r="PHX26" s="25"/>
      <c r="PHY26" s="25"/>
      <c r="PHZ26" s="25"/>
      <c r="PIA26" s="25"/>
      <c r="PIB26" s="25"/>
      <c r="PIC26" s="25"/>
      <c r="PID26" s="25"/>
      <c r="PIE26" s="25"/>
      <c r="PIF26" s="25"/>
      <c r="PIG26" s="25"/>
      <c r="PIH26" s="25"/>
      <c r="PII26" s="25"/>
      <c r="PIJ26" s="25"/>
      <c r="PIK26" s="25"/>
      <c r="PIL26" s="25"/>
      <c r="PIM26" s="25"/>
      <c r="PIN26" s="25"/>
      <c r="PIO26" s="25"/>
      <c r="PIP26" s="25"/>
      <c r="PIQ26" s="25"/>
      <c r="PIR26" s="25"/>
      <c r="PIS26" s="25"/>
      <c r="PIT26" s="25"/>
      <c r="PIU26" s="25"/>
      <c r="PIV26" s="25"/>
      <c r="PIW26" s="25"/>
      <c r="PIX26" s="25"/>
      <c r="PIY26" s="25"/>
      <c r="PIZ26" s="25"/>
      <c r="PJA26" s="25"/>
      <c r="PJB26" s="25"/>
      <c r="PJC26" s="25"/>
      <c r="PJD26" s="25"/>
      <c r="PJE26" s="25"/>
      <c r="PJF26" s="25"/>
      <c r="PJG26" s="25"/>
      <c r="PJH26" s="25"/>
      <c r="PJI26" s="25"/>
      <c r="PJJ26" s="25"/>
      <c r="PJK26" s="25"/>
      <c r="PJL26" s="25"/>
      <c r="PJM26" s="25"/>
      <c r="PJN26" s="25"/>
      <c r="PJO26" s="25"/>
      <c r="PJP26" s="25"/>
      <c r="PJQ26" s="25"/>
      <c r="PJR26" s="25"/>
      <c r="PJS26" s="25"/>
      <c r="PJT26" s="25"/>
      <c r="PJU26" s="25"/>
      <c r="PJV26" s="25"/>
      <c r="PJW26" s="25"/>
      <c r="PJX26" s="25"/>
      <c r="PJY26" s="25"/>
      <c r="PJZ26" s="25"/>
      <c r="PKA26" s="25"/>
      <c r="PKB26" s="25"/>
      <c r="PKC26" s="25"/>
      <c r="PKD26" s="25"/>
      <c r="PKE26" s="25"/>
      <c r="PKF26" s="25"/>
      <c r="PKG26" s="25"/>
      <c r="PKH26" s="25"/>
      <c r="PKI26" s="25"/>
      <c r="PKJ26" s="25"/>
      <c r="PKK26" s="25"/>
      <c r="PKL26" s="25"/>
      <c r="PKM26" s="25"/>
      <c r="PKN26" s="25"/>
      <c r="PKO26" s="25"/>
      <c r="PKP26" s="25"/>
      <c r="PKQ26" s="25"/>
      <c r="PKR26" s="25"/>
      <c r="PKS26" s="25"/>
      <c r="PKT26" s="25"/>
      <c r="PKU26" s="25"/>
      <c r="PKV26" s="25"/>
      <c r="PKW26" s="25"/>
      <c r="PKX26" s="25"/>
      <c r="PKY26" s="25"/>
      <c r="PKZ26" s="25"/>
      <c r="PLA26" s="25"/>
      <c r="PLB26" s="25"/>
      <c r="PLC26" s="25"/>
      <c r="PLD26" s="25"/>
      <c r="PLE26" s="25"/>
      <c r="PLF26" s="25"/>
      <c r="PLG26" s="25"/>
      <c r="PLH26" s="25"/>
      <c r="PLI26" s="25"/>
      <c r="PLJ26" s="25"/>
      <c r="PLK26" s="25"/>
      <c r="PLL26" s="25"/>
      <c r="PLM26" s="25"/>
      <c r="PLN26" s="25"/>
      <c r="PLO26" s="25"/>
      <c r="PLP26" s="25"/>
      <c r="PLQ26" s="25"/>
      <c r="PLR26" s="25"/>
      <c r="PLS26" s="25"/>
      <c r="PLT26" s="25"/>
      <c r="PLU26" s="25"/>
      <c r="PLV26" s="25"/>
      <c r="PLW26" s="25"/>
      <c r="PLX26" s="25"/>
      <c r="PLY26" s="25"/>
      <c r="PLZ26" s="25"/>
      <c r="PMA26" s="25"/>
      <c r="PMB26" s="25"/>
      <c r="PMC26" s="25"/>
      <c r="PMD26" s="25"/>
      <c r="PME26" s="25"/>
      <c r="PMF26" s="25"/>
      <c r="PMG26" s="25"/>
      <c r="PMH26" s="25"/>
      <c r="PMI26" s="25"/>
      <c r="PMJ26" s="25"/>
      <c r="PMK26" s="25"/>
      <c r="PML26" s="25"/>
      <c r="PMM26" s="25"/>
      <c r="PMN26" s="25"/>
      <c r="PMO26" s="25"/>
      <c r="PMP26" s="25"/>
      <c r="PMQ26" s="25"/>
      <c r="PMR26" s="25"/>
      <c r="PMS26" s="25"/>
      <c r="PMT26" s="25"/>
      <c r="PMU26" s="25"/>
      <c r="PMV26" s="25"/>
      <c r="PMW26" s="25"/>
      <c r="PMX26" s="25"/>
      <c r="PMY26" s="25"/>
      <c r="PMZ26" s="25"/>
      <c r="PNA26" s="25"/>
      <c r="PNB26" s="25"/>
      <c r="PNC26" s="25"/>
      <c r="PND26" s="25"/>
      <c r="PNE26" s="25"/>
      <c r="PNF26" s="25"/>
      <c r="PNG26" s="25"/>
      <c r="PNH26" s="25"/>
      <c r="PNI26" s="25"/>
      <c r="PNJ26" s="25"/>
      <c r="PNK26" s="25"/>
      <c r="PNL26" s="25"/>
      <c r="PNM26" s="25"/>
      <c r="PNN26" s="25"/>
      <c r="PNO26" s="25"/>
      <c r="PNP26" s="25"/>
      <c r="PNQ26" s="25"/>
      <c r="PNR26" s="25"/>
      <c r="PNS26" s="25"/>
      <c r="PNT26" s="25"/>
      <c r="PNU26" s="25"/>
      <c r="PNV26" s="25"/>
      <c r="PNW26" s="25"/>
      <c r="PNX26" s="25"/>
      <c r="PNY26" s="25"/>
      <c r="PNZ26" s="25"/>
      <c r="POA26" s="25"/>
      <c r="POB26" s="25"/>
      <c r="POC26" s="25"/>
      <c r="POD26" s="25"/>
      <c r="POE26" s="25"/>
      <c r="POF26" s="25"/>
      <c r="POG26" s="25"/>
      <c r="POH26" s="25"/>
      <c r="POI26" s="25"/>
      <c r="POJ26" s="25"/>
      <c r="POK26" s="25"/>
      <c r="POL26" s="25"/>
      <c r="POM26" s="25"/>
      <c r="PON26" s="25"/>
      <c r="POO26" s="25"/>
      <c r="POP26" s="25"/>
      <c r="POQ26" s="25"/>
      <c r="POR26" s="25"/>
      <c r="POS26" s="25"/>
      <c r="POT26" s="25"/>
      <c r="POU26" s="25"/>
      <c r="POV26" s="25"/>
      <c r="POW26" s="25"/>
      <c r="POX26" s="25"/>
      <c r="POY26" s="25"/>
      <c r="POZ26" s="25"/>
      <c r="PPA26" s="25"/>
      <c r="PPB26" s="25"/>
      <c r="PPC26" s="25"/>
      <c r="PPD26" s="25"/>
      <c r="PPE26" s="25"/>
      <c r="PPF26" s="25"/>
      <c r="PPG26" s="25"/>
      <c r="PPH26" s="25"/>
      <c r="PPI26" s="25"/>
      <c r="PPJ26" s="25"/>
      <c r="PPK26" s="25"/>
      <c r="PPL26" s="25"/>
      <c r="PPM26" s="25"/>
      <c r="PPN26" s="25"/>
      <c r="PPO26" s="25"/>
      <c r="PPP26" s="25"/>
      <c r="PPQ26" s="25"/>
      <c r="PPR26" s="25"/>
      <c r="PPS26" s="25"/>
      <c r="PPT26" s="25"/>
      <c r="PPU26" s="25"/>
      <c r="PPV26" s="25"/>
      <c r="PPW26" s="25"/>
      <c r="PPX26" s="25"/>
      <c r="PPY26" s="25"/>
      <c r="PPZ26" s="25"/>
      <c r="PQA26" s="25"/>
      <c r="PQB26" s="25"/>
      <c r="PQC26" s="25"/>
      <c r="PQD26" s="25"/>
      <c r="PQE26" s="25"/>
      <c r="PQF26" s="25"/>
      <c r="PQG26" s="25"/>
      <c r="PQH26" s="25"/>
      <c r="PQI26" s="25"/>
      <c r="PQJ26" s="25"/>
      <c r="PQK26" s="25"/>
      <c r="PQL26" s="25"/>
      <c r="PQM26" s="25"/>
      <c r="PQN26" s="25"/>
      <c r="PQO26" s="25"/>
      <c r="PQP26" s="25"/>
      <c r="PQQ26" s="25"/>
      <c r="PQR26" s="25"/>
      <c r="PQS26" s="25"/>
      <c r="PQT26" s="25"/>
      <c r="PQU26" s="25"/>
      <c r="PQV26" s="25"/>
      <c r="PQW26" s="25"/>
      <c r="PQX26" s="25"/>
      <c r="PQY26" s="25"/>
      <c r="PQZ26" s="25"/>
      <c r="PRA26" s="25"/>
      <c r="PRB26" s="25"/>
      <c r="PRC26" s="25"/>
      <c r="PRD26" s="25"/>
      <c r="PRE26" s="25"/>
      <c r="PRF26" s="25"/>
      <c r="PRG26" s="25"/>
      <c r="PRH26" s="25"/>
      <c r="PRI26" s="25"/>
      <c r="PRJ26" s="25"/>
      <c r="PRK26" s="25"/>
      <c r="PRL26" s="25"/>
      <c r="PRM26" s="25"/>
      <c r="PRN26" s="25"/>
      <c r="PRO26" s="25"/>
      <c r="PRP26" s="25"/>
      <c r="PRQ26" s="25"/>
      <c r="PRR26" s="25"/>
      <c r="PRS26" s="25"/>
      <c r="PRT26" s="25"/>
      <c r="PRU26" s="25"/>
      <c r="PRV26" s="25"/>
      <c r="PRW26" s="25"/>
      <c r="PRX26" s="25"/>
      <c r="PRY26" s="25"/>
      <c r="PRZ26" s="25"/>
      <c r="PSA26" s="25"/>
      <c r="PSB26" s="25"/>
      <c r="PSC26" s="25"/>
      <c r="PSD26" s="25"/>
      <c r="PSE26" s="25"/>
      <c r="PSF26" s="25"/>
      <c r="PSG26" s="25"/>
      <c r="PSH26" s="25"/>
      <c r="PSI26" s="25"/>
      <c r="PSJ26" s="25"/>
      <c r="PSK26" s="25"/>
      <c r="PSL26" s="25"/>
      <c r="PSM26" s="25"/>
      <c r="PSN26" s="25"/>
      <c r="PSO26" s="25"/>
      <c r="PSP26" s="25"/>
      <c r="PSQ26" s="25"/>
      <c r="PSR26" s="25"/>
      <c r="PSS26" s="25"/>
      <c r="PST26" s="25"/>
      <c r="PSU26" s="25"/>
      <c r="PSV26" s="25"/>
      <c r="PSW26" s="25"/>
      <c r="PSX26" s="25"/>
      <c r="PSY26" s="25"/>
      <c r="PSZ26" s="25"/>
      <c r="PTA26" s="25"/>
      <c r="PTB26" s="25"/>
      <c r="PTC26" s="25"/>
      <c r="PTD26" s="25"/>
      <c r="PTE26" s="25"/>
      <c r="PTF26" s="25"/>
      <c r="PTG26" s="25"/>
      <c r="PTH26" s="25"/>
      <c r="PTI26" s="25"/>
      <c r="PTJ26" s="25"/>
      <c r="PTK26" s="25"/>
      <c r="PTL26" s="25"/>
      <c r="PTM26" s="25"/>
      <c r="PTN26" s="25"/>
      <c r="PTO26" s="25"/>
      <c r="PTP26" s="25"/>
      <c r="PTQ26" s="25"/>
      <c r="PTR26" s="25"/>
      <c r="PTS26" s="25"/>
      <c r="PTT26" s="25"/>
      <c r="PTU26" s="25"/>
      <c r="PTV26" s="25"/>
      <c r="PTW26" s="25"/>
      <c r="PTX26" s="25"/>
      <c r="PTY26" s="25"/>
      <c r="PTZ26" s="25"/>
      <c r="PUA26" s="25"/>
      <c r="PUB26" s="25"/>
      <c r="PUC26" s="25"/>
      <c r="PUD26" s="25"/>
      <c r="PUE26" s="25"/>
      <c r="PUF26" s="25"/>
      <c r="PUG26" s="25"/>
      <c r="PUH26" s="25"/>
      <c r="PUI26" s="25"/>
      <c r="PUJ26" s="25"/>
      <c r="PUK26" s="25"/>
      <c r="PUL26" s="25"/>
      <c r="PUM26" s="25"/>
      <c r="PUN26" s="25"/>
      <c r="PUO26" s="25"/>
      <c r="PUP26" s="25"/>
      <c r="PUQ26" s="25"/>
      <c r="PUR26" s="25"/>
      <c r="PUS26" s="25"/>
      <c r="PUT26" s="25"/>
      <c r="PUU26" s="25"/>
      <c r="PUV26" s="25"/>
      <c r="PUW26" s="25"/>
      <c r="PUX26" s="25"/>
      <c r="PUY26" s="25"/>
      <c r="PUZ26" s="25"/>
      <c r="PVA26" s="25"/>
      <c r="PVB26" s="25"/>
      <c r="PVC26" s="25"/>
      <c r="PVD26" s="25"/>
      <c r="PVE26" s="25"/>
      <c r="PVF26" s="25"/>
      <c r="PVG26" s="25"/>
      <c r="PVH26" s="25"/>
      <c r="PVI26" s="25"/>
      <c r="PVJ26" s="25"/>
      <c r="PVK26" s="25"/>
      <c r="PVL26" s="25"/>
      <c r="PVM26" s="25"/>
      <c r="PVN26" s="25"/>
      <c r="PVO26" s="25"/>
      <c r="PVP26" s="25"/>
      <c r="PVQ26" s="25"/>
      <c r="PVR26" s="25"/>
      <c r="PVS26" s="25"/>
      <c r="PVT26" s="25"/>
      <c r="PVU26" s="25"/>
      <c r="PVV26" s="25"/>
      <c r="PVW26" s="25"/>
      <c r="PVX26" s="25"/>
      <c r="PVY26" s="25"/>
      <c r="PVZ26" s="25"/>
      <c r="PWA26" s="25"/>
      <c r="PWB26" s="25"/>
      <c r="PWC26" s="25"/>
      <c r="PWD26" s="25"/>
      <c r="PWE26" s="25"/>
      <c r="PWF26" s="25"/>
      <c r="PWG26" s="25"/>
      <c r="PWH26" s="25"/>
      <c r="PWI26" s="25"/>
      <c r="PWJ26" s="25"/>
      <c r="PWK26" s="25"/>
      <c r="PWL26" s="25"/>
      <c r="PWM26" s="25"/>
      <c r="PWN26" s="25"/>
      <c r="PWO26" s="25"/>
      <c r="PWP26" s="25"/>
      <c r="PWQ26" s="25"/>
      <c r="PWR26" s="25"/>
      <c r="PWS26" s="25"/>
      <c r="PWT26" s="25"/>
      <c r="PWU26" s="25"/>
      <c r="PWV26" s="25"/>
      <c r="PWW26" s="25"/>
      <c r="PWX26" s="25"/>
      <c r="PWY26" s="25"/>
      <c r="PWZ26" s="25"/>
      <c r="PXA26" s="25"/>
      <c r="PXB26" s="25"/>
      <c r="PXC26" s="25"/>
      <c r="PXD26" s="25"/>
      <c r="PXE26" s="25"/>
      <c r="PXF26" s="25"/>
      <c r="PXG26" s="25"/>
      <c r="PXH26" s="25"/>
      <c r="PXI26" s="25"/>
      <c r="PXJ26" s="25"/>
      <c r="PXK26" s="25"/>
      <c r="PXL26" s="25"/>
      <c r="PXM26" s="25"/>
      <c r="PXN26" s="25"/>
      <c r="PXO26" s="25"/>
      <c r="PXP26" s="25"/>
      <c r="PXQ26" s="25"/>
      <c r="PXR26" s="25"/>
      <c r="PXS26" s="25"/>
      <c r="PXT26" s="25"/>
      <c r="PXU26" s="25"/>
      <c r="PXV26" s="25"/>
      <c r="PXW26" s="25"/>
      <c r="PXX26" s="25"/>
      <c r="PXY26" s="25"/>
      <c r="PXZ26" s="25"/>
      <c r="PYA26" s="25"/>
      <c r="PYB26" s="25"/>
      <c r="PYC26" s="25"/>
      <c r="PYD26" s="25"/>
      <c r="PYE26" s="25"/>
      <c r="PYF26" s="25"/>
      <c r="PYG26" s="25"/>
      <c r="PYH26" s="25"/>
      <c r="PYI26" s="25"/>
      <c r="PYJ26" s="25"/>
      <c r="PYK26" s="25"/>
      <c r="PYL26" s="25"/>
      <c r="PYM26" s="25"/>
      <c r="PYN26" s="25"/>
      <c r="PYO26" s="25"/>
      <c r="PYP26" s="25"/>
      <c r="PYQ26" s="25"/>
      <c r="PYR26" s="25"/>
      <c r="PYS26" s="25"/>
      <c r="PYT26" s="25"/>
      <c r="PYU26" s="25"/>
      <c r="PYV26" s="25"/>
      <c r="PYW26" s="25"/>
      <c r="PYX26" s="25"/>
      <c r="PYY26" s="25"/>
      <c r="PYZ26" s="25"/>
      <c r="PZA26" s="25"/>
      <c r="PZB26" s="25"/>
      <c r="PZC26" s="25"/>
      <c r="PZD26" s="25"/>
      <c r="PZE26" s="25"/>
      <c r="PZF26" s="25"/>
      <c r="PZG26" s="25"/>
      <c r="PZH26" s="25"/>
      <c r="PZI26" s="25"/>
      <c r="PZJ26" s="25"/>
      <c r="PZK26" s="25"/>
      <c r="PZL26" s="25"/>
      <c r="PZM26" s="25"/>
      <c r="PZN26" s="25"/>
      <c r="PZO26" s="25"/>
      <c r="PZP26" s="25"/>
      <c r="PZQ26" s="25"/>
      <c r="PZR26" s="25"/>
      <c r="PZS26" s="25"/>
      <c r="PZT26" s="25"/>
      <c r="PZU26" s="25"/>
      <c r="PZV26" s="25"/>
      <c r="PZW26" s="25"/>
      <c r="PZX26" s="25"/>
      <c r="PZY26" s="25"/>
      <c r="PZZ26" s="25"/>
      <c r="QAA26" s="25"/>
      <c r="QAB26" s="25"/>
      <c r="QAC26" s="25"/>
      <c r="QAD26" s="25"/>
      <c r="QAE26" s="25"/>
      <c r="QAF26" s="25"/>
      <c r="QAG26" s="25"/>
      <c r="QAH26" s="25"/>
      <c r="QAI26" s="25"/>
      <c r="QAJ26" s="25"/>
      <c r="QAK26" s="25"/>
      <c r="QAL26" s="25"/>
      <c r="QAM26" s="25"/>
      <c r="QAN26" s="25"/>
      <c r="QAO26" s="25"/>
      <c r="QAP26" s="25"/>
      <c r="QAQ26" s="25"/>
      <c r="QAR26" s="25"/>
      <c r="QAS26" s="25"/>
      <c r="QAT26" s="25"/>
      <c r="QAU26" s="25"/>
      <c r="QAV26" s="25"/>
      <c r="QAW26" s="25"/>
      <c r="QAX26" s="25"/>
      <c r="QAY26" s="25"/>
      <c r="QAZ26" s="25"/>
      <c r="QBA26" s="25"/>
      <c r="QBB26" s="25"/>
      <c r="QBC26" s="25"/>
      <c r="QBD26" s="25"/>
      <c r="QBE26" s="25"/>
      <c r="QBF26" s="25"/>
      <c r="QBG26" s="25"/>
      <c r="QBH26" s="25"/>
      <c r="QBI26" s="25"/>
      <c r="QBJ26" s="25"/>
      <c r="QBK26" s="25"/>
      <c r="QBL26" s="25"/>
      <c r="QBM26" s="25"/>
      <c r="QBN26" s="25"/>
      <c r="QBO26" s="25"/>
      <c r="QBP26" s="25"/>
      <c r="QBQ26" s="25"/>
      <c r="QBR26" s="25"/>
      <c r="QBS26" s="25"/>
      <c r="QBT26" s="25"/>
      <c r="QBU26" s="25"/>
      <c r="QBV26" s="25"/>
      <c r="QBW26" s="25"/>
      <c r="QBX26" s="25"/>
      <c r="QBY26" s="25"/>
      <c r="QBZ26" s="25"/>
      <c r="QCA26" s="25"/>
      <c r="QCB26" s="25"/>
      <c r="QCC26" s="25"/>
      <c r="QCD26" s="25"/>
      <c r="QCE26" s="25"/>
      <c r="QCF26" s="25"/>
      <c r="QCG26" s="25"/>
      <c r="QCH26" s="25"/>
      <c r="QCI26" s="25"/>
      <c r="QCJ26" s="25"/>
      <c r="QCK26" s="25"/>
      <c r="QCL26" s="25"/>
      <c r="QCM26" s="25"/>
      <c r="QCN26" s="25"/>
      <c r="QCO26" s="25"/>
      <c r="QCP26" s="25"/>
      <c r="QCQ26" s="25"/>
      <c r="QCR26" s="25"/>
      <c r="QCS26" s="25"/>
      <c r="QCT26" s="25"/>
      <c r="QCU26" s="25"/>
      <c r="QCV26" s="25"/>
      <c r="QCW26" s="25"/>
      <c r="QCX26" s="25"/>
      <c r="QCY26" s="25"/>
      <c r="QCZ26" s="25"/>
      <c r="QDA26" s="25"/>
      <c r="QDB26" s="25"/>
      <c r="QDC26" s="25"/>
      <c r="QDD26" s="25"/>
      <c r="QDE26" s="25"/>
      <c r="QDF26" s="25"/>
      <c r="QDG26" s="25"/>
      <c r="QDH26" s="25"/>
      <c r="QDI26" s="25"/>
      <c r="QDJ26" s="25"/>
      <c r="QDK26" s="25"/>
      <c r="QDL26" s="25"/>
      <c r="QDM26" s="25"/>
      <c r="QDN26" s="25"/>
      <c r="QDO26" s="25"/>
      <c r="QDP26" s="25"/>
      <c r="QDQ26" s="25"/>
      <c r="QDR26" s="25"/>
      <c r="QDS26" s="25"/>
      <c r="QDT26" s="25"/>
      <c r="QDU26" s="25"/>
      <c r="QDV26" s="25"/>
      <c r="QDW26" s="25"/>
      <c r="QDX26" s="25"/>
      <c r="QDY26" s="25"/>
      <c r="QDZ26" s="25"/>
      <c r="QEA26" s="25"/>
      <c r="QEB26" s="25"/>
      <c r="QEC26" s="25"/>
      <c r="QED26" s="25"/>
      <c r="QEE26" s="25"/>
      <c r="QEF26" s="25"/>
      <c r="QEG26" s="25"/>
      <c r="QEH26" s="25"/>
      <c r="QEI26" s="25"/>
      <c r="QEJ26" s="25"/>
      <c r="QEK26" s="25"/>
      <c r="QEL26" s="25"/>
      <c r="QEM26" s="25"/>
      <c r="QEN26" s="25"/>
      <c r="QEO26" s="25"/>
      <c r="QEP26" s="25"/>
      <c r="QEQ26" s="25"/>
      <c r="QER26" s="25"/>
      <c r="QES26" s="25"/>
      <c r="QET26" s="25"/>
      <c r="QEU26" s="25"/>
      <c r="QEV26" s="25"/>
      <c r="QEW26" s="25"/>
      <c r="QEX26" s="25"/>
      <c r="QEY26" s="25"/>
      <c r="QEZ26" s="25"/>
      <c r="QFA26" s="25"/>
      <c r="QFB26" s="25"/>
      <c r="QFC26" s="25"/>
      <c r="QFD26" s="25"/>
      <c r="QFE26" s="25"/>
      <c r="QFF26" s="25"/>
      <c r="QFG26" s="25"/>
      <c r="QFH26" s="25"/>
      <c r="QFI26" s="25"/>
      <c r="QFJ26" s="25"/>
      <c r="QFK26" s="25"/>
      <c r="QFL26" s="25"/>
      <c r="QFM26" s="25"/>
      <c r="QFN26" s="25"/>
      <c r="QFO26" s="25"/>
      <c r="QFP26" s="25"/>
      <c r="QFQ26" s="25"/>
      <c r="QFR26" s="25"/>
      <c r="QFS26" s="25"/>
      <c r="QFT26" s="25"/>
      <c r="QFU26" s="25"/>
      <c r="QFV26" s="25"/>
      <c r="QFW26" s="25"/>
      <c r="QFX26" s="25"/>
      <c r="QFY26" s="25"/>
      <c r="QFZ26" s="25"/>
      <c r="QGA26" s="25"/>
      <c r="QGB26" s="25"/>
      <c r="QGC26" s="25"/>
      <c r="QGD26" s="25"/>
      <c r="QGE26" s="25"/>
      <c r="QGF26" s="25"/>
      <c r="QGG26" s="25"/>
      <c r="QGH26" s="25"/>
      <c r="QGI26" s="25"/>
      <c r="QGJ26" s="25"/>
      <c r="QGK26" s="25"/>
      <c r="QGL26" s="25"/>
      <c r="QGM26" s="25"/>
      <c r="QGN26" s="25"/>
      <c r="QGO26" s="25"/>
      <c r="QGP26" s="25"/>
      <c r="QGQ26" s="25"/>
      <c r="QGR26" s="25"/>
      <c r="QGS26" s="25"/>
      <c r="QGT26" s="25"/>
      <c r="QGU26" s="25"/>
      <c r="QGV26" s="25"/>
      <c r="QGW26" s="25"/>
      <c r="QGX26" s="25"/>
      <c r="QGY26" s="25"/>
      <c r="QGZ26" s="25"/>
      <c r="QHA26" s="25"/>
      <c r="QHB26" s="25"/>
      <c r="QHC26" s="25"/>
      <c r="QHD26" s="25"/>
      <c r="QHE26" s="25"/>
      <c r="QHF26" s="25"/>
      <c r="QHG26" s="25"/>
      <c r="QHH26" s="25"/>
      <c r="QHI26" s="25"/>
      <c r="QHJ26" s="25"/>
      <c r="QHK26" s="25"/>
      <c r="QHL26" s="25"/>
      <c r="QHM26" s="25"/>
      <c r="QHN26" s="25"/>
      <c r="QHO26" s="25"/>
      <c r="QHP26" s="25"/>
      <c r="QHQ26" s="25"/>
      <c r="QHR26" s="25"/>
      <c r="QHS26" s="25"/>
      <c r="QHT26" s="25"/>
      <c r="QHU26" s="25"/>
      <c r="QHV26" s="25"/>
      <c r="QHW26" s="25"/>
      <c r="QHX26" s="25"/>
      <c r="QHY26" s="25"/>
      <c r="QHZ26" s="25"/>
      <c r="QIA26" s="25"/>
      <c r="QIB26" s="25"/>
      <c r="QIC26" s="25"/>
      <c r="QID26" s="25"/>
      <c r="QIE26" s="25"/>
      <c r="QIF26" s="25"/>
      <c r="QIG26" s="25"/>
      <c r="QIH26" s="25"/>
      <c r="QII26" s="25"/>
      <c r="QIJ26" s="25"/>
      <c r="QIK26" s="25"/>
      <c r="QIL26" s="25"/>
      <c r="QIM26" s="25"/>
      <c r="QIN26" s="25"/>
      <c r="QIO26" s="25"/>
      <c r="QIP26" s="25"/>
      <c r="QIQ26" s="25"/>
      <c r="QIR26" s="25"/>
      <c r="QIS26" s="25"/>
      <c r="QIT26" s="25"/>
      <c r="QIU26" s="25"/>
      <c r="QIV26" s="25"/>
      <c r="QIW26" s="25"/>
      <c r="QIX26" s="25"/>
      <c r="QIY26" s="25"/>
      <c r="QIZ26" s="25"/>
      <c r="QJA26" s="25"/>
      <c r="QJB26" s="25"/>
      <c r="QJC26" s="25"/>
      <c r="QJD26" s="25"/>
      <c r="QJE26" s="25"/>
      <c r="QJF26" s="25"/>
      <c r="QJG26" s="25"/>
      <c r="QJH26" s="25"/>
      <c r="QJI26" s="25"/>
      <c r="QJJ26" s="25"/>
      <c r="QJK26" s="25"/>
      <c r="QJL26" s="25"/>
      <c r="QJM26" s="25"/>
      <c r="QJN26" s="25"/>
      <c r="QJO26" s="25"/>
      <c r="QJP26" s="25"/>
      <c r="QJQ26" s="25"/>
      <c r="QJR26" s="25"/>
      <c r="QJS26" s="25"/>
      <c r="QJT26" s="25"/>
      <c r="QJU26" s="25"/>
      <c r="QJV26" s="25"/>
      <c r="QJW26" s="25"/>
      <c r="QJX26" s="25"/>
      <c r="QJY26" s="25"/>
      <c r="QJZ26" s="25"/>
      <c r="QKA26" s="25"/>
      <c r="QKB26" s="25"/>
      <c r="QKC26" s="25"/>
      <c r="QKD26" s="25"/>
      <c r="QKE26" s="25"/>
      <c r="QKF26" s="25"/>
      <c r="QKG26" s="25"/>
      <c r="QKH26" s="25"/>
      <c r="QKI26" s="25"/>
      <c r="QKJ26" s="25"/>
      <c r="QKK26" s="25"/>
      <c r="QKL26" s="25"/>
      <c r="QKM26" s="25"/>
      <c r="QKN26" s="25"/>
      <c r="QKO26" s="25"/>
      <c r="QKP26" s="25"/>
      <c r="QKQ26" s="25"/>
      <c r="QKR26" s="25"/>
      <c r="QKS26" s="25"/>
      <c r="QKT26" s="25"/>
      <c r="QKU26" s="25"/>
      <c r="QKV26" s="25"/>
      <c r="QKW26" s="25"/>
      <c r="QKX26" s="25"/>
      <c r="QKY26" s="25"/>
      <c r="QKZ26" s="25"/>
      <c r="QLA26" s="25"/>
      <c r="QLB26" s="25"/>
      <c r="QLC26" s="25"/>
      <c r="QLD26" s="25"/>
      <c r="QLE26" s="25"/>
      <c r="QLF26" s="25"/>
      <c r="QLG26" s="25"/>
      <c r="QLH26" s="25"/>
      <c r="QLI26" s="25"/>
      <c r="QLJ26" s="25"/>
      <c r="QLK26" s="25"/>
      <c r="QLL26" s="25"/>
      <c r="QLM26" s="25"/>
      <c r="QLN26" s="25"/>
      <c r="QLO26" s="25"/>
      <c r="QLP26" s="25"/>
      <c r="QLQ26" s="25"/>
      <c r="QLR26" s="25"/>
      <c r="QLS26" s="25"/>
      <c r="QLT26" s="25"/>
      <c r="QLU26" s="25"/>
      <c r="QLV26" s="25"/>
      <c r="QLW26" s="25"/>
      <c r="QLX26" s="25"/>
      <c r="QLY26" s="25"/>
      <c r="QLZ26" s="25"/>
      <c r="QMA26" s="25"/>
      <c r="QMB26" s="25"/>
      <c r="QMC26" s="25"/>
      <c r="QMD26" s="25"/>
      <c r="QME26" s="25"/>
      <c r="QMF26" s="25"/>
      <c r="QMG26" s="25"/>
      <c r="QMH26" s="25"/>
      <c r="QMI26" s="25"/>
      <c r="QMJ26" s="25"/>
      <c r="QMK26" s="25"/>
      <c r="QML26" s="25"/>
      <c r="QMM26" s="25"/>
      <c r="QMN26" s="25"/>
      <c r="QMO26" s="25"/>
      <c r="QMP26" s="25"/>
      <c r="QMQ26" s="25"/>
      <c r="QMR26" s="25"/>
      <c r="QMS26" s="25"/>
      <c r="QMT26" s="25"/>
      <c r="QMU26" s="25"/>
      <c r="QMV26" s="25"/>
      <c r="QMW26" s="25"/>
      <c r="QMX26" s="25"/>
      <c r="QMY26" s="25"/>
      <c r="QMZ26" s="25"/>
      <c r="QNA26" s="25"/>
      <c r="QNB26" s="25"/>
      <c r="QNC26" s="25"/>
      <c r="QND26" s="25"/>
      <c r="QNE26" s="25"/>
      <c r="QNF26" s="25"/>
      <c r="QNG26" s="25"/>
      <c r="QNH26" s="25"/>
      <c r="QNI26" s="25"/>
      <c r="QNJ26" s="25"/>
      <c r="QNK26" s="25"/>
      <c r="QNL26" s="25"/>
      <c r="QNM26" s="25"/>
      <c r="QNN26" s="25"/>
      <c r="QNO26" s="25"/>
      <c r="QNP26" s="25"/>
      <c r="QNQ26" s="25"/>
      <c r="QNR26" s="25"/>
      <c r="QNS26" s="25"/>
      <c r="QNT26" s="25"/>
      <c r="QNU26" s="25"/>
      <c r="QNV26" s="25"/>
      <c r="QNW26" s="25"/>
      <c r="QNX26" s="25"/>
      <c r="QNY26" s="25"/>
      <c r="QNZ26" s="25"/>
      <c r="QOA26" s="25"/>
      <c r="QOB26" s="25"/>
      <c r="QOC26" s="25"/>
      <c r="QOD26" s="25"/>
      <c r="QOE26" s="25"/>
      <c r="QOF26" s="25"/>
      <c r="QOG26" s="25"/>
      <c r="QOH26" s="25"/>
      <c r="QOI26" s="25"/>
      <c r="QOJ26" s="25"/>
      <c r="QOK26" s="25"/>
      <c r="QOL26" s="25"/>
      <c r="QOM26" s="25"/>
      <c r="QON26" s="25"/>
      <c r="QOO26" s="25"/>
      <c r="QOP26" s="25"/>
      <c r="QOQ26" s="25"/>
      <c r="QOR26" s="25"/>
      <c r="QOS26" s="25"/>
      <c r="QOT26" s="25"/>
      <c r="QOU26" s="25"/>
      <c r="QOV26" s="25"/>
      <c r="QOW26" s="25"/>
      <c r="QOX26" s="25"/>
      <c r="QOY26" s="25"/>
      <c r="QOZ26" s="25"/>
      <c r="QPA26" s="25"/>
      <c r="QPB26" s="25"/>
      <c r="QPC26" s="25"/>
      <c r="QPD26" s="25"/>
      <c r="QPE26" s="25"/>
      <c r="QPF26" s="25"/>
      <c r="QPG26" s="25"/>
      <c r="QPH26" s="25"/>
      <c r="QPI26" s="25"/>
      <c r="QPJ26" s="25"/>
      <c r="QPK26" s="25"/>
      <c r="QPL26" s="25"/>
      <c r="QPM26" s="25"/>
      <c r="QPN26" s="25"/>
      <c r="QPO26" s="25"/>
      <c r="QPP26" s="25"/>
      <c r="QPQ26" s="25"/>
      <c r="QPR26" s="25"/>
      <c r="QPS26" s="25"/>
      <c r="QPT26" s="25"/>
      <c r="QPU26" s="25"/>
      <c r="QPV26" s="25"/>
      <c r="QPW26" s="25"/>
      <c r="QPX26" s="25"/>
      <c r="QPY26" s="25"/>
      <c r="QPZ26" s="25"/>
      <c r="QQA26" s="25"/>
      <c r="QQB26" s="25"/>
      <c r="QQC26" s="25"/>
      <c r="QQD26" s="25"/>
      <c r="QQE26" s="25"/>
      <c r="QQF26" s="25"/>
      <c r="QQG26" s="25"/>
      <c r="QQH26" s="25"/>
      <c r="QQI26" s="25"/>
      <c r="QQJ26" s="25"/>
      <c r="QQK26" s="25"/>
      <c r="QQL26" s="25"/>
      <c r="QQM26" s="25"/>
      <c r="QQN26" s="25"/>
      <c r="QQO26" s="25"/>
      <c r="QQP26" s="25"/>
      <c r="QQQ26" s="25"/>
      <c r="QQR26" s="25"/>
      <c r="QQS26" s="25"/>
      <c r="QQT26" s="25"/>
      <c r="QQU26" s="25"/>
      <c r="QQV26" s="25"/>
      <c r="QQW26" s="25"/>
      <c r="QQX26" s="25"/>
      <c r="QQY26" s="25"/>
      <c r="QQZ26" s="25"/>
      <c r="QRA26" s="25"/>
      <c r="QRB26" s="25"/>
      <c r="QRC26" s="25"/>
      <c r="QRD26" s="25"/>
      <c r="QRE26" s="25"/>
      <c r="QRF26" s="25"/>
      <c r="QRG26" s="25"/>
      <c r="QRH26" s="25"/>
      <c r="QRI26" s="25"/>
      <c r="QRJ26" s="25"/>
      <c r="QRK26" s="25"/>
      <c r="QRL26" s="25"/>
      <c r="QRM26" s="25"/>
      <c r="QRN26" s="25"/>
      <c r="QRO26" s="25"/>
      <c r="QRP26" s="25"/>
      <c r="QRQ26" s="25"/>
      <c r="QRR26" s="25"/>
      <c r="QRS26" s="25"/>
      <c r="QRT26" s="25"/>
      <c r="QRU26" s="25"/>
      <c r="QRV26" s="25"/>
      <c r="QRW26" s="25"/>
      <c r="QRX26" s="25"/>
      <c r="QRY26" s="25"/>
      <c r="QRZ26" s="25"/>
      <c r="QSA26" s="25"/>
      <c r="QSB26" s="25"/>
      <c r="QSC26" s="25"/>
      <c r="QSD26" s="25"/>
      <c r="QSE26" s="25"/>
      <c r="QSF26" s="25"/>
      <c r="QSG26" s="25"/>
      <c r="QSH26" s="25"/>
      <c r="QSI26" s="25"/>
      <c r="QSJ26" s="25"/>
      <c r="QSK26" s="25"/>
      <c r="QSL26" s="25"/>
      <c r="QSM26" s="25"/>
      <c r="QSN26" s="25"/>
      <c r="QSO26" s="25"/>
      <c r="QSP26" s="25"/>
      <c r="QSQ26" s="25"/>
      <c r="QSR26" s="25"/>
      <c r="QSS26" s="25"/>
      <c r="QST26" s="25"/>
      <c r="QSU26" s="25"/>
      <c r="QSV26" s="25"/>
      <c r="QSW26" s="25"/>
      <c r="QSX26" s="25"/>
      <c r="QSY26" s="25"/>
      <c r="QSZ26" s="25"/>
      <c r="QTA26" s="25"/>
      <c r="QTB26" s="25"/>
      <c r="QTC26" s="25"/>
      <c r="QTD26" s="25"/>
      <c r="QTE26" s="25"/>
      <c r="QTF26" s="25"/>
      <c r="QTG26" s="25"/>
      <c r="QTH26" s="25"/>
      <c r="QTI26" s="25"/>
      <c r="QTJ26" s="25"/>
      <c r="QTK26" s="25"/>
      <c r="QTL26" s="25"/>
      <c r="QTM26" s="25"/>
      <c r="QTN26" s="25"/>
      <c r="QTO26" s="25"/>
      <c r="QTP26" s="25"/>
      <c r="QTQ26" s="25"/>
      <c r="QTR26" s="25"/>
      <c r="QTS26" s="25"/>
      <c r="QTT26" s="25"/>
      <c r="QTU26" s="25"/>
      <c r="QTV26" s="25"/>
      <c r="QTW26" s="25"/>
      <c r="QTX26" s="25"/>
      <c r="QTY26" s="25"/>
      <c r="QTZ26" s="25"/>
      <c r="QUA26" s="25"/>
      <c r="QUB26" s="25"/>
      <c r="QUC26" s="25"/>
      <c r="QUD26" s="25"/>
      <c r="QUE26" s="25"/>
      <c r="QUF26" s="25"/>
      <c r="QUG26" s="25"/>
      <c r="QUH26" s="25"/>
      <c r="QUI26" s="25"/>
      <c r="QUJ26" s="25"/>
      <c r="QUK26" s="25"/>
      <c r="QUL26" s="25"/>
      <c r="QUM26" s="25"/>
      <c r="QUN26" s="25"/>
      <c r="QUO26" s="25"/>
      <c r="QUP26" s="25"/>
      <c r="QUQ26" s="25"/>
      <c r="QUR26" s="25"/>
      <c r="QUS26" s="25"/>
      <c r="QUT26" s="25"/>
      <c r="QUU26" s="25"/>
      <c r="QUV26" s="25"/>
      <c r="QUW26" s="25"/>
      <c r="QUX26" s="25"/>
      <c r="QUY26" s="25"/>
      <c r="QUZ26" s="25"/>
      <c r="QVA26" s="25"/>
      <c r="QVB26" s="25"/>
      <c r="QVC26" s="25"/>
      <c r="QVD26" s="25"/>
      <c r="QVE26" s="25"/>
      <c r="QVF26" s="25"/>
      <c r="QVG26" s="25"/>
      <c r="QVH26" s="25"/>
      <c r="QVI26" s="25"/>
      <c r="QVJ26" s="25"/>
      <c r="QVK26" s="25"/>
      <c r="QVL26" s="25"/>
      <c r="QVM26" s="25"/>
      <c r="QVN26" s="25"/>
      <c r="QVO26" s="25"/>
      <c r="QVP26" s="25"/>
      <c r="QVQ26" s="25"/>
      <c r="QVR26" s="25"/>
      <c r="QVS26" s="25"/>
      <c r="QVT26" s="25"/>
      <c r="QVU26" s="25"/>
      <c r="QVV26" s="25"/>
      <c r="QVW26" s="25"/>
      <c r="QVX26" s="25"/>
      <c r="QVY26" s="25"/>
      <c r="QVZ26" s="25"/>
      <c r="QWA26" s="25"/>
      <c r="QWB26" s="25"/>
      <c r="QWC26" s="25"/>
      <c r="QWD26" s="25"/>
      <c r="QWE26" s="25"/>
      <c r="QWF26" s="25"/>
      <c r="QWG26" s="25"/>
      <c r="QWH26" s="25"/>
      <c r="QWI26" s="25"/>
      <c r="QWJ26" s="25"/>
      <c r="QWK26" s="25"/>
      <c r="QWL26" s="25"/>
      <c r="QWM26" s="25"/>
      <c r="QWN26" s="25"/>
      <c r="QWO26" s="25"/>
      <c r="QWP26" s="25"/>
      <c r="QWQ26" s="25"/>
      <c r="QWR26" s="25"/>
      <c r="QWS26" s="25"/>
      <c r="QWT26" s="25"/>
      <c r="QWU26" s="25"/>
      <c r="QWV26" s="25"/>
      <c r="QWW26" s="25"/>
      <c r="QWX26" s="25"/>
      <c r="QWY26" s="25"/>
      <c r="QWZ26" s="25"/>
      <c r="QXA26" s="25"/>
      <c r="QXB26" s="25"/>
      <c r="QXC26" s="25"/>
      <c r="QXD26" s="25"/>
      <c r="QXE26" s="25"/>
      <c r="QXF26" s="25"/>
      <c r="QXG26" s="25"/>
      <c r="QXH26" s="25"/>
      <c r="QXI26" s="25"/>
      <c r="QXJ26" s="25"/>
      <c r="QXK26" s="25"/>
      <c r="QXL26" s="25"/>
      <c r="QXM26" s="25"/>
      <c r="QXN26" s="25"/>
      <c r="QXO26" s="25"/>
      <c r="QXP26" s="25"/>
      <c r="QXQ26" s="25"/>
      <c r="QXR26" s="25"/>
      <c r="QXS26" s="25"/>
      <c r="QXT26" s="25"/>
      <c r="QXU26" s="25"/>
      <c r="QXV26" s="25"/>
      <c r="QXW26" s="25"/>
      <c r="QXX26" s="25"/>
      <c r="QXY26" s="25"/>
      <c r="QXZ26" s="25"/>
      <c r="QYA26" s="25"/>
      <c r="QYB26" s="25"/>
      <c r="QYC26" s="25"/>
      <c r="QYD26" s="25"/>
      <c r="QYE26" s="25"/>
      <c r="QYF26" s="25"/>
      <c r="QYG26" s="25"/>
      <c r="QYH26" s="25"/>
      <c r="QYI26" s="25"/>
      <c r="QYJ26" s="25"/>
      <c r="QYK26" s="25"/>
      <c r="QYL26" s="25"/>
      <c r="QYM26" s="25"/>
      <c r="QYN26" s="25"/>
      <c r="QYO26" s="25"/>
      <c r="QYP26" s="25"/>
      <c r="QYQ26" s="25"/>
      <c r="QYR26" s="25"/>
      <c r="QYS26" s="25"/>
      <c r="QYT26" s="25"/>
      <c r="QYU26" s="25"/>
      <c r="QYV26" s="25"/>
      <c r="QYW26" s="25"/>
      <c r="QYX26" s="25"/>
      <c r="QYY26" s="25"/>
      <c r="QYZ26" s="25"/>
      <c r="QZA26" s="25"/>
      <c r="QZB26" s="25"/>
      <c r="QZC26" s="25"/>
      <c r="QZD26" s="25"/>
      <c r="QZE26" s="25"/>
      <c r="QZF26" s="25"/>
      <c r="QZG26" s="25"/>
      <c r="QZH26" s="25"/>
      <c r="QZI26" s="25"/>
      <c r="QZJ26" s="25"/>
      <c r="QZK26" s="25"/>
      <c r="QZL26" s="25"/>
      <c r="QZM26" s="25"/>
      <c r="QZN26" s="25"/>
      <c r="QZO26" s="25"/>
      <c r="QZP26" s="25"/>
      <c r="QZQ26" s="25"/>
      <c r="QZR26" s="25"/>
      <c r="QZS26" s="25"/>
      <c r="QZT26" s="25"/>
      <c r="QZU26" s="25"/>
      <c r="QZV26" s="25"/>
      <c r="QZW26" s="25"/>
      <c r="QZX26" s="25"/>
      <c r="QZY26" s="25"/>
      <c r="QZZ26" s="25"/>
      <c r="RAA26" s="25"/>
      <c r="RAB26" s="25"/>
      <c r="RAC26" s="25"/>
      <c r="RAD26" s="25"/>
      <c r="RAE26" s="25"/>
      <c r="RAF26" s="25"/>
      <c r="RAG26" s="25"/>
      <c r="RAH26" s="25"/>
      <c r="RAI26" s="25"/>
      <c r="RAJ26" s="25"/>
      <c r="RAK26" s="25"/>
      <c r="RAL26" s="25"/>
      <c r="RAM26" s="25"/>
      <c r="RAN26" s="25"/>
      <c r="RAO26" s="25"/>
      <c r="RAP26" s="25"/>
      <c r="RAQ26" s="25"/>
      <c r="RAR26" s="25"/>
      <c r="RAS26" s="25"/>
      <c r="RAT26" s="25"/>
      <c r="RAU26" s="25"/>
      <c r="RAV26" s="25"/>
      <c r="RAW26" s="25"/>
      <c r="RAX26" s="25"/>
      <c r="RAY26" s="25"/>
      <c r="RAZ26" s="25"/>
      <c r="RBA26" s="25"/>
      <c r="RBB26" s="25"/>
      <c r="RBC26" s="25"/>
      <c r="RBD26" s="25"/>
      <c r="RBE26" s="25"/>
      <c r="RBF26" s="25"/>
      <c r="RBG26" s="25"/>
      <c r="RBH26" s="25"/>
      <c r="RBI26" s="25"/>
      <c r="RBJ26" s="25"/>
      <c r="RBK26" s="25"/>
      <c r="RBL26" s="25"/>
      <c r="RBM26" s="25"/>
      <c r="RBN26" s="25"/>
      <c r="RBO26" s="25"/>
      <c r="RBP26" s="25"/>
      <c r="RBQ26" s="25"/>
      <c r="RBR26" s="25"/>
      <c r="RBS26" s="25"/>
      <c r="RBT26" s="25"/>
      <c r="RBU26" s="25"/>
      <c r="RBV26" s="25"/>
      <c r="RBW26" s="25"/>
      <c r="RBX26" s="25"/>
      <c r="RBY26" s="25"/>
      <c r="RBZ26" s="25"/>
      <c r="RCA26" s="25"/>
      <c r="RCB26" s="25"/>
      <c r="RCC26" s="25"/>
      <c r="RCD26" s="25"/>
      <c r="RCE26" s="25"/>
      <c r="RCF26" s="25"/>
      <c r="RCG26" s="25"/>
      <c r="RCH26" s="25"/>
      <c r="RCI26" s="25"/>
      <c r="RCJ26" s="25"/>
      <c r="RCK26" s="25"/>
      <c r="RCL26" s="25"/>
      <c r="RCM26" s="25"/>
      <c r="RCN26" s="25"/>
      <c r="RCO26" s="25"/>
      <c r="RCP26" s="25"/>
      <c r="RCQ26" s="25"/>
      <c r="RCR26" s="25"/>
      <c r="RCS26" s="25"/>
      <c r="RCT26" s="25"/>
      <c r="RCU26" s="25"/>
      <c r="RCV26" s="25"/>
      <c r="RCW26" s="25"/>
      <c r="RCX26" s="25"/>
      <c r="RCY26" s="25"/>
      <c r="RCZ26" s="25"/>
      <c r="RDA26" s="25"/>
      <c r="RDB26" s="25"/>
      <c r="RDC26" s="25"/>
      <c r="RDD26" s="25"/>
      <c r="RDE26" s="25"/>
      <c r="RDF26" s="25"/>
      <c r="RDG26" s="25"/>
      <c r="RDH26" s="25"/>
      <c r="RDI26" s="25"/>
      <c r="RDJ26" s="25"/>
      <c r="RDK26" s="25"/>
      <c r="RDL26" s="25"/>
      <c r="RDM26" s="25"/>
      <c r="RDN26" s="25"/>
      <c r="RDO26" s="25"/>
      <c r="RDP26" s="25"/>
      <c r="RDQ26" s="25"/>
      <c r="RDR26" s="25"/>
      <c r="RDS26" s="25"/>
      <c r="RDT26" s="25"/>
      <c r="RDU26" s="25"/>
      <c r="RDV26" s="25"/>
      <c r="RDW26" s="25"/>
      <c r="RDX26" s="25"/>
      <c r="RDY26" s="25"/>
      <c r="RDZ26" s="25"/>
      <c r="REA26" s="25"/>
      <c r="REB26" s="25"/>
      <c r="REC26" s="25"/>
      <c r="RED26" s="25"/>
      <c r="REE26" s="25"/>
      <c r="REF26" s="25"/>
      <c r="REG26" s="25"/>
      <c r="REH26" s="25"/>
      <c r="REI26" s="25"/>
      <c r="REJ26" s="25"/>
      <c r="REK26" s="25"/>
      <c r="REL26" s="25"/>
      <c r="REM26" s="25"/>
      <c r="REN26" s="25"/>
      <c r="REO26" s="25"/>
      <c r="REP26" s="25"/>
      <c r="REQ26" s="25"/>
      <c r="RER26" s="25"/>
      <c r="RES26" s="25"/>
      <c r="RET26" s="25"/>
      <c r="REU26" s="25"/>
      <c r="REV26" s="25"/>
      <c r="REW26" s="25"/>
      <c r="REX26" s="25"/>
      <c r="REY26" s="25"/>
      <c r="REZ26" s="25"/>
      <c r="RFA26" s="25"/>
      <c r="RFB26" s="25"/>
      <c r="RFC26" s="25"/>
      <c r="RFD26" s="25"/>
      <c r="RFE26" s="25"/>
      <c r="RFF26" s="25"/>
      <c r="RFG26" s="25"/>
      <c r="RFH26" s="25"/>
      <c r="RFI26" s="25"/>
      <c r="RFJ26" s="25"/>
      <c r="RFK26" s="25"/>
      <c r="RFL26" s="25"/>
      <c r="RFM26" s="25"/>
      <c r="RFN26" s="25"/>
      <c r="RFO26" s="25"/>
      <c r="RFP26" s="25"/>
      <c r="RFQ26" s="25"/>
      <c r="RFR26" s="25"/>
      <c r="RFS26" s="25"/>
      <c r="RFT26" s="25"/>
      <c r="RFU26" s="25"/>
      <c r="RFV26" s="25"/>
      <c r="RFW26" s="25"/>
      <c r="RFX26" s="25"/>
      <c r="RFY26" s="25"/>
      <c r="RFZ26" s="25"/>
      <c r="RGA26" s="25"/>
      <c r="RGB26" s="25"/>
      <c r="RGC26" s="25"/>
      <c r="RGD26" s="25"/>
      <c r="RGE26" s="25"/>
      <c r="RGF26" s="25"/>
      <c r="RGG26" s="25"/>
      <c r="RGH26" s="25"/>
      <c r="RGI26" s="25"/>
      <c r="RGJ26" s="25"/>
      <c r="RGK26" s="25"/>
      <c r="RGL26" s="25"/>
      <c r="RGM26" s="25"/>
      <c r="RGN26" s="25"/>
      <c r="RGO26" s="25"/>
      <c r="RGP26" s="25"/>
      <c r="RGQ26" s="25"/>
      <c r="RGR26" s="25"/>
      <c r="RGS26" s="25"/>
      <c r="RGT26" s="25"/>
      <c r="RGU26" s="25"/>
      <c r="RGV26" s="25"/>
      <c r="RGW26" s="25"/>
      <c r="RGX26" s="25"/>
      <c r="RGY26" s="25"/>
      <c r="RGZ26" s="25"/>
      <c r="RHA26" s="25"/>
      <c r="RHB26" s="25"/>
      <c r="RHC26" s="25"/>
      <c r="RHD26" s="25"/>
      <c r="RHE26" s="25"/>
      <c r="RHF26" s="25"/>
      <c r="RHG26" s="25"/>
      <c r="RHH26" s="25"/>
      <c r="RHI26" s="25"/>
      <c r="RHJ26" s="25"/>
      <c r="RHK26" s="25"/>
      <c r="RHL26" s="25"/>
      <c r="RHM26" s="25"/>
      <c r="RHN26" s="25"/>
      <c r="RHO26" s="25"/>
      <c r="RHP26" s="25"/>
      <c r="RHQ26" s="25"/>
      <c r="RHR26" s="25"/>
      <c r="RHS26" s="25"/>
      <c r="RHT26" s="25"/>
      <c r="RHU26" s="25"/>
      <c r="RHV26" s="25"/>
      <c r="RHW26" s="25"/>
      <c r="RHX26" s="25"/>
      <c r="RHY26" s="25"/>
      <c r="RHZ26" s="25"/>
      <c r="RIA26" s="25"/>
      <c r="RIB26" s="25"/>
      <c r="RIC26" s="25"/>
      <c r="RID26" s="25"/>
      <c r="RIE26" s="25"/>
      <c r="RIF26" s="25"/>
      <c r="RIG26" s="25"/>
      <c r="RIH26" s="25"/>
      <c r="RII26" s="25"/>
      <c r="RIJ26" s="25"/>
      <c r="RIK26" s="25"/>
      <c r="RIL26" s="25"/>
      <c r="RIM26" s="25"/>
      <c r="RIN26" s="25"/>
      <c r="RIO26" s="25"/>
      <c r="RIP26" s="25"/>
      <c r="RIQ26" s="25"/>
      <c r="RIR26" s="25"/>
      <c r="RIS26" s="25"/>
      <c r="RIT26" s="25"/>
      <c r="RIU26" s="25"/>
      <c r="RIV26" s="25"/>
      <c r="RIW26" s="25"/>
      <c r="RIX26" s="25"/>
      <c r="RIY26" s="25"/>
      <c r="RIZ26" s="25"/>
      <c r="RJA26" s="25"/>
      <c r="RJB26" s="25"/>
      <c r="RJC26" s="25"/>
      <c r="RJD26" s="25"/>
      <c r="RJE26" s="25"/>
      <c r="RJF26" s="25"/>
      <c r="RJG26" s="25"/>
      <c r="RJH26" s="25"/>
      <c r="RJI26" s="25"/>
      <c r="RJJ26" s="25"/>
      <c r="RJK26" s="25"/>
      <c r="RJL26" s="25"/>
      <c r="RJM26" s="25"/>
      <c r="RJN26" s="25"/>
      <c r="RJO26" s="25"/>
      <c r="RJP26" s="25"/>
      <c r="RJQ26" s="25"/>
      <c r="RJR26" s="25"/>
      <c r="RJS26" s="25"/>
      <c r="RJT26" s="25"/>
      <c r="RJU26" s="25"/>
      <c r="RJV26" s="25"/>
      <c r="RJW26" s="25"/>
      <c r="RJX26" s="25"/>
      <c r="RJY26" s="25"/>
      <c r="RJZ26" s="25"/>
      <c r="RKA26" s="25"/>
      <c r="RKB26" s="25"/>
      <c r="RKC26" s="25"/>
      <c r="RKD26" s="25"/>
      <c r="RKE26" s="25"/>
      <c r="RKF26" s="25"/>
      <c r="RKG26" s="25"/>
      <c r="RKH26" s="25"/>
      <c r="RKI26" s="25"/>
      <c r="RKJ26" s="25"/>
      <c r="RKK26" s="25"/>
      <c r="RKL26" s="25"/>
      <c r="RKM26" s="25"/>
      <c r="RKN26" s="25"/>
      <c r="RKO26" s="25"/>
      <c r="RKP26" s="25"/>
      <c r="RKQ26" s="25"/>
      <c r="RKR26" s="25"/>
      <c r="RKS26" s="25"/>
      <c r="RKT26" s="25"/>
      <c r="RKU26" s="25"/>
      <c r="RKV26" s="25"/>
      <c r="RKW26" s="25"/>
      <c r="RKX26" s="25"/>
      <c r="RKY26" s="25"/>
      <c r="RKZ26" s="25"/>
      <c r="RLA26" s="25"/>
      <c r="RLB26" s="25"/>
      <c r="RLC26" s="25"/>
      <c r="RLD26" s="25"/>
      <c r="RLE26" s="25"/>
      <c r="RLF26" s="25"/>
      <c r="RLG26" s="25"/>
      <c r="RLH26" s="25"/>
      <c r="RLI26" s="25"/>
      <c r="RLJ26" s="25"/>
      <c r="RLK26" s="25"/>
      <c r="RLL26" s="25"/>
      <c r="RLM26" s="25"/>
      <c r="RLN26" s="25"/>
      <c r="RLO26" s="25"/>
      <c r="RLP26" s="25"/>
      <c r="RLQ26" s="25"/>
      <c r="RLR26" s="25"/>
      <c r="RLS26" s="25"/>
      <c r="RLT26" s="25"/>
      <c r="RLU26" s="25"/>
      <c r="RLV26" s="25"/>
      <c r="RLW26" s="25"/>
      <c r="RLX26" s="25"/>
      <c r="RLY26" s="25"/>
      <c r="RLZ26" s="25"/>
      <c r="RMA26" s="25"/>
      <c r="RMB26" s="25"/>
      <c r="RMC26" s="25"/>
      <c r="RMD26" s="25"/>
      <c r="RME26" s="25"/>
      <c r="RMF26" s="25"/>
      <c r="RMG26" s="25"/>
      <c r="RMH26" s="25"/>
      <c r="RMI26" s="25"/>
      <c r="RMJ26" s="25"/>
      <c r="RMK26" s="25"/>
      <c r="RML26" s="25"/>
      <c r="RMM26" s="25"/>
      <c r="RMN26" s="25"/>
      <c r="RMO26" s="25"/>
      <c r="RMP26" s="25"/>
      <c r="RMQ26" s="25"/>
      <c r="RMR26" s="25"/>
      <c r="RMS26" s="25"/>
      <c r="RMT26" s="25"/>
      <c r="RMU26" s="25"/>
      <c r="RMV26" s="25"/>
      <c r="RMW26" s="25"/>
      <c r="RMX26" s="25"/>
      <c r="RMY26" s="25"/>
      <c r="RMZ26" s="25"/>
      <c r="RNA26" s="25"/>
      <c r="RNB26" s="25"/>
      <c r="RNC26" s="25"/>
      <c r="RND26" s="25"/>
      <c r="RNE26" s="25"/>
      <c r="RNF26" s="25"/>
      <c r="RNG26" s="25"/>
      <c r="RNH26" s="25"/>
      <c r="RNI26" s="25"/>
      <c r="RNJ26" s="25"/>
      <c r="RNK26" s="25"/>
      <c r="RNL26" s="25"/>
      <c r="RNM26" s="25"/>
      <c r="RNN26" s="25"/>
      <c r="RNO26" s="25"/>
      <c r="RNP26" s="25"/>
      <c r="RNQ26" s="25"/>
      <c r="RNR26" s="25"/>
      <c r="RNS26" s="25"/>
      <c r="RNT26" s="25"/>
      <c r="RNU26" s="25"/>
      <c r="RNV26" s="25"/>
      <c r="RNW26" s="25"/>
      <c r="RNX26" s="25"/>
      <c r="RNY26" s="25"/>
      <c r="RNZ26" s="25"/>
      <c r="ROA26" s="25"/>
      <c r="ROB26" s="25"/>
      <c r="ROC26" s="25"/>
      <c r="ROD26" s="25"/>
      <c r="ROE26" s="25"/>
      <c r="ROF26" s="25"/>
      <c r="ROG26" s="25"/>
      <c r="ROH26" s="25"/>
      <c r="ROI26" s="25"/>
      <c r="ROJ26" s="25"/>
      <c r="ROK26" s="25"/>
      <c r="ROL26" s="25"/>
      <c r="ROM26" s="25"/>
      <c r="RON26" s="25"/>
      <c r="ROO26" s="25"/>
      <c r="ROP26" s="25"/>
      <c r="ROQ26" s="25"/>
      <c r="ROR26" s="25"/>
      <c r="ROS26" s="25"/>
      <c r="ROT26" s="25"/>
      <c r="ROU26" s="25"/>
      <c r="ROV26" s="25"/>
      <c r="ROW26" s="25"/>
      <c r="ROX26" s="25"/>
      <c r="ROY26" s="25"/>
      <c r="ROZ26" s="25"/>
      <c r="RPA26" s="25"/>
      <c r="RPB26" s="25"/>
      <c r="RPC26" s="25"/>
      <c r="RPD26" s="25"/>
      <c r="RPE26" s="25"/>
      <c r="RPF26" s="25"/>
      <c r="RPG26" s="25"/>
      <c r="RPH26" s="25"/>
      <c r="RPI26" s="25"/>
      <c r="RPJ26" s="25"/>
      <c r="RPK26" s="25"/>
      <c r="RPL26" s="25"/>
      <c r="RPM26" s="25"/>
      <c r="RPN26" s="25"/>
      <c r="RPO26" s="25"/>
      <c r="RPP26" s="25"/>
      <c r="RPQ26" s="25"/>
      <c r="RPR26" s="25"/>
      <c r="RPS26" s="25"/>
      <c r="RPT26" s="25"/>
      <c r="RPU26" s="25"/>
      <c r="RPV26" s="25"/>
      <c r="RPW26" s="25"/>
      <c r="RPX26" s="25"/>
      <c r="RPY26" s="25"/>
      <c r="RPZ26" s="25"/>
      <c r="RQA26" s="25"/>
      <c r="RQB26" s="25"/>
      <c r="RQC26" s="25"/>
      <c r="RQD26" s="25"/>
      <c r="RQE26" s="25"/>
      <c r="RQF26" s="25"/>
      <c r="RQG26" s="25"/>
      <c r="RQH26" s="25"/>
      <c r="RQI26" s="25"/>
      <c r="RQJ26" s="25"/>
      <c r="RQK26" s="25"/>
      <c r="RQL26" s="25"/>
      <c r="RQM26" s="25"/>
      <c r="RQN26" s="25"/>
      <c r="RQO26" s="25"/>
      <c r="RQP26" s="25"/>
      <c r="RQQ26" s="25"/>
      <c r="RQR26" s="25"/>
      <c r="RQS26" s="25"/>
      <c r="RQT26" s="25"/>
      <c r="RQU26" s="25"/>
      <c r="RQV26" s="25"/>
      <c r="RQW26" s="25"/>
      <c r="RQX26" s="25"/>
      <c r="RQY26" s="25"/>
      <c r="RQZ26" s="25"/>
      <c r="RRA26" s="25"/>
      <c r="RRB26" s="25"/>
      <c r="RRC26" s="25"/>
      <c r="RRD26" s="25"/>
      <c r="RRE26" s="25"/>
      <c r="RRF26" s="25"/>
      <c r="RRG26" s="25"/>
      <c r="RRH26" s="25"/>
      <c r="RRI26" s="25"/>
      <c r="RRJ26" s="25"/>
      <c r="RRK26" s="25"/>
      <c r="RRL26" s="25"/>
      <c r="RRM26" s="25"/>
      <c r="RRN26" s="25"/>
      <c r="RRO26" s="25"/>
      <c r="RRP26" s="25"/>
      <c r="RRQ26" s="25"/>
      <c r="RRR26" s="25"/>
      <c r="RRS26" s="25"/>
      <c r="RRT26" s="25"/>
      <c r="RRU26" s="25"/>
      <c r="RRV26" s="25"/>
      <c r="RRW26" s="25"/>
      <c r="RRX26" s="25"/>
      <c r="RRY26" s="25"/>
      <c r="RRZ26" s="25"/>
      <c r="RSA26" s="25"/>
      <c r="RSB26" s="25"/>
      <c r="RSC26" s="25"/>
      <c r="RSD26" s="25"/>
      <c r="RSE26" s="25"/>
      <c r="RSF26" s="25"/>
      <c r="RSG26" s="25"/>
      <c r="RSH26" s="25"/>
      <c r="RSI26" s="25"/>
      <c r="RSJ26" s="25"/>
      <c r="RSK26" s="25"/>
      <c r="RSL26" s="25"/>
      <c r="RSM26" s="25"/>
      <c r="RSN26" s="25"/>
      <c r="RSO26" s="25"/>
      <c r="RSP26" s="25"/>
      <c r="RSQ26" s="25"/>
      <c r="RSR26" s="25"/>
      <c r="RSS26" s="25"/>
      <c r="RST26" s="25"/>
      <c r="RSU26" s="25"/>
      <c r="RSV26" s="25"/>
      <c r="RSW26" s="25"/>
      <c r="RSX26" s="25"/>
      <c r="RSY26" s="25"/>
      <c r="RSZ26" s="25"/>
      <c r="RTA26" s="25"/>
      <c r="RTB26" s="25"/>
      <c r="RTC26" s="25"/>
      <c r="RTD26" s="25"/>
      <c r="RTE26" s="25"/>
      <c r="RTF26" s="25"/>
      <c r="RTG26" s="25"/>
      <c r="RTH26" s="25"/>
      <c r="RTI26" s="25"/>
      <c r="RTJ26" s="25"/>
      <c r="RTK26" s="25"/>
      <c r="RTL26" s="25"/>
      <c r="RTM26" s="25"/>
      <c r="RTN26" s="25"/>
      <c r="RTO26" s="25"/>
      <c r="RTP26" s="25"/>
      <c r="RTQ26" s="25"/>
      <c r="RTR26" s="25"/>
      <c r="RTS26" s="25"/>
      <c r="RTT26" s="25"/>
      <c r="RTU26" s="25"/>
      <c r="RTV26" s="25"/>
      <c r="RTW26" s="25"/>
      <c r="RTX26" s="25"/>
      <c r="RTY26" s="25"/>
      <c r="RTZ26" s="25"/>
      <c r="RUA26" s="25"/>
      <c r="RUB26" s="25"/>
      <c r="RUC26" s="25"/>
      <c r="RUD26" s="25"/>
      <c r="RUE26" s="25"/>
      <c r="RUF26" s="25"/>
      <c r="RUG26" s="25"/>
      <c r="RUH26" s="25"/>
      <c r="RUI26" s="25"/>
      <c r="RUJ26" s="25"/>
      <c r="RUK26" s="25"/>
      <c r="RUL26" s="25"/>
      <c r="RUM26" s="25"/>
      <c r="RUN26" s="25"/>
      <c r="RUO26" s="25"/>
      <c r="RUP26" s="25"/>
      <c r="RUQ26" s="25"/>
      <c r="RUR26" s="25"/>
      <c r="RUS26" s="25"/>
      <c r="RUT26" s="25"/>
      <c r="RUU26" s="25"/>
      <c r="RUV26" s="25"/>
      <c r="RUW26" s="25"/>
      <c r="RUX26" s="25"/>
      <c r="RUY26" s="25"/>
      <c r="RUZ26" s="25"/>
      <c r="RVA26" s="25"/>
      <c r="RVB26" s="25"/>
      <c r="RVC26" s="25"/>
      <c r="RVD26" s="25"/>
      <c r="RVE26" s="25"/>
      <c r="RVF26" s="25"/>
      <c r="RVG26" s="25"/>
      <c r="RVH26" s="25"/>
      <c r="RVI26" s="25"/>
      <c r="RVJ26" s="25"/>
      <c r="RVK26" s="25"/>
      <c r="RVL26" s="25"/>
      <c r="RVM26" s="25"/>
      <c r="RVN26" s="25"/>
      <c r="RVO26" s="25"/>
      <c r="RVP26" s="25"/>
      <c r="RVQ26" s="25"/>
      <c r="RVR26" s="25"/>
      <c r="RVS26" s="25"/>
      <c r="RVT26" s="25"/>
      <c r="RVU26" s="25"/>
      <c r="RVV26" s="25"/>
      <c r="RVW26" s="25"/>
      <c r="RVX26" s="25"/>
      <c r="RVY26" s="25"/>
      <c r="RVZ26" s="25"/>
      <c r="RWA26" s="25"/>
      <c r="RWB26" s="25"/>
      <c r="RWC26" s="25"/>
      <c r="RWD26" s="25"/>
      <c r="RWE26" s="25"/>
      <c r="RWF26" s="25"/>
      <c r="RWG26" s="25"/>
      <c r="RWH26" s="25"/>
      <c r="RWI26" s="25"/>
      <c r="RWJ26" s="25"/>
      <c r="RWK26" s="25"/>
      <c r="RWL26" s="25"/>
      <c r="RWM26" s="25"/>
      <c r="RWN26" s="25"/>
      <c r="RWO26" s="25"/>
      <c r="RWP26" s="25"/>
      <c r="RWQ26" s="25"/>
      <c r="RWR26" s="25"/>
      <c r="RWS26" s="25"/>
      <c r="RWT26" s="25"/>
      <c r="RWU26" s="25"/>
      <c r="RWV26" s="25"/>
      <c r="RWW26" s="25"/>
      <c r="RWX26" s="25"/>
      <c r="RWY26" s="25"/>
      <c r="RWZ26" s="25"/>
      <c r="RXA26" s="25"/>
      <c r="RXB26" s="25"/>
      <c r="RXC26" s="25"/>
      <c r="RXD26" s="25"/>
      <c r="RXE26" s="25"/>
      <c r="RXF26" s="25"/>
      <c r="RXG26" s="25"/>
      <c r="RXH26" s="25"/>
      <c r="RXI26" s="25"/>
      <c r="RXJ26" s="25"/>
      <c r="RXK26" s="25"/>
      <c r="RXL26" s="25"/>
      <c r="RXM26" s="25"/>
      <c r="RXN26" s="25"/>
      <c r="RXO26" s="25"/>
      <c r="RXP26" s="25"/>
      <c r="RXQ26" s="25"/>
      <c r="RXR26" s="25"/>
      <c r="RXS26" s="25"/>
      <c r="RXT26" s="25"/>
      <c r="RXU26" s="25"/>
      <c r="RXV26" s="25"/>
      <c r="RXW26" s="25"/>
      <c r="RXX26" s="25"/>
      <c r="RXY26" s="25"/>
      <c r="RXZ26" s="25"/>
      <c r="RYA26" s="25"/>
      <c r="RYB26" s="25"/>
      <c r="RYC26" s="25"/>
      <c r="RYD26" s="25"/>
      <c r="RYE26" s="25"/>
      <c r="RYF26" s="25"/>
      <c r="RYG26" s="25"/>
      <c r="RYH26" s="25"/>
      <c r="RYI26" s="25"/>
      <c r="RYJ26" s="25"/>
      <c r="RYK26" s="25"/>
      <c r="RYL26" s="25"/>
      <c r="RYM26" s="25"/>
      <c r="RYN26" s="25"/>
      <c r="RYO26" s="25"/>
      <c r="RYP26" s="25"/>
      <c r="RYQ26" s="25"/>
      <c r="RYR26" s="25"/>
      <c r="RYS26" s="25"/>
      <c r="RYT26" s="25"/>
      <c r="RYU26" s="25"/>
      <c r="RYV26" s="25"/>
      <c r="RYW26" s="25"/>
      <c r="RYX26" s="25"/>
      <c r="RYY26" s="25"/>
      <c r="RYZ26" s="25"/>
      <c r="RZA26" s="25"/>
      <c r="RZB26" s="25"/>
      <c r="RZC26" s="25"/>
      <c r="RZD26" s="25"/>
      <c r="RZE26" s="25"/>
      <c r="RZF26" s="25"/>
      <c r="RZG26" s="25"/>
      <c r="RZH26" s="25"/>
      <c r="RZI26" s="25"/>
      <c r="RZJ26" s="25"/>
      <c r="RZK26" s="25"/>
      <c r="RZL26" s="25"/>
      <c r="RZM26" s="25"/>
      <c r="RZN26" s="25"/>
      <c r="RZO26" s="25"/>
      <c r="RZP26" s="25"/>
      <c r="RZQ26" s="25"/>
      <c r="RZR26" s="25"/>
      <c r="RZS26" s="25"/>
      <c r="RZT26" s="25"/>
      <c r="RZU26" s="25"/>
      <c r="RZV26" s="25"/>
      <c r="RZW26" s="25"/>
      <c r="RZX26" s="25"/>
      <c r="RZY26" s="25"/>
      <c r="RZZ26" s="25"/>
      <c r="SAA26" s="25"/>
      <c r="SAB26" s="25"/>
      <c r="SAC26" s="25"/>
      <c r="SAD26" s="25"/>
      <c r="SAE26" s="25"/>
      <c r="SAF26" s="25"/>
      <c r="SAG26" s="25"/>
      <c r="SAH26" s="25"/>
      <c r="SAI26" s="25"/>
      <c r="SAJ26" s="25"/>
      <c r="SAK26" s="25"/>
      <c r="SAL26" s="25"/>
      <c r="SAM26" s="25"/>
      <c r="SAN26" s="25"/>
      <c r="SAO26" s="25"/>
      <c r="SAP26" s="25"/>
      <c r="SAQ26" s="25"/>
      <c r="SAR26" s="25"/>
      <c r="SAS26" s="25"/>
      <c r="SAT26" s="25"/>
      <c r="SAU26" s="25"/>
      <c r="SAV26" s="25"/>
      <c r="SAW26" s="25"/>
      <c r="SAX26" s="25"/>
      <c r="SAY26" s="25"/>
      <c r="SAZ26" s="25"/>
      <c r="SBA26" s="25"/>
      <c r="SBB26" s="25"/>
      <c r="SBC26" s="25"/>
      <c r="SBD26" s="25"/>
      <c r="SBE26" s="25"/>
      <c r="SBF26" s="25"/>
      <c r="SBG26" s="25"/>
      <c r="SBH26" s="25"/>
      <c r="SBI26" s="25"/>
      <c r="SBJ26" s="25"/>
      <c r="SBK26" s="25"/>
      <c r="SBL26" s="25"/>
      <c r="SBM26" s="25"/>
      <c r="SBN26" s="25"/>
      <c r="SBO26" s="25"/>
      <c r="SBP26" s="25"/>
      <c r="SBQ26" s="25"/>
      <c r="SBR26" s="25"/>
      <c r="SBS26" s="25"/>
      <c r="SBT26" s="25"/>
      <c r="SBU26" s="25"/>
      <c r="SBV26" s="25"/>
      <c r="SBW26" s="25"/>
      <c r="SBX26" s="25"/>
      <c r="SBY26" s="25"/>
      <c r="SBZ26" s="25"/>
      <c r="SCA26" s="25"/>
      <c r="SCB26" s="25"/>
      <c r="SCC26" s="25"/>
      <c r="SCD26" s="25"/>
      <c r="SCE26" s="25"/>
      <c r="SCF26" s="25"/>
      <c r="SCG26" s="25"/>
      <c r="SCH26" s="25"/>
      <c r="SCI26" s="25"/>
      <c r="SCJ26" s="25"/>
      <c r="SCK26" s="25"/>
      <c r="SCL26" s="25"/>
      <c r="SCM26" s="25"/>
      <c r="SCN26" s="25"/>
      <c r="SCO26" s="25"/>
      <c r="SCP26" s="25"/>
      <c r="SCQ26" s="25"/>
      <c r="SCR26" s="25"/>
      <c r="SCS26" s="25"/>
      <c r="SCT26" s="25"/>
      <c r="SCU26" s="25"/>
      <c r="SCV26" s="25"/>
      <c r="SCW26" s="25"/>
      <c r="SCX26" s="25"/>
      <c r="SCY26" s="25"/>
      <c r="SCZ26" s="25"/>
      <c r="SDA26" s="25"/>
      <c r="SDB26" s="25"/>
      <c r="SDC26" s="25"/>
      <c r="SDD26" s="25"/>
      <c r="SDE26" s="25"/>
      <c r="SDF26" s="25"/>
      <c r="SDG26" s="25"/>
      <c r="SDH26" s="25"/>
      <c r="SDI26" s="25"/>
      <c r="SDJ26" s="25"/>
      <c r="SDK26" s="25"/>
      <c r="SDL26" s="25"/>
      <c r="SDM26" s="25"/>
      <c r="SDN26" s="25"/>
      <c r="SDO26" s="25"/>
      <c r="SDP26" s="25"/>
      <c r="SDQ26" s="25"/>
      <c r="SDR26" s="25"/>
      <c r="SDS26" s="25"/>
      <c r="SDT26" s="25"/>
      <c r="SDU26" s="25"/>
      <c r="SDV26" s="25"/>
      <c r="SDW26" s="25"/>
      <c r="SDX26" s="25"/>
      <c r="SDY26" s="25"/>
      <c r="SDZ26" s="25"/>
      <c r="SEA26" s="25"/>
      <c r="SEB26" s="25"/>
      <c r="SEC26" s="25"/>
      <c r="SED26" s="25"/>
      <c r="SEE26" s="25"/>
      <c r="SEF26" s="25"/>
      <c r="SEG26" s="25"/>
      <c r="SEH26" s="25"/>
      <c r="SEI26" s="25"/>
      <c r="SEJ26" s="25"/>
      <c r="SEK26" s="25"/>
      <c r="SEL26" s="25"/>
      <c r="SEM26" s="25"/>
      <c r="SEN26" s="25"/>
      <c r="SEO26" s="25"/>
      <c r="SEP26" s="25"/>
      <c r="SEQ26" s="25"/>
      <c r="SER26" s="25"/>
      <c r="SES26" s="25"/>
      <c r="SET26" s="25"/>
      <c r="SEU26" s="25"/>
      <c r="SEV26" s="25"/>
      <c r="SEW26" s="25"/>
      <c r="SEX26" s="25"/>
      <c r="SEY26" s="25"/>
      <c r="SEZ26" s="25"/>
      <c r="SFA26" s="25"/>
      <c r="SFB26" s="25"/>
      <c r="SFC26" s="25"/>
      <c r="SFD26" s="25"/>
      <c r="SFE26" s="25"/>
      <c r="SFF26" s="25"/>
      <c r="SFG26" s="25"/>
      <c r="SFH26" s="25"/>
      <c r="SFI26" s="25"/>
      <c r="SFJ26" s="25"/>
      <c r="SFK26" s="25"/>
      <c r="SFL26" s="25"/>
      <c r="SFM26" s="25"/>
      <c r="SFN26" s="25"/>
      <c r="SFO26" s="25"/>
      <c r="SFP26" s="25"/>
      <c r="SFQ26" s="25"/>
      <c r="SFR26" s="25"/>
      <c r="SFS26" s="25"/>
      <c r="SFT26" s="25"/>
      <c r="SFU26" s="25"/>
      <c r="SFV26" s="25"/>
      <c r="SFW26" s="25"/>
      <c r="SFX26" s="25"/>
      <c r="SFY26" s="25"/>
      <c r="SFZ26" s="25"/>
      <c r="SGA26" s="25"/>
      <c r="SGB26" s="25"/>
      <c r="SGC26" s="25"/>
      <c r="SGD26" s="25"/>
      <c r="SGE26" s="25"/>
      <c r="SGF26" s="25"/>
      <c r="SGG26" s="25"/>
      <c r="SGH26" s="25"/>
      <c r="SGI26" s="25"/>
      <c r="SGJ26" s="25"/>
      <c r="SGK26" s="25"/>
      <c r="SGL26" s="25"/>
      <c r="SGM26" s="25"/>
      <c r="SGN26" s="25"/>
      <c r="SGO26" s="25"/>
      <c r="SGP26" s="25"/>
      <c r="SGQ26" s="25"/>
      <c r="SGR26" s="25"/>
      <c r="SGS26" s="25"/>
      <c r="SGT26" s="25"/>
      <c r="SGU26" s="25"/>
      <c r="SGV26" s="25"/>
      <c r="SGW26" s="25"/>
      <c r="SGX26" s="25"/>
      <c r="SGY26" s="25"/>
      <c r="SGZ26" s="25"/>
      <c r="SHA26" s="25"/>
      <c r="SHB26" s="25"/>
      <c r="SHC26" s="25"/>
      <c r="SHD26" s="25"/>
      <c r="SHE26" s="25"/>
      <c r="SHF26" s="25"/>
      <c r="SHG26" s="25"/>
      <c r="SHH26" s="25"/>
      <c r="SHI26" s="25"/>
      <c r="SHJ26" s="25"/>
      <c r="SHK26" s="25"/>
      <c r="SHL26" s="25"/>
      <c r="SHM26" s="25"/>
      <c r="SHN26" s="25"/>
      <c r="SHO26" s="25"/>
      <c r="SHP26" s="25"/>
      <c r="SHQ26" s="25"/>
      <c r="SHR26" s="25"/>
      <c r="SHS26" s="25"/>
      <c r="SHT26" s="25"/>
      <c r="SHU26" s="25"/>
      <c r="SHV26" s="25"/>
      <c r="SHW26" s="25"/>
      <c r="SHX26" s="25"/>
      <c r="SHY26" s="25"/>
      <c r="SHZ26" s="25"/>
      <c r="SIA26" s="25"/>
      <c r="SIB26" s="25"/>
      <c r="SIC26" s="25"/>
      <c r="SID26" s="25"/>
      <c r="SIE26" s="25"/>
      <c r="SIF26" s="25"/>
      <c r="SIG26" s="25"/>
      <c r="SIH26" s="25"/>
      <c r="SII26" s="25"/>
      <c r="SIJ26" s="25"/>
      <c r="SIK26" s="25"/>
      <c r="SIL26" s="25"/>
      <c r="SIM26" s="25"/>
      <c r="SIN26" s="25"/>
      <c r="SIO26" s="25"/>
      <c r="SIP26" s="25"/>
      <c r="SIQ26" s="25"/>
      <c r="SIR26" s="25"/>
      <c r="SIS26" s="25"/>
      <c r="SIT26" s="25"/>
      <c r="SIU26" s="25"/>
      <c r="SIV26" s="25"/>
      <c r="SIW26" s="25"/>
      <c r="SIX26" s="25"/>
      <c r="SIY26" s="25"/>
      <c r="SIZ26" s="25"/>
      <c r="SJA26" s="25"/>
      <c r="SJB26" s="25"/>
      <c r="SJC26" s="25"/>
      <c r="SJD26" s="25"/>
      <c r="SJE26" s="25"/>
      <c r="SJF26" s="25"/>
      <c r="SJG26" s="25"/>
      <c r="SJH26" s="25"/>
      <c r="SJI26" s="25"/>
      <c r="SJJ26" s="25"/>
      <c r="SJK26" s="25"/>
      <c r="SJL26" s="25"/>
      <c r="SJM26" s="25"/>
      <c r="SJN26" s="25"/>
      <c r="SJO26" s="25"/>
      <c r="SJP26" s="25"/>
      <c r="SJQ26" s="25"/>
      <c r="SJR26" s="25"/>
      <c r="SJS26" s="25"/>
      <c r="SJT26" s="25"/>
      <c r="SJU26" s="25"/>
      <c r="SJV26" s="25"/>
      <c r="SJW26" s="25"/>
      <c r="SJX26" s="25"/>
      <c r="SJY26" s="25"/>
      <c r="SJZ26" s="25"/>
      <c r="SKA26" s="25"/>
      <c r="SKB26" s="25"/>
      <c r="SKC26" s="25"/>
      <c r="SKD26" s="25"/>
      <c r="SKE26" s="25"/>
      <c r="SKF26" s="25"/>
      <c r="SKG26" s="25"/>
      <c r="SKH26" s="25"/>
      <c r="SKI26" s="25"/>
      <c r="SKJ26" s="25"/>
      <c r="SKK26" s="25"/>
      <c r="SKL26" s="25"/>
      <c r="SKM26" s="25"/>
      <c r="SKN26" s="25"/>
      <c r="SKO26" s="25"/>
      <c r="SKP26" s="25"/>
      <c r="SKQ26" s="25"/>
      <c r="SKR26" s="25"/>
      <c r="SKS26" s="25"/>
      <c r="SKT26" s="25"/>
      <c r="SKU26" s="25"/>
      <c r="SKV26" s="25"/>
      <c r="SKW26" s="25"/>
      <c r="SKX26" s="25"/>
      <c r="SKY26" s="25"/>
      <c r="SKZ26" s="25"/>
      <c r="SLA26" s="25"/>
      <c r="SLB26" s="25"/>
      <c r="SLC26" s="25"/>
      <c r="SLD26" s="25"/>
      <c r="SLE26" s="25"/>
      <c r="SLF26" s="25"/>
      <c r="SLG26" s="25"/>
      <c r="SLH26" s="25"/>
      <c r="SLI26" s="25"/>
      <c r="SLJ26" s="25"/>
      <c r="SLK26" s="25"/>
      <c r="SLL26" s="25"/>
      <c r="SLM26" s="25"/>
      <c r="SLN26" s="25"/>
      <c r="SLO26" s="25"/>
      <c r="SLP26" s="25"/>
      <c r="SLQ26" s="25"/>
      <c r="SLR26" s="25"/>
      <c r="SLS26" s="25"/>
      <c r="SLT26" s="25"/>
      <c r="SLU26" s="25"/>
      <c r="SLV26" s="25"/>
      <c r="SLW26" s="25"/>
      <c r="SLX26" s="25"/>
      <c r="SLY26" s="25"/>
      <c r="SLZ26" s="25"/>
      <c r="SMA26" s="25"/>
      <c r="SMB26" s="25"/>
      <c r="SMC26" s="25"/>
      <c r="SMD26" s="25"/>
      <c r="SME26" s="25"/>
      <c r="SMF26" s="25"/>
      <c r="SMG26" s="25"/>
      <c r="SMH26" s="25"/>
      <c r="SMI26" s="25"/>
      <c r="SMJ26" s="25"/>
      <c r="SMK26" s="25"/>
      <c r="SML26" s="25"/>
      <c r="SMM26" s="25"/>
      <c r="SMN26" s="25"/>
      <c r="SMO26" s="25"/>
      <c r="SMP26" s="25"/>
      <c r="SMQ26" s="25"/>
      <c r="SMR26" s="25"/>
      <c r="SMS26" s="25"/>
      <c r="SMT26" s="25"/>
      <c r="SMU26" s="25"/>
      <c r="SMV26" s="25"/>
      <c r="SMW26" s="25"/>
      <c r="SMX26" s="25"/>
      <c r="SMY26" s="25"/>
      <c r="SMZ26" s="25"/>
      <c r="SNA26" s="25"/>
      <c r="SNB26" s="25"/>
      <c r="SNC26" s="25"/>
      <c r="SND26" s="25"/>
      <c r="SNE26" s="25"/>
      <c r="SNF26" s="25"/>
      <c r="SNG26" s="25"/>
      <c r="SNH26" s="25"/>
      <c r="SNI26" s="25"/>
      <c r="SNJ26" s="25"/>
      <c r="SNK26" s="25"/>
      <c r="SNL26" s="25"/>
      <c r="SNM26" s="25"/>
      <c r="SNN26" s="25"/>
      <c r="SNO26" s="25"/>
      <c r="SNP26" s="25"/>
      <c r="SNQ26" s="25"/>
      <c r="SNR26" s="25"/>
      <c r="SNS26" s="25"/>
      <c r="SNT26" s="25"/>
      <c r="SNU26" s="25"/>
      <c r="SNV26" s="25"/>
      <c r="SNW26" s="25"/>
      <c r="SNX26" s="25"/>
      <c r="SNY26" s="25"/>
      <c r="SNZ26" s="25"/>
      <c r="SOA26" s="25"/>
      <c r="SOB26" s="25"/>
      <c r="SOC26" s="25"/>
      <c r="SOD26" s="25"/>
      <c r="SOE26" s="25"/>
      <c r="SOF26" s="25"/>
      <c r="SOG26" s="25"/>
      <c r="SOH26" s="25"/>
      <c r="SOI26" s="25"/>
      <c r="SOJ26" s="25"/>
      <c r="SOK26" s="25"/>
      <c r="SOL26" s="25"/>
      <c r="SOM26" s="25"/>
      <c r="SON26" s="25"/>
      <c r="SOO26" s="25"/>
      <c r="SOP26" s="25"/>
      <c r="SOQ26" s="25"/>
      <c r="SOR26" s="25"/>
      <c r="SOS26" s="25"/>
      <c r="SOT26" s="25"/>
      <c r="SOU26" s="25"/>
      <c r="SOV26" s="25"/>
      <c r="SOW26" s="25"/>
      <c r="SOX26" s="25"/>
      <c r="SOY26" s="25"/>
      <c r="SOZ26" s="25"/>
      <c r="SPA26" s="25"/>
      <c r="SPB26" s="25"/>
      <c r="SPC26" s="25"/>
      <c r="SPD26" s="25"/>
      <c r="SPE26" s="25"/>
      <c r="SPF26" s="25"/>
      <c r="SPG26" s="25"/>
      <c r="SPH26" s="25"/>
      <c r="SPI26" s="25"/>
      <c r="SPJ26" s="25"/>
      <c r="SPK26" s="25"/>
      <c r="SPL26" s="25"/>
      <c r="SPM26" s="25"/>
      <c r="SPN26" s="25"/>
      <c r="SPO26" s="25"/>
      <c r="SPP26" s="25"/>
      <c r="SPQ26" s="25"/>
      <c r="SPR26" s="25"/>
      <c r="SPS26" s="25"/>
      <c r="SPT26" s="25"/>
      <c r="SPU26" s="25"/>
      <c r="SPV26" s="25"/>
      <c r="SPW26" s="25"/>
      <c r="SPX26" s="25"/>
      <c r="SPY26" s="25"/>
      <c r="SPZ26" s="25"/>
      <c r="SQA26" s="25"/>
      <c r="SQB26" s="25"/>
      <c r="SQC26" s="25"/>
      <c r="SQD26" s="25"/>
      <c r="SQE26" s="25"/>
      <c r="SQF26" s="25"/>
      <c r="SQG26" s="25"/>
      <c r="SQH26" s="25"/>
      <c r="SQI26" s="25"/>
      <c r="SQJ26" s="25"/>
      <c r="SQK26" s="25"/>
      <c r="SQL26" s="25"/>
      <c r="SQM26" s="25"/>
      <c r="SQN26" s="25"/>
      <c r="SQO26" s="25"/>
      <c r="SQP26" s="25"/>
      <c r="SQQ26" s="25"/>
      <c r="SQR26" s="25"/>
      <c r="SQS26" s="25"/>
      <c r="SQT26" s="25"/>
      <c r="SQU26" s="25"/>
      <c r="SQV26" s="25"/>
      <c r="SQW26" s="25"/>
      <c r="SQX26" s="25"/>
      <c r="SQY26" s="25"/>
      <c r="SQZ26" s="25"/>
      <c r="SRA26" s="25"/>
      <c r="SRB26" s="25"/>
      <c r="SRC26" s="25"/>
      <c r="SRD26" s="25"/>
      <c r="SRE26" s="25"/>
      <c r="SRF26" s="25"/>
      <c r="SRG26" s="25"/>
      <c r="SRH26" s="25"/>
      <c r="SRI26" s="25"/>
      <c r="SRJ26" s="25"/>
      <c r="SRK26" s="25"/>
      <c r="SRL26" s="25"/>
      <c r="SRM26" s="25"/>
      <c r="SRN26" s="25"/>
      <c r="SRO26" s="25"/>
      <c r="SRP26" s="25"/>
      <c r="SRQ26" s="25"/>
      <c r="SRR26" s="25"/>
      <c r="SRS26" s="25"/>
      <c r="SRT26" s="25"/>
      <c r="SRU26" s="25"/>
      <c r="SRV26" s="25"/>
      <c r="SRW26" s="25"/>
      <c r="SRX26" s="25"/>
      <c r="SRY26" s="25"/>
      <c r="SRZ26" s="25"/>
      <c r="SSA26" s="25"/>
      <c r="SSB26" s="25"/>
      <c r="SSC26" s="25"/>
      <c r="SSD26" s="25"/>
      <c r="SSE26" s="25"/>
      <c r="SSF26" s="25"/>
      <c r="SSG26" s="25"/>
      <c r="SSH26" s="25"/>
      <c r="SSI26" s="25"/>
      <c r="SSJ26" s="25"/>
      <c r="SSK26" s="25"/>
      <c r="SSL26" s="25"/>
      <c r="SSM26" s="25"/>
      <c r="SSN26" s="25"/>
      <c r="SSO26" s="25"/>
      <c r="SSP26" s="25"/>
      <c r="SSQ26" s="25"/>
      <c r="SSR26" s="25"/>
      <c r="SSS26" s="25"/>
      <c r="SST26" s="25"/>
      <c r="SSU26" s="25"/>
      <c r="SSV26" s="25"/>
      <c r="SSW26" s="25"/>
      <c r="SSX26" s="25"/>
      <c r="SSY26" s="25"/>
      <c r="SSZ26" s="25"/>
      <c r="STA26" s="25"/>
      <c r="STB26" s="25"/>
      <c r="STC26" s="25"/>
      <c r="STD26" s="25"/>
      <c r="STE26" s="25"/>
      <c r="STF26" s="25"/>
      <c r="STG26" s="25"/>
      <c r="STH26" s="25"/>
      <c r="STI26" s="25"/>
      <c r="STJ26" s="25"/>
      <c r="STK26" s="25"/>
      <c r="STL26" s="25"/>
      <c r="STM26" s="25"/>
      <c r="STN26" s="25"/>
      <c r="STO26" s="25"/>
      <c r="STP26" s="25"/>
      <c r="STQ26" s="25"/>
      <c r="STR26" s="25"/>
      <c r="STS26" s="25"/>
      <c r="STT26" s="25"/>
      <c r="STU26" s="25"/>
      <c r="STV26" s="25"/>
      <c r="STW26" s="25"/>
      <c r="STX26" s="25"/>
      <c r="STY26" s="25"/>
      <c r="STZ26" s="25"/>
      <c r="SUA26" s="25"/>
      <c r="SUB26" s="25"/>
      <c r="SUC26" s="25"/>
      <c r="SUD26" s="25"/>
      <c r="SUE26" s="25"/>
      <c r="SUF26" s="25"/>
      <c r="SUG26" s="25"/>
      <c r="SUH26" s="25"/>
      <c r="SUI26" s="25"/>
      <c r="SUJ26" s="25"/>
      <c r="SUK26" s="25"/>
      <c r="SUL26" s="25"/>
      <c r="SUM26" s="25"/>
      <c r="SUN26" s="25"/>
      <c r="SUO26" s="25"/>
      <c r="SUP26" s="25"/>
      <c r="SUQ26" s="25"/>
      <c r="SUR26" s="25"/>
      <c r="SUS26" s="25"/>
      <c r="SUT26" s="25"/>
      <c r="SUU26" s="25"/>
      <c r="SUV26" s="25"/>
      <c r="SUW26" s="25"/>
      <c r="SUX26" s="25"/>
      <c r="SUY26" s="25"/>
      <c r="SUZ26" s="25"/>
      <c r="SVA26" s="25"/>
      <c r="SVB26" s="25"/>
      <c r="SVC26" s="25"/>
      <c r="SVD26" s="25"/>
      <c r="SVE26" s="25"/>
      <c r="SVF26" s="25"/>
      <c r="SVG26" s="25"/>
      <c r="SVH26" s="25"/>
      <c r="SVI26" s="25"/>
      <c r="SVJ26" s="25"/>
      <c r="SVK26" s="25"/>
      <c r="SVL26" s="25"/>
      <c r="SVM26" s="25"/>
      <c r="SVN26" s="25"/>
      <c r="SVO26" s="25"/>
      <c r="SVP26" s="25"/>
      <c r="SVQ26" s="25"/>
      <c r="SVR26" s="25"/>
      <c r="SVS26" s="25"/>
      <c r="SVT26" s="25"/>
      <c r="SVU26" s="25"/>
      <c r="SVV26" s="25"/>
      <c r="SVW26" s="25"/>
      <c r="SVX26" s="25"/>
      <c r="SVY26" s="25"/>
      <c r="SVZ26" s="25"/>
      <c r="SWA26" s="25"/>
      <c r="SWB26" s="25"/>
      <c r="SWC26" s="25"/>
      <c r="SWD26" s="25"/>
      <c r="SWE26" s="25"/>
      <c r="SWF26" s="25"/>
      <c r="SWG26" s="25"/>
      <c r="SWH26" s="25"/>
      <c r="SWI26" s="25"/>
      <c r="SWJ26" s="25"/>
      <c r="SWK26" s="25"/>
      <c r="SWL26" s="25"/>
      <c r="SWM26" s="25"/>
      <c r="SWN26" s="25"/>
      <c r="SWO26" s="25"/>
      <c r="SWP26" s="25"/>
      <c r="SWQ26" s="25"/>
      <c r="SWR26" s="25"/>
      <c r="SWS26" s="25"/>
      <c r="SWT26" s="25"/>
      <c r="SWU26" s="25"/>
      <c r="SWV26" s="25"/>
      <c r="SWW26" s="25"/>
      <c r="SWX26" s="25"/>
      <c r="SWY26" s="25"/>
      <c r="SWZ26" s="25"/>
      <c r="SXA26" s="25"/>
      <c r="SXB26" s="25"/>
      <c r="SXC26" s="25"/>
      <c r="SXD26" s="25"/>
      <c r="SXE26" s="25"/>
      <c r="SXF26" s="25"/>
      <c r="SXG26" s="25"/>
      <c r="SXH26" s="25"/>
      <c r="SXI26" s="25"/>
      <c r="SXJ26" s="25"/>
      <c r="SXK26" s="25"/>
      <c r="SXL26" s="25"/>
      <c r="SXM26" s="25"/>
      <c r="SXN26" s="25"/>
      <c r="SXO26" s="25"/>
      <c r="SXP26" s="25"/>
      <c r="SXQ26" s="25"/>
      <c r="SXR26" s="25"/>
      <c r="SXS26" s="25"/>
      <c r="SXT26" s="25"/>
      <c r="SXU26" s="25"/>
      <c r="SXV26" s="25"/>
      <c r="SXW26" s="25"/>
      <c r="SXX26" s="25"/>
      <c r="SXY26" s="25"/>
      <c r="SXZ26" s="25"/>
      <c r="SYA26" s="25"/>
      <c r="SYB26" s="25"/>
      <c r="SYC26" s="25"/>
      <c r="SYD26" s="25"/>
      <c r="SYE26" s="25"/>
      <c r="SYF26" s="25"/>
      <c r="SYG26" s="25"/>
      <c r="SYH26" s="25"/>
      <c r="SYI26" s="25"/>
      <c r="SYJ26" s="25"/>
      <c r="SYK26" s="25"/>
      <c r="SYL26" s="25"/>
      <c r="SYM26" s="25"/>
      <c r="SYN26" s="25"/>
      <c r="SYO26" s="25"/>
      <c r="SYP26" s="25"/>
      <c r="SYQ26" s="25"/>
      <c r="SYR26" s="25"/>
      <c r="SYS26" s="25"/>
      <c r="SYT26" s="25"/>
      <c r="SYU26" s="25"/>
      <c r="SYV26" s="25"/>
      <c r="SYW26" s="25"/>
      <c r="SYX26" s="25"/>
      <c r="SYY26" s="25"/>
      <c r="SYZ26" s="25"/>
      <c r="SZA26" s="25"/>
      <c r="SZB26" s="25"/>
      <c r="SZC26" s="25"/>
      <c r="SZD26" s="25"/>
      <c r="SZE26" s="25"/>
      <c r="SZF26" s="25"/>
      <c r="SZG26" s="25"/>
      <c r="SZH26" s="25"/>
      <c r="SZI26" s="25"/>
      <c r="SZJ26" s="25"/>
      <c r="SZK26" s="25"/>
      <c r="SZL26" s="25"/>
      <c r="SZM26" s="25"/>
      <c r="SZN26" s="25"/>
      <c r="SZO26" s="25"/>
      <c r="SZP26" s="25"/>
      <c r="SZQ26" s="25"/>
      <c r="SZR26" s="25"/>
      <c r="SZS26" s="25"/>
      <c r="SZT26" s="25"/>
      <c r="SZU26" s="25"/>
      <c r="SZV26" s="25"/>
      <c r="SZW26" s="25"/>
      <c r="SZX26" s="25"/>
      <c r="SZY26" s="25"/>
      <c r="SZZ26" s="25"/>
      <c r="TAA26" s="25"/>
      <c r="TAB26" s="25"/>
      <c r="TAC26" s="25"/>
      <c r="TAD26" s="25"/>
      <c r="TAE26" s="25"/>
      <c r="TAF26" s="25"/>
      <c r="TAG26" s="25"/>
      <c r="TAH26" s="25"/>
      <c r="TAI26" s="25"/>
      <c r="TAJ26" s="25"/>
      <c r="TAK26" s="25"/>
      <c r="TAL26" s="25"/>
      <c r="TAM26" s="25"/>
      <c r="TAN26" s="25"/>
      <c r="TAO26" s="25"/>
      <c r="TAP26" s="25"/>
      <c r="TAQ26" s="25"/>
      <c r="TAR26" s="25"/>
      <c r="TAS26" s="25"/>
      <c r="TAT26" s="25"/>
      <c r="TAU26" s="25"/>
      <c r="TAV26" s="25"/>
      <c r="TAW26" s="25"/>
      <c r="TAX26" s="25"/>
      <c r="TAY26" s="25"/>
      <c r="TAZ26" s="25"/>
      <c r="TBA26" s="25"/>
      <c r="TBB26" s="25"/>
      <c r="TBC26" s="25"/>
      <c r="TBD26" s="25"/>
      <c r="TBE26" s="25"/>
      <c r="TBF26" s="25"/>
      <c r="TBG26" s="25"/>
      <c r="TBH26" s="25"/>
      <c r="TBI26" s="25"/>
      <c r="TBJ26" s="25"/>
      <c r="TBK26" s="25"/>
      <c r="TBL26" s="25"/>
      <c r="TBM26" s="25"/>
      <c r="TBN26" s="25"/>
      <c r="TBO26" s="25"/>
      <c r="TBP26" s="25"/>
      <c r="TBQ26" s="25"/>
      <c r="TBR26" s="25"/>
      <c r="TBS26" s="25"/>
      <c r="TBT26" s="25"/>
      <c r="TBU26" s="25"/>
      <c r="TBV26" s="25"/>
      <c r="TBW26" s="25"/>
      <c r="TBX26" s="25"/>
      <c r="TBY26" s="25"/>
      <c r="TBZ26" s="25"/>
      <c r="TCA26" s="25"/>
      <c r="TCB26" s="25"/>
      <c r="TCC26" s="25"/>
      <c r="TCD26" s="25"/>
      <c r="TCE26" s="25"/>
      <c r="TCF26" s="25"/>
      <c r="TCG26" s="25"/>
      <c r="TCH26" s="25"/>
      <c r="TCI26" s="25"/>
      <c r="TCJ26" s="25"/>
      <c r="TCK26" s="25"/>
      <c r="TCL26" s="25"/>
      <c r="TCM26" s="25"/>
      <c r="TCN26" s="25"/>
      <c r="TCO26" s="25"/>
      <c r="TCP26" s="25"/>
      <c r="TCQ26" s="25"/>
      <c r="TCR26" s="25"/>
      <c r="TCS26" s="25"/>
      <c r="TCT26" s="25"/>
      <c r="TCU26" s="25"/>
      <c r="TCV26" s="25"/>
      <c r="TCW26" s="25"/>
      <c r="TCX26" s="25"/>
      <c r="TCY26" s="25"/>
      <c r="TCZ26" s="25"/>
      <c r="TDA26" s="25"/>
      <c r="TDB26" s="25"/>
      <c r="TDC26" s="25"/>
      <c r="TDD26" s="25"/>
      <c r="TDE26" s="25"/>
      <c r="TDF26" s="25"/>
      <c r="TDG26" s="25"/>
      <c r="TDH26" s="25"/>
      <c r="TDI26" s="25"/>
      <c r="TDJ26" s="25"/>
      <c r="TDK26" s="25"/>
      <c r="TDL26" s="25"/>
      <c r="TDM26" s="25"/>
      <c r="TDN26" s="25"/>
      <c r="TDO26" s="25"/>
      <c r="TDP26" s="25"/>
      <c r="TDQ26" s="25"/>
      <c r="TDR26" s="25"/>
      <c r="TDS26" s="25"/>
      <c r="TDT26" s="25"/>
      <c r="TDU26" s="25"/>
      <c r="TDV26" s="25"/>
      <c r="TDW26" s="25"/>
      <c r="TDX26" s="25"/>
      <c r="TDY26" s="25"/>
      <c r="TDZ26" s="25"/>
      <c r="TEA26" s="25"/>
      <c r="TEB26" s="25"/>
      <c r="TEC26" s="25"/>
      <c r="TED26" s="25"/>
      <c r="TEE26" s="25"/>
      <c r="TEF26" s="25"/>
      <c r="TEG26" s="25"/>
      <c r="TEH26" s="25"/>
      <c r="TEI26" s="25"/>
      <c r="TEJ26" s="25"/>
      <c r="TEK26" s="25"/>
      <c r="TEL26" s="25"/>
      <c r="TEM26" s="25"/>
      <c r="TEN26" s="25"/>
      <c r="TEO26" s="25"/>
      <c r="TEP26" s="25"/>
      <c r="TEQ26" s="25"/>
      <c r="TER26" s="25"/>
      <c r="TES26" s="25"/>
      <c r="TET26" s="25"/>
      <c r="TEU26" s="25"/>
      <c r="TEV26" s="25"/>
      <c r="TEW26" s="25"/>
      <c r="TEX26" s="25"/>
      <c r="TEY26" s="25"/>
      <c r="TEZ26" s="25"/>
      <c r="TFA26" s="25"/>
      <c r="TFB26" s="25"/>
      <c r="TFC26" s="25"/>
      <c r="TFD26" s="25"/>
      <c r="TFE26" s="25"/>
      <c r="TFF26" s="25"/>
      <c r="TFG26" s="25"/>
      <c r="TFH26" s="25"/>
      <c r="TFI26" s="25"/>
      <c r="TFJ26" s="25"/>
      <c r="TFK26" s="25"/>
      <c r="TFL26" s="25"/>
      <c r="TFM26" s="25"/>
      <c r="TFN26" s="25"/>
      <c r="TFO26" s="25"/>
      <c r="TFP26" s="25"/>
      <c r="TFQ26" s="25"/>
      <c r="TFR26" s="25"/>
      <c r="TFS26" s="25"/>
      <c r="TFT26" s="25"/>
      <c r="TFU26" s="25"/>
      <c r="TFV26" s="25"/>
      <c r="TFW26" s="25"/>
      <c r="TFX26" s="25"/>
      <c r="TFY26" s="25"/>
      <c r="TFZ26" s="25"/>
      <c r="TGA26" s="25"/>
      <c r="TGB26" s="25"/>
      <c r="TGC26" s="25"/>
      <c r="TGD26" s="25"/>
      <c r="TGE26" s="25"/>
      <c r="TGF26" s="25"/>
      <c r="TGG26" s="25"/>
      <c r="TGH26" s="25"/>
      <c r="TGI26" s="25"/>
      <c r="TGJ26" s="25"/>
      <c r="TGK26" s="25"/>
      <c r="TGL26" s="25"/>
      <c r="TGM26" s="25"/>
      <c r="TGN26" s="25"/>
      <c r="TGO26" s="25"/>
      <c r="TGP26" s="25"/>
      <c r="TGQ26" s="25"/>
      <c r="TGR26" s="25"/>
      <c r="TGS26" s="25"/>
      <c r="TGT26" s="25"/>
      <c r="TGU26" s="25"/>
      <c r="TGV26" s="25"/>
      <c r="TGW26" s="25"/>
      <c r="TGX26" s="25"/>
      <c r="TGY26" s="25"/>
      <c r="TGZ26" s="25"/>
      <c r="THA26" s="25"/>
      <c r="THB26" s="25"/>
      <c r="THC26" s="25"/>
      <c r="THD26" s="25"/>
      <c r="THE26" s="25"/>
      <c r="THF26" s="25"/>
      <c r="THG26" s="25"/>
      <c r="THH26" s="25"/>
      <c r="THI26" s="25"/>
      <c r="THJ26" s="25"/>
      <c r="THK26" s="25"/>
      <c r="THL26" s="25"/>
      <c r="THM26" s="25"/>
      <c r="THN26" s="25"/>
      <c r="THO26" s="25"/>
      <c r="THP26" s="25"/>
      <c r="THQ26" s="25"/>
      <c r="THR26" s="25"/>
      <c r="THS26" s="25"/>
      <c r="THT26" s="25"/>
      <c r="THU26" s="25"/>
      <c r="THV26" s="25"/>
      <c r="THW26" s="25"/>
      <c r="THX26" s="25"/>
      <c r="THY26" s="25"/>
      <c r="THZ26" s="25"/>
      <c r="TIA26" s="25"/>
      <c r="TIB26" s="25"/>
      <c r="TIC26" s="25"/>
      <c r="TID26" s="25"/>
      <c r="TIE26" s="25"/>
      <c r="TIF26" s="25"/>
      <c r="TIG26" s="25"/>
      <c r="TIH26" s="25"/>
      <c r="TII26" s="25"/>
      <c r="TIJ26" s="25"/>
      <c r="TIK26" s="25"/>
      <c r="TIL26" s="25"/>
      <c r="TIM26" s="25"/>
      <c r="TIN26" s="25"/>
      <c r="TIO26" s="25"/>
      <c r="TIP26" s="25"/>
      <c r="TIQ26" s="25"/>
      <c r="TIR26" s="25"/>
      <c r="TIS26" s="25"/>
      <c r="TIT26" s="25"/>
      <c r="TIU26" s="25"/>
      <c r="TIV26" s="25"/>
      <c r="TIW26" s="25"/>
      <c r="TIX26" s="25"/>
      <c r="TIY26" s="25"/>
      <c r="TIZ26" s="25"/>
      <c r="TJA26" s="25"/>
      <c r="TJB26" s="25"/>
      <c r="TJC26" s="25"/>
      <c r="TJD26" s="25"/>
      <c r="TJE26" s="25"/>
      <c r="TJF26" s="25"/>
      <c r="TJG26" s="25"/>
      <c r="TJH26" s="25"/>
      <c r="TJI26" s="25"/>
      <c r="TJJ26" s="25"/>
      <c r="TJK26" s="25"/>
      <c r="TJL26" s="25"/>
      <c r="TJM26" s="25"/>
      <c r="TJN26" s="25"/>
      <c r="TJO26" s="25"/>
      <c r="TJP26" s="25"/>
      <c r="TJQ26" s="25"/>
      <c r="TJR26" s="25"/>
      <c r="TJS26" s="25"/>
      <c r="TJT26" s="25"/>
      <c r="TJU26" s="25"/>
      <c r="TJV26" s="25"/>
      <c r="TJW26" s="25"/>
      <c r="TJX26" s="25"/>
      <c r="TJY26" s="25"/>
      <c r="TJZ26" s="25"/>
      <c r="TKA26" s="25"/>
      <c r="TKB26" s="25"/>
      <c r="TKC26" s="25"/>
      <c r="TKD26" s="25"/>
      <c r="TKE26" s="25"/>
      <c r="TKF26" s="25"/>
      <c r="TKG26" s="25"/>
      <c r="TKH26" s="25"/>
      <c r="TKI26" s="25"/>
      <c r="TKJ26" s="25"/>
      <c r="TKK26" s="25"/>
      <c r="TKL26" s="25"/>
      <c r="TKM26" s="25"/>
      <c r="TKN26" s="25"/>
      <c r="TKO26" s="25"/>
      <c r="TKP26" s="25"/>
      <c r="TKQ26" s="25"/>
      <c r="TKR26" s="25"/>
      <c r="TKS26" s="25"/>
      <c r="TKT26" s="25"/>
      <c r="TKU26" s="25"/>
      <c r="TKV26" s="25"/>
      <c r="TKW26" s="25"/>
      <c r="TKX26" s="25"/>
      <c r="TKY26" s="25"/>
      <c r="TKZ26" s="25"/>
      <c r="TLA26" s="25"/>
      <c r="TLB26" s="25"/>
      <c r="TLC26" s="25"/>
      <c r="TLD26" s="25"/>
      <c r="TLE26" s="25"/>
      <c r="TLF26" s="25"/>
      <c r="TLG26" s="25"/>
      <c r="TLH26" s="25"/>
      <c r="TLI26" s="25"/>
      <c r="TLJ26" s="25"/>
      <c r="TLK26" s="25"/>
      <c r="TLL26" s="25"/>
      <c r="TLM26" s="25"/>
      <c r="TLN26" s="25"/>
      <c r="TLO26" s="25"/>
      <c r="TLP26" s="25"/>
      <c r="TLQ26" s="25"/>
      <c r="TLR26" s="25"/>
      <c r="TLS26" s="25"/>
      <c r="TLT26" s="25"/>
      <c r="TLU26" s="25"/>
      <c r="TLV26" s="25"/>
      <c r="TLW26" s="25"/>
      <c r="TLX26" s="25"/>
      <c r="TLY26" s="25"/>
      <c r="TLZ26" s="25"/>
      <c r="TMA26" s="25"/>
      <c r="TMB26" s="25"/>
      <c r="TMC26" s="25"/>
      <c r="TMD26" s="25"/>
      <c r="TME26" s="25"/>
      <c r="TMF26" s="25"/>
      <c r="TMG26" s="25"/>
      <c r="TMH26" s="25"/>
      <c r="TMI26" s="25"/>
      <c r="TMJ26" s="25"/>
      <c r="TMK26" s="25"/>
      <c r="TML26" s="25"/>
      <c r="TMM26" s="25"/>
      <c r="TMN26" s="25"/>
      <c r="TMO26" s="25"/>
      <c r="TMP26" s="25"/>
      <c r="TMQ26" s="25"/>
      <c r="TMR26" s="25"/>
      <c r="TMS26" s="25"/>
      <c r="TMT26" s="25"/>
      <c r="TMU26" s="25"/>
      <c r="TMV26" s="25"/>
      <c r="TMW26" s="25"/>
      <c r="TMX26" s="25"/>
      <c r="TMY26" s="25"/>
      <c r="TMZ26" s="25"/>
      <c r="TNA26" s="25"/>
      <c r="TNB26" s="25"/>
      <c r="TNC26" s="25"/>
      <c r="TND26" s="25"/>
      <c r="TNE26" s="25"/>
      <c r="TNF26" s="25"/>
      <c r="TNG26" s="25"/>
      <c r="TNH26" s="25"/>
      <c r="TNI26" s="25"/>
      <c r="TNJ26" s="25"/>
      <c r="TNK26" s="25"/>
      <c r="TNL26" s="25"/>
      <c r="TNM26" s="25"/>
      <c r="TNN26" s="25"/>
      <c r="TNO26" s="25"/>
      <c r="TNP26" s="25"/>
      <c r="TNQ26" s="25"/>
      <c r="TNR26" s="25"/>
      <c r="TNS26" s="25"/>
      <c r="TNT26" s="25"/>
      <c r="TNU26" s="25"/>
      <c r="TNV26" s="25"/>
      <c r="TNW26" s="25"/>
      <c r="TNX26" s="25"/>
      <c r="TNY26" s="25"/>
      <c r="TNZ26" s="25"/>
      <c r="TOA26" s="25"/>
      <c r="TOB26" s="25"/>
      <c r="TOC26" s="25"/>
      <c r="TOD26" s="25"/>
      <c r="TOE26" s="25"/>
      <c r="TOF26" s="25"/>
      <c r="TOG26" s="25"/>
      <c r="TOH26" s="25"/>
      <c r="TOI26" s="25"/>
      <c r="TOJ26" s="25"/>
      <c r="TOK26" s="25"/>
      <c r="TOL26" s="25"/>
      <c r="TOM26" s="25"/>
      <c r="TON26" s="25"/>
      <c r="TOO26" s="25"/>
      <c r="TOP26" s="25"/>
      <c r="TOQ26" s="25"/>
      <c r="TOR26" s="25"/>
      <c r="TOS26" s="25"/>
      <c r="TOT26" s="25"/>
      <c r="TOU26" s="25"/>
      <c r="TOV26" s="25"/>
      <c r="TOW26" s="25"/>
      <c r="TOX26" s="25"/>
      <c r="TOY26" s="25"/>
      <c r="TOZ26" s="25"/>
      <c r="TPA26" s="25"/>
      <c r="TPB26" s="25"/>
      <c r="TPC26" s="25"/>
      <c r="TPD26" s="25"/>
      <c r="TPE26" s="25"/>
      <c r="TPF26" s="25"/>
      <c r="TPG26" s="25"/>
      <c r="TPH26" s="25"/>
      <c r="TPI26" s="25"/>
      <c r="TPJ26" s="25"/>
      <c r="TPK26" s="25"/>
      <c r="TPL26" s="25"/>
      <c r="TPM26" s="25"/>
      <c r="TPN26" s="25"/>
      <c r="TPO26" s="25"/>
      <c r="TPP26" s="25"/>
      <c r="TPQ26" s="25"/>
      <c r="TPR26" s="25"/>
      <c r="TPS26" s="25"/>
      <c r="TPT26" s="25"/>
      <c r="TPU26" s="25"/>
      <c r="TPV26" s="25"/>
      <c r="TPW26" s="25"/>
      <c r="TPX26" s="25"/>
      <c r="TPY26" s="25"/>
      <c r="TPZ26" s="25"/>
      <c r="TQA26" s="25"/>
      <c r="TQB26" s="25"/>
      <c r="TQC26" s="25"/>
      <c r="TQD26" s="25"/>
      <c r="TQE26" s="25"/>
      <c r="TQF26" s="25"/>
      <c r="TQG26" s="25"/>
      <c r="TQH26" s="25"/>
      <c r="TQI26" s="25"/>
      <c r="TQJ26" s="25"/>
      <c r="TQK26" s="25"/>
      <c r="TQL26" s="25"/>
      <c r="TQM26" s="25"/>
      <c r="TQN26" s="25"/>
      <c r="TQO26" s="25"/>
      <c r="TQP26" s="25"/>
      <c r="TQQ26" s="25"/>
      <c r="TQR26" s="25"/>
      <c r="TQS26" s="25"/>
      <c r="TQT26" s="25"/>
      <c r="TQU26" s="25"/>
      <c r="TQV26" s="25"/>
      <c r="TQW26" s="25"/>
      <c r="TQX26" s="25"/>
      <c r="TQY26" s="25"/>
      <c r="TQZ26" s="25"/>
      <c r="TRA26" s="25"/>
      <c r="TRB26" s="25"/>
      <c r="TRC26" s="25"/>
      <c r="TRD26" s="25"/>
      <c r="TRE26" s="25"/>
      <c r="TRF26" s="25"/>
      <c r="TRG26" s="25"/>
      <c r="TRH26" s="25"/>
      <c r="TRI26" s="25"/>
      <c r="TRJ26" s="25"/>
      <c r="TRK26" s="25"/>
      <c r="TRL26" s="25"/>
      <c r="TRM26" s="25"/>
      <c r="TRN26" s="25"/>
      <c r="TRO26" s="25"/>
      <c r="TRP26" s="25"/>
      <c r="TRQ26" s="25"/>
      <c r="TRR26" s="25"/>
      <c r="TRS26" s="25"/>
      <c r="TRT26" s="25"/>
      <c r="TRU26" s="25"/>
      <c r="TRV26" s="25"/>
      <c r="TRW26" s="25"/>
      <c r="TRX26" s="25"/>
      <c r="TRY26" s="25"/>
      <c r="TRZ26" s="25"/>
      <c r="TSA26" s="25"/>
      <c r="TSB26" s="25"/>
      <c r="TSC26" s="25"/>
      <c r="TSD26" s="25"/>
      <c r="TSE26" s="25"/>
      <c r="TSF26" s="25"/>
      <c r="TSG26" s="25"/>
      <c r="TSH26" s="25"/>
      <c r="TSI26" s="25"/>
      <c r="TSJ26" s="25"/>
      <c r="TSK26" s="25"/>
      <c r="TSL26" s="25"/>
      <c r="TSM26" s="25"/>
      <c r="TSN26" s="25"/>
      <c r="TSO26" s="25"/>
      <c r="TSP26" s="25"/>
      <c r="TSQ26" s="25"/>
      <c r="TSR26" s="25"/>
      <c r="TSS26" s="25"/>
      <c r="TST26" s="25"/>
      <c r="TSU26" s="25"/>
      <c r="TSV26" s="25"/>
      <c r="TSW26" s="25"/>
      <c r="TSX26" s="25"/>
      <c r="TSY26" s="25"/>
      <c r="TSZ26" s="25"/>
      <c r="TTA26" s="25"/>
      <c r="TTB26" s="25"/>
      <c r="TTC26" s="25"/>
      <c r="TTD26" s="25"/>
      <c r="TTE26" s="25"/>
      <c r="TTF26" s="25"/>
      <c r="TTG26" s="25"/>
      <c r="TTH26" s="25"/>
      <c r="TTI26" s="25"/>
      <c r="TTJ26" s="25"/>
      <c r="TTK26" s="25"/>
      <c r="TTL26" s="25"/>
      <c r="TTM26" s="25"/>
      <c r="TTN26" s="25"/>
      <c r="TTO26" s="25"/>
      <c r="TTP26" s="25"/>
      <c r="TTQ26" s="25"/>
      <c r="TTR26" s="25"/>
      <c r="TTS26" s="25"/>
      <c r="TTT26" s="25"/>
      <c r="TTU26" s="25"/>
      <c r="TTV26" s="25"/>
      <c r="TTW26" s="25"/>
      <c r="TTX26" s="25"/>
      <c r="TTY26" s="25"/>
      <c r="TTZ26" s="25"/>
      <c r="TUA26" s="25"/>
      <c r="TUB26" s="25"/>
      <c r="TUC26" s="25"/>
      <c r="TUD26" s="25"/>
      <c r="TUE26" s="25"/>
      <c r="TUF26" s="25"/>
      <c r="TUG26" s="25"/>
      <c r="TUH26" s="25"/>
      <c r="TUI26" s="25"/>
      <c r="TUJ26" s="25"/>
      <c r="TUK26" s="25"/>
      <c r="TUL26" s="25"/>
      <c r="TUM26" s="25"/>
      <c r="TUN26" s="25"/>
      <c r="TUO26" s="25"/>
      <c r="TUP26" s="25"/>
      <c r="TUQ26" s="25"/>
      <c r="TUR26" s="25"/>
      <c r="TUS26" s="25"/>
      <c r="TUT26" s="25"/>
      <c r="TUU26" s="25"/>
      <c r="TUV26" s="25"/>
      <c r="TUW26" s="25"/>
      <c r="TUX26" s="25"/>
      <c r="TUY26" s="25"/>
      <c r="TUZ26" s="25"/>
      <c r="TVA26" s="25"/>
      <c r="TVB26" s="25"/>
      <c r="TVC26" s="25"/>
      <c r="TVD26" s="25"/>
      <c r="TVE26" s="25"/>
      <c r="TVF26" s="25"/>
      <c r="TVG26" s="25"/>
      <c r="TVH26" s="25"/>
      <c r="TVI26" s="25"/>
      <c r="TVJ26" s="25"/>
      <c r="TVK26" s="25"/>
      <c r="TVL26" s="25"/>
      <c r="TVM26" s="25"/>
      <c r="TVN26" s="25"/>
      <c r="TVO26" s="25"/>
      <c r="TVP26" s="25"/>
      <c r="TVQ26" s="25"/>
      <c r="TVR26" s="25"/>
      <c r="TVS26" s="25"/>
      <c r="TVT26" s="25"/>
      <c r="TVU26" s="25"/>
      <c r="TVV26" s="25"/>
      <c r="TVW26" s="25"/>
      <c r="TVX26" s="25"/>
      <c r="TVY26" s="25"/>
      <c r="TVZ26" s="25"/>
      <c r="TWA26" s="25"/>
      <c r="TWB26" s="25"/>
      <c r="TWC26" s="25"/>
      <c r="TWD26" s="25"/>
      <c r="TWE26" s="25"/>
      <c r="TWF26" s="25"/>
      <c r="TWG26" s="25"/>
      <c r="TWH26" s="25"/>
      <c r="TWI26" s="25"/>
      <c r="TWJ26" s="25"/>
      <c r="TWK26" s="25"/>
      <c r="TWL26" s="25"/>
      <c r="TWM26" s="25"/>
      <c r="TWN26" s="25"/>
      <c r="TWO26" s="25"/>
      <c r="TWP26" s="25"/>
      <c r="TWQ26" s="25"/>
      <c r="TWR26" s="25"/>
      <c r="TWS26" s="25"/>
      <c r="TWT26" s="25"/>
      <c r="TWU26" s="25"/>
      <c r="TWV26" s="25"/>
      <c r="TWW26" s="25"/>
      <c r="TWX26" s="25"/>
      <c r="TWY26" s="25"/>
      <c r="TWZ26" s="25"/>
      <c r="TXA26" s="25"/>
      <c r="TXB26" s="25"/>
      <c r="TXC26" s="25"/>
      <c r="TXD26" s="25"/>
      <c r="TXE26" s="25"/>
      <c r="TXF26" s="25"/>
      <c r="TXG26" s="25"/>
      <c r="TXH26" s="25"/>
      <c r="TXI26" s="25"/>
      <c r="TXJ26" s="25"/>
      <c r="TXK26" s="25"/>
      <c r="TXL26" s="25"/>
      <c r="TXM26" s="25"/>
      <c r="TXN26" s="25"/>
      <c r="TXO26" s="25"/>
      <c r="TXP26" s="25"/>
      <c r="TXQ26" s="25"/>
      <c r="TXR26" s="25"/>
      <c r="TXS26" s="25"/>
      <c r="TXT26" s="25"/>
      <c r="TXU26" s="25"/>
      <c r="TXV26" s="25"/>
      <c r="TXW26" s="25"/>
      <c r="TXX26" s="25"/>
      <c r="TXY26" s="25"/>
      <c r="TXZ26" s="25"/>
      <c r="TYA26" s="25"/>
      <c r="TYB26" s="25"/>
      <c r="TYC26" s="25"/>
      <c r="TYD26" s="25"/>
      <c r="TYE26" s="25"/>
      <c r="TYF26" s="25"/>
      <c r="TYG26" s="25"/>
      <c r="TYH26" s="25"/>
      <c r="TYI26" s="25"/>
      <c r="TYJ26" s="25"/>
      <c r="TYK26" s="25"/>
      <c r="TYL26" s="25"/>
      <c r="TYM26" s="25"/>
      <c r="TYN26" s="25"/>
      <c r="TYO26" s="25"/>
      <c r="TYP26" s="25"/>
      <c r="TYQ26" s="25"/>
      <c r="TYR26" s="25"/>
      <c r="TYS26" s="25"/>
      <c r="TYT26" s="25"/>
      <c r="TYU26" s="25"/>
      <c r="TYV26" s="25"/>
      <c r="TYW26" s="25"/>
      <c r="TYX26" s="25"/>
      <c r="TYY26" s="25"/>
      <c r="TYZ26" s="25"/>
      <c r="TZA26" s="25"/>
      <c r="TZB26" s="25"/>
      <c r="TZC26" s="25"/>
      <c r="TZD26" s="25"/>
      <c r="TZE26" s="25"/>
      <c r="TZF26" s="25"/>
      <c r="TZG26" s="25"/>
      <c r="TZH26" s="25"/>
      <c r="TZI26" s="25"/>
      <c r="TZJ26" s="25"/>
      <c r="TZK26" s="25"/>
      <c r="TZL26" s="25"/>
      <c r="TZM26" s="25"/>
      <c r="TZN26" s="25"/>
      <c r="TZO26" s="25"/>
      <c r="TZP26" s="25"/>
      <c r="TZQ26" s="25"/>
      <c r="TZR26" s="25"/>
      <c r="TZS26" s="25"/>
      <c r="TZT26" s="25"/>
      <c r="TZU26" s="25"/>
      <c r="TZV26" s="25"/>
      <c r="TZW26" s="25"/>
      <c r="TZX26" s="25"/>
      <c r="TZY26" s="25"/>
      <c r="TZZ26" s="25"/>
      <c r="UAA26" s="25"/>
      <c r="UAB26" s="25"/>
      <c r="UAC26" s="25"/>
      <c r="UAD26" s="25"/>
      <c r="UAE26" s="25"/>
      <c r="UAF26" s="25"/>
      <c r="UAG26" s="25"/>
      <c r="UAH26" s="25"/>
      <c r="UAI26" s="25"/>
      <c r="UAJ26" s="25"/>
      <c r="UAK26" s="25"/>
      <c r="UAL26" s="25"/>
      <c r="UAM26" s="25"/>
      <c r="UAN26" s="25"/>
      <c r="UAO26" s="25"/>
      <c r="UAP26" s="25"/>
      <c r="UAQ26" s="25"/>
      <c r="UAR26" s="25"/>
      <c r="UAS26" s="25"/>
      <c r="UAT26" s="25"/>
      <c r="UAU26" s="25"/>
      <c r="UAV26" s="25"/>
      <c r="UAW26" s="25"/>
      <c r="UAX26" s="25"/>
      <c r="UAY26" s="25"/>
      <c r="UAZ26" s="25"/>
      <c r="UBA26" s="25"/>
      <c r="UBB26" s="25"/>
      <c r="UBC26" s="25"/>
      <c r="UBD26" s="25"/>
      <c r="UBE26" s="25"/>
      <c r="UBF26" s="25"/>
      <c r="UBG26" s="25"/>
      <c r="UBH26" s="25"/>
      <c r="UBI26" s="25"/>
      <c r="UBJ26" s="25"/>
      <c r="UBK26" s="25"/>
      <c r="UBL26" s="25"/>
      <c r="UBM26" s="25"/>
      <c r="UBN26" s="25"/>
      <c r="UBO26" s="25"/>
      <c r="UBP26" s="25"/>
      <c r="UBQ26" s="25"/>
      <c r="UBR26" s="25"/>
      <c r="UBS26" s="25"/>
      <c r="UBT26" s="25"/>
      <c r="UBU26" s="25"/>
      <c r="UBV26" s="25"/>
      <c r="UBW26" s="25"/>
      <c r="UBX26" s="25"/>
      <c r="UBY26" s="25"/>
      <c r="UBZ26" s="25"/>
      <c r="UCA26" s="25"/>
      <c r="UCB26" s="25"/>
      <c r="UCC26" s="25"/>
      <c r="UCD26" s="25"/>
      <c r="UCE26" s="25"/>
      <c r="UCF26" s="25"/>
      <c r="UCG26" s="25"/>
      <c r="UCH26" s="25"/>
      <c r="UCI26" s="25"/>
      <c r="UCJ26" s="25"/>
      <c r="UCK26" s="25"/>
      <c r="UCL26" s="25"/>
      <c r="UCM26" s="25"/>
      <c r="UCN26" s="25"/>
      <c r="UCO26" s="25"/>
      <c r="UCP26" s="25"/>
      <c r="UCQ26" s="25"/>
      <c r="UCR26" s="25"/>
      <c r="UCS26" s="25"/>
      <c r="UCT26" s="25"/>
      <c r="UCU26" s="25"/>
      <c r="UCV26" s="25"/>
      <c r="UCW26" s="25"/>
      <c r="UCX26" s="25"/>
      <c r="UCY26" s="25"/>
      <c r="UCZ26" s="25"/>
      <c r="UDA26" s="25"/>
      <c r="UDB26" s="25"/>
      <c r="UDC26" s="25"/>
      <c r="UDD26" s="25"/>
      <c r="UDE26" s="25"/>
      <c r="UDF26" s="25"/>
      <c r="UDG26" s="25"/>
      <c r="UDH26" s="25"/>
      <c r="UDI26" s="25"/>
      <c r="UDJ26" s="25"/>
      <c r="UDK26" s="25"/>
      <c r="UDL26" s="25"/>
      <c r="UDM26" s="25"/>
      <c r="UDN26" s="25"/>
      <c r="UDO26" s="25"/>
      <c r="UDP26" s="25"/>
      <c r="UDQ26" s="25"/>
      <c r="UDR26" s="25"/>
      <c r="UDS26" s="25"/>
      <c r="UDT26" s="25"/>
      <c r="UDU26" s="25"/>
      <c r="UDV26" s="25"/>
      <c r="UDW26" s="25"/>
      <c r="UDX26" s="25"/>
      <c r="UDY26" s="25"/>
      <c r="UDZ26" s="25"/>
      <c r="UEA26" s="25"/>
      <c r="UEB26" s="25"/>
      <c r="UEC26" s="25"/>
      <c r="UED26" s="25"/>
      <c r="UEE26" s="25"/>
      <c r="UEF26" s="25"/>
      <c r="UEG26" s="25"/>
      <c r="UEH26" s="25"/>
      <c r="UEI26" s="25"/>
      <c r="UEJ26" s="25"/>
      <c r="UEK26" s="25"/>
      <c r="UEL26" s="25"/>
      <c r="UEM26" s="25"/>
      <c r="UEN26" s="25"/>
      <c r="UEO26" s="25"/>
      <c r="UEP26" s="25"/>
      <c r="UEQ26" s="25"/>
      <c r="UER26" s="25"/>
      <c r="UES26" s="25"/>
      <c r="UET26" s="25"/>
      <c r="UEU26" s="25"/>
      <c r="UEV26" s="25"/>
      <c r="UEW26" s="25"/>
      <c r="UEX26" s="25"/>
      <c r="UEY26" s="25"/>
      <c r="UEZ26" s="25"/>
      <c r="UFA26" s="25"/>
      <c r="UFB26" s="25"/>
      <c r="UFC26" s="25"/>
      <c r="UFD26" s="25"/>
      <c r="UFE26" s="25"/>
      <c r="UFF26" s="25"/>
      <c r="UFG26" s="25"/>
      <c r="UFH26" s="25"/>
      <c r="UFI26" s="25"/>
      <c r="UFJ26" s="25"/>
      <c r="UFK26" s="25"/>
      <c r="UFL26" s="25"/>
      <c r="UFM26" s="25"/>
      <c r="UFN26" s="25"/>
      <c r="UFO26" s="25"/>
      <c r="UFP26" s="25"/>
      <c r="UFQ26" s="25"/>
      <c r="UFR26" s="25"/>
      <c r="UFS26" s="25"/>
      <c r="UFT26" s="25"/>
      <c r="UFU26" s="25"/>
      <c r="UFV26" s="25"/>
      <c r="UFW26" s="25"/>
      <c r="UFX26" s="25"/>
      <c r="UFY26" s="25"/>
      <c r="UFZ26" s="25"/>
      <c r="UGA26" s="25"/>
      <c r="UGB26" s="25"/>
      <c r="UGC26" s="25"/>
      <c r="UGD26" s="25"/>
      <c r="UGE26" s="25"/>
      <c r="UGF26" s="25"/>
      <c r="UGG26" s="25"/>
      <c r="UGH26" s="25"/>
      <c r="UGI26" s="25"/>
      <c r="UGJ26" s="25"/>
      <c r="UGK26" s="25"/>
      <c r="UGL26" s="25"/>
      <c r="UGM26" s="25"/>
      <c r="UGN26" s="25"/>
      <c r="UGO26" s="25"/>
      <c r="UGP26" s="25"/>
      <c r="UGQ26" s="25"/>
      <c r="UGR26" s="25"/>
      <c r="UGS26" s="25"/>
      <c r="UGT26" s="25"/>
      <c r="UGU26" s="25"/>
      <c r="UGV26" s="25"/>
      <c r="UGW26" s="25"/>
      <c r="UGX26" s="25"/>
      <c r="UGY26" s="25"/>
      <c r="UGZ26" s="25"/>
      <c r="UHA26" s="25"/>
      <c r="UHB26" s="25"/>
      <c r="UHC26" s="25"/>
      <c r="UHD26" s="25"/>
      <c r="UHE26" s="25"/>
      <c r="UHF26" s="25"/>
      <c r="UHG26" s="25"/>
      <c r="UHH26" s="25"/>
      <c r="UHI26" s="25"/>
      <c r="UHJ26" s="25"/>
      <c r="UHK26" s="25"/>
      <c r="UHL26" s="25"/>
      <c r="UHM26" s="25"/>
      <c r="UHN26" s="25"/>
      <c r="UHO26" s="25"/>
      <c r="UHP26" s="25"/>
      <c r="UHQ26" s="25"/>
      <c r="UHR26" s="25"/>
      <c r="UHS26" s="25"/>
      <c r="UHT26" s="25"/>
      <c r="UHU26" s="25"/>
      <c r="UHV26" s="25"/>
      <c r="UHW26" s="25"/>
      <c r="UHX26" s="25"/>
      <c r="UHY26" s="25"/>
      <c r="UHZ26" s="25"/>
      <c r="UIA26" s="25"/>
      <c r="UIB26" s="25"/>
      <c r="UIC26" s="25"/>
      <c r="UID26" s="25"/>
      <c r="UIE26" s="25"/>
      <c r="UIF26" s="25"/>
      <c r="UIG26" s="25"/>
      <c r="UIH26" s="25"/>
      <c r="UII26" s="25"/>
      <c r="UIJ26" s="25"/>
      <c r="UIK26" s="25"/>
      <c r="UIL26" s="25"/>
      <c r="UIM26" s="25"/>
      <c r="UIN26" s="25"/>
      <c r="UIO26" s="25"/>
      <c r="UIP26" s="25"/>
      <c r="UIQ26" s="25"/>
      <c r="UIR26" s="25"/>
      <c r="UIS26" s="25"/>
      <c r="UIT26" s="25"/>
      <c r="UIU26" s="25"/>
      <c r="UIV26" s="25"/>
      <c r="UIW26" s="25"/>
      <c r="UIX26" s="25"/>
      <c r="UIY26" s="25"/>
      <c r="UIZ26" s="25"/>
      <c r="UJA26" s="25"/>
      <c r="UJB26" s="25"/>
      <c r="UJC26" s="25"/>
      <c r="UJD26" s="25"/>
      <c r="UJE26" s="25"/>
      <c r="UJF26" s="25"/>
      <c r="UJG26" s="25"/>
      <c r="UJH26" s="25"/>
      <c r="UJI26" s="25"/>
      <c r="UJJ26" s="25"/>
      <c r="UJK26" s="25"/>
      <c r="UJL26" s="25"/>
      <c r="UJM26" s="25"/>
      <c r="UJN26" s="25"/>
      <c r="UJO26" s="25"/>
      <c r="UJP26" s="25"/>
      <c r="UJQ26" s="25"/>
      <c r="UJR26" s="25"/>
      <c r="UJS26" s="25"/>
      <c r="UJT26" s="25"/>
      <c r="UJU26" s="25"/>
      <c r="UJV26" s="25"/>
      <c r="UJW26" s="25"/>
      <c r="UJX26" s="25"/>
      <c r="UJY26" s="25"/>
      <c r="UJZ26" s="25"/>
      <c r="UKA26" s="25"/>
      <c r="UKB26" s="25"/>
      <c r="UKC26" s="25"/>
      <c r="UKD26" s="25"/>
      <c r="UKE26" s="25"/>
      <c r="UKF26" s="25"/>
      <c r="UKG26" s="25"/>
      <c r="UKH26" s="25"/>
      <c r="UKI26" s="25"/>
      <c r="UKJ26" s="25"/>
      <c r="UKK26" s="25"/>
      <c r="UKL26" s="25"/>
      <c r="UKM26" s="25"/>
      <c r="UKN26" s="25"/>
      <c r="UKO26" s="25"/>
      <c r="UKP26" s="25"/>
      <c r="UKQ26" s="25"/>
      <c r="UKR26" s="25"/>
      <c r="UKS26" s="25"/>
      <c r="UKT26" s="25"/>
      <c r="UKU26" s="25"/>
      <c r="UKV26" s="25"/>
      <c r="UKW26" s="25"/>
      <c r="UKX26" s="25"/>
      <c r="UKY26" s="25"/>
      <c r="UKZ26" s="25"/>
      <c r="ULA26" s="25"/>
      <c r="ULB26" s="25"/>
      <c r="ULC26" s="25"/>
      <c r="ULD26" s="25"/>
      <c r="ULE26" s="25"/>
      <c r="ULF26" s="25"/>
      <c r="ULG26" s="25"/>
      <c r="ULH26" s="25"/>
      <c r="ULI26" s="25"/>
      <c r="ULJ26" s="25"/>
      <c r="ULK26" s="25"/>
      <c r="ULL26" s="25"/>
      <c r="ULM26" s="25"/>
      <c r="ULN26" s="25"/>
      <c r="ULO26" s="25"/>
      <c r="ULP26" s="25"/>
      <c r="ULQ26" s="25"/>
      <c r="ULR26" s="25"/>
      <c r="ULS26" s="25"/>
      <c r="ULT26" s="25"/>
      <c r="ULU26" s="25"/>
      <c r="ULV26" s="25"/>
      <c r="ULW26" s="25"/>
      <c r="ULX26" s="25"/>
      <c r="ULY26" s="25"/>
      <c r="ULZ26" s="25"/>
      <c r="UMA26" s="25"/>
      <c r="UMB26" s="25"/>
      <c r="UMC26" s="25"/>
      <c r="UMD26" s="25"/>
      <c r="UME26" s="25"/>
      <c r="UMF26" s="25"/>
      <c r="UMG26" s="25"/>
      <c r="UMH26" s="25"/>
      <c r="UMI26" s="25"/>
      <c r="UMJ26" s="25"/>
      <c r="UMK26" s="25"/>
      <c r="UML26" s="25"/>
      <c r="UMM26" s="25"/>
      <c r="UMN26" s="25"/>
      <c r="UMO26" s="25"/>
      <c r="UMP26" s="25"/>
      <c r="UMQ26" s="25"/>
      <c r="UMR26" s="25"/>
      <c r="UMS26" s="25"/>
      <c r="UMT26" s="25"/>
      <c r="UMU26" s="25"/>
      <c r="UMV26" s="25"/>
      <c r="UMW26" s="25"/>
      <c r="UMX26" s="25"/>
      <c r="UMY26" s="25"/>
      <c r="UMZ26" s="25"/>
      <c r="UNA26" s="25"/>
      <c r="UNB26" s="25"/>
      <c r="UNC26" s="25"/>
      <c r="UND26" s="25"/>
      <c r="UNE26" s="25"/>
      <c r="UNF26" s="25"/>
      <c r="UNG26" s="25"/>
      <c r="UNH26" s="25"/>
      <c r="UNI26" s="25"/>
      <c r="UNJ26" s="25"/>
      <c r="UNK26" s="25"/>
      <c r="UNL26" s="25"/>
      <c r="UNM26" s="25"/>
      <c r="UNN26" s="25"/>
      <c r="UNO26" s="25"/>
      <c r="UNP26" s="25"/>
      <c r="UNQ26" s="25"/>
      <c r="UNR26" s="25"/>
      <c r="UNS26" s="25"/>
      <c r="UNT26" s="25"/>
      <c r="UNU26" s="25"/>
      <c r="UNV26" s="25"/>
      <c r="UNW26" s="25"/>
      <c r="UNX26" s="25"/>
      <c r="UNY26" s="25"/>
      <c r="UNZ26" s="25"/>
      <c r="UOA26" s="25"/>
      <c r="UOB26" s="25"/>
      <c r="UOC26" s="25"/>
      <c r="UOD26" s="25"/>
      <c r="UOE26" s="25"/>
      <c r="UOF26" s="25"/>
      <c r="UOG26" s="25"/>
      <c r="UOH26" s="25"/>
      <c r="UOI26" s="25"/>
      <c r="UOJ26" s="25"/>
      <c r="UOK26" s="25"/>
      <c r="UOL26" s="25"/>
      <c r="UOM26" s="25"/>
      <c r="UON26" s="25"/>
      <c r="UOO26" s="25"/>
      <c r="UOP26" s="25"/>
      <c r="UOQ26" s="25"/>
      <c r="UOR26" s="25"/>
      <c r="UOS26" s="25"/>
      <c r="UOT26" s="25"/>
      <c r="UOU26" s="25"/>
      <c r="UOV26" s="25"/>
      <c r="UOW26" s="25"/>
      <c r="UOX26" s="25"/>
      <c r="UOY26" s="25"/>
      <c r="UOZ26" s="25"/>
      <c r="UPA26" s="25"/>
      <c r="UPB26" s="25"/>
      <c r="UPC26" s="25"/>
      <c r="UPD26" s="25"/>
      <c r="UPE26" s="25"/>
      <c r="UPF26" s="25"/>
      <c r="UPG26" s="25"/>
      <c r="UPH26" s="25"/>
      <c r="UPI26" s="25"/>
      <c r="UPJ26" s="25"/>
      <c r="UPK26" s="25"/>
      <c r="UPL26" s="25"/>
      <c r="UPM26" s="25"/>
      <c r="UPN26" s="25"/>
      <c r="UPO26" s="25"/>
      <c r="UPP26" s="25"/>
      <c r="UPQ26" s="25"/>
      <c r="UPR26" s="25"/>
      <c r="UPS26" s="25"/>
      <c r="UPT26" s="25"/>
      <c r="UPU26" s="25"/>
      <c r="UPV26" s="25"/>
      <c r="UPW26" s="25"/>
      <c r="UPX26" s="25"/>
      <c r="UPY26" s="25"/>
      <c r="UPZ26" s="25"/>
      <c r="UQA26" s="25"/>
      <c r="UQB26" s="25"/>
      <c r="UQC26" s="25"/>
      <c r="UQD26" s="25"/>
      <c r="UQE26" s="25"/>
      <c r="UQF26" s="25"/>
      <c r="UQG26" s="25"/>
      <c r="UQH26" s="25"/>
      <c r="UQI26" s="25"/>
      <c r="UQJ26" s="25"/>
      <c r="UQK26" s="25"/>
      <c r="UQL26" s="25"/>
      <c r="UQM26" s="25"/>
      <c r="UQN26" s="25"/>
      <c r="UQO26" s="25"/>
      <c r="UQP26" s="25"/>
      <c r="UQQ26" s="25"/>
      <c r="UQR26" s="25"/>
      <c r="UQS26" s="25"/>
      <c r="UQT26" s="25"/>
      <c r="UQU26" s="25"/>
      <c r="UQV26" s="25"/>
      <c r="UQW26" s="25"/>
      <c r="UQX26" s="25"/>
      <c r="UQY26" s="25"/>
      <c r="UQZ26" s="25"/>
      <c r="URA26" s="25"/>
      <c r="URB26" s="25"/>
      <c r="URC26" s="25"/>
      <c r="URD26" s="25"/>
      <c r="URE26" s="25"/>
      <c r="URF26" s="25"/>
      <c r="URG26" s="25"/>
      <c r="URH26" s="25"/>
      <c r="URI26" s="25"/>
      <c r="URJ26" s="25"/>
      <c r="URK26" s="25"/>
      <c r="URL26" s="25"/>
      <c r="URM26" s="25"/>
      <c r="URN26" s="25"/>
      <c r="URO26" s="25"/>
      <c r="URP26" s="25"/>
      <c r="URQ26" s="25"/>
      <c r="URR26" s="25"/>
      <c r="URS26" s="25"/>
      <c r="URT26" s="25"/>
      <c r="URU26" s="25"/>
      <c r="URV26" s="25"/>
      <c r="URW26" s="25"/>
      <c r="URX26" s="25"/>
      <c r="URY26" s="25"/>
      <c r="URZ26" s="25"/>
      <c r="USA26" s="25"/>
      <c r="USB26" s="25"/>
      <c r="USC26" s="25"/>
      <c r="USD26" s="25"/>
      <c r="USE26" s="25"/>
      <c r="USF26" s="25"/>
      <c r="USG26" s="25"/>
      <c r="USH26" s="25"/>
      <c r="USI26" s="25"/>
      <c r="USJ26" s="25"/>
      <c r="USK26" s="25"/>
      <c r="USL26" s="25"/>
      <c r="USM26" s="25"/>
      <c r="USN26" s="25"/>
      <c r="USO26" s="25"/>
      <c r="USP26" s="25"/>
      <c r="USQ26" s="25"/>
      <c r="USR26" s="25"/>
      <c r="USS26" s="25"/>
      <c r="UST26" s="25"/>
      <c r="USU26" s="25"/>
      <c r="USV26" s="25"/>
      <c r="USW26" s="25"/>
      <c r="USX26" s="25"/>
      <c r="USY26" s="25"/>
      <c r="USZ26" s="25"/>
      <c r="UTA26" s="25"/>
      <c r="UTB26" s="25"/>
      <c r="UTC26" s="25"/>
      <c r="UTD26" s="25"/>
      <c r="UTE26" s="25"/>
      <c r="UTF26" s="25"/>
      <c r="UTG26" s="25"/>
      <c r="UTH26" s="25"/>
      <c r="UTI26" s="25"/>
      <c r="UTJ26" s="25"/>
      <c r="UTK26" s="25"/>
      <c r="UTL26" s="25"/>
      <c r="UTM26" s="25"/>
      <c r="UTN26" s="25"/>
      <c r="UTO26" s="25"/>
      <c r="UTP26" s="25"/>
      <c r="UTQ26" s="25"/>
      <c r="UTR26" s="25"/>
      <c r="UTS26" s="25"/>
      <c r="UTT26" s="25"/>
      <c r="UTU26" s="25"/>
      <c r="UTV26" s="25"/>
      <c r="UTW26" s="25"/>
      <c r="UTX26" s="25"/>
      <c r="UTY26" s="25"/>
      <c r="UTZ26" s="25"/>
      <c r="UUA26" s="25"/>
      <c r="UUB26" s="25"/>
      <c r="UUC26" s="25"/>
      <c r="UUD26" s="25"/>
      <c r="UUE26" s="25"/>
      <c r="UUF26" s="25"/>
      <c r="UUG26" s="25"/>
      <c r="UUH26" s="25"/>
      <c r="UUI26" s="25"/>
      <c r="UUJ26" s="25"/>
      <c r="UUK26" s="25"/>
      <c r="UUL26" s="25"/>
      <c r="UUM26" s="25"/>
      <c r="UUN26" s="25"/>
      <c r="UUO26" s="25"/>
      <c r="UUP26" s="25"/>
      <c r="UUQ26" s="25"/>
      <c r="UUR26" s="25"/>
      <c r="UUS26" s="25"/>
      <c r="UUT26" s="25"/>
      <c r="UUU26" s="25"/>
      <c r="UUV26" s="25"/>
      <c r="UUW26" s="25"/>
      <c r="UUX26" s="25"/>
      <c r="UUY26" s="25"/>
      <c r="UUZ26" s="25"/>
      <c r="UVA26" s="25"/>
      <c r="UVB26" s="25"/>
      <c r="UVC26" s="25"/>
      <c r="UVD26" s="25"/>
      <c r="UVE26" s="25"/>
      <c r="UVF26" s="25"/>
      <c r="UVG26" s="25"/>
      <c r="UVH26" s="25"/>
      <c r="UVI26" s="25"/>
      <c r="UVJ26" s="25"/>
      <c r="UVK26" s="25"/>
      <c r="UVL26" s="25"/>
      <c r="UVM26" s="25"/>
      <c r="UVN26" s="25"/>
      <c r="UVO26" s="25"/>
      <c r="UVP26" s="25"/>
      <c r="UVQ26" s="25"/>
      <c r="UVR26" s="25"/>
      <c r="UVS26" s="25"/>
      <c r="UVT26" s="25"/>
      <c r="UVU26" s="25"/>
      <c r="UVV26" s="25"/>
      <c r="UVW26" s="25"/>
      <c r="UVX26" s="25"/>
      <c r="UVY26" s="25"/>
      <c r="UVZ26" s="25"/>
      <c r="UWA26" s="25"/>
      <c r="UWB26" s="25"/>
      <c r="UWC26" s="25"/>
      <c r="UWD26" s="25"/>
      <c r="UWE26" s="25"/>
      <c r="UWF26" s="25"/>
      <c r="UWG26" s="25"/>
      <c r="UWH26" s="25"/>
      <c r="UWI26" s="25"/>
      <c r="UWJ26" s="25"/>
      <c r="UWK26" s="25"/>
      <c r="UWL26" s="25"/>
      <c r="UWM26" s="25"/>
      <c r="UWN26" s="25"/>
      <c r="UWO26" s="25"/>
      <c r="UWP26" s="25"/>
      <c r="UWQ26" s="25"/>
      <c r="UWR26" s="25"/>
      <c r="UWS26" s="25"/>
      <c r="UWT26" s="25"/>
      <c r="UWU26" s="25"/>
      <c r="UWV26" s="25"/>
      <c r="UWW26" s="25"/>
      <c r="UWX26" s="25"/>
      <c r="UWY26" s="25"/>
      <c r="UWZ26" s="25"/>
      <c r="UXA26" s="25"/>
      <c r="UXB26" s="25"/>
      <c r="UXC26" s="25"/>
      <c r="UXD26" s="25"/>
      <c r="UXE26" s="25"/>
      <c r="UXF26" s="25"/>
      <c r="UXG26" s="25"/>
      <c r="UXH26" s="25"/>
      <c r="UXI26" s="25"/>
      <c r="UXJ26" s="25"/>
      <c r="UXK26" s="25"/>
      <c r="UXL26" s="25"/>
      <c r="UXM26" s="25"/>
      <c r="UXN26" s="25"/>
      <c r="UXO26" s="25"/>
      <c r="UXP26" s="25"/>
      <c r="UXQ26" s="25"/>
      <c r="UXR26" s="25"/>
      <c r="UXS26" s="25"/>
      <c r="UXT26" s="25"/>
      <c r="UXU26" s="25"/>
      <c r="UXV26" s="25"/>
      <c r="UXW26" s="25"/>
      <c r="UXX26" s="25"/>
      <c r="UXY26" s="25"/>
      <c r="UXZ26" s="25"/>
      <c r="UYA26" s="25"/>
      <c r="UYB26" s="25"/>
      <c r="UYC26" s="25"/>
      <c r="UYD26" s="25"/>
      <c r="UYE26" s="25"/>
      <c r="UYF26" s="25"/>
      <c r="UYG26" s="25"/>
      <c r="UYH26" s="25"/>
      <c r="UYI26" s="25"/>
      <c r="UYJ26" s="25"/>
      <c r="UYK26" s="25"/>
      <c r="UYL26" s="25"/>
      <c r="UYM26" s="25"/>
      <c r="UYN26" s="25"/>
      <c r="UYO26" s="25"/>
      <c r="UYP26" s="25"/>
      <c r="UYQ26" s="25"/>
      <c r="UYR26" s="25"/>
      <c r="UYS26" s="25"/>
      <c r="UYT26" s="25"/>
      <c r="UYU26" s="25"/>
      <c r="UYV26" s="25"/>
      <c r="UYW26" s="25"/>
      <c r="UYX26" s="25"/>
      <c r="UYY26" s="25"/>
      <c r="UYZ26" s="25"/>
      <c r="UZA26" s="25"/>
      <c r="UZB26" s="25"/>
      <c r="UZC26" s="25"/>
      <c r="UZD26" s="25"/>
      <c r="UZE26" s="25"/>
      <c r="UZF26" s="25"/>
      <c r="UZG26" s="25"/>
      <c r="UZH26" s="25"/>
      <c r="UZI26" s="25"/>
      <c r="UZJ26" s="25"/>
      <c r="UZK26" s="25"/>
      <c r="UZL26" s="25"/>
      <c r="UZM26" s="25"/>
      <c r="UZN26" s="25"/>
      <c r="UZO26" s="25"/>
      <c r="UZP26" s="25"/>
      <c r="UZQ26" s="25"/>
      <c r="UZR26" s="25"/>
      <c r="UZS26" s="25"/>
      <c r="UZT26" s="25"/>
      <c r="UZU26" s="25"/>
      <c r="UZV26" s="25"/>
      <c r="UZW26" s="25"/>
      <c r="UZX26" s="25"/>
      <c r="UZY26" s="25"/>
      <c r="UZZ26" s="25"/>
      <c r="VAA26" s="25"/>
      <c r="VAB26" s="25"/>
      <c r="VAC26" s="25"/>
      <c r="VAD26" s="25"/>
      <c r="VAE26" s="25"/>
      <c r="VAF26" s="25"/>
      <c r="VAG26" s="25"/>
      <c r="VAH26" s="25"/>
      <c r="VAI26" s="25"/>
      <c r="VAJ26" s="25"/>
      <c r="VAK26" s="25"/>
      <c r="VAL26" s="25"/>
      <c r="VAM26" s="25"/>
      <c r="VAN26" s="25"/>
      <c r="VAO26" s="25"/>
      <c r="VAP26" s="25"/>
      <c r="VAQ26" s="25"/>
      <c r="VAR26" s="25"/>
      <c r="VAS26" s="25"/>
      <c r="VAT26" s="25"/>
      <c r="VAU26" s="25"/>
      <c r="VAV26" s="25"/>
      <c r="VAW26" s="25"/>
      <c r="VAX26" s="25"/>
      <c r="VAY26" s="25"/>
      <c r="VAZ26" s="25"/>
      <c r="VBA26" s="25"/>
      <c r="VBB26" s="25"/>
      <c r="VBC26" s="25"/>
      <c r="VBD26" s="25"/>
      <c r="VBE26" s="25"/>
      <c r="VBF26" s="25"/>
      <c r="VBG26" s="25"/>
      <c r="VBH26" s="25"/>
      <c r="VBI26" s="25"/>
      <c r="VBJ26" s="25"/>
      <c r="VBK26" s="25"/>
      <c r="VBL26" s="25"/>
      <c r="VBM26" s="25"/>
      <c r="VBN26" s="25"/>
      <c r="VBO26" s="25"/>
      <c r="VBP26" s="25"/>
      <c r="VBQ26" s="25"/>
      <c r="VBR26" s="25"/>
      <c r="VBS26" s="25"/>
      <c r="VBT26" s="25"/>
      <c r="VBU26" s="25"/>
      <c r="VBV26" s="25"/>
      <c r="VBW26" s="25"/>
      <c r="VBX26" s="25"/>
      <c r="VBY26" s="25"/>
      <c r="VBZ26" s="25"/>
      <c r="VCA26" s="25"/>
      <c r="VCB26" s="25"/>
      <c r="VCC26" s="25"/>
      <c r="VCD26" s="25"/>
      <c r="VCE26" s="25"/>
      <c r="VCF26" s="25"/>
      <c r="VCG26" s="25"/>
      <c r="VCH26" s="25"/>
      <c r="VCI26" s="25"/>
      <c r="VCJ26" s="25"/>
      <c r="VCK26" s="25"/>
      <c r="VCL26" s="25"/>
      <c r="VCM26" s="25"/>
      <c r="VCN26" s="25"/>
      <c r="VCO26" s="25"/>
      <c r="VCP26" s="25"/>
      <c r="VCQ26" s="25"/>
      <c r="VCR26" s="25"/>
      <c r="VCS26" s="25"/>
      <c r="VCT26" s="25"/>
      <c r="VCU26" s="25"/>
      <c r="VCV26" s="25"/>
      <c r="VCW26" s="25"/>
      <c r="VCX26" s="25"/>
      <c r="VCY26" s="25"/>
      <c r="VCZ26" s="25"/>
      <c r="VDA26" s="25"/>
      <c r="VDB26" s="25"/>
      <c r="VDC26" s="25"/>
      <c r="VDD26" s="25"/>
      <c r="VDE26" s="25"/>
      <c r="VDF26" s="25"/>
      <c r="VDG26" s="25"/>
      <c r="VDH26" s="25"/>
      <c r="VDI26" s="25"/>
      <c r="VDJ26" s="25"/>
      <c r="VDK26" s="25"/>
      <c r="VDL26" s="25"/>
      <c r="VDM26" s="25"/>
      <c r="VDN26" s="25"/>
      <c r="VDO26" s="25"/>
      <c r="VDP26" s="25"/>
      <c r="VDQ26" s="25"/>
      <c r="VDR26" s="25"/>
      <c r="VDS26" s="25"/>
      <c r="VDT26" s="25"/>
      <c r="VDU26" s="25"/>
      <c r="VDV26" s="25"/>
      <c r="VDW26" s="25"/>
      <c r="VDX26" s="25"/>
      <c r="VDY26" s="25"/>
      <c r="VDZ26" s="25"/>
      <c r="VEA26" s="25"/>
      <c r="VEB26" s="25"/>
      <c r="VEC26" s="25"/>
      <c r="VED26" s="25"/>
      <c r="VEE26" s="25"/>
      <c r="VEF26" s="25"/>
      <c r="VEG26" s="25"/>
      <c r="VEH26" s="25"/>
      <c r="VEI26" s="25"/>
      <c r="VEJ26" s="25"/>
      <c r="VEK26" s="25"/>
      <c r="VEL26" s="25"/>
      <c r="VEM26" s="25"/>
      <c r="VEN26" s="25"/>
      <c r="VEO26" s="25"/>
      <c r="VEP26" s="25"/>
      <c r="VEQ26" s="25"/>
      <c r="VER26" s="25"/>
      <c r="VES26" s="25"/>
      <c r="VET26" s="25"/>
      <c r="VEU26" s="25"/>
      <c r="VEV26" s="25"/>
      <c r="VEW26" s="25"/>
      <c r="VEX26" s="25"/>
      <c r="VEY26" s="25"/>
      <c r="VEZ26" s="25"/>
      <c r="VFA26" s="25"/>
      <c r="VFB26" s="25"/>
      <c r="VFC26" s="25"/>
      <c r="VFD26" s="25"/>
      <c r="VFE26" s="25"/>
      <c r="VFF26" s="25"/>
      <c r="VFG26" s="25"/>
      <c r="VFH26" s="25"/>
      <c r="VFI26" s="25"/>
      <c r="VFJ26" s="25"/>
      <c r="VFK26" s="25"/>
      <c r="VFL26" s="25"/>
      <c r="VFM26" s="25"/>
      <c r="VFN26" s="25"/>
      <c r="VFO26" s="25"/>
      <c r="VFP26" s="25"/>
      <c r="VFQ26" s="25"/>
      <c r="VFR26" s="25"/>
      <c r="VFS26" s="25"/>
      <c r="VFT26" s="25"/>
      <c r="VFU26" s="25"/>
      <c r="VFV26" s="25"/>
      <c r="VFW26" s="25"/>
      <c r="VFX26" s="25"/>
      <c r="VFY26" s="25"/>
      <c r="VFZ26" s="25"/>
      <c r="VGA26" s="25"/>
      <c r="VGB26" s="25"/>
      <c r="VGC26" s="25"/>
      <c r="VGD26" s="25"/>
      <c r="VGE26" s="25"/>
      <c r="VGF26" s="25"/>
      <c r="VGG26" s="25"/>
      <c r="VGH26" s="25"/>
      <c r="VGI26" s="25"/>
      <c r="VGJ26" s="25"/>
      <c r="VGK26" s="25"/>
      <c r="VGL26" s="25"/>
      <c r="VGM26" s="25"/>
      <c r="VGN26" s="25"/>
      <c r="VGO26" s="25"/>
      <c r="VGP26" s="25"/>
      <c r="VGQ26" s="25"/>
      <c r="VGR26" s="25"/>
      <c r="VGS26" s="25"/>
      <c r="VGT26" s="25"/>
      <c r="VGU26" s="25"/>
      <c r="VGV26" s="25"/>
      <c r="VGW26" s="25"/>
      <c r="VGX26" s="25"/>
      <c r="VGY26" s="25"/>
      <c r="VGZ26" s="25"/>
      <c r="VHA26" s="25"/>
      <c r="VHB26" s="25"/>
      <c r="VHC26" s="25"/>
      <c r="VHD26" s="25"/>
      <c r="VHE26" s="25"/>
      <c r="VHF26" s="25"/>
      <c r="VHG26" s="25"/>
      <c r="VHH26" s="25"/>
      <c r="VHI26" s="25"/>
      <c r="VHJ26" s="25"/>
      <c r="VHK26" s="25"/>
      <c r="VHL26" s="25"/>
      <c r="VHM26" s="25"/>
      <c r="VHN26" s="25"/>
      <c r="VHO26" s="25"/>
      <c r="VHP26" s="25"/>
      <c r="VHQ26" s="25"/>
      <c r="VHR26" s="25"/>
      <c r="VHS26" s="25"/>
      <c r="VHT26" s="25"/>
      <c r="VHU26" s="25"/>
      <c r="VHV26" s="25"/>
      <c r="VHW26" s="25"/>
      <c r="VHX26" s="25"/>
      <c r="VHY26" s="25"/>
      <c r="VHZ26" s="25"/>
      <c r="VIA26" s="25"/>
      <c r="VIB26" s="25"/>
      <c r="VIC26" s="25"/>
      <c r="VID26" s="25"/>
      <c r="VIE26" s="25"/>
      <c r="VIF26" s="25"/>
      <c r="VIG26" s="25"/>
      <c r="VIH26" s="25"/>
      <c r="VII26" s="25"/>
      <c r="VIJ26" s="25"/>
      <c r="VIK26" s="25"/>
      <c r="VIL26" s="25"/>
      <c r="VIM26" s="25"/>
      <c r="VIN26" s="25"/>
      <c r="VIO26" s="25"/>
      <c r="VIP26" s="25"/>
      <c r="VIQ26" s="25"/>
      <c r="VIR26" s="25"/>
      <c r="VIS26" s="25"/>
      <c r="VIT26" s="25"/>
      <c r="VIU26" s="25"/>
      <c r="VIV26" s="25"/>
      <c r="VIW26" s="25"/>
      <c r="VIX26" s="25"/>
      <c r="VIY26" s="25"/>
      <c r="VIZ26" s="25"/>
      <c r="VJA26" s="25"/>
      <c r="VJB26" s="25"/>
      <c r="VJC26" s="25"/>
      <c r="VJD26" s="25"/>
      <c r="VJE26" s="25"/>
      <c r="VJF26" s="25"/>
      <c r="VJG26" s="25"/>
      <c r="VJH26" s="25"/>
      <c r="VJI26" s="25"/>
      <c r="VJJ26" s="25"/>
      <c r="VJK26" s="25"/>
      <c r="VJL26" s="25"/>
      <c r="VJM26" s="25"/>
      <c r="VJN26" s="25"/>
      <c r="VJO26" s="25"/>
      <c r="VJP26" s="25"/>
      <c r="VJQ26" s="25"/>
      <c r="VJR26" s="25"/>
      <c r="VJS26" s="25"/>
      <c r="VJT26" s="25"/>
      <c r="VJU26" s="25"/>
      <c r="VJV26" s="25"/>
      <c r="VJW26" s="25"/>
      <c r="VJX26" s="25"/>
      <c r="VJY26" s="25"/>
      <c r="VJZ26" s="25"/>
      <c r="VKA26" s="25"/>
      <c r="VKB26" s="25"/>
      <c r="VKC26" s="25"/>
      <c r="VKD26" s="25"/>
      <c r="VKE26" s="25"/>
      <c r="VKF26" s="25"/>
      <c r="VKG26" s="25"/>
      <c r="VKH26" s="25"/>
      <c r="VKI26" s="25"/>
      <c r="VKJ26" s="25"/>
      <c r="VKK26" s="25"/>
      <c r="VKL26" s="25"/>
      <c r="VKM26" s="25"/>
      <c r="VKN26" s="25"/>
      <c r="VKO26" s="25"/>
      <c r="VKP26" s="25"/>
      <c r="VKQ26" s="25"/>
      <c r="VKR26" s="25"/>
      <c r="VKS26" s="25"/>
      <c r="VKT26" s="25"/>
      <c r="VKU26" s="25"/>
      <c r="VKV26" s="25"/>
      <c r="VKW26" s="25"/>
      <c r="VKX26" s="25"/>
      <c r="VKY26" s="25"/>
      <c r="VKZ26" s="25"/>
      <c r="VLA26" s="25"/>
      <c r="VLB26" s="25"/>
      <c r="VLC26" s="25"/>
      <c r="VLD26" s="25"/>
      <c r="VLE26" s="25"/>
      <c r="VLF26" s="25"/>
      <c r="VLG26" s="25"/>
      <c r="VLH26" s="25"/>
      <c r="VLI26" s="25"/>
      <c r="VLJ26" s="25"/>
      <c r="VLK26" s="25"/>
      <c r="VLL26" s="25"/>
      <c r="VLM26" s="25"/>
      <c r="VLN26" s="25"/>
      <c r="VLO26" s="25"/>
      <c r="VLP26" s="25"/>
      <c r="VLQ26" s="25"/>
      <c r="VLR26" s="25"/>
      <c r="VLS26" s="25"/>
      <c r="VLT26" s="25"/>
      <c r="VLU26" s="25"/>
      <c r="VLV26" s="25"/>
      <c r="VLW26" s="25"/>
      <c r="VLX26" s="25"/>
      <c r="VLY26" s="25"/>
      <c r="VLZ26" s="25"/>
      <c r="VMA26" s="25"/>
      <c r="VMB26" s="25"/>
      <c r="VMC26" s="25"/>
      <c r="VMD26" s="25"/>
      <c r="VME26" s="25"/>
      <c r="VMF26" s="25"/>
      <c r="VMG26" s="25"/>
      <c r="VMH26" s="25"/>
      <c r="VMI26" s="25"/>
      <c r="VMJ26" s="25"/>
      <c r="VMK26" s="25"/>
      <c r="VML26" s="25"/>
      <c r="VMM26" s="25"/>
      <c r="VMN26" s="25"/>
      <c r="VMO26" s="25"/>
      <c r="VMP26" s="25"/>
      <c r="VMQ26" s="25"/>
      <c r="VMR26" s="25"/>
      <c r="VMS26" s="25"/>
      <c r="VMT26" s="25"/>
      <c r="VMU26" s="25"/>
      <c r="VMV26" s="25"/>
      <c r="VMW26" s="25"/>
      <c r="VMX26" s="25"/>
      <c r="VMY26" s="25"/>
      <c r="VMZ26" s="25"/>
      <c r="VNA26" s="25"/>
      <c r="VNB26" s="25"/>
      <c r="VNC26" s="25"/>
      <c r="VND26" s="25"/>
      <c r="VNE26" s="25"/>
      <c r="VNF26" s="25"/>
      <c r="VNG26" s="25"/>
      <c r="VNH26" s="25"/>
      <c r="VNI26" s="25"/>
      <c r="VNJ26" s="25"/>
      <c r="VNK26" s="25"/>
      <c r="VNL26" s="25"/>
      <c r="VNM26" s="25"/>
      <c r="VNN26" s="25"/>
      <c r="VNO26" s="25"/>
      <c r="VNP26" s="25"/>
      <c r="VNQ26" s="25"/>
      <c r="VNR26" s="25"/>
      <c r="VNS26" s="25"/>
      <c r="VNT26" s="25"/>
      <c r="VNU26" s="25"/>
      <c r="VNV26" s="25"/>
      <c r="VNW26" s="25"/>
      <c r="VNX26" s="25"/>
      <c r="VNY26" s="25"/>
      <c r="VNZ26" s="25"/>
      <c r="VOA26" s="25"/>
      <c r="VOB26" s="25"/>
      <c r="VOC26" s="25"/>
      <c r="VOD26" s="25"/>
      <c r="VOE26" s="25"/>
      <c r="VOF26" s="25"/>
      <c r="VOG26" s="25"/>
      <c r="VOH26" s="25"/>
      <c r="VOI26" s="25"/>
      <c r="VOJ26" s="25"/>
      <c r="VOK26" s="25"/>
      <c r="VOL26" s="25"/>
      <c r="VOM26" s="25"/>
      <c r="VON26" s="25"/>
      <c r="VOO26" s="25"/>
      <c r="VOP26" s="25"/>
      <c r="VOQ26" s="25"/>
      <c r="VOR26" s="25"/>
      <c r="VOS26" s="25"/>
      <c r="VOT26" s="25"/>
      <c r="VOU26" s="25"/>
      <c r="VOV26" s="25"/>
      <c r="VOW26" s="25"/>
      <c r="VOX26" s="25"/>
      <c r="VOY26" s="25"/>
      <c r="VOZ26" s="25"/>
      <c r="VPA26" s="25"/>
      <c r="VPB26" s="25"/>
      <c r="VPC26" s="25"/>
      <c r="VPD26" s="25"/>
      <c r="VPE26" s="25"/>
      <c r="VPF26" s="25"/>
      <c r="VPG26" s="25"/>
      <c r="VPH26" s="25"/>
      <c r="VPI26" s="25"/>
      <c r="VPJ26" s="25"/>
      <c r="VPK26" s="25"/>
      <c r="VPL26" s="25"/>
      <c r="VPM26" s="25"/>
      <c r="VPN26" s="25"/>
      <c r="VPO26" s="25"/>
      <c r="VPP26" s="25"/>
      <c r="VPQ26" s="25"/>
      <c r="VPR26" s="25"/>
      <c r="VPS26" s="25"/>
      <c r="VPT26" s="25"/>
      <c r="VPU26" s="25"/>
      <c r="VPV26" s="25"/>
      <c r="VPW26" s="25"/>
      <c r="VPX26" s="25"/>
      <c r="VPY26" s="25"/>
      <c r="VPZ26" s="25"/>
      <c r="VQA26" s="25"/>
      <c r="VQB26" s="25"/>
      <c r="VQC26" s="25"/>
      <c r="VQD26" s="25"/>
      <c r="VQE26" s="25"/>
      <c r="VQF26" s="25"/>
      <c r="VQG26" s="25"/>
      <c r="VQH26" s="25"/>
      <c r="VQI26" s="25"/>
      <c r="VQJ26" s="25"/>
      <c r="VQK26" s="25"/>
      <c r="VQL26" s="25"/>
      <c r="VQM26" s="25"/>
      <c r="VQN26" s="25"/>
      <c r="VQO26" s="25"/>
      <c r="VQP26" s="25"/>
      <c r="VQQ26" s="25"/>
      <c r="VQR26" s="25"/>
      <c r="VQS26" s="25"/>
      <c r="VQT26" s="25"/>
      <c r="VQU26" s="25"/>
      <c r="VQV26" s="25"/>
      <c r="VQW26" s="25"/>
      <c r="VQX26" s="25"/>
      <c r="VQY26" s="25"/>
      <c r="VQZ26" s="25"/>
      <c r="VRA26" s="25"/>
      <c r="VRB26" s="25"/>
      <c r="VRC26" s="25"/>
      <c r="VRD26" s="25"/>
      <c r="VRE26" s="25"/>
      <c r="VRF26" s="25"/>
      <c r="VRG26" s="25"/>
      <c r="VRH26" s="25"/>
      <c r="VRI26" s="25"/>
      <c r="VRJ26" s="25"/>
      <c r="VRK26" s="25"/>
      <c r="VRL26" s="25"/>
      <c r="VRM26" s="25"/>
      <c r="VRN26" s="25"/>
      <c r="VRO26" s="25"/>
      <c r="VRP26" s="25"/>
      <c r="VRQ26" s="25"/>
      <c r="VRR26" s="25"/>
      <c r="VRS26" s="25"/>
      <c r="VRT26" s="25"/>
      <c r="VRU26" s="25"/>
      <c r="VRV26" s="25"/>
      <c r="VRW26" s="25"/>
      <c r="VRX26" s="25"/>
      <c r="VRY26" s="25"/>
      <c r="VRZ26" s="25"/>
      <c r="VSA26" s="25"/>
      <c r="VSB26" s="25"/>
      <c r="VSC26" s="25"/>
      <c r="VSD26" s="25"/>
      <c r="VSE26" s="25"/>
      <c r="VSF26" s="25"/>
      <c r="VSG26" s="25"/>
      <c r="VSH26" s="25"/>
      <c r="VSI26" s="25"/>
      <c r="VSJ26" s="25"/>
      <c r="VSK26" s="25"/>
      <c r="VSL26" s="25"/>
      <c r="VSM26" s="25"/>
      <c r="VSN26" s="25"/>
      <c r="VSO26" s="25"/>
      <c r="VSP26" s="25"/>
      <c r="VSQ26" s="25"/>
      <c r="VSR26" s="25"/>
      <c r="VSS26" s="25"/>
      <c r="VST26" s="25"/>
      <c r="VSU26" s="25"/>
      <c r="VSV26" s="25"/>
      <c r="VSW26" s="25"/>
      <c r="VSX26" s="25"/>
      <c r="VSY26" s="25"/>
      <c r="VSZ26" s="25"/>
      <c r="VTA26" s="25"/>
      <c r="VTB26" s="25"/>
      <c r="VTC26" s="25"/>
      <c r="VTD26" s="25"/>
      <c r="VTE26" s="25"/>
      <c r="VTF26" s="25"/>
      <c r="VTG26" s="25"/>
      <c r="VTH26" s="25"/>
      <c r="VTI26" s="25"/>
      <c r="VTJ26" s="25"/>
      <c r="VTK26" s="25"/>
      <c r="VTL26" s="25"/>
      <c r="VTM26" s="25"/>
      <c r="VTN26" s="25"/>
      <c r="VTO26" s="25"/>
      <c r="VTP26" s="25"/>
      <c r="VTQ26" s="25"/>
      <c r="VTR26" s="25"/>
      <c r="VTS26" s="25"/>
      <c r="VTT26" s="25"/>
      <c r="VTU26" s="25"/>
      <c r="VTV26" s="25"/>
      <c r="VTW26" s="25"/>
      <c r="VTX26" s="25"/>
      <c r="VTY26" s="25"/>
      <c r="VTZ26" s="25"/>
      <c r="VUA26" s="25"/>
      <c r="VUB26" s="25"/>
      <c r="VUC26" s="25"/>
      <c r="VUD26" s="25"/>
      <c r="VUE26" s="25"/>
      <c r="VUF26" s="25"/>
      <c r="VUG26" s="25"/>
      <c r="VUH26" s="25"/>
      <c r="VUI26" s="25"/>
      <c r="VUJ26" s="25"/>
      <c r="VUK26" s="25"/>
      <c r="VUL26" s="25"/>
      <c r="VUM26" s="25"/>
      <c r="VUN26" s="25"/>
      <c r="VUO26" s="25"/>
      <c r="VUP26" s="25"/>
      <c r="VUQ26" s="25"/>
      <c r="VUR26" s="25"/>
      <c r="VUS26" s="25"/>
      <c r="VUT26" s="25"/>
      <c r="VUU26" s="25"/>
      <c r="VUV26" s="25"/>
      <c r="VUW26" s="25"/>
      <c r="VUX26" s="25"/>
      <c r="VUY26" s="25"/>
      <c r="VUZ26" s="25"/>
      <c r="VVA26" s="25"/>
      <c r="VVB26" s="25"/>
      <c r="VVC26" s="25"/>
      <c r="VVD26" s="25"/>
      <c r="VVE26" s="25"/>
      <c r="VVF26" s="25"/>
      <c r="VVG26" s="25"/>
      <c r="VVH26" s="25"/>
      <c r="VVI26" s="25"/>
      <c r="VVJ26" s="25"/>
      <c r="VVK26" s="25"/>
      <c r="VVL26" s="25"/>
      <c r="VVM26" s="25"/>
      <c r="VVN26" s="25"/>
      <c r="VVO26" s="25"/>
      <c r="VVP26" s="25"/>
      <c r="VVQ26" s="25"/>
      <c r="VVR26" s="25"/>
      <c r="VVS26" s="25"/>
      <c r="VVT26" s="25"/>
      <c r="VVU26" s="25"/>
      <c r="VVV26" s="25"/>
      <c r="VVW26" s="25"/>
      <c r="VVX26" s="25"/>
      <c r="VVY26" s="25"/>
      <c r="VVZ26" s="25"/>
      <c r="VWA26" s="25"/>
      <c r="VWB26" s="25"/>
      <c r="VWC26" s="25"/>
      <c r="VWD26" s="25"/>
      <c r="VWE26" s="25"/>
      <c r="VWF26" s="25"/>
      <c r="VWG26" s="25"/>
      <c r="VWH26" s="25"/>
      <c r="VWI26" s="25"/>
      <c r="VWJ26" s="25"/>
      <c r="VWK26" s="25"/>
      <c r="VWL26" s="25"/>
      <c r="VWM26" s="25"/>
      <c r="VWN26" s="25"/>
      <c r="VWO26" s="25"/>
      <c r="VWP26" s="25"/>
      <c r="VWQ26" s="25"/>
      <c r="VWR26" s="25"/>
      <c r="VWS26" s="25"/>
      <c r="VWT26" s="25"/>
      <c r="VWU26" s="25"/>
      <c r="VWV26" s="25"/>
      <c r="VWW26" s="25"/>
      <c r="VWX26" s="25"/>
      <c r="VWY26" s="25"/>
      <c r="VWZ26" s="25"/>
      <c r="VXA26" s="25"/>
      <c r="VXB26" s="25"/>
      <c r="VXC26" s="25"/>
      <c r="VXD26" s="25"/>
      <c r="VXE26" s="25"/>
      <c r="VXF26" s="25"/>
      <c r="VXG26" s="25"/>
      <c r="VXH26" s="25"/>
      <c r="VXI26" s="25"/>
      <c r="VXJ26" s="25"/>
      <c r="VXK26" s="25"/>
      <c r="VXL26" s="25"/>
      <c r="VXM26" s="25"/>
      <c r="VXN26" s="25"/>
      <c r="VXO26" s="25"/>
      <c r="VXP26" s="25"/>
      <c r="VXQ26" s="25"/>
      <c r="VXR26" s="25"/>
      <c r="VXS26" s="25"/>
      <c r="VXT26" s="25"/>
      <c r="VXU26" s="25"/>
      <c r="VXV26" s="25"/>
      <c r="VXW26" s="25"/>
      <c r="VXX26" s="25"/>
      <c r="VXY26" s="25"/>
      <c r="VXZ26" s="25"/>
      <c r="VYA26" s="25"/>
      <c r="VYB26" s="25"/>
      <c r="VYC26" s="25"/>
      <c r="VYD26" s="25"/>
      <c r="VYE26" s="25"/>
      <c r="VYF26" s="25"/>
      <c r="VYG26" s="25"/>
      <c r="VYH26" s="25"/>
      <c r="VYI26" s="25"/>
      <c r="VYJ26" s="25"/>
      <c r="VYK26" s="25"/>
      <c r="VYL26" s="25"/>
      <c r="VYM26" s="25"/>
      <c r="VYN26" s="25"/>
      <c r="VYO26" s="25"/>
      <c r="VYP26" s="25"/>
      <c r="VYQ26" s="25"/>
      <c r="VYR26" s="25"/>
      <c r="VYS26" s="25"/>
      <c r="VYT26" s="25"/>
      <c r="VYU26" s="25"/>
      <c r="VYV26" s="25"/>
      <c r="VYW26" s="25"/>
      <c r="VYX26" s="25"/>
      <c r="VYY26" s="25"/>
      <c r="VYZ26" s="25"/>
      <c r="VZA26" s="25"/>
      <c r="VZB26" s="25"/>
      <c r="VZC26" s="25"/>
      <c r="VZD26" s="25"/>
      <c r="VZE26" s="25"/>
      <c r="VZF26" s="25"/>
      <c r="VZG26" s="25"/>
      <c r="VZH26" s="25"/>
      <c r="VZI26" s="25"/>
      <c r="VZJ26" s="25"/>
      <c r="VZK26" s="25"/>
      <c r="VZL26" s="25"/>
      <c r="VZM26" s="25"/>
      <c r="VZN26" s="25"/>
      <c r="VZO26" s="25"/>
      <c r="VZP26" s="25"/>
      <c r="VZQ26" s="25"/>
      <c r="VZR26" s="25"/>
      <c r="VZS26" s="25"/>
      <c r="VZT26" s="25"/>
      <c r="VZU26" s="25"/>
      <c r="VZV26" s="25"/>
      <c r="VZW26" s="25"/>
      <c r="VZX26" s="25"/>
      <c r="VZY26" s="25"/>
      <c r="VZZ26" s="25"/>
      <c r="WAA26" s="25"/>
      <c r="WAB26" s="25"/>
      <c r="WAC26" s="25"/>
      <c r="WAD26" s="25"/>
      <c r="WAE26" s="25"/>
      <c r="WAF26" s="25"/>
      <c r="WAG26" s="25"/>
      <c r="WAH26" s="25"/>
      <c r="WAI26" s="25"/>
      <c r="WAJ26" s="25"/>
      <c r="WAK26" s="25"/>
      <c r="WAL26" s="25"/>
      <c r="WAM26" s="25"/>
      <c r="WAN26" s="25"/>
      <c r="WAO26" s="25"/>
      <c r="WAP26" s="25"/>
      <c r="WAQ26" s="25"/>
      <c r="WAR26" s="25"/>
      <c r="WAS26" s="25"/>
      <c r="WAT26" s="25"/>
      <c r="WAU26" s="25"/>
      <c r="WAV26" s="25"/>
      <c r="WAW26" s="25"/>
      <c r="WAX26" s="25"/>
      <c r="WAY26" s="25"/>
      <c r="WAZ26" s="25"/>
      <c r="WBA26" s="25"/>
      <c r="WBB26" s="25"/>
      <c r="WBC26" s="25"/>
      <c r="WBD26" s="25"/>
      <c r="WBE26" s="25"/>
      <c r="WBF26" s="25"/>
      <c r="WBG26" s="25"/>
      <c r="WBH26" s="25"/>
      <c r="WBI26" s="25"/>
      <c r="WBJ26" s="25"/>
      <c r="WBK26" s="25"/>
      <c r="WBL26" s="25"/>
      <c r="WBM26" s="25"/>
      <c r="WBN26" s="25"/>
      <c r="WBO26" s="25"/>
      <c r="WBP26" s="25"/>
      <c r="WBQ26" s="25"/>
      <c r="WBR26" s="25"/>
      <c r="WBS26" s="25"/>
      <c r="WBT26" s="25"/>
      <c r="WBU26" s="25"/>
      <c r="WBV26" s="25"/>
      <c r="WBW26" s="25"/>
      <c r="WBX26" s="25"/>
      <c r="WBY26" s="25"/>
      <c r="WBZ26" s="25"/>
      <c r="WCA26" s="25"/>
      <c r="WCB26" s="25"/>
      <c r="WCC26" s="25"/>
      <c r="WCD26" s="25"/>
      <c r="WCE26" s="25"/>
      <c r="WCF26" s="25"/>
      <c r="WCG26" s="25"/>
      <c r="WCH26" s="25"/>
      <c r="WCI26" s="25"/>
      <c r="WCJ26" s="25"/>
      <c r="WCK26" s="25"/>
      <c r="WCL26" s="25"/>
      <c r="WCM26" s="25"/>
      <c r="WCN26" s="25"/>
      <c r="WCO26" s="25"/>
      <c r="WCP26" s="25"/>
      <c r="WCQ26" s="25"/>
      <c r="WCR26" s="25"/>
      <c r="WCS26" s="25"/>
      <c r="WCT26" s="25"/>
      <c r="WCU26" s="25"/>
      <c r="WCV26" s="25"/>
      <c r="WCW26" s="25"/>
      <c r="WCX26" s="25"/>
      <c r="WCY26" s="25"/>
      <c r="WCZ26" s="25"/>
      <c r="WDA26" s="25"/>
      <c r="WDB26" s="25"/>
      <c r="WDC26" s="25"/>
      <c r="WDD26" s="25"/>
      <c r="WDE26" s="25"/>
      <c r="WDF26" s="25"/>
      <c r="WDG26" s="25"/>
      <c r="WDH26" s="25"/>
      <c r="WDI26" s="25"/>
      <c r="WDJ26" s="25"/>
      <c r="WDK26" s="25"/>
      <c r="WDL26" s="25"/>
      <c r="WDM26" s="25"/>
      <c r="WDN26" s="25"/>
      <c r="WDO26" s="25"/>
      <c r="WDP26" s="25"/>
      <c r="WDQ26" s="25"/>
      <c r="WDR26" s="25"/>
      <c r="WDS26" s="25"/>
      <c r="WDT26" s="25"/>
      <c r="WDU26" s="25"/>
      <c r="WDV26" s="25"/>
      <c r="WDW26" s="25"/>
      <c r="WDX26" s="25"/>
      <c r="WDY26" s="25"/>
      <c r="WDZ26" s="25"/>
      <c r="WEA26" s="25"/>
      <c r="WEB26" s="25"/>
      <c r="WEC26" s="25"/>
      <c r="WED26" s="25"/>
      <c r="WEE26" s="25"/>
      <c r="WEF26" s="25"/>
      <c r="WEG26" s="25"/>
      <c r="WEH26" s="25"/>
      <c r="WEI26" s="25"/>
      <c r="WEJ26" s="25"/>
      <c r="WEK26" s="25"/>
      <c r="WEL26" s="25"/>
      <c r="WEM26" s="25"/>
      <c r="WEN26" s="25"/>
      <c r="WEO26" s="25"/>
      <c r="WEP26" s="25"/>
      <c r="WEQ26" s="25"/>
      <c r="WER26" s="25"/>
      <c r="WES26" s="25"/>
      <c r="WET26" s="25"/>
      <c r="WEU26" s="25"/>
      <c r="WEV26" s="25"/>
      <c r="WEW26" s="25"/>
      <c r="WEX26" s="25"/>
      <c r="WEY26" s="25"/>
      <c r="WEZ26" s="25"/>
      <c r="WFA26" s="25"/>
      <c r="WFB26" s="25"/>
      <c r="WFC26" s="25"/>
      <c r="WFD26" s="25"/>
      <c r="WFE26" s="25"/>
      <c r="WFF26" s="25"/>
      <c r="WFG26" s="25"/>
      <c r="WFH26" s="25"/>
      <c r="WFI26" s="25"/>
      <c r="WFJ26" s="25"/>
      <c r="WFK26" s="25"/>
      <c r="WFL26" s="25"/>
      <c r="WFM26" s="25"/>
      <c r="WFN26" s="25"/>
      <c r="WFO26" s="25"/>
      <c r="WFP26" s="25"/>
      <c r="WFQ26" s="25"/>
      <c r="WFR26" s="25"/>
      <c r="WFS26" s="25"/>
      <c r="WFT26" s="25"/>
      <c r="WFU26" s="25"/>
      <c r="WFV26" s="25"/>
      <c r="WFW26" s="25"/>
      <c r="WFX26" s="25"/>
      <c r="WFY26" s="25"/>
      <c r="WFZ26" s="25"/>
      <c r="WGA26" s="25"/>
      <c r="WGB26" s="25"/>
      <c r="WGC26" s="25"/>
      <c r="WGD26" s="25"/>
      <c r="WGE26" s="25"/>
      <c r="WGF26" s="25"/>
      <c r="WGG26" s="25"/>
      <c r="WGH26" s="25"/>
      <c r="WGI26" s="25"/>
      <c r="WGJ26" s="25"/>
      <c r="WGK26" s="25"/>
      <c r="WGL26" s="25"/>
      <c r="WGM26" s="25"/>
      <c r="WGN26" s="25"/>
      <c r="WGO26" s="25"/>
      <c r="WGP26" s="25"/>
      <c r="WGQ26" s="25"/>
      <c r="WGR26" s="25"/>
      <c r="WGS26" s="25"/>
      <c r="WGT26" s="25"/>
      <c r="WGU26" s="25"/>
      <c r="WGV26" s="25"/>
      <c r="WGW26" s="25"/>
      <c r="WGX26" s="25"/>
      <c r="WGY26" s="25"/>
      <c r="WGZ26" s="25"/>
      <c r="WHA26" s="25"/>
      <c r="WHB26" s="25"/>
      <c r="WHC26" s="25"/>
      <c r="WHD26" s="25"/>
      <c r="WHE26" s="25"/>
      <c r="WHF26" s="25"/>
      <c r="WHG26" s="25"/>
      <c r="WHH26" s="25"/>
      <c r="WHI26" s="25"/>
      <c r="WHJ26" s="25"/>
      <c r="WHK26" s="25"/>
      <c r="WHL26" s="25"/>
      <c r="WHM26" s="25"/>
      <c r="WHN26" s="25"/>
      <c r="WHO26" s="25"/>
      <c r="WHP26" s="25"/>
      <c r="WHQ26" s="25"/>
      <c r="WHR26" s="25"/>
      <c r="WHS26" s="25"/>
      <c r="WHT26" s="25"/>
      <c r="WHU26" s="25"/>
      <c r="WHV26" s="25"/>
      <c r="WHW26" s="25"/>
      <c r="WHX26" s="25"/>
      <c r="WHY26" s="25"/>
      <c r="WHZ26" s="25"/>
      <c r="WIA26" s="25"/>
      <c r="WIB26" s="25"/>
      <c r="WIC26" s="25"/>
      <c r="WID26" s="25"/>
      <c r="WIE26" s="25"/>
      <c r="WIF26" s="25"/>
      <c r="WIG26" s="25"/>
      <c r="WIH26" s="25"/>
      <c r="WII26" s="25"/>
      <c r="WIJ26" s="25"/>
      <c r="WIK26" s="25"/>
      <c r="WIL26" s="25"/>
      <c r="WIM26" s="25"/>
      <c r="WIN26" s="25"/>
      <c r="WIO26" s="25"/>
      <c r="WIP26" s="25"/>
      <c r="WIQ26" s="25"/>
      <c r="WIR26" s="25"/>
      <c r="WIS26" s="25"/>
      <c r="WIT26" s="25"/>
      <c r="WIU26" s="25"/>
      <c r="WIV26" s="25"/>
      <c r="WIW26" s="25"/>
      <c r="WIX26" s="25"/>
      <c r="WIY26" s="25"/>
      <c r="WIZ26" s="25"/>
      <c r="WJA26" s="25"/>
      <c r="WJB26" s="25"/>
      <c r="WJC26" s="25"/>
      <c r="WJD26" s="25"/>
      <c r="WJE26" s="25"/>
      <c r="WJF26" s="25"/>
      <c r="WJG26" s="25"/>
      <c r="WJH26" s="25"/>
      <c r="WJI26" s="25"/>
      <c r="WJJ26" s="25"/>
      <c r="WJK26" s="25"/>
      <c r="WJL26" s="25"/>
      <c r="WJM26" s="25"/>
      <c r="WJN26" s="25"/>
      <c r="WJO26" s="25"/>
      <c r="WJP26" s="25"/>
      <c r="WJQ26" s="25"/>
      <c r="WJR26" s="25"/>
      <c r="WJS26" s="25"/>
      <c r="WJT26" s="25"/>
      <c r="WJU26" s="25"/>
      <c r="WJV26" s="25"/>
      <c r="WJW26" s="25"/>
      <c r="WJX26" s="25"/>
      <c r="WJY26" s="25"/>
      <c r="WJZ26" s="25"/>
      <c r="WKA26" s="25"/>
      <c r="WKB26" s="25"/>
      <c r="WKC26" s="25"/>
      <c r="WKD26" s="25"/>
      <c r="WKE26" s="25"/>
      <c r="WKF26" s="25"/>
      <c r="WKG26" s="25"/>
      <c r="WKH26" s="25"/>
      <c r="WKI26" s="25"/>
      <c r="WKJ26" s="25"/>
      <c r="WKK26" s="25"/>
      <c r="WKL26" s="25"/>
      <c r="WKM26" s="25"/>
      <c r="WKN26" s="25"/>
      <c r="WKO26" s="25"/>
      <c r="WKP26" s="25"/>
      <c r="WKQ26" s="25"/>
      <c r="WKR26" s="25"/>
      <c r="WKS26" s="25"/>
      <c r="WKT26" s="25"/>
      <c r="WKU26" s="25"/>
      <c r="WKV26" s="25"/>
      <c r="WKW26" s="25"/>
      <c r="WKX26" s="25"/>
      <c r="WKY26" s="25"/>
      <c r="WKZ26" s="25"/>
      <c r="WLA26" s="25"/>
      <c r="WLB26" s="25"/>
      <c r="WLC26" s="25"/>
      <c r="WLD26" s="25"/>
      <c r="WLE26" s="25"/>
      <c r="WLF26" s="25"/>
      <c r="WLG26" s="25"/>
      <c r="WLH26" s="25"/>
      <c r="WLI26" s="25"/>
      <c r="WLJ26" s="25"/>
      <c r="WLK26" s="25"/>
      <c r="WLL26" s="25"/>
      <c r="WLM26" s="25"/>
      <c r="WLN26" s="25"/>
      <c r="WLO26" s="25"/>
      <c r="WLP26" s="25"/>
      <c r="WLQ26" s="25"/>
      <c r="WLR26" s="25"/>
      <c r="WLS26" s="25"/>
      <c r="WLT26" s="25"/>
      <c r="WLU26" s="25"/>
      <c r="WLV26" s="25"/>
      <c r="WLW26" s="25"/>
      <c r="WLX26" s="25"/>
      <c r="WLY26" s="25"/>
      <c r="WLZ26" s="25"/>
      <c r="WMA26" s="25"/>
      <c r="WMB26" s="25"/>
      <c r="WMC26" s="25"/>
      <c r="WMD26" s="25"/>
      <c r="WME26" s="25"/>
      <c r="WMF26" s="25"/>
      <c r="WMG26" s="25"/>
      <c r="WMH26" s="25"/>
      <c r="WMI26" s="25"/>
      <c r="WMJ26" s="25"/>
      <c r="WMK26" s="25"/>
      <c r="WML26" s="25"/>
      <c r="WMM26" s="25"/>
      <c r="WMN26" s="25"/>
      <c r="WMO26" s="25"/>
      <c r="WMP26" s="25"/>
      <c r="WMQ26" s="25"/>
      <c r="WMR26" s="25"/>
      <c r="WMS26" s="25"/>
      <c r="WMT26" s="25"/>
      <c r="WMU26" s="25"/>
      <c r="WMV26" s="25"/>
      <c r="WMW26" s="25"/>
      <c r="WMX26" s="25"/>
      <c r="WMY26" s="25"/>
      <c r="WMZ26" s="25"/>
      <c r="WNA26" s="25"/>
      <c r="WNB26" s="25"/>
      <c r="WNC26" s="25"/>
      <c r="WND26" s="25"/>
      <c r="WNE26" s="25"/>
      <c r="WNF26" s="25"/>
      <c r="WNG26" s="25"/>
      <c r="WNH26" s="25"/>
      <c r="WNI26" s="25"/>
      <c r="WNJ26" s="25"/>
      <c r="WNK26" s="25"/>
      <c r="WNL26" s="25"/>
      <c r="WNM26" s="25"/>
      <c r="WNN26" s="25"/>
      <c r="WNO26" s="25"/>
      <c r="WNP26" s="25"/>
      <c r="WNQ26" s="25"/>
      <c r="WNR26" s="25"/>
      <c r="WNS26" s="25"/>
      <c r="WNT26" s="25"/>
      <c r="WNU26" s="25"/>
      <c r="WNV26" s="25"/>
      <c r="WNW26" s="25"/>
      <c r="WNX26" s="25"/>
      <c r="WNY26" s="25"/>
      <c r="WNZ26" s="25"/>
      <c r="WOA26" s="25"/>
      <c r="WOB26" s="25"/>
      <c r="WOC26" s="25"/>
      <c r="WOD26" s="25"/>
      <c r="WOE26" s="25"/>
      <c r="WOF26" s="25"/>
      <c r="WOG26" s="25"/>
      <c r="WOH26" s="25"/>
      <c r="WOI26" s="25"/>
      <c r="WOJ26" s="25"/>
      <c r="WOK26" s="25"/>
      <c r="WOL26" s="25"/>
      <c r="WOM26" s="25"/>
      <c r="WON26" s="25"/>
      <c r="WOO26" s="25"/>
      <c r="WOP26" s="25"/>
      <c r="WOQ26" s="25"/>
      <c r="WOR26" s="25"/>
      <c r="WOS26" s="25"/>
      <c r="WOT26" s="25"/>
      <c r="WOU26" s="25"/>
      <c r="WOV26" s="25"/>
      <c r="WOW26" s="25"/>
      <c r="WOX26" s="25"/>
      <c r="WOY26" s="25"/>
      <c r="WOZ26" s="25"/>
      <c r="WPA26" s="25"/>
      <c r="WPB26" s="25"/>
      <c r="WPC26" s="25"/>
      <c r="WPD26" s="25"/>
      <c r="WPE26" s="25"/>
      <c r="WPF26" s="25"/>
      <c r="WPG26" s="25"/>
      <c r="WPH26" s="25"/>
      <c r="WPI26" s="25"/>
      <c r="WPJ26" s="25"/>
      <c r="WPK26" s="25"/>
      <c r="WPL26" s="25"/>
      <c r="WPM26" s="25"/>
      <c r="WPN26" s="25"/>
      <c r="WPO26" s="25"/>
      <c r="WPP26" s="25"/>
      <c r="WPQ26" s="25"/>
      <c r="WPR26" s="25"/>
      <c r="WPS26" s="25"/>
      <c r="WPT26" s="25"/>
      <c r="WPU26" s="25"/>
      <c r="WPV26" s="25"/>
      <c r="WPW26" s="25"/>
      <c r="WPX26" s="25"/>
      <c r="WPY26" s="25"/>
      <c r="WPZ26" s="25"/>
      <c r="WQA26" s="25"/>
      <c r="WQB26" s="25"/>
      <c r="WQC26" s="25"/>
      <c r="WQD26" s="25"/>
      <c r="WQE26" s="25"/>
      <c r="WQF26" s="25"/>
      <c r="WQG26" s="25"/>
      <c r="WQH26" s="25"/>
      <c r="WQI26" s="25"/>
      <c r="WQJ26" s="25"/>
      <c r="WQK26" s="25"/>
      <c r="WQL26" s="25"/>
      <c r="WQM26" s="25"/>
      <c r="WQN26" s="25"/>
      <c r="WQO26" s="25"/>
      <c r="WQP26" s="25"/>
      <c r="WQQ26" s="25"/>
      <c r="WQR26" s="25"/>
      <c r="WQS26" s="25"/>
      <c r="WQT26" s="25"/>
      <c r="WQU26" s="25"/>
      <c r="WQV26" s="25"/>
      <c r="WQW26" s="25"/>
      <c r="WQX26" s="25"/>
      <c r="WQY26" s="25"/>
      <c r="WQZ26" s="25"/>
      <c r="WRA26" s="25"/>
      <c r="WRB26" s="25"/>
      <c r="WRC26" s="25"/>
      <c r="WRD26" s="25"/>
      <c r="WRE26" s="25"/>
      <c r="WRF26" s="25"/>
      <c r="WRG26" s="25"/>
      <c r="WRH26" s="25"/>
      <c r="WRI26" s="25"/>
      <c r="WRJ26" s="25"/>
      <c r="WRK26" s="25"/>
      <c r="WRL26" s="25"/>
      <c r="WRM26" s="25"/>
      <c r="WRN26" s="25"/>
      <c r="WRO26" s="25"/>
      <c r="WRP26" s="25"/>
      <c r="WRQ26" s="25"/>
      <c r="WRR26" s="25"/>
      <c r="WRS26" s="25"/>
      <c r="WRT26" s="25"/>
      <c r="WRU26" s="25"/>
      <c r="WRV26" s="25"/>
      <c r="WRW26" s="25"/>
      <c r="WRX26" s="25"/>
      <c r="WRY26" s="25"/>
      <c r="WRZ26" s="25"/>
      <c r="WSA26" s="25"/>
      <c r="WSB26" s="25"/>
      <c r="WSC26" s="25"/>
      <c r="WSD26" s="25"/>
      <c r="WSE26" s="25"/>
      <c r="WSF26" s="25"/>
      <c r="WSG26" s="25"/>
      <c r="WSH26" s="25"/>
      <c r="WSI26" s="25"/>
      <c r="WSJ26" s="25"/>
      <c r="WSK26" s="25"/>
      <c r="WSL26" s="25"/>
      <c r="WSM26" s="25"/>
      <c r="WSN26" s="25"/>
      <c r="WSO26" s="25"/>
      <c r="WSP26" s="25"/>
      <c r="WSQ26" s="25"/>
      <c r="WSR26" s="25"/>
      <c r="WSS26" s="25"/>
      <c r="WST26" s="25"/>
      <c r="WSU26" s="25"/>
      <c r="WSV26" s="25"/>
      <c r="WSW26" s="25"/>
      <c r="WSX26" s="25"/>
      <c r="WSY26" s="25"/>
      <c r="WSZ26" s="25"/>
      <c r="WTA26" s="25"/>
      <c r="WTB26" s="25"/>
      <c r="WTC26" s="25"/>
      <c r="WTD26" s="25"/>
      <c r="WTE26" s="25"/>
      <c r="WTF26" s="25"/>
      <c r="WTG26" s="25"/>
      <c r="WTH26" s="25"/>
      <c r="WTI26" s="25"/>
      <c r="WTJ26" s="25"/>
      <c r="WTK26" s="25"/>
      <c r="WTL26" s="25"/>
      <c r="WTM26" s="25"/>
      <c r="WTN26" s="25"/>
      <c r="WTO26" s="25"/>
      <c r="WTP26" s="25"/>
      <c r="WTQ26" s="25"/>
      <c r="WTR26" s="25"/>
      <c r="WTS26" s="25"/>
      <c r="WTT26" s="25"/>
      <c r="WTU26" s="25"/>
      <c r="WTV26" s="25"/>
      <c r="WTW26" s="25"/>
      <c r="WTX26" s="25"/>
      <c r="WTY26" s="25"/>
      <c r="WTZ26" s="25"/>
      <c r="WUA26" s="25"/>
      <c r="WUB26" s="25"/>
      <c r="WUC26" s="25"/>
      <c r="WUD26" s="25"/>
      <c r="WUE26" s="25"/>
      <c r="WUF26" s="25"/>
      <c r="WUG26" s="25"/>
      <c r="WUH26" s="25"/>
      <c r="WUI26" s="25"/>
      <c r="WUJ26" s="25"/>
      <c r="WUK26" s="25"/>
      <c r="WUL26" s="25"/>
      <c r="WUM26" s="25"/>
      <c r="WUN26" s="25"/>
      <c r="WUO26" s="25"/>
      <c r="WUP26" s="25"/>
      <c r="WUQ26" s="25"/>
      <c r="WUR26" s="25"/>
      <c r="WUS26" s="25"/>
      <c r="WUT26" s="25"/>
      <c r="WUU26" s="25"/>
      <c r="WUV26" s="25"/>
      <c r="WUW26" s="25"/>
      <c r="WUX26" s="25"/>
      <c r="WUY26" s="25"/>
      <c r="WUZ26" s="25"/>
      <c r="WVA26" s="25"/>
      <c r="WVB26" s="25"/>
      <c r="WVC26" s="25"/>
      <c r="WVD26" s="25"/>
      <c r="WVE26" s="25"/>
      <c r="WVF26" s="25"/>
      <c r="WVG26" s="25"/>
      <c r="WVH26" s="25"/>
      <c r="WVI26" s="25"/>
      <c r="WVJ26" s="25"/>
      <c r="WVK26" s="25"/>
      <c r="WVL26" s="25"/>
      <c r="WVM26" s="25"/>
      <c r="WVN26" s="25"/>
      <c r="WVO26" s="25"/>
      <c r="WVP26" s="25"/>
      <c r="WVQ26" s="25"/>
      <c r="WVR26" s="25"/>
      <c r="WVS26" s="25"/>
      <c r="WVT26" s="25"/>
      <c r="WVU26" s="25"/>
      <c r="WVV26" s="25"/>
      <c r="WVW26" s="25"/>
      <c r="WVX26" s="25"/>
      <c r="WVY26" s="25"/>
      <c r="WVZ26" s="25"/>
      <c r="WWA26" s="25"/>
      <c r="WWB26" s="25"/>
      <c r="WWC26" s="25"/>
      <c r="WWD26" s="25"/>
      <c r="WWE26" s="25"/>
      <c r="WWF26" s="25"/>
      <c r="WWG26" s="25"/>
      <c r="WWH26" s="25"/>
      <c r="WWI26" s="25"/>
      <c r="WWJ26" s="25"/>
      <c r="WWK26" s="25"/>
      <c r="WWL26" s="25"/>
      <c r="WWM26" s="25"/>
      <c r="WWN26" s="25"/>
      <c r="WWO26" s="25"/>
      <c r="WWP26" s="25"/>
      <c r="WWQ26" s="25"/>
      <c r="WWR26" s="25"/>
      <c r="WWS26" s="25"/>
      <c r="WWT26" s="25"/>
      <c r="WWU26" s="25"/>
      <c r="WWV26" s="25"/>
      <c r="WWW26" s="25"/>
      <c r="WWX26" s="25"/>
      <c r="WWY26" s="25"/>
      <c r="WWZ26" s="25"/>
      <c r="WXA26" s="25"/>
      <c r="WXB26" s="25"/>
      <c r="WXC26" s="25"/>
      <c r="WXD26" s="25"/>
      <c r="WXE26" s="25"/>
      <c r="WXF26" s="25"/>
      <c r="WXG26" s="25"/>
      <c r="WXH26" s="25"/>
      <c r="WXI26" s="25"/>
      <c r="WXJ26" s="25"/>
      <c r="WXK26" s="25"/>
      <c r="WXL26" s="25"/>
      <c r="WXM26" s="25"/>
      <c r="WXN26" s="25"/>
      <c r="WXO26" s="25"/>
      <c r="WXP26" s="25"/>
      <c r="WXQ26" s="25"/>
      <c r="WXR26" s="25"/>
      <c r="WXS26" s="25"/>
      <c r="WXT26" s="25"/>
      <c r="WXU26" s="25"/>
      <c r="WXV26" s="25"/>
      <c r="WXW26" s="25"/>
      <c r="WXX26" s="25"/>
      <c r="WXY26" s="25"/>
      <c r="WXZ26" s="25"/>
      <c r="WYA26" s="25"/>
      <c r="WYB26" s="25"/>
      <c r="WYC26" s="25"/>
      <c r="WYD26" s="25"/>
      <c r="WYE26" s="25"/>
      <c r="WYF26" s="25"/>
      <c r="WYG26" s="25"/>
      <c r="WYH26" s="25"/>
      <c r="WYI26" s="25"/>
      <c r="WYJ26" s="25"/>
      <c r="WYK26" s="25"/>
      <c r="WYL26" s="25"/>
      <c r="WYM26" s="25"/>
      <c r="WYN26" s="25"/>
      <c r="WYO26" s="25"/>
      <c r="WYP26" s="25"/>
      <c r="WYQ26" s="25"/>
      <c r="WYR26" s="25"/>
      <c r="WYS26" s="25"/>
      <c r="WYT26" s="25"/>
      <c r="WYU26" s="25"/>
      <c r="WYV26" s="25"/>
      <c r="WYW26" s="25"/>
      <c r="WYX26" s="25"/>
      <c r="WYY26" s="25"/>
      <c r="WYZ26" s="25"/>
      <c r="WZA26" s="25"/>
      <c r="WZB26" s="25"/>
      <c r="WZC26" s="25"/>
      <c r="WZD26" s="25"/>
      <c r="WZE26" s="25"/>
      <c r="WZF26" s="25"/>
      <c r="WZG26" s="25"/>
      <c r="WZH26" s="25"/>
      <c r="WZI26" s="25"/>
      <c r="WZJ26" s="25"/>
      <c r="WZK26" s="25"/>
      <c r="WZL26" s="25"/>
      <c r="WZM26" s="25"/>
      <c r="WZN26" s="25"/>
      <c r="WZO26" s="25"/>
      <c r="WZP26" s="25"/>
      <c r="WZQ26" s="25"/>
      <c r="WZR26" s="25"/>
      <c r="WZS26" s="25"/>
      <c r="WZT26" s="25"/>
      <c r="WZU26" s="25"/>
      <c r="WZV26" s="25"/>
      <c r="WZW26" s="25"/>
      <c r="WZX26" s="25"/>
      <c r="WZY26" s="25"/>
      <c r="WZZ26" s="25"/>
      <c r="XAA26" s="25"/>
      <c r="XAB26" s="25"/>
      <c r="XAC26" s="25"/>
      <c r="XAD26" s="25"/>
      <c r="XAE26" s="25"/>
      <c r="XAF26" s="25"/>
      <c r="XAG26" s="25"/>
      <c r="XAH26" s="25"/>
      <c r="XAI26" s="25"/>
      <c r="XAJ26" s="25"/>
      <c r="XAK26" s="25"/>
      <c r="XAL26" s="25"/>
      <c r="XAM26" s="25"/>
      <c r="XAN26" s="25"/>
      <c r="XAO26" s="25"/>
      <c r="XAP26" s="25"/>
      <c r="XAQ26" s="25"/>
      <c r="XAR26" s="25"/>
      <c r="XAS26" s="25"/>
      <c r="XAT26" s="25"/>
      <c r="XAU26" s="25"/>
      <c r="XAV26" s="25"/>
      <c r="XAW26" s="25"/>
      <c r="XAX26" s="25"/>
      <c r="XAY26" s="25"/>
      <c r="XAZ26" s="25"/>
      <c r="XBA26" s="25"/>
      <c r="XBB26" s="25"/>
      <c r="XBC26" s="25"/>
      <c r="XBD26" s="25"/>
      <c r="XBE26" s="25"/>
      <c r="XBF26" s="25"/>
      <c r="XBG26" s="25"/>
      <c r="XBH26" s="25"/>
      <c r="XBI26" s="25"/>
      <c r="XBJ26" s="25"/>
      <c r="XBK26" s="25"/>
      <c r="XBL26" s="25"/>
      <c r="XBM26" s="25"/>
      <c r="XBN26" s="25"/>
      <c r="XBO26" s="25"/>
      <c r="XBP26" s="25"/>
      <c r="XBQ26" s="25"/>
      <c r="XBR26" s="25"/>
      <c r="XBS26" s="25"/>
      <c r="XBT26" s="25"/>
      <c r="XBU26" s="25"/>
      <c r="XBV26" s="25"/>
      <c r="XBW26" s="25"/>
      <c r="XBX26" s="25"/>
      <c r="XBY26" s="25"/>
      <c r="XBZ26" s="25"/>
      <c r="XCA26" s="25"/>
      <c r="XCB26" s="25"/>
      <c r="XCC26" s="25"/>
      <c r="XCD26" s="25"/>
      <c r="XCE26" s="25"/>
      <c r="XCF26" s="25"/>
      <c r="XCG26" s="25"/>
      <c r="XCH26" s="25"/>
      <c r="XCI26" s="25"/>
      <c r="XCJ26" s="25"/>
      <c r="XCK26" s="25"/>
      <c r="XCL26" s="25"/>
      <c r="XCM26" s="25"/>
      <c r="XCN26" s="25"/>
      <c r="XCO26" s="25"/>
      <c r="XCP26" s="25"/>
      <c r="XCQ26" s="25"/>
      <c r="XCR26" s="25"/>
      <c r="XCS26" s="25"/>
      <c r="XCT26" s="25"/>
      <c r="XCU26" s="25"/>
      <c r="XCV26" s="25"/>
      <c r="XCW26" s="25"/>
      <c r="XCX26" s="25"/>
      <c r="XCY26" s="25"/>
      <c r="XCZ26" s="25"/>
      <c r="XDA26" s="25"/>
      <c r="XDB26" s="25"/>
      <c r="XDC26" s="25"/>
      <c r="XDD26" s="25"/>
      <c r="XDE26" s="25"/>
      <c r="XDF26" s="25"/>
      <c r="XDG26" s="25"/>
      <c r="XDH26" s="25"/>
      <c r="XDI26" s="25"/>
      <c r="XDJ26" s="25"/>
      <c r="XDK26" s="25"/>
      <c r="XDL26" s="25"/>
      <c r="XDM26" s="25"/>
      <c r="XDN26" s="25"/>
      <c r="XDO26" s="25"/>
      <c r="XDP26" s="25"/>
      <c r="XDQ26" s="25"/>
      <c r="XDR26" s="25"/>
      <c r="XDS26" s="25"/>
      <c r="XDT26" s="25"/>
      <c r="XDU26" s="25"/>
      <c r="XDV26" s="25"/>
      <c r="XDW26" s="25"/>
      <c r="XDX26" s="25"/>
      <c r="XDY26" s="25"/>
      <c r="XDZ26" s="25"/>
      <c r="XEA26" s="25"/>
      <c r="XEB26" s="25"/>
      <c r="XEC26" s="25"/>
      <c r="XED26" s="25"/>
      <c r="XEE26" s="25"/>
      <c r="XEF26" s="25"/>
      <c r="XEG26" s="25"/>
      <c r="XEH26" s="25"/>
      <c r="XEI26" s="25"/>
      <c r="XEJ26" s="25"/>
      <c r="XEK26" s="25"/>
      <c r="XEL26" s="25"/>
    </row>
    <row r="27" spans="1:16366" s="28" customFormat="1">
      <c r="A27" s="217"/>
      <c r="B27" s="232"/>
      <c r="C27" s="236"/>
      <c r="D27" s="377"/>
      <c r="G27" s="370"/>
      <c r="H27" s="370"/>
      <c r="J27" s="370"/>
      <c r="K27" s="370"/>
      <c r="M27" s="370"/>
      <c r="N27" s="370"/>
      <c r="P27" s="370"/>
      <c r="Q27" s="370"/>
      <c r="S27" s="370"/>
      <c r="T27" s="370"/>
      <c r="V27" s="370"/>
      <c r="W27" s="370"/>
      <c r="Y27" s="392"/>
      <c r="Z27" s="370"/>
      <c r="AB27" s="392"/>
      <c r="AC27" s="370"/>
      <c r="AE27" s="392"/>
      <c r="AF27" s="370"/>
      <c r="AH27" s="392"/>
      <c r="AI27" s="370"/>
      <c r="AK27" s="370"/>
      <c r="AL27" s="370"/>
      <c r="AM27" s="370"/>
    </row>
    <row r="28" spans="1:16366" s="28" customFormat="1">
      <c r="A28" s="217"/>
      <c r="B28" s="28" t="s">
        <v>1105</v>
      </c>
      <c r="C28" s="238" t="s">
        <v>1152</v>
      </c>
      <c r="D28" s="378"/>
      <c r="E28" s="208"/>
      <c r="F28" s="208"/>
      <c r="G28" s="371"/>
      <c r="H28" s="393"/>
      <c r="I28" s="208"/>
      <c r="J28" s="393"/>
      <c r="K28" s="393"/>
      <c r="L28" s="208"/>
      <c r="M28" s="393"/>
      <c r="N28" s="393"/>
      <c r="O28" s="208"/>
      <c r="P28" s="393"/>
      <c r="Q28" s="393"/>
      <c r="R28" s="208"/>
      <c r="S28" s="393"/>
      <c r="T28" s="393"/>
      <c r="U28" s="208"/>
      <c r="V28" s="393"/>
      <c r="W28" s="393"/>
      <c r="X28" s="208"/>
      <c r="Y28" s="393"/>
      <c r="Z28" s="393"/>
      <c r="AA28" s="208"/>
      <c r="AB28" s="393">
        <v>63.7</v>
      </c>
      <c r="AC28" s="393"/>
      <c r="AD28" s="208"/>
      <c r="AE28" s="546">
        <v>69</v>
      </c>
      <c r="AF28" s="393">
        <v>71.2</v>
      </c>
      <c r="AG28" s="208"/>
      <c r="AH28" s="546">
        <v>76.117999999999995</v>
      </c>
      <c r="AI28" s="548">
        <f>+AVERAGE(AH28,AK28)</f>
        <v>79.543309999999991</v>
      </c>
      <c r="AJ28" s="565">
        <f>+AK28</f>
        <v>82.968620000000001</v>
      </c>
      <c r="AK28" s="371">
        <f>+AH28*(1+AK30)</f>
        <v>82.968620000000001</v>
      </c>
      <c r="AL28" s="371">
        <f t="shared" ref="AL28" si="41">+AK28*(1+AL30)</f>
        <v>90.435795800000008</v>
      </c>
      <c r="AM28" s="371">
        <f t="shared" ref="AM28" si="42">+AL28*(1+AM30)</f>
        <v>97.670659464000011</v>
      </c>
    </row>
    <row r="29" spans="1:16366" s="28" customFormat="1">
      <c r="A29" s="217"/>
      <c r="B29" s="437" t="s">
        <v>1101</v>
      </c>
      <c r="C29" s="271" t="s">
        <v>1104</v>
      </c>
      <c r="D29" s="379"/>
      <c r="E29" s="284"/>
      <c r="F29" s="221"/>
      <c r="G29" s="284"/>
      <c r="H29" s="284"/>
      <c r="I29" s="221"/>
      <c r="J29" s="284"/>
      <c r="K29" s="284"/>
      <c r="L29" s="221"/>
      <c r="M29" s="284"/>
      <c r="N29" s="284"/>
      <c r="O29" s="221"/>
      <c r="P29" s="284"/>
      <c r="Q29" s="284"/>
      <c r="R29" s="221"/>
      <c r="S29" s="284"/>
      <c r="T29" s="284"/>
      <c r="U29" s="221"/>
      <c r="V29" s="284"/>
      <c r="W29" s="284"/>
      <c r="X29" s="221"/>
      <c r="Y29" s="284"/>
      <c r="Z29" s="284"/>
      <c r="AA29" s="221"/>
      <c r="AB29" s="284"/>
      <c r="AC29" s="284"/>
      <c r="AD29" s="221"/>
      <c r="AE29" s="540">
        <f t="shared" ref="AE29" si="43">AE28/AB28-1</f>
        <v>8.3202511773940335E-2</v>
      </c>
      <c r="AF29" s="284"/>
      <c r="AG29" s="221"/>
      <c r="AH29" s="540">
        <f t="shared" ref="AH29" si="44">AH28/AE28-1</f>
        <v>0.10315942028985492</v>
      </c>
      <c r="AI29" s="398"/>
      <c r="AJ29" s="221"/>
      <c r="AK29" s="398">
        <f>AK28/AH28-1</f>
        <v>9.000000000000008E-2</v>
      </c>
      <c r="AL29" s="398">
        <f t="shared" ref="AL29" si="45">AL28/AK28-1</f>
        <v>9.000000000000008E-2</v>
      </c>
      <c r="AM29" s="398">
        <f t="shared" ref="AM29" si="46">AM28/AL28-1</f>
        <v>8.0000000000000071E-2</v>
      </c>
    </row>
    <row r="30" spans="1:16366" s="28" customFormat="1">
      <c r="A30" s="217"/>
      <c r="B30" s="437" t="s">
        <v>1102</v>
      </c>
      <c r="C30" s="271" t="s">
        <v>1104</v>
      </c>
      <c r="D30" s="379"/>
      <c r="E30" s="284"/>
      <c r="F30" s="221"/>
      <c r="G30" s="284"/>
      <c r="H30" s="284"/>
      <c r="I30" s="221"/>
      <c r="J30" s="284"/>
      <c r="K30" s="284"/>
      <c r="L30" s="221"/>
      <c r="M30" s="284"/>
      <c r="N30" s="284"/>
      <c r="O30" s="221"/>
      <c r="P30" s="284"/>
      <c r="Q30" s="284"/>
      <c r="R30" s="221"/>
      <c r="S30" s="284"/>
      <c r="T30" s="284"/>
      <c r="U30" s="221"/>
      <c r="V30" s="284"/>
      <c r="W30" s="284"/>
      <c r="X30" s="221"/>
      <c r="Y30" s="284"/>
      <c r="Z30" s="284"/>
      <c r="AA30" s="221"/>
      <c r="AB30" s="284"/>
      <c r="AC30" s="284"/>
      <c r="AD30" s="547"/>
      <c r="AE30" s="399">
        <f>+AE28/AB28-1</f>
        <v>8.3202511773940335E-2</v>
      </c>
      <c r="AF30" s="284"/>
      <c r="AG30" s="547"/>
      <c r="AH30" s="399">
        <f>+AH28/AE28-1</f>
        <v>0.10315942028985492</v>
      </c>
      <c r="AI30" s="497">
        <f>+AI28/AH28-1</f>
        <v>4.4999999999999929E-2</v>
      </c>
      <c r="AJ30" s="550">
        <f>+AJ28/AI28-1</f>
        <v>4.3062200956937913E-2</v>
      </c>
      <c r="AK30" s="397">
        <v>0.09</v>
      </c>
      <c r="AL30" s="397">
        <v>0.09</v>
      </c>
      <c r="AM30" s="521">
        <f>+MAX(AL30-1%,5%)</f>
        <v>0.08</v>
      </c>
    </row>
    <row r="31" spans="1:16366" s="28" customFormat="1">
      <c r="A31" s="217"/>
      <c r="B31" s="273"/>
      <c r="C31" s="238"/>
      <c r="D31" s="377"/>
      <c r="G31" s="370"/>
      <c r="H31" s="370"/>
      <c r="J31" s="370"/>
      <c r="K31" s="370"/>
      <c r="M31" s="370"/>
      <c r="N31" s="370"/>
      <c r="P31" s="370"/>
      <c r="Q31" s="370"/>
      <c r="S31" s="370"/>
      <c r="T31" s="370"/>
      <c r="V31" s="370"/>
      <c r="W31" s="370"/>
      <c r="Y31" s="370"/>
      <c r="Z31" s="370"/>
      <c r="AB31" s="370"/>
      <c r="AC31" s="370"/>
      <c r="AE31" s="370"/>
      <c r="AF31" s="370"/>
      <c r="AH31" s="370"/>
      <c r="AI31" s="370"/>
      <c r="AJ31" s="25"/>
      <c r="AK31" s="370"/>
      <c r="AL31" s="370"/>
      <c r="AM31" s="370"/>
    </row>
    <row r="32" spans="1:16366" s="272" customFormat="1" outlineLevel="1">
      <c r="A32" s="551"/>
      <c r="B32" s="552" t="s">
        <v>1212</v>
      </c>
      <c r="C32" s="271"/>
      <c r="D32" s="379"/>
      <c r="G32" s="372"/>
      <c r="H32" s="372"/>
      <c r="J32" s="372"/>
      <c r="K32" s="372"/>
      <c r="M32" s="372"/>
      <c r="N32" s="372"/>
      <c r="P32" s="372"/>
      <c r="Q32" s="372"/>
      <c r="S32" s="372"/>
      <c r="T32" s="372"/>
      <c r="V32" s="372"/>
      <c r="W32" s="372"/>
      <c r="Y32" s="372"/>
      <c r="Z32" s="372"/>
      <c r="AB32" s="372"/>
      <c r="AC32" s="372"/>
      <c r="AE32" s="553">
        <f>+AE34-AE33</f>
        <v>65.115555555555574</v>
      </c>
      <c r="AF32" s="372"/>
      <c r="AH32" s="553">
        <f>+AH34-AH33</f>
        <v>71.417197452229289</v>
      </c>
      <c r="AI32" s="556">
        <f>+AK32*0.49</f>
        <v>38.789732799999996</v>
      </c>
      <c r="AJ32" s="566">
        <f>+AK32-AI32</f>
        <v>40.372987199999997</v>
      </c>
      <c r="AK32" s="553">
        <f>+AH28*AK$8</f>
        <v>79.162719999999993</v>
      </c>
      <c r="AL32" s="553">
        <f t="shared" ref="AL32:AM32" si="47">+AK28*AL$8</f>
        <v>86.287364800000006</v>
      </c>
      <c r="AM32" s="553">
        <f t="shared" si="47"/>
        <v>94.053227632000016</v>
      </c>
    </row>
    <row r="33" spans="1:16366" s="272" customFormat="1" outlineLevel="1">
      <c r="A33" s="551"/>
      <c r="B33" s="552" t="s">
        <v>1211</v>
      </c>
      <c r="C33" s="271"/>
      <c r="D33" s="379"/>
      <c r="G33" s="372"/>
      <c r="H33" s="372"/>
      <c r="J33" s="372"/>
      <c r="K33" s="372"/>
      <c r="M33" s="372"/>
      <c r="N33" s="372"/>
      <c r="P33" s="372"/>
      <c r="Q33" s="372"/>
      <c r="S33" s="372"/>
      <c r="T33" s="372"/>
      <c r="V33" s="372"/>
      <c r="W33" s="372"/>
      <c r="Y33" s="372"/>
      <c r="Z33" s="372"/>
      <c r="AB33" s="372"/>
      <c r="AC33" s="372"/>
      <c r="AE33" s="553">
        <f>+AE34-(AB28*AE$8)</f>
        <v>10.984444444444421</v>
      </c>
      <c r="AF33" s="372"/>
      <c r="AH33" s="553">
        <f>+AH34-(AE28*AH$8)</f>
        <v>8.8658025477707127</v>
      </c>
      <c r="AI33" s="556">
        <f>+AK33*0.49</f>
        <v>4.3442432484076487</v>
      </c>
      <c r="AJ33" s="566">
        <f>+AK33-AI33</f>
        <v>4.521559299363064</v>
      </c>
      <c r="AK33" s="553">
        <f>+AH33</f>
        <v>8.8658025477707127</v>
      </c>
      <c r="AL33" s="553">
        <f t="shared" ref="AL33:AM33" si="48">+AK33</f>
        <v>8.8658025477707127</v>
      </c>
      <c r="AM33" s="553">
        <f t="shared" si="48"/>
        <v>8.8658025477707127</v>
      </c>
    </row>
    <row r="34" spans="1:16366" s="28" customFormat="1">
      <c r="A34" s="217"/>
      <c r="B34" s="28" t="s">
        <v>378</v>
      </c>
      <c r="C34" s="238" t="s">
        <v>1152</v>
      </c>
      <c r="D34" s="378">
        <f t="shared" ref="D34:F34" si="49">+D68</f>
        <v>48.581000000000003</v>
      </c>
      <c r="E34" s="208">
        <f t="shared" si="49"/>
        <v>24.001999999999999</v>
      </c>
      <c r="F34" s="208">
        <f t="shared" si="49"/>
        <v>26.004999999999999</v>
      </c>
      <c r="G34" s="371">
        <f>+G68</f>
        <v>50.006999999999998</v>
      </c>
      <c r="H34" s="393">
        <f>20+2+0.5</f>
        <v>22.5</v>
      </c>
      <c r="I34" s="208">
        <f>+J34-H34</f>
        <v>26.184999999999995</v>
      </c>
      <c r="J34" s="393">
        <f>43.36+4.248+1.077</f>
        <v>48.684999999999995</v>
      </c>
      <c r="K34" s="393">
        <f>25.018+2.76+0.717</f>
        <v>28.494999999999997</v>
      </c>
      <c r="L34" s="208">
        <f>+M34-K34</f>
        <v>30.878</v>
      </c>
      <c r="M34" s="393">
        <f>52.019+5.842+1.512</f>
        <v>59.372999999999998</v>
      </c>
      <c r="N34" s="393">
        <f>28.04+2.773+1.102</f>
        <v>31.914999999999999</v>
      </c>
      <c r="O34" s="208">
        <f>+P34-N34</f>
        <v>28.222000000000001</v>
      </c>
      <c r="P34" s="393">
        <f>51.104+6.624+2.409</f>
        <v>60.137</v>
      </c>
      <c r="Q34" s="393">
        <f>22.466+3.553+1.455</f>
        <v>27.474000000000004</v>
      </c>
      <c r="R34" s="208">
        <f>+S34-Q34</f>
        <v>30.685999999999993</v>
      </c>
      <c r="S34" s="393">
        <f>47.973+7.134+3.053</f>
        <v>58.16</v>
      </c>
      <c r="T34" s="393">
        <f>24.219+3.342+1.924</f>
        <v>29.484999999999999</v>
      </c>
      <c r="U34" s="208">
        <f>+V34-T34</f>
        <v>32.058</v>
      </c>
      <c r="V34" s="393">
        <f>54.71+6.833</f>
        <v>61.542999999999999</v>
      </c>
      <c r="W34" s="393">
        <v>33.435000000000002</v>
      </c>
      <c r="X34" s="208">
        <f>+Y34-W34</f>
        <v>35.480999999999995</v>
      </c>
      <c r="Y34" s="393">
        <f>61.808+7.108</f>
        <v>68.915999999999997</v>
      </c>
      <c r="Z34" s="393">
        <v>36.667000000000002</v>
      </c>
      <c r="AA34" s="208">
        <f>+AB34-Z34</f>
        <v>37.552999999999997</v>
      </c>
      <c r="AB34" s="393">
        <v>74.22</v>
      </c>
      <c r="AC34" s="393">
        <v>38.082000000000001</v>
      </c>
      <c r="AD34" s="208">
        <f>+AE34-AC34</f>
        <v>38.017999999999994</v>
      </c>
      <c r="AE34" s="546">
        <v>76.099999999999994</v>
      </c>
      <c r="AF34" s="393">
        <v>39.506999999999998</v>
      </c>
      <c r="AG34" s="208">
        <f>+AH34-AF34</f>
        <v>40.776000000000003</v>
      </c>
      <c r="AH34" s="546">
        <v>80.283000000000001</v>
      </c>
      <c r="AI34" s="496">
        <f>+AI32+AI33</f>
        <v>43.133976048407646</v>
      </c>
      <c r="AJ34" s="565">
        <f>+AJ32+AJ33</f>
        <v>44.894546499363059</v>
      </c>
      <c r="AK34" s="371">
        <f t="shared" ref="AK34:AM34" si="50">+AK32+AK33</f>
        <v>88.028522547770706</v>
      </c>
      <c r="AL34" s="371">
        <f t="shared" si="50"/>
        <v>95.153167347770719</v>
      </c>
      <c r="AM34" s="371">
        <f t="shared" si="50"/>
        <v>102.91903017977073</v>
      </c>
    </row>
    <row r="35" spans="1:16366" s="28" customFormat="1">
      <c r="A35" s="217"/>
      <c r="B35" s="437" t="s">
        <v>1101</v>
      </c>
      <c r="C35" s="271" t="s">
        <v>1104</v>
      </c>
      <c r="D35" s="379"/>
      <c r="E35" s="284"/>
      <c r="F35" s="221"/>
      <c r="G35" s="284">
        <f t="shared" ref="G35" si="51">G34/D34-1</f>
        <v>2.9353039254029323E-2</v>
      </c>
      <c r="H35" s="284">
        <f t="shared" ref="H35" si="52">H34/E34-1</f>
        <v>-6.2578118490125734E-2</v>
      </c>
      <c r="I35" s="221">
        <f t="shared" ref="I35" si="53">I34/F34-1</f>
        <v>6.9217458181116687E-3</v>
      </c>
      <c r="J35" s="284">
        <f t="shared" ref="J35" si="54">J34/G34-1</f>
        <v>-2.6436298918151468E-2</v>
      </c>
      <c r="K35" s="284">
        <f t="shared" ref="K35:M35" si="55">K34/H34-1</f>
        <v>0.26644444444444426</v>
      </c>
      <c r="L35" s="221">
        <f t="shared" si="55"/>
        <v>0.1792247469925532</v>
      </c>
      <c r="M35" s="284">
        <f t="shared" si="55"/>
        <v>0.21953373729074666</v>
      </c>
      <c r="N35" s="284">
        <f t="shared" ref="N35" si="56">N34/K34-1</f>
        <v>0.12002105632567117</v>
      </c>
      <c r="O35" s="221">
        <f t="shared" ref="O35" si="57">O34/L34-1</f>
        <v>-8.6015933674460698E-2</v>
      </c>
      <c r="P35" s="284">
        <f t="shared" ref="P35:Q35" si="58">P34/M34-1</f>
        <v>1.2867801862799677E-2</v>
      </c>
      <c r="Q35" s="284">
        <f t="shared" si="58"/>
        <v>-0.13915086949710154</v>
      </c>
      <c r="R35" s="221">
        <f t="shared" ref="R35" si="59">R34/O34-1</f>
        <v>8.7307774076960998E-2</v>
      </c>
      <c r="S35" s="284">
        <f t="shared" ref="S35" si="60">S34/P34-1</f>
        <v>-3.2874935563796059E-2</v>
      </c>
      <c r="T35" s="284">
        <f t="shared" ref="T35" si="61">T34/Q34-1</f>
        <v>7.319647666885043E-2</v>
      </c>
      <c r="U35" s="221">
        <f t="shared" ref="U35" si="62">U34/R34-1</f>
        <v>4.4710943101088585E-2</v>
      </c>
      <c r="V35" s="284">
        <f t="shared" ref="V35:W35" si="63">V34/S34-1</f>
        <v>5.816712517193956E-2</v>
      </c>
      <c r="W35" s="284">
        <f t="shared" si="63"/>
        <v>0.13396642360522315</v>
      </c>
      <c r="X35" s="221">
        <f t="shared" ref="X35" si="64">X34/U34-1</f>
        <v>0.10677521991390582</v>
      </c>
      <c r="Y35" s="284">
        <f t="shared" ref="Y35" si="65">Y34/V34-1</f>
        <v>0.1198024145719252</v>
      </c>
      <c r="Z35" s="284">
        <f t="shared" ref="Z35:AF35" si="66">Z34/W34-1</f>
        <v>9.6665171227755309E-2</v>
      </c>
      <c r="AA35" s="221">
        <f t="shared" si="66"/>
        <v>5.8397452157492813E-2</v>
      </c>
      <c r="AB35" s="284">
        <f t="shared" si="66"/>
        <v>7.6963259620407509E-2</v>
      </c>
      <c r="AC35" s="284">
        <f t="shared" si="66"/>
        <v>3.8590558267652009E-2</v>
      </c>
      <c r="AD35" s="221">
        <f t="shared" si="66"/>
        <v>1.2382499400846791E-2</v>
      </c>
      <c r="AE35" s="284">
        <f t="shared" si="66"/>
        <v>2.5330099703583908E-2</v>
      </c>
      <c r="AF35" s="284">
        <f t="shared" si="66"/>
        <v>3.7419253190483559E-2</v>
      </c>
      <c r="AG35" s="221">
        <f t="shared" ref="AG35" si="67">AG34/AD34-1</f>
        <v>7.2544584144353053E-2</v>
      </c>
      <c r="AH35" s="284">
        <f t="shared" ref="AH35" si="68">AH34/AE34-1</f>
        <v>5.4967148488830553E-2</v>
      </c>
      <c r="AI35" s="284">
        <f t="shared" ref="AI35:AJ35" si="69">AI34/AF34-1</f>
        <v>9.1805909039098132E-2</v>
      </c>
      <c r="AJ35" s="221">
        <f t="shared" si="69"/>
        <v>0.10100418136558398</v>
      </c>
      <c r="AK35" s="554">
        <f>AK34/AH34-1</f>
        <v>9.647774183539104E-2</v>
      </c>
      <c r="AL35" s="554">
        <f t="shared" ref="AL35:AM35" si="70">AL34/AK34-1</f>
        <v>8.0935639878922938E-2</v>
      </c>
      <c r="AM35" s="554">
        <f t="shared" si="70"/>
        <v>8.1614338738898118E-2</v>
      </c>
    </row>
    <row r="36" spans="1:16366" s="28" customFormat="1">
      <c r="A36" s="217"/>
      <c r="B36" s="437" t="s">
        <v>1102</v>
      </c>
      <c r="C36" s="271" t="s">
        <v>1104</v>
      </c>
      <c r="D36" s="379"/>
      <c r="E36" s="284"/>
      <c r="F36" s="221">
        <f>+F34/E34-1</f>
        <v>8.3451379051745711E-2</v>
      </c>
      <c r="G36" s="284">
        <f>+G34/D34-1</f>
        <v>2.9353039254029323E-2</v>
      </c>
      <c r="H36" s="284">
        <f>+H34/F34-1</f>
        <v>-0.13478177273601222</v>
      </c>
      <c r="I36" s="221">
        <f>+I34/H34-1</f>
        <v>0.16377777777777758</v>
      </c>
      <c r="J36" s="284">
        <f>+J34/G34-1</f>
        <v>-2.6436298918151468E-2</v>
      </c>
      <c r="K36" s="284">
        <f>+K34/I34-1</f>
        <v>8.8218445675004808E-2</v>
      </c>
      <c r="L36" s="221">
        <f>+L34/K34-1</f>
        <v>8.3628706790665142E-2</v>
      </c>
      <c r="M36" s="284">
        <f>+M34/J34-1</f>
        <v>0.21953373729074666</v>
      </c>
      <c r="N36" s="284">
        <f>+N34/L34-1</f>
        <v>3.3583781332987783E-2</v>
      </c>
      <c r="O36" s="221">
        <f>+O34/N34-1</f>
        <v>-0.11571361428795235</v>
      </c>
      <c r="P36" s="284">
        <f>+P34/M34-1</f>
        <v>1.2867801862799677E-2</v>
      </c>
      <c r="Q36" s="284">
        <f>+Q34/O34-1</f>
        <v>-2.6504145701934601E-2</v>
      </c>
      <c r="R36" s="221">
        <f>+R34/Q34-1</f>
        <v>0.11691053359539882</v>
      </c>
      <c r="S36" s="284">
        <f>+S34/P34-1</f>
        <v>-3.2874935563796059E-2</v>
      </c>
      <c r="T36" s="284">
        <f>+T34/R34-1</f>
        <v>-3.9138369288926333E-2</v>
      </c>
      <c r="U36" s="221">
        <f>+U34/T34-1</f>
        <v>8.7264710869933815E-2</v>
      </c>
      <c r="V36" s="284">
        <f>+V34/S34-1</f>
        <v>5.816712517193956E-2</v>
      </c>
      <c r="W36" s="284">
        <f>+W34/U34-1</f>
        <v>4.2953396967995605E-2</v>
      </c>
      <c r="X36" s="221">
        <f>+X34/W34-1</f>
        <v>6.1193360251233564E-2</v>
      </c>
      <c r="Y36" s="284">
        <f>+Y34/V34-1</f>
        <v>0.1198024145719252</v>
      </c>
      <c r="Z36" s="284">
        <f>+Z34/X34-1</f>
        <v>3.3426340858487835E-2</v>
      </c>
      <c r="AA36" s="221">
        <f>+AA34/Z34-1</f>
        <v>2.4163416696211693E-2</v>
      </c>
      <c r="AB36" s="284">
        <f>+AB34/Y34-1</f>
        <v>7.6963259620407509E-2</v>
      </c>
      <c r="AC36" s="284">
        <f>+AC34/AA34-1</f>
        <v>1.4086757382898885E-2</v>
      </c>
      <c r="AD36" s="221">
        <f>+AD34/AC34-1</f>
        <v>-1.6805840029412433E-3</v>
      </c>
      <c r="AE36" s="284">
        <f>+AE34/AB34-1</f>
        <v>2.5330099703583908E-2</v>
      </c>
      <c r="AF36" s="284">
        <f>+AF34/AD34-1</f>
        <v>3.9165658372350087E-2</v>
      </c>
      <c r="AG36" s="221">
        <f>+AG34/AF34-1</f>
        <v>3.2120889968866306E-2</v>
      </c>
      <c r="AH36" s="284">
        <f>+AH34/AE34-1</f>
        <v>5.4967148488830553E-2</v>
      </c>
      <c r="AI36" s="284">
        <f>+AI34/AG34-1</f>
        <v>5.7827546802227792E-2</v>
      </c>
      <c r="AJ36" s="221">
        <f>+AJ34/AI34-1</f>
        <v>4.081632653061229E-2</v>
      </c>
      <c r="AK36" s="497">
        <f>+AK35</f>
        <v>9.647774183539104E-2</v>
      </c>
      <c r="AL36" s="497">
        <f t="shared" ref="AL36:AM36" si="71">+AL35</f>
        <v>8.0935639878922938E-2</v>
      </c>
      <c r="AM36" s="497">
        <f t="shared" si="71"/>
        <v>8.1614338738898118E-2</v>
      </c>
    </row>
    <row r="37" spans="1:16366" s="28" customFormat="1">
      <c r="A37" s="217"/>
      <c r="B37" s="273"/>
      <c r="C37" s="238"/>
      <c r="D37" s="377"/>
      <c r="G37" s="370"/>
      <c r="H37" s="370"/>
      <c r="J37" s="370"/>
      <c r="K37" s="370"/>
      <c r="M37" s="370"/>
      <c r="N37" s="370"/>
      <c r="P37" s="370"/>
      <c r="Q37" s="370"/>
      <c r="S37" s="370"/>
      <c r="T37" s="370"/>
      <c r="V37" s="370"/>
      <c r="W37" s="370"/>
      <c r="Y37" s="370"/>
      <c r="Z37" s="370"/>
      <c r="AB37" s="370"/>
      <c r="AC37" s="370"/>
      <c r="AE37" s="370"/>
      <c r="AF37" s="370"/>
      <c r="AH37" s="370"/>
      <c r="AI37" s="370"/>
      <c r="AJ37" s="25"/>
      <c r="AK37" s="370"/>
      <c r="AL37" s="370"/>
      <c r="AM37" s="370"/>
    </row>
    <row r="38" spans="1:16366" s="28" customFormat="1">
      <c r="A38" s="217" t="s">
        <v>1111</v>
      </c>
      <c r="B38" s="212" t="s">
        <v>1156</v>
      </c>
      <c r="C38" s="212"/>
      <c r="D38" s="376"/>
      <c r="E38" s="213"/>
      <c r="F38" s="213"/>
      <c r="G38" s="387"/>
      <c r="H38" s="389"/>
      <c r="I38" s="213"/>
      <c r="J38" s="387"/>
      <c r="K38" s="387"/>
      <c r="L38" s="213"/>
      <c r="M38" s="387"/>
      <c r="N38" s="387"/>
      <c r="O38" s="213"/>
      <c r="P38" s="387"/>
      <c r="Q38" s="387"/>
      <c r="R38" s="213"/>
      <c r="S38" s="387"/>
      <c r="T38" s="387"/>
      <c r="U38" s="214"/>
      <c r="V38" s="387"/>
      <c r="W38" s="387"/>
      <c r="X38" s="214"/>
      <c r="Y38" s="387"/>
      <c r="Z38" s="387"/>
      <c r="AA38" s="214"/>
      <c r="AB38" s="396"/>
      <c r="AC38" s="387"/>
      <c r="AD38" s="214"/>
      <c r="AE38" s="396"/>
      <c r="AF38" s="396"/>
      <c r="AG38" s="214"/>
      <c r="AH38" s="396"/>
      <c r="AI38" s="567"/>
      <c r="AJ38" s="568"/>
      <c r="AK38" s="396"/>
      <c r="AL38" s="396"/>
      <c r="AM38" s="396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  <c r="MN38" s="25"/>
      <c r="MO38" s="25"/>
      <c r="MP38" s="25"/>
      <c r="MQ38" s="25"/>
      <c r="MR38" s="25"/>
      <c r="MS38" s="25"/>
      <c r="MT38" s="25"/>
      <c r="MU38" s="25"/>
      <c r="MV38" s="25"/>
      <c r="MW38" s="25"/>
      <c r="MX38" s="25"/>
      <c r="MY38" s="25"/>
      <c r="MZ38" s="25"/>
      <c r="NA38" s="25"/>
      <c r="NB38" s="25"/>
      <c r="NC38" s="25"/>
      <c r="ND38" s="25"/>
      <c r="NE38" s="25"/>
      <c r="NF38" s="25"/>
      <c r="NG38" s="25"/>
      <c r="NH38" s="25"/>
      <c r="NI38" s="25"/>
      <c r="NJ38" s="25"/>
      <c r="NK38" s="25"/>
      <c r="NL38" s="25"/>
      <c r="NM38" s="25"/>
      <c r="NN38" s="25"/>
      <c r="NO38" s="25"/>
      <c r="NP38" s="25"/>
      <c r="NQ38" s="25"/>
      <c r="NR38" s="25"/>
      <c r="NS38" s="25"/>
      <c r="NT38" s="25"/>
      <c r="NU38" s="25"/>
      <c r="NV38" s="25"/>
      <c r="NW38" s="25"/>
      <c r="NX38" s="25"/>
      <c r="NY38" s="25"/>
      <c r="NZ38" s="25"/>
      <c r="OA38" s="25"/>
      <c r="OB38" s="25"/>
      <c r="OC38" s="25"/>
      <c r="OD38" s="25"/>
      <c r="OE38" s="25"/>
      <c r="OF38" s="25"/>
      <c r="OG38" s="25"/>
      <c r="OH38" s="25"/>
      <c r="OI38" s="25"/>
      <c r="OJ38" s="25"/>
      <c r="OK38" s="25"/>
      <c r="OL38" s="25"/>
      <c r="OM38" s="25"/>
      <c r="ON38" s="25"/>
      <c r="OO38" s="25"/>
      <c r="OP38" s="25"/>
      <c r="OQ38" s="25"/>
      <c r="OR38" s="25"/>
      <c r="OS38" s="25"/>
      <c r="OT38" s="25"/>
      <c r="OU38" s="25"/>
      <c r="OV38" s="25"/>
      <c r="OW38" s="25"/>
      <c r="OX38" s="25"/>
      <c r="OY38" s="25"/>
      <c r="OZ38" s="25"/>
      <c r="PA38" s="25"/>
      <c r="PB38" s="25"/>
      <c r="PC38" s="25"/>
      <c r="PD38" s="25"/>
      <c r="PE38" s="25"/>
      <c r="PF38" s="25"/>
      <c r="PG38" s="25"/>
      <c r="PH38" s="25"/>
      <c r="PI38" s="25"/>
      <c r="PJ38" s="25"/>
      <c r="PK38" s="25"/>
      <c r="PL38" s="25"/>
      <c r="PM38" s="25"/>
      <c r="PN38" s="25"/>
      <c r="PO38" s="25"/>
      <c r="PP38" s="25"/>
      <c r="PQ38" s="25"/>
      <c r="PR38" s="25"/>
      <c r="PS38" s="25"/>
      <c r="PT38" s="25"/>
      <c r="PU38" s="25"/>
      <c r="PV38" s="25"/>
      <c r="PW38" s="25"/>
      <c r="PX38" s="25"/>
      <c r="PY38" s="25"/>
      <c r="PZ38" s="25"/>
      <c r="QA38" s="25"/>
      <c r="QB38" s="25"/>
      <c r="QC38" s="25"/>
      <c r="QD38" s="25"/>
      <c r="QE38" s="25"/>
      <c r="QF38" s="25"/>
      <c r="QG38" s="25"/>
      <c r="QH38" s="25"/>
      <c r="QI38" s="25"/>
      <c r="QJ38" s="25"/>
      <c r="QK38" s="25"/>
      <c r="QL38" s="25"/>
      <c r="QM38" s="25"/>
      <c r="QN38" s="25"/>
      <c r="QO38" s="25"/>
      <c r="QP38" s="25"/>
      <c r="QQ38" s="25"/>
      <c r="QR38" s="25"/>
      <c r="QS38" s="25"/>
      <c r="QT38" s="25"/>
      <c r="QU38" s="25"/>
      <c r="QV38" s="25"/>
      <c r="QW38" s="25"/>
      <c r="QX38" s="25"/>
      <c r="QY38" s="25"/>
      <c r="QZ38" s="25"/>
      <c r="RA38" s="25"/>
      <c r="RB38" s="25"/>
      <c r="RC38" s="25"/>
      <c r="RD38" s="25"/>
      <c r="RE38" s="25"/>
      <c r="RF38" s="25"/>
      <c r="RG38" s="25"/>
      <c r="RH38" s="25"/>
      <c r="RI38" s="25"/>
      <c r="RJ38" s="25"/>
      <c r="RK38" s="25"/>
      <c r="RL38" s="25"/>
      <c r="RM38" s="25"/>
      <c r="RN38" s="25"/>
      <c r="RO38" s="25"/>
      <c r="RP38" s="25"/>
      <c r="RQ38" s="25"/>
      <c r="RR38" s="25"/>
      <c r="RS38" s="25"/>
      <c r="RT38" s="25"/>
      <c r="RU38" s="25"/>
      <c r="RV38" s="25"/>
      <c r="RW38" s="25"/>
      <c r="RX38" s="25"/>
      <c r="RY38" s="25"/>
      <c r="RZ38" s="25"/>
      <c r="SA38" s="25"/>
      <c r="SB38" s="25"/>
      <c r="SC38" s="25"/>
      <c r="SD38" s="25"/>
      <c r="SE38" s="25"/>
      <c r="SF38" s="25"/>
      <c r="SG38" s="25"/>
      <c r="SH38" s="25"/>
      <c r="SI38" s="25"/>
      <c r="SJ38" s="25"/>
      <c r="SK38" s="25"/>
      <c r="SL38" s="25"/>
      <c r="SM38" s="25"/>
      <c r="SN38" s="25"/>
      <c r="SO38" s="25"/>
      <c r="SP38" s="25"/>
      <c r="SQ38" s="25"/>
      <c r="SR38" s="25"/>
      <c r="SS38" s="25"/>
      <c r="ST38" s="25"/>
      <c r="SU38" s="25"/>
      <c r="SV38" s="25"/>
      <c r="SW38" s="25"/>
      <c r="SX38" s="25"/>
      <c r="SY38" s="25"/>
      <c r="SZ38" s="25"/>
      <c r="TA38" s="25"/>
      <c r="TB38" s="25"/>
      <c r="TC38" s="25"/>
      <c r="TD38" s="25"/>
      <c r="TE38" s="25"/>
      <c r="TF38" s="25"/>
      <c r="TG38" s="25"/>
      <c r="TH38" s="25"/>
      <c r="TI38" s="25"/>
      <c r="TJ38" s="25"/>
      <c r="TK38" s="25"/>
      <c r="TL38" s="25"/>
      <c r="TM38" s="25"/>
      <c r="TN38" s="25"/>
      <c r="TO38" s="25"/>
      <c r="TP38" s="25"/>
      <c r="TQ38" s="25"/>
      <c r="TR38" s="25"/>
      <c r="TS38" s="25"/>
      <c r="TT38" s="25"/>
      <c r="TU38" s="25"/>
      <c r="TV38" s="25"/>
      <c r="TW38" s="25"/>
      <c r="TX38" s="25"/>
      <c r="TY38" s="25"/>
      <c r="TZ38" s="25"/>
      <c r="UA38" s="25"/>
      <c r="UB38" s="25"/>
      <c r="UC38" s="25"/>
      <c r="UD38" s="25"/>
      <c r="UE38" s="25"/>
      <c r="UF38" s="25"/>
      <c r="UG38" s="25"/>
      <c r="UH38" s="25"/>
      <c r="UI38" s="25"/>
      <c r="UJ38" s="25"/>
      <c r="UK38" s="25"/>
      <c r="UL38" s="25"/>
      <c r="UM38" s="25"/>
      <c r="UN38" s="25"/>
      <c r="UO38" s="25"/>
      <c r="UP38" s="25"/>
      <c r="UQ38" s="25"/>
      <c r="UR38" s="25"/>
      <c r="US38" s="25"/>
      <c r="UT38" s="25"/>
      <c r="UU38" s="25"/>
      <c r="UV38" s="25"/>
      <c r="UW38" s="25"/>
      <c r="UX38" s="25"/>
      <c r="UY38" s="25"/>
      <c r="UZ38" s="25"/>
      <c r="VA38" s="25"/>
      <c r="VB38" s="25"/>
      <c r="VC38" s="25"/>
      <c r="VD38" s="25"/>
      <c r="VE38" s="25"/>
      <c r="VF38" s="25"/>
      <c r="VG38" s="25"/>
      <c r="VH38" s="25"/>
      <c r="VI38" s="25"/>
      <c r="VJ38" s="25"/>
      <c r="VK38" s="25"/>
      <c r="VL38" s="25"/>
      <c r="VM38" s="25"/>
      <c r="VN38" s="25"/>
      <c r="VO38" s="25"/>
      <c r="VP38" s="25"/>
      <c r="VQ38" s="25"/>
      <c r="VR38" s="25"/>
      <c r="VS38" s="25"/>
      <c r="VT38" s="25"/>
      <c r="VU38" s="25"/>
      <c r="VV38" s="25"/>
      <c r="VW38" s="25"/>
      <c r="VX38" s="25"/>
      <c r="VY38" s="25"/>
      <c r="VZ38" s="25"/>
      <c r="WA38" s="25"/>
      <c r="WB38" s="25"/>
      <c r="WC38" s="25"/>
      <c r="WD38" s="25"/>
      <c r="WE38" s="25"/>
      <c r="WF38" s="25"/>
      <c r="WG38" s="25"/>
      <c r="WH38" s="25"/>
      <c r="WI38" s="25"/>
      <c r="WJ38" s="25"/>
      <c r="WK38" s="25"/>
      <c r="WL38" s="25"/>
      <c r="WM38" s="25"/>
      <c r="WN38" s="25"/>
      <c r="WO38" s="25"/>
      <c r="WP38" s="25"/>
      <c r="WQ38" s="25"/>
      <c r="WR38" s="25"/>
      <c r="WS38" s="25"/>
      <c r="WT38" s="25"/>
      <c r="WU38" s="25"/>
      <c r="WV38" s="25"/>
      <c r="WW38" s="25"/>
      <c r="WX38" s="25"/>
      <c r="WY38" s="25"/>
      <c r="WZ38" s="25"/>
      <c r="XA38" s="25"/>
      <c r="XB38" s="25"/>
      <c r="XC38" s="25"/>
      <c r="XD38" s="25"/>
      <c r="XE38" s="25"/>
      <c r="XF38" s="25"/>
      <c r="XG38" s="25"/>
      <c r="XH38" s="25"/>
      <c r="XI38" s="25"/>
      <c r="XJ38" s="25"/>
      <c r="XK38" s="25"/>
      <c r="XL38" s="25"/>
      <c r="XM38" s="25"/>
      <c r="XN38" s="25"/>
      <c r="XO38" s="25"/>
      <c r="XP38" s="25"/>
      <c r="XQ38" s="25"/>
      <c r="XR38" s="25"/>
      <c r="XS38" s="25"/>
      <c r="XT38" s="25"/>
      <c r="XU38" s="25"/>
      <c r="XV38" s="25"/>
      <c r="XW38" s="25"/>
      <c r="XX38" s="25"/>
      <c r="XY38" s="25"/>
      <c r="XZ38" s="25"/>
      <c r="YA38" s="25"/>
      <c r="YB38" s="25"/>
      <c r="YC38" s="25"/>
      <c r="YD38" s="25"/>
      <c r="YE38" s="25"/>
      <c r="YF38" s="25"/>
      <c r="YG38" s="25"/>
      <c r="YH38" s="25"/>
      <c r="YI38" s="25"/>
      <c r="YJ38" s="25"/>
      <c r="YK38" s="25"/>
      <c r="YL38" s="25"/>
      <c r="YM38" s="25"/>
      <c r="YN38" s="25"/>
      <c r="YO38" s="25"/>
      <c r="YP38" s="25"/>
      <c r="YQ38" s="25"/>
      <c r="YR38" s="25"/>
      <c r="YS38" s="25"/>
      <c r="YT38" s="25"/>
      <c r="YU38" s="25"/>
      <c r="YV38" s="25"/>
      <c r="YW38" s="25"/>
      <c r="YX38" s="25"/>
      <c r="YY38" s="25"/>
      <c r="YZ38" s="25"/>
      <c r="ZA38" s="25"/>
      <c r="ZB38" s="25"/>
      <c r="ZC38" s="25"/>
      <c r="ZD38" s="25"/>
      <c r="ZE38" s="25"/>
      <c r="ZF38" s="25"/>
      <c r="ZG38" s="25"/>
      <c r="ZH38" s="25"/>
      <c r="ZI38" s="25"/>
      <c r="ZJ38" s="25"/>
      <c r="ZK38" s="25"/>
      <c r="ZL38" s="25"/>
      <c r="ZM38" s="25"/>
      <c r="ZN38" s="25"/>
      <c r="ZO38" s="25"/>
      <c r="ZP38" s="25"/>
      <c r="ZQ38" s="25"/>
      <c r="ZR38" s="25"/>
      <c r="ZS38" s="25"/>
      <c r="ZT38" s="25"/>
      <c r="ZU38" s="25"/>
      <c r="ZV38" s="25"/>
      <c r="ZW38" s="25"/>
      <c r="ZX38" s="25"/>
      <c r="ZY38" s="25"/>
      <c r="ZZ38" s="25"/>
      <c r="AAA38" s="25"/>
      <c r="AAB38" s="25"/>
      <c r="AAC38" s="25"/>
      <c r="AAD38" s="25"/>
      <c r="AAE38" s="25"/>
      <c r="AAF38" s="25"/>
      <c r="AAG38" s="25"/>
      <c r="AAH38" s="25"/>
      <c r="AAI38" s="25"/>
      <c r="AAJ38" s="25"/>
      <c r="AAK38" s="25"/>
      <c r="AAL38" s="25"/>
      <c r="AAM38" s="25"/>
      <c r="AAN38" s="25"/>
      <c r="AAO38" s="25"/>
      <c r="AAP38" s="25"/>
      <c r="AAQ38" s="25"/>
      <c r="AAR38" s="25"/>
      <c r="AAS38" s="25"/>
      <c r="AAT38" s="25"/>
      <c r="AAU38" s="25"/>
      <c r="AAV38" s="25"/>
      <c r="AAW38" s="25"/>
      <c r="AAX38" s="25"/>
      <c r="AAY38" s="25"/>
      <c r="AAZ38" s="25"/>
      <c r="ABA38" s="25"/>
      <c r="ABB38" s="25"/>
      <c r="ABC38" s="25"/>
      <c r="ABD38" s="25"/>
      <c r="ABE38" s="25"/>
      <c r="ABF38" s="25"/>
      <c r="ABG38" s="25"/>
      <c r="ABH38" s="25"/>
      <c r="ABI38" s="25"/>
      <c r="ABJ38" s="25"/>
      <c r="ABK38" s="25"/>
      <c r="ABL38" s="25"/>
      <c r="ABM38" s="25"/>
      <c r="ABN38" s="25"/>
      <c r="ABO38" s="25"/>
      <c r="ABP38" s="25"/>
      <c r="ABQ38" s="25"/>
      <c r="ABR38" s="25"/>
      <c r="ABS38" s="25"/>
      <c r="ABT38" s="25"/>
      <c r="ABU38" s="25"/>
      <c r="ABV38" s="25"/>
      <c r="ABW38" s="25"/>
      <c r="ABX38" s="25"/>
      <c r="ABY38" s="25"/>
      <c r="ABZ38" s="25"/>
      <c r="ACA38" s="25"/>
      <c r="ACB38" s="25"/>
      <c r="ACC38" s="25"/>
      <c r="ACD38" s="25"/>
      <c r="ACE38" s="25"/>
      <c r="ACF38" s="25"/>
      <c r="ACG38" s="25"/>
      <c r="ACH38" s="25"/>
      <c r="ACI38" s="25"/>
      <c r="ACJ38" s="25"/>
      <c r="ACK38" s="25"/>
      <c r="ACL38" s="25"/>
      <c r="ACM38" s="25"/>
      <c r="ACN38" s="25"/>
      <c r="ACO38" s="25"/>
      <c r="ACP38" s="25"/>
      <c r="ACQ38" s="25"/>
      <c r="ACR38" s="25"/>
      <c r="ACS38" s="25"/>
      <c r="ACT38" s="25"/>
      <c r="ACU38" s="25"/>
      <c r="ACV38" s="25"/>
      <c r="ACW38" s="25"/>
      <c r="ACX38" s="25"/>
      <c r="ACY38" s="25"/>
      <c r="ACZ38" s="25"/>
      <c r="ADA38" s="25"/>
      <c r="ADB38" s="25"/>
      <c r="ADC38" s="25"/>
      <c r="ADD38" s="25"/>
      <c r="ADE38" s="25"/>
      <c r="ADF38" s="25"/>
      <c r="ADG38" s="25"/>
      <c r="ADH38" s="25"/>
      <c r="ADI38" s="25"/>
      <c r="ADJ38" s="25"/>
      <c r="ADK38" s="25"/>
      <c r="ADL38" s="25"/>
      <c r="ADM38" s="25"/>
      <c r="ADN38" s="25"/>
      <c r="ADO38" s="25"/>
      <c r="ADP38" s="25"/>
      <c r="ADQ38" s="25"/>
      <c r="ADR38" s="25"/>
      <c r="ADS38" s="25"/>
      <c r="ADT38" s="25"/>
      <c r="ADU38" s="25"/>
      <c r="ADV38" s="25"/>
      <c r="ADW38" s="25"/>
      <c r="ADX38" s="25"/>
      <c r="ADY38" s="25"/>
      <c r="ADZ38" s="25"/>
      <c r="AEA38" s="25"/>
      <c r="AEB38" s="25"/>
      <c r="AEC38" s="25"/>
      <c r="AED38" s="25"/>
      <c r="AEE38" s="25"/>
      <c r="AEF38" s="25"/>
      <c r="AEG38" s="25"/>
      <c r="AEH38" s="25"/>
      <c r="AEI38" s="25"/>
      <c r="AEJ38" s="25"/>
      <c r="AEK38" s="25"/>
      <c r="AEL38" s="25"/>
      <c r="AEM38" s="25"/>
      <c r="AEN38" s="25"/>
      <c r="AEO38" s="25"/>
      <c r="AEP38" s="25"/>
      <c r="AEQ38" s="25"/>
      <c r="AER38" s="25"/>
      <c r="AES38" s="25"/>
      <c r="AET38" s="25"/>
      <c r="AEU38" s="25"/>
      <c r="AEV38" s="25"/>
      <c r="AEW38" s="25"/>
      <c r="AEX38" s="25"/>
      <c r="AEY38" s="25"/>
      <c r="AEZ38" s="25"/>
      <c r="AFA38" s="25"/>
      <c r="AFB38" s="25"/>
      <c r="AFC38" s="25"/>
      <c r="AFD38" s="25"/>
      <c r="AFE38" s="25"/>
      <c r="AFF38" s="25"/>
      <c r="AFG38" s="25"/>
      <c r="AFH38" s="25"/>
      <c r="AFI38" s="25"/>
      <c r="AFJ38" s="25"/>
      <c r="AFK38" s="25"/>
      <c r="AFL38" s="25"/>
      <c r="AFM38" s="25"/>
      <c r="AFN38" s="25"/>
      <c r="AFO38" s="25"/>
      <c r="AFP38" s="25"/>
      <c r="AFQ38" s="25"/>
      <c r="AFR38" s="25"/>
      <c r="AFS38" s="25"/>
      <c r="AFT38" s="25"/>
      <c r="AFU38" s="25"/>
      <c r="AFV38" s="25"/>
      <c r="AFW38" s="25"/>
      <c r="AFX38" s="25"/>
      <c r="AFY38" s="25"/>
      <c r="AFZ38" s="25"/>
      <c r="AGA38" s="25"/>
      <c r="AGB38" s="25"/>
      <c r="AGC38" s="25"/>
      <c r="AGD38" s="25"/>
      <c r="AGE38" s="25"/>
      <c r="AGF38" s="25"/>
      <c r="AGG38" s="25"/>
      <c r="AGH38" s="25"/>
      <c r="AGI38" s="25"/>
      <c r="AGJ38" s="25"/>
      <c r="AGK38" s="25"/>
      <c r="AGL38" s="25"/>
      <c r="AGM38" s="25"/>
      <c r="AGN38" s="25"/>
      <c r="AGO38" s="25"/>
      <c r="AGP38" s="25"/>
      <c r="AGQ38" s="25"/>
      <c r="AGR38" s="25"/>
      <c r="AGS38" s="25"/>
      <c r="AGT38" s="25"/>
      <c r="AGU38" s="25"/>
      <c r="AGV38" s="25"/>
      <c r="AGW38" s="25"/>
      <c r="AGX38" s="25"/>
      <c r="AGY38" s="25"/>
      <c r="AGZ38" s="25"/>
      <c r="AHA38" s="25"/>
      <c r="AHB38" s="25"/>
      <c r="AHC38" s="25"/>
      <c r="AHD38" s="25"/>
      <c r="AHE38" s="25"/>
      <c r="AHF38" s="25"/>
      <c r="AHG38" s="25"/>
      <c r="AHH38" s="25"/>
      <c r="AHI38" s="25"/>
      <c r="AHJ38" s="25"/>
      <c r="AHK38" s="25"/>
      <c r="AHL38" s="25"/>
      <c r="AHM38" s="25"/>
      <c r="AHN38" s="25"/>
      <c r="AHO38" s="25"/>
      <c r="AHP38" s="25"/>
      <c r="AHQ38" s="25"/>
      <c r="AHR38" s="25"/>
      <c r="AHS38" s="25"/>
      <c r="AHT38" s="25"/>
      <c r="AHU38" s="25"/>
      <c r="AHV38" s="25"/>
      <c r="AHW38" s="25"/>
      <c r="AHX38" s="25"/>
      <c r="AHY38" s="25"/>
      <c r="AHZ38" s="25"/>
      <c r="AIA38" s="25"/>
      <c r="AIB38" s="25"/>
      <c r="AIC38" s="25"/>
      <c r="AID38" s="25"/>
      <c r="AIE38" s="25"/>
      <c r="AIF38" s="25"/>
      <c r="AIG38" s="25"/>
      <c r="AIH38" s="25"/>
      <c r="AII38" s="25"/>
      <c r="AIJ38" s="25"/>
      <c r="AIK38" s="25"/>
      <c r="AIL38" s="25"/>
      <c r="AIM38" s="25"/>
      <c r="AIN38" s="25"/>
      <c r="AIO38" s="25"/>
      <c r="AIP38" s="25"/>
      <c r="AIQ38" s="25"/>
      <c r="AIR38" s="25"/>
      <c r="AIS38" s="25"/>
      <c r="AIT38" s="25"/>
      <c r="AIU38" s="25"/>
      <c r="AIV38" s="25"/>
      <c r="AIW38" s="25"/>
      <c r="AIX38" s="25"/>
      <c r="AIY38" s="25"/>
      <c r="AIZ38" s="25"/>
      <c r="AJA38" s="25"/>
      <c r="AJB38" s="25"/>
      <c r="AJC38" s="25"/>
      <c r="AJD38" s="25"/>
      <c r="AJE38" s="25"/>
      <c r="AJF38" s="25"/>
      <c r="AJG38" s="25"/>
      <c r="AJH38" s="25"/>
      <c r="AJI38" s="25"/>
      <c r="AJJ38" s="25"/>
      <c r="AJK38" s="25"/>
      <c r="AJL38" s="25"/>
      <c r="AJM38" s="25"/>
      <c r="AJN38" s="25"/>
      <c r="AJO38" s="25"/>
      <c r="AJP38" s="25"/>
      <c r="AJQ38" s="25"/>
      <c r="AJR38" s="25"/>
      <c r="AJS38" s="25"/>
      <c r="AJT38" s="25"/>
      <c r="AJU38" s="25"/>
      <c r="AJV38" s="25"/>
      <c r="AJW38" s="25"/>
      <c r="AJX38" s="25"/>
      <c r="AJY38" s="25"/>
      <c r="AJZ38" s="25"/>
      <c r="AKA38" s="25"/>
      <c r="AKB38" s="25"/>
      <c r="AKC38" s="25"/>
      <c r="AKD38" s="25"/>
      <c r="AKE38" s="25"/>
      <c r="AKF38" s="25"/>
      <c r="AKG38" s="25"/>
      <c r="AKH38" s="25"/>
      <c r="AKI38" s="25"/>
      <c r="AKJ38" s="25"/>
      <c r="AKK38" s="25"/>
      <c r="AKL38" s="25"/>
      <c r="AKM38" s="25"/>
      <c r="AKN38" s="25"/>
      <c r="AKO38" s="25"/>
      <c r="AKP38" s="25"/>
      <c r="AKQ38" s="25"/>
      <c r="AKR38" s="25"/>
      <c r="AKS38" s="25"/>
      <c r="AKT38" s="25"/>
      <c r="AKU38" s="25"/>
      <c r="AKV38" s="25"/>
      <c r="AKW38" s="25"/>
      <c r="AKX38" s="25"/>
      <c r="AKY38" s="25"/>
      <c r="AKZ38" s="25"/>
      <c r="ALA38" s="25"/>
      <c r="ALB38" s="25"/>
      <c r="ALC38" s="25"/>
      <c r="ALD38" s="25"/>
      <c r="ALE38" s="25"/>
      <c r="ALF38" s="25"/>
      <c r="ALG38" s="25"/>
      <c r="ALH38" s="25"/>
      <c r="ALI38" s="25"/>
      <c r="ALJ38" s="25"/>
      <c r="ALK38" s="25"/>
      <c r="ALL38" s="25"/>
      <c r="ALM38" s="25"/>
      <c r="ALN38" s="25"/>
      <c r="ALO38" s="25"/>
      <c r="ALP38" s="25"/>
      <c r="ALQ38" s="25"/>
      <c r="ALR38" s="25"/>
      <c r="ALS38" s="25"/>
      <c r="ALT38" s="25"/>
      <c r="ALU38" s="25"/>
      <c r="ALV38" s="25"/>
      <c r="ALW38" s="25"/>
      <c r="ALX38" s="25"/>
      <c r="ALY38" s="25"/>
      <c r="ALZ38" s="25"/>
      <c r="AMA38" s="25"/>
      <c r="AMB38" s="25"/>
      <c r="AMC38" s="25"/>
      <c r="AMD38" s="25"/>
      <c r="AME38" s="25"/>
      <c r="AMF38" s="25"/>
      <c r="AMG38" s="25"/>
      <c r="AMH38" s="25"/>
      <c r="AMI38" s="25"/>
      <c r="AMJ38" s="25"/>
      <c r="AMK38" s="25"/>
      <c r="AML38" s="25"/>
      <c r="AMM38" s="25"/>
      <c r="AMN38" s="25"/>
      <c r="AMO38" s="25"/>
      <c r="AMP38" s="25"/>
      <c r="AMQ38" s="25"/>
      <c r="AMR38" s="25"/>
      <c r="AMS38" s="25"/>
      <c r="AMT38" s="25"/>
      <c r="AMU38" s="25"/>
      <c r="AMV38" s="25"/>
      <c r="AMW38" s="25"/>
      <c r="AMX38" s="25"/>
      <c r="AMY38" s="25"/>
      <c r="AMZ38" s="25"/>
      <c r="ANA38" s="25"/>
      <c r="ANB38" s="25"/>
      <c r="ANC38" s="25"/>
      <c r="AND38" s="25"/>
      <c r="ANE38" s="25"/>
      <c r="ANF38" s="25"/>
      <c r="ANG38" s="25"/>
      <c r="ANH38" s="25"/>
      <c r="ANI38" s="25"/>
      <c r="ANJ38" s="25"/>
      <c r="ANK38" s="25"/>
      <c r="ANL38" s="25"/>
      <c r="ANM38" s="25"/>
      <c r="ANN38" s="25"/>
      <c r="ANO38" s="25"/>
      <c r="ANP38" s="25"/>
      <c r="ANQ38" s="25"/>
      <c r="ANR38" s="25"/>
      <c r="ANS38" s="25"/>
      <c r="ANT38" s="25"/>
      <c r="ANU38" s="25"/>
      <c r="ANV38" s="25"/>
      <c r="ANW38" s="25"/>
      <c r="ANX38" s="25"/>
      <c r="ANY38" s="25"/>
      <c r="ANZ38" s="25"/>
      <c r="AOA38" s="25"/>
      <c r="AOB38" s="25"/>
      <c r="AOC38" s="25"/>
      <c r="AOD38" s="25"/>
      <c r="AOE38" s="25"/>
      <c r="AOF38" s="25"/>
      <c r="AOG38" s="25"/>
      <c r="AOH38" s="25"/>
      <c r="AOI38" s="25"/>
      <c r="AOJ38" s="25"/>
      <c r="AOK38" s="25"/>
      <c r="AOL38" s="25"/>
      <c r="AOM38" s="25"/>
      <c r="AON38" s="25"/>
      <c r="AOO38" s="25"/>
      <c r="AOP38" s="25"/>
      <c r="AOQ38" s="25"/>
      <c r="AOR38" s="25"/>
      <c r="AOS38" s="25"/>
      <c r="AOT38" s="25"/>
      <c r="AOU38" s="25"/>
      <c r="AOV38" s="25"/>
      <c r="AOW38" s="25"/>
      <c r="AOX38" s="25"/>
      <c r="AOY38" s="25"/>
      <c r="AOZ38" s="25"/>
      <c r="APA38" s="25"/>
      <c r="APB38" s="25"/>
      <c r="APC38" s="25"/>
      <c r="APD38" s="25"/>
      <c r="APE38" s="25"/>
      <c r="APF38" s="25"/>
      <c r="APG38" s="25"/>
      <c r="APH38" s="25"/>
      <c r="API38" s="25"/>
      <c r="APJ38" s="25"/>
      <c r="APK38" s="25"/>
      <c r="APL38" s="25"/>
      <c r="APM38" s="25"/>
      <c r="APN38" s="25"/>
      <c r="APO38" s="25"/>
      <c r="APP38" s="25"/>
      <c r="APQ38" s="25"/>
      <c r="APR38" s="25"/>
      <c r="APS38" s="25"/>
      <c r="APT38" s="25"/>
      <c r="APU38" s="25"/>
      <c r="APV38" s="25"/>
      <c r="APW38" s="25"/>
      <c r="APX38" s="25"/>
      <c r="APY38" s="25"/>
      <c r="APZ38" s="25"/>
      <c r="AQA38" s="25"/>
      <c r="AQB38" s="25"/>
      <c r="AQC38" s="25"/>
      <c r="AQD38" s="25"/>
      <c r="AQE38" s="25"/>
      <c r="AQF38" s="25"/>
      <c r="AQG38" s="25"/>
      <c r="AQH38" s="25"/>
      <c r="AQI38" s="25"/>
      <c r="AQJ38" s="25"/>
      <c r="AQK38" s="25"/>
      <c r="AQL38" s="25"/>
      <c r="AQM38" s="25"/>
      <c r="AQN38" s="25"/>
      <c r="AQO38" s="25"/>
      <c r="AQP38" s="25"/>
      <c r="AQQ38" s="25"/>
      <c r="AQR38" s="25"/>
      <c r="AQS38" s="25"/>
      <c r="AQT38" s="25"/>
      <c r="AQU38" s="25"/>
      <c r="AQV38" s="25"/>
      <c r="AQW38" s="25"/>
      <c r="AQX38" s="25"/>
      <c r="AQY38" s="25"/>
      <c r="AQZ38" s="25"/>
      <c r="ARA38" s="25"/>
      <c r="ARB38" s="25"/>
      <c r="ARC38" s="25"/>
      <c r="ARD38" s="25"/>
      <c r="ARE38" s="25"/>
      <c r="ARF38" s="25"/>
      <c r="ARG38" s="25"/>
      <c r="ARH38" s="25"/>
      <c r="ARI38" s="25"/>
      <c r="ARJ38" s="25"/>
      <c r="ARK38" s="25"/>
      <c r="ARL38" s="25"/>
      <c r="ARM38" s="25"/>
      <c r="ARN38" s="25"/>
      <c r="ARO38" s="25"/>
      <c r="ARP38" s="25"/>
      <c r="ARQ38" s="25"/>
      <c r="ARR38" s="25"/>
      <c r="ARS38" s="25"/>
      <c r="ART38" s="25"/>
      <c r="ARU38" s="25"/>
      <c r="ARV38" s="25"/>
      <c r="ARW38" s="25"/>
      <c r="ARX38" s="25"/>
      <c r="ARY38" s="25"/>
      <c r="ARZ38" s="25"/>
      <c r="ASA38" s="25"/>
      <c r="ASB38" s="25"/>
      <c r="ASC38" s="25"/>
      <c r="ASD38" s="25"/>
      <c r="ASE38" s="25"/>
      <c r="ASF38" s="25"/>
      <c r="ASG38" s="25"/>
      <c r="ASH38" s="25"/>
      <c r="ASI38" s="25"/>
      <c r="ASJ38" s="25"/>
      <c r="ASK38" s="25"/>
      <c r="ASL38" s="25"/>
      <c r="ASM38" s="25"/>
      <c r="ASN38" s="25"/>
      <c r="ASO38" s="25"/>
      <c r="ASP38" s="25"/>
      <c r="ASQ38" s="25"/>
      <c r="ASR38" s="25"/>
      <c r="ASS38" s="25"/>
      <c r="AST38" s="25"/>
      <c r="ASU38" s="25"/>
      <c r="ASV38" s="25"/>
      <c r="ASW38" s="25"/>
      <c r="ASX38" s="25"/>
      <c r="ASY38" s="25"/>
      <c r="ASZ38" s="25"/>
      <c r="ATA38" s="25"/>
      <c r="ATB38" s="25"/>
      <c r="ATC38" s="25"/>
      <c r="ATD38" s="25"/>
      <c r="ATE38" s="25"/>
      <c r="ATF38" s="25"/>
      <c r="ATG38" s="25"/>
      <c r="ATH38" s="25"/>
      <c r="ATI38" s="25"/>
      <c r="ATJ38" s="25"/>
      <c r="ATK38" s="25"/>
      <c r="ATL38" s="25"/>
      <c r="ATM38" s="25"/>
      <c r="ATN38" s="25"/>
      <c r="ATO38" s="25"/>
      <c r="ATP38" s="25"/>
      <c r="ATQ38" s="25"/>
      <c r="ATR38" s="25"/>
      <c r="ATS38" s="25"/>
      <c r="ATT38" s="25"/>
      <c r="ATU38" s="25"/>
      <c r="ATV38" s="25"/>
      <c r="ATW38" s="25"/>
      <c r="ATX38" s="25"/>
      <c r="ATY38" s="25"/>
      <c r="ATZ38" s="25"/>
      <c r="AUA38" s="25"/>
      <c r="AUB38" s="25"/>
      <c r="AUC38" s="25"/>
      <c r="AUD38" s="25"/>
      <c r="AUE38" s="25"/>
      <c r="AUF38" s="25"/>
      <c r="AUG38" s="25"/>
      <c r="AUH38" s="25"/>
      <c r="AUI38" s="25"/>
      <c r="AUJ38" s="25"/>
      <c r="AUK38" s="25"/>
      <c r="AUL38" s="25"/>
      <c r="AUM38" s="25"/>
      <c r="AUN38" s="25"/>
      <c r="AUO38" s="25"/>
      <c r="AUP38" s="25"/>
      <c r="AUQ38" s="25"/>
      <c r="AUR38" s="25"/>
      <c r="AUS38" s="25"/>
      <c r="AUT38" s="25"/>
      <c r="AUU38" s="25"/>
      <c r="AUV38" s="25"/>
      <c r="AUW38" s="25"/>
      <c r="AUX38" s="25"/>
      <c r="AUY38" s="25"/>
      <c r="AUZ38" s="25"/>
      <c r="AVA38" s="25"/>
      <c r="AVB38" s="25"/>
      <c r="AVC38" s="25"/>
      <c r="AVD38" s="25"/>
      <c r="AVE38" s="25"/>
      <c r="AVF38" s="25"/>
      <c r="AVG38" s="25"/>
      <c r="AVH38" s="25"/>
      <c r="AVI38" s="25"/>
      <c r="AVJ38" s="25"/>
      <c r="AVK38" s="25"/>
      <c r="AVL38" s="25"/>
      <c r="AVM38" s="25"/>
      <c r="AVN38" s="25"/>
      <c r="AVO38" s="25"/>
      <c r="AVP38" s="25"/>
      <c r="AVQ38" s="25"/>
      <c r="AVR38" s="25"/>
      <c r="AVS38" s="25"/>
      <c r="AVT38" s="25"/>
      <c r="AVU38" s="25"/>
      <c r="AVV38" s="25"/>
      <c r="AVW38" s="25"/>
      <c r="AVX38" s="25"/>
      <c r="AVY38" s="25"/>
      <c r="AVZ38" s="25"/>
      <c r="AWA38" s="25"/>
      <c r="AWB38" s="25"/>
      <c r="AWC38" s="25"/>
      <c r="AWD38" s="25"/>
      <c r="AWE38" s="25"/>
      <c r="AWF38" s="25"/>
      <c r="AWG38" s="25"/>
      <c r="AWH38" s="25"/>
      <c r="AWI38" s="25"/>
      <c r="AWJ38" s="25"/>
      <c r="AWK38" s="25"/>
      <c r="AWL38" s="25"/>
      <c r="AWM38" s="25"/>
      <c r="AWN38" s="25"/>
      <c r="AWO38" s="25"/>
      <c r="AWP38" s="25"/>
      <c r="AWQ38" s="25"/>
      <c r="AWR38" s="25"/>
      <c r="AWS38" s="25"/>
      <c r="AWT38" s="25"/>
      <c r="AWU38" s="25"/>
      <c r="AWV38" s="25"/>
      <c r="AWW38" s="25"/>
      <c r="AWX38" s="25"/>
      <c r="AWY38" s="25"/>
      <c r="AWZ38" s="25"/>
      <c r="AXA38" s="25"/>
      <c r="AXB38" s="25"/>
      <c r="AXC38" s="25"/>
      <c r="AXD38" s="25"/>
      <c r="AXE38" s="25"/>
      <c r="AXF38" s="25"/>
      <c r="AXG38" s="25"/>
      <c r="AXH38" s="25"/>
      <c r="AXI38" s="25"/>
      <c r="AXJ38" s="25"/>
      <c r="AXK38" s="25"/>
      <c r="AXL38" s="25"/>
      <c r="AXM38" s="25"/>
      <c r="AXN38" s="25"/>
      <c r="AXO38" s="25"/>
      <c r="AXP38" s="25"/>
      <c r="AXQ38" s="25"/>
      <c r="AXR38" s="25"/>
      <c r="AXS38" s="25"/>
      <c r="AXT38" s="25"/>
      <c r="AXU38" s="25"/>
      <c r="AXV38" s="25"/>
      <c r="AXW38" s="25"/>
      <c r="AXX38" s="25"/>
      <c r="AXY38" s="25"/>
      <c r="AXZ38" s="25"/>
      <c r="AYA38" s="25"/>
      <c r="AYB38" s="25"/>
      <c r="AYC38" s="25"/>
      <c r="AYD38" s="25"/>
      <c r="AYE38" s="25"/>
      <c r="AYF38" s="25"/>
      <c r="AYG38" s="25"/>
      <c r="AYH38" s="25"/>
      <c r="AYI38" s="25"/>
      <c r="AYJ38" s="25"/>
      <c r="AYK38" s="25"/>
      <c r="AYL38" s="25"/>
      <c r="AYM38" s="25"/>
      <c r="AYN38" s="25"/>
      <c r="AYO38" s="25"/>
      <c r="AYP38" s="25"/>
      <c r="AYQ38" s="25"/>
      <c r="AYR38" s="25"/>
      <c r="AYS38" s="25"/>
      <c r="AYT38" s="25"/>
      <c r="AYU38" s="25"/>
      <c r="AYV38" s="25"/>
      <c r="AYW38" s="25"/>
      <c r="AYX38" s="25"/>
      <c r="AYY38" s="25"/>
      <c r="AYZ38" s="25"/>
      <c r="AZA38" s="25"/>
      <c r="AZB38" s="25"/>
      <c r="AZC38" s="25"/>
      <c r="AZD38" s="25"/>
      <c r="AZE38" s="25"/>
      <c r="AZF38" s="25"/>
      <c r="AZG38" s="25"/>
      <c r="AZH38" s="25"/>
      <c r="AZI38" s="25"/>
      <c r="AZJ38" s="25"/>
      <c r="AZK38" s="25"/>
      <c r="AZL38" s="25"/>
      <c r="AZM38" s="25"/>
      <c r="AZN38" s="25"/>
      <c r="AZO38" s="25"/>
      <c r="AZP38" s="25"/>
      <c r="AZQ38" s="25"/>
      <c r="AZR38" s="25"/>
      <c r="AZS38" s="25"/>
      <c r="AZT38" s="25"/>
      <c r="AZU38" s="25"/>
      <c r="AZV38" s="25"/>
      <c r="AZW38" s="25"/>
      <c r="AZX38" s="25"/>
      <c r="AZY38" s="25"/>
      <c r="AZZ38" s="25"/>
      <c r="BAA38" s="25"/>
      <c r="BAB38" s="25"/>
      <c r="BAC38" s="25"/>
      <c r="BAD38" s="25"/>
      <c r="BAE38" s="25"/>
      <c r="BAF38" s="25"/>
      <c r="BAG38" s="25"/>
      <c r="BAH38" s="25"/>
      <c r="BAI38" s="25"/>
      <c r="BAJ38" s="25"/>
      <c r="BAK38" s="25"/>
      <c r="BAL38" s="25"/>
      <c r="BAM38" s="25"/>
      <c r="BAN38" s="25"/>
      <c r="BAO38" s="25"/>
      <c r="BAP38" s="25"/>
      <c r="BAQ38" s="25"/>
      <c r="BAR38" s="25"/>
      <c r="BAS38" s="25"/>
      <c r="BAT38" s="25"/>
      <c r="BAU38" s="25"/>
      <c r="BAV38" s="25"/>
      <c r="BAW38" s="25"/>
      <c r="BAX38" s="25"/>
      <c r="BAY38" s="25"/>
      <c r="BAZ38" s="25"/>
      <c r="BBA38" s="25"/>
      <c r="BBB38" s="25"/>
      <c r="BBC38" s="25"/>
      <c r="BBD38" s="25"/>
      <c r="BBE38" s="25"/>
      <c r="BBF38" s="25"/>
      <c r="BBG38" s="25"/>
      <c r="BBH38" s="25"/>
      <c r="BBI38" s="25"/>
      <c r="BBJ38" s="25"/>
      <c r="BBK38" s="25"/>
      <c r="BBL38" s="25"/>
      <c r="BBM38" s="25"/>
      <c r="BBN38" s="25"/>
      <c r="BBO38" s="25"/>
      <c r="BBP38" s="25"/>
      <c r="BBQ38" s="25"/>
      <c r="BBR38" s="25"/>
      <c r="BBS38" s="25"/>
      <c r="BBT38" s="25"/>
      <c r="BBU38" s="25"/>
      <c r="BBV38" s="25"/>
      <c r="BBW38" s="25"/>
      <c r="BBX38" s="25"/>
      <c r="BBY38" s="25"/>
      <c r="BBZ38" s="25"/>
      <c r="BCA38" s="25"/>
      <c r="BCB38" s="25"/>
      <c r="BCC38" s="25"/>
      <c r="BCD38" s="25"/>
      <c r="BCE38" s="25"/>
      <c r="BCF38" s="25"/>
      <c r="BCG38" s="25"/>
      <c r="BCH38" s="25"/>
      <c r="BCI38" s="25"/>
      <c r="BCJ38" s="25"/>
      <c r="BCK38" s="25"/>
      <c r="BCL38" s="25"/>
      <c r="BCM38" s="25"/>
      <c r="BCN38" s="25"/>
      <c r="BCO38" s="25"/>
      <c r="BCP38" s="25"/>
      <c r="BCQ38" s="25"/>
      <c r="BCR38" s="25"/>
      <c r="BCS38" s="25"/>
      <c r="BCT38" s="25"/>
      <c r="BCU38" s="25"/>
      <c r="BCV38" s="25"/>
      <c r="BCW38" s="25"/>
      <c r="BCX38" s="25"/>
      <c r="BCY38" s="25"/>
      <c r="BCZ38" s="25"/>
      <c r="BDA38" s="25"/>
      <c r="BDB38" s="25"/>
      <c r="BDC38" s="25"/>
      <c r="BDD38" s="25"/>
      <c r="BDE38" s="25"/>
      <c r="BDF38" s="25"/>
      <c r="BDG38" s="25"/>
      <c r="BDH38" s="25"/>
      <c r="BDI38" s="25"/>
      <c r="BDJ38" s="25"/>
      <c r="BDK38" s="25"/>
      <c r="BDL38" s="25"/>
      <c r="BDM38" s="25"/>
      <c r="BDN38" s="25"/>
      <c r="BDO38" s="25"/>
      <c r="BDP38" s="25"/>
      <c r="BDQ38" s="25"/>
      <c r="BDR38" s="25"/>
      <c r="BDS38" s="25"/>
      <c r="BDT38" s="25"/>
      <c r="BDU38" s="25"/>
      <c r="BDV38" s="25"/>
      <c r="BDW38" s="25"/>
      <c r="BDX38" s="25"/>
      <c r="BDY38" s="25"/>
      <c r="BDZ38" s="25"/>
      <c r="BEA38" s="25"/>
      <c r="BEB38" s="25"/>
      <c r="BEC38" s="25"/>
      <c r="BED38" s="25"/>
      <c r="BEE38" s="25"/>
      <c r="BEF38" s="25"/>
      <c r="BEG38" s="25"/>
      <c r="BEH38" s="25"/>
      <c r="BEI38" s="25"/>
      <c r="BEJ38" s="25"/>
      <c r="BEK38" s="25"/>
      <c r="BEL38" s="25"/>
      <c r="BEM38" s="25"/>
      <c r="BEN38" s="25"/>
      <c r="BEO38" s="25"/>
      <c r="BEP38" s="25"/>
      <c r="BEQ38" s="25"/>
      <c r="BER38" s="25"/>
      <c r="BES38" s="25"/>
      <c r="BET38" s="25"/>
      <c r="BEU38" s="25"/>
      <c r="BEV38" s="25"/>
      <c r="BEW38" s="25"/>
      <c r="BEX38" s="25"/>
      <c r="BEY38" s="25"/>
      <c r="BEZ38" s="25"/>
      <c r="BFA38" s="25"/>
      <c r="BFB38" s="25"/>
      <c r="BFC38" s="25"/>
      <c r="BFD38" s="25"/>
      <c r="BFE38" s="25"/>
      <c r="BFF38" s="25"/>
      <c r="BFG38" s="25"/>
      <c r="BFH38" s="25"/>
      <c r="BFI38" s="25"/>
      <c r="BFJ38" s="25"/>
      <c r="BFK38" s="25"/>
      <c r="BFL38" s="25"/>
      <c r="BFM38" s="25"/>
      <c r="BFN38" s="25"/>
      <c r="BFO38" s="25"/>
      <c r="BFP38" s="25"/>
      <c r="BFQ38" s="25"/>
      <c r="BFR38" s="25"/>
      <c r="BFS38" s="25"/>
      <c r="BFT38" s="25"/>
      <c r="BFU38" s="25"/>
      <c r="BFV38" s="25"/>
      <c r="BFW38" s="25"/>
      <c r="BFX38" s="25"/>
      <c r="BFY38" s="25"/>
      <c r="BFZ38" s="25"/>
      <c r="BGA38" s="25"/>
      <c r="BGB38" s="25"/>
      <c r="BGC38" s="25"/>
      <c r="BGD38" s="25"/>
      <c r="BGE38" s="25"/>
      <c r="BGF38" s="25"/>
      <c r="BGG38" s="25"/>
      <c r="BGH38" s="25"/>
      <c r="BGI38" s="25"/>
      <c r="BGJ38" s="25"/>
      <c r="BGK38" s="25"/>
      <c r="BGL38" s="25"/>
      <c r="BGM38" s="25"/>
      <c r="BGN38" s="25"/>
      <c r="BGO38" s="25"/>
      <c r="BGP38" s="25"/>
      <c r="BGQ38" s="25"/>
      <c r="BGR38" s="25"/>
      <c r="BGS38" s="25"/>
      <c r="BGT38" s="25"/>
      <c r="BGU38" s="25"/>
      <c r="BGV38" s="25"/>
      <c r="BGW38" s="25"/>
      <c r="BGX38" s="25"/>
      <c r="BGY38" s="25"/>
      <c r="BGZ38" s="25"/>
      <c r="BHA38" s="25"/>
      <c r="BHB38" s="25"/>
      <c r="BHC38" s="25"/>
      <c r="BHD38" s="25"/>
      <c r="BHE38" s="25"/>
      <c r="BHF38" s="25"/>
      <c r="BHG38" s="25"/>
      <c r="BHH38" s="25"/>
      <c r="BHI38" s="25"/>
      <c r="BHJ38" s="25"/>
      <c r="BHK38" s="25"/>
      <c r="BHL38" s="25"/>
      <c r="BHM38" s="25"/>
      <c r="BHN38" s="25"/>
      <c r="BHO38" s="25"/>
      <c r="BHP38" s="25"/>
      <c r="BHQ38" s="25"/>
      <c r="BHR38" s="25"/>
      <c r="BHS38" s="25"/>
      <c r="BHT38" s="25"/>
      <c r="BHU38" s="25"/>
      <c r="BHV38" s="25"/>
      <c r="BHW38" s="25"/>
      <c r="BHX38" s="25"/>
      <c r="BHY38" s="25"/>
      <c r="BHZ38" s="25"/>
      <c r="BIA38" s="25"/>
      <c r="BIB38" s="25"/>
      <c r="BIC38" s="25"/>
      <c r="BID38" s="25"/>
      <c r="BIE38" s="25"/>
      <c r="BIF38" s="25"/>
      <c r="BIG38" s="25"/>
      <c r="BIH38" s="25"/>
      <c r="BII38" s="25"/>
      <c r="BIJ38" s="25"/>
      <c r="BIK38" s="25"/>
      <c r="BIL38" s="25"/>
      <c r="BIM38" s="25"/>
      <c r="BIN38" s="25"/>
      <c r="BIO38" s="25"/>
      <c r="BIP38" s="25"/>
      <c r="BIQ38" s="25"/>
      <c r="BIR38" s="25"/>
      <c r="BIS38" s="25"/>
      <c r="BIT38" s="25"/>
      <c r="BIU38" s="25"/>
      <c r="BIV38" s="25"/>
      <c r="BIW38" s="25"/>
      <c r="BIX38" s="25"/>
      <c r="BIY38" s="25"/>
      <c r="BIZ38" s="25"/>
      <c r="BJA38" s="25"/>
      <c r="BJB38" s="25"/>
      <c r="BJC38" s="25"/>
      <c r="BJD38" s="25"/>
      <c r="BJE38" s="25"/>
      <c r="BJF38" s="25"/>
      <c r="BJG38" s="25"/>
      <c r="BJH38" s="25"/>
      <c r="BJI38" s="25"/>
      <c r="BJJ38" s="25"/>
      <c r="BJK38" s="25"/>
      <c r="BJL38" s="25"/>
      <c r="BJM38" s="25"/>
      <c r="BJN38" s="25"/>
      <c r="BJO38" s="25"/>
      <c r="BJP38" s="25"/>
      <c r="BJQ38" s="25"/>
      <c r="BJR38" s="25"/>
      <c r="BJS38" s="25"/>
      <c r="BJT38" s="25"/>
      <c r="BJU38" s="25"/>
      <c r="BJV38" s="25"/>
      <c r="BJW38" s="25"/>
      <c r="BJX38" s="25"/>
      <c r="BJY38" s="25"/>
      <c r="BJZ38" s="25"/>
      <c r="BKA38" s="25"/>
      <c r="BKB38" s="25"/>
      <c r="BKC38" s="25"/>
      <c r="BKD38" s="25"/>
      <c r="BKE38" s="25"/>
      <c r="BKF38" s="25"/>
      <c r="BKG38" s="25"/>
      <c r="BKH38" s="25"/>
      <c r="BKI38" s="25"/>
      <c r="BKJ38" s="25"/>
      <c r="BKK38" s="25"/>
      <c r="BKL38" s="25"/>
      <c r="BKM38" s="25"/>
      <c r="BKN38" s="25"/>
      <c r="BKO38" s="25"/>
      <c r="BKP38" s="25"/>
      <c r="BKQ38" s="25"/>
      <c r="BKR38" s="25"/>
      <c r="BKS38" s="25"/>
      <c r="BKT38" s="25"/>
      <c r="BKU38" s="25"/>
      <c r="BKV38" s="25"/>
      <c r="BKW38" s="25"/>
      <c r="BKX38" s="25"/>
      <c r="BKY38" s="25"/>
      <c r="BKZ38" s="25"/>
      <c r="BLA38" s="25"/>
      <c r="BLB38" s="25"/>
      <c r="BLC38" s="25"/>
      <c r="BLD38" s="25"/>
      <c r="BLE38" s="25"/>
      <c r="BLF38" s="25"/>
      <c r="BLG38" s="25"/>
      <c r="BLH38" s="25"/>
      <c r="BLI38" s="25"/>
      <c r="BLJ38" s="25"/>
      <c r="BLK38" s="25"/>
      <c r="BLL38" s="25"/>
      <c r="BLM38" s="25"/>
      <c r="BLN38" s="25"/>
      <c r="BLO38" s="25"/>
      <c r="BLP38" s="25"/>
      <c r="BLQ38" s="25"/>
      <c r="BLR38" s="25"/>
      <c r="BLS38" s="25"/>
      <c r="BLT38" s="25"/>
      <c r="BLU38" s="25"/>
      <c r="BLV38" s="25"/>
      <c r="BLW38" s="25"/>
      <c r="BLX38" s="25"/>
      <c r="BLY38" s="25"/>
      <c r="BLZ38" s="25"/>
      <c r="BMA38" s="25"/>
      <c r="BMB38" s="25"/>
      <c r="BMC38" s="25"/>
      <c r="BMD38" s="25"/>
      <c r="BME38" s="25"/>
      <c r="BMF38" s="25"/>
      <c r="BMG38" s="25"/>
      <c r="BMH38" s="25"/>
      <c r="BMI38" s="25"/>
      <c r="BMJ38" s="25"/>
      <c r="BMK38" s="25"/>
      <c r="BML38" s="25"/>
      <c r="BMM38" s="25"/>
      <c r="BMN38" s="25"/>
      <c r="BMO38" s="25"/>
      <c r="BMP38" s="25"/>
      <c r="BMQ38" s="25"/>
      <c r="BMR38" s="25"/>
      <c r="BMS38" s="25"/>
      <c r="BMT38" s="25"/>
      <c r="BMU38" s="25"/>
      <c r="BMV38" s="25"/>
      <c r="BMW38" s="25"/>
      <c r="BMX38" s="25"/>
      <c r="BMY38" s="25"/>
      <c r="BMZ38" s="25"/>
      <c r="BNA38" s="25"/>
      <c r="BNB38" s="25"/>
      <c r="BNC38" s="25"/>
      <c r="BND38" s="25"/>
      <c r="BNE38" s="25"/>
      <c r="BNF38" s="25"/>
      <c r="BNG38" s="25"/>
      <c r="BNH38" s="25"/>
      <c r="BNI38" s="25"/>
      <c r="BNJ38" s="25"/>
      <c r="BNK38" s="25"/>
      <c r="BNL38" s="25"/>
      <c r="BNM38" s="25"/>
      <c r="BNN38" s="25"/>
      <c r="BNO38" s="25"/>
      <c r="BNP38" s="25"/>
      <c r="BNQ38" s="25"/>
      <c r="BNR38" s="25"/>
      <c r="BNS38" s="25"/>
      <c r="BNT38" s="25"/>
      <c r="BNU38" s="25"/>
      <c r="BNV38" s="25"/>
      <c r="BNW38" s="25"/>
      <c r="BNX38" s="25"/>
      <c r="BNY38" s="25"/>
      <c r="BNZ38" s="25"/>
      <c r="BOA38" s="25"/>
      <c r="BOB38" s="25"/>
      <c r="BOC38" s="25"/>
      <c r="BOD38" s="25"/>
      <c r="BOE38" s="25"/>
      <c r="BOF38" s="25"/>
      <c r="BOG38" s="25"/>
      <c r="BOH38" s="25"/>
      <c r="BOI38" s="25"/>
      <c r="BOJ38" s="25"/>
      <c r="BOK38" s="25"/>
      <c r="BOL38" s="25"/>
      <c r="BOM38" s="25"/>
      <c r="BON38" s="25"/>
      <c r="BOO38" s="25"/>
      <c r="BOP38" s="25"/>
      <c r="BOQ38" s="25"/>
      <c r="BOR38" s="25"/>
      <c r="BOS38" s="25"/>
      <c r="BOT38" s="25"/>
      <c r="BOU38" s="25"/>
      <c r="BOV38" s="25"/>
      <c r="BOW38" s="25"/>
      <c r="BOX38" s="25"/>
      <c r="BOY38" s="25"/>
      <c r="BOZ38" s="25"/>
      <c r="BPA38" s="25"/>
      <c r="BPB38" s="25"/>
      <c r="BPC38" s="25"/>
      <c r="BPD38" s="25"/>
      <c r="BPE38" s="25"/>
      <c r="BPF38" s="25"/>
      <c r="BPG38" s="25"/>
      <c r="BPH38" s="25"/>
      <c r="BPI38" s="25"/>
      <c r="BPJ38" s="25"/>
      <c r="BPK38" s="25"/>
      <c r="BPL38" s="25"/>
      <c r="BPM38" s="25"/>
      <c r="BPN38" s="25"/>
      <c r="BPO38" s="25"/>
      <c r="BPP38" s="25"/>
      <c r="BPQ38" s="25"/>
      <c r="BPR38" s="25"/>
      <c r="BPS38" s="25"/>
      <c r="BPT38" s="25"/>
      <c r="BPU38" s="25"/>
      <c r="BPV38" s="25"/>
      <c r="BPW38" s="25"/>
      <c r="BPX38" s="25"/>
      <c r="BPY38" s="25"/>
      <c r="BPZ38" s="25"/>
      <c r="BQA38" s="25"/>
      <c r="BQB38" s="25"/>
      <c r="BQC38" s="25"/>
      <c r="BQD38" s="25"/>
      <c r="BQE38" s="25"/>
      <c r="BQF38" s="25"/>
      <c r="BQG38" s="25"/>
      <c r="BQH38" s="25"/>
      <c r="BQI38" s="25"/>
      <c r="BQJ38" s="25"/>
      <c r="BQK38" s="25"/>
      <c r="BQL38" s="25"/>
      <c r="BQM38" s="25"/>
      <c r="BQN38" s="25"/>
      <c r="BQO38" s="25"/>
      <c r="BQP38" s="25"/>
      <c r="BQQ38" s="25"/>
      <c r="BQR38" s="25"/>
      <c r="BQS38" s="25"/>
      <c r="BQT38" s="25"/>
      <c r="BQU38" s="25"/>
      <c r="BQV38" s="25"/>
      <c r="BQW38" s="25"/>
      <c r="BQX38" s="25"/>
      <c r="BQY38" s="25"/>
      <c r="BQZ38" s="25"/>
      <c r="BRA38" s="25"/>
      <c r="BRB38" s="25"/>
      <c r="BRC38" s="25"/>
      <c r="BRD38" s="25"/>
      <c r="BRE38" s="25"/>
      <c r="BRF38" s="25"/>
      <c r="BRG38" s="25"/>
      <c r="BRH38" s="25"/>
      <c r="BRI38" s="25"/>
      <c r="BRJ38" s="25"/>
      <c r="BRK38" s="25"/>
      <c r="BRL38" s="25"/>
      <c r="BRM38" s="25"/>
      <c r="BRN38" s="25"/>
      <c r="BRO38" s="25"/>
      <c r="BRP38" s="25"/>
      <c r="BRQ38" s="25"/>
      <c r="BRR38" s="25"/>
      <c r="BRS38" s="25"/>
      <c r="BRT38" s="25"/>
      <c r="BRU38" s="25"/>
      <c r="BRV38" s="25"/>
      <c r="BRW38" s="25"/>
      <c r="BRX38" s="25"/>
      <c r="BRY38" s="25"/>
      <c r="BRZ38" s="25"/>
      <c r="BSA38" s="25"/>
      <c r="BSB38" s="25"/>
      <c r="BSC38" s="25"/>
      <c r="BSD38" s="25"/>
      <c r="BSE38" s="25"/>
      <c r="BSF38" s="25"/>
      <c r="BSG38" s="25"/>
      <c r="BSH38" s="25"/>
      <c r="BSI38" s="25"/>
      <c r="BSJ38" s="25"/>
      <c r="BSK38" s="25"/>
      <c r="BSL38" s="25"/>
      <c r="BSM38" s="25"/>
      <c r="BSN38" s="25"/>
      <c r="BSO38" s="25"/>
      <c r="BSP38" s="25"/>
      <c r="BSQ38" s="25"/>
      <c r="BSR38" s="25"/>
      <c r="BSS38" s="25"/>
      <c r="BST38" s="25"/>
      <c r="BSU38" s="25"/>
      <c r="BSV38" s="25"/>
      <c r="BSW38" s="25"/>
      <c r="BSX38" s="25"/>
      <c r="BSY38" s="25"/>
      <c r="BSZ38" s="25"/>
      <c r="BTA38" s="25"/>
      <c r="BTB38" s="25"/>
      <c r="BTC38" s="25"/>
      <c r="BTD38" s="25"/>
      <c r="BTE38" s="25"/>
      <c r="BTF38" s="25"/>
      <c r="BTG38" s="25"/>
      <c r="BTH38" s="25"/>
      <c r="BTI38" s="25"/>
      <c r="BTJ38" s="25"/>
      <c r="BTK38" s="25"/>
      <c r="BTL38" s="25"/>
      <c r="BTM38" s="25"/>
      <c r="BTN38" s="25"/>
      <c r="BTO38" s="25"/>
      <c r="BTP38" s="25"/>
      <c r="BTQ38" s="25"/>
      <c r="BTR38" s="25"/>
      <c r="BTS38" s="25"/>
      <c r="BTT38" s="25"/>
      <c r="BTU38" s="25"/>
      <c r="BTV38" s="25"/>
      <c r="BTW38" s="25"/>
      <c r="BTX38" s="25"/>
      <c r="BTY38" s="25"/>
      <c r="BTZ38" s="25"/>
      <c r="BUA38" s="25"/>
      <c r="BUB38" s="25"/>
      <c r="BUC38" s="25"/>
      <c r="BUD38" s="25"/>
      <c r="BUE38" s="25"/>
      <c r="BUF38" s="25"/>
      <c r="BUG38" s="25"/>
      <c r="BUH38" s="25"/>
      <c r="BUI38" s="25"/>
      <c r="BUJ38" s="25"/>
      <c r="BUK38" s="25"/>
      <c r="BUL38" s="25"/>
      <c r="BUM38" s="25"/>
      <c r="BUN38" s="25"/>
      <c r="BUO38" s="25"/>
      <c r="BUP38" s="25"/>
      <c r="BUQ38" s="25"/>
      <c r="BUR38" s="25"/>
      <c r="BUS38" s="25"/>
      <c r="BUT38" s="25"/>
      <c r="BUU38" s="25"/>
      <c r="BUV38" s="25"/>
      <c r="BUW38" s="25"/>
      <c r="BUX38" s="25"/>
      <c r="BUY38" s="25"/>
      <c r="BUZ38" s="25"/>
      <c r="BVA38" s="25"/>
      <c r="BVB38" s="25"/>
      <c r="BVC38" s="25"/>
      <c r="BVD38" s="25"/>
      <c r="BVE38" s="25"/>
      <c r="BVF38" s="25"/>
      <c r="BVG38" s="25"/>
      <c r="BVH38" s="25"/>
      <c r="BVI38" s="25"/>
      <c r="BVJ38" s="25"/>
      <c r="BVK38" s="25"/>
      <c r="BVL38" s="25"/>
      <c r="BVM38" s="25"/>
      <c r="BVN38" s="25"/>
      <c r="BVO38" s="25"/>
      <c r="BVP38" s="25"/>
      <c r="BVQ38" s="25"/>
      <c r="BVR38" s="25"/>
      <c r="BVS38" s="25"/>
      <c r="BVT38" s="25"/>
      <c r="BVU38" s="25"/>
      <c r="BVV38" s="25"/>
      <c r="BVW38" s="25"/>
      <c r="BVX38" s="25"/>
      <c r="BVY38" s="25"/>
      <c r="BVZ38" s="25"/>
      <c r="BWA38" s="25"/>
      <c r="BWB38" s="25"/>
      <c r="BWC38" s="25"/>
      <c r="BWD38" s="25"/>
      <c r="BWE38" s="25"/>
      <c r="BWF38" s="25"/>
      <c r="BWG38" s="25"/>
      <c r="BWH38" s="25"/>
      <c r="BWI38" s="25"/>
      <c r="BWJ38" s="25"/>
      <c r="BWK38" s="25"/>
      <c r="BWL38" s="25"/>
      <c r="BWM38" s="25"/>
      <c r="BWN38" s="25"/>
      <c r="BWO38" s="25"/>
      <c r="BWP38" s="25"/>
      <c r="BWQ38" s="25"/>
      <c r="BWR38" s="25"/>
      <c r="BWS38" s="25"/>
      <c r="BWT38" s="25"/>
      <c r="BWU38" s="25"/>
      <c r="BWV38" s="25"/>
      <c r="BWW38" s="25"/>
      <c r="BWX38" s="25"/>
      <c r="BWY38" s="25"/>
      <c r="BWZ38" s="25"/>
      <c r="BXA38" s="25"/>
      <c r="BXB38" s="25"/>
      <c r="BXC38" s="25"/>
      <c r="BXD38" s="25"/>
      <c r="BXE38" s="25"/>
      <c r="BXF38" s="25"/>
      <c r="BXG38" s="25"/>
      <c r="BXH38" s="25"/>
      <c r="BXI38" s="25"/>
      <c r="BXJ38" s="25"/>
      <c r="BXK38" s="25"/>
      <c r="BXL38" s="25"/>
      <c r="BXM38" s="25"/>
      <c r="BXN38" s="25"/>
      <c r="BXO38" s="25"/>
      <c r="BXP38" s="25"/>
      <c r="BXQ38" s="25"/>
      <c r="BXR38" s="25"/>
      <c r="BXS38" s="25"/>
      <c r="BXT38" s="25"/>
      <c r="BXU38" s="25"/>
      <c r="BXV38" s="25"/>
      <c r="BXW38" s="25"/>
      <c r="BXX38" s="25"/>
      <c r="BXY38" s="25"/>
      <c r="BXZ38" s="25"/>
      <c r="BYA38" s="25"/>
      <c r="BYB38" s="25"/>
      <c r="BYC38" s="25"/>
      <c r="BYD38" s="25"/>
      <c r="BYE38" s="25"/>
      <c r="BYF38" s="25"/>
      <c r="BYG38" s="25"/>
      <c r="BYH38" s="25"/>
      <c r="BYI38" s="25"/>
      <c r="BYJ38" s="25"/>
      <c r="BYK38" s="25"/>
      <c r="BYL38" s="25"/>
      <c r="BYM38" s="25"/>
      <c r="BYN38" s="25"/>
      <c r="BYO38" s="25"/>
      <c r="BYP38" s="25"/>
      <c r="BYQ38" s="25"/>
      <c r="BYR38" s="25"/>
      <c r="BYS38" s="25"/>
      <c r="BYT38" s="25"/>
      <c r="BYU38" s="25"/>
      <c r="BYV38" s="25"/>
      <c r="BYW38" s="25"/>
      <c r="BYX38" s="25"/>
      <c r="BYY38" s="25"/>
      <c r="BYZ38" s="25"/>
      <c r="BZA38" s="25"/>
      <c r="BZB38" s="25"/>
      <c r="BZC38" s="25"/>
      <c r="BZD38" s="25"/>
      <c r="BZE38" s="25"/>
      <c r="BZF38" s="25"/>
      <c r="BZG38" s="25"/>
      <c r="BZH38" s="25"/>
      <c r="BZI38" s="25"/>
      <c r="BZJ38" s="25"/>
      <c r="BZK38" s="25"/>
      <c r="BZL38" s="25"/>
      <c r="BZM38" s="25"/>
      <c r="BZN38" s="25"/>
      <c r="BZO38" s="25"/>
      <c r="BZP38" s="25"/>
      <c r="BZQ38" s="25"/>
      <c r="BZR38" s="25"/>
      <c r="BZS38" s="25"/>
      <c r="BZT38" s="25"/>
      <c r="BZU38" s="25"/>
      <c r="BZV38" s="25"/>
      <c r="BZW38" s="25"/>
      <c r="BZX38" s="25"/>
      <c r="BZY38" s="25"/>
      <c r="BZZ38" s="25"/>
      <c r="CAA38" s="25"/>
      <c r="CAB38" s="25"/>
      <c r="CAC38" s="25"/>
      <c r="CAD38" s="25"/>
      <c r="CAE38" s="25"/>
      <c r="CAF38" s="25"/>
      <c r="CAG38" s="25"/>
      <c r="CAH38" s="25"/>
      <c r="CAI38" s="25"/>
      <c r="CAJ38" s="25"/>
      <c r="CAK38" s="25"/>
      <c r="CAL38" s="25"/>
      <c r="CAM38" s="25"/>
      <c r="CAN38" s="25"/>
      <c r="CAO38" s="25"/>
      <c r="CAP38" s="25"/>
      <c r="CAQ38" s="25"/>
      <c r="CAR38" s="25"/>
      <c r="CAS38" s="25"/>
      <c r="CAT38" s="25"/>
      <c r="CAU38" s="25"/>
      <c r="CAV38" s="25"/>
      <c r="CAW38" s="25"/>
      <c r="CAX38" s="25"/>
      <c r="CAY38" s="25"/>
      <c r="CAZ38" s="25"/>
      <c r="CBA38" s="25"/>
      <c r="CBB38" s="25"/>
      <c r="CBC38" s="25"/>
      <c r="CBD38" s="25"/>
      <c r="CBE38" s="25"/>
      <c r="CBF38" s="25"/>
      <c r="CBG38" s="25"/>
      <c r="CBH38" s="25"/>
      <c r="CBI38" s="25"/>
      <c r="CBJ38" s="25"/>
      <c r="CBK38" s="25"/>
      <c r="CBL38" s="25"/>
      <c r="CBM38" s="25"/>
      <c r="CBN38" s="25"/>
      <c r="CBO38" s="25"/>
      <c r="CBP38" s="25"/>
      <c r="CBQ38" s="25"/>
      <c r="CBR38" s="25"/>
      <c r="CBS38" s="25"/>
      <c r="CBT38" s="25"/>
      <c r="CBU38" s="25"/>
      <c r="CBV38" s="25"/>
      <c r="CBW38" s="25"/>
      <c r="CBX38" s="25"/>
      <c r="CBY38" s="25"/>
      <c r="CBZ38" s="25"/>
      <c r="CCA38" s="25"/>
      <c r="CCB38" s="25"/>
      <c r="CCC38" s="25"/>
      <c r="CCD38" s="25"/>
      <c r="CCE38" s="25"/>
      <c r="CCF38" s="25"/>
      <c r="CCG38" s="25"/>
      <c r="CCH38" s="25"/>
      <c r="CCI38" s="25"/>
      <c r="CCJ38" s="25"/>
      <c r="CCK38" s="25"/>
      <c r="CCL38" s="25"/>
      <c r="CCM38" s="25"/>
      <c r="CCN38" s="25"/>
      <c r="CCO38" s="25"/>
      <c r="CCP38" s="25"/>
      <c r="CCQ38" s="25"/>
      <c r="CCR38" s="25"/>
      <c r="CCS38" s="25"/>
      <c r="CCT38" s="25"/>
      <c r="CCU38" s="25"/>
      <c r="CCV38" s="25"/>
      <c r="CCW38" s="25"/>
      <c r="CCX38" s="25"/>
      <c r="CCY38" s="25"/>
      <c r="CCZ38" s="25"/>
      <c r="CDA38" s="25"/>
      <c r="CDB38" s="25"/>
      <c r="CDC38" s="25"/>
      <c r="CDD38" s="25"/>
      <c r="CDE38" s="25"/>
      <c r="CDF38" s="25"/>
      <c r="CDG38" s="25"/>
      <c r="CDH38" s="25"/>
      <c r="CDI38" s="25"/>
      <c r="CDJ38" s="25"/>
      <c r="CDK38" s="25"/>
      <c r="CDL38" s="25"/>
      <c r="CDM38" s="25"/>
      <c r="CDN38" s="25"/>
      <c r="CDO38" s="25"/>
      <c r="CDP38" s="25"/>
      <c r="CDQ38" s="25"/>
      <c r="CDR38" s="25"/>
      <c r="CDS38" s="25"/>
      <c r="CDT38" s="25"/>
      <c r="CDU38" s="25"/>
      <c r="CDV38" s="25"/>
      <c r="CDW38" s="25"/>
      <c r="CDX38" s="25"/>
      <c r="CDY38" s="25"/>
      <c r="CDZ38" s="25"/>
      <c r="CEA38" s="25"/>
      <c r="CEB38" s="25"/>
      <c r="CEC38" s="25"/>
      <c r="CED38" s="25"/>
      <c r="CEE38" s="25"/>
      <c r="CEF38" s="25"/>
      <c r="CEG38" s="25"/>
      <c r="CEH38" s="25"/>
      <c r="CEI38" s="25"/>
      <c r="CEJ38" s="25"/>
      <c r="CEK38" s="25"/>
      <c r="CEL38" s="25"/>
      <c r="CEM38" s="25"/>
      <c r="CEN38" s="25"/>
      <c r="CEO38" s="25"/>
      <c r="CEP38" s="25"/>
      <c r="CEQ38" s="25"/>
      <c r="CER38" s="25"/>
      <c r="CES38" s="25"/>
      <c r="CET38" s="25"/>
      <c r="CEU38" s="25"/>
      <c r="CEV38" s="25"/>
      <c r="CEW38" s="25"/>
      <c r="CEX38" s="25"/>
      <c r="CEY38" s="25"/>
      <c r="CEZ38" s="25"/>
      <c r="CFA38" s="25"/>
      <c r="CFB38" s="25"/>
      <c r="CFC38" s="25"/>
      <c r="CFD38" s="25"/>
      <c r="CFE38" s="25"/>
      <c r="CFF38" s="25"/>
      <c r="CFG38" s="25"/>
      <c r="CFH38" s="25"/>
      <c r="CFI38" s="25"/>
      <c r="CFJ38" s="25"/>
      <c r="CFK38" s="25"/>
      <c r="CFL38" s="25"/>
      <c r="CFM38" s="25"/>
      <c r="CFN38" s="25"/>
      <c r="CFO38" s="25"/>
      <c r="CFP38" s="25"/>
      <c r="CFQ38" s="25"/>
      <c r="CFR38" s="25"/>
      <c r="CFS38" s="25"/>
      <c r="CFT38" s="25"/>
      <c r="CFU38" s="25"/>
      <c r="CFV38" s="25"/>
      <c r="CFW38" s="25"/>
      <c r="CFX38" s="25"/>
      <c r="CFY38" s="25"/>
      <c r="CFZ38" s="25"/>
      <c r="CGA38" s="25"/>
      <c r="CGB38" s="25"/>
      <c r="CGC38" s="25"/>
      <c r="CGD38" s="25"/>
      <c r="CGE38" s="25"/>
      <c r="CGF38" s="25"/>
      <c r="CGG38" s="25"/>
      <c r="CGH38" s="25"/>
      <c r="CGI38" s="25"/>
      <c r="CGJ38" s="25"/>
      <c r="CGK38" s="25"/>
      <c r="CGL38" s="25"/>
      <c r="CGM38" s="25"/>
      <c r="CGN38" s="25"/>
      <c r="CGO38" s="25"/>
      <c r="CGP38" s="25"/>
      <c r="CGQ38" s="25"/>
      <c r="CGR38" s="25"/>
      <c r="CGS38" s="25"/>
      <c r="CGT38" s="25"/>
      <c r="CGU38" s="25"/>
      <c r="CGV38" s="25"/>
      <c r="CGW38" s="25"/>
      <c r="CGX38" s="25"/>
      <c r="CGY38" s="25"/>
      <c r="CGZ38" s="25"/>
      <c r="CHA38" s="25"/>
      <c r="CHB38" s="25"/>
      <c r="CHC38" s="25"/>
      <c r="CHD38" s="25"/>
      <c r="CHE38" s="25"/>
      <c r="CHF38" s="25"/>
      <c r="CHG38" s="25"/>
      <c r="CHH38" s="25"/>
      <c r="CHI38" s="25"/>
      <c r="CHJ38" s="25"/>
      <c r="CHK38" s="25"/>
      <c r="CHL38" s="25"/>
      <c r="CHM38" s="25"/>
      <c r="CHN38" s="25"/>
      <c r="CHO38" s="25"/>
      <c r="CHP38" s="25"/>
      <c r="CHQ38" s="25"/>
      <c r="CHR38" s="25"/>
      <c r="CHS38" s="25"/>
      <c r="CHT38" s="25"/>
      <c r="CHU38" s="25"/>
      <c r="CHV38" s="25"/>
      <c r="CHW38" s="25"/>
      <c r="CHX38" s="25"/>
      <c r="CHY38" s="25"/>
      <c r="CHZ38" s="25"/>
      <c r="CIA38" s="25"/>
      <c r="CIB38" s="25"/>
      <c r="CIC38" s="25"/>
      <c r="CID38" s="25"/>
      <c r="CIE38" s="25"/>
      <c r="CIF38" s="25"/>
      <c r="CIG38" s="25"/>
      <c r="CIH38" s="25"/>
      <c r="CII38" s="25"/>
      <c r="CIJ38" s="25"/>
      <c r="CIK38" s="25"/>
      <c r="CIL38" s="25"/>
      <c r="CIM38" s="25"/>
      <c r="CIN38" s="25"/>
      <c r="CIO38" s="25"/>
      <c r="CIP38" s="25"/>
      <c r="CIQ38" s="25"/>
      <c r="CIR38" s="25"/>
      <c r="CIS38" s="25"/>
      <c r="CIT38" s="25"/>
      <c r="CIU38" s="25"/>
      <c r="CIV38" s="25"/>
      <c r="CIW38" s="25"/>
      <c r="CIX38" s="25"/>
      <c r="CIY38" s="25"/>
      <c r="CIZ38" s="25"/>
      <c r="CJA38" s="25"/>
      <c r="CJB38" s="25"/>
      <c r="CJC38" s="25"/>
      <c r="CJD38" s="25"/>
      <c r="CJE38" s="25"/>
      <c r="CJF38" s="25"/>
      <c r="CJG38" s="25"/>
      <c r="CJH38" s="25"/>
      <c r="CJI38" s="25"/>
      <c r="CJJ38" s="25"/>
      <c r="CJK38" s="25"/>
      <c r="CJL38" s="25"/>
      <c r="CJM38" s="25"/>
      <c r="CJN38" s="25"/>
      <c r="CJO38" s="25"/>
      <c r="CJP38" s="25"/>
      <c r="CJQ38" s="25"/>
      <c r="CJR38" s="25"/>
      <c r="CJS38" s="25"/>
      <c r="CJT38" s="25"/>
      <c r="CJU38" s="25"/>
      <c r="CJV38" s="25"/>
      <c r="CJW38" s="25"/>
      <c r="CJX38" s="25"/>
      <c r="CJY38" s="25"/>
      <c r="CJZ38" s="25"/>
      <c r="CKA38" s="25"/>
      <c r="CKB38" s="25"/>
      <c r="CKC38" s="25"/>
      <c r="CKD38" s="25"/>
      <c r="CKE38" s="25"/>
      <c r="CKF38" s="25"/>
      <c r="CKG38" s="25"/>
      <c r="CKH38" s="25"/>
      <c r="CKI38" s="25"/>
      <c r="CKJ38" s="25"/>
      <c r="CKK38" s="25"/>
      <c r="CKL38" s="25"/>
      <c r="CKM38" s="25"/>
      <c r="CKN38" s="25"/>
      <c r="CKO38" s="25"/>
      <c r="CKP38" s="25"/>
      <c r="CKQ38" s="25"/>
      <c r="CKR38" s="25"/>
      <c r="CKS38" s="25"/>
      <c r="CKT38" s="25"/>
      <c r="CKU38" s="25"/>
      <c r="CKV38" s="25"/>
      <c r="CKW38" s="25"/>
      <c r="CKX38" s="25"/>
      <c r="CKY38" s="25"/>
      <c r="CKZ38" s="25"/>
      <c r="CLA38" s="25"/>
      <c r="CLB38" s="25"/>
      <c r="CLC38" s="25"/>
      <c r="CLD38" s="25"/>
      <c r="CLE38" s="25"/>
      <c r="CLF38" s="25"/>
      <c r="CLG38" s="25"/>
      <c r="CLH38" s="25"/>
      <c r="CLI38" s="25"/>
      <c r="CLJ38" s="25"/>
      <c r="CLK38" s="25"/>
      <c r="CLL38" s="25"/>
      <c r="CLM38" s="25"/>
      <c r="CLN38" s="25"/>
      <c r="CLO38" s="25"/>
      <c r="CLP38" s="25"/>
      <c r="CLQ38" s="25"/>
      <c r="CLR38" s="25"/>
      <c r="CLS38" s="25"/>
      <c r="CLT38" s="25"/>
      <c r="CLU38" s="25"/>
      <c r="CLV38" s="25"/>
      <c r="CLW38" s="25"/>
      <c r="CLX38" s="25"/>
      <c r="CLY38" s="25"/>
      <c r="CLZ38" s="25"/>
      <c r="CMA38" s="25"/>
      <c r="CMB38" s="25"/>
      <c r="CMC38" s="25"/>
      <c r="CMD38" s="25"/>
      <c r="CME38" s="25"/>
      <c r="CMF38" s="25"/>
      <c r="CMG38" s="25"/>
      <c r="CMH38" s="25"/>
      <c r="CMI38" s="25"/>
      <c r="CMJ38" s="25"/>
      <c r="CMK38" s="25"/>
      <c r="CML38" s="25"/>
      <c r="CMM38" s="25"/>
      <c r="CMN38" s="25"/>
      <c r="CMO38" s="25"/>
      <c r="CMP38" s="25"/>
      <c r="CMQ38" s="25"/>
      <c r="CMR38" s="25"/>
      <c r="CMS38" s="25"/>
      <c r="CMT38" s="25"/>
      <c r="CMU38" s="25"/>
      <c r="CMV38" s="25"/>
      <c r="CMW38" s="25"/>
      <c r="CMX38" s="25"/>
      <c r="CMY38" s="25"/>
      <c r="CMZ38" s="25"/>
      <c r="CNA38" s="25"/>
      <c r="CNB38" s="25"/>
      <c r="CNC38" s="25"/>
      <c r="CND38" s="25"/>
      <c r="CNE38" s="25"/>
      <c r="CNF38" s="25"/>
      <c r="CNG38" s="25"/>
      <c r="CNH38" s="25"/>
      <c r="CNI38" s="25"/>
      <c r="CNJ38" s="25"/>
      <c r="CNK38" s="25"/>
      <c r="CNL38" s="25"/>
      <c r="CNM38" s="25"/>
      <c r="CNN38" s="25"/>
      <c r="CNO38" s="25"/>
      <c r="CNP38" s="25"/>
      <c r="CNQ38" s="25"/>
      <c r="CNR38" s="25"/>
      <c r="CNS38" s="25"/>
      <c r="CNT38" s="25"/>
      <c r="CNU38" s="25"/>
      <c r="CNV38" s="25"/>
      <c r="CNW38" s="25"/>
      <c r="CNX38" s="25"/>
      <c r="CNY38" s="25"/>
      <c r="CNZ38" s="25"/>
      <c r="COA38" s="25"/>
      <c r="COB38" s="25"/>
      <c r="COC38" s="25"/>
      <c r="COD38" s="25"/>
      <c r="COE38" s="25"/>
      <c r="COF38" s="25"/>
      <c r="COG38" s="25"/>
      <c r="COH38" s="25"/>
      <c r="COI38" s="25"/>
      <c r="COJ38" s="25"/>
      <c r="COK38" s="25"/>
      <c r="COL38" s="25"/>
      <c r="COM38" s="25"/>
      <c r="CON38" s="25"/>
      <c r="COO38" s="25"/>
      <c r="COP38" s="25"/>
      <c r="COQ38" s="25"/>
      <c r="COR38" s="25"/>
      <c r="COS38" s="25"/>
      <c r="COT38" s="25"/>
      <c r="COU38" s="25"/>
      <c r="COV38" s="25"/>
      <c r="COW38" s="25"/>
      <c r="COX38" s="25"/>
      <c r="COY38" s="25"/>
      <c r="COZ38" s="25"/>
      <c r="CPA38" s="25"/>
      <c r="CPB38" s="25"/>
      <c r="CPC38" s="25"/>
      <c r="CPD38" s="25"/>
      <c r="CPE38" s="25"/>
      <c r="CPF38" s="25"/>
      <c r="CPG38" s="25"/>
      <c r="CPH38" s="25"/>
      <c r="CPI38" s="25"/>
      <c r="CPJ38" s="25"/>
      <c r="CPK38" s="25"/>
      <c r="CPL38" s="25"/>
      <c r="CPM38" s="25"/>
      <c r="CPN38" s="25"/>
      <c r="CPO38" s="25"/>
      <c r="CPP38" s="25"/>
      <c r="CPQ38" s="25"/>
      <c r="CPR38" s="25"/>
      <c r="CPS38" s="25"/>
      <c r="CPT38" s="25"/>
      <c r="CPU38" s="25"/>
      <c r="CPV38" s="25"/>
      <c r="CPW38" s="25"/>
      <c r="CPX38" s="25"/>
      <c r="CPY38" s="25"/>
      <c r="CPZ38" s="25"/>
      <c r="CQA38" s="25"/>
      <c r="CQB38" s="25"/>
      <c r="CQC38" s="25"/>
      <c r="CQD38" s="25"/>
      <c r="CQE38" s="25"/>
      <c r="CQF38" s="25"/>
      <c r="CQG38" s="25"/>
      <c r="CQH38" s="25"/>
      <c r="CQI38" s="25"/>
      <c r="CQJ38" s="25"/>
      <c r="CQK38" s="25"/>
      <c r="CQL38" s="25"/>
      <c r="CQM38" s="25"/>
      <c r="CQN38" s="25"/>
      <c r="CQO38" s="25"/>
      <c r="CQP38" s="25"/>
      <c r="CQQ38" s="25"/>
      <c r="CQR38" s="25"/>
      <c r="CQS38" s="25"/>
      <c r="CQT38" s="25"/>
      <c r="CQU38" s="25"/>
      <c r="CQV38" s="25"/>
      <c r="CQW38" s="25"/>
      <c r="CQX38" s="25"/>
      <c r="CQY38" s="25"/>
      <c r="CQZ38" s="25"/>
      <c r="CRA38" s="25"/>
      <c r="CRB38" s="25"/>
      <c r="CRC38" s="25"/>
      <c r="CRD38" s="25"/>
      <c r="CRE38" s="25"/>
      <c r="CRF38" s="25"/>
      <c r="CRG38" s="25"/>
      <c r="CRH38" s="25"/>
      <c r="CRI38" s="25"/>
      <c r="CRJ38" s="25"/>
      <c r="CRK38" s="25"/>
      <c r="CRL38" s="25"/>
      <c r="CRM38" s="25"/>
      <c r="CRN38" s="25"/>
      <c r="CRO38" s="25"/>
      <c r="CRP38" s="25"/>
      <c r="CRQ38" s="25"/>
      <c r="CRR38" s="25"/>
      <c r="CRS38" s="25"/>
      <c r="CRT38" s="25"/>
      <c r="CRU38" s="25"/>
      <c r="CRV38" s="25"/>
      <c r="CRW38" s="25"/>
      <c r="CRX38" s="25"/>
      <c r="CRY38" s="25"/>
      <c r="CRZ38" s="25"/>
      <c r="CSA38" s="25"/>
      <c r="CSB38" s="25"/>
      <c r="CSC38" s="25"/>
      <c r="CSD38" s="25"/>
      <c r="CSE38" s="25"/>
      <c r="CSF38" s="25"/>
      <c r="CSG38" s="25"/>
      <c r="CSH38" s="25"/>
      <c r="CSI38" s="25"/>
      <c r="CSJ38" s="25"/>
      <c r="CSK38" s="25"/>
      <c r="CSL38" s="25"/>
      <c r="CSM38" s="25"/>
      <c r="CSN38" s="25"/>
      <c r="CSO38" s="25"/>
      <c r="CSP38" s="25"/>
      <c r="CSQ38" s="25"/>
      <c r="CSR38" s="25"/>
      <c r="CSS38" s="25"/>
      <c r="CST38" s="25"/>
      <c r="CSU38" s="25"/>
      <c r="CSV38" s="25"/>
      <c r="CSW38" s="25"/>
      <c r="CSX38" s="25"/>
      <c r="CSY38" s="25"/>
      <c r="CSZ38" s="25"/>
      <c r="CTA38" s="25"/>
      <c r="CTB38" s="25"/>
      <c r="CTC38" s="25"/>
      <c r="CTD38" s="25"/>
      <c r="CTE38" s="25"/>
      <c r="CTF38" s="25"/>
      <c r="CTG38" s="25"/>
      <c r="CTH38" s="25"/>
      <c r="CTI38" s="25"/>
      <c r="CTJ38" s="25"/>
      <c r="CTK38" s="25"/>
      <c r="CTL38" s="25"/>
      <c r="CTM38" s="25"/>
      <c r="CTN38" s="25"/>
      <c r="CTO38" s="25"/>
      <c r="CTP38" s="25"/>
      <c r="CTQ38" s="25"/>
      <c r="CTR38" s="25"/>
      <c r="CTS38" s="25"/>
      <c r="CTT38" s="25"/>
      <c r="CTU38" s="25"/>
      <c r="CTV38" s="25"/>
      <c r="CTW38" s="25"/>
      <c r="CTX38" s="25"/>
      <c r="CTY38" s="25"/>
      <c r="CTZ38" s="25"/>
      <c r="CUA38" s="25"/>
      <c r="CUB38" s="25"/>
      <c r="CUC38" s="25"/>
      <c r="CUD38" s="25"/>
      <c r="CUE38" s="25"/>
      <c r="CUF38" s="25"/>
      <c r="CUG38" s="25"/>
      <c r="CUH38" s="25"/>
      <c r="CUI38" s="25"/>
      <c r="CUJ38" s="25"/>
      <c r="CUK38" s="25"/>
      <c r="CUL38" s="25"/>
      <c r="CUM38" s="25"/>
      <c r="CUN38" s="25"/>
      <c r="CUO38" s="25"/>
      <c r="CUP38" s="25"/>
      <c r="CUQ38" s="25"/>
      <c r="CUR38" s="25"/>
      <c r="CUS38" s="25"/>
      <c r="CUT38" s="25"/>
      <c r="CUU38" s="25"/>
      <c r="CUV38" s="25"/>
      <c r="CUW38" s="25"/>
      <c r="CUX38" s="25"/>
      <c r="CUY38" s="25"/>
      <c r="CUZ38" s="25"/>
      <c r="CVA38" s="25"/>
      <c r="CVB38" s="25"/>
      <c r="CVC38" s="25"/>
      <c r="CVD38" s="25"/>
      <c r="CVE38" s="25"/>
      <c r="CVF38" s="25"/>
      <c r="CVG38" s="25"/>
      <c r="CVH38" s="25"/>
      <c r="CVI38" s="25"/>
      <c r="CVJ38" s="25"/>
      <c r="CVK38" s="25"/>
      <c r="CVL38" s="25"/>
      <c r="CVM38" s="25"/>
      <c r="CVN38" s="25"/>
      <c r="CVO38" s="25"/>
      <c r="CVP38" s="25"/>
      <c r="CVQ38" s="25"/>
      <c r="CVR38" s="25"/>
      <c r="CVS38" s="25"/>
      <c r="CVT38" s="25"/>
      <c r="CVU38" s="25"/>
      <c r="CVV38" s="25"/>
      <c r="CVW38" s="25"/>
      <c r="CVX38" s="25"/>
      <c r="CVY38" s="25"/>
      <c r="CVZ38" s="25"/>
      <c r="CWA38" s="25"/>
      <c r="CWB38" s="25"/>
      <c r="CWC38" s="25"/>
      <c r="CWD38" s="25"/>
      <c r="CWE38" s="25"/>
      <c r="CWF38" s="25"/>
      <c r="CWG38" s="25"/>
      <c r="CWH38" s="25"/>
      <c r="CWI38" s="25"/>
      <c r="CWJ38" s="25"/>
      <c r="CWK38" s="25"/>
      <c r="CWL38" s="25"/>
      <c r="CWM38" s="25"/>
      <c r="CWN38" s="25"/>
      <c r="CWO38" s="25"/>
      <c r="CWP38" s="25"/>
      <c r="CWQ38" s="25"/>
      <c r="CWR38" s="25"/>
      <c r="CWS38" s="25"/>
      <c r="CWT38" s="25"/>
      <c r="CWU38" s="25"/>
      <c r="CWV38" s="25"/>
      <c r="CWW38" s="25"/>
      <c r="CWX38" s="25"/>
      <c r="CWY38" s="25"/>
      <c r="CWZ38" s="25"/>
      <c r="CXA38" s="25"/>
      <c r="CXB38" s="25"/>
      <c r="CXC38" s="25"/>
      <c r="CXD38" s="25"/>
      <c r="CXE38" s="25"/>
      <c r="CXF38" s="25"/>
      <c r="CXG38" s="25"/>
      <c r="CXH38" s="25"/>
      <c r="CXI38" s="25"/>
      <c r="CXJ38" s="25"/>
      <c r="CXK38" s="25"/>
      <c r="CXL38" s="25"/>
      <c r="CXM38" s="25"/>
      <c r="CXN38" s="25"/>
      <c r="CXO38" s="25"/>
      <c r="CXP38" s="25"/>
      <c r="CXQ38" s="25"/>
      <c r="CXR38" s="25"/>
      <c r="CXS38" s="25"/>
      <c r="CXT38" s="25"/>
      <c r="CXU38" s="25"/>
      <c r="CXV38" s="25"/>
      <c r="CXW38" s="25"/>
      <c r="CXX38" s="25"/>
      <c r="CXY38" s="25"/>
      <c r="CXZ38" s="25"/>
      <c r="CYA38" s="25"/>
      <c r="CYB38" s="25"/>
      <c r="CYC38" s="25"/>
      <c r="CYD38" s="25"/>
      <c r="CYE38" s="25"/>
      <c r="CYF38" s="25"/>
      <c r="CYG38" s="25"/>
      <c r="CYH38" s="25"/>
      <c r="CYI38" s="25"/>
      <c r="CYJ38" s="25"/>
      <c r="CYK38" s="25"/>
      <c r="CYL38" s="25"/>
      <c r="CYM38" s="25"/>
      <c r="CYN38" s="25"/>
      <c r="CYO38" s="25"/>
      <c r="CYP38" s="25"/>
      <c r="CYQ38" s="25"/>
      <c r="CYR38" s="25"/>
      <c r="CYS38" s="25"/>
      <c r="CYT38" s="25"/>
      <c r="CYU38" s="25"/>
      <c r="CYV38" s="25"/>
      <c r="CYW38" s="25"/>
      <c r="CYX38" s="25"/>
      <c r="CYY38" s="25"/>
      <c r="CYZ38" s="25"/>
      <c r="CZA38" s="25"/>
      <c r="CZB38" s="25"/>
      <c r="CZC38" s="25"/>
      <c r="CZD38" s="25"/>
      <c r="CZE38" s="25"/>
      <c r="CZF38" s="25"/>
      <c r="CZG38" s="25"/>
      <c r="CZH38" s="25"/>
      <c r="CZI38" s="25"/>
      <c r="CZJ38" s="25"/>
      <c r="CZK38" s="25"/>
      <c r="CZL38" s="25"/>
      <c r="CZM38" s="25"/>
      <c r="CZN38" s="25"/>
      <c r="CZO38" s="25"/>
      <c r="CZP38" s="25"/>
      <c r="CZQ38" s="25"/>
      <c r="CZR38" s="25"/>
      <c r="CZS38" s="25"/>
      <c r="CZT38" s="25"/>
      <c r="CZU38" s="25"/>
      <c r="CZV38" s="25"/>
      <c r="CZW38" s="25"/>
      <c r="CZX38" s="25"/>
      <c r="CZY38" s="25"/>
      <c r="CZZ38" s="25"/>
      <c r="DAA38" s="25"/>
      <c r="DAB38" s="25"/>
      <c r="DAC38" s="25"/>
      <c r="DAD38" s="25"/>
      <c r="DAE38" s="25"/>
      <c r="DAF38" s="25"/>
      <c r="DAG38" s="25"/>
      <c r="DAH38" s="25"/>
      <c r="DAI38" s="25"/>
      <c r="DAJ38" s="25"/>
      <c r="DAK38" s="25"/>
      <c r="DAL38" s="25"/>
      <c r="DAM38" s="25"/>
      <c r="DAN38" s="25"/>
      <c r="DAO38" s="25"/>
      <c r="DAP38" s="25"/>
      <c r="DAQ38" s="25"/>
      <c r="DAR38" s="25"/>
      <c r="DAS38" s="25"/>
      <c r="DAT38" s="25"/>
      <c r="DAU38" s="25"/>
      <c r="DAV38" s="25"/>
      <c r="DAW38" s="25"/>
      <c r="DAX38" s="25"/>
      <c r="DAY38" s="25"/>
      <c r="DAZ38" s="25"/>
      <c r="DBA38" s="25"/>
      <c r="DBB38" s="25"/>
      <c r="DBC38" s="25"/>
      <c r="DBD38" s="25"/>
      <c r="DBE38" s="25"/>
      <c r="DBF38" s="25"/>
      <c r="DBG38" s="25"/>
      <c r="DBH38" s="25"/>
      <c r="DBI38" s="25"/>
      <c r="DBJ38" s="25"/>
      <c r="DBK38" s="25"/>
      <c r="DBL38" s="25"/>
      <c r="DBM38" s="25"/>
      <c r="DBN38" s="25"/>
      <c r="DBO38" s="25"/>
      <c r="DBP38" s="25"/>
      <c r="DBQ38" s="25"/>
      <c r="DBR38" s="25"/>
      <c r="DBS38" s="25"/>
      <c r="DBT38" s="25"/>
      <c r="DBU38" s="25"/>
      <c r="DBV38" s="25"/>
      <c r="DBW38" s="25"/>
      <c r="DBX38" s="25"/>
      <c r="DBY38" s="25"/>
      <c r="DBZ38" s="25"/>
      <c r="DCA38" s="25"/>
      <c r="DCB38" s="25"/>
      <c r="DCC38" s="25"/>
      <c r="DCD38" s="25"/>
      <c r="DCE38" s="25"/>
      <c r="DCF38" s="25"/>
      <c r="DCG38" s="25"/>
      <c r="DCH38" s="25"/>
      <c r="DCI38" s="25"/>
      <c r="DCJ38" s="25"/>
      <c r="DCK38" s="25"/>
      <c r="DCL38" s="25"/>
      <c r="DCM38" s="25"/>
      <c r="DCN38" s="25"/>
      <c r="DCO38" s="25"/>
      <c r="DCP38" s="25"/>
      <c r="DCQ38" s="25"/>
      <c r="DCR38" s="25"/>
      <c r="DCS38" s="25"/>
      <c r="DCT38" s="25"/>
      <c r="DCU38" s="25"/>
      <c r="DCV38" s="25"/>
      <c r="DCW38" s="25"/>
      <c r="DCX38" s="25"/>
      <c r="DCY38" s="25"/>
      <c r="DCZ38" s="25"/>
      <c r="DDA38" s="25"/>
      <c r="DDB38" s="25"/>
      <c r="DDC38" s="25"/>
      <c r="DDD38" s="25"/>
      <c r="DDE38" s="25"/>
      <c r="DDF38" s="25"/>
      <c r="DDG38" s="25"/>
      <c r="DDH38" s="25"/>
      <c r="DDI38" s="25"/>
      <c r="DDJ38" s="25"/>
      <c r="DDK38" s="25"/>
      <c r="DDL38" s="25"/>
      <c r="DDM38" s="25"/>
      <c r="DDN38" s="25"/>
      <c r="DDO38" s="25"/>
      <c r="DDP38" s="25"/>
      <c r="DDQ38" s="25"/>
      <c r="DDR38" s="25"/>
      <c r="DDS38" s="25"/>
      <c r="DDT38" s="25"/>
      <c r="DDU38" s="25"/>
      <c r="DDV38" s="25"/>
      <c r="DDW38" s="25"/>
      <c r="DDX38" s="25"/>
      <c r="DDY38" s="25"/>
      <c r="DDZ38" s="25"/>
      <c r="DEA38" s="25"/>
      <c r="DEB38" s="25"/>
      <c r="DEC38" s="25"/>
      <c r="DED38" s="25"/>
      <c r="DEE38" s="25"/>
      <c r="DEF38" s="25"/>
      <c r="DEG38" s="25"/>
      <c r="DEH38" s="25"/>
      <c r="DEI38" s="25"/>
      <c r="DEJ38" s="25"/>
      <c r="DEK38" s="25"/>
      <c r="DEL38" s="25"/>
      <c r="DEM38" s="25"/>
      <c r="DEN38" s="25"/>
      <c r="DEO38" s="25"/>
      <c r="DEP38" s="25"/>
      <c r="DEQ38" s="25"/>
      <c r="DER38" s="25"/>
      <c r="DES38" s="25"/>
      <c r="DET38" s="25"/>
      <c r="DEU38" s="25"/>
      <c r="DEV38" s="25"/>
      <c r="DEW38" s="25"/>
      <c r="DEX38" s="25"/>
      <c r="DEY38" s="25"/>
      <c r="DEZ38" s="25"/>
      <c r="DFA38" s="25"/>
      <c r="DFB38" s="25"/>
      <c r="DFC38" s="25"/>
      <c r="DFD38" s="25"/>
      <c r="DFE38" s="25"/>
      <c r="DFF38" s="25"/>
      <c r="DFG38" s="25"/>
      <c r="DFH38" s="25"/>
      <c r="DFI38" s="25"/>
      <c r="DFJ38" s="25"/>
      <c r="DFK38" s="25"/>
      <c r="DFL38" s="25"/>
      <c r="DFM38" s="25"/>
      <c r="DFN38" s="25"/>
      <c r="DFO38" s="25"/>
      <c r="DFP38" s="25"/>
      <c r="DFQ38" s="25"/>
      <c r="DFR38" s="25"/>
      <c r="DFS38" s="25"/>
      <c r="DFT38" s="25"/>
      <c r="DFU38" s="25"/>
      <c r="DFV38" s="25"/>
      <c r="DFW38" s="25"/>
      <c r="DFX38" s="25"/>
      <c r="DFY38" s="25"/>
      <c r="DFZ38" s="25"/>
      <c r="DGA38" s="25"/>
      <c r="DGB38" s="25"/>
      <c r="DGC38" s="25"/>
      <c r="DGD38" s="25"/>
      <c r="DGE38" s="25"/>
      <c r="DGF38" s="25"/>
      <c r="DGG38" s="25"/>
      <c r="DGH38" s="25"/>
      <c r="DGI38" s="25"/>
      <c r="DGJ38" s="25"/>
      <c r="DGK38" s="25"/>
      <c r="DGL38" s="25"/>
      <c r="DGM38" s="25"/>
      <c r="DGN38" s="25"/>
      <c r="DGO38" s="25"/>
      <c r="DGP38" s="25"/>
      <c r="DGQ38" s="25"/>
      <c r="DGR38" s="25"/>
      <c r="DGS38" s="25"/>
      <c r="DGT38" s="25"/>
      <c r="DGU38" s="25"/>
      <c r="DGV38" s="25"/>
      <c r="DGW38" s="25"/>
      <c r="DGX38" s="25"/>
      <c r="DGY38" s="25"/>
      <c r="DGZ38" s="25"/>
      <c r="DHA38" s="25"/>
      <c r="DHB38" s="25"/>
      <c r="DHC38" s="25"/>
      <c r="DHD38" s="25"/>
      <c r="DHE38" s="25"/>
      <c r="DHF38" s="25"/>
      <c r="DHG38" s="25"/>
      <c r="DHH38" s="25"/>
      <c r="DHI38" s="25"/>
      <c r="DHJ38" s="25"/>
      <c r="DHK38" s="25"/>
      <c r="DHL38" s="25"/>
      <c r="DHM38" s="25"/>
      <c r="DHN38" s="25"/>
      <c r="DHO38" s="25"/>
      <c r="DHP38" s="25"/>
      <c r="DHQ38" s="25"/>
      <c r="DHR38" s="25"/>
      <c r="DHS38" s="25"/>
      <c r="DHT38" s="25"/>
      <c r="DHU38" s="25"/>
      <c r="DHV38" s="25"/>
      <c r="DHW38" s="25"/>
      <c r="DHX38" s="25"/>
      <c r="DHY38" s="25"/>
      <c r="DHZ38" s="25"/>
      <c r="DIA38" s="25"/>
      <c r="DIB38" s="25"/>
      <c r="DIC38" s="25"/>
      <c r="DID38" s="25"/>
      <c r="DIE38" s="25"/>
      <c r="DIF38" s="25"/>
      <c r="DIG38" s="25"/>
      <c r="DIH38" s="25"/>
      <c r="DII38" s="25"/>
      <c r="DIJ38" s="25"/>
      <c r="DIK38" s="25"/>
      <c r="DIL38" s="25"/>
      <c r="DIM38" s="25"/>
      <c r="DIN38" s="25"/>
      <c r="DIO38" s="25"/>
      <c r="DIP38" s="25"/>
      <c r="DIQ38" s="25"/>
      <c r="DIR38" s="25"/>
      <c r="DIS38" s="25"/>
      <c r="DIT38" s="25"/>
      <c r="DIU38" s="25"/>
      <c r="DIV38" s="25"/>
      <c r="DIW38" s="25"/>
      <c r="DIX38" s="25"/>
      <c r="DIY38" s="25"/>
      <c r="DIZ38" s="25"/>
      <c r="DJA38" s="25"/>
      <c r="DJB38" s="25"/>
      <c r="DJC38" s="25"/>
      <c r="DJD38" s="25"/>
      <c r="DJE38" s="25"/>
      <c r="DJF38" s="25"/>
      <c r="DJG38" s="25"/>
      <c r="DJH38" s="25"/>
      <c r="DJI38" s="25"/>
      <c r="DJJ38" s="25"/>
      <c r="DJK38" s="25"/>
      <c r="DJL38" s="25"/>
      <c r="DJM38" s="25"/>
      <c r="DJN38" s="25"/>
      <c r="DJO38" s="25"/>
      <c r="DJP38" s="25"/>
      <c r="DJQ38" s="25"/>
      <c r="DJR38" s="25"/>
      <c r="DJS38" s="25"/>
      <c r="DJT38" s="25"/>
      <c r="DJU38" s="25"/>
      <c r="DJV38" s="25"/>
      <c r="DJW38" s="25"/>
      <c r="DJX38" s="25"/>
      <c r="DJY38" s="25"/>
      <c r="DJZ38" s="25"/>
      <c r="DKA38" s="25"/>
      <c r="DKB38" s="25"/>
      <c r="DKC38" s="25"/>
      <c r="DKD38" s="25"/>
      <c r="DKE38" s="25"/>
      <c r="DKF38" s="25"/>
      <c r="DKG38" s="25"/>
      <c r="DKH38" s="25"/>
      <c r="DKI38" s="25"/>
      <c r="DKJ38" s="25"/>
      <c r="DKK38" s="25"/>
      <c r="DKL38" s="25"/>
      <c r="DKM38" s="25"/>
      <c r="DKN38" s="25"/>
      <c r="DKO38" s="25"/>
      <c r="DKP38" s="25"/>
      <c r="DKQ38" s="25"/>
      <c r="DKR38" s="25"/>
      <c r="DKS38" s="25"/>
      <c r="DKT38" s="25"/>
      <c r="DKU38" s="25"/>
      <c r="DKV38" s="25"/>
      <c r="DKW38" s="25"/>
      <c r="DKX38" s="25"/>
      <c r="DKY38" s="25"/>
      <c r="DKZ38" s="25"/>
      <c r="DLA38" s="25"/>
      <c r="DLB38" s="25"/>
      <c r="DLC38" s="25"/>
      <c r="DLD38" s="25"/>
      <c r="DLE38" s="25"/>
      <c r="DLF38" s="25"/>
      <c r="DLG38" s="25"/>
      <c r="DLH38" s="25"/>
      <c r="DLI38" s="25"/>
      <c r="DLJ38" s="25"/>
      <c r="DLK38" s="25"/>
      <c r="DLL38" s="25"/>
      <c r="DLM38" s="25"/>
      <c r="DLN38" s="25"/>
      <c r="DLO38" s="25"/>
      <c r="DLP38" s="25"/>
      <c r="DLQ38" s="25"/>
      <c r="DLR38" s="25"/>
      <c r="DLS38" s="25"/>
      <c r="DLT38" s="25"/>
      <c r="DLU38" s="25"/>
      <c r="DLV38" s="25"/>
      <c r="DLW38" s="25"/>
      <c r="DLX38" s="25"/>
      <c r="DLY38" s="25"/>
      <c r="DLZ38" s="25"/>
      <c r="DMA38" s="25"/>
      <c r="DMB38" s="25"/>
      <c r="DMC38" s="25"/>
      <c r="DMD38" s="25"/>
      <c r="DME38" s="25"/>
      <c r="DMF38" s="25"/>
      <c r="DMG38" s="25"/>
      <c r="DMH38" s="25"/>
      <c r="DMI38" s="25"/>
      <c r="DMJ38" s="25"/>
      <c r="DMK38" s="25"/>
      <c r="DML38" s="25"/>
      <c r="DMM38" s="25"/>
      <c r="DMN38" s="25"/>
      <c r="DMO38" s="25"/>
      <c r="DMP38" s="25"/>
      <c r="DMQ38" s="25"/>
      <c r="DMR38" s="25"/>
      <c r="DMS38" s="25"/>
      <c r="DMT38" s="25"/>
      <c r="DMU38" s="25"/>
      <c r="DMV38" s="25"/>
      <c r="DMW38" s="25"/>
      <c r="DMX38" s="25"/>
      <c r="DMY38" s="25"/>
      <c r="DMZ38" s="25"/>
      <c r="DNA38" s="25"/>
      <c r="DNB38" s="25"/>
      <c r="DNC38" s="25"/>
      <c r="DND38" s="25"/>
      <c r="DNE38" s="25"/>
      <c r="DNF38" s="25"/>
      <c r="DNG38" s="25"/>
      <c r="DNH38" s="25"/>
      <c r="DNI38" s="25"/>
      <c r="DNJ38" s="25"/>
      <c r="DNK38" s="25"/>
      <c r="DNL38" s="25"/>
      <c r="DNM38" s="25"/>
      <c r="DNN38" s="25"/>
      <c r="DNO38" s="25"/>
      <c r="DNP38" s="25"/>
      <c r="DNQ38" s="25"/>
      <c r="DNR38" s="25"/>
      <c r="DNS38" s="25"/>
      <c r="DNT38" s="25"/>
      <c r="DNU38" s="25"/>
      <c r="DNV38" s="25"/>
      <c r="DNW38" s="25"/>
      <c r="DNX38" s="25"/>
      <c r="DNY38" s="25"/>
      <c r="DNZ38" s="25"/>
      <c r="DOA38" s="25"/>
      <c r="DOB38" s="25"/>
      <c r="DOC38" s="25"/>
      <c r="DOD38" s="25"/>
      <c r="DOE38" s="25"/>
      <c r="DOF38" s="25"/>
      <c r="DOG38" s="25"/>
      <c r="DOH38" s="25"/>
      <c r="DOI38" s="25"/>
      <c r="DOJ38" s="25"/>
      <c r="DOK38" s="25"/>
      <c r="DOL38" s="25"/>
      <c r="DOM38" s="25"/>
      <c r="DON38" s="25"/>
      <c r="DOO38" s="25"/>
      <c r="DOP38" s="25"/>
      <c r="DOQ38" s="25"/>
      <c r="DOR38" s="25"/>
      <c r="DOS38" s="25"/>
      <c r="DOT38" s="25"/>
      <c r="DOU38" s="25"/>
      <c r="DOV38" s="25"/>
      <c r="DOW38" s="25"/>
      <c r="DOX38" s="25"/>
      <c r="DOY38" s="25"/>
      <c r="DOZ38" s="25"/>
      <c r="DPA38" s="25"/>
      <c r="DPB38" s="25"/>
      <c r="DPC38" s="25"/>
      <c r="DPD38" s="25"/>
      <c r="DPE38" s="25"/>
      <c r="DPF38" s="25"/>
      <c r="DPG38" s="25"/>
      <c r="DPH38" s="25"/>
      <c r="DPI38" s="25"/>
      <c r="DPJ38" s="25"/>
      <c r="DPK38" s="25"/>
      <c r="DPL38" s="25"/>
      <c r="DPM38" s="25"/>
      <c r="DPN38" s="25"/>
      <c r="DPO38" s="25"/>
      <c r="DPP38" s="25"/>
      <c r="DPQ38" s="25"/>
      <c r="DPR38" s="25"/>
      <c r="DPS38" s="25"/>
      <c r="DPT38" s="25"/>
      <c r="DPU38" s="25"/>
      <c r="DPV38" s="25"/>
      <c r="DPW38" s="25"/>
      <c r="DPX38" s="25"/>
      <c r="DPY38" s="25"/>
      <c r="DPZ38" s="25"/>
      <c r="DQA38" s="25"/>
      <c r="DQB38" s="25"/>
      <c r="DQC38" s="25"/>
      <c r="DQD38" s="25"/>
      <c r="DQE38" s="25"/>
      <c r="DQF38" s="25"/>
      <c r="DQG38" s="25"/>
      <c r="DQH38" s="25"/>
      <c r="DQI38" s="25"/>
      <c r="DQJ38" s="25"/>
      <c r="DQK38" s="25"/>
      <c r="DQL38" s="25"/>
      <c r="DQM38" s="25"/>
      <c r="DQN38" s="25"/>
      <c r="DQO38" s="25"/>
      <c r="DQP38" s="25"/>
      <c r="DQQ38" s="25"/>
      <c r="DQR38" s="25"/>
      <c r="DQS38" s="25"/>
      <c r="DQT38" s="25"/>
      <c r="DQU38" s="25"/>
      <c r="DQV38" s="25"/>
      <c r="DQW38" s="25"/>
      <c r="DQX38" s="25"/>
      <c r="DQY38" s="25"/>
      <c r="DQZ38" s="25"/>
      <c r="DRA38" s="25"/>
      <c r="DRB38" s="25"/>
      <c r="DRC38" s="25"/>
      <c r="DRD38" s="25"/>
      <c r="DRE38" s="25"/>
      <c r="DRF38" s="25"/>
      <c r="DRG38" s="25"/>
      <c r="DRH38" s="25"/>
      <c r="DRI38" s="25"/>
      <c r="DRJ38" s="25"/>
      <c r="DRK38" s="25"/>
      <c r="DRL38" s="25"/>
      <c r="DRM38" s="25"/>
      <c r="DRN38" s="25"/>
      <c r="DRO38" s="25"/>
      <c r="DRP38" s="25"/>
      <c r="DRQ38" s="25"/>
      <c r="DRR38" s="25"/>
      <c r="DRS38" s="25"/>
      <c r="DRT38" s="25"/>
      <c r="DRU38" s="25"/>
      <c r="DRV38" s="25"/>
      <c r="DRW38" s="25"/>
      <c r="DRX38" s="25"/>
      <c r="DRY38" s="25"/>
      <c r="DRZ38" s="25"/>
      <c r="DSA38" s="25"/>
      <c r="DSB38" s="25"/>
      <c r="DSC38" s="25"/>
      <c r="DSD38" s="25"/>
      <c r="DSE38" s="25"/>
      <c r="DSF38" s="25"/>
      <c r="DSG38" s="25"/>
      <c r="DSH38" s="25"/>
      <c r="DSI38" s="25"/>
      <c r="DSJ38" s="25"/>
      <c r="DSK38" s="25"/>
      <c r="DSL38" s="25"/>
      <c r="DSM38" s="25"/>
      <c r="DSN38" s="25"/>
      <c r="DSO38" s="25"/>
      <c r="DSP38" s="25"/>
      <c r="DSQ38" s="25"/>
      <c r="DSR38" s="25"/>
      <c r="DSS38" s="25"/>
      <c r="DST38" s="25"/>
      <c r="DSU38" s="25"/>
      <c r="DSV38" s="25"/>
      <c r="DSW38" s="25"/>
      <c r="DSX38" s="25"/>
      <c r="DSY38" s="25"/>
      <c r="DSZ38" s="25"/>
      <c r="DTA38" s="25"/>
      <c r="DTB38" s="25"/>
      <c r="DTC38" s="25"/>
      <c r="DTD38" s="25"/>
      <c r="DTE38" s="25"/>
      <c r="DTF38" s="25"/>
      <c r="DTG38" s="25"/>
      <c r="DTH38" s="25"/>
      <c r="DTI38" s="25"/>
      <c r="DTJ38" s="25"/>
      <c r="DTK38" s="25"/>
      <c r="DTL38" s="25"/>
      <c r="DTM38" s="25"/>
      <c r="DTN38" s="25"/>
      <c r="DTO38" s="25"/>
      <c r="DTP38" s="25"/>
      <c r="DTQ38" s="25"/>
      <c r="DTR38" s="25"/>
      <c r="DTS38" s="25"/>
      <c r="DTT38" s="25"/>
      <c r="DTU38" s="25"/>
      <c r="DTV38" s="25"/>
      <c r="DTW38" s="25"/>
      <c r="DTX38" s="25"/>
      <c r="DTY38" s="25"/>
      <c r="DTZ38" s="25"/>
      <c r="DUA38" s="25"/>
      <c r="DUB38" s="25"/>
      <c r="DUC38" s="25"/>
      <c r="DUD38" s="25"/>
      <c r="DUE38" s="25"/>
      <c r="DUF38" s="25"/>
      <c r="DUG38" s="25"/>
      <c r="DUH38" s="25"/>
      <c r="DUI38" s="25"/>
      <c r="DUJ38" s="25"/>
      <c r="DUK38" s="25"/>
      <c r="DUL38" s="25"/>
      <c r="DUM38" s="25"/>
      <c r="DUN38" s="25"/>
      <c r="DUO38" s="25"/>
      <c r="DUP38" s="25"/>
      <c r="DUQ38" s="25"/>
      <c r="DUR38" s="25"/>
      <c r="DUS38" s="25"/>
      <c r="DUT38" s="25"/>
      <c r="DUU38" s="25"/>
      <c r="DUV38" s="25"/>
      <c r="DUW38" s="25"/>
      <c r="DUX38" s="25"/>
      <c r="DUY38" s="25"/>
      <c r="DUZ38" s="25"/>
      <c r="DVA38" s="25"/>
      <c r="DVB38" s="25"/>
      <c r="DVC38" s="25"/>
      <c r="DVD38" s="25"/>
      <c r="DVE38" s="25"/>
      <c r="DVF38" s="25"/>
      <c r="DVG38" s="25"/>
      <c r="DVH38" s="25"/>
      <c r="DVI38" s="25"/>
      <c r="DVJ38" s="25"/>
      <c r="DVK38" s="25"/>
      <c r="DVL38" s="25"/>
      <c r="DVM38" s="25"/>
      <c r="DVN38" s="25"/>
      <c r="DVO38" s="25"/>
      <c r="DVP38" s="25"/>
      <c r="DVQ38" s="25"/>
      <c r="DVR38" s="25"/>
      <c r="DVS38" s="25"/>
      <c r="DVT38" s="25"/>
      <c r="DVU38" s="25"/>
      <c r="DVV38" s="25"/>
      <c r="DVW38" s="25"/>
      <c r="DVX38" s="25"/>
      <c r="DVY38" s="25"/>
      <c r="DVZ38" s="25"/>
      <c r="DWA38" s="25"/>
      <c r="DWB38" s="25"/>
      <c r="DWC38" s="25"/>
      <c r="DWD38" s="25"/>
      <c r="DWE38" s="25"/>
      <c r="DWF38" s="25"/>
      <c r="DWG38" s="25"/>
      <c r="DWH38" s="25"/>
      <c r="DWI38" s="25"/>
      <c r="DWJ38" s="25"/>
      <c r="DWK38" s="25"/>
      <c r="DWL38" s="25"/>
      <c r="DWM38" s="25"/>
      <c r="DWN38" s="25"/>
      <c r="DWO38" s="25"/>
      <c r="DWP38" s="25"/>
      <c r="DWQ38" s="25"/>
      <c r="DWR38" s="25"/>
      <c r="DWS38" s="25"/>
      <c r="DWT38" s="25"/>
      <c r="DWU38" s="25"/>
      <c r="DWV38" s="25"/>
      <c r="DWW38" s="25"/>
      <c r="DWX38" s="25"/>
      <c r="DWY38" s="25"/>
      <c r="DWZ38" s="25"/>
      <c r="DXA38" s="25"/>
      <c r="DXB38" s="25"/>
      <c r="DXC38" s="25"/>
      <c r="DXD38" s="25"/>
      <c r="DXE38" s="25"/>
      <c r="DXF38" s="25"/>
      <c r="DXG38" s="25"/>
      <c r="DXH38" s="25"/>
      <c r="DXI38" s="25"/>
      <c r="DXJ38" s="25"/>
      <c r="DXK38" s="25"/>
      <c r="DXL38" s="25"/>
      <c r="DXM38" s="25"/>
      <c r="DXN38" s="25"/>
      <c r="DXO38" s="25"/>
      <c r="DXP38" s="25"/>
      <c r="DXQ38" s="25"/>
      <c r="DXR38" s="25"/>
      <c r="DXS38" s="25"/>
      <c r="DXT38" s="25"/>
      <c r="DXU38" s="25"/>
      <c r="DXV38" s="25"/>
      <c r="DXW38" s="25"/>
      <c r="DXX38" s="25"/>
      <c r="DXY38" s="25"/>
      <c r="DXZ38" s="25"/>
      <c r="DYA38" s="25"/>
      <c r="DYB38" s="25"/>
      <c r="DYC38" s="25"/>
      <c r="DYD38" s="25"/>
      <c r="DYE38" s="25"/>
      <c r="DYF38" s="25"/>
      <c r="DYG38" s="25"/>
      <c r="DYH38" s="25"/>
      <c r="DYI38" s="25"/>
      <c r="DYJ38" s="25"/>
      <c r="DYK38" s="25"/>
      <c r="DYL38" s="25"/>
      <c r="DYM38" s="25"/>
      <c r="DYN38" s="25"/>
      <c r="DYO38" s="25"/>
      <c r="DYP38" s="25"/>
      <c r="DYQ38" s="25"/>
      <c r="DYR38" s="25"/>
      <c r="DYS38" s="25"/>
      <c r="DYT38" s="25"/>
      <c r="DYU38" s="25"/>
      <c r="DYV38" s="25"/>
      <c r="DYW38" s="25"/>
      <c r="DYX38" s="25"/>
      <c r="DYY38" s="25"/>
      <c r="DYZ38" s="25"/>
      <c r="DZA38" s="25"/>
      <c r="DZB38" s="25"/>
      <c r="DZC38" s="25"/>
      <c r="DZD38" s="25"/>
      <c r="DZE38" s="25"/>
      <c r="DZF38" s="25"/>
      <c r="DZG38" s="25"/>
      <c r="DZH38" s="25"/>
      <c r="DZI38" s="25"/>
      <c r="DZJ38" s="25"/>
      <c r="DZK38" s="25"/>
      <c r="DZL38" s="25"/>
      <c r="DZM38" s="25"/>
      <c r="DZN38" s="25"/>
      <c r="DZO38" s="25"/>
      <c r="DZP38" s="25"/>
      <c r="DZQ38" s="25"/>
      <c r="DZR38" s="25"/>
      <c r="DZS38" s="25"/>
      <c r="DZT38" s="25"/>
      <c r="DZU38" s="25"/>
      <c r="DZV38" s="25"/>
      <c r="DZW38" s="25"/>
      <c r="DZX38" s="25"/>
      <c r="DZY38" s="25"/>
      <c r="DZZ38" s="25"/>
      <c r="EAA38" s="25"/>
      <c r="EAB38" s="25"/>
      <c r="EAC38" s="25"/>
      <c r="EAD38" s="25"/>
      <c r="EAE38" s="25"/>
      <c r="EAF38" s="25"/>
      <c r="EAG38" s="25"/>
      <c r="EAH38" s="25"/>
      <c r="EAI38" s="25"/>
      <c r="EAJ38" s="25"/>
      <c r="EAK38" s="25"/>
      <c r="EAL38" s="25"/>
      <c r="EAM38" s="25"/>
      <c r="EAN38" s="25"/>
      <c r="EAO38" s="25"/>
      <c r="EAP38" s="25"/>
      <c r="EAQ38" s="25"/>
      <c r="EAR38" s="25"/>
      <c r="EAS38" s="25"/>
      <c r="EAT38" s="25"/>
      <c r="EAU38" s="25"/>
      <c r="EAV38" s="25"/>
      <c r="EAW38" s="25"/>
      <c r="EAX38" s="25"/>
      <c r="EAY38" s="25"/>
      <c r="EAZ38" s="25"/>
      <c r="EBA38" s="25"/>
      <c r="EBB38" s="25"/>
      <c r="EBC38" s="25"/>
      <c r="EBD38" s="25"/>
      <c r="EBE38" s="25"/>
      <c r="EBF38" s="25"/>
      <c r="EBG38" s="25"/>
      <c r="EBH38" s="25"/>
      <c r="EBI38" s="25"/>
      <c r="EBJ38" s="25"/>
      <c r="EBK38" s="25"/>
      <c r="EBL38" s="25"/>
      <c r="EBM38" s="25"/>
      <c r="EBN38" s="25"/>
      <c r="EBO38" s="25"/>
      <c r="EBP38" s="25"/>
      <c r="EBQ38" s="25"/>
      <c r="EBR38" s="25"/>
      <c r="EBS38" s="25"/>
      <c r="EBT38" s="25"/>
      <c r="EBU38" s="25"/>
      <c r="EBV38" s="25"/>
      <c r="EBW38" s="25"/>
      <c r="EBX38" s="25"/>
      <c r="EBY38" s="25"/>
      <c r="EBZ38" s="25"/>
      <c r="ECA38" s="25"/>
      <c r="ECB38" s="25"/>
      <c r="ECC38" s="25"/>
      <c r="ECD38" s="25"/>
      <c r="ECE38" s="25"/>
      <c r="ECF38" s="25"/>
      <c r="ECG38" s="25"/>
      <c r="ECH38" s="25"/>
      <c r="ECI38" s="25"/>
      <c r="ECJ38" s="25"/>
      <c r="ECK38" s="25"/>
      <c r="ECL38" s="25"/>
      <c r="ECM38" s="25"/>
      <c r="ECN38" s="25"/>
      <c r="ECO38" s="25"/>
      <c r="ECP38" s="25"/>
      <c r="ECQ38" s="25"/>
      <c r="ECR38" s="25"/>
      <c r="ECS38" s="25"/>
      <c r="ECT38" s="25"/>
      <c r="ECU38" s="25"/>
      <c r="ECV38" s="25"/>
      <c r="ECW38" s="25"/>
      <c r="ECX38" s="25"/>
      <c r="ECY38" s="25"/>
      <c r="ECZ38" s="25"/>
      <c r="EDA38" s="25"/>
      <c r="EDB38" s="25"/>
      <c r="EDC38" s="25"/>
      <c r="EDD38" s="25"/>
      <c r="EDE38" s="25"/>
      <c r="EDF38" s="25"/>
      <c r="EDG38" s="25"/>
      <c r="EDH38" s="25"/>
      <c r="EDI38" s="25"/>
      <c r="EDJ38" s="25"/>
      <c r="EDK38" s="25"/>
      <c r="EDL38" s="25"/>
      <c r="EDM38" s="25"/>
      <c r="EDN38" s="25"/>
      <c r="EDO38" s="25"/>
      <c r="EDP38" s="25"/>
      <c r="EDQ38" s="25"/>
      <c r="EDR38" s="25"/>
      <c r="EDS38" s="25"/>
      <c r="EDT38" s="25"/>
      <c r="EDU38" s="25"/>
      <c r="EDV38" s="25"/>
      <c r="EDW38" s="25"/>
      <c r="EDX38" s="25"/>
      <c r="EDY38" s="25"/>
      <c r="EDZ38" s="25"/>
      <c r="EEA38" s="25"/>
      <c r="EEB38" s="25"/>
      <c r="EEC38" s="25"/>
      <c r="EED38" s="25"/>
      <c r="EEE38" s="25"/>
      <c r="EEF38" s="25"/>
      <c r="EEG38" s="25"/>
      <c r="EEH38" s="25"/>
      <c r="EEI38" s="25"/>
      <c r="EEJ38" s="25"/>
      <c r="EEK38" s="25"/>
      <c r="EEL38" s="25"/>
      <c r="EEM38" s="25"/>
      <c r="EEN38" s="25"/>
      <c r="EEO38" s="25"/>
      <c r="EEP38" s="25"/>
      <c r="EEQ38" s="25"/>
      <c r="EER38" s="25"/>
      <c r="EES38" s="25"/>
      <c r="EET38" s="25"/>
      <c r="EEU38" s="25"/>
      <c r="EEV38" s="25"/>
      <c r="EEW38" s="25"/>
      <c r="EEX38" s="25"/>
      <c r="EEY38" s="25"/>
      <c r="EEZ38" s="25"/>
      <c r="EFA38" s="25"/>
      <c r="EFB38" s="25"/>
      <c r="EFC38" s="25"/>
      <c r="EFD38" s="25"/>
      <c r="EFE38" s="25"/>
      <c r="EFF38" s="25"/>
      <c r="EFG38" s="25"/>
      <c r="EFH38" s="25"/>
      <c r="EFI38" s="25"/>
      <c r="EFJ38" s="25"/>
      <c r="EFK38" s="25"/>
      <c r="EFL38" s="25"/>
      <c r="EFM38" s="25"/>
      <c r="EFN38" s="25"/>
      <c r="EFO38" s="25"/>
      <c r="EFP38" s="25"/>
      <c r="EFQ38" s="25"/>
      <c r="EFR38" s="25"/>
      <c r="EFS38" s="25"/>
      <c r="EFT38" s="25"/>
      <c r="EFU38" s="25"/>
      <c r="EFV38" s="25"/>
      <c r="EFW38" s="25"/>
      <c r="EFX38" s="25"/>
      <c r="EFY38" s="25"/>
      <c r="EFZ38" s="25"/>
      <c r="EGA38" s="25"/>
      <c r="EGB38" s="25"/>
      <c r="EGC38" s="25"/>
      <c r="EGD38" s="25"/>
      <c r="EGE38" s="25"/>
      <c r="EGF38" s="25"/>
      <c r="EGG38" s="25"/>
      <c r="EGH38" s="25"/>
      <c r="EGI38" s="25"/>
      <c r="EGJ38" s="25"/>
      <c r="EGK38" s="25"/>
      <c r="EGL38" s="25"/>
      <c r="EGM38" s="25"/>
      <c r="EGN38" s="25"/>
      <c r="EGO38" s="25"/>
      <c r="EGP38" s="25"/>
      <c r="EGQ38" s="25"/>
      <c r="EGR38" s="25"/>
      <c r="EGS38" s="25"/>
      <c r="EGT38" s="25"/>
      <c r="EGU38" s="25"/>
      <c r="EGV38" s="25"/>
      <c r="EGW38" s="25"/>
      <c r="EGX38" s="25"/>
      <c r="EGY38" s="25"/>
      <c r="EGZ38" s="25"/>
      <c r="EHA38" s="25"/>
      <c r="EHB38" s="25"/>
      <c r="EHC38" s="25"/>
      <c r="EHD38" s="25"/>
      <c r="EHE38" s="25"/>
      <c r="EHF38" s="25"/>
      <c r="EHG38" s="25"/>
      <c r="EHH38" s="25"/>
      <c r="EHI38" s="25"/>
      <c r="EHJ38" s="25"/>
      <c r="EHK38" s="25"/>
      <c r="EHL38" s="25"/>
      <c r="EHM38" s="25"/>
      <c r="EHN38" s="25"/>
      <c r="EHO38" s="25"/>
      <c r="EHP38" s="25"/>
      <c r="EHQ38" s="25"/>
      <c r="EHR38" s="25"/>
      <c r="EHS38" s="25"/>
      <c r="EHT38" s="25"/>
      <c r="EHU38" s="25"/>
      <c r="EHV38" s="25"/>
      <c r="EHW38" s="25"/>
      <c r="EHX38" s="25"/>
      <c r="EHY38" s="25"/>
      <c r="EHZ38" s="25"/>
      <c r="EIA38" s="25"/>
      <c r="EIB38" s="25"/>
      <c r="EIC38" s="25"/>
      <c r="EID38" s="25"/>
      <c r="EIE38" s="25"/>
      <c r="EIF38" s="25"/>
      <c r="EIG38" s="25"/>
      <c r="EIH38" s="25"/>
      <c r="EII38" s="25"/>
      <c r="EIJ38" s="25"/>
      <c r="EIK38" s="25"/>
      <c r="EIL38" s="25"/>
      <c r="EIM38" s="25"/>
      <c r="EIN38" s="25"/>
      <c r="EIO38" s="25"/>
      <c r="EIP38" s="25"/>
      <c r="EIQ38" s="25"/>
      <c r="EIR38" s="25"/>
      <c r="EIS38" s="25"/>
      <c r="EIT38" s="25"/>
      <c r="EIU38" s="25"/>
      <c r="EIV38" s="25"/>
      <c r="EIW38" s="25"/>
      <c r="EIX38" s="25"/>
      <c r="EIY38" s="25"/>
      <c r="EIZ38" s="25"/>
      <c r="EJA38" s="25"/>
      <c r="EJB38" s="25"/>
      <c r="EJC38" s="25"/>
      <c r="EJD38" s="25"/>
      <c r="EJE38" s="25"/>
      <c r="EJF38" s="25"/>
      <c r="EJG38" s="25"/>
      <c r="EJH38" s="25"/>
      <c r="EJI38" s="25"/>
      <c r="EJJ38" s="25"/>
      <c r="EJK38" s="25"/>
      <c r="EJL38" s="25"/>
      <c r="EJM38" s="25"/>
      <c r="EJN38" s="25"/>
      <c r="EJO38" s="25"/>
      <c r="EJP38" s="25"/>
      <c r="EJQ38" s="25"/>
      <c r="EJR38" s="25"/>
      <c r="EJS38" s="25"/>
      <c r="EJT38" s="25"/>
      <c r="EJU38" s="25"/>
      <c r="EJV38" s="25"/>
      <c r="EJW38" s="25"/>
      <c r="EJX38" s="25"/>
      <c r="EJY38" s="25"/>
      <c r="EJZ38" s="25"/>
      <c r="EKA38" s="25"/>
      <c r="EKB38" s="25"/>
      <c r="EKC38" s="25"/>
      <c r="EKD38" s="25"/>
      <c r="EKE38" s="25"/>
      <c r="EKF38" s="25"/>
      <c r="EKG38" s="25"/>
      <c r="EKH38" s="25"/>
      <c r="EKI38" s="25"/>
      <c r="EKJ38" s="25"/>
      <c r="EKK38" s="25"/>
      <c r="EKL38" s="25"/>
      <c r="EKM38" s="25"/>
      <c r="EKN38" s="25"/>
      <c r="EKO38" s="25"/>
      <c r="EKP38" s="25"/>
      <c r="EKQ38" s="25"/>
      <c r="EKR38" s="25"/>
      <c r="EKS38" s="25"/>
      <c r="EKT38" s="25"/>
      <c r="EKU38" s="25"/>
      <c r="EKV38" s="25"/>
      <c r="EKW38" s="25"/>
      <c r="EKX38" s="25"/>
      <c r="EKY38" s="25"/>
      <c r="EKZ38" s="25"/>
      <c r="ELA38" s="25"/>
      <c r="ELB38" s="25"/>
      <c r="ELC38" s="25"/>
      <c r="ELD38" s="25"/>
      <c r="ELE38" s="25"/>
      <c r="ELF38" s="25"/>
      <c r="ELG38" s="25"/>
      <c r="ELH38" s="25"/>
      <c r="ELI38" s="25"/>
      <c r="ELJ38" s="25"/>
      <c r="ELK38" s="25"/>
      <c r="ELL38" s="25"/>
      <c r="ELM38" s="25"/>
      <c r="ELN38" s="25"/>
      <c r="ELO38" s="25"/>
      <c r="ELP38" s="25"/>
      <c r="ELQ38" s="25"/>
      <c r="ELR38" s="25"/>
      <c r="ELS38" s="25"/>
      <c r="ELT38" s="25"/>
      <c r="ELU38" s="25"/>
      <c r="ELV38" s="25"/>
      <c r="ELW38" s="25"/>
      <c r="ELX38" s="25"/>
      <c r="ELY38" s="25"/>
      <c r="ELZ38" s="25"/>
      <c r="EMA38" s="25"/>
      <c r="EMB38" s="25"/>
      <c r="EMC38" s="25"/>
      <c r="EMD38" s="25"/>
      <c r="EME38" s="25"/>
      <c r="EMF38" s="25"/>
      <c r="EMG38" s="25"/>
      <c r="EMH38" s="25"/>
      <c r="EMI38" s="25"/>
      <c r="EMJ38" s="25"/>
      <c r="EMK38" s="25"/>
      <c r="EML38" s="25"/>
      <c r="EMM38" s="25"/>
      <c r="EMN38" s="25"/>
      <c r="EMO38" s="25"/>
      <c r="EMP38" s="25"/>
      <c r="EMQ38" s="25"/>
      <c r="EMR38" s="25"/>
      <c r="EMS38" s="25"/>
      <c r="EMT38" s="25"/>
      <c r="EMU38" s="25"/>
      <c r="EMV38" s="25"/>
      <c r="EMW38" s="25"/>
      <c r="EMX38" s="25"/>
      <c r="EMY38" s="25"/>
      <c r="EMZ38" s="25"/>
      <c r="ENA38" s="25"/>
      <c r="ENB38" s="25"/>
      <c r="ENC38" s="25"/>
      <c r="END38" s="25"/>
      <c r="ENE38" s="25"/>
      <c r="ENF38" s="25"/>
      <c r="ENG38" s="25"/>
      <c r="ENH38" s="25"/>
      <c r="ENI38" s="25"/>
      <c r="ENJ38" s="25"/>
      <c r="ENK38" s="25"/>
      <c r="ENL38" s="25"/>
      <c r="ENM38" s="25"/>
      <c r="ENN38" s="25"/>
      <c r="ENO38" s="25"/>
      <c r="ENP38" s="25"/>
      <c r="ENQ38" s="25"/>
      <c r="ENR38" s="25"/>
      <c r="ENS38" s="25"/>
      <c r="ENT38" s="25"/>
      <c r="ENU38" s="25"/>
      <c r="ENV38" s="25"/>
      <c r="ENW38" s="25"/>
      <c r="ENX38" s="25"/>
      <c r="ENY38" s="25"/>
      <c r="ENZ38" s="25"/>
      <c r="EOA38" s="25"/>
      <c r="EOB38" s="25"/>
      <c r="EOC38" s="25"/>
      <c r="EOD38" s="25"/>
      <c r="EOE38" s="25"/>
      <c r="EOF38" s="25"/>
      <c r="EOG38" s="25"/>
      <c r="EOH38" s="25"/>
      <c r="EOI38" s="25"/>
      <c r="EOJ38" s="25"/>
      <c r="EOK38" s="25"/>
      <c r="EOL38" s="25"/>
      <c r="EOM38" s="25"/>
      <c r="EON38" s="25"/>
      <c r="EOO38" s="25"/>
      <c r="EOP38" s="25"/>
      <c r="EOQ38" s="25"/>
      <c r="EOR38" s="25"/>
      <c r="EOS38" s="25"/>
      <c r="EOT38" s="25"/>
      <c r="EOU38" s="25"/>
      <c r="EOV38" s="25"/>
      <c r="EOW38" s="25"/>
      <c r="EOX38" s="25"/>
      <c r="EOY38" s="25"/>
      <c r="EOZ38" s="25"/>
      <c r="EPA38" s="25"/>
      <c r="EPB38" s="25"/>
      <c r="EPC38" s="25"/>
      <c r="EPD38" s="25"/>
      <c r="EPE38" s="25"/>
      <c r="EPF38" s="25"/>
      <c r="EPG38" s="25"/>
      <c r="EPH38" s="25"/>
      <c r="EPI38" s="25"/>
      <c r="EPJ38" s="25"/>
      <c r="EPK38" s="25"/>
      <c r="EPL38" s="25"/>
      <c r="EPM38" s="25"/>
      <c r="EPN38" s="25"/>
      <c r="EPO38" s="25"/>
      <c r="EPP38" s="25"/>
      <c r="EPQ38" s="25"/>
      <c r="EPR38" s="25"/>
      <c r="EPS38" s="25"/>
      <c r="EPT38" s="25"/>
      <c r="EPU38" s="25"/>
      <c r="EPV38" s="25"/>
      <c r="EPW38" s="25"/>
      <c r="EPX38" s="25"/>
      <c r="EPY38" s="25"/>
      <c r="EPZ38" s="25"/>
      <c r="EQA38" s="25"/>
      <c r="EQB38" s="25"/>
      <c r="EQC38" s="25"/>
      <c r="EQD38" s="25"/>
      <c r="EQE38" s="25"/>
      <c r="EQF38" s="25"/>
      <c r="EQG38" s="25"/>
      <c r="EQH38" s="25"/>
      <c r="EQI38" s="25"/>
      <c r="EQJ38" s="25"/>
      <c r="EQK38" s="25"/>
      <c r="EQL38" s="25"/>
      <c r="EQM38" s="25"/>
      <c r="EQN38" s="25"/>
      <c r="EQO38" s="25"/>
      <c r="EQP38" s="25"/>
      <c r="EQQ38" s="25"/>
      <c r="EQR38" s="25"/>
      <c r="EQS38" s="25"/>
      <c r="EQT38" s="25"/>
      <c r="EQU38" s="25"/>
      <c r="EQV38" s="25"/>
      <c r="EQW38" s="25"/>
      <c r="EQX38" s="25"/>
      <c r="EQY38" s="25"/>
      <c r="EQZ38" s="25"/>
      <c r="ERA38" s="25"/>
      <c r="ERB38" s="25"/>
      <c r="ERC38" s="25"/>
      <c r="ERD38" s="25"/>
      <c r="ERE38" s="25"/>
      <c r="ERF38" s="25"/>
      <c r="ERG38" s="25"/>
      <c r="ERH38" s="25"/>
      <c r="ERI38" s="25"/>
      <c r="ERJ38" s="25"/>
      <c r="ERK38" s="25"/>
      <c r="ERL38" s="25"/>
      <c r="ERM38" s="25"/>
      <c r="ERN38" s="25"/>
      <c r="ERO38" s="25"/>
      <c r="ERP38" s="25"/>
      <c r="ERQ38" s="25"/>
      <c r="ERR38" s="25"/>
      <c r="ERS38" s="25"/>
      <c r="ERT38" s="25"/>
      <c r="ERU38" s="25"/>
      <c r="ERV38" s="25"/>
      <c r="ERW38" s="25"/>
      <c r="ERX38" s="25"/>
      <c r="ERY38" s="25"/>
      <c r="ERZ38" s="25"/>
      <c r="ESA38" s="25"/>
      <c r="ESB38" s="25"/>
      <c r="ESC38" s="25"/>
      <c r="ESD38" s="25"/>
      <c r="ESE38" s="25"/>
      <c r="ESF38" s="25"/>
      <c r="ESG38" s="25"/>
      <c r="ESH38" s="25"/>
      <c r="ESI38" s="25"/>
      <c r="ESJ38" s="25"/>
      <c r="ESK38" s="25"/>
      <c r="ESL38" s="25"/>
      <c r="ESM38" s="25"/>
      <c r="ESN38" s="25"/>
      <c r="ESO38" s="25"/>
      <c r="ESP38" s="25"/>
      <c r="ESQ38" s="25"/>
      <c r="ESR38" s="25"/>
      <c r="ESS38" s="25"/>
      <c r="EST38" s="25"/>
      <c r="ESU38" s="25"/>
      <c r="ESV38" s="25"/>
      <c r="ESW38" s="25"/>
      <c r="ESX38" s="25"/>
      <c r="ESY38" s="25"/>
      <c r="ESZ38" s="25"/>
      <c r="ETA38" s="25"/>
      <c r="ETB38" s="25"/>
      <c r="ETC38" s="25"/>
      <c r="ETD38" s="25"/>
      <c r="ETE38" s="25"/>
      <c r="ETF38" s="25"/>
      <c r="ETG38" s="25"/>
      <c r="ETH38" s="25"/>
      <c r="ETI38" s="25"/>
      <c r="ETJ38" s="25"/>
      <c r="ETK38" s="25"/>
      <c r="ETL38" s="25"/>
      <c r="ETM38" s="25"/>
      <c r="ETN38" s="25"/>
      <c r="ETO38" s="25"/>
      <c r="ETP38" s="25"/>
      <c r="ETQ38" s="25"/>
      <c r="ETR38" s="25"/>
      <c r="ETS38" s="25"/>
      <c r="ETT38" s="25"/>
      <c r="ETU38" s="25"/>
      <c r="ETV38" s="25"/>
      <c r="ETW38" s="25"/>
      <c r="ETX38" s="25"/>
      <c r="ETY38" s="25"/>
      <c r="ETZ38" s="25"/>
      <c r="EUA38" s="25"/>
      <c r="EUB38" s="25"/>
      <c r="EUC38" s="25"/>
      <c r="EUD38" s="25"/>
      <c r="EUE38" s="25"/>
      <c r="EUF38" s="25"/>
      <c r="EUG38" s="25"/>
      <c r="EUH38" s="25"/>
      <c r="EUI38" s="25"/>
      <c r="EUJ38" s="25"/>
      <c r="EUK38" s="25"/>
      <c r="EUL38" s="25"/>
      <c r="EUM38" s="25"/>
      <c r="EUN38" s="25"/>
      <c r="EUO38" s="25"/>
      <c r="EUP38" s="25"/>
      <c r="EUQ38" s="25"/>
      <c r="EUR38" s="25"/>
      <c r="EUS38" s="25"/>
      <c r="EUT38" s="25"/>
      <c r="EUU38" s="25"/>
      <c r="EUV38" s="25"/>
      <c r="EUW38" s="25"/>
      <c r="EUX38" s="25"/>
      <c r="EUY38" s="25"/>
      <c r="EUZ38" s="25"/>
      <c r="EVA38" s="25"/>
      <c r="EVB38" s="25"/>
      <c r="EVC38" s="25"/>
      <c r="EVD38" s="25"/>
      <c r="EVE38" s="25"/>
      <c r="EVF38" s="25"/>
      <c r="EVG38" s="25"/>
      <c r="EVH38" s="25"/>
      <c r="EVI38" s="25"/>
      <c r="EVJ38" s="25"/>
      <c r="EVK38" s="25"/>
      <c r="EVL38" s="25"/>
      <c r="EVM38" s="25"/>
      <c r="EVN38" s="25"/>
      <c r="EVO38" s="25"/>
      <c r="EVP38" s="25"/>
      <c r="EVQ38" s="25"/>
      <c r="EVR38" s="25"/>
      <c r="EVS38" s="25"/>
      <c r="EVT38" s="25"/>
      <c r="EVU38" s="25"/>
      <c r="EVV38" s="25"/>
      <c r="EVW38" s="25"/>
      <c r="EVX38" s="25"/>
      <c r="EVY38" s="25"/>
      <c r="EVZ38" s="25"/>
      <c r="EWA38" s="25"/>
      <c r="EWB38" s="25"/>
      <c r="EWC38" s="25"/>
      <c r="EWD38" s="25"/>
      <c r="EWE38" s="25"/>
      <c r="EWF38" s="25"/>
      <c r="EWG38" s="25"/>
      <c r="EWH38" s="25"/>
      <c r="EWI38" s="25"/>
      <c r="EWJ38" s="25"/>
      <c r="EWK38" s="25"/>
      <c r="EWL38" s="25"/>
      <c r="EWM38" s="25"/>
      <c r="EWN38" s="25"/>
      <c r="EWO38" s="25"/>
      <c r="EWP38" s="25"/>
      <c r="EWQ38" s="25"/>
      <c r="EWR38" s="25"/>
      <c r="EWS38" s="25"/>
      <c r="EWT38" s="25"/>
      <c r="EWU38" s="25"/>
      <c r="EWV38" s="25"/>
      <c r="EWW38" s="25"/>
      <c r="EWX38" s="25"/>
      <c r="EWY38" s="25"/>
      <c r="EWZ38" s="25"/>
      <c r="EXA38" s="25"/>
      <c r="EXB38" s="25"/>
      <c r="EXC38" s="25"/>
      <c r="EXD38" s="25"/>
      <c r="EXE38" s="25"/>
      <c r="EXF38" s="25"/>
      <c r="EXG38" s="25"/>
      <c r="EXH38" s="25"/>
      <c r="EXI38" s="25"/>
      <c r="EXJ38" s="25"/>
      <c r="EXK38" s="25"/>
      <c r="EXL38" s="25"/>
      <c r="EXM38" s="25"/>
      <c r="EXN38" s="25"/>
      <c r="EXO38" s="25"/>
      <c r="EXP38" s="25"/>
      <c r="EXQ38" s="25"/>
      <c r="EXR38" s="25"/>
      <c r="EXS38" s="25"/>
      <c r="EXT38" s="25"/>
      <c r="EXU38" s="25"/>
      <c r="EXV38" s="25"/>
      <c r="EXW38" s="25"/>
      <c r="EXX38" s="25"/>
      <c r="EXY38" s="25"/>
      <c r="EXZ38" s="25"/>
      <c r="EYA38" s="25"/>
      <c r="EYB38" s="25"/>
      <c r="EYC38" s="25"/>
      <c r="EYD38" s="25"/>
      <c r="EYE38" s="25"/>
      <c r="EYF38" s="25"/>
      <c r="EYG38" s="25"/>
      <c r="EYH38" s="25"/>
      <c r="EYI38" s="25"/>
      <c r="EYJ38" s="25"/>
      <c r="EYK38" s="25"/>
      <c r="EYL38" s="25"/>
      <c r="EYM38" s="25"/>
      <c r="EYN38" s="25"/>
      <c r="EYO38" s="25"/>
      <c r="EYP38" s="25"/>
      <c r="EYQ38" s="25"/>
      <c r="EYR38" s="25"/>
      <c r="EYS38" s="25"/>
      <c r="EYT38" s="25"/>
      <c r="EYU38" s="25"/>
      <c r="EYV38" s="25"/>
      <c r="EYW38" s="25"/>
      <c r="EYX38" s="25"/>
      <c r="EYY38" s="25"/>
      <c r="EYZ38" s="25"/>
      <c r="EZA38" s="25"/>
      <c r="EZB38" s="25"/>
      <c r="EZC38" s="25"/>
      <c r="EZD38" s="25"/>
      <c r="EZE38" s="25"/>
      <c r="EZF38" s="25"/>
      <c r="EZG38" s="25"/>
      <c r="EZH38" s="25"/>
      <c r="EZI38" s="25"/>
      <c r="EZJ38" s="25"/>
      <c r="EZK38" s="25"/>
      <c r="EZL38" s="25"/>
      <c r="EZM38" s="25"/>
      <c r="EZN38" s="25"/>
      <c r="EZO38" s="25"/>
      <c r="EZP38" s="25"/>
      <c r="EZQ38" s="25"/>
      <c r="EZR38" s="25"/>
      <c r="EZS38" s="25"/>
      <c r="EZT38" s="25"/>
      <c r="EZU38" s="25"/>
      <c r="EZV38" s="25"/>
      <c r="EZW38" s="25"/>
      <c r="EZX38" s="25"/>
      <c r="EZY38" s="25"/>
      <c r="EZZ38" s="25"/>
      <c r="FAA38" s="25"/>
      <c r="FAB38" s="25"/>
      <c r="FAC38" s="25"/>
      <c r="FAD38" s="25"/>
      <c r="FAE38" s="25"/>
      <c r="FAF38" s="25"/>
      <c r="FAG38" s="25"/>
      <c r="FAH38" s="25"/>
      <c r="FAI38" s="25"/>
      <c r="FAJ38" s="25"/>
      <c r="FAK38" s="25"/>
      <c r="FAL38" s="25"/>
      <c r="FAM38" s="25"/>
      <c r="FAN38" s="25"/>
      <c r="FAO38" s="25"/>
      <c r="FAP38" s="25"/>
      <c r="FAQ38" s="25"/>
      <c r="FAR38" s="25"/>
      <c r="FAS38" s="25"/>
      <c r="FAT38" s="25"/>
      <c r="FAU38" s="25"/>
      <c r="FAV38" s="25"/>
      <c r="FAW38" s="25"/>
      <c r="FAX38" s="25"/>
      <c r="FAY38" s="25"/>
      <c r="FAZ38" s="25"/>
      <c r="FBA38" s="25"/>
      <c r="FBB38" s="25"/>
      <c r="FBC38" s="25"/>
      <c r="FBD38" s="25"/>
      <c r="FBE38" s="25"/>
      <c r="FBF38" s="25"/>
      <c r="FBG38" s="25"/>
      <c r="FBH38" s="25"/>
      <c r="FBI38" s="25"/>
      <c r="FBJ38" s="25"/>
      <c r="FBK38" s="25"/>
      <c r="FBL38" s="25"/>
      <c r="FBM38" s="25"/>
      <c r="FBN38" s="25"/>
      <c r="FBO38" s="25"/>
      <c r="FBP38" s="25"/>
      <c r="FBQ38" s="25"/>
      <c r="FBR38" s="25"/>
      <c r="FBS38" s="25"/>
      <c r="FBT38" s="25"/>
      <c r="FBU38" s="25"/>
      <c r="FBV38" s="25"/>
      <c r="FBW38" s="25"/>
      <c r="FBX38" s="25"/>
      <c r="FBY38" s="25"/>
      <c r="FBZ38" s="25"/>
      <c r="FCA38" s="25"/>
      <c r="FCB38" s="25"/>
      <c r="FCC38" s="25"/>
      <c r="FCD38" s="25"/>
      <c r="FCE38" s="25"/>
      <c r="FCF38" s="25"/>
      <c r="FCG38" s="25"/>
      <c r="FCH38" s="25"/>
      <c r="FCI38" s="25"/>
      <c r="FCJ38" s="25"/>
      <c r="FCK38" s="25"/>
      <c r="FCL38" s="25"/>
      <c r="FCM38" s="25"/>
      <c r="FCN38" s="25"/>
      <c r="FCO38" s="25"/>
      <c r="FCP38" s="25"/>
      <c r="FCQ38" s="25"/>
      <c r="FCR38" s="25"/>
      <c r="FCS38" s="25"/>
      <c r="FCT38" s="25"/>
      <c r="FCU38" s="25"/>
      <c r="FCV38" s="25"/>
      <c r="FCW38" s="25"/>
      <c r="FCX38" s="25"/>
      <c r="FCY38" s="25"/>
      <c r="FCZ38" s="25"/>
      <c r="FDA38" s="25"/>
      <c r="FDB38" s="25"/>
      <c r="FDC38" s="25"/>
      <c r="FDD38" s="25"/>
      <c r="FDE38" s="25"/>
      <c r="FDF38" s="25"/>
      <c r="FDG38" s="25"/>
      <c r="FDH38" s="25"/>
      <c r="FDI38" s="25"/>
      <c r="FDJ38" s="25"/>
      <c r="FDK38" s="25"/>
      <c r="FDL38" s="25"/>
      <c r="FDM38" s="25"/>
      <c r="FDN38" s="25"/>
      <c r="FDO38" s="25"/>
      <c r="FDP38" s="25"/>
      <c r="FDQ38" s="25"/>
      <c r="FDR38" s="25"/>
      <c r="FDS38" s="25"/>
      <c r="FDT38" s="25"/>
      <c r="FDU38" s="25"/>
      <c r="FDV38" s="25"/>
      <c r="FDW38" s="25"/>
      <c r="FDX38" s="25"/>
      <c r="FDY38" s="25"/>
      <c r="FDZ38" s="25"/>
      <c r="FEA38" s="25"/>
      <c r="FEB38" s="25"/>
      <c r="FEC38" s="25"/>
      <c r="FED38" s="25"/>
      <c r="FEE38" s="25"/>
      <c r="FEF38" s="25"/>
      <c r="FEG38" s="25"/>
      <c r="FEH38" s="25"/>
      <c r="FEI38" s="25"/>
      <c r="FEJ38" s="25"/>
      <c r="FEK38" s="25"/>
      <c r="FEL38" s="25"/>
      <c r="FEM38" s="25"/>
      <c r="FEN38" s="25"/>
      <c r="FEO38" s="25"/>
      <c r="FEP38" s="25"/>
      <c r="FEQ38" s="25"/>
      <c r="FER38" s="25"/>
      <c r="FES38" s="25"/>
      <c r="FET38" s="25"/>
      <c r="FEU38" s="25"/>
      <c r="FEV38" s="25"/>
      <c r="FEW38" s="25"/>
      <c r="FEX38" s="25"/>
      <c r="FEY38" s="25"/>
      <c r="FEZ38" s="25"/>
      <c r="FFA38" s="25"/>
      <c r="FFB38" s="25"/>
      <c r="FFC38" s="25"/>
      <c r="FFD38" s="25"/>
      <c r="FFE38" s="25"/>
      <c r="FFF38" s="25"/>
      <c r="FFG38" s="25"/>
      <c r="FFH38" s="25"/>
      <c r="FFI38" s="25"/>
      <c r="FFJ38" s="25"/>
      <c r="FFK38" s="25"/>
      <c r="FFL38" s="25"/>
      <c r="FFM38" s="25"/>
      <c r="FFN38" s="25"/>
      <c r="FFO38" s="25"/>
      <c r="FFP38" s="25"/>
      <c r="FFQ38" s="25"/>
      <c r="FFR38" s="25"/>
      <c r="FFS38" s="25"/>
      <c r="FFT38" s="25"/>
      <c r="FFU38" s="25"/>
      <c r="FFV38" s="25"/>
      <c r="FFW38" s="25"/>
      <c r="FFX38" s="25"/>
      <c r="FFY38" s="25"/>
      <c r="FFZ38" s="25"/>
      <c r="FGA38" s="25"/>
      <c r="FGB38" s="25"/>
      <c r="FGC38" s="25"/>
      <c r="FGD38" s="25"/>
      <c r="FGE38" s="25"/>
      <c r="FGF38" s="25"/>
      <c r="FGG38" s="25"/>
      <c r="FGH38" s="25"/>
      <c r="FGI38" s="25"/>
      <c r="FGJ38" s="25"/>
      <c r="FGK38" s="25"/>
      <c r="FGL38" s="25"/>
      <c r="FGM38" s="25"/>
      <c r="FGN38" s="25"/>
      <c r="FGO38" s="25"/>
      <c r="FGP38" s="25"/>
      <c r="FGQ38" s="25"/>
      <c r="FGR38" s="25"/>
      <c r="FGS38" s="25"/>
      <c r="FGT38" s="25"/>
      <c r="FGU38" s="25"/>
      <c r="FGV38" s="25"/>
      <c r="FGW38" s="25"/>
      <c r="FGX38" s="25"/>
      <c r="FGY38" s="25"/>
      <c r="FGZ38" s="25"/>
      <c r="FHA38" s="25"/>
      <c r="FHB38" s="25"/>
      <c r="FHC38" s="25"/>
      <c r="FHD38" s="25"/>
      <c r="FHE38" s="25"/>
      <c r="FHF38" s="25"/>
      <c r="FHG38" s="25"/>
      <c r="FHH38" s="25"/>
      <c r="FHI38" s="25"/>
      <c r="FHJ38" s="25"/>
      <c r="FHK38" s="25"/>
      <c r="FHL38" s="25"/>
      <c r="FHM38" s="25"/>
      <c r="FHN38" s="25"/>
      <c r="FHO38" s="25"/>
      <c r="FHP38" s="25"/>
      <c r="FHQ38" s="25"/>
      <c r="FHR38" s="25"/>
      <c r="FHS38" s="25"/>
      <c r="FHT38" s="25"/>
      <c r="FHU38" s="25"/>
      <c r="FHV38" s="25"/>
      <c r="FHW38" s="25"/>
      <c r="FHX38" s="25"/>
      <c r="FHY38" s="25"/>
      <c r="FHZ38" s="25"/>
      <c r="FIA38" s="25"/>
      <c r="FIB38" s="25"/>
      <c r="FIC38" s="25"/>
      <c r="FID38" s="25"/>
      <c r="FIE38" s="25"/>
      <c r="FIF38" s="25"/>
      <c r="FIG38" s="25"/>
      <c r="FIH38" s="25"/>
      <c r="FII38" s="25"/>
      <c r="FIJ38" s="25"/>
      <c r="FIK38" s="25"/>
      <c r="FIL38" s="25"/>
      <c r="FIM38" s="25"/>
      <c r="FIN38" s="25"/>
      <c r="FIO38" s="25"/>
      <c r="FIP38" s="25"/>
      <c r="FIQ38" s="25"/>
      <c r="FIR38" s="25"/>
      <c r="FIS38" s="25"/>
      <c r="FIT38" s="25"/>
      <c r="FIU38" s="25"/>
      <c r="FIV38" s="25"/>
      <c r="FIW38" s="25"/>
      <c r="FIX38" s="25"/>
      <c r="FIY38" s="25"/>
      <c r="FIZ38" s="25"/>
      <c r="FJA38" s="25"/>
      <c r="FJB38" s="25"/>
      <c r="FJC38" s="25"/>
      <c r="FJD38" s="25"/>
      <c r="FJE38" s="25"/>
      <c r="FJF38" s="25"/>
      <c r="FJG38" s="25"/>
      <c r="FJH38" s="25"/>
      <c r="FJI38" s="25"/>
      <c r="FJJ38" s="25"/>
      <c r="FJK38" s="25"/>
      <c r="FJL38" s="25"/>
      <c r="FJM38" s="25"/>
      <c r="FJN38" s="25"/>
      <c r="FJO38" s="25"/>
      <c r="FJP38" s="25"/>
      <c r="FJQ38" s="25"/>
      <c r="FJR38" s="25"/>
      <c r="FJS38" s="25"/>
      <c r="FJT38" s="25"/>
      <c r="FJU38" s="25"/>
      <c r="FJV38" s="25"/>
      <c r="FJW38" s="25"/>
      <c r="FJX38" s="25"/>
      <c r="FJY38" s="25"/>
      <c r="FJZ38" s="25"/>
      <c r="FKA38" s="25"/>
      <c r="FKB38" s="25"/>
      <c r="FKC38" s="25"/>
      <c r="FKD38" s="25"/>
      <c r="FKE38" s="25"/>
      <c r="FKF38" s="25"/>
      <c r="FKG38" s="25"/>
      <c r="FKH38" s="25"/>
      <c r="FKI38" s="25"/>
      <c r="FKJ38" s="25"/>
      <c r="FKK38" s="25"/>
      <c r="FKL38" s="25"/>
      <c r="FKM38" s="25"/>
      <c r="FKN38" s="25"/>
      <c r="FKO38" s="25"/>
      <c r="FKP38" s="25"/>
      <c r="FKQ38" s="25"/>
      <c r="FKR38" s="25"/>
      <c r="FKS38" s="25"/>
      <c r="FKT38" s="25"/>
      <c r="FKU38" s="25"/>
      <c r="FKV38" s="25"/>
      <c r="FKW38" s="25"/>
      <c r="FKX38" s="25"/>
      <c r="FKY38" s="25"/>
      <c r="FKZ38" s="25"/>
      <c r="FLA38" s="25"/>
      <c r="FLB38" s="25"/>
      <c r="FLC38" s="25"/>
      <c r="FLD38" s="25"/>
      <c r="FLE38" s="25"/>
      <c r="FLF38" s="25"/>
      <c r="FLG38" s="25"/>
      <c r="FLH38" s="25"/>
      <c r="FLI38" s="25"/>
      <c r="FLJ38" s="25"/>
      <c r="FLK38" s="25"/>
      <c r="FLL38" s="25"/>
      <c r="FLM38" s="25"/>
      <c r="FLN38" s="25"/>
      <c r="FLO38" s="25"/>
      <c r="FLP38" s="25"/>
      <c r="FLQ38" s="25"/>
      <c r="FLR38" s="25"/>
      <c r="FLS38" s="25"/>
      <c r="FLT38" s="25"/>
      <c r="FLU38" s="25"/>
      <c r="FLV38" s="25"/>
      <c r="FLW38" s="25"/>
      <c r="FLX38" s="25"/>
      <c r="FLY38" s="25"/>
      <c r="FLZ38" s="25"/>
      <c r="FMA38" s="25"/>
      <c r="FMB38" s="25"/>
      <c r="FMC38" s="25"/>
      <c r="FMD38" s="25"/>
      <c r="FME38" s="25"/>
      <c r="FMF38" s="25"/>
      <c r="FMG38" s="25"/>
      <c r="FMH38" s="25"/>
      <c r="FMI38" s="25"/>
      <c r="FMJ38" s="25"/>
      <c r="FMK38" s="25"/>
      <c r="FML38" s="25"/>
      <c r="FMM38" s="25"/>
      <c r="FMN38" s="25"/>
      <c r="FMO38" s="25"/>
      <c r="FMP38" s="25"/>
      <c r="FMQ38" s="25"/>
      <c r="FMR38" s="25"/>
      <c r="FMS38" s="25"/>
      <c r="FMT38" s="25"/>
      <c r="FMU38" s="25"/>
      <c r="FMV38" s="25"/>
      <c r="FMW38" s="25"/>
      <c r="FMX38" s="25"/>
      <c r="FMY38" s="25"/>
      <c r="FMZ38" s="25"/>
      <c r="FNA38" s="25"/>
      <c r="FNB38" s="25"/>
      <c r="FNC38" s="25"/>
      <c r="FND38" s="25"/>
      <c r="FNE38" s="25"/>
      <c r="FNF38" s="25"/>
      <c r="FNG38" s="25"/>
      <c r="FNH38" s="25"/>
      <c r="FNI38" s="25"/>
      <c r="FNJ38" s="25"/>
      <c r="FNK38" s="25"/>
      <c r="FNL38" s="25"/>
      <c r="FNM38" s="25"/>
      <c r="FNN38" s="25"/>
      <c r="FNO38" s="25"/>
      <c r="FNP38" s="25"/>
      <c r="FNQ38" s="25"/>
      <c r="FNR38" s="25"/>
      <c r="FNS38" s="25"/>
      <c r="FNT38" s="25"/>
      <c r="FNU38" s="25"/>
      <c r="FNV38" s="25"/>
      <c r="FNW38" s="25"/>
      <c r="FNX38" s="25"/>
      <c r="FNY38" s="25"/>
      <c r="FNZ38" s="25"/>
      <c r="FOA38" s="25"/>
      <c r="FOB38" s="25"/>
      <c r="FOC38" s="25"/>
      <c r="FOD38" s="25"/>
      <c r="FOE38" s="25"/>
      <c r="FOF38" s="25"/>
      <c r="FOG38" s="25"/>
      <c r="FOH38" s="25"/>
      <c r="FOI38" s="25"/>
      <c r="FOJ38" s="25"/>
      <c r="FOK38" s="25"/>
      <c r="FOL38" s="25"/>
      <c r="FOM38" s="25"/>
      <c r="FON38" s="25"/>
      <c r="FOO38" s="25"/>
      <c r="FOP38" s="25"/>
      <c r="FOQ38" s="25"/>
      <c r="FOR38" s="25"/>
      <c r="FOS38" s="25"/>
      <c r="FOT38" s="25"/>
      <c r="FOU38" s="25"/>
      <c r="FOV38" s="25"/>
      <c r="FOW38" s="25"/>
      <c r="FOX38" s="25"/>
      <c r="FOY38" s="25"/>
      <c r="FOZ38" s="25"/>
      <c r="FPA38" s="25"/>
      <c r="FPB38" s="25"/>
      <c r="FPC38" s="25"/>
      <c r="FPD38" s="25"/>
      <c r="FPE38" s="25"/>
      <c r="FPF38" s="25"/>
      <c r="FPG38" s="25"/>
      <c r="FPH38" s="25"/>
      <c r="FPI38" s="25"/>
      <c r="FPJ38" s="25"/>
      <c r="FPK38" s="25"/>
      <c r="FPL38" s="25"/>
      <c r="FPM38" s="25"/>
      <c r="FPN38" s="25"/>
      <c r="FPO38" s="25"/>
      <c r="FPP38" s="25"/>
      <c r="FPQ38" s="25"/>
      <c r="FPR38" s="25"/>
      <c r="FPS38" s="25"/>
      <c r="FPT38" s="25"/>
      <c r="FPU38" s="25"/>
      <c r="FPV38" s="25"/>
      <c r="FPW38" s="25"/>
      <c r="FPX38" s="25"/>
      <c r="FPY38" s="25"/>
      <c r="FPZ38" s="25"/>
      <c r="FQA38" s="25"/>
      <c r="FQB38" s="25"/>
      <c r="FQC38" s="25"/>
      <c r="FQD38" s="25"/>
      <c r="FQE38" s="25"/>
      <c r="FQF38" s="25"/>
      <c r="FQG38" s="25"/>
      <c r="FQH38" s="25"/>
      <c r="FQI38" s="25"/>
      <c r="FQJ38" s="25"/>
      <c r="FQK38" s="25"/>
      <c r="FQL38" s="25"/>
      <c r="FQM38" s="25"/>
      <c r="FQN38" s="25"/>
      <c r="FQO38" s="25"/>
      <c r="FQP38" s="25"/>
      <c r="FQQ38" s="25"/>
      <c r="FQR38" s="25"/>
      <c r="FQS38" s="25"/>
      <c r="FQT38" s="25"/>
      <c r="FQU38" s="25"/>
      <c r="FQV38" s="25"/>
      <c r="FQW38" s="25"/>
      <c r="FQX38" s="25"/>
      <c r="FQY38" s="25"/>
      <c r="FQZ38" s="25"/>
      <c r="FRA38" s="25"/>
      <c r="FRB38" s="25"/>
      <c r="FRC38" s="25"/>
      <c r="FRD38" s="25"/>
      <c r="FRE38" s="25"/>
      <c r="FRF38" s="25"/>
      <c r="FRG38" s="25"/>
      <c r="FRH38" s="25"/>
      <c r="FRI38" s="25"/>
      <c r="FRJ38" s="25"/>
      <c r="FRK38" s="25"/>
      <c r="FRL38" s="25"/>
      <c r="FRM38" s="25"/>
      <c r="FRN38" s="25"/>
      <c r="FRO38" s="25"/>
      <c r="FRP38" s="25"/>
      <c r="FRQ38" s="25"/>
      <c r="FRR38" s="25"/>
      <c r="FRS38" s="25"/>
      <c r="FRT38" s="25"/>
      <c r="FRU38" s="25"/>
      <c r="FRV38" s="25"/>
      <c r="FRW38" s="25"/>
      <c r="FRX38" s="25"/>
      <c r="FRY38" s="25"/>
      <c r="FRZ38" s="25"/>
      <c r="FSA38" s="25"/>
      <c r="FSB38" s="25"/>
      <c r="FSC38" s="25"/>
      <c r="FSD38" s="25"/>
      <c r="FSE38" s="25"/>
      <c r="FSF38" s="25"/>
      <c r="FSG38" s="25"/>
      <c r="FSH38" s="25"/>
      <c r="FSI38" s="25"/>
      <c r="FSJ38" s="25"/>
      <c r="FSK38" s="25"/>
      <c r="FSL38" s="25"/>
      <c r="FSM38" s="25"/>
      <c r="FSN38" s="25"/>
      <c r="FSO38" s="25"/>
      <c r="FSP38" s="25"/>
      <c r="FSQ38" s="25"/>
      <c r="FSR38" s="25"/>
      <c r="FSS38" s="25"/>
      <c r="FST38" s="25"/>
      <c r="FSU38" s="25"/>
      <c r="FSV38" s="25"/>
      <c r="FSW38" s="25"/>
      <c r="FSX38" s="25"/>
      <c r="FSY38" s="25"/>
      <c r="FSZ38" s="25"/>
      <c r="FTA38" s="25"/>
      <c r="FTB38" s="25"/>
      <c r="FTC38" s="25"/>
      <c r="FTD38" s="25"/>
      <c r="FTE38" s="25"/>
      <c r="FTF38" s="25"/>
      <c r="FTG38" s="25"/>
      <c r="FTH38" s="25"/>
      <c r="FTI38" s="25"/>
      <c r="FTJ38" s="25"/>
      <c r="FTK38" s="25"/>
      <c r="FTL38" s="25"/>
      <c r="FTM38" s="25"/>
      <c r="FTN38" s="25"/>
      <c r="FTO38" s="25"/>
      <c r="FTP38" s="25"/>
      <c r="FTQ38" s="25"/>
      <c r="FTR38" s="25"/>
      <c r="FTS38" s="25"/>
      <c r="FTT38" s="25"/>
      <c r="FTU38" s="25"/>
      <c r="FTV38" s="25"/>
      <c r="FTW38" s="25"/>
      <c r="FTX38" s="25"/>
      <c r="FTY38" s="25"/>
      <c r="FTZ38" s="25"/>
      <c r="FUA38" s="25"/>
      <c r="FUB38" s="25"/>
      <c r="FUC38" s="25"/>
      <c r="FUD38" s="25"/>
      <c r="FUE38" s="25"/>
      <c r="FUF38" s="25"/>
      <c r="FUG38" s="25"/>
      <c r="FUH38" s="25"/>
      <c r="FUI38" s="25"/>
      <c r="FUJ38" s="25"/>
      <c r="FUK38" s="25"/>
      <c r="FUL38" s="25"/>
      <c r="FUM38" s="25"/>
      <c r="FUN38" s="25"/>
      <c r="FUO38" s="25"/>
      <c r="FUP38" s="25"/>
      <c r="FUQ38" s="25"/>
      <c r="FUR38" s="25"/>
      <c r="FUS38" s="25"/>
      <c r="FUT38" s="25"/>
      <c r="FUU38" s="25"/>
      <c r="FUV38" s="25"/>
      <c r="FUW38" s="25"/>
      <c r="FUX38" s="25"/>
      <c r="FUY38" s="25"/>
      <c r="FUZ38" s="25"/>
      <c r="FVA38" s="25"/>
      <c r="FVB38" s="25"/>
      <c r="FVC38" s="25"/>
      <c r="FVD38" s="25"/>
      <c r="FVE38" s="25"/>
      <c r="FVF38" s="25"/>
      <c r="FVG38" s="25"/>
      <c r="FVH38" s="25"/>
      <c r="FVI38" s="25"/>
      <c r="FVJ38" s="25"/>
      <c r="FVK38" s="25"/>
      <c r="FVL38" s="25"/>
      <c r="FVM38" s="25"/>
      <c r="FVN38" s="25"/>
      <c r="FVO38" s="25"/>
      <c r="FVP38" s="25"/>
      <c r="FVQ38" s="25"/>
      <c r="FVR38" s="25"/>
      <c r="FVS38" s="25"/>
      <c r="FVT38" s="25"/>
      <c r="FVU38" s="25"/>
      <c r="FVV38" s="25"/>
      <c r="FVW38" s="25"/>
      <c r="FVX38" s="25"/>
      <c r="FVY38" s="25"/>
      <c r="FVZ38" s="25"/>
      <c r="FWA38" s="25"/>
      <c r="FWB38" s="25"/>
      <c r="FWC38" s="25"/>
      <c r="FWD38" s="25"/>
      <c r="FWE38" s="25"/>
      <c r="FWF38" s="25"/>
      <c r="FWG38" s="25"/>
      <c r="FWH38" s="25"/>
      <c r="FWI38" s="25"/>
      <c r="FWJ38" s="25"/>
      <c r="FWK38" s="25"/>
      <c r="FWL38" s="25"/>
      <c r="FWM38" s="25"/>
      <c r="FWN38" s="25"/>
      <c r="FWO38" s="25"/>
      <c r="FWP38" s="25"/>
      <c r="FWQ38" s="25"/>
      <c r="FWR38" s="25"/>
      <c r="FWS38" s="25"/>
      <c r="FWT38" s="25"/>
      <c r="FWU38" s="25"/>
      <c r="FWV38" s="25"/>
      <c r="FWW38" s="25"/>
      <c r="FWX38" s="25"/>
      <c r="FWY38" s="25"/>
      <c r="FWZ38" s="25"/>
      <c r="FXA38" s="25"/>
      <c r="FXB38" s="25"/>
      <c r="FXC38" s="25"/>
      <c r="FXD38" s="25"/>
      <c r="FXE38" s="25"/>
      <c r="FXF38" s="25"/>
      <c r="FXG38" s="25"/>
      <c r="FXH38" s="25"/>
      <c r="FXI38" s="25"/>
      <c r="FXJ38" s="25"/>
      <c r="FXK38" s="25"/>
      <c r="FXL38" s="25"/>
      <c r="FXM38" s="25"/>
      <c r="FXN38" s="25"/>
      <c r="FXO38" s="25"/>
      <c r="FXP38" s="25"/>
      <c r="FXQ38" s="25"/>
      <c r="FXR38" s="25"/>
      <c r="FXS38" s="25"/>
      <c r="FXT38" s="25"/>
      <c r="FXU38" s="25"/>
      <c r="FXV38" s="25"/>
      <c r="FXW38" s="25"/>
      <c r="FXX38" s="25"/>
      <c r="FXY38" s="25"/>
      <c r="FXZ38" s="25"/>
      <c r="FYA38" s="25"/>
      <c r="FYB38" s="25"/>
      <c r="FYC38" s="25"/>
      <c r="FYD38" s="25"/>
      <c r="FYE38" s="25"/>
      <c r="FYF38" s="25"/>
      <c r="FYG38" s="25"/>
      <c r="FYH38" s="25"/>
      <c r="FYI38" s="25"/>
      <c r="FYJ38" s="25"/>
      <c r="FYK38" s="25"/>
      <c r="FYL38" s="25"/>
      <c r="FYM38" s="25"/>
      <c r="FYN38" s="25"/>
      <c r="FYO38" s="25"/>
      <c r="FYP38" s="25"/>
      <c r="FYQ38" s="25"/>
      <c r="FYR38" s="25"/>
      <c r="FYS38" s="25"/>
      <c r="FYT38" s="25"/>
      <c r="FYU38" s="25"/>
      <c r="FYV38" s="25"/>
      <c r="FYW38" s="25"/>
      <c r="FYX38" s="25"/>
      <c r="FYY38" s="25"/>
      <c r="FYZ38" s="25"/>
      <c r="FZA38" s="25"/>
      <c r="FZB38" s="25"/>
      <c r="FZC38" s="25"/>
      <c r="FZD38" s="25"/>
      <c r="FZE38" s="25"/>
      <c r="FZF38" s="25"/>
      <c r="FZG38" s="25"/>
      <c r="FZH38" s="25"/>
      <c r="FZI38" s="25"/>
      <c r="FZJ38" s="25"/>
      <c r="FZK38" s="25"/>
      <c r="FZL38" s="25"/>
      <c r="FZM38" s="25"/>
      <c r="FZN38" s="25"/>
      <c r="FZO38" s="25"/>
      <c r="FZP38" s="25"/>
      <c r="FZQ38" s="25"/>
      <c r="FZR38" s="25"/>
      <c r="FZS38" s="25"/>
      <c r="FZT38" s="25"/>
      <c r="FZU38" s="25"/>
      <c r="FZV38" s="25"/>
      <c r="FZW38" s="25"/>
      <c r="FZX38" s="25"/>
      <c r="FZY38" s="25"/>
      <c r="FZZ38" s="25"/>
      <c r="GAA38" s="25"/>
      <c r="GAB38" s="25"/>
      <c r="GAC38" s="25"/>
      <c r="GAD38" s="25"/>
      <c r="GAE38" s="25"/>
      <c r="GAF38" s="25"/>
      <c r="GAG38" s="25"/>
      <c r="GAH38" s="25"/>
      <c r="GAI38" s="25"/>
      <c r="GAJ38" s="25"/>
      <c r="GAK38" s="25"/>
      <c r="GAL38" s="25"/>
      <c r="GAM38" s="25"/>
      <c r="GAN38" s="25"/>
      <c r="GAO38" s="25"/>
      <c r="GAP38" s="25"/>
      <c r="GAQ38" s="25"/>
      <c r="GAR38" s="25"/>
      <c r="GAS38" s="25"/>
      <c r="GAT38" s="25"/>
      <c r="GAU38" s="25"/>
      <c r="GAV38" s="25"/>
      <c r="GAW38" s="25"/>
      <c r="GAX38" s="25"/>
      <c r="GAY38" s="25"/>
      <c r="GAZ38" s="25"/>
      <c r="GBA38" s="25"/>
      <c r="GBB38" s="25"/>
      <c r="GBC38" s="25"/>
      <c r="GBD38" s="25"/>
      <c r="GBE38" s="25"/>
      <c r="GBF38" s="25"/>
      <c r="GBG38" s="25"/>
      <c r="GBH38" s="25"/>
      <c r="GBI38" s="25"/>
      <c r="GBJ38" s="25"/>
      <c r="GBK38" s="25"/>
      <c r="GBL38" s="25"/>
      <c r="GBM38" s="25"/>
      <c r="GBN38" s="25"/>
      <c r="GBO38" s="25"/>
      <c r="GBP38" s="25"/>
      <c r="GBQ38" s="25"/>
      <c r="GBR38" s="25"/>
      <c r="GBS38" s="25"/>
      <c r="GBT38" s="25"/>
      <c r="GBU38" s="25"/>
      <c r="GBV38" s="25"/>
      <c r="GBW38" s="25"/>
      <c r="GBX38" s="25"/>
      <c r="GBY38" s="25"/>
      <c r="GBZ38" s="25"/>
      <c r="GCA38" s="25"/>
      <c r="GCB38" s="25"/>
      <c r="GCC38" s="25"/>
      <c r="GCD38" s="25"/>
      <c r="GCE38" s="25"/>
      <c r="GCF38" s="25"/>
      <c r="GCG38" s="25"/>
      <c r="GCH38" s="25"/>
      <c r="GCI38" s="25"/>
      <c r="GCJ38" s="25"/>
      <c r="GCK38" s="25"/>
      <c r="GCL38" s="25"/>
      <c r="GCM38" s="25"/>
      <c r="GCN38" s="25"/>
      <c r="GCO38" s="25"/>
      <c r="GCP38" s="25"/>
      <c r="GCQ38" s="25"/>
      <c r="GCR38" s="25"/>
      <c r="GCS38" s="25"/>
      <c r="GCT38" s="25"/>
      <c r="GCU38" s="25"/>
      <c r="GCV38" s="25"/>
      <c r="GCW38" s="25"/>
      <c r="GCX38" s="25"/>
      <c r="GCY38" s="25"/>
      <c r="GCZ38" s="25"/>
      <c r="GDA38" s="25"/>
      <c r="GDB38" s="25"/>
      <c r="GDC38" s="25"/>
      <c r="GDD38" s="25"/>
      <c r="GDE38" s="25"/>
      <c r="GDF38" s="25"/>
      <c r="GDG38" s="25"/>
      <c r="GDH38" s="25"/>
      <c r="GDI38" s="25"/>
      <c r="GDJ38" s="25"/>
      <c r="GDK38" s="25"/>
      <c r="GDL38" s="25"/>
      <c r="GDM38" s="25"/>
      <c r="GDN38" s="25"/>
      <c r="GDO38" s="25"/>
      <c r="GDP38" s="25"/>
      <c r="GDQ38" s="25"/>
      <c r="GDR38" s="25"/>
      <c r="GDS38" s="25"/>
      <c r="GDT38" s="25"/>
      <c r="GDU38" s="25"/>
      <c r="GDV38" s="25"/>
      <c r="GDW38" s="25"/>
      <c r="GDX38" s="25"/>
      <c r="GDY38" s="25"/>
      <c r="GDZ38" s="25"/>
      <c r="GEA38" s="25"/>
      <c r="GEB38" s="25"/>
      <c r="GEC38" s="25"/>
      <c r="GED38" s="25"/>
      <c r="GEE38" s="25"/>
      <c r="GEF38" s="25"/>
      <c r="GEG38" s="25"/>
      <c r="GEH38" s="25"/>
      <c r="GEI38" s="25"/>
      <c r="GEJ38" s="25"/>
      <c r="GEK38" s="25"/>
      <c r="GEL38" s="25"/>
      <c r="GEM38" s="25"/>
      <c r="GEN38" s="25"/>
      <c r="GEO38" s="25"/>
      <c r="GEP38" s="25"/>
      <c r="GEQ38" s="25"/>
      <c r="GER38" s="25"/>
      <c r="GES38" s="25"/>
      <c r="GET38" s="25"/>
      <c r="GEU38" s="25"/>
      <c r="GEV38" s="25"/>
      <c r="GEW38" s="25"/>
      <c r="GEX38" s="25"/>
      <c r="GEY38" s="25"/>
      <c r="GEZ38" s="25"/>
      <c r="GFA38" s="25"/>
      <c r="GFB38" s="25"/>
      <c r="GFC38" s="25"/>
      <c r="GFD38" s="25"/>
      <c r="GFE38" s="25"/>
      <c r="GFF38" s="25"/>
      <c r="GFG38" s="25"/>
      <c r="GFH38" s="25"/>
      <c r="GFI38" s="25"/>
      <c r="GFJ38" s="25"/>
      <c r="GFK38" s="25"/>
      <c r="GFL38" s="25"/>
      <c r="GFM38" s="25"/>
      <c r="GFN38" s="25"/>
      <c r="GFO38" s="25"/>
      <c r="GFP38" s="25"/>
      <c r="GFQ38" s="25"/>
      <c r="GFR38" s="25"/>
      <c r="GFS38" s="25"/>
      <c r="GFT38" s="25"/>
      <c r="GFU38" s="25"/>
      <c r="GFV38" s="25"/>
      <c r="GFW38" s="25"/>
      <c r="GFX38" s="25"/>
      <c r="GFY38" s="25"/>
      <c r="GFZ38" s="25"/>
      <c r="GGA38" s="25"/>
      <c r="GGB38" s="25"/>
      <c r="GGC38" s="25"/>
      <c r="GGD38" s="25"/>
      <c r="GGE38" s="25"/>
      <c r="GGF38" s="25"/>
      <c r="GGG38" s="25"/>
      <c r="GGH38" s="25"/>
      <c r="GGI38" s="25"/>
      <c r="GGJ38" s="25"/>
      <c r="GGK38" s="25"/>
      <c r="GGL38" s="25"/>
      <c r="GGM38" s="25"/>
      <c r="GGN38" s="25"/>
      <c r="GGO38" s="25"/>
      <c r="GGP38" s="25"/>
      <c r="GGQ38" s="25"/>
      <c r="GGR38" s="25"/>
      <c r="GGS38" s="25"/>
      <c r="GGT38" s="25"/>
      <c r="GGU38" s="25"/>
      <c r="GGV38" s="25"/>
      <c r="GGW38" s="25"/>
      <c r="GGX38" s="25"/>
      <c r="GGY38" s="25"/>
      <c r="GGZ38" s="25"/>
      <c r="GHA38" s="25"/>
      <c r="GHB38" s="25"/>
      <c r="GHC38" s="25"/>
      <c r="GHD38" s="25"/>
      <c r="GHE38" s="25"/>
      <c r="GHF38" s="25"/>
      <c r="GHG38" s="25"/>
      <c r="GHH38" s="25"/>
      <c r="GHI38" s="25"/>
      <c r="GHJ38" s="25"/>
      <c r="GHK38" s="25"/>
      <c r="GHL38" s="25"/>
      <c r="GHM38" s="25"/>
      <c r="GHN38" s="25"/>
      <c r="GHO38" s="25"/>
      <c r="GHP38" s="25"/>
      <c r="GHQ38" s="25"/>
      <c r="GHR38" s="25"/>
      <c r="GHS38" s="25"/>
      <c r="GHT38" s="25"/>
      <c r="GHU38" s="25"/>
      <c r="GHV38" s="25"/>
      <c r="GHW38" s="25"/>
      <c r="GHX38" s="25"/>
      <c r="GHY38" s="25"/>
      <c r="GHZ38" s="25"/>
      <c r="GIA38" s="25"/>
      <c r="GIB38" s="25"/>
      <c r="GIC38" s="25"/>
      <c r="GID38" s="25"/>
      <c r="GIE38" s="25"/>
      <c r="GIF38" s="25"/>
      <c r="GIG38" s="25"/>
      <c r="GIH38" s="25"/>
      <c r="GII38" s="25"/>
      <c r="GIJ38" s="25"/>
      <c r="GIK38" s="25"/>
      <c r="GIL38" s="25"/>
      <c r="GIM38" s="25"/>
      <c r="GIN38" s="25"/>
      <c r="GIO38" s="25"/>
      <c r="GIP38" s="25"/>
      <c r="GIQ38" s="25"/>
      <c r="GIR38" s="25"/>
      <c r="GIS38" s="25"/>
      <c r="GIT38" s="25"/>
      <c r="GIU38" s="25"/>
      <c r="GIV38" s="25"/>
      <c r="GIW38" s="25"/>
      <c r="GIX38" s="25"/>
      <c r="GIY38" s="25"/>
      <c r="GIZ38" s="25"/>
      <c r="GJA38" s="25"/>
      <c r="GJB38" s="25"/>
      <c r="GJC38" s="25"/>
      <c r="GJD38" s="25"/>
      <c r="GJE38" s="25"/>
      <c r="GJF38" s="25"/>
      <c r="GJG38" s="25"/>
      <c r="GJH38" s="25"/>
      <c r="GJI38" s="25"/>
      <c r="GJJ38" s="25"/>
      <c r="GJK38" s="25"/>
      <c r="GJL38" s="25"/>
      <c r="GJM38" s="25"/>
      <c r="GJN38" s="25"/>
      <c r="GJO38" s="25"/>
      <c r="GJP38" s="25"/>
      <c r="GJQ38" s="25"/>
      <c r="GJR38" s="25"/>
      <c r="GJS38" s="25"/>
      <c r="GJT38" s="25"/>
      <c r="GJU38" s="25"/>
      <c r="GJV38" s="25"/>
      <c r="GJW38" s="25"/>
      <c r="GJX38" s="25"/>
      <c r="GJY38" s="25"/>
      <c r="GJZ38" s="25"/>
      <c r="GKA38" s="25"/>
      <c r="GKB38" s="25"/>
      <c r="GKC38" s="25"/>
      <c r="GKD38" s="25"/>
      <c r="GKE38" s="25"/>
      <c r="GKF38" s="25"/>
      <c r="GKG38" s="25"/>
      <c r="GKH38" s="25"/>
      <c r="GKI38" s="25"/>
      <c r="GKJ38" s="25"/>
      <c r="GKK38" s="25"/>
      <c r="GKL38" s="25"/>
      <c r="GKM38" s="25"/>
      <c r="GKN38" s="25"/>
      <c r="GKO38" s="25"/>
      <c r="GKP38" s="25"/>
      <c r="GKQ38" s="25"/>
      <c r="GKR38" s="25"/>
      <c r="GKS38" s="25"/>
      <c r="GKT38" s="25"/>
      <c r="GKU38" s="25"/>
      <c r="GKV38" s="25"/>
      <c r="GKW38" s="25"/>
      <c r="GKX38" s="25"/>
      <c r="GKY38" s="25"/>
      <c r="GKZ38" s="25"/>
      <c r="GLA38" s="25"/>
      <c r="GLB38" s="25"/>
      <c r="GLC38" s="25"/>
      <c r="GLD38" s="25"/>
      <c r="GLE38" s="25"/>
      <c r="GLF38" s="25"/>
      <c r="GLG38" s="25"/>
      <c r="GLH38" s="25"/>
      <c r="GLI38" s="25"/>
      <c r="GLJ38" s="25"/>
      <c r="GLK38" s="25"/>
      <c r="GLL38" s="25"/>
      <c r="GLM38" s="25"/>
      <c r="GLN38" s="25"/>
      <c r="GLO38" s="25"/>
      <c r="GLP38" s="25"/>
      <c r="GLQ38" s="25"/>
      <c r="GLR38" s="25"/>
      <c r="GLS38" s="25"/>
      <c r="GLT38" s="25"/>
      <c r="GLU38" s="25"/>
      <c r="GLV38" s="25"/>
      <c r="GLW38" s="25"/>
      <c r="GLX38" s="25"/>
      <c r="GLY38" s="25"/>
      <c r="GLZ38" s="25"/>
      <c r="GMA38" s="25"/>
      <c r="GMB38" s="25"/>
      <c r="GMC38" s="25"/>
      <c r="GMD38" s="25"/>
      <c r="GME38" s="25"/>
      <c r="GMF38" s="25"/>
      <c r="GMG38" s="25"/>
      <c r="GMH38" s="25"/>
      <c r="GMI38" s="25"/>
      <c r="GMJ38" s="25"/>
      <c r="GMK38" s="25"/>
      <c r="GML38" s="25"/>
      <c r="GMM38" s="25"/>
      <c r="GMN38" s="25"/>
      <c r="GMO38" s="25"/>
      <c r="GMP38" s="25"/>
      <c r="GMQ38" s="25"/>
      <c r="GMR38" s="25"/>
      <c r="GMS38" s="25"/>
      <c r="GMT38" s="25"/>
      <c r="GMU38" s="25"/>
      <c r="GMV38" s="25"/>
      <c r="GMW38" s="25"/>
      <c r="GMX38" s="25"/>
      <c r="GMY38" s="25"/>
      <c r="GMZ38" s="25"/>
      <c r="GNA38" s="25"/>
      <c r="GNB38" s="25"/>
      <c r="GNC38" s="25"/>
      <c r="GND38" s="25"/>
      <c r="GNE38" s="25"/>
      <c r="GNF38" s="25"/>
      <c r="GNG38" s="25"/>
      <c r="GNH38" s="25"/>
      <c r="GNI38" s="25"/>
      <c r="GNJ38" s="25"/>
      <c r="GNK38" s="25"/>
      <c r="GNL38" s="25"/>
      <c r="GNM38" s="25"/>
      <c r="GNN38" s="25"/>
      <c r="GNO38" s="25"/>
      <c r="GNP38" s="25"/>
      <c r="GNQ38" s="25"/>
      <c r="GNR38" s="25"/>
      <c r="GNS38" s="25"/>
      <c r="GNT38" s="25"/>
      <c r="GNU38" s="25"/>
      <c r="GNV38" s="25"/>
      <c r="GNW38" s="25"/>
      <c r="GNX38" s="25"/>
      <c r="GNY38" s="25"/>
      <c r="GNZ38" s="25"/>
      <c r="GOA38" s="25"/>
      <c r="GOB38" s="25"/>
      <c r="GOC38" s="25"/>
      <c r="GOD38" s="25"/>
      <c r="GOE38" s="25"/>
      <c r="GOF38" s="25"/>
      <c r="GOG38" s="25"/>
      <c r="GOH38" s="25"/>
      <c r="GOI38" s="25"/>
      <c r="GOJ38" s="25"/>
      <c r="GOK38" s="25"/>
      <c r="GOL38" s="25"/>
      <c r="GOM38" s="25"/>
      <c r="GON38" s="25"/>
      <c r="GOO38" s="25"/>
      <c r="GOP38" s="25"/>
      <c r="GOQ38" s="25"/>
      <c r="GOR38" s="25"/>
      <c r="GOS38" s="25"/>
      <c r="GOT38" s="25"/>
      <c r="GOU38" s="25"/>
      <c r="GOV38" s="25"/>
      <c r="GOW38" s="25"/>
      <c r="GOX38" s="25"/>
      <c r="GOY38" s="25"/>
      <c r="GOZ38" s="25"/>
      <c r="GPA38" s="25"/>
      <c r="GPB38" s="25"/>
      <c r="GPC38" s="25"/>
      <c r="GPD38" s="25"/>
      <c r="GPE38" s="25"/>
      <c r="GPF38" s="25"/>
      <c r="GPG38" s="25"/>
      <c r="GPH38" s="25"/>
      <c r="GPI38" s="25"/>
      <c r="GPJ38" s="25"/>
      <c r="GPK38" s="25"/>
      <c r="GPL38" s="25"/>
      <c r="GPM38" s="25"/>
      <c r="GPN38" s="25"/>
      <c r="GPO38" s="25"/>
      <c r="GPP38" s="25"/>
      <c r="GPQ38" s="25"/>
      <c r="GPR38" s="25"/>
      <c r="GPS38" s="25"/>
      <c r="GPT38" s="25"/>
      <c r="GPU38" s="25"/>
      <c r="GPV38" s="25"/>
      <c r="GPW38" s="25"/>
      <c r="GPX38" s="25"/>
      <c r="GPY38" s="25"/>
      <c r="GPZ38" s="25"/>
      <c r="GQA38" s="25"/>
      <c r="GQB38" s="25"/>
      <c r="GQC38" s="25"/>
      <c r="GQD38" s="25"/>
      <c r="GQE38" s="25"/>
      <c r="GQF38" s="25"/>
      <c r="GQG38" s="25"/>
      <c r="GQH38" s="25"/>
      <c r="GQI38" s="25"/>
      <c r="GQJ38" s="25"/>
      <c r="GQK38" s="25"/>
      <c r="GQL38" s="25"/>
      <c r="GQM38" s="25"/>
      <c r="GQN38" s="25"/>
      <c r="GQO38" s="25"/>
      <c r="GQP38" s="25"/>
      <c r="GQQ38" s="25"/>
      <c r="GQR38" s="25"/>
      <c r="GQS38" s="25"/>
      <c r="GQT38" s="25"/>
      <c r="GQU38" s="25"/>
      <c r="GQV38" s="25"/>
      <c r="GQW38" s="25"/>
      <c r="GQX38" s="25"/>
      <c r="GQY38" s="25"/>
      <c r="GQZ38" s="25"/>
      <c r="GRA38" s="25"/>
      <c r="GRB38" s="25"/>
      <c r="GRC38" s="25"/>
      <c r="GRD38" s="25"/>
      <c r="GRE38" s="25"/>
      <c r="GRF38" s="25"/>
      <c r="GRG38" s="25"/>
      <c r="GRH38" s="25"/>
      <c r="GRI38" s="25"/>
      <c r="GRJ38" s="25"/>
      <c r="GRK38" s="25"/>
      <c r="GRL38" s="25"/>
      <c r="GRM38" s="25"/>
      <c r="GRN38" s="25"/>
      <c r="GRO38" s="25"/>
      <c r="GRP38" s="25"/>
      <c r="GRQ38" s="25"/>
      <c r="GRR38" s="25"/>
      <c r="GRS38" s="25"/>
      <c r="GRT38" s="25"/>
      <c r="GRU38" s="25"/>
      <c r="GRV38" s="25"/>
      <c r="GRW38" s="25"/>
      <c r="GRX38" s="25"/>
      <c r="GRY38" s="25"/>
      <c r="GRZ38" s="25"/>
      <c r="GSA38" s="25"/>
      <c r="GSB38" s="25"/>
      <c r="GSC38" s="25"/>
      <c r="GSD38" s="25"/>
      <c r="GSE38" s="25"/>
      <c r="GSF38" s="25"/>
      <c r="GSG38" s="25"/>
      <c r="GSH38" s="25"/>
      <c r="GSI38" s="25"/>
      <c r="GSJ38" s="25"/>
      <c r="GSK38" s="25"/>
      <c r="GSL38" s="25"/>
      <c r="GSM38" s="25"/>
      <c r="GSN38" s="25"/>
      <c r="GSO38" s="25"/>
      <c r="GSP38" s="25"/>
      <c r="GSQ38" s="25"/>
      <c r="GSR38" s="25"/>
      <c r="GSS38" s="25"/>
      <c r="GST38" s="25"/>
      <c r="GSU38" s="25"/>
      <c r="GSV38" s="25"/>
      <c r="GSW38" s="25"/>
      <c r="GSX38" s="25"/>
      <c r="GSY38" s="25"/>
      <c r="GSZ38" s="25"/>
      <c r="GTA38" s="25"/>
      <c r="GTB38" s="25"/>
      <c r="GTC38" s="25"/>
      <c r="GTD38" s="25"/>
      <c r="GTE38" s="25"/>
      <c r="GTF38" s="25"/>
      <c r="GTG38" s="25"/>
      <c r="GTH38" s="25"/>
      <c r="GTI38" s="25"/>
      <c r="GTJ38" s="25"/>
      <c r="GTK38" s="25"/>
      <c r="GTL38" s="25"/>
      <c r="GTM38" s="25"/>
      <c r="GTN38" s="25"/>
      <c r="GTO38" s="25"/>
      <c r="GTP38" s="25"/>
      <c r="GTQ38" s="25"/>
      <c r="GTR38" s="25"/>
      <c r="GTS38" s="25"/>
      <c r="GTT38" s="25"/>
      <c r="GTU38" s="25"/>
      <c r="GTV38" s="25"/>
      <c r="GTW38" s="25"/>
      <c r="GTX38" s="25"/>
      <c r="GTY38" s="25"/>
      <c r="GTZ38" s="25"/>
      <c r="GUA38" s="25"/>
      <c r="GUB38" s="25"/>
      <c r="GUC38" s="25"/>
      <c r="GUD38" s="25"/>
      <c r="GUE38" s="25"/>
      <c r="GUF38" s="25"/>
      <c r="GUG38" s="25"/>
      <c r="GUH38" s="25"/>
      <c r="GUI38" s="25"/>
      <c r="GUJ38" s="25"/>
      <c r="GUK38" s="25"/>
      <c r="GUL38" s="25"/>
      <c r="GUM38" s="25"/>
      <c r="GUN38" s="25"/>
      <c r="GUO38" s="25"/>
      <c r="GUP38" s="25"/>
      <c r="GUQ38" s="25"/>
      <c r="GUR38" s="25"/>
      <c r="GUS38" s="25"/>
      <c r="GUT38" s="25"/>
      <c r="GUU38" s="25"/>
      <c r="GUV38" s="25"/>
      <c r="GUW38" s="25"/>
      <c r="GUX38" s="25"/>
      <c r="GUY38" s="25"/>
      <c r="GUZ38" s="25"/>
      <c r="GVA38" s="25"/>
      <c r="GVB38" s="25"/>
      <c r="GVC38" s="25"/>
      <c r="GVD38" s="25"/>
      <c r="GVE38" s="25"/>
      <c r="GVF38" s="25"/>
      <c r="GVG38" s="25"/>
      <c r="GVH38" s="25"/>
      <c r="GVI38" s="25"/>
      <c r="GVJ38" s="25"/>
      <c r="GVK38" s="25"/>
      <c r="GVL38" s="25"/>
      <c r="GVM38" s="25"/>
      <c r="GVN38" s="25"/>
      <c r="GVO38" s="25"/>
      <c r="GVP38" s="25"/>
      <c r="GVQ38" s="25"/>
      <c r="GVR38" s="25"/>
      <c r="GVS38" s="25"/>
      <c r="GVT38" s="25"/>
      <c r="GVU38" s="25"/>
      <c r="GVV38" s="25"/>
      <c r="GVW38" s="25"/>
      <c r="GVX38" s="25"/>
      <c r="GVY38" s="25"/>
      <c r="GVZ38" s="25"/>
      <c r="GWA38" s="25"/>
      <c r="GWB38" s="25"/>
      <c r="GWC38" s="25"/>
      <c r="GWD38" s="25"/>
      <c r="GWE38" s="25"/>
      <c r="GWF38" s="25"/>
      <c r="GWG38" s="25"/>
      <c r="GWH38" s="25"/>
      <c r="GWI38" s="25"/>
      <c r="GWJ38" s="25"/>
      <c r="GWK38" s="25"/>
      <c r="GWL38" s="25"/>
      <c r="GWM38" s="25"/>
      <c r="GWN38" s="25"/>
      <c r="GWO38" s="25"/>
      <c r="GWP38" s="25"/>
      <c r="GWQ38" s="25"/>
      <c r="GWR38" s="25"/>
      <c r="GWS38" s="25"/>
      <c r="GWT38" s="25"/>
      <c r="GWU38" s="25"/>
      <c r="GWV38" s="25"/>
      <c r="GWW38" s="25"/>
      <c r="GWX38" s="25"/>
      <c r="GWY38" s="25"/>
      <c r="GWZ38" s="25"/>
      <c r="GXA38" s="25"/>
      <c r="GXB38" s="25"/>
      <c r="GXC38" s="25"/>
      <c r="GXD38" s="25"/>
      <c r="GXE38" s="25"/>
      <c r="GXF38" s="25"/>
      <c r="GXG38" s="25"/>
      <c r="GXH38" s="25"/>
      <c r="GXI38" s="25"/>
      <c r="GXJ38" s="25"/>
      <c r="GXK38" s="25"/>
      <c r="GXL38" s="25"/>
      <c r="GXM38" s="25"/>
      <c r="GXN38" s="25"/>
      <c r="GXO38" s="25"/>
      <c r="GXP38" s="25"/>
      <c r="GXQ38" s="25"/>
      <c r="GXR38" s="25"/>
      <c r="GXS38" s="25"/>
      <c r="GXT38" s="25"/>
      <c r="GXU38" s="25"/>
      <c r="GXV38" s="25"/>
      <c r="GXW38" s="25"/>
      <c r="GXX38" s="25"/>
      <c r="GXY38" s="25"/>
      <c r="GXZ38" s="25"/>
      <c r="GYA38" s="25"/>
      <c r="GYB38" s="25"/>
      <c r="GYC38" s="25"/>
      <c r="GYD38" s="25"/>
      <c r="GYE38" s="25"/>
      <c r="GYF38" s="25"/>
      <c r="GYG38" s="25"/>
      <c r="GYH38" s="25"/>
      <c r="GYI38" s="25"/>
      <c r="GYJ38" s="25"/>
      <c r="GYK38" s="25"/>
      <c r="GYL38" s="25"/>
      <c r="GYM38" s="25"/>
      <c r="GYN38" s="25"/>
      <c r="GYO38" s="25"/>
      <c r="GYP38" s="25"/>
      <c r="GYQ38" s="25"/>
      <c r="GYR38" s="25"/>
      <c r="GYS38" s="25"/>
      <c r="GYT38" s="25"/>
      <c r="GYU38" s="25"/>
      <c r="GYV38" s="25"/>
      <c r="GYW38" s="25"/>
      <c r="GYX38" s="25"/>
      <c r="GYY38" s="25"/>
      <c r="GYZ38" s="25"/>
      <c r="GZA38" s="25"/>
      <c r="GZB38" s="25"/>
      <c r="GZC38" s="25"/>
      <c r="GZD38" s="25"/>
      <c r="GZE38" s="25"/>
      <c r="GZF38" s="25"/>
      <c r="GZG38" s="25"/>
      <c r="GZH38" s="25"/>
      <c r="GZI38" s="25"/>
      <c r="GZJ38" s="25"/>
      <c r="GZK38" s="25"/>
      <c r="GZL38" s="25"/>
      <c r="GZM38" s="25"/>
      <c r="GZN38" s="25"/>
      <c r="GZO38" s="25"/>
      <c r="GZP38" s="25"/>
      <c r="GZQ38" s="25"/>
      <c r="GZR38" s="25"/>
      <c r="GZS38" s="25"/>
      <c r="GZT38" s="25"/>
      <c r="GZU38" s="25"/>
      <c r="GZV38" s="25"/>
      <c r="GZW38" s="25"/>
      <c r="GZX38" s="25"/>
      <c r="GZY38" s="25"/>
      <c r="GZZ38" s="25"/>
      <c r="HAA38" s="25"/>
      <c r="HAB38" s="25"/>
      <c r="HAC38" s="25"/>
      <c r="HAD38" s="25"/>
      <c r="HAE38" s="25"/>
      <c r="HAF38" s="25"/>
      <c r="HAG38" s="25"/>
      <c r="HAH38" s="25"/>
      <c r="HAI38" s="25"/>
      <c r="HAJ38" s="25"/>
      <c r="HAK38" s="25"/>
      <c r="HAL38" s="25"/>
      <c r="HAM38" s="25"/>
      <c r="HAN38" s="25"/>
      <c r="HAO38" s="25"/>
      <c r="HAP38" s="25"/>
      <c r="HAQ38" s="25"/>
      <c r="HAR38" s="25"/>
      <c r="HAS38" s="25"/>
      <c r="HAT38" s="25"/>
      <c r="HAU38" s="25"/>
      <c r="HAV38" s="25"/>
      <c r="HAW38" s="25"/>
      <c r="HAX38" s="25"/>
      <c r="HAY38" s="25"/>
      <c r="HAZ38" s="25"/>
      <c r="HBA38" s="25"/>
      <c r="HBB38" s="25"/>
      <c r="HBC38" s="25"/>
      <c r="HBD38" s="25"/>
      <c r="HBE38" s="25"/>
      <c r="HBF38" s="25"/>
      <c r="HBG38" s="25"/>
      <c r="HBH38" s="25"/>
      <c r="HBI38" s="25"/>
      <c r="HBJ38" s="25"/>
      <c r="HBK38" s="25"/>
      <c r="HBL38" s="25"/>
      <c r="HBM38" s="25"/>
      <c r="HBN38" s="25"/>
      <c r="HBO38" s="25"/>
      <c r="HBP38" s="25"/>
      <c r="HBQ38" s="25"/>
      <c r="HBR38" s="25"/>
      <c r="HBS38" s="25"/>
      <c r="HBT38" s="25"/>
      <c r="HBU38" s="25"/>
      <c r="HBV38" s="25"/>
      <c r="HBW38" s="25"/>
      <c r="HBX38" s="25"/>
      <c r="HBY38" s="25"/>
      <c r="HBZ38" s="25"/>
      <c r="HCA38" s="25"/>
      <c r="HCB38" s="25"/>
      <c r="HCC38" s="25"/>
      <c r="HCD38" s="25"/>
      <c r="HCE38" s="25"/>
      <c r="HCF38" s="25"/>
      <c r="HCG38" s="25"/>
      <c r="HCH38" s="25"/>
      <c r="HCI38" s="25"/>
      <c r="HCJ38" s="25"/>
      <c r="HCK38" s="25"/>
      <c r="HCL38" s="25"/>
      <c r="HCM38" s="25"/>
      <c r="HCN38" s="25"/>
      <c r="HCO38" s="25"/>
      <c r="HCP38" s="25"/>
      <c r="HCQ38" s="25"/>
      <c r="HCR38" s="25"/>
      <c r="HCS38" s="25"/>
      <c r="HCT38" s="25"/>
      <c r="HCU38" s="25"/>
      <c r="HCV38" s="25"/>
      <c r="HCW38" s="25"/>
      <c r="HCX38" s="25"/>
      <c r="HCY38" s="25"/>
      <c r="HCZ38" s="25"/>
      <c r="HDA38" s="25"/>
      <c r="HDB38" s="25"/>
      <c r="HDC38" s="25"/>
      <c r="HDD38" s="25"/>
      <c r="HDE38" s="25"/>
      <c r="HDF38" s="25"/>
      <c r="HDG38" s="25"/>
      <c r="HDH38" s="25"/>
      <c r="HDI38" s="25"/>
      <c r="HDJ38" s="25"/>
      <c r="HDK38" s="25"/>
      <c r="HDL38" s="25"/>
      <c r="HDM38" s="25"/>
      <c r="HDN38" s="25"/>
      <c r="HDO38" s="25"/>
      <c r="HDP38" s="25"/>
      <c r="HDQ38" s="25"/>
      <c r="HDR38" s="25"/>
      <c r="HDS38" s="25"/>
      <c r="HDT38" s="25"/>
      <c r="HDU38" s="25"/>
      <c r="HDV38" s="25"/>
      <c r="HDW38" s="25"/>
      <c r="HDX38" s="25"/>
      <c r="HDY38" s="25"/>
      <c r="HDZ38" s="25"/>
      <c r="HEA38" s="25"/>
      <c r="HEB38" s="25"/>
      <c r="HEC38" s="25"/>
      <c r="HED38" s="25"/>
      <c r="HEE38" s="25"/>
      <c r="HEF38" s="25"/>
      <c r="HEG38" s="25"/>
      <c r="HEH38" s="25"/>
      <c r="HEI38" s="25"/>
      <c r="HEJ38" s="25"/>
      <c r="HEK38" s="25"/>
      <c r="HEL38" s="25"/>
      <c r="HEM38" s="25"/>
      <c r="HEN38" s="25"/>
      <c r="HEO38" s="25"/>
      <c r="HEP38" s="25"/>
      <c r="HEQ38" s="25"/>
      <c r="HER38" s="25"/>
      <c r="HES38" s="25"/>
      <c r="HET38" s="25"/>
      <c r="HEU38" s="25"/>
      <c r="HEV38" s="25"/>
      <c r="HEW38" s="25"/>
      <c r="HEX38" s="25"/>
      <c r="HEY38" s="25"/>
      <c r="HEZ38" s="25"/>
      <c r="HFA38" s="25"/>
      <c r="HFB38" s="25"/>
      <c r="HFC38" s="25"/>
      <c r="HFD38" s="25"/>
      <c r="HFE38" s="25"/>
      <c r="HFF38" s="25"/>
      <c r="HFG38" s="25"/>
      <c r="HFH38" s="25"/>
      <c r="HFI38" s="25"/>
      <c r="HFJ38" s="25"/>
      <c r="HFK38" s="25"/>
      <c r="HFL38" s="25"/>
      <c r="HFM38" s="25"/>
      <c r="HFN38" s="25"/>
      <c r="HFO38" s="25"/>
      <c r="HFP38" s="25"/>
      <c r="HFQ38" s="25"/>
      <c r="HFR38" s="25"/>
      <c r="HFS38" s="25"/>
      <c r="HFT38" s="25"/>
      <c r="HFU38" s="25"/>
      <c r="HFV38" s="25"/>
      <c r="HFW38" s="25"/>
      <c r="HFX38" s="25"/>
      <c r="HFY38" s="25"/>
      <c r="HFZ38" s="25"/>
      <c r="HGA38" s="25"/>
      <c r="HGB38" s="25"/>
      <c r="HGC38" s="25"/>
      <c r="HGD38" s="25"/>
      <c r="HGE38" s="25"/>
      <c r="HGF38" s="25"/>
      <c r="HGG38" s="25"/>
      <c r="HGH38" s="25"/>
      <c r="HGI38" s="25"/>
      <c r="HGJ38" s="25"/>
      <c r="HGK38" s="25"/>
      <c r="HGL38" s="25"/>
      <c r="HGM38" s="25"/>
      <c r="HGN38" s="25"/>
      <c r="HGO38" s="25"/>
      <c r="HGP38" s="25"/>
      <c r="HGQ38" s="25"/>
      <c r="HGR38" s="25"/>
      <c r="HGS38" s="25"/>
      <c r="HGT38" s="25"/>
      <c r="HGU38" s="25"/>
      <c r="HGV38" s="25"/>
      <c r="HGW38" s="25"/>
      <c r="HGX38" s="25"/>
      <c r="HGY38" s="25"/>
      <c r="HGZ38" s="25"/>
      <c r="HHA38" s="25"/>
      <c r="HHB38" s="25"/>
      <c r="HHC38" s="25"/>
      <c r="HHD38" s="25"/>
      <c r="HHE38" s="25"/>
      <c r="HHF38" s="25"/>
      <c r="HHG38" s="25"/>
      <c r="HHH38" s="25"/>
      <c r="HHI38" s="25"/>
      <c r="HHJ38" s="25"/>
      <c r="HHK38" s="25"/>
      <c r="HHL38" s="25"/>
      <c r="HHM38" s="25"/>
      <c r="HHN38" s="25"/>
      <c r="HHO38" s="25"/>
      <c r="HHP38" s="25"/>
      <c r="HHQ38" s="25"/>
      <c r="HHR38" s="25"/>
      <c r="HHS38" s="25"/>
      <c r="HHT38" s="25"/>
      <c r="HHU38" s="25"/>
      <c r="HHV38" s="25"/>
      <c r="HHW38" s="25"/>
      <c r="HHX38" s="25"/>
      <c r="HHY38" s="25"/>
      <c r="HHZ38" s="25"/>
      <c r="HIA38" s="25"/>
      <c r="HIB38" s="25"/>
      <c r="HIC38" s="25"/>
      <c r="HID38" s="25"/>
      <c r="HIE38" s="25"/>
      <c r="HIF38" s="25"/>
      <c r="HIG38" s="25"/>
      <c r="HIH38" s="25"/>
      <c r="HII38" s="25"/>
      <c r="HIJ38" s="25"/>
      <c r="HIK38" s="25"/>
      <c r="HIL38" s="25"/>
      <c r="HIM38" s="25"/>
      <c r="HIN38" s="25"/>
      <c r="HIO38" s="25"/>
      <c r="HIP38" s="25"/>
      <c r="HIQ38" s="25"/>
      <c r="HIR38" s="25"/>
      <c r="HIS38" s="25"/>
      <c r="HIT38" s="25"/>
      <c r="HIU38" s="25"/>
      <c r="HIV38" s="25"/>
      <c r="HIW38" s="25"/>
      <c r="HIX38" s="25"/>
      <c r="HIY38" s="25"/>
      <c r="HIZ38" s="25"/>
      <c r="HJA38" s="25"/>
      <c r="HJB38" s="25"/>
      <c r="HJC38" s="25"/>
      <c r="HJD38" s="25"/>
      <c r="HJE38" s="25"/>
      <c r="HJF38" s="25"/>
      <c r="HJG38" s="25"/>
      <c r="HJH38" s="25"/>
      <c r="HJI38" s="25"/>
      <c r="HJJ38" s="25"/>
      <c r="HJK38" s="25"/>
      <c r="HJL38" s="25"/>
      <c r="HJM38" s="25"/>
      <c r="HJN38" s="25"/>
      <c r="HJO38" s="25"/>
      <c r="HJP38" s="25"/>
      <c r="HJQ38" s="25"/>
      <c r="HJR38" s="25"/>
      <c r="HJS38" s="25"/>
      <c r="HJT38" s="25"/>
      <c r="HJU38" s="25"/>
      <c r="HJV38" s="25"/>
      <c r="HJW38" s="25"/>
      <c r="HJX38" s="25"/>
      <c r="HJY38" s="25"/>
      <c r="HJZ38" s="25"/>
      <c r="HKA38" s="25"/>
      <c r="HKB38" s="25"/>
      <c r="HKC38" s="25"/>
      <c r="HKD38" s="25"/>
      <c r="HKE38" s="25"/>
      <c r="HKF38" s="25"/>
      <c r="HKG38" s="25"/>
      <c r="HKH38" s="25"/>
      <c r="HKI38" s="25"/>
      <c r="HKJ38" s="25"/>
      <c r="HKK38" s="25"/>
      <c r="HKL38" s="25"/>
      <c r="HKM38" s="25"/>
      <c r="HKN38" s="25"/>
      <c r="HKO38" s="25"/>
      <c r="HKP38" s="25"/>
      <c r="HKQ38" s="25"/>
      <c r="HKR38" s="25"/>
      <c r="HKS38" s="25"/>
      <c r="HKT38" s="25"/>
      <c r="HKU38" s="25"/>
      <c r="HKV38" s="25"/>
      <c r="HKW38" s="25"/>
      <c r="HKX38" s="25"/>
      <c r="HKY38" s="25"/>
      <c r="HKZ38" s="25"/>
      <c r="HLA38" s="25"/>
      <c r="HLB38" s="25"/>
      <c r="HLC38" s="25"/>
      <c r="HLD38" s="25"/>
      <c r="HLE38" s="25"/>
      <c r="HLF38" s="25"/>
      <c r="HLG38" s="25"/>
      <c r="HLH38" s="25"/>
      <c r="HLI38" s="25"/>
      <c r="HLJ38" s="25"/>
      <c r="HLK38" s="25"/>
      <c r="HLL38" s="25"/>
      <c r="HLM38" s="25"/>
      <c r="HLN38" s="25"/>
      <c r="HLO38" s="25"/>
      <c r="HLP38" s="25"/>
      <c r="HLQ38" s="25"/>
      <c r="HLR38" s="25"/>
      <c r="HLS38" s="25"/>
      <c r="HLT38" s="25"/>
      <c r="HLU38" s="25"/>
      <c r="HLV38" s="25"/>
      <c r="HLW38" s="25"/>
      <c r="HLX38" s="25"/>
      <c r="HLY38" s="25"/>
      <c r="HLZ38" s="25"/>
      <c r="HMA38" s="25"/>
      <c r="HMB38" s="25"/>
      <c r="HMC38" s="25"/>
      <c r="HMD38" s="25"/>
      <c r="HME38" s="25"/>
      <c r="HMF38" s="25"/>
      <c r="HMG38" s="25"/>
      <c r="HMH38" s="25"/>
      <c r="HMI38" s="25"/>
      <c r="HMJ38" s="25"/>
      <c r="HMK38" s="25"/>
      <c r="HML38" s="25"/>
      <c r="HMM38" s="25"/>
      <c r="HMN38" s="25"/>
      <c r="HMO38" s="25"/>
      <c r="HMP38" s="25"/>
      <c r="HMQ38" s="25"/>
      <c r="HMR38" s="25"/>
      <c r="HMS38" s="25"/>
      <c r="HMT38" s="25"/>
      <c r="HMU38" s="25"/>
      <c r="HMV38" s="25"/>
      <c r="HMW38" s="25"/>
      <c r="HMX38" s="25"/>
      <c r="HMY38" s="25"/>
      <c r="HMZ38" s="25"/>
      <c r="HNA38" s="25"/>
      <c r="HNB38" s="25"/>
      <c r="HNC38" s="25"/>
      <c r="HND38" s="25"/>
      <c r="HNE38" s="25"/>
      <c r="HNF38" s="25"/>
      <c r="HNG38" s="25"/>
      <c r="HNH38" s="25"/>
      <c r="HNI38" s="25"/>
      <c r="HNJ38" s="25"/>
      <c r="HNK38" s="25"/>
      <c r="HNL38" s="25"/>
      <c r="HNM38" s="25"/>
      <c r="HNN38" s="25"/>
      <c r="HNO38" s="25"/>
      <c r="HNP38" s="25"/>
      <c r="HNQ38" s="25"/>
      <c r="HNR38" s="25"/>
      <c r="HNS38" s="25"/>
      <c r="HNT38" s="25"/>
      <c r="HNU38" s="25"/>
      <c r="HNV38" s="25"/>
      <c r="HNW38" s="25"/>
      <c r="HNX38" s="25"/>
      <c r="HNY38" s="25"/>
      <c r="HNZ38" s="25"/>
      <c r="HOA38" s="25"/>
      <c r="HOB38" s="25"/>
      <c r="HOC38" s="25"/>
      <c r="HOD38" s="25"/>
      <c r="HOE38" s="25"/>
      <c r="HOF38" s="25"/>
      <c r="HOG38" s="25"/>
      <c r="HOH38" s="25"/>
      <c r="HOI38" s="25"/>
      <c r="HOJ38" s="25"/>
      <c r="HOK38" s="25"/>
      <c r="HOL38" s="25"/>
      <c r="HOM38" s="25"/>
      <c r="HON38" s="25"/>
      <c r="HOO38" s="25"/>
      <c r="HOP38" s="25"/>
      <c r="HOQ38" s="25"/>
      <c r="HOR38" s="25"/>
      <c r="HOS38" s="25"/>
      <c r="HOT38" s="25"/>
      <c r="HOU38" s="25"/>
      <c r="HOV38" s="25"/>
      <c r="HOW38" s="25"/>
      <c r="HOX38" s="25"/>
      <c r="HOY38" s="25"/>
      <c r="HOZ38" s="25"/>
      <c r="HPA38" s="25"/>
      <c r="HPB38" s="25"/>
      <c r="HPC38" s="25"/>
      <c r="HPD38" s="25"/>
      <c r="HPE38" s="25"/>
      <c r="HPF38" s="25"/>
      <c r="HPG38" s="25"/>
      <c r="HPH38" s="25"/>
      <c r="HPI38" s="25"/>
      <c r="HPJ38" s="25"/>
      <c r="HPK38" s="25"/>
      <c r="HPL38" s="25"/>
      <c r="HPM38" s="25"/>
      <c r="HPN38" s="25"/>
      <c r="HPO38" s="25"/>
      <c r="HPP38" s="25"/>
      <c r="HPQ38" s="25"/>
      <c r="HPR38" s="25"/>
      <c r="HPS38" s="25"/>
      <c r="HPT38" s="25"/>
      <c r="HPU38" s="25"/>
      <c r="HPV38" s="25"/>
      <c r="HPW38" s="25"/>
      <c r="HPX38" s="25"/>
      <c r="HPY38" s="25"/>
      <c r="HPZ38" s="25"/>
      <c r="HQA38" s="25"/>
      <c r="HQB38" s="25"/>
      <c r="HQC38" s="25"/>
      <c r="HQD38" s="25"/>
      <c r="HQE38" s="25"/>
      <c r="HQF38" s="25"/>
      <c r="HQG38" s="25"/>
      <c r="HQH38" s="25"/>
      <c r="HQI38" s="25"/>
      <c r="HQJ38" s="25"/>
      <c r="HQK38" s="25"/>
      <c r="HQL38" s="25"/>
      <c r="HQM38" s="25"/>
      <c r="HQN38" s="25"/>
      <c r="HQO38" s="25"/>
      <c r="HQP38" s="25"/>
      <c r="HQQ38" s="25"/>
      <c r="HQR38" s="25"/>
      <c r="HQS38" s="25"/>
      <c r="HQT38" s="25"/>
      <c r="HQU38" s="25"/>
      <c r="HQV38" s="25"/>
      <c r="HQW38" s="25"/>
      <c r="HQX38" s="25"/>
      <c r="HQY38" s="25"/>
      <c r="HQZ38" s="25"/>
      <c r="HRA38" s="25"/>
      <c r="HRB38" s="25"/>
      <c r="HRC38" s="25"/>
      <c r="HRD38" s="25"/>
      <c r="HRE38" s="25"/>
      <c r="HRF38" s="25"/>
      <c r="HRG38" s="25"/>
      <c r="HRH38" s="25"/>
      <c r="HRI38" s="25"/>
      <c r="HRJ38" s="25"/>
      <c r="HRK38" s="25"/>
      <c r="HRL38" s="25"/>
      <c r="HRM38" s="25"/>
      <c r="HRN38" s="25"/>
      <c r="HRO38" s="25"/>
      <c r="HRP38" s="25"/>
      <c r="HRQ38" s="25"/>
      <c r="HRR38" s="25"/>
      <c r="HRS38" s="25"/>
      <c r="HRT38" s="25"/>
      <c r="HRU38" s="25"/>
      <c r="HRV38" s="25"/>
      <c r="HRW38" s="25"/>
      <c r="HRX38" s="25"/>
      <c r="HRY38" s="25"/>
      <c r="HRZ38" s="25"/>
      <c r="HSA38" s="25"/>
      <c r="HSB38" s="25"/>
      <c r="HSC38" s="25"/>
      <c r="HSD38" s="25"/>
      <c r="HSE38" s="25"/>
      <c r="HSF38" s="25"/>
      <c r="HSG38" s="25"/>
      <c r="HSH38" s="25"/>
      <c r="HSI38" s="25"/>
      <c r="HSJ38" s="25"/>
      <c r="HSK38" s="25"/>
      <c r="HSL38" s="25"/>
      <c r="HSM38" s="25"/>
      <c r="HSN38" s="25"/>
      <c r="HSO38" s="25"/>
      <c r="HSP38" s="25"/>
      <c r="HSQ38" s="25"/>
      <c r="HSR38" s="25"/>
      <c r="HSS38" s="25"/>
      <c r="HST38" s="25"/>
      <c r="HSU38" s="25"/>
      <c r="HSV38" s="25"/>
      <c r="HSW38" s="25"/>
      <c r="HSX38" s="25"/>
      <c r="HSY38" s="25"/>
      <c r="HSZ38" s="25"/>
      <c r="HTA38" s="25"/>
      <c r="HTB38" s="25"/>
      <c r="HTC38" s="25"/>
      <c r="HTD38" s="25"/>
      <c r="HTE38" s="25"/>
      <c r="HTF38" s="25"/>
      <c r="HTG38" s="25"/>
      <c r="HTH38" s="25"/>
      <c r="HTI38" s="25"/>
      <c r="HTJ38" s="25"/>
      <c r="HTK38" s="25"/>
      <c r="HTL38" s="25"/>
      <c r="HTM38" s="25"/>
      <c r="HTN38" s="25"/>
      <c r="HTO38" s="25"/>
      <c r="HTP38" s="25"/>
      <c r="HTQ38" s="25"/>
      <c r="HTR38" s="25"/>
      <c r="HTS38" s="25"/>
      <c r="HTT38" s="25"/>
      <c r="HTU38" s="25"/>
      <c r="HTV38" s="25"/>
      <c r="HTW38" s="25"/>
      <c r="HTX38" s="25"/>
      <c r="HTY38" s="25"/>
      <c r="HTZ38" s="25"/>
      <c r="HUA38" s="25"/>
      <c r="HUB38" s="25"/>
      <c r="HUC38" s="25"/>
      <c r="HUD38" s="25"/>
      <c r="HUE38" s="25"/>
      <c r="HUF38" s="25"/>
      <c r="HUG38" s="25"/>
      <c r="HUH38" s="25"/>
      <c r="HUI38" s="25"/>
      <c r="HUJ38" s="25"/>
      <c r="HUK38" s="25"/>
      <c r="HUL38" s="25"/>
      <c r="HUM38" s="25"/>
      <c r="HUN38" s="25"/>
      <c r="HUO38" s="25"/>
      <c r="HUP38" s="25"/>
      <c r="HUQ38" s="25"/>
      <c r="HUR38" s="25"/>
      <c r="HUS38" s="25"/>
      <c r="HUT38" s="25"/>
      <c r="HUU38" s="25"/>
      <c r="HUV38" s="25"/>
      <c r="HUW38" s="25"/>
      <c r="HUX38" s="25"/>
      <c r="HUY38" s="25"/>
      <c r="HUZ38" s="25"/>
      <c r="HVA38" s="25"/>
      <c r="HVB38" s="25"/>
      <c r="HVC38" s="25"/>
      <c r="HVD38" s="25"/>
      <c r="HVE38" s="25"/>
      <c r="HVF38" s="25"/>
      <c r="HVG38" s="25"/>
      <c r="HVH38" s="25"/>
      <c r="HVI38" s="25"/>
      <c r="HVJ38" s="25"/>
      <c r="HVK38" s="25"/>
      <c r="HVL38" s="25"/>
      <c r="HVM38" s="25"/>
      <c r="HVN38" s="25"/>
      <c r="HVO38" s="25"/>
      <c r="HVP38" s="25"/>
      <c r="HVQ38" s="25"/>
      <c r="HVR38" s="25"/>
      <c r="HVS38" s="25"/>
      <c r="HVT38" s="25"/>
      <c r="HVU38" s="25"/>
      <c r="HVV38" s="25"/>
      <c r="HVW38" s="25"/>
      <c r="HVX38" s="25"/>
      <c r="HVY38" s="25"/>
      <c r="HVZ38" s="25"/>
      <c r="HWA38" s="25"/>
      <c r="HWB38" s="25"/>
      <c r="HWC38" s="25"/>
      <c r="HWD38" s="25"/>
      <c r="HWE38" s="25"/>
      <c r="HWF38" s="25"/>
      <c r="HWG38" s="25"/>
      <c r="HWH38" s="25"/>
      <c r="HWI38" s="25"/>
      <c r="HWJ38" s="25"/>
      <c r="HWK38" s="25"/>
      <c r="HWL38" s="25"/>
      <c r="HWM38" s="25"/>
      <c r="HWN38" s="25"/>
      <c r="HWO38" s="25"/>
      <c r="HWP38" s="25"/>
      <c r="HWQ38" s="25"/>
      <c r="HWR38" s="25"/>
      <c r="HWS38" s="25"/>
      <c r="HWT38" s="25"/>
      <c r="HWU38" s="25"/>
      <c r="HWV38" s="25"/>
      <c r="HWW38" s="25"/>
      <c r="HWX38" s="25"/>
      <c r="HWY38" s="25"/>
      <c r="HWZ38" s="25"/>
      <c r="HXA38" s="25"/>
      <c r="HXB38" s="25"/>
      <c r="HXC38" s="25"/>
      <c r="HXD38" s="25"/>
      <c r="HXE38" s="25"/>
      <c r="HXF38" s="25"/>
      <c r="HXG38" s="25"/>
      <c r="HXH38" s="25"/>
      <c r="HXI38" s="25"/>
      <c r="HXJ38" s="25"/>
      <c r="HXK38" s="25"/>
      <c r="HXL38" s="25"/>
      <c r="HXM38" s="25"/>
      <c r="HXN38" s="25"/>
      <c r="HXO38" s="25"/>
      <c r="HXP38" s="25"/>
      <c r="HXQ38" s="25"/>
      <c r="HXR38" s="25"/>
      <c r="HXS38" s="25"/>
      <c r="HXT38" s="25"/>
      <c r="HXU38" s="25"/>
      <c r="HXV38" s="25"/>
      <c r="HXW38" s="25"/>
      <c r="HXX38" s="25"/>
      <c r="HXY38" s="25"/>
      <c r="HXZ38" s="25"/>
      <c r="HYA38" s="25"/>
      <c r="HYB38" s="25"/>
      <c r="HYC38" s="25"/>
      <c r="HYD38" s="25"/>
      <c r="HYE38" s="25"/>
      <c r="HYF38" s="25"/>
      <c r="HYG38" s="25"/>
      <c r="HYH38" s="25"/>
      <c r="HYI38" s="25"/>
      <c r="HYJ38" s="25"/>
      <c r="HYK38" s="25"/>
      <c r="HYL38" s="25"/>
      <c r="HYM38" s="25"/>
      <c r="HYN38" s="25"/>
      <c r="HYO38" s="25"/>
      <c r="HYP38" s="25"/>
      <c r="HYQ38" s="25"/>
      <c r="HYR38" s="25"/>
      <c r="HYS38" s="25"/>
      <c r="HYT38" s="25"/>
      <c r="HYU38" s="25"/>
      <c r="HYV38" s="25"/>
      <c r="HYW38" s="25"/>
      <c r="HYX38" s="25"/>
      <c r="HYY38" s="25"/>
      <c r="HYZ38" s="25"/>
      <c r="HZA38" s="25"/>
      <c r="HZB38" s="25"/>
      <c r="HZC38" s="25"/>
      <c r="HZD38" s="25"/>
      <c r="HZE38" s="25"/>
      <c r="HZF38" s="25"/>
      <c r="HZG38" s="25"/>
      <c r="HZH38" s="25"/>
      <c r="HZI38" s="25"/>
      <c r="HZJ38" s="25"/>
      <c r="HZK38" s="25"/>
      <c r="HZL38" s="25"/>
      <c r="HZM38" s="25"/>
      <c r="HZN38" s="25"/>
      <c r="HZO38" s="25"/>
      <c r="HZP38" s="25"/>
      <c r="HZQ38" s="25"/>
      <c r="HZR38" s="25"/>
      <c r="HZS38" s="25"/>
      <c r="HZT38" s="25"/>
      <c r="HZU38" s="25"/>
      <c r="HZV38" s="25"/>
      <c r="HZW38" s="25"/>
      <c r="HZX38" s="25"/>
      <c r="HZY38" s="25"/>
      <c r="HZZ38" s="25"/>
      <c r="IAA38" s="25"/>
      <c r="IAB38" s="25"/>
      <c r="IAC38" s="25"/>
      <c r="IAD38" s="25"/>
      <c r="IAE38" s="25"/>
      <c r="IAF38" s="25"/>
      <c r="IAG38" s="25"/>
      <c r="IAH38" s="25"/>
      <c r="IAI38" s="25"/>
      <c r="IAJ38" s="25"/>
      <c r="IAK38" s="25"/>
      <c r="IAL38" s="25"/>
      <c r="IAM38" s="25"/>
      <c r="IAN38" s="25"/>
      <c r="IAO38" s="25"/>
      <c r="IAP38" s="25"/>
      <c r="IAQ38" s="25"/>
      <c r="IAR38" s="25"/>
      <c r="IAS38" s="25"/>
      <c r="IAT38" s="25"/>
      <c r="IAU38" s="25"/>
      <c r="IAV38" s="25"/>
      <c r="IAW38" s="25"/>
      <c r="IAX38" s="25"/>
      <c r="IAY38" s="25"/>
      <c r="IAZ38" s="25"/>
      <c r="IBA38" s="25"/>
      <c r="IBB38" s="25"/>
      <c r="IBC38" s="25"/>
      <c r="IBD38" s="25"/>
      <c r="IBE38" s="25"/>
      <c r="IBF38" s="25"/>
      <c r="IBG38" s="25"/>
      <c r="IBH38" s="25"/>
      <c r="IBI38" s="25"/>
      <c r="IBJ38" s="25"/>
      <c r="IBK38" s="25"/>
      <c r="IBL38" s="25"/>
      <c r="IBM38" s="25"/>
      <c r="IBN38" s="25"/>
      <c r="IBO38" s="25"/>
      <c r="IBP38" s="25"/>
      <c r="IBQ38" s="25"/>
      <c r="IBR38" s="25"/>
      <c r="IBS38" s="25"/>
      <c r="IBT38" s="25"/>
      <c r="IBU38" s="25"/>
      <c r="IBV38" s="25"/>
      <c r="IBW38" s="25"/>
      <c r="IBX38" s="25"/>
      <c r="IBY38" s="25"/>
      <c r="IBZ38" s="25"/>
      <c r="ICA38" s="25"/>
      <c r="ICB38" s="25"/>
      <c r="ICC38" s="25"/>
      <c r="ICD38" s="25"/>
      <c r="ICE38" s="25"/>
      <c r="ICF38" s="25"/>
      <c r="ICG38" s="25"/>
      <c r="ICH38" s="25"/>
      <c r="ICI38" s="25"/>
      <c r="ICJ38" s="25"/>
      <c r="ICK38" s="25"/>
      <c r="ICL38" s="25"/>
      <c r="ICM38" s="25"/>
      <c r="ICN38" s="25"/>
      <c r="ICO38" s="25"/>
      <c r="ICP38" s="25"/>
      <c r="ICQ38" s="25"/>
      <c r="ICR38" s="25"/>
      <c r="ICS38" s="25"/>
      <c r="ICT38" s="25"/>
      <c r="ICU38" s="25"/>
      <c r="ICV38" s="25"/>
      <c r="ICW38" s="25"/>
      <c r="ICX38" s="25"/>
      <c r="ICY38" s="25"/>
      <c r="ICZ38" s="25"/>
      <c r="IDA38" s="25"/>
      <c r="IDB38" s="25"/>
      <c r="IDC38" s="25"/>
      <c r="IDD38" s="25"/>
      <c r="IDE38" s="25"/>
      <c r="IDF38" s="25"/>
      <c r="IDG38" s="25"/>
      <c r="IDH38" s="25"/>
      <c r="IDI38" s="25"/>
      <c r="IDJ38" s="25"/>
      <c r="IDK38" s="25"/>
      <c r="IDL38" s="25"/>
      <c r="IDM38" s="25"/>
      <c r="IDN38" s="25"/>
      <c r="IDO38" s="25"/>
      <c r="IDP38" s="25"/>
      <c r="IDQ38" s="25"/>
      <c r="IDR38" s="25"/>
      <c r="IDS38" s="25"/>
      <c r="IDT38" s="25"/>
      <c r="IDU38" s="25"/>
      <c r="IDV38" s="25"/>
      <c r="IDW38" s="25"/>
      <c r="IDX38" s="25"/>
      <c r="IDY38" s="25"/>
      <c r="IDZ38" s="25"/>
      <c r="IEA38" s="25"/>
      <c r="IEB38" s="25"/>
      <c r="IEC38" s="25"/>
      <c r="IED38" s="25"/>
      <c r="IEE38" s="25"/>
      <c r="IEF38" s="25"/>
      <c r="IEG38" s="25"/>
      <c r="IEH38" s="25"/>
      <c r="IEI38" s="25"/>
      <c r="IEJ38" s="25"/>
      <c r="IEK38" s="25"/>
      <c r="IEL38" s="25"/>
      <c r="IEM38" s="25"/>
      <c r="IEN38" s="25"/>
      <c r="IEO38" s="25"/>
      <c r="IEP38" s="25"/>
      <c r="IEQ38" s="25"/>
      <c r="IER38" s="25"/>
      <c r="IES38" s="25"/>
      <c r="IET38" s="25"/>
      <c r="IEU38" s="25"/>
      <c r="IEV38" s="25"/>
      <c r="IEW38" s="25"/>
      <c r="IEX38" s="25"/>
      <c r="IEY38" s="25"/>
      <c r="IEZ38" s="25"/>
      <c r="IFA38" s="25"/>
      <c r="IFB38" s="25"/>
      <c r="IFC38" s="25"/>
      <c r="IFD38" s="25"/>
      <c r="IFE38" s="25"/>
      <c r="IFF38" s="25"/>
      <c r="IFG38" s="25"/>
      <c r="IFH38" s="25"/>
      <c r="IFI38" s="25"/>
      <c r="IFJ38" s="25"/>
      <c r="IFK38" s="25"/>
      <c r="IFL38" s="25"/>
      <c r="IFM38" s="25"/>
      <c r="IFN38" s="25"/>
      <c r="IFO38" s="25"/>
      <c r="IFP38" s="25"/>
      <c r="IFQ38" s="25"/>
      <c r="IFR38" s="25"/>
      <c r="IFS38" s="25"/>
      <c r="IFT38" s="25"/>
      <c r="IFU38" s="25"/>
      <c r="IFV38" s="25"/>
      <c r="IFW38" s="25"/>
      <c r="IFX38" s="25"/>
      <c r="IFY38" s="25"/>
      <c r="IFZ38" s="25"/>
      <c r="IGA38" s="25"/>
      <c r="IGB38" s="25"/>
      <c r="IGC38" s="25"/>
      <c r="IGD38" s="25"/>
      <c r="IGE38" s="25"/>
      <c r="IGF38" s="25"/>
      <c r="IGG38" s="25"/>
      <c r="IGH38" s="25"/>
      <c r="IGI38" s="25"/>
      <c r="IGJ38" s="25"/>
      <c r="IGK38" s="25"/>
      <c r="IGL38" s="25"/>
      <c r="IGM38" s="25"/>
      <c r="IGN38" s="25"/>
      <c r="IGO38" s="25"/>
      <c r="IGP38" s="25"/>
      <c r="IGQ38" s="25"/>
      <c r="IGR38" s="25"/>
      <c r="IGS38" s="25"/>
      <c r="IGT38" s="25"/>
      <c r="IGU38" s="25"/>
      <c r="IGV38" s="25"/>
      <c r="IGW38" s="25"/>
      <c r="IGX38" s="25"/>
      <c r="IGY38" s="25"/>
      <c r="IGZ38" s="25"/>
      <c r="IHA38" s="25"/>
      <c r="IHB38" s="25"/>
      <c r="IHC38" s="25"/>
      <c r="IHD38" s="25"/>
      <c r="IHE38" s="25"/>
      <c r="IHF38" s="25"/>
      <c r="IHG38" s="25"/>
      <c r="IHH38" s="25"/>
      <c r="IHI38" s="25"/>
      <c r="IHJ38" s="25"/>
      <c r="IHK38" s="25"/>
      <c r="IHL38" s="25"/>
      <c r="IHM38" s="25"/>
      <c r="IHN38" s="25"/>
      <c r="IHO38" s="25"/>
      <c r="IHP38" s="25"/>
      <c r="IHQ38" s="25"/>
      <c r="IHR38" s="25"/>
      <c r="IHS38" s="25"/>
      <c r="IHT38" s="25"/>
      <c r="IHU38" s="25"/>
      <c r="IHV38" s="25"/>
      <c r="IHW38" s="25"/>
      <c r="IHX38" s="25"/>
      <c r="IHY38" s="25"/>
      <c r="IHZ38" s="25"/>
      <c r="IIA38" s="25"/>
      <c r="IIB38" s="25"/>
      <c r="IIC38" s="25"/>
      <c r="IID38" s="25"/>
      <c r="IIE38" s="25"/>
      <c r="IIF38" s="25"/>
      <c r="IIG38" s="25"/>
      <c r="IIH38" s="25"/>
      <c r="III38" s="25"/>
      <c r="IIJ38" s="25"/>
      <c r="IIK38" s="25"/>
      <c r="IIL38" s="25"/>
      <c r="IIM38" s="25"/>
      <c r="IIN38" s="25"/>
      <c r="IIO38" s="25"/>
      <c r="IIP38" s="25"/>
      <c r="IIQ38" s="25"/>
      <c r="IIR38" s="25"/>
      <c r="IIS38" s="25"/>
      <c r="IIT38" s="25"/>
      <c r="IIU38" s="25"/>
      <c r="IIV38" s="25"/>
      <c r="IIW38" s="25"/>
      <c r="IIX38" s="25"/>
      <c r="IIY38" s="25"/>
      <c r="IIZ38" s="25"/>
      <c r="IJA38" s="25"/>
      <c r="IJB38" s="25"/>
      <c r="IJC38" s="25"/>
      <c r="IJD38" s="25"/>
      <c r="IJE38" s="25"/>
      <c r="IJF38" s="25"/>
      <c r="IJG38" s="25"/>
      <c r="IJH38" s="25"/>
      <c r="IJI38" s="25"/>
      <c r="IJJ38" s="25"/>
      <c r="IJK38" s="25"/>
      <c r="IJL38" s="25"/>
      <c r="IJM38" s="25"/>
      <c r="IJN38" s="25"/>
      <c r="IJO38" s="25"/>
      <c r="IJP38" s="25"/>
      <c r="IJQ38" s="25"/>
      <c r="IJR38" s="25"/>
      <c r="IJS38" s="25"/>
      <c r="IJT38" s="25"/>
      <c r="IJU38" s="25"/>
      <c r="IJV38" s="25"/>
      <c r="IJW38" s="25"/>
      <c r="IJX38" s="25"/>
      <c r="IJY38" s="25"/>
      <c r="IJZ38" s="25"/>
      <c r="IKA38" s="25"/>
      <c r="IKB38" s="25"/>
      <c r="IKC38" s="25"/>
      <c r="IKD38" s="25"/>
      <c r="IKE38" s="25"/>
      <c r="IKF38" s="25"/>
      <c r="IKG38" s="25"/>
      <c r="IKH38" s="25"/>
      <c r="IKI38" s="25"/>
      <c r="IKJ38" s="25"/>
      <c r="IKK38" s="25"/>
      <c r="IKL38" s="25"/>
      <c r="IKM38" s="25"/>
      <c r="IKN38" s="25"/>
      <c r="IKO38" s="25"/>
      <c r="IKP38" s="25"/>
      <c r="IKQ38" s="25"/>
      <c r="IKR38" s="25"/>
      <c r="IKS38" s="25"/>
      <c r="IKT38" s="25"/>
      <c r="IKU38" s="25"/>
      <c r="IKV38" s="25"/>
      <c r="IKW38" s="25"/>
      <c r="IKX38" s="25"/>
      <c r="IKY38" s="25"/>
      <c r="IKZ38" s="25"/>
      <c r="ILA38" s="25"/>
      <c r="ILB38" s="25"/>
      <c r="ILC38" s="25"/>
      <c r="ILD38" s="25"/>
      <c r="ILE38" s="25"/>
      <c r="ILF38" s="25"/>
      <c r="ILG38" s="25"/>
      <c r="ILH38" s="25"/>
      <c r="ILI38" s="25"/>
      <c r="ILJ38" s="25"/>
      <c r="ILK38" s="25"/>
      <c r="ILL38" s="25"/>
      <c r="ILM38" s="25"/>
      <c r="ILN38" s="25"/>
      <c r="ILO38" s="25"/>
      <c r="ILP38" s="25"/>
      <c r="ILQ38" s="25"/>
      <c r="ILR38" s="25"/>
      <c r="ILS38" s="25"/>
      <c r="ILT38" s="25"/>
      <c r="ILU38" s="25"/>
      <c r="ILV38" s="25"/>
      <c r="ILW38" s="25"/>
      <c r="ILX38" s="25"/>
      <c r="ILY38" s="25"/>
      <c r="ILZ38" s="25"/>
      <c r="IMA38" s="25"/>
      <c r="IMB38" s="25"/>
      <c r="IMC38" s="25"/>
      <c r="IMD38" s="25"/>
      <c r="IME38" s="25"/>
      <c r="IMF38" s="25"/>
      <c r="IMG38" s="25"/>
      <c r="IMH38" s="25"/>
      <c r="IMI38" s="25"/>
      <c r="IMJ38" s="25"/>
      <c r="IMK38" s="25"/>
      <c r="IML38" s="25"/>
      <c r="IMM38" s="25"/>
      <c r="IMN38" s="25"/>
      <c r="IMO38" s="25"/>
      <c r="IMP38" s="25"/>
      <c r="IMQ38" s="25"/>
      <c r="IMR38" s="25"/>
      <c r="IMS38" s="25"/>
      <c r="IMT38" s="25"/>
      <c r="IMU38" s="25"/>
      <c r="IMV38" s="25"/>
      <c r="IMW38" s="25"/>
      <c r="IMX38" s="25"/>
      <c r="IMY38" s="25"/>
      <c r="IMZ38" s="25"/>
      <c r="INA38" s="25"/>
      <c r="INB38" s="25"/>
      <c r="INC38" s="25"/>
      <c r="IND38" s="25"/>
      <c r="INE38" s="25"/>
      <c r="INF38" s="25"/>
      <c r="ING38" s="25"/>
      <c r="INH38" s="25"/>
      <c r="INI38" s="25"/>
      <c r="INJ38" s="25"/>
      <c r="INK38" s="25"/>
      <c r="INL38" s="25"/>
      <c r="INM38" s="25"/>
      <c r="INN38" s="25"/>
      <c r="INO38" s="25"/>
      <c r="INP38" s="25"/>
      <c r="INQ38" s="25"/>
      <c r="INR38" s="25"/>
      <c r="INS38" s="25"/>
      <c r="INT38" s="25"/>
      <c r="INU38" s="25"/>
      <c r="INV38" s="25"/>
      <c r="INW38" s="25"/>
      <c r="INX38" s="25"/>
      <c r="INY38" s="25"/>
      <c r="INZ38" s="25"/>
      <c r="IOA38" s="25"/>
      <c r="IOB38" s="25"/>
      <c r="IOC38" s="25"/>
      <c r="IOD38" s="25"/>
      <c r="IOE38" s="25"/>
      <c r="IOF38" s="25"/>
      <c r="IOG38" s="25"/>
      <c r="IOH38" s="25"/>
      <c r="IOI38" s="25"/>
      <c r="IOJ38" s="25"/>
      <c r="IOK38" s="25"/>
      <c r="IOL38" s="25"/>
      <c r="IOM38" s="25"/>
      <c r="ION38" s="25"/>
      <c r="IOO38" s="25"/>
      <c r="IOP38" s="25"/>
      <c r="IOQ38" s="25"/>
      <c r="IOR38" s="25"/>
      <c r="IOS38" s="25"/>
      <c r="IOT38" s="25"/>
      <c r="IOU38" s="25"/>
      <c r="IOV38" s="25"/>
      <c r="IOW38" s="25"/>
      <c r="IOX38" s="25"/>
      <c r="IOY38" s="25"/>
      <c r="IOZ38" s="25"/>
      <c r="IPA38" s="25"/>
      <c r="IPB38" s="25"/>
      <c r="IPC38" s="25"/>
      <c r="IPD38" s="25"/>
      <c r="IPE38" s="25"/>
      <c r="IPF38" s="25"/>
      <c r="IPG38" s="25"/>
      <c r="IPH38" s="25"/>
      <c r="IPI38" s="25"/>
      <c r="IPJ38" s="25"/>
      <c r="IPK38" s="25"/>
      <c r="IPL38" s="25"/>
      <c r="IPM38" s="25"/>
      <c r="IPN38" s="25"/>
      <c r="IPO38" s="25"/>
      <c r="IPP38" s="25"/>
      <c r="IPQ38" s="25"/>
      <c r="IPR38" s="25"/>
      <c r="IPS38" s="25"/>
      <c r="IPT38" s="25"/>
      <c r="IPU38" s="25"/>
      <c r="IPV38" s="25"/>
      <c r="IPW38" s="25"/>
      <c r="IPX38" s="25"/>
      <c r="IPY38" s="25"/>
      <c r="IPZ38" s="25"/>
      <c r="IQA38" s="25"/>
      <c r="IQB38" s="25"/>
      <c r="IQC38" s="25"/>
      <c r="IQD38" s="25"/>
      <c r="IQE38" s="25"/>
      <c r="IQF38" s="25"/>
      <c r="IQG38" s="25"/>
      <c r="IQH38" s="25"/>
      <c r="IQI38" s="25"/>
      <c r="IQJ38" s="25"/>
      <c r="IQK38" s="25"/>
      <c r="IQL38" s="25"/>
      <c r="IQM38" s="25"/>
      <c r="IQN38" s="25"/>
      <c r="IQO38" s="25"/>
      <c r="IQP38" s="25"/>
      <c r="IQQ38" s="25"/>
      <c r="IQR38" s="25"/>
      <c r="IQS38" s="25"/>
      <c r="IQT38" s="25"/>
      <c r="IQU38" s="25"/>
      <c r="IQV38" s="25"/>
      <c r="IQW38" s="25"/>
      <c r="IQX38" s="25"/>
      <c r="IQY38" s="25"/>
      <c r="IQZ38" s="25"/>
      <c r="IRA38" s="25"/>
      <c r="IRB38" s="25"/>
      <c r="IRC38" s="25"/>
      <c r="IRD38" s="25"/>
      <c r="IRE38" s="25"/>
      <c r="IRF38" s="25"/>
      <c r="IRG38" s="25"/>
      <c r="IRH38" s="25"/>
      <c r="IRI38" s="25"/>
      <c r="IRJ38" s="25"/>
      <c r="IRK38" s="25"/>
      <c r="IRL38" s="25"/>
      <c r="IRM38" s="25"/>
      <c r="IRN38" s="25"/>
      <c r="IRO38" s="25"/>
      <c r="IRP38" s="25"/>
      <c r="IRQ38" s="25"/>
      <c r="IRR38" s="25"/>
      <c r="IRS38" s="25"/>
      <c r="IRT38" s="25"/>
      <c r="IRU38" s="25"/>
      <c r="IRV38" s="25"/>
      <c r="IRW38" s="25"/>
      <c r="IRX38" s="25"/>
      <c r="IRY38" s="25"/>
      <c r="IRZ38" s="25"/>
      <c r="ISA38" s="25"/>
      <c r="ISB38" s="25"/>
      <c r="ISC38" s="25"/>
      <c r="ISD38" s="25"/>
      <c r="ISE38" s="25"/>
      <c r="ISF38" s="25"/>
      <c r="ISG38" s="25"/>
      <c r="ISH38" s="25"/>
      <c r="ISI38" s="25"/>
      <c r="ISJ38" s="25"/>
      <c r="ISK38" s="25"/>
      <c r="ISL38" s="25"/>
      <c r="ISM38" s="25"/>
      <c r="ISN38" s="25"/>
      <c r="ISO38" s="25"/>
      <c r="ISP38" s="25"/>
      <c r="ISQ38" s="25"/>
      <c r="ISR38" s="25"/>
      <c r="ISS38" s="25"/>
      <c r="IST38" s="25"/>
      <c r="ISU38" s="25"/>
      <c r="ISV38" s="25"/>
      <c r="ISW38" s="25"/>
      <c r="ISX38" s="25"/>
      <c r="ISY38" s="25"/>
      <c r="ISZ38" s="25"/>
      <c r="ITA38" s="25"/>
      <c r="ITB38" s="25"/>
      <c r="ITC38" s="25"/>
      <c r="ITD38" s="25"/>
      <c r="ITE38" s="25"/>
      <c r="ITF38" s="25"/>
      <c r="ITG38" s="25"/>
      <c r="ITH38" s="25"/>
      <c r="ITI38" s="25"/>
      <c r="ITJ38" s="25"/>
      <c r="ITK38" s="25"/>
      <c r="ITL38" s="25"/>
      <c r="ITM38" s="25"/>
      <c r="ITN38" s="25"/>
      <c r="ITO38" s="25"/>
      <c r="ITP38" s="25"/>
      <c r="ITQ38" s="25"/>
      <c r="ITR38" s="25"/>
      <c r="ITS38" s="25"/>
      <c r="ITT38" s="25"/>
      <c r="ITU38" s="25"/>
      <c r="ITV38" s="25"/>
      <c r="ITW38" s="25"/>
      <c r="ITX38" s="25"/>
      <c r="ITY38" s="25"/>
      <c r="ITZ38" s="25"/>
      <c r="IUA38" s="25"/>
      <c r="IUB38" s="25"/>
      <c r="IUC38" s="25"/>
      <c r="IUD38" s="25"/>
      <c r="IUE38" s="25"/>
      <c r="IUF38" s="25"/>
      <c r="IUG38" s="25"/>
      <c r="IUH38" s="25"/>
      <c r="IUI38" s="25"/>
      <c r="IUJ38" s="25"/>
      <c r="IUK38" s="25"/>
      <c r="IUL38" s="25"/>
      <c r="IUM38" s="25"/>
      <c r="IUN38" s="25"/>
      <c r="IUO38" s="25"/>
      <c r="IUP38" s="25"/>
      <c r="IUQ38" s="25"/>
      <c r="IUR38" s="25"/>
      <c r="IUS38" s="25"/>
      <c r="IUT38" s="25"/>
      <c r="IUU38" s="25"/>
      <c r="IUV38" s="25"/>
      <c r="IUW38" s="25"/>
      <c r="IUX38" s="25"/>
      <c r="IUY38" s="25"/>
      <c r="IUZ38" s="25"/>
      <c r="IVA38" s="25"/>
      <c r="IVB38" s="25"/>
      <c r="IVC38" s="25"/>
      <c r="IVD38" s="25"/>
      <c r="IVE38" s="25"/>
      <c r="IVF38" s="25"/>
      <c r="IVG38" s="25"/>
      <c r="IVH38" s="25"/>
      <c r="IVI38" s="25"/>
      <c r="IVJ38" s="25"/>
      <c r="IVK38" s="25"/>
      <c r="IVL38" s="25"/>
      <c r="IVM38" s="25"/>
      <c r="IVN38" s="25"/>
      <c r="IVO38" s="25"/>
      <c r="IVP38" s="25"/>
      <c r="IVQ38" s="25"/>
      <c r="IVR38" s="25"/>
      <c r="IVS38" s="25"/>
      <c r="IVT38" s="25"/>
      <c r="IVU38" s="25"/>
      <c r="IVV38" s="25"/>
      <c r="IVW38" s="25"/>
      <c r="IVX38" s="25"/>
      <c r="IVY38" s="25"/>
      <c r="IVZ38" s="25"/>
      <c r="IWA38" s="25"/>
      <c r="IWB38" s="25"/>
      <c r="IWC38" s="25"/>
      <c r="IWD38" s="25"/>
      <c r="IWE38" s="25"/>
      <c r="IWF38" s="25"/>
      <c r="IWG38" s="25"/>
      <c r="IWH38" s="25"/>
      <c r="IWI38" s="25"/>
      <c r="IWJ38" s="25"/>
      <c r="IWK38" s="25"/>
      <c r="IWL38" s="25"/>
      <c r="IWM38" s="25"/>
      <c r="IWN38" s="25"/>
      <c r="IWO38" s="25"/>
      <c r="IWP38" s="25"/>
      <c r="IWQ38" s="25"/>
      <c r="IWR38" s="25"/>
      <c r="IWS38" s="25"/>
      <c r="IWT38" s="25"/>
      <c r="IWU38" s="25"/>
      <c r="IWV38" s="25"/>
      <c r="IWW38" s="25"/>
      <c r="IWX38" s="25"/>
      <c r="IWY38" s="25"/>
      <c r="IWZ38" s="25"/>
      <c r="IXA38" s="25"/>
      <c r="IXB38" s="25"/>
      <c r="IXC38" s="25"/>
      <c r="IXD38" s="25"/>
      <c r="IXE38" s="25"/>
      <c r="IXF38" s="25"/>
      <c r="IXG38" s="25"/>
      <c r="IXH38" s="25"/>
      <c r="IXI38" s="25"/>
      <c r="IXJ38" s="25"/>
      <c r="IXK38" s="25"/>
      <c r="IXL38" s="25"/>
      <c r="IXM38" s="25"/>
      <c r="IXN38" s="25"/>
      <c r="IXO38" s="25"/>
      <c r="IXP38" s="25"/>
      <c r="IXQ38" s="25"/>
      <c r="IXR38" s="25"/>
      <c r="IXS38" s="25"/>
      <c r="IXT38" s="25"/>
      <c r="IXU38" s="25"/>
      <c r="IXV38" s="25"/>
      <c r="IXW38" s="25"/>
      <c r="IXX38" s="25"/>
      <c r="IXY38" s="25"/>
      <c r="IXZ38" s="25"/>
      <c r="IYA38" s="25"/>
      <c r="IYB38" s="25"/>
      <c r="IYC38" s="25"/>
      <c r="IYD38" s="25"/>
      <c r="IYE38" s="25"/>
      <c r="IYF38" s="25"/>
      <c r="IYG38" s="25"/>
      <c r="IYH38" s="25"/>
      <c r="IYI38" s="25"/>
      <c r="IYJ38" s="25"/>
      <c r="IYK38" s="25"/>
      <c r="IYL38" s="25"/>
      <c r="IYM38" s="25"/>
      <c r="IYN38" s="25"/>
      <c r="IYO38" s="25"/>
      <c r="IYP38" s="25"/>
      <c r="IYQ38" s="25"/>
      <c r="IYR38" s="25"/>
      <c r="IYS38" s="25"/>
      <c r="IYT38" s="25"/>
      <c r="IYU38" s="25"/>
      <c r="IYV38" s="25"/>
      <c r="IYW38" s="25"/>
      <c r="IYX38" s="25"/>
      <c r="IYY38" s="25"/>
      <c r="IYZ38" s="25"/>
      <c r="IZA38" s="25"/>
      <c r="IZB38" s="25"/>
      <c r="IZC38" s="25"/>
      <c r="IZD38" s="25"/>
      <c r="IZE38" s="25"/>
      <c r="IZF38" s="25"/>
      <c r="IZG38" s="25"/>
      <c r="IZH38" s="25"/>
      <c r="IZI38" s="25"/>
      <c r="IZJ38" s="25"/>
      <c r="IZK38" s="25"/>
      <c r="IZL38" s="25"/>
      <c r="IZM38" s="25"/>
      <c r="IZN38" s="25"/>
      <c r="IZO38" s="25"/>
      <c r="IZP38" s="25"/>
      <c r="IZQ38" s="25"/>
      <c r="IZR38" s="25"/>
      <c r="IZS38" s="25"/>
      <c r="IZT38" s="25"/>
      <c r="IZU38" s="25"/>
      <c r="IZV38" s="25"/>
      <c r="IZW38" s="25"/>
      <c r="IZX38" s="25"/>
      <c r="IZY38" s="25"/>
      <c r="IZZ38" s="25"/>
      <c r="JAA38" s="25"/>
      <c r="JAB38" s="25"/>
      <c r="JAC38" s="25"/>
      <c r="JAD38" s="25"/>
      <c r="JAE38" s="25"/>
      <c r="JAF38" s="25"/>
      <c r="JAG38" s="25"/>
      <c r="JAH38" s="25"/>
      <c r="JAI38" s="25"/>
      <c r="JAJ38" s="25"/>
      <c r="JAK38" s="25"/>
      <c r="JAL38" s="25"/>
      <c r="JAM38" s="25"/>
      <c r="JAN38" s="25"/>
      <c r="JAO38" s="25"/>
      <c r="JAP38" s="25"/>
      <c r="JAQ38" s="25"/>
      <c r="JAR38" s="25"/>
      <c r="JAS38" s="25"/>
      <c r="JAT38" s="25"/>
      <c r="JAU38" s="25"/>
      <c r="JAV38" s="25"/>
      <c r="JAW38" s="25"/>
      <c r="JAX38" s="25"/>
      <c r="JAY38" s="25"/>
      <c r="JAZ38" s="25"/>
      <c r="JBA38" s="25"/>
      <c r="JBB38" s="25"/>
      <c r="JBC38" s="25"/>
      <c r="JBD38" s="25"/>
      <c r="JBE38" s="25"/>
      <c r="JBF38" s="25"/>
      <c r="JBG38" s="25"/>
      <c r="JBH38" s="25"/>
      <c r="JBI38" s="25"/>
      <c r="JBJ38" s="25"/>
      <c r="JBK38" s="25"/>
      <c r="JBL38" s="25"/>
      <c r="JBM38" s="25"/>
      <c r="JBN38" s="25"/>
      <c r="JBO38" s="25"/>
      <c r="JBP38" s="25"/>
      <c r="JBQ38" s="25"/>
      <c r="JBR38" s="25"/>
      <c r="JBS38" s="25"/>
      <c r="JBT38" s="25"/>
      <c r="JBU38" s="25"/>
      <c r="JBV38" s="25"/>
      <c r="JBW38" s="25"/>
      <c r="JBX38" s="25"/>
      <c r="JBY38" s="25"/>
      <c r="JBZ38" s="25"/>
      <c r="JCA38" s="25"/>
      <c r="JCB38" s="25"/>
      <c r="JCC38" s="25"/>
      <c r="JCD38" s="25"/>
      <c r="JCE38" s="25"/>
      <c r="JCF38" s="25"/>
      <c r="JCG38" s="25"/>
      <c r="JCH38" s="25"/>
      <c r="JCI38" s="25"/>
      <c r="JCJ38" s="25"/>
      <c r="JCK38" s="25"/>
      <c r="JCL38" s="25"/>
      <c r="JCM38" s="25"/>
      <c r="JCN38" s="25"/>
      <c r="JCO38" s="25"/>
      <c r="JCP38" s="25"/>
      <c r="JCQ38" s="25"/>
      <c r="JCR38" s="25"/>
      <c r="JCS38" s="25"/>
      <c r="JCT38" s="25"/>
      <c r="JCU38" s="25"/>
      <c r="JCV38" s="25"/>
      <c r="JCW38" s="25"/>
      <c r="JCX38" s="25"/>
      <c r="JCY38" s="25"/>
      <c r="JCZ38" s="25"/>
      <c r="JDA38" s="25"/>
      <c r="JDB38" s="25"/>
      <c r="JDC38" s="25"/>
      <c r="JDD38" s="25"/>
      <c r="JDE38" s="25"/>
      <c r="JDF38" s="25"/>
      <c r="JDG38" s="25"/>
      <c r="JDH38" s="25"/>
      <c r="JDI38" s="25"/>
      <c r="JDJ38" s="25"/>
      <c r="JDK38" s="25"/>
      <c r="JDL38" s="25"/>
      <c r="JDM38" s="25"/>
      <c r="JDN38" s="25"/>
      <c r="JDO38" s="25"/>
      <c r="JDP38" s="25"/>
      <c r="JDQ38" s="25"/>
      <c r="JDR38" s="25"/>
      <c r="JDS38" s="25"/>
      <c r="JDT38" s="25"/>
      <c r="JDU38" s="25"/>
      <c r="JDV38" s="25"/>
      <c r="JDW38" s="25"/>
      <c r="JDX38" s="25"/>
      <c r="JDY38" s="25"/>
      <c r="JDZ38" s="25"/>
      <c r="JEA38" s="25"/>
      <c r="JEB38" s="25"/>
      <c r="JEC38" s="25"/>
      <c r="JED38" s="25"/>
      <c r="JEE38" s="25"/>
      <c r="JEF38" s="25"/>
      <c r="JEG38" s="25"/>
      <c r="JEH38" s="25"/>
      <c r="JEI38" s="25"/>
      <c r="JEJ38" s="25"/>
      <c r="JEK38" s="25"/>
      <c r="JEL38" s="25"/>
      <c r="JEM38" s="25"/>
      <c r="JEN38" s="25"/>
      <c r="JEO38" s="25"/>
      <c r="JEP38" s="25"/>
      <c r="JEQ38" s="25"/>
      <c r="JER38" s="25"/>
      <c r="JES38" s="25"/>
      <c r="JET38" s="25"/>
      <c r="JEU38" s="25"/>
      <c r="JEV38" s="25"/>
      <c r="JEW38" s="25"/>
      <c r="JEX38" s="25"/>
      <c r="JEY38" s="25"/>
      <c r="JEZ38" s="25"/>
      <c r="JFA38" s="25"/>
      <c r="JFB38" s="25"/>
      <c r="JFC38" s="25"/>
      <c r="JFD38" s="25"/>
      <c r="JFE38" s="25"/>
      <c r="JFF38" s="25"/>
      <c r="JFG38" s="25"/>
      <c r="JFH38" s="25"/>
      <c r="JFI38" s="25"/>
      <c r="JFJ38" s="25"/>
      <c r="JFK38" s="25"/>
      <c r="JFL38" s="25"/>
      <c r="JFM38" s="25"/>
      <c r="JFN38" s="25"/>
      <c r="JFO38" s="25"/>
      <c r="JFP38" s="25"/>
      <c r="JFQ38" s="25"/>
      <c r="JFR38" s="25"/>
      <c r="JFS38" s="25"/>
      <c r="JFT38" s="25"/>
      <c r="JFU38" s="25"/>
      <c r="JFV38" s="25"/>
      <c r="JFW38" s="25"/>
      <c r="JFX38" s="25"/>
      <c r="JFY38" s="25"/>
      <c r="JFZ38" s="25"/>
      <c r="JGA38" s="25"/>
      <c r="JGB38" s="25"/>
      <c r="JGC38" s="25"/>
      <c r="JGD38" s="25"/>
      <c r="JGE38" s="25"/>
      <c r="JGF38" s="25"/>
      <c r="JGG38" s="25"/>
      <c r="JGH38" s="25"/>
      <c r="JGI38" s="25"/>
      <c r="JGJ38" s="25"/>
      <c r="JGK38" s="25"/>
      <c r="JGL38" s="25"/>
      <c r="JGM38" s="25"/>
      <c r="JGN38" s="25"/>
      <c r="JGO38" s="25"/>
      <c r="JGP38" s="25"/>
      <c r="JGQ38" s="25"/>
      <c r="JGR38" s="25"/>
      <c r="JGS38" s="25"/>
      <c r="JGT38" s="25"/>
      <c r="JGU38" s="25"/>
      <c r="JGV38" s="25"/>
      <c r="JGW38" s="25"/>
      <c r="JGX38" s="25"/>
      <c r="JGY38" s="25"/>
      <c r="JGZ38" s="25"/>
      <c r="JHA38" s="25"/>
      <c r="JHB38" s="25"/>
      <c r="JHC38" s="25"/>
      <c r="JHD38" s="25"/>
      <c r="JHE38" s="25"/>
      <c r="JHF38" s="25"/>
      <c r="JHG38" s="25"/>
      <c r="JHH38" s="25"/>
      <c r="JHI38" s="25"/>
      <c r="JHJ38" s="25"/>
      <c r="JHK38" s="25"/>
      <c r="JHL38" s="25"/>
      <c r="JHM38" s="25"/>
      <c r="JHN38" s="25"/>
      <c r="JHO38" s="25"/>
      <c r="JHP38" s="25"/>
      <c r="JHQ38" s="25"/>
      <c r="JHR38" s="25"/>
      <c r="JHS38" s="25"/>
      <c r="JHT38" s="25"/>
      <c r="JHU38" s="25"/>
      <c r="JHV38" s="25"/>
      <c r="JHW38" s="25"/>
      <c r="JHX38" s="25"/>
      <c r="JHY38" s="25"/>
      <c r="JHZ38" s="25"/>
      <c r="JIA38" s="25"/>
      <c r="JIB38" s="25"/>
      <c r="JIC38" s="25"/>
      <c r="JID38" s="25"/>
      <c r="JIE38" s="25"/>
      <c r="JIF38" s="25"/>
      <c r="JIG38" s="25"/>
      <c r="JIH38" s="25"/>
      <c r="JII38" s="25"/>
      <c r="JIJ38" s="25"/>
      <c r="JIK38" s="25"/>
      <c r="JIL38" s="25"/>
      <c r="JIM38" s="25"/>
      <c r="JIN38" s="25"/>
      <c r="JIO38" s="25"/>
      <c r="JIP38" s="25"/>
      <c r="JIQ38" s="25"/>
      <c r="JIR38" s="25"/>
      <c r="JIS38" s="25"/>
      <c r="JIT38" s="25"/>
      <c r="JIU38" s="25"/>
      <c r="JIV38" s="25"/>
      <c r="JIW38" s="25"/>
      <c r="JIX38" s="25"/>
      <c r="JIY38" s="25"/>
      <c r="JIZ38" s="25"/>
      <c r="JJA38" s="25"/>
      <c r="JJB38" s="25"/>
      <c r="JJC38" s="25"/>
      <c r="JJD38" s="25"/>
      <c r="JJE38" s="25"/>
      <c r="JJF38" s="25"/>
      <c r="JJG38" s="25"/>
      <c r="JJH38" s="25"/>
      <c r="JJI38" s="25"/>
      <c r="JJJ38" s="25"/>
      <c r="JJK38" s="25"/>
      <c r="JJL38" s="25"/>
      <c r="JJM38" s="25"/>
      <c r="JJN38" s="25"/>
      <c r="JJO38" s="25"/>
      <c r="JJP38" s="25"/>
      <c r="JJQ38" s="25"/>
      <c r="JJR38" s="25"/>
      <c r="JJS38" s="25"/>
      <c r="JJT38" s="25"/>
      <c r="JJU38" s="25"/>
      <c r="JJV38" s="25"/>
      <c r="JJW38" s="25"/>
      <c r="JJX38" s="25"/>
      <c r="JJY38" s="25"/>
      <c r="JJZ38" s="25"/>
      <c r="JKA38" s="25"/>
      <c r="JKB38" s="25"/>
      <c r="JKC38" s="25"/>
      <c r="JKD38" s="25"/>
      <c r="JKE38" s="25"/>
      <c r="JKF38" s="25"/>
      <c r="JKG38" s="25"/>
      <c r="JKH38" s="25"/>
      <c r="JKI38" s="25"/>
      <c r="JKJ38" s="25"/>
      <c r="JKK38" s="25"/>
      <c r="JKL38" s="25"/>
      <c r="JKM38" s="25"/>
      <c r="JKN38" s="25"/>
      <c r="JKO38" s="25"/>
      <c r="JKP38" s="25"/>
      <c r="JKQ38" s="25"/>
      <c r="JKR38" s="25"/>
      <c r="JKS38" s="25"/>
      <c r="JKT38" s="25"/>
      <c r="JKU38" s="25"/>
      <c r="JKV38" s="25"/>
      <c r="JKW38" s="25"/>
      <c r="JKX38" s="25"/>
      <c r="JKY38" s="25"/>
      <c r="JKZ38" s="25"/>
      <c r="JLA38" s="25"/>
      <c r="JLB38" s="25"/>
      <c r="JLC38" s="25"/>
      <c r="JLD38" s="25"/>
      <c r="JLE38" s="25"/>
      <c r="JLF38" s="25"/>
      <c r="JLG38" s="25"/>
      <c r="JLH38" s="25"/>
      <c r="JLI38" s="25"/>
      <c r="JLJ38" s="25"/>
      <c r="JLK38" s="25"/>
      <c r="JLL38" s="25"/>
      <c r="JLM38" s="25"/>
      <c r="JLN38" s="25"/>
      <c r="JLO38" s="25"/>
      <c r="JLP38" s="25"/>
      <c r="JLQ38" s="25"/>
      <c r="JLR38" s="25"/>
      <c r="JLS38" s="25"/>
      <c r="JLT38" s="25"/>
      <c r="JLU38" s="25"/>
      <c r="JLV38" s="25"/>
      <c r="JLW38" s="25"/>
      <c r="JLX38" s="25"/>
      <c r="JLY38" s="25"/>
      <c r="JLZ38" s="25"/>
      <c r="JMA38" s="25"/>
      <c r="JMB38" s="25"/>
      <c r="JMC38" s="25"/>
      <c r="JMD38" s="25"/>
      <c r="JME38" s="25"/>
      <c r="JMF38" s="25"/>
      <c r="JMG38" s="25"/>
      <c r="JMH38" s="25"/>
      <c r="JMI38" s="25"/>
      <c r="JMJ38" s="25"/>
      <c r="JMK38" s="25"/>
      <c r="JML38" s="25"/>
      <c r="JMM38" s="25"/>
      <c r="JMN38" s="25"/>
      <c r="JMO38" s="25"/>
      <c r="JMP38" s="25"/>
      <c r="JMQ38" s="25"/>
      <c r="JMR38" s="25"/>
      <c r="JMS38" s="25"/>
      <c r="JMT38" s="25"/>
      <c r="JMU38" s="25"/>
      <c r="JMV38" s="25"/>
      <c r="JMW38" s="25"/>
      <c r="JMX38" s="25"/>
      <c r="JMY38" s="25"/>
      <c r="JMZ38" s="25"/>
      <c r="JNA38" s="25"/>
      <c r="JNB38" s="25"/>
      <c r="JNC38" s="25"/>
      <c r="JND38" s="25"/>
      <c r="JNE38" s="25"/>
      <c r="JNF38" s="25"/>
      <c r="JNG38" s="25"/>
      <c r="JNH38" s="25"/>
      <c r="JNI38" s="25"/>
      <c r="JNJ38" s="25"/>
      <c r="JNK38" s="25"/>
      <c r="JNL38" s="25"/>
      <c r="JNM38" s="25"/>
      <c r="JNN38" s="25"/>
      <c r="JNO38" s="25"/>
      <c r="JNP38" s="25"/>
      <c r="JNQ38" s="25"/>
      <c r="JNR38" s="25"/>
      <c r="JNS38" s="25"/>
      <c r="JNT38" s="25"/>
      <c r="JNU38" s="25"/>
      <c r="JNV38" s="25"/>
      <c r="JNW38" s="25"/>
      <c r="JNX38" s="25"/>
      <c r="JNY38" s="25"/>
      <c r="JNZ38" s="25"/>
      <c r="JOA38" s="25"/>
      <c r="JOB38" s="25"/>
      <c r="JOC38" s="25"/>
      <c r="JOD38" s="25"/>
      <c r="JOE38" s="25"/>
      <c r="JOF38" s="25"/>
      <c r="JOG38" s="25"/>
      <c r="JOH38" s="25"/>
      <c r="JOI38" s="25"/>
      <c r="JOJ38" s="25"/>
      <c r="JOK38" s="25"/>
      <c r="JOL38" s="25"/>
      <c r="JOM38" s="25"/>
      <c r="JON38" s="25"/>
      <c r="JOO38" s="25"/>
      <c r="JOP38" s="25"/>
      <c r="JOQ38" s="25"/>
      <c r="JOR38" s="25"/>
      <c r="JOS38" s="25"/>
      <c r="JOT38" s="25"/>
      <c r="JOU38" s="25"/>
      <c r="JOV38" s="25"/>
      <c r="JOW38" s="25"/>
      <c r="JOX38" s="25"/>
      <c r="JOY38" s="25"/>
      <c r="JOZ38" s="25"/>
      <c r="JPA38" s="25"/>
      <c r="JPB38" s="25"/>
      <c r="JPC38" s="25"/>
      <c r="JPD38" s="25"/>
      <c r="JPE38" s="25"/>
      <c r="JPF38" s="25"/>
      <c r="JPG38" s="25"/>
      <c r="JPH38" s="25"/>
      <c r="JPI38" s="25"/>
      <c r="JPJ38" s="25"/>
      <c r="JPK38" s="25"/>
      <c r="JPL38" s="25"/>
      <c r="JPM38" s="25"/>
      <c r="JPN38" s="25"/>
      <c r="JPO38" s="25"/>
      <c r="JPP38" s="25"/>
      <c r="JPQ38" s="25"/>
      <c r="JPR38" s="25"/>
      <c r="JPS38" s="25"/>
      <c r="JPT38" s="25"/>
      <c r="JPU38" s="25"/>
      <c r="JPV38" s="25"/>
      <c r="JPW38" s="25"/>
      <c r="JPX38" s="25"/>
      <c r="JPY38" s="25"/>
      <c r="JPZ38" s="25"/>
      <c r="JQA38" s="25"/>
      <c r="JQB38" s="25"/>
      <c r="JQC38" s="25"/>
      <c r="JQD38" s="25"/>
      <c r="JQE38" s="25"/>
      <c r="JQF38" s="25"/>
      <c r="JQG38" s="25"/>
      <c r="JQH38" s="25"/>
      <c r="JQI38" s="25"/>
      <c r="JQJ38" s="25"/>
      <c r="JQK38" s="25"/>
      <c r="JQL38" s="25"/>
      <c r="JQM38" s="25"/>
      <c r="JQN38" s="25"/>
      <c r="JQO38" s="25"/>
      <c r="JQP38" s="25"/>
      <c r="JQQ38" s="25"/>
      <c r="JQR38" s="25"/>
      <c r="JQS38" s="25"/>
      <c r="JQT38" s="25"/>
      <c r="JQU38" s="25"/>
      <c r="JQV38" s="25"/>
      <c r="JQW38" s="25"/>
      <c r="JQX38" s="25"/>
      <c r="JQY38" s="25"/>
      <c r="JQZ38" s="25"/>
      <c r="JRA38" s="25"/>
      <c r="JRB38" s="25"/>
      <c r="JRC38" s="25"/>
      <c r="JRD38" s="25"/>
      <c r="JRE38" s="25"/>
      <c r="JRF38" s="25"/>
      <c r="JRG38" s="25"/>
      <c r="JRH38" s="25"/>
      <c r="JRI38" s="25"/>
      <c r="JRJ38" s="25"/>
      <c r="JRK38" s="25"/>
      <c r="JRL38" s="25"/>
      <c r="JRM38" s="25"/>
      <c r="JRN38" s="25"/>
      <c r="JRO38" s="25"/>
      <c r="JRP38" s="25"/>
      <c r="JRQ38" s="25"/>
      <c r="JRR38" s="25"/>
      <c r="JRS38" s="25"/>
      <c r="JRT38" s="25"/>
      <c r="JRU38" s="25"/>
      <c r="JRV38" s="25"/>
      <c r="JRW38" s="25"/>
      <c r="JRX38" s="25"/>
      <c r="JRY38" s="25"/>
      <c r="JRZ38" s="25"/>
      <c r="JSA38" s="25"/>
      <c r="JSB38" s="25"/>
      <c r="JSC38" s="25"/>
      <c r="JSD38" s="25"/>
      <c r="JSE38" s="25"/>
      <c r="JSF38" s="25"/>
      <c r="JSG38" s="25"/>
      <c r="JSH38" s="25"/>
      <c r="JSI38" s="25"/>
      <c r="JSJ38" s="25"/>
      <c r="JSK38" s="25"/>
      <c r="JSL38" s="25"/>
      <c r="JSM38" s="25"/>
      <c r="JSN38" s="25"/>
      <c r="JSO38" s="25"/>
      <c r="JSP38" s="25"/>
      <c r="JSQ38" s="25"/>
      <c r="JSR38" s="25"/>
      <c r="JSS38" s="25"/>
      <c r="JST38" s="25"/>
      <c r="JSU38" s="25"/>
      <c r="JSV38" s="25"/>
      <c r="JSW38" s="25"/>
      <c r="JSX38" s="25"/>
      <c r="JSY38" s="25"/>
      <c r="JSZ38" s="25"/>
      <c r="JTA38" s="25"/>
      <c r="JTB38" s="25"/>
      <c r="JTC38" s="25"/>
      <c r="JTD38" s="25"/>
      <c r="JTE38" s="25"/>
      <c r="JTF38" s="25"/>
      <c r="JTG38" s="25"/>
      <c r="JTH38" s="25"/>
      <c r="JTI38" s="25"/>
      <c r="JTJ38" s="25"/>
      <c r="JTK38" s="25"/>
      <c r="JTL38" s="25"/>
      <c r="JTM38" s="25"/>
      <c r="JTN38" s="25"/>
      <c r="JTO38" s="25"/>
      <c r="JTP38" s="25"/>
      <c r="JTQ38" s="25"/>
      <c r="JTR38" s="25"/>
      <c r="JTS38" s="25"/>
      <c r="JTT38" s="25"/>
      <c r="JTU38" s="25"/>
      <c r="JTV38" s="25"/>
      <c r="JTW38" s="25"/>
      <c r="JTX38" s="25"/>
      <c r="JTY38" s="25"/>
      <c r="JTZ38" s="25"/>
      <c r="JUA38" s="25"/>
      <c r="JUB38" s="25"/>
      <c r="JUC38" s="25"/>
      <c r="JUD38" s="25"/>
      <c r="JUE38" s="25"/>
      <c r="JUF38" s="25"/>
      <c r="JUG38" s="25"/>
      <c r="JUH38" s="25"/>
      <c r="JUI38" s="25"/>
      <c r="JUJ38" s="25"/>
      <c r="JUK38" s="25"/>
      <c r="JUL38" s="25"/>
      <c r="JUM38" s="25"/>
      <c r="JUN38" s="25"/>
      <c r="JUO38" s="25"/>
      <c r="JUP38" s="25"/>
      <c r="JUQ38" s="25"/>
      <c r="JUR38" s="25"/>
      <c r="JUS38" s="25"/>
      <c r="JUT38" s="25"/>
      <c r="JUU38" s="25"/>
      <c r="JUV38" s="25"/>
      <c r="JUW38" s="25"/>
      <c r="JUX38" s="25"/>
      <c r="JUY38" s="25"/>
      <c r="JUZ38" s="25"/>
      <c r="JVA38" s="25"/>
      <c r="JVB38" s="25"/>
      <c r="JVC38" s="25"/>
      <c r="JVD38" s="25"/>
      <c r="JVE38" s="25"/>
      <c r="JVF38" s="25"/>
      <c r="JVG38" s="25"/>
      <c r="JVH38" s="25"/>
      <c r="JVI38" s="25"/>
      <c r="JVJ38" s="25"/>
      <c r="JVK38" s="25"/>
      <c r="JVL38" s="25"/>
      <c r="JVM38" s="25"/>
      <c r="JVN38" s="25"/>
      <c r="JVO38" s="25"/>
      <c r="JVP38" s="25"/>
      <c r="JVQ38" s="25"/>
      <c r="JVR38" s="25"/>
      <c r="JVS38" s="25"/>
      <c r="JVT38" s="25"/>
      <c r="JVU38" s="25"/>
      <c r="JVV38" s="25"/>
      <c r="JVW38" s="25"/>
      <c r="JVX38" s="25"/>
      <c r="JVY38" s="25"/>
      <c r="JVZ38" s="25"/>
      <c r="JWA38" s="25"/>
      <c r="JWB38" s="25"/>
      <c r="JWC38" s="25"/>
      <c r="JWD38" s="25"/>
      <c r="JWE38" s="25"/>
      <c r="JWF38" s="25"/>
      <c r="JWG38" s="25"/>
      <c r="JWH38" s="25"/>
      <c r="JWI38" s="25"/>
      <c r="JWJ38" s="25"/>
      <c r="JWK38" s="25"/>
      <c r="JWL38" s="25"/>
      <c r="JWM38" s="25"/>
      <c r="JWN38" s="25"/>
      <c r="JWO38" s="25"/>
      <c r="JWP38" s="25"/>
      <c r="JWQ38" s="25"/>
      <c r="JWR38" s="25"/>
      <c r="JWS38" s="25"/>
      <c r="JWT38" s="25"/>
      <c r="JWU38" s="25"/>
      <c r="JWV38" s="25"/>
      <c r="JWW38" s="25"/>
      <c r="JWX38" s="25"/>
      <c r="JWY38" s="25"/>
      <c r="JWZ38" s="25"/>
      <c r="JXA38" s="25"/>
      <c r="JXB38" s="25"/>
      <c r="JXC38" s="25"/>
      <c r="JXD38" s="25"/>
      <c r="JXE38" s="25"/>
      <c r="JXF38" s="25"/>
      <c r="JXG38" s="25"/>
      <c r="JXH38" s="25"/>
      <c r="JXI38" s="25"/>
      <c r="JXJ38" s="25"/>
      <c r="JXK38" s="25"/>
      <c r="JXL38" s="25"/>
      <c r="JXM38" s="25"/>
      <c r="JXN38" s="25"/>
      <c r="JXO38" s="25"/>
      <c r="JXP38" s="25"/>
      <c r="JXQ38" s="25"/>
      <c r="JXR38" s="25"/>
      <c r="JXS38" s="25"/>
      <c r="JXT38" s="25"/>
      <c r="JXU38" s="25"/>
      <c r="JXV38" s="25"/>
      <c r="JXW38" s="25"/>
      <c r="JXX38" s="25"/>
      <c r="JXY38" s="25"/>
      <c r="JXZ38" s="25"/>
      <c r="JYA38" s="25"/>
      <c r="JYB38" s="25"/>
      <c r="JYC38" s="25"/>
      <c r="JYD38" s="25"/>
      <c r="JYE38" s="25"/>
      <c r="JYF38" s="25"/>
      <c r="JYG38" s="25"/>
      <c r="JYH38" s="25"/>
      <c r="JYI38" s="25"/>
      <c r="JYJ38" s="25"/>
      <c r="JYK38" s="25"/>
      <c r="JYL38" s="25"/>
      <c r="JYM38" s="25"/>
      <c r="JYN38" s="25"/>
      <c r="JYO38" s="25"/>
      <c r="JYP38" s="25"/>
      <c r="JYQ38" s="25"/>
      <c r="JYR38" s="25"/>
      <c r="JYS38" s="25"/>
      <c r="JYT38" s="25"/>
      <c r="JYU38" s="25"/>
      <c r="JYV38" s="25"/>
      <c r="JYW38" s="25"/>
      <c r="JYX38" s="25"/>
      <c r="JYY38" s="25"/>
      <c r="JYZ38" s="25"/>
      <c r="JZA38" s="25"/>
      <c r="JZB38" s="25"/>
      <c r="JZC38" s="25"/>
      <c r="JZD38" s="25"/>
      <c r="JZE38" s="25"/>
      <c r="JZF38" s="25"/>
      <c r="JZG38" s="25"/>
      <c r="JZH38" s="25"/>
      <c r="JZI38" s="25"/>
      <c r="JZJ38" s="25"/>
      <c r="JZK38" s="25"/>
      <c r="JZL38" s="25"/>
      <c r="JZM38" s="25"/>
      <c r="JZN38" s="25"/>
      <c r="JZO38" s="25"/>
      <c r="JZP38" s="25"/>
      <c r="JZQ38" s="25"/>
      <c r="JZR38" s="25"/>
      <c r="JZS38" s="25"/>
      <c r="JZT38" s="25"/>
      <c r="JZU38" s="25"/>
      <c r="JZV38" s="25"/>
      <c r="JZW38" s="25"/>
      <c r="JZX38" s="25"/>
      <c r="JZY38" s="25"/>
      <c r="JZZ38" s="25"/>
      <c r="KAA38" s="25"/>
      <c r="KAB38" s="25"/>
      <c r="KAC38" s="25"/>
      <c r="KAD38" s="25"/>
      <c r="KAE38" s="25"/>
      <c r="KAF38" s="25"/>
      <c r="KAG38" s="25"/>
      <c r="KAH38" s="25"/>
      <c r="KAI38" s="25"/>
      <c r="KAJ38" s="25"/>
      <c r="KAK38" s="25"/>
      <c r="KAL38" s="25"/>
      <c r="KAM38" s="25"/>
      <c r="KAN38" s="25"/>
      <c r="KAO38" s="25"/>
      <c r="KAP38" s="25"/>
      <c r="KAQ38" s="25"/>
      <c r="KAR38" s="25"/>
      <c r="KAS38" s="25"/>
      <c r="KAT38" s="25"/>
      <c r="KAU38" s="25"/>
      <c r="KAV38" s="25"/>
      <c r="KAW38" s="25"/>
      <c r="KAX38" s="25"/>
      <c r="KAY38" s="25"/>
      <c r="KAZ38" s="25"/>
      <c r="KBA38" s="25"/>
      <c r="KBB38" s="25"/>
      <c r="KBC38" s="25"/>
      <c r="KBD38" s="25"/>
      <c r="KBE38" s="25"/>
      <c r="KBF38" s="25"/>
      <c r="KBG38" s="25"/>
      <c r="KBH38" s="25"/>
      <c r="KBI38" s="25"/>
      <c r="KBJ38" s="25"/>
      <c r="KBK38" s="25"/>
      <c r="KBL38" s="25"/>
      <c r="KBM38" s="25"/>
      <c r="KBN38" s="25"/>
      <c r="KBO38" s="25"/>
      <c r="KBP38" s="25"/>
      <c r="KBQ38" s="25"/>
      <c r="KBR38" s="25"/>
      <c r="KBS38" s="25"/>
      <c r="KBT38" s="25"/>
      <c r="KBU38" s="25"/>
      <c r="KBV38" s="25"/>
      <c r="KBW38" s="25"/>
      <c r="KBX38" s="25"/>
      <c r="KBY38" s="25"/>
      <c r="KBZ38" s="25"/>
      <c r="KCA38" s="25"/>
      <c r="KCB38" s="25"/>
      <c r="KCC38" s="25"/>
      <c r="KCD38" s="25"/>
      <c r="KCE38" s="25"/>
      <c r="KCF38" s="25"/>
      <c r="KCG38" s="25"/>
      <c r="KCH38" s="25"/>
      <c r="KCI38" s="25"/>
      <c r="KCJ38" s="25"/>
      <c r="KCK38" s="25"/>
      <c r="KCL38" s="25"/>
      <c r="KCM38" s="25"/>
      <c r="KCN38" s="25"/>
      <c r="KCO38" s="25"/>
      <c r="KCP38" s="25"/>
      <c r="KCQ38" s="25"/>
      <c r="KCR38" s="25"/>
      <c r="KCS38" s="25"/>
      <c r="KCT38" s="25"/>
      <c r="KCU38" s="25"/>
      <c r="KCV38" s="25"/>
      <c r="KCW38" s="25"/>
      <c r="KCX38" s="25"/>
      <c r="KCY38" s="25"/>
      <c r="KCZ38" s="25"/>
      <c r="KDA38" s="25"/>
      <c r="KDB38" s="25"/>
      <c r="KDC38" s="25"/>
      <c r="KDD38" s="25"/>
      <c r="KDE38" s="25"/>
      <c r="KDF38" s="25"/>
      <c r="KDG38" s="25"/>
      <c r="KDH38" s="25"/>
      <c r="KDI38" s="25"/>
      <c r="KDJ38" s="25"/>
      <c r="KDK38" s="25"/>
      <c r="KDL38" s="25"/>
      <c r="KDM38" s="25"/>
      <c r="KDN38" s="25"/>
      <c r="KDO38" s="25"/>
      <c r="KDP38" s="25"/>
      <c r="KDQ38" s="25"/>
      <c r="KDR38" s="25"/>
      <c r="KDS38" s="25"/>
      <c r="KDT38" s="25"/>
      <c r="KDU38" s="25"/>
      <c r="KDV38" s="25"/>
      <c r="KDW38" s="25"/>
      <c r="KDX38" s="25"/>
      <c r="KDY38" s="25"/>
      <c r="KDZ38" s="25"/>
      <c r="KEA38" s="25"/>
      <c r="KEB38" s="25"/>
      <c r="KEC38" s="25"/>
      <c r="KED38" s="25"/>
      <c r="KEE38" s="25"/>
      <c r="KEF38" s="25"/>
      <c r="KEG38" s="25"/>
      <c r="KEH38" s="25"/>
      <c r="KEI38" s="25"/>
      <c r="KEJ38" s="25"/>
      <c r="KEK38" s="25"/>
      <c r="KEL38" s="25"/>
      <c r="KEM38" s="25"/>
      <c r="KEN38" s="25"/>
      <c r="KEO38" s="25"/>
      <c r="KEP38" s="25"/>
      <c r="KEQ38" s="25"/>
      <c r="KER38" s="25"/>
      <c r="KES38" s="25"/>
      <c r="KET38" s="25"/>
      <c r="KEU38" s="25"/>
      <c r="KEV38" s="25"/>
      <c r="KEW38" s="25"/>
      <c r="KEX38" s="25"/>
      <c r="KEY38" s="25"/>
      <c r="KEZ38" s="25"/>
      <c r="KFA38" s="25"/>
      <c r="KFB38" s="25"/>
      <c r="KFC38" s="25"/>
      <c r="KFD38" s="25"/>
      <c r="KFE38" s="25"/>
      <c r="KFF38" s="25"/>
      <c r="KFG38" s="25"/>
      <c r="KFH38" s="25"/>
      <c r="KFI38" s="25"/>
      <c r="KFJ38" s="25"/>
      <c r="KFK38" s="25"/>
      <c r="KFL38" s="25"/>
      <c r="KFM38" s="25"/>
      <c r="KFN38" s="25"/>
      <c r="KFO38" s="25"/>
      <c r="KFP38" s="25"/>
      <c r="KFQ38" s="25"/>
      <c r="KFR38" s="25"/>
      <c r="KFS38" s="25"/>
      <c r="KFT38" s="25"/>
      <c r="KFU38" s="25"/>
      <c r="KFV38" s="25"/>
      <c r="KFW38" s="25"/>
      <c r="KFX38" s="25"/>
      <c r="KFY38" s="25"/>
      <c r="KFZ38" s="25"/>
      <c r="KGA38" s="25"/>
      <c r="KGB38" s="25"/>
      <c r="KGC38" s="25"/>
      <c r="KGD38" s="25"/>
      <c r="KGE38" s="25"/>
      <c r="KGF38" s="25"/>
      <c r="KGG38" s="25"/>
      <c r="KGH38" s="25"/>
      <c r="KGI38" s="25"/>
      <c r="KGJ38" s="25"/>
      <c r="KGK38" s="25"/>
      <c r="KGL38" s="25"/>
      <c r="KGM38" s="25"/>
      <c r="KGN38" s="25"/>
      <c r="KGO38" s="25"/>
      <c r="KGP38" s="25"/>
      <c r="KGQ38" s="25"/>
      <c r="KGR38" s="25"/>
      <c r="KGS38" s="25"/>
      <c r="KGT38" s="25"/>
      <c r="KGU38" s="25"/>
      <c r="KGV38" s="25"/>
      <c r="KGW38" s="25"/>
      <c r="KGX38" s="25"/>
      <c r="KGY38" s="25"/>
      <c r="KGZ38" s="25"/>
      <c r="KHA38" s="25"/>
      <c r="KHB38" s="25"/>
      <c r="KHC38" s="25"/>
      <c r="KHD38" s="25"/>
      <c r="KHE38" s="25"/>
      <c r="KHF38" s="25"/>
      <c r="KHG38" s="25"/>
      <c r="KHH38" s="25"/>
      <c r="KHI38" s="25"/>
      <c r="KHJ38" s="25"/>
      <c r="KHK38" s="25"/>
      <c r="KHL38" s="25"/>
      <c r="KHM38" s="25"/>
      <c r="KHN38" s="25"/>
      <c r="KHO38" s="25"/>
      <c r="KHP38" s="25"/>
      <c r="KHQ38" s="25"/>
      <c r="KHR38" s="25"/>
      <c r="KHS38" s="25"/>
      <c r="KHT38" s="25"/>
      <c r="KHU38" s="25"/>
      <c r="KHV38" s="25"/>
      <c r="KHW38" s="25"/>
      <c r="KHX38" s="25"/>
      <c r="KHY38" s="25"/>
      <c r="KHZ38" s="25"/>
      <c r="KIA38" s="25"/>
      <c r="KIB38" s="25"/>
      <c r="KIC38" s="25"/>
      <c r="KID38" s="25"/>
      <c r="KIE38" s="25"/>
      <c r="KIF38" s="25"/>
      <c r="KIG38" s="25"/>
      <c r="KIH38" s="25"/>
      <c r="KII38" s="25"/>
      <c r="KIJ38" s="25"/>
      <c r="KIK38" s="25"/>
      <c r="KIL38" s="25"/>
      <c r="KIM38" s="25"/>
      <c r="KIN38" s="25"/>
      <c r="KIO38" s="25"/>
      <c r="KIP38" s="25"/>
      <c r="KIQ38" s="25"/>
      <c r="KIR38" s="25"/>
      <c r="KIS38" s="25"/>
      <c r="KIT38" s="25"/>
      <c r="KIU38" s="25"/>
      <c r="KIV38" s="25"/>
      <c r="KIW38" s="25"/>
      <c r="KIX38" s="25"/>
      <c r="KIY38" s="25"/>
      <c r="KIZ38" s="25"/>
      <c r="KJA38" s="25"/>
      <c r="KJB38" s="25"/>
      <c r="KJC38" s="25"/>
      <c r="KJD38" s="25"/>
      <c r="KJE38" s="25"/>
      <c r="KJF38" s="25"/>
      <c r="KJG38" s="25"/>
      <c r="KJH38" s="25"/>
      <c r="KJI38" s="25"/>
      <c r="KJJ38" s="25"/>
      <c r="KJK38" s="25"/>
      <c r="KJL38" s="25"/>
      <c r="KJM38" s="25"/>
      <c r="KJN38" s="25"/>
      <c r="KJO38" s="25"/>
      <c r="KJP38" s="25"/>
      <c r="KJQ38" s="25"/>
      <c r="KJR38" s="25"/>
      <c r="KJS38" s="25"/>
      <c r="KJT38" s="25"/>
      <c r="KJU38" s="25"/>
      <c r="KJV38" s="25"/>
      <c r="KJW38" s="25"/>
      <c r="KJX38" s="25"/>
      <c r="KJY38" s="25"/>
      <c r="KJZ38" s="25"/>
      <c r="KKA38" s="25"/>
      <c r="KKB38" s="25"/>
      <c r="KKC38" s="25"/>
      <c r="KKD38" s="25"/>
      <c r="KKE38" s="25"/>
      <c r="KKF38" s="25"/>
      <c r="KKG38" s="25"/>
      <c r="KKH38" s="25"/>
      <c r="KKI38" s="25"/>
      <c r="KKJ38" s="25"/>
      <c r="KKK38" s="25"/>
      <c r="KKL38" s="25"/>
      <c r="KKM38" s="25"/>
      <c r="KKN38" s="25"/>
      <c r="KKO38" s="25"/>
      <c r="KKP38" s="25"/>
      <c r="KKQ38" s="25"/>
      <c r="KKR38" s="25"/>
      <c r="KKS38" s="25"/>
      <c r="KKT38" s="25"/>
      <c r="KKU38" s="25"/>
      <c r="KKV38" s="25"/>
      <c r="KKW38" s="25"/>
      <c r="KKX38" s="25"/>
      <c r="KKY38" s="25"/>
      <c r="KKZ38" s="25"/>
      <c r="KLA38" s="25"/>
      <c r="KLB38" s="25"/>
      <c r="KLC38" s="25"/>
      <c r="KLD38" s="25"/>
      <c r="KLE38" s="25"/>
      <c r="KLF38" s="25"/>
      <c r="KLG38" s="25"/>
      <c r="KLH38" s="25"/>
      <c r="KLI38" s="25"/>
      <c r="KLJ38" s="25"/>
      <c r="KLK38" s="25"/>
      <c r="KLL38" s="25"/>
      <c r="KLM38" s="25"/>
      <c r="KLN38" s="25"/>
      <c r="KLO38" s="25"/>
      <c r="KLP38" s="25"/>
      <c r="KLQ38" s="25"/>
      <c r="KLR38" s="25"/>
      <c r="KLS38" s="25"/>
      <c r="KLT38" s="25"/>
      <c r="KLU38" s="25"/>
      <c r="KLV38" s="25"/>
      <c r="KLW38" s="25"/>
      <c r="KLX38" s="25"/>
      <c r="KLY38" s="25"/>
      <c r="KLZ38" s="25"/>
      <c r="KMA38" s="25"/>
      <c r="KMB38" s="25"/>
      <c r="KMC38" s="25"/>
      <c r="KMD38" s="25"/>
      <c r="KME38" s="25"/>
      <c r="KMF38" s="25"/>
      <c r="KMG38" s="25"/>
      <c r="KMH38" s="25"/>
      <c r="KMI38" s="25"/>
      <c r="KMJ38" s="25"/>
      <c r="KMK38" s="25"/>
      <c r="KML38" s="25"/>
      <c r="KMM38" s="25"/>
      <c r="KMN38" s="25"/>
      <c r="KMO38" s="25"/>
      <c r="KMP38" s="25"/>
      <c r="KMQ38" s="25"/>
      <c r="KMR38" s="25"/>
      <c r="KMS38" s="25"/>
      <c r="KMT38" s="25"/>
      <c r="KMU38" s="25"/>
      <c r="KMV38" s="25"/>
      <c r="KMW38" s="25"/>
      <c r="KMX38" s="25"/>
      <c r="KMY38" s="25"/>
      <c r="KMZ38" s="25"/>
      <c r="KNA38" s="25"/>
      <c r="KNB38" s="25"/>
      <c r="KNC38" s="25"/>
      <c r="KND38" s="25"/>
      <c r="KNE38" s="25"/>
      <c r="KNF38" s="25"/>
      <c r="KNG38" s="25"/>
      <c r="KNH38" s="25"/>
      <c r="KNI38" s="25"/>
      <c r="KNJ38" s="25"/>
      <c r="KNK38" s="25"/>
      <c r="KNL38" s="25"/>
      <c r="KNM38" s="25"/>
      <c r="KNN38" s="25"/>
      <c r="KNO38" s="25"/>
      <c r="KNP38" s="25"/>
      <c r="KNQ38" s="25"/>
      <c r="KNR38" s="25"/>
      <c r="KNS38" s="25"/>
      <c r="KNT38" s="25"/>
      <c r="KNU38" s="25"/>
      <c r="KNV38" s="25"/>
      <c r="KNW38" s="25"/>
      <c r="KNX38" s="25"/>
      <c r="KNY38" s="25"/>
      <c r="KNZ38" s="25"/>
      <c r="KOA38" s="25"/>
      <c r="KOB38" s="25"/>
      <c r="KOC38" s="25"/>
      <c r="KOD38" s="25"/>
      <c r="KOE38" s="25"/>
      <c r="KOF38" s="25"/>
      <c r="KOG38" s="25"/>
      <c r="KOH38" s="25"/>
      <c r="KOI38" s="25"/>
      <c r="KOJ38" s="25"/>
      <c r="KOK38" s="25"/>
      <c r="KOL38" s="25"/>
      <c r="KOM38" s="25"/>
      <c r="KON38" s="25"/>
      <c r="KOO38" s="25"/>
      <c r="KOP38" s="25"/>
      <c r="KOQ38" s="25"/>
      <c r="KOR38" s="25"/>
      <c r="KOS38" s="25"/>
      <c r="KOT38" s="25"/>
      <c r="KOU38" s="25"/>
      <c r="KOV38" s="25"/>
      <c r="KOW38" s="25"/>
      <c r="KOX38" s="25"/>
      <c r="KOY38" s="25"/>
      <c r="KOZ38" s="25"/>
      <c r="KPA38" s="25"/>
      <c r="KPB38" s="25"/>
      <c r="KPC38" s="25"/>
      <c r="KPD38" s="25"/>
      <c r="KPE38" s="25"/>
      <c r="KPF38" s="25"/>
      <c r="KPG38" s="25"/>
      <c r="KPH38" s="25"/>
      <c r="KPI38" s="25"/>
      <c r="KPJ38" s="25"/>
      <c r="KPK38" s="25"/>
      <c r="KPL38" s="25"/>
      <c r="KPM38" s="25"/>
      <c r="KPN38" s="25"/>
      <c r="KPO38" s="25"/>
      <c r="KPP38" s="25"/>
      <c r="KPQ38" s="25"/>
      <c r="KPR38" s="25"/>
      <c r="KPS38" s="25"/>
      <c r="KPT38" s="25"/>
      <c r="KPU38" s="25"/>
      <c r="KPV38" s="25"/>
      <c r="KPW38" s="25"/>
      <c r="KPX38" s="25"/>
      <c r="KPY38" s="25"/>
      <c r="KPZ38" s="25"/>
      <c r="KQA38" s="25"/>
      <c r="KQB38" s="25"/>
      <c r="KQC38" s="25"/>
      <c r="KQD38" s="25"/>
      <c r="KQE38" s="25"/>
      <c r="KQF38" s="25"/>
      <c r="KQG38" s="25"/>
      <c r="KQH38" s="25"/>
      <c r="KQI38" s="25"/>
      <c r="KQJ38" s="25"/>
      <c r="KQK38" s="25"/>
      <c r="KQL38" s="25"/>
      <c r="KQM38" s="25"/>
      <c r="KQN38" s="25"/>
      <c r="KQO38" s="25"/>
      <c r="KQP38" s="25"/>
      <c r="KQQ38" s="25"/>
      <c r="KQR38" s="25"/>
      <c r="KQS38" s="25"/>
      <c r="KQT38" s="25"/>
      <c r="KQU38" s="25"/>
      <c r="KQV38" s="25"/>
      <c r="KQW38" s="25"/>
      <c r="KQX38" s="25"/>
      <c r="KQY38" s="25"/>
      <c r="KQZ38" s="25"/>
      <c r="KRA38" s="25"/>
      <c r="KRB38" s="25"/>
      <c r="KRC38" s="25"/>
      <c r="KRD38" s="25"/>
      <c r="KRE38" s="25"/>
      <c r="KRF38" s="25"/>
      <c r="KRG38" s="25"/>
      <c r="KRH38" s="25"/>
      <c r="KRI38" s="25"/>
      <c r="KRJ38" s="25"/>
      <c r="KRK38" s="25"/>
      <c r="KRL38" s="25"/>
      <c r="KRM38" s="25"/>
      <c r="KRN38" s="25"/>
      <c r="KRO38" s="25"/>
      <c r="KRP38" s="25"/>
      <c r="KRQ38" s="25"/>
      <c r="KRR38" s="25"/>
      <c r="KRS38" s="25"/>
      <c r="KRT38" s="25"/>
      <c r="KRU38" s="25"/>
      <c r="KRV38" s="25"/>
      <c r="KRW38" s="25"/>
      <c r="KRX38" s="25"/>
      <c r="KRY38" s="25"/>
      <c r="KRZ38" s="25"/>
      <c r="KSA38" s="25"/>
      <c r="KSB38" s="25"/>
      <c r="KSC38" s="25"/>
      <c r="KSD38" s="25"/>
      <c r="KSE38" s="25"/>
      <c r="KSF38" s="25"/>
      <c r="KSG38" s="25"/>
      <c r="KSH38" s="25"/>
      <c r="KSI38" s="25"/>
      <c r="KSJ38" s="25"/>
      <c r="KSK38" s="25"/>
      <c r="KSL38" s="25"/>
      <c r="KSM38" s="25"/>
      <c r="KSN38" s="25"/>
      <c r="KSO38" s="25"/>
      <c r="KSP38" s="25"/>
      <c r="KSQ38" s="25"/>
      <c r="KSR38" s="25"/>
      <c r="KSS38" s="25"/>
      <c r="KST38" s="25"/>
      <c r="KSU38" s="25"/>
      <c r="KSV38" s="25"/>
      <c r="KSW38" s="25"/>
      <c r="KSX38" s="25"/>
      <c r="KSY38" s="25"/>
      <c r="KSZ38" s="25"/>
      <c r="KTA38" s="25"/>
      <c r="KTB38" s="25"/>
      <c r="KTC38" s="25"/>
      <c r="KTD38" s="25"/>
      <c r="KTE38" s="25"/>
      <c r="KTF38" s="25"/>
      <c r="KTG38" s="25"/>
      <c r="KTH38" s="25"/>
      <c r="KTI38" s="25"/>
      <c r="KTJ38" s="25"/>
      <c r="KTK38" s="25"/>
      <c r="KTL38" s="25"/>
      <c r="KTM38" s="25"/>
      <c r="KTN38" s="25"/>
      <c r="KTO38" s="25"/>
      <c r="KTP38" s="25"/>
      <c r="KTQ38" s="25"/>
      <c r="KTR38" s="25"/>
      <c r="KTS38" s="25"/>
      <c r="KTT38" s="25"/>
      <c r="KTU38" s="25"/>
      <c r="KTV38" s="25"/>
      <c r="KTW38" s="25"/>
      <c r="KTX38" s="25"/>
      <c r="KTY38" s="25"/>
      <c r="KTZ38" s="25"/>
      <c r="KUA38" s="25"/>
      <c r="KUB38" s="25"/>
      <c r="KUC38" s="25"/>
      <c r="KUD38" s="25"/>
      <c r="KUE38" s="25"/>
      <c r="KUF38" s="25"/>
      <c r="KUG38" s="25"/>
      <c r="KUH38" s="25"/>
      <c r="KUI38" s="25"/>
      <c r="KUJ38" s="25"/>
      <c r="KUK38" s="25"/>
      <c r="KUL38" s="25"/>
      <c r="KUM38" s="25"/>
      <c r="KUN38" s="25"/>
      <c r="KUO38" s="25"/>
      <c r="KUP38" s="25"/>
      <c r="KUQ38" s="25"/>
      <c r="KUR38" s="25"/>
      <c r="KUS38" s="25"/>
      <c r="KUT38" s="25"/>
      <c r="KUU38" s="25"/>
      <c r="KUV38" s="25"/>
      <c r="KUW38" s="25"/>
      <c r="KUX38" s="25"/>
      <c r="KUY38" s="25"/>
      <c r="KUZ38" s="25"/>
      <c r="KVA38" s="25"/>
      <c r="KVB38" s="25"/>
      <c r="KVC38" s="25"/>
      <c r="KVD38" s="25"/>
      <c r="KVE38" s="25"/>
      <c r="KVF38" s="25"/>
      <c r="KVG38" s="25"/>
      <c r="KVH38" s="25"/>
      <c r="KVI38" s="25"/>
      <c r="KVJ38" s="25"/>
      <c r="KVK38" s="25"/>
      <c r="KVL38" s="25"/>
      <c r="KVM38" s="25"/>
      <c r="KVN38" s="25"/>
      <c r="KVO38" s="25"/>
      <c r="KVP38" s="25"/>
      <c r="KVQ38" s="25"/>
      <c r="KVR38" s="25"/>
      <c r="KVS38" s="25"/>
      <c r="KVT38" s="25"/>
      <c r="KVU38" s="25"/>
      <c r="KVV38" s="25"/>
      <c r="KVW38" s="25"/>
      <c r="KVX38" s="25"/>
      <c r="KVY38" s="25"/>
      <c r="KVZ38" s="25"/>
      <c r="KWA38" s="25"/>
      <c r="KWB38" s="25"/>
      <c r="KWC38" s="25"/>
      <c r="KWD38" s="25"/>
      <c r="KWE38" s="25"/>
      <c r="KWF38" s="25"/>
      <c r="KWG38" s="25"/>
      <c r="KWH38" s="25"/>
      <c r="KWI38" s="25"/>
      <c r="KWJ38" s="25"/>
      <c r="KWK38" s="25"/>
      <c r="KWL38" s="25"/>
      <c r="KWM38" s="25"/>
      <c r="KWN38" s="25"/>
      <c r="KWO38" s="25"/>
      <c r="KWP38" s="25"/>
      <c r="KWQ38" s="25"/>
      <c r="KWR38" s="25"/>
      <c r="KWS38" s="25"/>
      <c r="KWT38" s="25"/>
      <c r="KWU38" s="25"/>
      <c r="KWV38" s="25"/>
      <c r="KWW38" s="25"/>
      <c r="KWX38" s="25"/>
      <c r="KWY38" s="25"/>
      <c r="KWZ38" s="25"/>
      <c r="KXA38" s="25"/>
      <c r="KXB38" s="25"/>
      <c r="KXC38" s="25"/>
      <c r="KXD38" s="25"/>
      <c r="KXE38" s="25"/>
      <c r="KXF38" s="25"/>
      <c r="KXG38" s="25"/>
      <c r="KXH38" s="25"/>
      <c r="KXI38" s="25"/>
      <c r="KXJ38" s="25"/>
      <c r="KXK38" s="25"/>
      <c r="KXL38" s="25"/>
      <c r="KXM38" s="25"/>
      <c r="KXN38" s="25"/>
      <c r="KXO38" s="25"/>
      <c r="KXP38" s="25"/>
      <c r="KXQ38" s="25"/>
      <c r="KXR38" s="25"/>
      <c r="KXS38" s="25"/>
      <c r="KXT38" s="25"/>
      <c r="KXU38" s="25"/>
      <c r="KXV38" s="25"/>
      <c r="KXW38" s="25"/>
      <c r="KXX38" s="25"/>
      <c r="KXY38" s="25"/>
      <c r="KXZ38" s="25"/>
      <c r="KYA38" s="25"/>
      <c r="KYB38" s="25"/>
      <c r="KYC38" s="25"/>
      <c r="KYD38" s="25"/>
      <c r="KYE38" s="25"/>
      <c r="KYF38" s="25"/>
      <c r="KYG38" s="25"/>
      <c r="KYH38" s="25"/>
      <c r="KYI38" s="25"/>
      <c r="KYJ38" s="25"/>
      <c r="KYK38" s="25"/>
      <c r="KYL38" s="25"/>
      <c r="KYM38" s="25"/>
      <c r="KYN38" s="25"/>
      <c r="KYO38" s="25"/>
      <c r="KYP38" s="25"/>
      <c r="KYQ38" s="25"/>
      <c r="KYR38" s="25"/>
      <c r="KYS38" s="25"/>
      <c r="KYT38" s="25"/>
      <c r="KYU38" s="25"/>
      <c r="KYV38" s="25"/>
      <c r="KYW38" s="25"/>
      <c r="KYX38" s="25"/>
      <c r="KYY38" s="25"/>
      <c r="KYZ38" s="25"/>
      <c r="KZA38" s="25"/>
      <c r="KZB38" s="25"/>
      <c r="KZC38" s="25"/>
      <c r="KZD38" s="25"/>
      <c r="KZE38" s="25"/>
      <c r="KZF38" s="25"/>
      <c r="KZG38" s="25"/>
      <c r="KZH38" s="25"/>
      <c r="KZI38" s="25"/>
      <c r="KZJ38" s="25"/>
      <c r="KZK38" s="25"/>
      <c r="KZL38" s="25"/>
      <c r="KZM38" s="25"/>
      <c r="KZN38" s="25"/>
      <c r="KZO38" s="25"/>
      <c r="KZP38" s="25"/>
      <c r="KZQ38" s="25"/>
      <c r="KZR38" s="25"/>
      <c r="KZS38" s="25"/>
      <c r="KZT38" s="25"/>
      <c r="KZU38" s="25"/>
      <c r="KZV38" s="25"/>
      <c r="KZW38" s="25"/>
      <c r="KZX38" s="25"/>
      <c r="KZY38" s="25"/>
      <c r="KZZ38" s="25"/>
      <c r="LAA38" s="25"/>
      <c r="LAB38" s="25"/>
      <c r="LAC38" s="25"/>
      <c r="LAD38" s="25"/>
      <c r="LAE38" s="25"/>
      <c r="LAF38" s="25"/>
      <c r="LAG38" s="25"/>
      <c r="LAH38" s="25"/>
      <c r="LAI38" s="25"/>
      <c r="LAJ38" s="25"/>
      <c r="LAK38" s="25"/>
      <c r="LAL38" s="25"/>
      <c r="LAM38" s="25"/>
      <c r="LAN38" s="25"/>
      <c r="LAO38" s="25"/>
      <c r="LAP38" s="25"/>
      <c r="LAQ38" s="25"/>
      <c r="LAR38" s="25"/>
      <c r="LAS38" s="25"/>
      <c r="LAT38" s="25"/>
      <c r="LAU38" s="25"/>
      <c r="LAV38" s="25"/>
      <c r="LAW38" s="25"/>
      <c r="LAX38" s="25"/>
      <c r="LAY38" s="25"/>
      <c r="LAZ38" s="25"/>
      <c r="LBA38" s="25"/>
      <c r="LBB38" s="25"/>
      <c r="LBC38" s="25"/>
      <c r="LBD38" s="25"/>
      <c r="LBE38" s="25"/>
      <c r="LBF38" s="25"/>
      <c r="LBG38" s="25"/>
      <c r="LBH38" s="25"/>
      <c r="LBI38" s="25"/>
      <c r="LBJ38" s="25"/>
      <c r="LBK38" s="25"/>
      <c r="LBL38" s="25"/>
      <c r="LBM38" s="25"/>
      <c r="LBN38" s="25"/>
      <c r="LBO38" s="25"/>
      <c r="LBP38" s="25"/>
      <c r="LBQ38" s="25"/>
      <c r="LBR38" s="25"/>
      <c r="LBS38" s="25"/>
      <c r="LBT38" s="25"/>
      <c r="LBU38" s="25"/>
      <c r="LBV38" s="25"/>
      <c r="LBW38" s="25"/>
      <c r="LBX38" s="25"/>
      <c r="LBY38" s="25"/>
      <c r="LBZ38" s="25"/>
      <c r="LCA38" s="25"/>
      <c r="LCB38" s="25"/>
      <c r="LCC38" s="25"/>
      <c r="LCD38" s="25"/>
      <c r="LCE38" s="25"/>
      <c r="LCF38" s="25"/>
      <c r="LCG38" s="25"/>
      <c r="LCH38" s="25"/>
      <c r="LCI38" s="25"/>
      <c r="LCJ38" s="25"/>
      <c r="LCK38" s="25"/>
      <c r="LCL38" s="25"/>
      <c r="LCM38" s="25"/>
      <c r="LCN38" s="25"/>
      <c r="LCO38" s="25"/>
      <c r="LCP38" s="25"/>
      <c r="LCQ38" s="25"/>
      <c r="LCR38" s="25"/>
      <c r="LCS38" s="25"/>
      <c r="LCT38" s="25"/>
      <c r="LCU38" s="25"/>
      <c r="LCV38" s="25"/>
      <c r="LCW38" s="25"/>
      <c r="LCX38" s="25"/>
      <c r="LCY38" s="25"/>
      <c r="LCZ38" s="25"/>
      <c r="LDA38" s="25"/>
      <c r="LDB38" s="25"/>
      <c r="LDC38" s="25"/>
      <c r="LDD38" s="25"/>
      <c r="LDE38" s="25"/>
      <c r="LDF38" s="25"/>
      <c r="LDG38" s="25"/>
      <c r="LDH38" s="25"/>
      <c r="LDI38" s="25"/>
      <c r="LDJ38" s="25"/>
      <c r="LDK38" s="25"/>
      <c r="LDL38" s="25"/>
      <c r="LDM38" s="25"/>
      <c r="LDN38" s="25"/>
      <c r="LDO38" s="25"/>
      <c r="LDP38" s="25"/>
      <c r="LDQ38" s="25"/>
      <c r="LDR38" s="25"/>
      <c r="LDS38" s="25"/>
      <c r="LDT38" s="25"/>
      <c r="LDU38" s="25"/>
      <c r="LDV38" s="25"/>
      <c r="LDW38" s="25"/>
      <c r="LDX38" s="25"/>
      <c r="LDY38" s="25"/>
      <c r="LDZ38" s="25"/>
      <c r="LEA38" s="25"/>
      <c r="LEB38" s="25"/>
      <c r="LEC38" s="25"/>
      <c r="LED38" s="25"/>
      <c r="LEE38" s="25"/>
      <c r="LEF38" s="25"/>
      <c r="LEG38" s="25"/>
      <c r="LEH38" s="25"/>
      <c r="LEI38" s="25"/>
      <c r="LEJ38" s="25"/>
      <c r="LEK38" s="25"/>
      <c r="LEL38" s="25"/>
      <c r="LEM38" s="25"/>
      <c r="LEN38" s="25"/>
      <c r="LEO38" s="25"/>
      <c r="LEP38" s="25"/>
      <c r="LEQ38" s="25"/>
      <c r="LER38" s="25"/>
      <c r="LES38" s="25"/>
      <c r="LET38" s="25"/>
      <c r="LEU38" s="25"/>
      <c r="LEV38" s="25"/>
      <c r="LEW38" s="25"/>
      <c r="LEX38" s="25"/>
      <c r="LEY38" s="25"/>
      <c r="LEZ38" s="25"/>
      <c r="LFA38" s="25"/>
      <c r="LFB38" s="25"/>
      <c r="LFC38" s="25"/>
      <c r="LFD38" s="25"/>
      <c r="LFE38" s="25"/>
      <c r="LFF38" s="25"/>
      <c r="LFG38" s="25"/>
      <c r="LFH38" s="25"/>
      <c r="LFI38" s="25"/>
      <c r="LFJ38" s="25"/>
      <c r="LFK38" s="25"/>
      <c r="LFL38" s="25"/>
      <c r="LFM38" s="25"/>
      <c r="LFN38" s="25"/>
      <c r="LFO38" s="25"/>
      <c r="LFP38" s="25"/>
      <c r="LFQ38" s="25"/>
      <c r="LFR38" s="25"/>
      <c r="LFS38" s="25"/>
      <c r="LFT38" s="25"/>
      <c r="LFU38" s="25"/>
      <c r="LFV38" s="25"/>
      <c r="LFW38" s="25"/>
      <c r="LFX38" s="25"/>
      <c r="LFY38" s="25"/>
      <c r="LFZ38" s="25"/>
      <c r="LGA38" s="25"/>
      <c r="LGB38" s="25"/>
      <c r="LGC38" s="25"/>
      <c r="LGD38" s="25"/>
      <c r="LGE38" s="25"/>
      <c r="LGF38" s="25"/>
      <c r="LGG38" s="25"/>
      <c r="LGH38" s="25"/>
      <c r="LGI38" s="25"/>
      <c r="LGJ38" s="25"/>
      <c r="LGK38" s="25"/>
      <c r="LGL38" s="25"/>
      <c r="LGM38" s="25"/>
      <c r="LGN38" s="25"/>
      <c r="LGO38" s="25"/>
      <c r="LGP38" s="25"/>
      <c r="LGQ38" s="25"/>
      <c r="LGR38" s="25"/>
      <c r="LGS38" s="25"/>
      <c r="LGT38" s="25"/>
      <c r="LGU38" s="25"/>
      <c r="LGV38" s="25"/>
      <c r="LGW38" s="25"/>
      <c r="LGX38" s="25"/>
      <c r="LGY38" s="25"/>
      <c r="LGZ38" s="25"/>
      <c r="LHA38" s="25"/>
      <c r="LHB38" s="25"/>
      <c r="LHC38" s="25"/>
      <c r="LHD38" s="25"/>
      <c r="LHE38" s="25"/>
      <c r="LHF38" s="25"/>
      <c r="LHG38" s="25"/>
      <c r="LHH38" s="25"/>
      <c r="LHI38" s="25"/>
      <c r="LHJ38" s="25"/>
      <c r="LHK38" s="25"/>
      <c r="LHL38" s="25"/>
      <c r="LHM38" s="25"/>
      <c r="LHN38" s="25"/>
      <c r="LHO38" s="25"/>
      <c r="LHP38" s="25"/>
      <c r="LHQ38" s="25"/>
      <c r="LHR38" s="25"/>
      <c r="LHS38" s="25"/>
      <c r="LHT38" s="25"/>
      <c r="LHU38" s="25"/>
      <c r="LHV38" s="25"/>
      <c r="LHW38" s="25"/>
      <c r="LHX38" s="25"/>
      <c r="LHY38" s="25"/>
      <c r="LHZ38" s="25"/>
      <c r="LIA38" s="25"/>
      <c r="LIB38" s="25"/>
      <c r="LIC38" s="25"/>
      <c r="LID38" s="25"/>
      <c r="LIE38" s="25"/>
      <c r="LIF38" s="25"/>
      <c r="LIG38" s="25"/>
      <c r="LIH38" s="25"/>
      <c r="LII38" s="25"/>
      <c r="LIJ38" s="25"/>
      <c r="LIK38" s="25"/>
      <c r="LIL38" s="25"/>
      <c r="LIM38" s="25"/>
      <c r="LIN38" s="25"/>
      <c r="LIO38" s="25"/>
      <c r="LIP38" s="25"/>
      <c r="LIQ38" s="25"/>
      <c r="LIR38" s="25"/>
      <c r="LIS38" s="25"/>
      <c r="LIT38" s="25"/>
      <c r="LIU38" s="25"/>
      <c r="LIV38" s="25"/>
      <c r="LIW38" s="25"/>
      <c r="LIX38" s="25"/>
      <c r="LIY38" s="25"/>
      <c r="LIZ38" s="25"/>
      <c r="LJA38" s="25"/>
      <c r="LJB38" s="25"/>
      <c r="LJC38" s="25"/>
      <c r="LJD38" s="25"/>
      <c r="LJE38" s="25"/>
      <c r="LJF38" s="25"/>
      <c r="LJG38" s="25"/>
      <c r="LJH38" s="25"/>
      <c r="LJI38" s="25"/>
      <c r="LJJ38" s="25"/>
      <c r="LJK38" s="25"/>
      <c r="LJL38" s="25"/>
      <c r="LJM38" s="25"/>
      <c r="LJN38" s="25"/>
      <c r="LJO38" s="25"/>
      <c r="LJP38" s="25"/>
      <c r="LJQ38" s="25"/>
      <c r="LJR38" s="25"/>
      <c r="LJS38" s="25"/>
      <c r="LJT38" s="25"/>
      <c r="LJU38" s="25"/>
      <c r="LJV38" s="25"/>
      <c r="LJW38" s="25"/>
      <c r="LJX38" s="25"/>
      <c r="LJY38" s="25"/>
      <c r="LJZ38" s="25"/>
      <c r="LKA38" s="25"/>
      <c r="LKB38" s="25"/>
      <c r="LKC38" s="25"/>
      <c r="LKD38" s="25"/>
      <c r="LKE38" s="25"/>
      <c r="LKF38" s="25"/>
      <c r="LKG38" s="25"/>
      <c r="LKH38" s="25"/>
      <c r="LKI38" s="25"/>
      <c r="LKJ38" s="25"/>
      <c r="LKK38" s="25"/>
      <c r="LKL38" s="25"/>
      <c r="LKM38" s="25"/>
      <c r="LKN38" s="25"/>
      <c r="LKO38" s="25"/>
      <c r="LKP38" s="25"/>
      <c r="LKQ38" s="25"/>
      <c r="LKR38" s="25"/>
      <c r="LKS38" s="25"/>
      <c r="LKT38" s="25"/>
      <c r="LKU38" s="25"/>
      <c r="LKV38" s="25"/>
      <c r="LKW38" s="25"/>
      <c r="LKX38" s="25"/>
      <c r="LKY38" s="25"/>
      <c r="LKZ38" s="25"/>
      <c r="LLA38" s="25"/>
      <c r="LLB38" s="25"/>
      <c r="LLC38" s="25"/>
      <c r="LLD38" s="25"/>
      <c r="LLE38" s="25"/>
      <c r="LLF38" s="25"/>
      <c r="LLG38" s="25"/>
      <c r="LLH38" s="25"/>
      <c r="LLI38" s="25"/>
      <c r="LLJ38" s="25"/>
      <c r="LLK38" s="25"/>
      <c r="LLL38" s="25"/>
      <c r="LLM38" s="25"/>
      <c r="LLN38" s="25"/>
      <c r="LLO38" s="25"/>
      <c r="LLP38" s="25"/>
      <c r="LLQ38" s="25"/>
      <c r="LLR38" s="25"/>
      <c r="LLS38" s="25"/>
      <c r="LLT38" s="25"/>
      <c r="LLU38" s="25"/>
      <c r="LLV38" s="25"/>
      <c r="LLW38" s="25"/>
      <c r="LLX38" s="25"/>
      <c r="LLY38" s="25"/>
      <c r="LLZ38" s="25"/>
      <c r="LMA38" s="25"/>
      <c r="LMB38" s="25"/>
      <c r="LMC38" s="25"/>
      <c r="LMD38" s="25"/>
      <c r="LME38" s="25"/>
      <c r="LMF38" s="25"/>
      <c r="LMG38" s="25"/>
      <c r="LMH38" s="25"/>
      <c r="LMI38" s="25"/>
      <c r="LMJ38" s="25"/>
      <c r="LMK38" s="25"/>
      <c r="LML38" s="25"/>
      <c r="LMM38" s="25"/>
      <c r="LMN38" s="25"/>
      <c r="LMO38" s="25"/>
      <c r="LMP38" s="25"/>
      <c r="LMQ38" s="25"/>
      <c r="LMR38" s="25"/>
      <c r="LMS38" s="25"/>
      <c r="LMT38" s="25"/>
      <c r="LMU38" s="25"/>
      <c r="LMV38" s="25"/>
      <c r="LMW38" s="25"/>
      <c r="LMX38" s="25"/>
      <c r="LMY38" s="25"/>
      <c r="LMZ38" s="25"/>
      <c r="LNA38" s="25"/>
      <c r="LNB38" s="25"/>
      <c r="LNC38" s="25"/>
      <c r="LND38" s="25"/>
      <c r="LNE38" s="25"/>
      <c r="LNF38" s="25"/>
      <c r="LNG38" s="25"/>
      <c r="LNH38" s="25"/>
      <c r="LNI38" s="25"/>
      <c r="LNJ38" s="25"/>
      <c r="LNK38" s="25"/>
      <c r="LNL38" s="25"/>
      <c r="LNM38" s="25"/>
      <c r="LNN38" s="25"/>
      <c r="LNO38" s="25"/>
      <c r="LNP38" s="25"/>
      <c r="LNQ38" s="25"/>
      <c r="LNR38" s="25"/>
      <c r="LNS38" s="25"/>
      <c r="LNT38" s="25"/>
      <c r="LNU38" s="25"/>
      <c r="LNV38" s="25"/>
      <c r="LNW38" s="25"/>
      <c r="LNX38" s="25"/>
      <c r="LNY38" s="25"/>
      <c r="LNZ38" s="25"/>
      <c r="LOA38" s="25"/>
      <c r="LOB38" s="25"/>
      <c r="LOC38" s="25"/>
      <c r="LOD38" s="25"/>
      <c r="LOE38" s="25"/>
      <c r="LOF38" s="25"/>
      <c r="LOG38" s="25"/>
      <c r="LOH38" s="25"/>
      <c r="LOI38" s="25"/>
      <c r="LOJ38" s="25"/>
      <c r="LOK38" s="25"/>
      <c r="LOL38" s="25"/>
      <c r="LOM38" s="25"/>
      <c r="LON38" s="25"/>
      <c r="LOO38" s="25"/>
      <c r="LOP38" s="25"/>
      <c r="LOQ38" s="25"/>
      <c r="LOR38" s="25"/>
      <c r="LOS38" s="25"/>
      <c r="LOT38" s="25"/>
      <c r="LOU38" s="25"/>
      <c r="LOV38" s="25"/>
      <c r="LOW38" s="25"/>
      <c r="LOX38" s="25"/>
      <c r="LOY38" s="25"/>
      <c r="LOZ38" s="25"/>
      <c r="LPA38" s="25"/>
      <c r="LPB38" s="25"/>
      <c r="LPC38" s="25"/>
      <c r="LPD38" s="25"/>
      <c r="LPE38" s="25"/>
      <c r="LPF38" s="25"/>
      <c r="LPG38" s="25"/>
      <c r="LPH38" s="25"/>
      <c r="LPI38" s="25"/>
      <c r="LPJ38" s="25"/>
      <c r="LPK38" s="25"/>
      <c r="LPL38" s="25"/>
      <c r="LPM38" s="25"/>
      <c r="LPN38" s="25"/>
      <c r="LPO38" s="25"/>
      <c r="LPP38" s="25"/>
      <c r="LPQ38" s="25"/>
      <c r="LPR38" s="25"/>
      <c r="LPS38" s="25"/>
      <c r="LPT38" s="25"/>
      <c r="LPU38" s="25"/>
      <c r="LPV38" s="25"/>
      <c r="LPW38" s="25"/>
      <c r="LPX38" s="25"/>
      <c r="LPY38" s="25"/>
      <c r="LPZ38" s="25"/>
      <c r="LQA38" s="25"/>
      <c r="LQB38" s="25"/>
      <c r="LQC38" s="25"/>
      <c r="LQD38" s="25"/>
      <c r="LQE38" s="25"/>
      <c r="LQF38" s="25"/>
      <c r="LQG38" s="25"/>
      <c r="LQH38" s="25"/>
      <c r="LQI38" s="25"/>
      <c r="LQJ38" s="25"/>
      <c r="LQK38" s="25"/>
      <c r="LQL38" s="25"/>
      <c r="LQM38" s="25"/>
      <c r="LQN38" s="25"/>
      <c r="LQO38" s="25"/>
      <c r="LQP38" s="25"/>
      <c r="LQQ38" s="25"/>
      <c r="LQR38" s="25"/>
      <c r="LQS38" s="25"/>
      <c r="LQT38" s="25"/>
      <c r="LQU38" s="25"/>
      <c r="LQV38" s="25"/>
      <c r="LQW38" s="25"/>
      <c r="LQX38" s="25"/>
      <c r="LQY38" s="25"/>
      <c r="LQZ38" s="25"/>
      <c r="LRA38" s="25"/>
      <c r="LRB38" s="25"/>
      <c r="LRC38" s="25"/>
      <c r="LRD38" s="25"/>
      <c r="LRE38" s="25"/>
      <c r="LRF38" s="25"/>
      <c r="LRG38" s="25"/>
      <c r="LRH38" s="25"/>
      <c r="LRI38" s="25"/>
      <c r="LRJ38" s="25"/>
      <c r="LRK38" s="25"/>
      <c r="LRL38" s="25"/>
      <c r="LRM38" s="25"/>
      <c r="LRN38" s="25"/>
      <c r="LRO38" s="25"/>
      <c r="LRP38" s="25"/>
      <c r="LRQ38" s="25"/>
      <c r="LRR38" s="25"/>
      <c r="LRS38" s="25"/>
      <c r="LRT38" s="25"/>
      <c r="LRU38" s="25"/>
      <c r="LRV38" s="25"/>
      <c r="LRW38" s="25"/>
      <c r="LRX38" s="25"/>
      <c r="LRY38" s="25"/>
      <c r="LRZ38" s="25"/>
      <c r="LSA38" s="25"/>
      <c r="LSB38" s="25"/>
      <c r="LSC38" s="25"/>
      <c r="LSD38" s="25"/>
      <c r="LSE38" s="25"/>
      <c r="LSF38" s="25"/>
      <c r="LSG38" s="25"/>
      <c r="LSH38" s="25"/>
      <c r="LSI38" s="25"/>
      <c r="LSJ38" s="25"/>
      <c r="LSK38" s="25"/>
      <c r="LSL38" s="25"/>
      <c r="LSM38" s="25"/>
      <c r="LSN38" s="25"/>
      <c r="LSO38" s="25"/>
      <c r="LSP38" s="25"/>
      <c r="LSQ38" s="25"/>
      <c r="LSR38" s="25"/>
      <c r="LSS38" s="25"/>
      <c r="LST38" s="25"/>
      <c r="LSU38" s="25"/>
      <c r="LSV38" s="25"/>
      <c r="LSW38" s="25"/>
      <c r="LSX38" s="25"/>
      <c r="LSY38" s="25"/>
      <c r="LSZ38" s="25"/>
      <c r="LTA38" s="25"/>
      <c r="LTB38" s="25"/>
      <c r="LTC38" s="25"/>
      <c r="LTD38" s="25"/>
      <c r="LTE38" s="25"/>
      <c r="LTF38" s="25"/>
      <c r="LTG38" s="25"/>
      <c r="LTH38" s="25"/>
      <c r="LTI38" s="25"/>
      <c r="LTJ38" s="25"/>
      <c r="LTK38" s="25"/>
      <c r="LTL38" s="25"/>
      <c r="LTM38" s="25"/>
      <c r="LTN38" s="25"/>
      <c r="LTO38" s="25"/>
      <c r="LTP38" s="25"/>
      <c r="LTQ38" s="25"/>
      <c r="LTR38" s="25"/>
      <c r="LTS38" s="25"/>
      <c r="LTT38" s="25"/>
      <c r="LTU38" s="25"/>
      <c r="LTV38" s="25"/>
      <c r="LTW38" s="25"/>
      <c r="LTX38" s="25"/>
      <c r="LTY38" s="25"/>
      <c r="LTZ38" s="25"/>
      <c r="LUA38" s="25"/>
      <c r="LUB38" s="25"/>
      <c r="LUC38" s="25"/>
      <c r="LUD38" s="25"/>
      <c r="LUE38" s="25"/>
      <c r="LUF38" s="25"/>
      <c r="LUG38" s="25"/>
      <c r="LUH38" s="25"/>
      <c r="LUI38" s="25"/>
      <c r="LUJ38" s="25"/>
      <c r="LUK38" s="25"/>
      <c r="LUL38" s="25"/>
      <c r="LUM38" s="25"/>
      <c r="LUN38" s="25"/>
      <c r="LUO38" s="25"/>
      <c r="LUP38" s="25"/>
      <c r="LUQ38" s="25"/>
      <c r="LUR38" s="25"/>
      <c r="LUS38" s="25"/>
      <c r="LUT38" s="25"/>
      <c r="LUU38" s="25"/>
      <c r="LUV38" s="25"/>
      <c r="LUW38" s="25"/>
      <c r="LUX38" s="25"/>
      <c r="LUY38" s="25"/>
      <c r="LUZ38" s="25"/>
      <c r="LVA38" s="25"/>
      <c r="LVB38" s="25"/>
      <c r="LVC38" s="25"/>
      <c r="LVD38" s="25"/>
      <c r="LVE38" s="25"/>
      <c r="LVF38" s="25"/>
      <c r="LVG38" s="25"/>
      <c r="LVH38" s="25"/>
      <c r="LVI38" s="25"/>
      <c r="LVJ38" s="25"/>
      <c r="LVK38" s="25"/>
      <c r="LVL38" s="25"/>
      <c r="LVM38" s="25"/>
      <c r="LVN38" s="25"/>
      <c r="LVO38" s="25"/>
      <c r="LVP38" s="25"/>
      <c r="LVQ38" s="25"/>
      <c r="LVR38" s="25"/>
      <c r="LVS38" s="25"/>
      <c r="LVT38" s="25"/>
      <c r="LVU38" s="25"/>
      <c r="LVV38" s="25"/>
      <c r="LVW38" s="25"/>
      <c r="LVX38" s="25"/>
      <c r="LVY38" s="25"/>
      <c r="LVZ38" s="25"/>
      <c r="LWA38" s="25"/>
      <c r="LWB38" s="25"/>
      <c r="LWC38" s="25"/>
      <c r="LWD38" s="25"/>
      <c r="LWE38" s="25"/>
      <c r="LWF38" s="25"/>
      <c r="LWG38" s="25"/>
      <c r="LWH38" s="25"/>
      <c r="LWI38" s="25"/>
      <c r="LWJ38" s="25"/>
      <c r="LWK38" s="25"/>
      <c r="LWL38" s="25"/>
      <c r="LWM38" s="25"/>
      <c r="LWN38" s="25"/>
      <c r="LWO38" s="25"/>
      <c r="LWP38" s="25"/>
      <c r="LWQ38" s="25"/>
      <c r="LWR38" s="25"/>
      <c r="LWS38" s="25"/>
      <c r="LWT38" s="25"/>
      <c r="LWU38" s="25"/>
      <c r="LWV38" s="25"/>
      <c r="LWW38" s="25"/>
      <c r="LWX38" s="25"/>
      <c r="LWY38" s="25"/>
      <c r="LWZ38" s="25"/>
      <c r="LXA38" s="25"/>
      <c r="LXB38" s="25"/>
      <c r="LXC38" s="25"/>
      <c r="LXD38" s="25"/>
      <c r="LXE38" s="25"/>
      <c r="LXF38" s="25"/>
      <c r="LXG38" s="25"/>
      <c r="LXH38" s="25"/>
      <c r="LXI38" s="25"/>
      <c r="LXJ38" s="25"/>
      <c r="LXK38" s="25"/>
      <c r="LXL38" s="25"/>
      <c r="LXM38" s="25"/>
      <c r="LXN38" s="25"/>
      <c r="LXO38" s="25"/>
      <c r="LXP38" s="25"/>
      <c r="LXQ38" s="25"/>
      <c r="LXR38" s="25"/>
      <c r="LXS38" s="25"/>
      <c r="LXT38" s="25"/>
      <c r="LXU38" s="25"/>
      <c r="LXV38" s="25"/>
      <c r="LXW38" s="25"/>
      <c r="LXX38" s="25"/>
      <c r="LXY38" s="25"/>
      <c r="LXZ38" s="25"/>
      <c r="LYA38" s="25"/>
      <c r="LYB38" s="25"/>
      <c r="LYC38" s="25"/>
      <c r="LYD38" s="25"/>
      <c r="LYE38" s="25"/>
      <c r="LYF38" s="25"/>
      <c r="LYG38" s="25"/>
      <c r="LYH38" s="25"/>
      <c r="LYI38" s="25"/>
      <c r="LYJ38" s="25"/>
      <c r="LYK38" s="25"/>
      <c r="LYL38" s="25"/>
      <c r="LYM38" s="25"/>
      <c r="LYN38" s="25"/>
      <c r="LYO38" s="25"/>
      <c r="LYP38" s="25"/>
      <c r="LYQ38" s="25"/>
      <c r="LYR38" s="25"/>
      <c r="LYS38" s="25"/>
      <c r="LYT38" s="25"/>
      <c r="LYU38" s="25"/>
      <c r="LYV38" s="25"/>
      <c r="LYW38" s="25"/>
      <c r="LYX38" s="25"/>
      <c r="LYY38" s="25"/>
      <c r="LYZ38" s="25"/>
      <c r="LZA38" s="25"/>
      <c r="LZB38" s="25"/>
      <c r="LZC38" s="25"/>
      <c r="LZD38" s="25"/>
      <c r="LZE38" s="25"/>
      <c r="LZF38" s="25"/>
      <c r="LZG38" s="25"/>
      <c r="LZH38" s="25"/>
      <c r="LZI38" s="25"/>
      <c r="LZJ38" s="25"/>
      <c r="LZK38" s="25"/>
      <c r="LZL38" s="25"/>
      <c r="LZM38" s="25"/>
      <c r="LZN38" s="25"/>
      <c r="LZO38" s="25"/>
      <c r="LZP38" s="25"/>
      <c r="LZQ38" s="25"/>
      <c r="LZR38" s="25"/>
      <c r="LZS38" s="25"/>
      <c r="LZT38" s="25"/>
      <c r="LZU38" s="25"/>
      <c r="LZV38" s="25"/>
      <c r="LZW38" s="25"/>
      <c r="LZX38" s="25"/>
      <c r="LZY38" s="25"/>
      <c r="LZZ38" s="25"/>
      <c r="MAA38" s="25"/>
      <c r="MAB38" s="25"/>
      <c r="MAC38" s="25"/>
      <c r="MAD38" s="25"/>
      <c r="MAE38" s="25"/>
      <c r="MAF38" s="25"/>
      <c r="MAG38" s="25"/>
      <c r="MAH38" s="25"/>
      <c r="MAI38" s="25"/>
      <c r="MAJ38" s="25"/>
      <c r="MAK38" s="25"/>
      <c r="MAL38" s="25"/>
      <c r="MAM38" s="25"/>
      <c r="MAN38" s="25"/>
      <c r="MAO38" s="25"/>
      <c r="MAP38" s="25"/>
      <c r="MAQ38" s="25"/>
      <c r="MAR38" s="25"/>
      <c r="MAS38" s="25"/>
      <c r="MAT38" s="25"/>
      <c r="MAU38" s="25"/>
      <c r="MAV38" s="25"/>
      <c r="MAW38" s="25"/>
      <c r="MAX38" s="25"/>
      <c r="MAY38" s="25"/>
      <c r="MAZ38" s="25"/>
      <c r="MBA38" s="25"/>
      <c r="MBB38" s="25"/>
      <c r="MBC38" s="25"/>
      <c r="MBD38" s="25"/>
      <c r="MBE38" s="25"/>
      <c r="MBF38" s="25"/>
      <c r="MBG38" s="25"/>
      <c r="MBH38" s="25"/>
      <c r="MBI38" s="25"/>
      <c r="MBJ38" s="25"/>
      <c r="MBK38" s="25"/>
      <c r="MBL38" s="25"/>
      <c r="MBM38" s="25"/>
      <c r="MBN38" s="25"/>
      <c r="MBO38" s="25"/>
      <c r="MBP38" s="25"/>
      <c r="MBQ38" s="25"/>
      <c r="MBR38" s="25"/>
      <c r="MBS38" s="25"/>
      <c r="MBT38" s="25"/>
      <c r="MBU38" s="25"/>
      <c r="MBV38" s="25"/>
      <c r="MBW38" s="25"/>
      <c r="MBX38" s="25"/>
      <c r="MBY38" s="25"/>
      <c r="MBZ38" s="25"/>
      <c r="MCA38" s="25"/>
      <c r="MCB38" s="25"/>
      <c r="MCC38" s="25"/>
      <c r="MCD38" s="25"/>
      <c r="MCE38" s="25"/>
      <c r="MCF38" s="25"/>
      <c r="MCG38" s="25"/>
      <c r="MCH38" s="25"/>
      <c r="MCI38" s="25"/>
      <c r="MCJ38" s="25"/>
      <c r="MCK38" s="25"/>
      <c r="MCL38" s="25"/>
      <c r="MCM38" s="25"/>
      <c r="MCN38" s="25"/>
      <c r="MCO38" s="25"/>
      <c r="MCP38" s="25"/>
      <c r="MCQ38" s="25"/>
      <c r="MCR38" s="25"/>
      <c r="MCS38" s="25"/>
      <c r="MCT38" s="25"/>
      <c r="MCU38" s="25"/>
      <c r="MCV38" s="25"/>
      <c r="MCW38" s="25"/>
      <c r="MCX38" s="25"/>
      <c r="MCY38" s="25"/>
      <c r="MCZ38" s="25"/>
      <c r="MDA38" s="25"/>
      <c r="MDB38" s="25"/>
      <c r="MDC38" s="25"/>
      <c r="MDD38" s="25"/>
      <c r="MDE38" s="25"/>
      <c r="MDF38" s="25"/>
      <c r="MDG38" s="25"/>
      <c r="MDH38" s="25"/>
      <c r="MDI38" s="25"/>
      <c r="MDJ38" s="25"/>
      <c r="MDK38" s="25"/>
      <c r="MDL38" s="25"/>
      <c r="MDM38" s="25"/>
      <c r="MDN38" s="25"/>
      <c r="MDO38" s="25"/>
      <c r="MDP38" s="25"/>
      <c r="MDQ38" s="25"/>
      <c r="MDR38" s="25"/>
      <c r="MDS38" s="25"/>
      <c r="MDT38" s="25"/>
      <c r="MDU38" s="25"/>
      <c r="MDV38" s="25"/>
      <c r="MDW38" s="25"/>
      <c r="MDX38" s="25"/>
      <c r="MDY38" s="25"/>
      <c r="MDZ38" s="25"/>
      <c r="MEA38" s="25"/>
      <c r="MEB38" s="25"/>
      <c r="MEC38" s="25"/>
      <c r="MED38" s="25"/>
      <c r="MEE38" s="25"/>
      <c r="MEF38" s="25"/>
      <c r="MEG38" s="25"/>
      <c r="MEH38" s="25"/>
      <c r="MEI38" s="25"/>
      <c r="MEJ38" s="25"/>
      <c r="MEK38" s="25"/>
      <c r="MEL38" s="25"/>
      <c r="MEM38" s="25"/>
      <c r="MEN38" s="25"/>
      <c r="MEO38" s="25"/>
      <c r="MEP38" s="25"/>
      <c r="MEQ38" s="25"/>
      <c r="MER38" s="25"/>
      <c r="MES38" s="25"/>
      <c r="MET38" s="25"/>
      <c r="MEU38" s="25"/>
      <c r="MEV38" s="25"/>
      <c r="MEW38" s="25"/>
      <c r="MEX38" s="25"/>
      <c r="MEY38" s="25"/>
      <c r="MEZ38" s="25"/>
      <c r="MFA38" s="25"/>
      <c r="MFB38" s="25"/>
      <c r="MFC38" s="25"/>
      <c r="MFD38" s="25"/>
      <c r="MFE38" s="25"/>
      <c r="MFF38" s="25"/>
      <c r="MFG38" s="25"/>
      <c r="MFH38" s="25"/>
      <c r="MFI38" s="25"/>
      <c r="MFJ38" s="25"/>
      <c r="MFK38" s="25"/>
      <c r="MFL38" s="25"/>
      <c r="MFM38" s="25"/>
      <c r="MFN38" s="25"/>
      <c r="MFO38" s="25"/>
      <c r="MFP38" s="25"/>
      <c r="MFQ38" s="25"/>
      <c r="MFR38" s="25"/>
      <c r="MFS38" s="25"/>
      <c r="MFT38" s="25"/>
      <c r="MFU38" s="25"/>
      <c r="MFV38" s="25"/>
      <c r="MFW38" s="25"/>
      <c r="MFX38" s="25"/>
      <c r="MFY38" s="25"/>
      <c r="MFZ38" s="25"/>
      <c r="MGA38" s="25"/>
      <c r="MGB38" s="25"/>
      <c r="MGC38" s="25"/>
      <c r="MGD38" s="25"/>
      <c r="MGE38" s="25"/>
      <c r="MGF38" s="25"/>
      <c r="MGG38" s="25"/>
      <c r="MGH38" s="25"/>
      <c r="MGI38" s="25"/>
      <c r="MGJ38" s="25"/>
      <c r="MGK38" s="25"/>
      <c r="MGL38" s="25"/>
      <c r="MGM38" s="25"/>
      <c r="MGN38" s="25"/>
      <c r="MGO38" s="25"/>
      <c r="MGP38" s="25"/>
      <c r="MGQ38" s="25"/>
      <c r="MGR38" s="25"/>
      <c r="MGS38" s="25"/>
      <c r="MGT38" s="25"/>
      <c r="MGU38" s="25"/>
      <c r="MGV38" s="25"/>
      <c r="MGW38" s="25"/>
      <c r="MGX38" s="25"/>
      <c r="MGY38" s="25"/>
      <c r="MGZ38" s="25"/>
      <c r="MHA38" s="25"/>
      <c r="MHB38" s="25"/>
      <c r="MHC38" s="25"/>
      <c r="MHD38" s="25"/>
      <c r="MHE38" s="25"/>
      <c r="MHF38" s="25"/>
      <c r="MHG38" s="25"/>
      <c r="MHH38" s="25"/>
      <c r="MHI38" s="25"/>
      <c r="MHJ38" s="25"/>
      <c r="MHK38" s="25"/>
      <c r="MHL38" s="25"/>
      <c r="MHM38" s="25"/>
      <c r="MHN38" s="25"/>
      <c r="MHO38" s="25"/>
      <c r="MHP38" s="25"/>
      <c r="MHQ38" s="25"/>
      <c r="MHR38" s="25"/>
      <c r="MHS38" s="25"/>
      <c r="MHT38" s="25"/>
      <c r="MHU38" s="25"/>
      <c r="MHV38" s="25"/>
      <c r="MHW38" s="25"/>
      <c r="MHX38" s="25"/>
      <c r="MHY38" s="25"/>
      <c r="MHZ38" s="25"/>
      <c r="MIA38" s="25"/>
      <c r="MIB38" s="25"/>
      <c r="MIC38" s="25"/>
      <c r="MID38" s="25"/>
      <c r="MIE38" s="25"/>
      <c r="MIF38" s="25"/>
      <c r="MIG38" s="25"/>
      <c r="MIH38" s="25"/>
      <c r="MII38" s="25"/>
      <c r="MIJ38" s="25"/>
      <c r="MIK38" s="25"/>
      <c r="MIL38" s="25"/>
      <c r="MIM38" s="25"/>
      <c r="MIN38" s="25"/>
      <c r="MIO38" s="25"/>
      <c r="MIP38" s="25"/>
      <c r="MIQ38" s="25"/>
      <c r="MIR38" s="25"/>
      <c r="MIS38" s="25"/>
      <c r="MIT38" s="25"/>
      <c r="MIU38" s="25"/>
      <c r="MIV38" s="25"/>
      <c r="MIW38" s="25"/>
      <c r="MIX38" s="25"/>
      <c r="MIY38" s="25"/>
      <c r="MIZ38" s="25"/>
      <c r="MJA38" s="25"/>
      <c r="MJB38" s="25"/>
      <c r="MJC38" s="25"/>
      <c r="MJD38" s="25"/>
      <c r="MJE38" s="25"/>
      <c r="MJF38" s="25"/>
      <c r="MJG38" s="25"/>
      <c r="MJH38" s="25"/>
      <c r="MJI38" s="25"/>
      <c r="MJJ38" s="25"/>
      <c r="MJK38" s="25"/>
      <c r="MJL38" s="25"/>
      <c r="MJM38" s="25"/>
      <c r="MJN38" s="25"/>
      <c r="MJO38" s="25"/>
      <c r="MJP38" s="25"/>
      <c r="MJQ38" s="25"/>
      <c r="MJR38" s="25"/>
      <c r="MJS38" s="25"/>
      <c r="MJT38" s="25"/>
      <c r="MJU38" s="25"/>
      <c r="MJV38" s="25"/>
      <c r="MJW38" s="25"/>
      <c r="MJX38" s="25"/>
      <c r="MJY38" s="25"/>
      <c r="MJZ38" s="25"/>
      <c r="MKA38" s="25"/>
      <c r="MKB38" s="25"/>
      <c r="MKC38" s="25"/>
      <c r="MKD38" s="25"/>
      <c r="MKE38" s="25"/>
      <c r="MKF38" s="25"/>
      <c r="MKG38" s="25"/>
      <c r="MKH38" s="25"/>
      <c r="MKI38" s="25"/>
      <c r="MKJ38" s="25"/>
      <c r="MKK38" s="25"/>
      <c r="MKL38" s="25"/>
      <c r="MKM38" s="25"/>
      <c r="MKN38" s="25"/>
      <c r="MKO38" s="25"/>
      <c r="MKP38" s="25"/>
      <c r="MKQ38" s="25"/>
      <c r="MKR38" s="25"/>
      <c r="MKS38" s="25"/>
      <c r="MKT38" s="25"/>
      <c r="MKU38" s="25"/>
      <c r="MKV38" s="25"/>
      <c r="MKW38" s="25"/>
      <c r="MKX38" s="25"/>
      <c r="MKY38" s="25"/>
      <c r="MKZ38" s="25"/>
      <c r="MLA38" s="25"/>
      <c r="MLB38" s="25"/>
      <c r="MLC38" s="25"/>
      <c r="MLD38" s="25"/>
      <c r="MLE38" s="25"/>
      <c r="MLF38" s="25"/>
      <c r="MLG38" s="25"/>
      <c r="MLH38" s="25"/>
      <c r="MLI38" s="25"/>
      <c r="MLJ38" s="25"/>
      <c r="MLK38" s="25"/>
      <c r="MLL38" s="25"/>
      <c r="MLM38" s="25"/>
      <c r="MLN38" s="25"/>
      <c r="MLO38" s="25"/>
      <c r="MLP38" s="25"/>
      <c r="MLQ38" s="25"/>
      <c r="MLR38" s="25"/>
      <c r="MLS38" s="25"/>
      <c r="MLT38" s="25"/>
      <c r="MLU38" s="25"/>
      <c r="MLV38" s="25"/>
      <c r="MLW38" s="25"/>
      <c r="MLX38" s="25"/>
      <c r="MLY38" s="25"/>
      <c r="MLZ38" s="25"/>
      <c r="MMA38" s="25"/>
      <c r="MMB38" s="25"/>
      <c r="MMC38" s="25"/>
      <c r="MMD38" s="25"/>
      <c r="MME38" s="25"/>
      <c r="MMF38" s="25"/>
      <c r="MMG38" s="25"/>
      <c r="MMH38" s="25"/>
      <c r="MMI38" s="25"/>
      <c r="MMJ38" s="25"/>
      <c r="MMK38" s="25"/>
      <c r="MML38" s="25"/>
      <c r="MMM38" s="25"/>
      <c r="MMN38" s="25"/>
      <c r="MMO38" s="25"/>
      <c r="MMP38" s="25"/>
      <c r="MMQ38" s="25"/>
      <c r="MMR38" s="25"/>
      <c r="MMS38" s="25"/>
      <c r="MMT38" s="25"/>
      <c r="MMU38" s="25"/>
      <c r="MMV38" s="25"/>
      <c r="MMW38" s="25"/>
      <c r="MMX38" s="25"/>
      <c r="MMY38" s="25"/>
      <c r="MMZ38" s="25"/>
      <c r="MNA38" s="25"/>
      <c r="MNB38" s="25"/>
      <c r="MNC38" s="25"/>
      <c r="MND38" s="25"/>
      <c r="MNE38" s="25"/>
      <c r="MNF38" s="25"/>
      <c r="MNG38" s="25"/>
      <c r="MNH38" s="25"/>
      <c r="MNI38" s="25"/>
      <c r="MNJ38" s="25"/>
      <c r="MNK38" s="25"/>
      <c r="MNL38" s="25"/>
      <c r="MNM38" s="25"/>
      <c r="MNN38" s="25"/>
      <c r="MNO38" s="25"/>
      <c r="MNP38" s="25"/>
      <c r="MNQ38" s="25"/>
      <c r="MNR38" s="25"/>
      <c r="MNS38" s="25"/>
      <c r="MNT38" s="25"/>
      <c r="MNU38" s="25"/>
      <c r="MNV38" s="25"/>
      <c r="MNW38" s="25"/>
      <c r="MNX38" s="25"/>
      <c r="MNY38" s="25"/>
      <c r="MNZ38" s="25"/>
      <c r="MOA38" s="25"/>
      <c r="MOB38" s="25"/>
      <c r="MOC38" s="25"/>
      <c r="MOD38" s="25"/>
      <c r="MOE38" s="25"/>
      <c r="MOF38" s="25"/>
      <c r="MOG38" s="25"/>
      <c r="MOH38" s="25"/>
      <c r="MOI38" s="25"/>
      <c r="MOJ38" s="25"/>
      <c r="MOK38" s="25"/>
      <c r="MOL38" s="25"/>
      <c r="MOM38" s="25"/>
      <c r="MON38" s="25"/>
      <c r="MOO38" s="25"/>
      <c r="MOP38" s="25"/>
      <c r="MOQ38" s="25"/>
      <c r="MOR38" s="25"/>
      <c r="MOS38" s="25"/>
      <c r="MOT38" s="25"/>
      <c r="MOU38" s="25"/>
      <c r="MOV38" s="25"/>
      <c r="MOW38" s="25"/>
      <c r="MOX38" s="25"/>
      <c r="MOY38" s="25"/>
      <c r="MOZ38" s="25"/>
      <c r="MPA38" s="25"/>
      <c r="MPB38" s="25"/>
      <c r="MPC38" s="25"/>
      <c r="MPD38" s="25"/>
      <c r="MPE38" s="25"/>
      <c r="MPF38" s="25"/>
      <c r="MPG38" s="25"/>
      <c r="MPH38" s="25"/>
      <c r="MPI38" s="25"/>
      <c r="MPJ38" s="25"/>
      <c r="MPK38" s="25"/>
      <c r="MPL38" s="25"/>
      <c r="MPM38" s="25"/>
      <c r="MPN38" s="25"/>
      <c r="MPO38" s="25"/>
      <c r="MPP38" s="25"/>
      <c r="MPQ38" s="25"/>
      <c r="MPR38" s="25"/>
      <c r="MPS38" s="25"/>
      <c r="MPT38" s="25"/>
      <c r="MPU38" s="25"/>
      <c r="MPV38" s="25"/>
      <c r="MPW38" s="25"/>
      <c r="MPX38" s="25"/>
      <c r="MPY38" s="25"/>
      <c r="MPZ38" s="25"/>
      <c r="MQA38" s="25"/>
      <c r="MQB38" s="25"/>
      <c r="MQC38" s="25"/>
      <c r="MQD38" s="25"/>
      <c r="MQE38" s="25"/>
      <c r="MQF38" s="25"/>
      <c r="MQG38" s="25"/>
      <c r="MQH38" s="25"/>
      <c r="MQI38" s="25"/>
      <c r="MQJ38" s="25"/>
      <c r="MQK38" s="25"/>
      <c r="MQL38" s="25"/>
      <c r="MQM38" s="25"/>
      <c r="MQN38" s="25"/>
      <c r="MQO38" s="25"/>
      <c r="MQP38" s="25"/>
      <c r="MQQ38" s="25"/>
      <c r="MQR38" s="25"/>
      <c r="MQS38" s="25"/>
      <c r="MQT38" s="25"/>
      <c r="MQU38" s="25"/>
      <c r="MQV38" s="25"/>
      <c r="MQW38" s="25"/>
      <c r="MQX38" s="25"/>
      <c r="MQY38" s="25"/>
      <c r="MQZ38" s="25"/>
      <c r="MRA38" s="25"/>
      <c r="MRB38" s="25"/>
      <c r="MRC38" s="25"/>
      <c r="MRD38" s="25"/>
      <c r="MRE38" s="25"/>
      <c r="MRF38" s="25"/>
      <c r="MRG38" s="25"/>
      <c r="MRH38" s="25"/>
      <c r="MRI38" s="25"/>
      <c r="MRJ38" s="25"/>
      <c r="MRK38" s="25"/>
      <c r="MRL38" s="25"/>
      <c r="MRM38" s="25"/>
      <c r="MRN38" s="25"/>
      <c r="MRO38" s="25"/>
      <c r="MRP38" s="25"/>
      <c r="MRQ38" s="25"/>
      <c r="MRR38" s="25"/>
      <c r="MRS38" s="25"/>
      <c r="MRT38" s="25"/>
      <c r="MRU38" s="25"/>
      <c r="MRV38" s="25"/>
      <c r="MRW38" s="25"/>
      <c r="MRX38" s="25"/>
      <c r="MRY38" s="25"/>
      <c r="MRZ38" s="25"/>
      <c r="MSA38" s="25"/>
      <c r="MSB38" s="25"/>
      <c r="MSC38" s="25"/>
      <c r="MSD38" s="25"/>
      <c r="MSE38" s="25"/>
      <c r="MSF38" s="25"/>
      <c r="MSG38" s="25"/>
      <c r="MSH38" s="25"/>
      <c r="MSI38" s="25"/>
      <c r="MSJ38" s="25"/>
      <c r="MSK38" s="25"/>
      <c r="MSL38" s="25"/>
      <c r="MSM38" s="25"/>
      <c r="MSN38" s="25"/>
      <c r="MSO38" s="25"/>
      <c r="MSP38" s="25"/>
      <c r="MSQ38" s="25"/>
      <c r="MSR38" s="25"/>
      <c r="MSS38" s="25"/>
      <c r="MST38" s="25"/>
      <c r="MSU38" s="25"/>
      <c r="MSV38" s="25"/>
      <c r="MSW38" s="25"/>
      <c r="MSX38" s="25"/>
      <c r="MSY38" s="25"/>
      <c r="MSZ38" s="25"/>
      <c r="MTA38" s="25"/>
      <c r="MTB38" s="25"/>
      <c r="MTC38" s="25"/>
      <c r="MTD38" s="25"/>
      <c r="MTE38" s="25"/>
      <c r="MTF38" s="25"/>
      <c r="MTG38" s="25"/>
      <c r="MTH38" s="25"/>
      <c r="MTI38" s="25"/>
      <c r="MTJ38" s="25"/>
      <c r="MTK38" s="25"/>
      <c r="MTL38" s="25"/>
      <c r="MTM38" s="25"/>
      <c r="MTN38" s="25"/>
      <c r="MTO38" s="25"/>
      <c r="MTP38" s="25"/>
      <c r="MTQ38" s="25"/>
      <c r="MTR38" s="25"/>
      <c r="MTS38" s="25"/>
      <c r="MTT38" s="25"/>
      <c r="MTU38" s="25"/>
      <c r="MTV38" s="25"/>
      <c r="MTW38" s="25"/>
      <c r="MTX38" s="25"/>
      <c r="MTY38" s="25"/>
      <c r="MTZ38" s="25"/>
      <c r="MUA38" s="25"/>
      <c r="MUB38" s="25"/>
      <c r="MUC38" s="25"/>
      <c r="MUD38" s="25"/>
      <c r="MUE38" s="25"/>
      <c r="MUF38" s="25"/>
      <c r="MUG38" s="25"/>
      <c r="MUH38" s="25"/>
      <c r="MUI38" s="25"/>
      <c r="MUJ38" s="25"/>
      <c r="MUK38" s="25"/>
      <c r="MUL38" s="25"/>
      <c r="MUM38" s="25"/>
      <c r="MUN38" s="25"/>
      <c r="MUO38" s="25"/>
      <c r="MUP38" s="25"/>
      <c r="MUQ38" s="25"/>
      <c r="MUR38" s="25"/>
      <c r="MUS38" s="25"/>
      <c r="MUT38" s="25"/>
      <c r="MUU38" s="25"/>
      <c r="MUV38" s="25"/>
      <c r="MUW38" s="25"/>
      <c r="MUX38" s="25"/>
      <c r="MUY38" s="25"/>
      <c r="MUZ38" s="25"/>
      <c r="MVA38" s="25"/>
      <c r="MVB38" s="25"/>
      <c r="MVC38" s="25"/>
      <c r="MVD38" s="25"/>
      <c r="MVE38" s="25"/>
      <c r="MVF38" s="25"/>
      <c r="MVG38" s="25"/>
      <c r="MVH38" s="25"/>
      <c r="MVI38" s="25"/>
      <c r="MVJ38" s="25"/>
      <c r="MVK38" s="25"/>
      <c r="MVL38" s="25"/>
      <c r="MVM38" s="25"/>
      <c r="MVN38" s="25"/>
      <c r="MVO38" s="25"/>
      <c r="MVP38" s="25"/>
      <c r="MVQ38" s="25"/>
      <c r="MVR38" s="25"/>
      <c r="MVS38" s="25"/>
      <c r="MVT38" s="25"/>
      <c r="MVU38" s="25"/>
      <c r="MVV38" s="25"/>
      <c r="MVW38" s="25"/>
      <c r="MVX38" s="25"/>
      <c r="MVY38" s="25"/>
      <c r="MVZ38" s="25"/>
      <c r="MWA38" s="25"/>
      <c r="MWB38" s="25"/>
      <c r="MWC38" s="25"/>
      <c r="MWD38" s="25"/>
      <c r="MWE38" s="25"/>
      <c r="MWF38" s="25"/>
      <c r="MWG38" s="25"/>
      <c r="MWH38" s="25"/>
      <c r="MWI38" s="25"/>
      <c r="MWJ38" s="25"/>
      <c r="MWK38" s="25"/>
      <c r="MWL38" s="25"/>
      <c r="MWM38" s="25"/>
      <c r="MWN38" s="25"/>
      <c r="MWO38" s="25"/>
      <c r="MWP38" s="25"/>
      <c r="MWQ38" s="25"/>
      <c r="MWR38" s="25"/>
      <c r="MWS38" s="25"/>
      <c r="MWT38" s="25"/>
      <c r="MWU38" s="25"/>
      <c r="MWV38" s="25"/>
      <c r="MWW38" s="25"/>
      <c r="MWX38" s="25"/>
      <c r="MWY38" s="25"/>
      <c r="MWZ38" s="25"/>
      <c r="MXA38" s="25"/>
      <c r="MXB38" s="25"/>
      <c r="MXC38" s="25"/>
      <c r="MXD38" s="25"/>
      <c r="MXE38" s="25"/>
      <c r="MXF38" s="25"/>
      <c r="MXG38" s="25"/>
      <c r="MXH38" s="25"/>
      <c r="MXI38" s="25"/>
      <c r="MXJ38" s="25"/>
      <c r="MXK38" s="25"/>
      <c r="MXL38" s="25"/>
      <c r="MXM38" s="25"/>
      <c r="MXN38" s="25"/>
      <c r="MXO38" s="25"/>
      <c r="MXP38" s="25"/>
      <c r="MXQ38" s="25"/>
      <c r="MXR38" s="25"/>
      <c r="MXS38" s="25"/>
      <c r="MXT38" s="25"/>
      <c r="MXU38" s="25"/>
      <c r="MXV38" s="25"/>
      <c r="MXW38" s="25"/>
      <c r="MXX38" s="25"/>
      <c r="MXY38" s="25"/>
      <c r="MXZ38" s="25"/>
      <c r="MYA38" s="25"/>
      <c r="MYB38" s="25"/>
      <c r="MYC38" s="25"/>
      <c r="MYD38" s="25"/>
      <c r="MYE38" s="25"/>
      <c r="MYF38" s="25"/>
      <c r="MYG38" s="25"/>
      <c r="MYH38" s="25"/>
      <c r="MYI38" s="25"/>
      <c r="MYJ38" s="25"/>
      <c r="MYK38" s="25"/>
      <c r="MYL38" s="25"/>
      <c r="MYM38" s="25"/>
      <c r="MYN38" s="25"/>
      <c r="MYO38" s="25"/>
      <c r="MYP38" s="25"/>
      <c r="MYQ38" s="25"/>
      <c r="MYR38" s="25"/>
      <c r="MYS38" s="25"/>
      <c r="MYT38" s="25"/>
      <c r="MYU38" s="25"/>
      <c r="MYV38" s="25"/>
      <c r="MYW38" s="25"/>
      <c r="MYX38" s="25"/>
      <c r="MYY38" s="25"/>
      <c r="MYZ38" s="25"/>
      <c r="MZA38" s="25"/>
      <c r="MZB38" s="25"/>
      <c r="MZC38" s="25"/>
      <c r="MZD38" s="25"/>
      <c r="MZE38" s="25"/>
      <c r="MZF38" s="25"/>
      <c r="MZG38" s="25"/>
      <c r="MZH38" s="25"/>
      <c r="MZI38" s="25"/>
      <c r="MZJ38" s="25"/>
      <c r="MZK38" s="25"/>
      <c r="MZL38" s="25"/>
      <c r="MZM38" s="25"/>
      <c r="MZN38" s="25"/>
      <c r="MZO38" s="25"/>
      <c r="MZP38" s="25"/>
      <c r="MZQ38" s="25"/>
      <c r="MZR38" s="25"/>
      <c r="MZS38" s="25"/>
      <c r="MZT38" s="25"/>
      <c r="MZU38" s="25"/>
      <c r="MZV38" s="25"/>
      <c r="MZW38" s="25"/>
      <c r="MZX38" s="25"/>
      <c r="MZY38" s="25"/>
      <c r="MZZ38" s="25"/>
      <c r="NAA38" s="25"/>
      <c r="NAB38" s="25"/>
      <c r="NAC38" s="25"/>
      <c r="NAD38" s="25"/>
      <c r="NAE38" s="25"/>
      <c r="NAF38" s="25"/>
      <c r="NAG38" s="25"/>
      <c r="NAH38" s="25"/>
      <c r="NAI38" s="25"/>
      <c r="NAJ38" s="25"/>
      <c r="NAK38" s="25"/>
      <c r="NAL38" s="25"/>
      <c r="NAM38" s="25"/>
      <c r="NAN38" s="25"/>
      <c r="NAO38" s="25"/>
      <c r="NAP38" s="25"/>
      <c r="NAQ38" s="25"/>
      <c r="NAR38" s="25"/>
      <c r="NAS38" s="25"/>
      <c r="NAT38" s="25"/>
      <c r="NAU38" s="25"/>
      <c r="NAV38" s="25"/>
      <c r="NAW38" s="25"/>
      <c r="NAX38" s="25"/>
      <c r="NAY38" s="25"/>
      <c r="NAZ38" s="25"/>
      <c r="NBA38" s="25"/>
      <c r="NBB38" s="25"/>
      <c r="NBC38" s="25"/>
      <c r="NBD38" s="25"/>
      <c r="NBE38" s="25"/>
      <c r="NBF38" s="25"/>
      <c r="NBG38" s="25"/>
      <c r="NBH38" s="25"/>
      <c r="NBI38" s="25"/>
      <c r="NBJ38" s="25"/>
      <c r="NBK38" s="25"/>
      <c r="NBL38" s="25"/>
      <c r="NBM38" s="25"/>
      <c r="NBN38" s="25"/>
      <c r="NBO38" s="25"/>
      <c r="NBP38" s="25"/>
      <c r="NBQ38" s="25"/>
      <c r="NBR38" s="25"/>
      <c r="NBS38" s="25"/>
      <c r="NBT38" s="25"/>
      <c r="NBU38" s="25"/>
      <c r="NBV38" s="25"/>
      <c r="NBW38" s="25"/>
      <c r="NBX38" s="25"/>
      <c r="NBY38" s="25"/>
      <c r="NBZ38" s="25"/>
      <c r="NCA38" s="25"/>
      <c r="NCB38" s="25"/>
      <c r="NCC38" s="25"/>
      <c r="NCD38" s="25"/>
      <c r="NCE38" s="25"/>
      <c r="NCF38" s="25"/>
      <c r="NCG38" s="25"/>
      <c r="NCH38" s="25"/>
      <c r="NCI38" s="25"/>
      <c r="NCJ38" s="25"/>
      <c r="NCK38" s="25"/>
      <c r="NCL38" s="25"/>
      <c r="NCM38" s="25"/>
      <c r="NCN38" s="25"/>
      <c r="NCO38" s="25"/>
      <c r="NCP38" s="25"/>
      <c r="NCQ38" s="25"/>
      <c r="NCR38" s="25"/>
      <c r="NCS38" s="25"/>
      <c r="NCT38" s="25"/>
      <c r="NCU38" s="25"/>
      <c r="NCV38" s="25"/>
      <c r="NCW38" s="25"/>
      <c r="NCX38" s="25"/>
      <c r="NCY38" s="25"/>
      <c r="NCZ38" s="25"/>
      <c r="NDA38" s="25"/>
      <c r="NDB38" s="25"/>
      <c r="NDC38" s="25"/>
      <c r="NDD38" s="25"/>
      <c r="NDE38" s="25"/>
      <c r="NDF38" s="25"/>
      <c r="NDG38" s="25"/>
      <c r="NDH38" s="25"/>
      <c r="NDI38" s="25"/>
      <c r="NDJ38" s="25"/>
      <c r="NDK38" s="25"/>
      <c r="NDL38" s="25"/>
      <c r="NDM38" s="25"/>
      <c r="NDN38" s="25"/>
      <c r="NDO38" s="25"/>
      <c r="NDP38" s="25"/>
      <c r="NDQ38" s="25"/>
      <c r="NDR38" s="25"/>
      <c r="NDS38" s="25"/>
      <c r="NDT38" s="25"/>
      <c r="NDU38" s="25"/>
      <c r="NDV38" s="25"/>
      <c r="NDW38" s="25"/>
      <c r="NDX38" s="25"/>
      <c r="NDY38" s="25"/>
      <c r="NDZ38" s="25"/>
      <c r="NEA38" s="25"/>
      <c r="NEB38" s="25"/>
      <c r="NEC38" s="25"/>
      <c r="NED38" s="25"/>
      <c r="NEE38" s="25"/>
      <c r="NEF38" s="25"/>
      <c r="NEG38" s="25"/>
      <c r="NEH38" s="25"/>
      <c r="NEI38" s="25"/>
      <c r="NEJ38" s="25"/>
      <c r="NEK38" s="25"/>
      <c r="NEL38" s="25"/>
      <c r="NEM38" s="25"/>
      <c r="NEN38" s="25"/>
      <c r="NEO38" s="25"/>
      <c r="NEP38" s="25"/>
      <c r="NEQ38" s="25"/>
      <c r="NER38" s="25"/>
      <c r="NES38" s="25"/>
      <c r="NET38" s="25"/>
      <c r="NEU38" s="25"/>
      <c r="NEV38" s="25"/>
      <c r="NEW38" s="25"/>
      <c r="NEX38" s="25"/>
      <c r="NEY38" s="25"/>
      <c r="NEZ38" s="25"/>
      <c r="NFA38" s="25"/>
      <c r="NFB38" s="25"/>
      <c r="NFC38" s="25"/>
      <c r="NFD38" s="25"/>
      <c r="NFE38" s="25"/>
      <c r="NFF38" s="25"/>
      <c r="NFG38" s="25"/>
      <c r="NFH38" s="25"/>
      <c r="NFI38" s="25"/>
      <c r="NFJ38" s="25"/>
      <c r="NFK38" s="25"/>
      <c r="NFL38" s="25"/>
      <c r="NFM38" s="25"/>
      <c r="NFN38" s="25"/>
      <c r="NFO38" s="25"/>
      <c r="NFP38" s="25"/>
      <c r="NFQ38" s="25"/>
      <c r="NFR38" s="25"/>
      <c r="NFS38" s="25"/>
      <c r="NFT38" s="25"/>
      <c r="NFU38" s="25"/>
      <c r="NFV38" s="25"/>
      <c r="NFW38" s="25"/>
      <c r="NFX38" s="25"/>
      <c r="NFY38" s="25"/>
      <c r="NFZ38" s="25"/>
      <c r="NGA38" s="25"/>
      <c r="NGB38" s="25"/>
      <c r="NGC38" s="25"/>
      <c r="NGD38" s="25"/>
      <c r="NGE38" s="25"/>
      <c r="NGF38" s="25"/>
      <c r="NGG38" s="25"/>
      <c r="NGH38" s="25"/>
      <c r="NGI38" s="25"/>
      <c r="NGJ38" s="25"/>
      <c r="NGK38" s="25"/>
      <c r="NGL38" s="25"/>
      <c r="NGM38" s="25"/>
      <c r="NGN38" s="25"/>
      <c r="NGO38" s="25"/>
      <c r="NGP38" s="25"/>
      <c r="NGQ38" s="25"/>
      <c r="NGR38" s="25"/>
      <c r="NGS38" s="25"/>
      <c r="NGT38" s="25"/>
      <c r="NGU38" s="25"/>
      <c r="NGV38" s="25"/>
      <c r="NGW38" s="25"/>
      <c r="NGX38" s="25"/>
      <c r="NGY38" s="25"/>
      <c r="NGZ38" s="25"/>
      <c r="NHA38" s="25"/>
      <c r="NHB38" s="25"/>
      <c r="NHC38" s="25"/>
      <c r="NHD38" s="25"/>
      <c r="NHE38" s="25"/>
      <c r="NHF38" s="25"/>
      <c r="NHG38" s="25"/>
      <c r="NHH38" s="25"/>
      <c r="NHI38" s="25"/>
      <c r="NHJ38" s="25"/>
      <c r="NHK38" s="25"/>
      <c r="NHL38" s="25"/>
      <c r="NHM38" s="25"/>
      <c r="NHN38" s="25"/>
      <c r="NHO38" s="25"/>
      <c r="NHP38" s="25"/>
      <c r="NHQ38" s="25"/>
      <c r="NHR38" s="25"/>
      <c r="NHS38" s="25"/>
      <c r="NHT38" s="25"/>
      <c r="NHU38" s="25"/>
      <c r="NHV38" s="25"/>
      <c r="NHW38" s="25"/>
      <c r="NHX38" s="25"/>
      <c r="NHY38" s="25"/>
      <c r="NHZ38" s="25"/>
      <c r="NIA38" s="25"/>
      <c r="NIB38" s="25"/>
      <c r="NIC38" s="25"/>
      <c r="NID38" s="25"/>
      <c r="NIE38" s="25"/>
      <c r="NIF38" s="25"/>
      <c r="NIG38" s="25"/>
      <c r="NIH38" s="25"/>
      <c r="NII38" s="25"/>
      <c r="NIJ38" s="25"/>
      <c r="NIK38" s="25"/>
      <c r="NIL38" s="25"/>
      <c r="NIM38" s="25"/>
      <c r="NIN38" s="25"/>
      <c r="NIO38" s="25"/>
      <c r="NIP38" s="25"/>
      <c r="NIQ38" s="25"/>
      <c r="NIR38" s="25"/>
      <c r="NIS38" s="25"/>
      <c r="NIT38" s="25"/>
      <c r="NIU38" s="25"/>
      <c r="NIV38" s="25"/>
      <c r="NIW38" s="25"/>
      <c r="NIX38" s="25"/>
      <c r="NIY38" s="25"/>
      <c r="NIZ38" s="25"/>
      <c r="NJA38" s="25"/>
      <c r="NJB38" s="25"/>
      <c r="NJC38" s="25"/>
      <c r="NJD38" s="25"/>
      <c r="NJE38" s="25"/>
      <c r="NJF38" s="25"/>
      <c r="NJG38" s="25"/>
      <c r="NJH38" s="25"/>
      <c r="NJI38" s="25"/>
      <c r="NJJ38" s="25"/>
      <c r="NJK38" s="25"/>
      <c r="NJL38" s="25"/>
      <c r="NJM38" s="25"/>
      <c r="NJN38" s="25"/>
      <c r="NJO38" s="25"/>
      <c r="NJP38" s="25"/>
      <c r="NJQ38" s="25"/>
      <c r="NJR38" s="25"/>
      <c r="NJS38" s="25"/>
      <c r="NJT38" s="25"/>
      <c r="NJU38" s="25"/>
      <c r="NJV38" s="25"/>
      <c r="NJW38" s="25"/>
      <c r="NJX38" s="25"/>
      <c r="NJY38" s="25"/>
      <c r="NJZ38" s="25"/>
      <c r="NKA38" s="25"/>
      <c r="NKB38" s="25"/>
      <c r="NKC38" s="25"/>
      <c r="NKD38" s="25"/>
      <c r="NKE38" s="25"/>
      <c r="NKF38" s="25"/>
      <c r="NKG38" s="25"/>
      <c r="NKH38" s="25"/>
      <c r="NKI38" s="25"/>
      <c r="NKJ38" s="25"/>
      <c r="NKK38" s="25"/>
      <c r="NKL38" s="25"/>
      <c r="NKM38" s="25"/>
      <c r="NKN38" s="25"/>
      <c r="NKO38" s="25"/>
      <c r="NKP38" s="25"/>
      <c r="NKQ38" s="25"/>
      <c r="NKR38" s="25"/>
      <c r="NKS38" s="25"/>
      <c r="NKT38" s="25"/>
      <c r="NKU38" s="25"/>
      <c r="NKV38" s="25"/>
      <c r="NKW38" s="25"/>
      <c r="NKX38" s="25"/>
      <c r="NKY38" s="25"/>
      <c r="NKZ38" s="25"/>
      <c r="NLA38" s="25"/>
      <c r="NLB38" s="25"/>
      <c r="NLC38" s="25"/>
      <c r="NLD38" s="25"/>
      <c r="NLE38" s="25"/>
      <c r="NLF38" s="25"/>
      <c r="NLG38" s="25"/>
      <c r="NLH38" s="25"/>
      <c r="NLI38" s="25"/>
      <c r="NLJ38" s="25"/>
      <c r="NLK38" s="25"/>
      <c r="NLL38" s="25"/>
      <c r="NLM38" s="25"/>
      <c r="NLN38" s="25"/>
      <c r="NLO38" s="25"/>
      <c r="NLP38" s="25"/>
      <c r="NLQ38" s="25"/>
      <c r="NLR38" s="25"/>
      <c r="NLS38" s="25"/>
      <c r="NLT38" s="25"/>
      <c r="NLU38" s="25"/>
      <c r="NLV38" s="25"/>
      <c r="NLW38" s="25"/>
      <c r="NLX38" s="25"/>
      <c r="NLY38" s="25"/>
      <c r="NLZ38" s="25"/>
      <c r="NMA38" s="25"/>
      <c r="NMB38" s="25"/>
      <c r="NMC38" s="25"/>
      <c r="NMD38" s="25"/>
      <c r="NME38" s="25"/>
      <c r="NMF38" s="25"/>
      <c r="NMG38" s="25"/>
      <c r="NMH38" s="25"/>
      <c r="NMI38" s="25"/>
      <c r="NMJ38" s="25"/>
      <c r="NMK38" s="25"/>
      <c r="NML38" s="25"/>
      <c r="NMM38" s="25"/>
      <c r="NMN38" s="25"/>
      <c r="NMO38" s="25"/>
      <c r="NMP38" s="25"/>
      <c r="NMQ38" s="25"/>
      <c r="NMR38" s="25"/>
      <c r="NMS38" s="25"/>
      <c r="NMT38" s="25"/>
      <c r="NMU38" s="25"/>
      <c r="NMV38" s="25"/>
      <c r="NMW38" s="25"/>
      <c r="NMX38" s="25"/>
      <c r="NMY38" s="25"/>
      <c r="NMZ38" s="25"/>
      <c r="NNA38" s="25"/>
      <c r="NNB38" s="25"/>
      <c r="NNC38" s="25"/>
      <c r="NND38" s="25"/>
      <c r="NNE38" s="25"/>
      <c r="NNF38" s="25"/>
      <c r="NNG38" s="25"/>
      <c r="NNH38" s="25"/>
      <c r="NNI38" s="25"/>
      <c r="NNJ38" s="25"/>
      <c r="NNK38" s="25"/>
      <c r="NNL38" s="25"/>
      <c r="NNM38" s="25"/>
      <c r="NNN38" s="25"/>
      <c r="NNO38" s="25"/>
      <c r="NNP38" s="25"/>
      <c r="NNQ38" s="25"/>
      <c r="NNR38" s="25"/>
      <c r="NNS38" s="25"/>
      <c r="NNT38" s="25"/>
      <c r="NNU38" s="25"/>
      <c r="NNV38" s="25"/>
      <c r="NNW38" s="25"/>
      <c r="NNX38" s="25"/>
      <c r="NNY38" s="25"/>
      <c r="NNZ38" s="25"/>
      <c r="NOA38" s="25"/>
      <c r="NOB38" s="25"/>
      <c r="NOC38" s="25"/>
      <c r="NOD38" s="25"/>
      <c r="NOE38" s="25"/>
      <c r="NOF38" s="25"/>
      <c r="NOG38" s="25"/>
      <c r="NOH38" s="25"/>
      <c r="NOI38" s="25"/>
      <c r="NOJ38" s="25"/>
      <c r="NOK38" s="25"/>
      <c r="NOL38" s="25"/>
      <c r="NOM38" s="25"/>
      <c r="NON38" s="25"/>
      <c r="NOO38" s="25"/>
      <c r="NOP38" s="25"/>
      <c r="NOQ38" s="25"/>
      <c r="NOR38" s="25"/>
      <c r="NOS38" s="25"/>
      <c r="NOT38" s="25"/>
      <c r="NOU38" s="25"/>
      <c r="NOV38" s="25"/>
      <c r="NOW38" s="25"/>
      <c r="NOX38" s="25"/>
      <c r="NOY38" s="25"/>
      <c r="NOZ38" s="25"/>
      <c r="NPA38" s="25"/>
      <c r="NPB38" s="25"/>
      <c r="NPC38" s="25"/>
      <c r="NPD38" s="25"/>
      <c r="NPE38" s="25"/>
      <c r="NPF38" s="25"/>
      <c r="NPG38" s="25"/>
      <c r="NPH38" s="25"/>
      <c r="NPI38" s="25"/>
      <c r="NPJ38" s="25"/>
      <c r="NPK38" s="25"/>
      <c r="NPL38" s="25"/>
      <c r="NPM38" s="25"/>
      <c r="NPN38" s="25"/>
      <c r="NPO38" s="25"/>
      <c r="NPP38" s="25"/>
      <c r="NPQ38" s="25"/>
      <c r="NPR38" s="25"/>
      <c r="NPS38" s="25"/>
      <c r="NPT38" s="25"/>
      <c r="NPU38" s="25"/>
      <c r="NPV38" s="25"/>
      <c r="NPW38" s="25"/>
      <c r="NPX38" s="25"/>
      <c r="NPY38" s="25"/>
      <c r="NPZ38" s="25"/>
      <c r="NQA38" s="25"/>
      <c r="NQB38" s="25"/>
      <c r="NQC38" s="25"/>
      <c r="NQD38" s="25"/>
      <c r="NQE38" s="25"/>
      <c r="NQF38" s="25"/>
      <c r="NQG38" s="25"/>
      <c r="NQH38" s="25"/>
      <c r="NQI38" s="25"/>
      <c r="NQJ38" s="25"/>
      <c r="NQK38" s="25"/>
      <c r="NQL38" s="25"/>
      <c r="NQM38" s="25"/>
      <c r="NQN38" s="25"/>
      <c r="NQO38" s="25"/>
      <c r="NQP38" s="25"/>
      <c r="NQQ38" s="25"/>
      <c r="NQR38" s="25"/>
      <c r="NQS38" s="25"/>
      <c r="NQT38" s="25"/>
      <c r="NQU38" s="25"/>
      <c r="NQV38" s="25"/>
      <c r="NQW38" s="25"/>
      <c r="NQX38" s="25"/>
      <c r="NQY38" s="25"/>
      <c r="NQZ38" s="25"/>
      <c r="NRA38" s="25"/>
      <c r="NRB38" s="25"/>
      <c r="NRC38" s="25"/>
      <c r="NRD38" s="25"/>
      <c r="NRE38" s="25"/>
      <c r="NRF38" s="25"/>
      <c r="NRG38" s="25"/>
      <c r="NRH38" s="25"/>
      <c r="NRI38" s="25"/>
      <c r="NRJ38" s="25"/>
      <c r="NRK38" s="25"/>
      <c r="NRL38" s="25"/>
      <c r="NRM38" s="25"/>
      <c r="NRN38" s="25"/>
      <c r="NRO38" s="25"/>
      <c r="NRP38" s="25"/>
      <c r="NRQ38" s="25"/>
      <c r="NRR38" s="25"/>
      <c r="NRS38" s="25"/>
      <c r="NRT38" s="25"/>
      <c r="NRU38" s="25"/>
      <c r="NRV38" s="25"/>
      <c r="NRW38" s="25"/>
      <c r="NRX38" s="25"/>
      <c r="NRY38" s="25"/>
      <c r="NRZ38" s="25"/>
      <c r="NSA38" s="25"/>
      <c r="NSB38" s="25"/>
      <c r="NSC38" s="25"/>
      <c r="NSD38" s="25"/>
      <c r="NSE38" s="25"/>
      <c r="NSF38" s="25"/>
      <c r="NSG38" s="25"/>
      <c r="NSH38" s="25"/>
      <c r="NSI38" s="25"/>
      <c r="NSJ38" s="25"/>
      <c r="NSK38" s="25"/>
      <c r="NSL38" s="25"/>
      <c r="NSM38" s="25"/>
      <c r="NSN38" s="25"/>
      <c r="NSO38" s="25"/>
      <c r="NSP38" s="25"/>
      <c r="NSQ38" s="25"/>
      <c r="NSR38" s="25"/>
      <c r="NSS38" s="25"/>
      <c r="NST38" s="25"/>
      <c r="NSU38" s="25"/>
      <c r="NSV38" s="25"/>
      <c r="NSW38" s="25"/>
      <c r="NSX38" s="25"/>
      <c r="NSY38" s="25"/>
      <c r="NSZ38" s="25"/>
      <c r="NTA38" s="25"/>
      <c r="NTB38" s="25"/>
      <c r="NTC38" s="25"/>
      <c r="NTD38" s="25"/>
      <c r="NTE38" s="25"/>
      <c r="NTF38" s="25"/>
      <c r="NTG38" s="25"/>
      <c r="NTH38" s="25"/>
      <c r="NTI38" s="25"/>
      <c r="NTJ38" s="25"/>
      <c r="NTK38" s="25"/>
      <c r="NTL38" s="25"/>
      <c r="NTM38" s="25"/>
      <c r="NTN38" s="25"/>
      <c r="NTO38" s="25"/>
      <c r="NTP38" s="25"/>
      <c r="NTQ38" s="25"/>
      <c r="NTR38" s="25"/>
      <c r="NTS38" s="25"/>
      <c r="NTT38" s="25"/>
      <c r="NTU38" s="25"/>
      <c r="NTV38" s="25"/>
      <c r="NTW38" s="25"/>
      <c r="NTX38" s="25"/>
      <c r="NTY38" s="25"/>
      <c r="NTZ38" s="25"/>
      <c r="NUA38" s="25"/>
      <c r="NUB38" s="25"/>
      <c r="NUC38" s="25"/>
      <c r="NUD38" s="25"/>
      <c r="NUE38" s="25"/>
      <c r="NUF38" s="25"/>
      <c r="NUG38" s="25"/>
      <c r="NUH38" s="25"/>
      <c r="NUI38" s="25"/>
      <c r="NUJ38" s="25"/>
      <c r="NUK38" s="25"/>
      <c r="NUL38" s="25"/>
      <c r="NUM38" s="25"/>
      <c r="NUN38" s="25"/>
      <c r="NUO38" s="25"/>
      <c r="NUP38" s="25"/>
      <c r="NUQ38" s="25"/>
      <c r="NUR38" s="25"/>
      <c r="NUS38" s="25"/>
      <c r="NUT38" s="25"/>
      <c r="NUU38" s="25"/>
      <c r="NUV38" s="25"/>
      <c r="NUW38" s="25"/>
      <c r="NUX38" s="25"/>
      <c r="NUY38" s="25"/>
      <c r="NUZ38" s="25"/>
      <c r="NVA38" s="25"/>
      <c r="NVB38" s="25"/>
      <c r="NVC38" s="25"/>
      <c r="NVD38" s="25"/>
      <c r="NVE38" s="25"/>
      <c r="NVF38" s="25"/>
      <c r="NVG38" s="25"/>
      <c r="NVH38" s="25"/>
      <c r="NVI38" s="25"/>
      <c r="NVJ38" s="25"/>
      <c r="NVK38" s="25"/>
      <c r="NVL38" s="25"/>
      <c r="NVM38" s="25"/>
      <c r="NVN38" s="25"/>
      <c r="NVO38" s="25"/>
      <c r="NVP38" s="25"/>
      <c r="NVQ38" s="25"/>
      <c r="NVR38" s="25"/>
      <c r="NVS38" s="25"/>
      <c r="NVT38" s="25"/>
      <c r="NVU38" s="25"/>
      <c r="NVV38" s="25"/>
      <c r="NVW38" s="25"/>
      <c r="NVX38" s="25"/>
      <c r="NVY38" s="25"/>
      <c r="NVZ38" s="25"/>
      <c r="NWA38" s="25"/>
      <c r="NWB38" s="25"/>
      <c r="NWC38" s="25"/>
      <c r="NWD38" s="25"/>
      <c r="NWE38" s="25"/>
      <c r="NWF38" s="25"/>
      <c r="NWG38" s="25"/>
      <c r="NWH38" s="25"/>
      <c r="NWI38" s="25"/>
      <c r="NWJ38" s="25"/>
      <c r="NWK38" s="25"/>
      <c r="NWL38" s="25"/>
      <c r="NWM38" s="25"/>
      <c r="NWN38" s="25"/>
      <c r="NWO38" s="25"/>
      <c r="NWP38" s="25"/>
      <c r="NWQ38" s="25"/>
      <c r="NWR38" s="25"/>
      <c r="NWS38" s="25"/>
      <c r="NWT38" s="25"/>
      <c r="NWU38" s="25"/>
      <c r="NWV38" s="25"/>
      <c r="NWW38" s="25"/>
      <c r="NWX38" s="25"/>
      <c r="NWY38" s="25"/>
      <c r="NWZ38" s="25"/>
      <c r="NXA38" s="25"/>
      <c r="NXB38" s="25"/>
      <c r="NXC38" s="25"/>
      <c r="NXD38" s="25"/>
      <c r="NXE38" s="25"/>
      <c r="NXF38" s="25"/>
      <c r="NXG38" s="25"/>
      <c r="NXH38" s="25"/>
      <c r="NXI38" s="25"/>
      <c r="NXJ38" s="25"/>
      <c r="NXK38" s="25"/>
      <c r="NXL38" s="25"/>
      <c r="NXM38" s="25"/>
      <c r="NXN38" s="25"/>
      <c r="NXO38" s="25"/>
      <c r="NXP38" s="25"/>
      <c r="NXQ38" s="25"/>
      <c r="NXR38" s="25"/>
      <c r="NXS38" s="25"/>
      <c r="NXT38" s="25"/>
      <c r="NXU38" s="25"/>
      <c r="NXV38" s="25"/>
      <c r="NXW38" s="25"/>
      <c r="NXX38" s="25"/>
      <c r="NXY38" s="25"/>
      <c r="NXZ38" s="25"/>
      <c r="NYA38" s="25"/>
      <c r="NYB38" s="25"/>
      <c r="NYC38" s="25"/>
      <c r="NYD38" s="25"/>
      <c r="NYE38" s="25"/>
      <c r="NYF38" s="25"/>
      <c r="NYG38" s="25"/>
      <c r="NYH38" s="25"/>
      <c r="NYI38" s="25"/>
      <c r="NYJ38" s="25"/>
      <c r="NYK38" s="25"/>
      <c r="NYL38" s="25"/>
      <c r="NYM38" s="25"/>
      <c r="NYN38" s="25"/>
      <c r="NYO38" s="25"/>
      <c r="NYP38" s="25"/>
      <c r="NYQ38" s="25"/>
      <c r="NYR38" s="25"/>
      <c r="NYS38" s="25"/>
      <c r="NYT38" s="25"/>
      <c r="NYU38" s="25"/>
      <c r="NYV38" s="25"/>
      <c r="NYW38" s="25"/>
      <c r="NYX38" s="25"/>
      <c r="NYY38" s="25"/>
      <c r="NYZ38" s="25"/>
      <c r="NZA38" s="25"/>
      <c r="NZB38" s="25"/>
      <c r="NZC38" s="25"/>
      <c r="NZD38" s="25"/>
      <c r="NZE38" s="25"/>
      <c r="NZF38" s="25"/>
      <c r="NZG38" s="25"/>
      <c r="NZH38" s="25"/>
      <c r="NZI38" s="25"/>
      <c r="NZJ38" s="25"/>
      <c r="NZK38" s="25"/>
      <c r="NZL38" s="25"/>
      <c r="NZM38" s="25"/>
      <c r="NZN38" s="25"/>
      <c r="NZO38" s="25"/>
      <c r="NZP38" s="25"/>
      <c r="NZQ38" s="25"/>
      <c r="NZR38" s="25"/>
      <c r="NZS38" s="25"/>
      <c r="NZT38" s="25"/>
      <c r="NZU38" s="25"/>
      <c r="NZV38" s="25"/>
      <c r="NZW38" s="25"/>
      <c r="NZX38" s="25"/>
      <c r="NZY38" s="25"/>
      <c r="NZZ38" s="25"/>
      <c r="OAA38" s="25"/>
      <c r="OAB38" s="25"/>
      <c r="OAC38" s="25"/>
      <c r="OAD38" s="25"/>
      <c r="OAE38" s="25"/>
      <c r="OAF38" s="25"/>
      <c r="OAG38" s="25"/>
      <c r="OAH38" s="25"/>
      <c r="OAI38" s="25"/>
      <c r="OAJ38" s="25"/>
      <c r="OAK38" s="25"/>
      <c r="OAL38" s="25"/>
      <c r="OAM38" s="25"/>
      <c r="OAN38" s="25"/>
      <c r="OAO38" s="25"/>
      <c r="OAP38" s="25"/>
      <c r="OAQ38" s="25"/>
      <c r="OAR38" s="25"/>
      <c r="OAS38" s="25"/>
      <c r="OAT38" s="25"/>
      <c r="OAU38" s="25"/>
      <c r="OAV38" s="25"/>
      <c r="OAW38" s="25"/>
      <c r="OAX38" s="25"/>
      <c r="OAY38" s="25"/>
      <c r="OAZ38" s="25"/>
      <c r="OBA38" s="25"/>
      <c r="OBB38" s="25"/>
      <c r="OBC38" s="25"/>
      <c r="OBD38" s="25"/>
      <c r="OBE38" s="25"/>
      <c r="OBF38" s="25"/>
      <c r="OBG38" s="25"/>
      <c r="OBH38" s="25"/>
      <c r="OBI38" s="25"/>
      <c r="OBJ38" s="25"/>
      <c r="OBK38" s="25"/>
      <c r="OBL38" s="25"/>
      <c r="OBM38" s="25"/>
      <c r="OBN38" s="25"/>
      <c r="OBO38" s="25"/>
      <c r="OBP38" s="25"/>
      <c r="OBQ38" s="25"/>
      <c r="OBR38" s="25"/>
      <c r="OBS38" s="25"/>
      <c r="OBT38" s="25"/>
      <c r="OBU38" s="25"/>
      <c r="OBV38" s="25"/>
      <c r="OBW38" s="25"/>
      <c r="OBX38" s="25"/>
      <c r="OBY38" s="25"/>
      <c r="OBZ38" s="25"/>
      <c r="OCA38" s="25"/>
      <c r="OCB38" s="25"/>
      <c r="OCC38" s="25"/>
      <c r="OCD38" s="25"/>
      <c r="OCE38" s="25"/>
      <c r="OCF38" s="25"/>
      <c r="OCG38" s="25"/>
      <c r="OCH38" s="25"/>
      <c r="OCI38" s="25"/>
      <c r="OCJ38" s="25"/>
      <c r="OCK38" s="25"/>
      <c r="OCL38" s="25"/>
      <c r="OCM38" s="25"/>
      <c r="OCN38" s="25"/>
      <c r="OCO38" s="25"/>
      <c r="OCP38" s="25"/>
      <c r="OCQ38" s="25"/>
      <c r="OCR38" s="25"/>
      <c r="OCS38" s="25"/>
      <c r="OCT38" s="25"/>
      <c r="OCU38" s="25"/>
      <c r="OCV38" s="25"/>
      <c r="OCW38" s="25"/>
      <c r="OCX38" s="25"/>
      <c r="OCY38" s="25"/>
      <c r="OCZ38" s="25"/>
      <c r="ODA38" s="25"/>
      <c r="ODB38" s="25"/>
      <c r="ODC38" s="25"/>
      <c r="ODD38" s="25"/>
      <c r="ODE38" s="25"/>
      <c r="ODF38" s="25"/>
      <c r="ODG38" s="25"/>
      <c r="ODH38" s="25"/>
      <c r="ODI38" s="25"/>
      <c r="ODJ38" s="25"/>
      <c r="ODK38" s="25"/>
      <c r="ODL38" s="25"/>
      <c r="ODM38" s="25"/>
      <c r="ODN38" s="25"/>
      <c r="ODO38" s="25"/>
      <c r="ODP38" s="25"/>
      <c r="ODQ38" s="25"/>
      <c r="ODR38" s="25"/>
      <c r="ODS38" s="25"/>
      <c r="ODT38" s="25"/>
      <c r="ODU38" s="25"/>
      <c r="ODV38" s="25"/>
      <c r="ODW38" s="25"/>
      <c r="ODX38" s="25"/>
      <c r="ODY38" s="25"/>
      <c r="ODZ38" s="25"/>
      <c r="OEA38" s="25"/>
      <c r="OEB38" s="25"/>
      <c r="OEC38" s="25"/>
      <c r="OED38" s="25"/>
      <c r="OEE38" s="25"/>
      <c r="OEF38" s="25"/>
      <c r="OEG38" s="25"/>
      <c r="OEH38" s="25"/>
      <c r="OEI38" s="25"/>
      <c r="OEJ38" s="25"/>
      <c r="OEK38" s="25"/>
      <c r="OEL38" s="25"/>
      <c r="OEM38" s="25"/>
      <c r="OEN38" s="25"/>
      <c r="OEO38" s="25"/>
      <c r="OEP38" s="25"/>
      <c r="OEQ38" s="25"/>
      <c r="OER38" s="25"/>
      <c r="OES38" s="25"/>
      <c r="OET38" s="25"/>
      <c r="OEU38" s="25"/>
      <c r="OEV38" s="25"/>
      <c r="OEW38" s="25"/>
      <c r="OEX38" s="25"/>
      <c r="OEY38" s="25"/>
      <c r="OEZ38" s="25"/>
      <c r="OFA38" s="25"/>
      <c r="OFB38" s="25"/>
      <c r="OFC38" s="25"/>
      <c r="OFD38" s="25"/>
      <c r="OFE38" s="25"/>
      <c r="OFF38" s="25"/>
      <c r="OFG38" s="25"/>
      <c r="OFH38" s="25"/>
      <c r="OFI38" s="25"/>
      <c r="OFJ38" s="25"/>
      <c r="OFK38" s="25"/>
      <c r="OFL38" s="25"/>
      <c r="OFM38" s="25"/>
      <c r="OFN38" s="25"/>
      <c r="OFO38" s="25"/>
      <c r="OFP38" s="25"/>
      <c r="OFQ38" s="25"/>
      <c r="OFR38" s="25"/>
      <c r="OFS38" s="25"/>
      <c r="OFT38" s="25"/>
      <c r="OFU38" s="25"/>
      <c r="OFV38" s="25"/>
      <c r="OFW38" s="25"/>
      <c r="OFX38" s="25"/>
      <c r="OFY38" s="25"/>
      <c r="OFZ38" s="25"/>
      <c r="OGA38" s="25"/>
      <c r="OGB38" s="25"/>
      <c r="OGC38" s="25"/>
      <c r="OGD38" s="25"/>
      <c r="OGE38" s="25"/>
      <c r="OGF38" s="25"/>
      <c r="OGG38" s="25"/>
      <c r="OGH38" s="25"/>
      <c r="OGI38" s="25"/>
      <c r="OGJ38" s="25"/>
      <c r="OGK38" s="25"/>
      <c r="OGL38" s="25"/>
      <c r="OGM38" s="25"/>
      <c r="OGN38" s="25"/>
      <c r="OGO38" s="25"/>
      <c r="OGP38" s="25"/>
      <c r="OGQ38" s="25"/>
      <c r="OGR38" s="25"/>
      <c r="OGS38" s="25"/>
      <c r="OGT38" s="25"/>
      <c r="OGU38" s="25"/>
      <c r="OGV38" s="25"/>
      <c r="OGW38" s="25"/>
      <c r="OGX38" s="25"/>
      <c r="OGY38" s="25"/>
      <c r="OGZ38" s="25"/>
      <c r="OHA38" s="25"/>
      <c r="OHB38" s="25"/>
      <c r="OHC38" s="25"/>
      <c r="OHD38" s="25"/>
      <c r="OHE38" s="25"/>
      <c r="OHF38" s="25"/>
      <c r="OHG38" s="25"/>
      <c r="OHH38" s="25"/>
      <c r="OHI38" s="25"/>
      <c r="OHJ38" s="25"/>
      <c r="OHK38" s="25"/>
      <c r="OHL38" s="25"/>
      <c r="OHM38" s="25"/>
      <c r="OHN38" s="25"/>
      <c r="OHO38" s="25"/>
      <c r="OHP38" s="25"/>
      <c r="OHQ38" s="25"/>
      <c r="OHR38" s="25"/>
      <c r="OHS38" s="25"/>
      <c r="OHT38" s="25"/>
      <c r="OHU38" s="25"/>
      <c r="OHV38" s="25"/>
      <c r="OHW38" s="25"/>
      <c r="OHX38" s="25"/>
      <c r="OHY38" s="25"/>
      <c r="OHZ38" s="25"/>
      <c r="OIA38" s="25"/>
      <c r="OIB38" s="25"/>
      <c r="OIC38" s="25"/>
      <c r="OID38" s="25"/>
      <c r="OIE38" s="25"/>
      <c r="OIF38" s="25"/>
      <c r="OIG38" s="25"/>
      <c r="OIH38" s="25"/>
      <c r="OII38" s="25"/>
      <c r="OIJ38" s="25"/>
      <c r="OIK38" s="25"/>
      <c r="OIL38" s="25"/>
      <c r="OIM38" s="25"/>
      <c r="OIN38" s="25"/>
      <c r="OIO38" s="25"/>
      <c r="OIP38" s="25"/>
      <c r="OIQ38" s="25"/>
      <c r="OIR38" s="25"/>
      <c r="OIS38" s="25"/>
      <c r="OIT38" s="25"/>
      <c r="OIU38" s="25"/>
      <c r="OIV38" s="25"/>
      <c r="OIW38" s="25"/>
      <c r="OIX38" s="25"/>
      <c r="OIY38" s="25"/>
      <c r="OIZ38" s="25"/>
      <c r="OJA38" s="25"/>
      <c r="OJB38" s="25"/>
      <c r="OJC38" s="25"/>
      <c r="OJD38" s="25"/>
      <c r="OJE38" s="25"/>
      <c r="OJF38" s="25"/>
      <c r="OJG38" s="25"/>
      <c r="OJH38" s="25"/>
      <c r="OJI38" s="25"/>
      <c r="OJJ38" s="25"/>
      <c r="OJK38" s="25"/>
      <c r="OJL38" s="25"/>
      <c r="OJM38" s="25"/>
      <c r="OJN38" s="25"/>
      <c r="OJO38" s="25"/>
      <c r="OJP38" s="25"/>
      <c r="OJQ38" s="25"/>
      <c r="OJR38" s="25"/>
      <c r="OJS38" s="25"/>
      <c r="OJT38" s="25"/>
      <c r="OJU38" s="25"/>
      <c r="OJV38" s="25"/>
      <c r="OJW38" s="25"/>
      <c r="OJX38" s="25"/>
      <c r="OJY38" s="25"/>
      <c r="OJZ38" s="25"/>
      <c r="OKA38" s="25"/>
      <c r="OKB38" s="25"/>
      <c r="OKC38" s="25"/>
      <c r="OKD38" s="25"/>
      <c r="OKE38" s="25"/>
      <c r="OKF38" s="25"/>
      <c r="OKG38" s="25"/>
      <c r="OKH38" s="25"/>
      <c r="OKI38" s="25"/>
      <c r="OKJ38" s="25"/>
      <c r="OKK38" s="25"/>
      <c r="OKL38" s="25"/>
      <c r="OKM38" s="25"/>
      <c r="OKN38" s="25"/>
      <c r="OKO38" s="25"/>
      <c r="OKP38" s="25"/>
      <c r="OKQ38" s="25"/>
      <c r="OKR38" s="25"/>
      <c r="OKS38" s="25"/>
      <c r="OKT38" s="25"/>
      <c r="OKU38" s="25"/>
      <c r="OKV38" s="25"/>
      <c r="OKW38" s="25"/>
      <c r="OKX38" s="25"/>
      <c r="OKY38" s="25"/>
      <c r="OKZ38" s="25"/>
      <c r="OLA38" s="25"/>
      <c r="OLB38" s="25"/>
      <c r="OLC38" s="25"/>
      <c r="OLD38" s="25"/>
      <c r="OLE38" s="25"/>
      <c r="OLF38" s="25"/>
      <c r="OLG38" s="25"/>
      <c r="OLH38" s="25"/>
      <c r="OLI38" s="25"/>
      <c r="OLJ38" s="25"/>
      <c r="OLK38" s="25"/>
      <c r="OLL38" s="25"/>
      <c r="OLM38" s="25"/>
      <c r="OLN38" s="25"/>
      <c r="OLO38" s="25"/>
      <c r="OLP38" s="25"/>
      <c r="OLQ38" s="25"/>
      <c r="OLR38" s="25"/>
      <c r="OLS38" s="25"/>
      <c r="OLT38" s="25"/>
      <c r="OLU38" s="25"/>
      <c r="OLV38" s="25"/>
      <c r="OLW38" s="25"/>
      <c r="OLX38" s="25"/>
      <c r="OLY38" s="25"/>
      <c r="OLZ38" s="25"/>
      <c r="OMA38" s="25"/>
      <c r="OMB38" s="25"/>
      <c r="OMC38" s="25"/>
      <c r="OMD38" s="25"/>
      <c r="OME38" s="25"/>
      <c r="OMF38" s="25"/>
      <c r="OMG38" s="25"/>
      <c r="OMH38" s="25"/>
      <c r="OMI38" s="25"/>
      <c r="OMJ38" s="25"/>
      <c r="OMK38" s="25"/>
      <c r="OML38" s="25"/>
      <c r="OMM38" s="25"/>
      <c r="OMN38" s="25"/>
      <c r="OMO38" s="25"/>
      <c r="OMP38" s="25"/>
      <c r="OMQ38" s="25"/>
      <c r="OMR38" s="25"/>
      <c r="OMS38" s="25"/>
      <c r="OMT38" s="25"/>
      <c r="OMU38" s="25"/>
      <c r="OMV38" s="25"/>
      <c r="OMW38" s="25"/>
      <c r="OMX38" s="25"/>
      <c r="OMY38" s="25"/>
      <c r="OMZ38" s="25"/>
      <c r="ONA38" s="25"/>
      <c r="ONB38" s="25"/>
      <c r="ONC38" s="25"/>
      <c r="OND38" s="25"/>
      <c r="ONE38" s="25"/>
      <c r="ONF38" s="25"/>
      <c r="ONG38" s="25"/>
      <c r="ONH38" s="25"/>
      <c r="ONI38" s="25"/>
      <c r="ONJ38" s="25"/>
      <c r="ONK38" s="25"/>
      <c r="ONL38" s="25"/>
      <c r="ONM38" s="25"/>
      <c r="ONN38" s="25"/>
      <c r="ONO38" s="25"/>
      <c r="ONP38" s="25"/>
      <c r="ONQ38" s="25"/>
      <c r="ONR38" s="25"/>
      <c r="ONS38" s="25"/>
      <c r="ONT38" s="25"/>
      <c r="ONU38" s="25"/>
      <c r="ONV38" s="25"/>
      <c r="ONW38" s="25"/>
      <c r="ONX38" s="25"/>
      <c r="ONY38" s="25"/>
      <c r="ONZ38" s="25"/>
      <c r="OOA38" s="25"/>
      <c r="OOB38" s="25"/>
      <c r="OOC38" s="25"/>
      <c r="OOD38" s="25"/>
      <c r="OOE38" s="25"/>
      <c r="OOF38" s="25"/>
      <c r="OOG38" s="25"/>
      <c r="OOH38" s="25"/>
      <c r="OOI38" s="25"/>
      <c r="OOJ38" s="25"/>
      <c r="OOK38" s="25"/>
      <c r="OOL38" s="25"/>
      <c r="OOM38" s="25"/>
      <c r="OON38" s="25"/>
      <c r="OOO38" s="25"/>
      <c r="OOP38" s="25"/>
      <c r="OOQ38" s="25"/>
      <c r="OOR38" s="25"/>
      <c r="OOS38" s="25"/>
      <c r="OOT38" s="25"/>
      <c r="OOU38" s="25"/>
      <c r="OOV38" s="25"/>
      <c r="OOW38" s="25"/>
      <c r="OOX38" s="25"/>
      <c r="OOY38" s="25"/>
      <c r="OOZ38" s="25"/>
      <c r="OPA38" s="25"/>
      <c r="OPB38" s="25"/>
      <c r="OPC38" s="25"/>
      <c r="OPD38" s="25"/>
      <c r="OPE38" s="25"/>
      <c r="OPF38" s="25"/>
      <c r="OPG38" s="25"/>
      <c r="OPH38" s="25"/>
      <c r="OPI38" s="25"/>
      <c r="OPJ38" s="25"/>
      <c r="OPK38" s="25"/>
      <c r="OPL38" s="25"/>
      <c r="OPM38" s="25"/>
      <c r="OPN38" s="25"/>
      <c r="OPO38" s="25"/>
      <c r="OPP38" s="25"/>
      <c r="OPQ38" s="25"/>
      <c r="OPR38" s="25"/>
      <c r="OPS38" s="25"/>
      <c r="OPT38" s="25"/>
      <c r="OPU38" s="25"/>
      <c r="OPV38" s="25"/>
      <c r="OPW38" s="25"/>
      <c r="OPX38" s="25"/>
      <c r="OPY38" s="25"/>
      <c r="OPZ38" s="25"/>
      <c r="OQA38" s="25"/>
      <c r="OQB38" s="25"/>
      <c r="OQC38" s="25"/>
      <c r="OQD38" s="25"/>
      <c r="OQE38" s="25"/>
      <c r="OQF38" s="25"/>
      <c r="OQG38" s="25"/>
      <c r="OQH38" s="25"/>
      <c r="OQI38" s="25"/>
      <c r="OQJ38" s="25"/>
      <c r="OQK38" s="25"/>
      <c r="OQL38" s="25"/>
      <c r="OQM38" s="25"/>
      <c r="OQN38" s="25"/>
      <c r="OQO38" s="25"/>
      <c r="OQP38" s="25"/>
      <c r="OQQ38" s="25"/>
      <c r="OQR38" s="25"/>
      <c r="OQS38" s="25"/>
      <c r="OQT38" s="25"/>
      <c r="OQU38" s="25"/>
      <c r="OQV38" s="25"/>
      <c r="OQW38" s="25"/>
      <c r="OQX38" s="25"/>
      <c r="OQY38" s="25"/>
      <c r="OQZ38" s="25"/>
      <c r="ORA38" s="25"/>
      <c r="ORB38" s="25"/>
      <c r="ORC38" s="25"/>
      <c r="ORD38" s="25"/>
      <c r="ORE38" s="25"/>
      <c r="ORF38" s="25"/>
      <c r="ORG38" s="25"/>
      <c r="ORH38" s="25"/>
      <c r="ORI38" s="25"/>
      <c r="ORJ38" s="25"/>
      <c r="ORK38" s="25"/>
      <c r="ORL38" s="25"/>
      <c r="ORM38" s="25"/>
      <c r="ORN38" s="25"/>
      <c r="ORO38" s="25"/>
      <c r="ORP38" s="25"/>
      <c r="ORQ38" s="25"/>
      <c r="ORR38" s="25"/>
      <c r="ORS38" s="25"/>
      <c r="ORT38" s="25"/>
      <c r="ORU38" s="25"/>
      <c r="ORV38" s="25"/>
      <c r="ORW38" s="25"/>
      <c r="ORX38" s="25"/>
      <c r="ORY38" s="25"/>
      <c r="ORZ38" s="25"/>
      <c r="OSA38" s="25"/>
      <c r="OSB38" s="25"/>
      <c r="OSC38" s="25"/>
      <c r="OSD38" s="25"/>
      <c r="OSE38" s="25"/>
      <c r="OSF38" s="25"/>
      <c r="OSG38" s="25"/>
      <c r="OSH38" s="25"/>
      <c r="OSI38" s="25"/>
      <c r="OSJ38" s="25"/>
      <c r="OSK38" s="25"/>
      <c r="OSL38" s="25"/>
      <c r="OSM38" s="25"/>
      <c r="OSN38" s="25"/>
      <c r="OSO38" s="25"/>
      <c r="OSP38" s="25"/>
      <c r="OSQ38" s="25"/>
      <c r="OSR38" s="25"/>
      <c r="OSS38" s="25"/>
      <c r="OST38" s="25"/>
      <c r="OSU38" s="25"/>
      <c r="OSV38" s="25"/>
      <c r="OSW38" s="25"/>
      <c r="OSX38" s="25"/>
      <c r="OSY38" s="25"/>
      <c r="OSZ38" s="25"/>
      <c r="OTA38" s="25"/>
      <c r="OTB38" s="25"/>
      <c r="OTC38" s="25"/>
      <c r="OTD38" s="25"/>
      <c r="OTE38" s="25"/>
      <c r="OTF38" s="25"/>
      <c r="OTG38" s="25"/>
      <c r="OTH38" s="25"/>
      <c r="OTI38" s="25"/>
      <c r="OTJ38" s="25"/>
      <c r="OTK38" s="25"/>
      <c r="OTL38" s="25"/>
      <c r="OTM38" s="25"/>
      <c r="OTN38" s="25"/>
      <c r="OTO38" s="25"/>
      <c r="OTP38" s="25"/>
      <c r="OTQ38" s="25"/>
      <c r="OTR38" s="25"/>
      <c r="OTS38" s="25"/>
      <c r="OTT38" s="25"/>
      <c r="OTU38" s="25"/>
      <c r="OTV38" s="25"/>
      <c r="OTW38" s="25"/>
      <c r="OTX38" s="25"/>
      <c r="OTY38" s="25"/>
      <c r="OTZ38" s="25"/>
      <c r="OUA38" s="25"/>
      <c r="OUB38" s="25"/>
      <c r="OUC38" s="25"/>
      <c r="OUD38" s="25"/>
      <c r="OUE38" s="25"/>
      <c r="OUF38" s="25"/>
      <c r="OUG38" s="25"/>
      <c r="OUH38" s="25"/>
      <c r="OUI38" s="25"/>
      <c r="OUJ38" s="25"/>
      <c r="OUK38" s="25"/>
      <c r="OUL38" s="25"/>
      <c r="OUM38" s="25"/>
      <c r="OUN38" s="25"/>
      <c r="OUO38" s="25"/>
      <c r="OUP38" s="25"/>
      <c r="OUQ38" s="25"/>
      <c r="OUR38" s="25"/>
      <c r="OUS38" s="25"/>
      <c r="OUT38" s="25"/>
      <c r="OUU38" s="25"/>
      <c r="OUV38" s="25"/>
      <c r="OUW38" s="25"/>
      <c r="OUX38" s="25"/>
      <c r="OUY38" s="25"/>
      <c r="OUZ38" s="25"/>
      <c r="OVA38" s="25"/>
      <c r="OVB38" s="25"/>
      <c r="OVC38" s="25"/>
      <c r="OVD38" s="25"/>
      <c r="OVE38" s="25"/>
      <c r="OVF38" s="25"/>
      <c r="OVG38" s="25"/>
      <c r="OVH38" s="25"/>
      <c r="OVI38" s="25"/>
      <c r="OVJ38" s="25"/>
      <c r="OVK38" s="25"/>
      <c r="OVL38" s="25"/>
      <c r="OVM38" s="25"/>
      <c r="OVN38" s="25"/>
      <c r="OVO38" s="25"/>
      <c r="OVP38" s="25"/>
      <c r="OVQ38" s="25"/>
      <c r="OVR38" s="25"/>
      <c r="OVS38" s="25"/>
      <c r="OVT38" s="25"/>
      <c r="OVU38" s="25"/>
      <c r="OVV38" s="25"/>
      <c r="OVW38" s="25"/>
      <c r="OVX38" s="25"/>
      <c r="OVY38" s="25"/>
      <c r="OVZ38" s="25"/>
      <c r="OWA38" s="25"/>
      <c r="OWB38" s="25"/>
      <c r="OWC38" s="25"/>
      <c r="OWD38" s="25"/>
      <c r="OWE38" s="25"/>
      <c r="OWF38" s="25"/>
      <c r="OWG38" s="25"/>
      <c r="OWH38" s="25"/>
      <c r="OWI38" s="25"/>
      <c r="OWJ38" s="25"/>
      <c r="OWK38" s="25"/>
      <c r="OWL38" s="25"/>
      <c r="OWM38" s="25"/>
      <c r="OWN38" s="25"/>
      <c r="OWO38" s="25"/>
      <c r="OWP38" s="25"/>
      <c r="OWQ38" s="25"/>
      <c r="OWR38" s="25"/>
      <c r="OWS38" s="25"/>
      <c r="OWT38" s="25"/>
      <c r="OWU38" s="25"/>
      <c r="OWV38" s="25"/>
      <c r="OWW38" s="25"/>
      <c r="OWX38" s="25"/>
      <c r="OWY38" s="25"/>
      <c r="OWZ38" s="25"/>
      <c r="OXA38" s="25"/>
      <c r="OXB38" s="25"/>
      <c r="OXC38" s="25"/>
      <c r="OXD38" s="25"/>
      <c r="OXE38" s="25"/>
      <c r="OXF38" s="25"/>
      <c r="OXG38" s="25"/>
      <c r="OXH38" s="25"/>
      <c r="OXI38" s="25"/>
      <c r="OXJ38" s="25"/>
      <c r="OXK38" s="25"/>
      <c r="OXL38" s="25"/>
      <c r="OXM38" s="25"/>
      <c r="OXN38" s="25"/>
      <c r="OXO38" s="25"/>
      <c r="OXP38" s="25"/>
      <c r="OXQ38" s="25"/>
      <c r="OXR38" s="25"/>
      <c r="OXS38" s="25"/>
      <c r="OXT38" s="25"/>
      <c r="OXU38" s="25"/>
      <c r="OXV38" s="25"/>
      <c r="OXW38" s="25"/>
      <c r="OXX38" s="25"/>
      <c r="OXY38" s="25"/>
      <c r="OXZ38" s="25"/>
      <c r="OYA38" s="25"/>
      <c r="OYB38" s="25"/>
      <c r="OYC38" s="25"/>
      <c r="OYD38" s="25"/>
      <c r="OYE38" s="25"/>
      <c r="OYF38" s="25"/>
      <c r="OYG38" s="25"/>
      <c r="OYH38" s="25"/>
      <c r="OYI38" s="25"/>
      <c r="OYJ38" s="25"/>
      <c r="OYK38" s="25"/>
      <c r="OYL38" s="25"/>
      <c r="OYM38" s="25"/>
      <c r="OYN38" s="25"/>
      <c r="OYO38" s="25"/>
      <c r="OYP38" s="25"/>
      <c r="OYQ38" s="25"/>
      <c r="OYR38" s="25"/>
      <c r="OYS38" s="25"/>
      <c r="OYT38" s="25"/>
      <c r="OYU38" s="25"/>
      <c r="OYV38" s="25"/>
      <c r="OYW38" s="25"/>
      <c r="OYX38" s="25"/>
      <c r="OYY38" s="25"/>
      <c r="OYZ38" s="25"/>
      <c r="OZA38" s="25"/>
      <c r="OZB38" s="25"/>
      <c r="OZC38" s="25"/>
      <c r="OZD38" s="25"/>
      <c r="OZE38" s="25"/>
      <c r="OZF38" s="25"/>
      <c r="OZG38" s="25"/>
      <c r="OZH38" s="25"/>
      <c r="OZI38" s="25"/>
      <c r="OZJ38" s="25"/>
      <c r="OZK38" s="25"/>
      <c r="OZL38" s="25"/>
      <c r="OZM38" s="25"/>
      <c r="OZN38" s="25"/>
      <c r="OZO38" s="25"/>
      <c r="OZP38" s="25"/>
      <c r="OZQ38" s="25"/>
      <c r="OZR38" s="25"/>
      <c r="OZS38" s="25"/>
      <c r="OZT38" s="25"/>
      <c r="OZU38" s="25"/>
      <c r="OZV38" s="25"/>
      <c r="OZW38" s="25"/>
      <c r="OZX38" s="25"/>
      <c r="OZY38" s="25"/>
      <c r="OZZ38" s="25"/>
      <c r="PAA38" s="25"/>
      <c r="PAB38" s="25"/>
      <c r="PAC38" s="25"/>
      <c r="PAD38" s="25"/>
      <c r="PAE38" s="25"/>
      <c r="PAF38" s="25"/>
      <c r="PAG38" s="25"/>
      <c r="PAH38" s="25"/>
      <c r="PAI38" s="25"/>
      <c r="PAJ38" s="25"/>
      <c r="PAK38" s="25"/>
      <c r="PAL38" s="25"/>
      <c r="PAM38" s="25"/>
      <c r="PAN38" s="25"/>
      <c r="PAO38" s="25"/>
      <c r="PAP38" s="25"/>
      <c r="PAQ38" s="25"/>
      <c r="PAR38" s="25"/>
      <c r="PAS38" s="25"/>
      <c r="PAT38" s="25"/>
      <c r="PAU38" s="25"/>
      <c r="PAV38" s="25"/>
      <c r="PAW38" s="25"/>
      <c r="PAX38" s="25"/>
      <c r="PAY38" s="25"/>
      <c r="PAZ38" s="25"/>
      <c r="PBA38" s="25"/>
      <c r="PBB38" s="25"/>
      <c r="PBC38" s="25"/>
      <c r="PBD38" s="25"/>
      <c r="PBE38" s="25"/>
      <c r="PBF38" s="25"/>
      <c r="PBG38" s="25"/>
      <c r="PBH38" s="25"/>
      <c r="PBI38" s="25"/>
      <c r="PBJ38" s="25"/>
      <c r="PBK38" s="25"/>
      <c r="PBL38" s="25"/>
      <c r="PBM38" s="25"/>
      <c r="PBN38" s="25"/>
      <c r="PBO38" s="25"/>
      <c r="PBP38" s="25"/>
      <c r="PBQ38" s="25"/>
      <c r="PBR38" s="25"/>
      <c r="PBS38" s="25"/>
      <c r="PBT38" s="25"/>
      <c r="PBU38" s="25"/>
      <c r="PBV38" s="25"/>
      <c r="PBW38" s="25"/>
      <c r="PBX38" s="25"/>
      <c r="PBY38" s="25"/>
      <c r="PBZ38" s="25"/>
      <c r="PCA38" s="25"/>
      <c r="PCB38" s="25"/>
      <c r="PCC38" s="25"/>
      <c r="PCD38" s="25"/>
      <c r="PCE38" s="25"/>
      <c r="PCF38" s="25"/>
      <c r="PCG38" s="25"/>
      <c r="PCH38" s="25"/>
      <c r="PCI38" s="25"/>
      <c r="PCJ38" s="25"/>
      <c r="PCK38" s="25"/>
      <c r="PCL38" s="25"/>
      <c r="PCM38" s="25"/>
      <c r="PCN38" s="25"/>
      <c r="PCO38" s="25"/>
      <c r="PCP38" s="25"/>
      <c r="PCQ38" s="25"/>
      <c r="PCR38" s="25"/>
      <c r="PCS38" s="25"/>
      <c r="PCT38" s="25"/>
      <c r="PCU38" s="25"/>
      <c r="PCV38" s="25"/>
      <c r="PCW38" s="25"/>
      <c r="PCX38" s="25"/>
      <c r="PCY38" s="25"/>
      <c r="PCZ38" s="25"/>
      <c r="PDA38" s="25"/>
      <c r="PDB38" s="25"/>
      <c r="PDC38" s="25"/>
      <c r="PDD38" s="25"/>
      <c r="PDE38" s="25"/>
      <c r="PDF38" s="25"/>
      <c r="PDG38" s="25"/>
      <c r="PDH38" s="25"/>
      <c r="PDI38" s="25"/>
      <c r="PDJ38" s="25"/>
      <c r="PDK38" s="25"/>
      <c r="PDL38" s="25"/>
      <c r="PDM38" s="25"/>
      <c r="PDN38" s="25"/>
      <c r="PDO38" s="25"/>
      <c r="PDP38" s="25"/>
      <c r="PDQ38" s="25"/>
      <c r="PDR38" s="25"/>
      <c r="PDS38" s="25"/>
      <c r="PDT38" s="25"/>
      <c r="PDU38" s="25"/>
      <c r="PDV38" s="25"/>
      <c r="PDW38" s="25"/>
      <c r="PDX38" s="25"/>
      <c r="PDY38" s="25"/>
      <c r="PDZ38" s="25"/>
      <c r="PEA38" s="25"/>
      <c r="PEB38" s="25"/>
      <c r="PEC38" s="25"/>
      <c r="PED38" s="25"/>
      <c r="PEE38" s="25"/>
      <c r="PEF38" s="25"/>
      <c r="PEG38" s="25"/>
      <c r="PEH38" s="25"/>
      <c r="PEI38" s="25"/>
      <c r="PEJ38" s="25"/>
      <c r="PEK38" s="25"/>
      <c r="PEL38" s="25"/>
      <c r="PEM38" s="25"/>
      <c r="PEN38" s="25"/>
      <c r="PEO38" s="25"/>
      <c r="PEP38" s="25"/>
      <c r="PEQ38" s="25"/>
      <c r="PER38" s="25"/>
      <c r="PES38" s="25"/>
      <c r="PET38" s="25"/>
      <c r="PEU38" s="25"/>
      <c r="PEV38" s="25"/>
      <c r="PEW38" s="25"/>
      <c r="PEX38" s="25"/>
      <c r="PEY38" s="25"/>
      <c r="PEZ38" s="25"/>
      <c r="PFA38" s="25"/>
      <c r="PFB38" s="25"/>
      <c r="PFC38" s="25"/>
      <c r="PFD38" s="25"/>
      <c r="PFE38" s="25"/>
      <c r="PFF38" s="25"/>
      <c r="PFG38" s="25"/>
      <c r="PFH38" s="25"/>
      <c r="PFI38" s="25"/>
      <c r="PFJ38" s="25"/>
      <c r="PFK38" s="25"/>
      <c r="PFL38" s="25"/>
      <c r="PFM38" s="25"/>
      <c r="PFN38" s="25"/>
      <c r="PFO38" s="25"/>
      <c r="PFP38" s="25"/>
      <c r="PFQ38" s="25"/>
      <c r="PFR38" s="25"/>
      <c r="PFS38" s="25"/>
      <c r="PFT38" s="25"/>
      <c r="PFU38" s="25"/>
      <c r="PFV38" s="25"/>
      <c r="PFW38" s="25"/>
      <c r="PFX38" s="25"/>
      <c r="PFY38" s="25"/>
      <c r="PFZ38" s="25"/>
      <c r="PGA38" s="25"/>
      <c r="PGB38" s="25"/>
      <c r="PGC38" s="25"/>
      <c r="PGD38" s="25"/>
      <c r="PGE38" s="25"/>
      <c r="PGF38" s="25"/>
      <c r="PGG38" s="25"/>
      <c r="PGH38" s="25"/>
      <c r="PGI38" s="25"/>
      <c r="PGJ38" s="25"/>
      <c r="PGK38" s="25"/>
      <c r="PGL38" s="25"/>
      <c r="PGM38" s="25"/>
      <c r="PGN38" s="25"/>
      <c r="PGO38" s="25"/>
      <c r="PGP38" s="25"/>
      <c r="PGQ38" s="25"/>
      <c r="PGR38" s="25"/>
      <c r="PGS38" s="25"/>
      <c r="PGT38" s="25"/>
      <c r="PGU38" s="25"/>
      <c r="PGV38" s="25"/>
      <c r="PGW38" s="25"/>
      <c r="PGX38" s="25"/>
      <c r="PGY38" s="25"/>
      <c r="PGZ38" s="25"/>
      <c r="PHA38" s="25"/>
      <c r="PHB38" s="25"/>
      <c r="PHC38" s="25"/>
      <c r="PHD38" s="25"/>
      <c r="PHE38" s="25"/>
      <c r="PHF38" s="25"/>
      <c r="PHG38" s="25"/>
      <c r="PHH38" s="25"/>
      <c r="PHI38" s="25"/>
      <c r="PHJ38" s="25"/>
      <c r="PHK38" s="25"/>
      <c r="PHL38" s="25"/>
      <c r="PHM38" s="25"/>
      <c r="PHN38" s="25"/>
      <c r="PHO38" s="25"/>
      <c r="PHP38" s="25"/>
      <c r="PHQ38" s="25"/>
      <c r="PHR38" s="25"/>
      <c r="PHS38" s="25"/>
      <c r="PHT38" s="25"/>
      <c r="PHU38" s="25"/>
      <c r="PHV38" s="25"/>
      <c r="PHW38" s="25"/>
      <c r="PHX38" s="25"/>
      <c r="PHY38" s="25"/>
      <c r="PHZ38" s="25"/>
      <c r="PIA38" s="25"/>
      <c r="PIB38" s="25"/>
      <c r="PIC38" s="25"/>
      <c r="PID38" s="25"/>
      <c r="PIE38" s="25"/>
      <c r="PIF38" s="25"/>
      <c r="PIG38" s="25"/>
      <c r="PIH38" s="25"/>
      <c r="PII38" s="25"/>
      <c r="PIJ38" s="25"/>
      <c r="PIK38" s="25"/>
      <c r="PIL38" s="25"/>
      <c r="PIM38" s="25"/>
      <c r="PIN38" s="25"/>
      <c r="PIO38" s="25"/>
      <c r="PIP38" s="25"/>
      <c r="PIQ38" s="25"/>
      <c r="PIR38" s="25"/>
      <c r="PIS38" s="25"/>
      <c r="PIT38" s="25"/>
      <c r="PIU38" s="25"/>
      <c r="PIV38" s="25"/>
      <c r="PIW38" s="25"/>
      <c r="PIX38" s="25"/>
      <c r="PIY38" s="25"/>
      <c r="PIZ38" s="25"/>
      <c r="PJA38" s="25"/>
      <c r="PJB38" s="25"/>
      <c r="PJC38" s="25"/>
      <c r="PJD38" s="25"/>
      <c r="PJE38" s="25"/>
      <c r="PJF38" s="25"/>
      <c r="PJG38" s="25"/>
      <c r="PJH38" s="25"/>
      <c r="PJI38" s="25"/>
      <c r="PJJ38" s="25"/>
      <c r="PJK38" s="25"/>
      <c r="PJL38" s="25"/>
      <c r="PJM38" s="25"/>
      <c r="PJN38" s="25"/>
      <c r="PJO38" s="25"/>
      <c r="PJP38" s="25"/>
      <c r="PJQ38" s="25"/>
      <c r="PJR38" s="25"/>
      <c r="PJS38" s="25"/>
      <c r="PJT38" s="25"/>
      <c r="PJU38" s="25"/>
      <c r="PJV38" s="25"/>
      <c r="PJW38" s="25"/>
      <c r="PJX38" s="25"/>
      <c r="PJY38" s="25"/>
      <c r="PJZ38" s="25"/>
      <c r="PKA38" s="25"/>
      <c r="PKB38" s="25"/>
      <c r="PKC38" s="25"/>
      <c r="PKD38" s="25"/>
      <c r="PKE38" s="25"/>
      <c r="PKF38" s="25"/>
      <c r="PKG38" s="25"/>
      <c r="PKH38" s="25"/>
      <c r="PKI38" s="25"/>
      <c r="PKJ38" s="25"/>
      <c r="PKK38" s="25"/>
      <c r="PKL38" s="25"/>
      <c r="PKM38" s="25"/>
      <c r="PKN38" s="25"/>
      <c r="PKO38" s="25"/>
      <c r="PKP38" s="25"/>
      <c r="PKQ38" s="25"/>
      <c r="PKR38" s="25"/>
      <c r="PKS38" s="25"/>
      <c r="PKT38" s="25"/>
      <c r="PKU38" s="25"/>
      <c r="PKV38" s="25"/>
      <c r="PKW38" s="25"/>
      <c r="PKX38" s="25"/>
      <c r="PKY38" s="25"/>
      <c r="PKZ38" s="25"/>
      <c r="PLA38" s="25"/>
      <c r="PLB38" s="25"/>
      <c r="PLC38" s="25"/>
      <c r="PLD38" s="25"/>
      <c r="PLE38" s="25"/>
      <c r="PLF38" s="25"/>
      <c r="PLG38" s="25"/>
      <c r="PLH38" s="25"/>
      <c r="PLI38" s="25"/>
      <c r="PLJ38" s="25"/>
      <c r="PLK38" s="25"/>
      <c r="PLL38" s="25"/>
      <c r="PLM38" s="25"/>
      <c r="PLN38" s="25"/>
      <c r="PLO38" s="25"/>
      <c r="PLP38" s="25"/>
      <c r="PLQ38" s="25"/>
      <c r="PLR38" s="25"/>
      <c r="PLS38" s="25"/>
      <c r="PLT38" s="25"/>
      <c r="PLU38" s="25"/>
      <c r="PLV38" s="25"/>
      <c r="PLW38" s="25"/>
      <c r="PLX38" s="25"/>
      <c r="PLY38" s="25"/>
      <c r="PLZ38" s="25"/>
      <c r="PMA38" s="25"/>
      <c r="PMB38" s="25"/>
      <c r="PMC38" s="25"/>
      <c r="PMD38" s="25"/>
      <c r="PME38" s="25"/>
      <c r="PMF38" s="25"/>
      <c r="PMG38" s="25"/>
      <c r="PMH38" s="25"/>
      <c r="PMI38" s="25"/>
      <c r="PMJ38" s="25"/>
      <c r="PMK38" s="25"/>
      <c r="PML38" s="25"/>
      <c r="PMM38" s="25"/>
      <c r="PMN38" s="25"/>
      <c r="PMO38" s="25"/>
      <c r="PMP38" s="25"/>
      <c r="PMQ38" s="25"/>
      <c r="PMR38" s="25"/>
      <c r="PMS38" s="25"/>
      <c r="PMT38" s="25"/>
      <c r="PMU38" s="25"/>
      <c r="PMV38" s="25"/>
      <c r="PMW38" s="25"/>
      <c r="PMX38" s="25"/>
      <c r="PMY38" s="25"/>
      <c r="PMZ38" s="25"/>
      <c r="PNA38" s="25"/>
      <c r="PNB38" s="25"/>
      <c r="PNC38" s="25"/>
      <c r="PND38" s="25"/>
      <c r="PNE38" s="25"/>
      <c r="PNF38" s="25"/>
      <c r="PNG38" s="25"/>
      <c r="PNH38" s="25"/>
      <c r="PNI38" s="25"/>
      <c r="PNJ38" s="25"/>
      <c r="PNK38" s="25"/>
      <c r="PNL38" s="25"/>
      <c r="PNM38" s="25"/>
      <c r="PNN38" s="25"/>
      <c r="PNO38" s="25"/>
      <c r="PNP38" s="25"/>
      <c r="PNQ38" s="25"/>
      <c r="PNR38" s="25"/>
      <c r="PNS38" s="25"/>
      <c r="PNT38" s="25"/>
      <c r="PNU38" s="25"/>
      <c r="PNV38" s="25"/>
      <c r="PNW38" s="25"/>
      <c r="PNX38" s="25"/>
      <c r="PNY38" s="25"/>
      <c r="PNZ38" s="25"/>
      <c r="POA38" s="25"/>
      <c r="POB38" s="25"/>
      <c r="POC38" s="25"/>
      <c r="POD38" s="25"/>
      <c r="POE38" s="25"/>
      <c r="POF38" s="25"/>
      <c r="POG38" s="25"/>
      <c r="POH38" s="25"/>
      <c r="POI38" s="25"/>
      <c r="POJ38" s="25"/>
      <c r="POK38" s="25"/>
      <c r="POL38" s="25"/>
      <c r="POM38" s="25"/>
      <c r="PON38" s="25"/>
      <c r="POO38" s="25"/>
      <c r="POP38" s="25"/>
      <c r="POQ38" s="25"/>
      <c r="POR38" s="25"/>
      <c r="POS38" s="25"/>
      <c r="POT38" s="25"/>
      <c r="POU38" s="25"/>
      <c r="POV38" s="25"/>
      <c r="POW38" s="25"/>
      <c r="POX38" s="25"/>
      <c r="POY38" s="25"/>
      <c r="POZ38" s="25"/>
      <c r="PPA38" s="25"/>
      <c r="PPB38" s="25"/>
      <c r="PPC38" s="25"/>
      <c r="PPD38" s="25"/>
      <c r="PPE38" s="25"/>
      <c r="PPF38" s="25"/>
      <c r="PPG38" s="25"/>
      <c r="PPH38" s="25"/>
      <c r="PPI38" s="25"/>
      <c r="PPJ38" s="25"/>
      <c r="PPK38" s="25"/>
      <c r="PPL38" s="25"/>
      <c r="PPM38" s="25"/>
      <c r="PPN38" s="25"/>
      <c r="PPO38" s="25"/>
      <c r="PPP38" s="25"/>
      <c r="PPQ38" s="25"/>
      <c r="PPR38" s="25"/>
      <c r="PPS38" s="25"/>
      <c r="PPT38" s="25"/>
      <c r="PPU38" s="25"/>
      <c r="PPV38" s="25"/>
      <c r="PPW38" s="25"/>
      <c r="PPX38" s="25"/>
      <c r="PPY38" s="25"/>
      <c r="PPZ38" s="25"/>
      <c r="PQA38" s="25"/>
      <c r="PQB38" s="25"/>
      <c r="PQC38" s="25"/>
      <c r="PQD38" s="25"/>
      <c r="PQE38" s="25"/>
      <c r="PQF38" s="25"/>
      <c r="PQG38" s="25"/>
      <c r="PQH38" s="25"/>
      <c r="PQI38" s="25"/>
      <c r="PQJ38" s="25"/>
      <c r="PQK38" s="25"/>
      <c r="PQL38" s="25"/>
      <c r="PQM38" s="25"/>
      <c r="PQN38" s="25"/>
      <c r="PQO38" s="25"/>
      <c r="PQP38" s="25"/>
      <c r="PQQ38" s="25"/>
      <c r="PQR38" s="25"/>
      <c r="PQS38" s="25"/>
      <c r="PQT38" s="25"/>
      <c r="PQU38" s="25"/>
      <c r="PQV38" s="25"/>
      <c r="PQW38" s="25"/>
      <c r="PQX38" s="25"/>
      <c r="PQY38" s="25"/>
      <c r="PQZ38" s="25"/>
      <c r="PRA38" s="25"/>
      <c r="PRB38" s="25"/>
      <c r="PRC38" s="25"/>
      <c r="PRD38" s="25"/>
      <c r="PRE38" s="25"/>
      <c r="PRF38" s="25"/>
      <c r="PRG38" s="25"/>
      <c r="PRH38" s="25"/>
      <c r="PRI38" s="25"/>
      <c r="PRJ38" s="25"/>
      <c r="PRK38" s="25"/>
      <c r="PRL38" s="25"/>
      <c r="PRM38" s="25"/>
      <c r="PRN38" s="25"/>
      <c r="PRO38" s="25"/>
      <c r="PRP38" s="25"/>
      <c r="PRQ38" s="25"/>
      <c r="PRR38" s="25"/>
      <c r="PRS38" s="25"/>
      <c r="PRT38" s="25"/>
      <c r="PRU38" s="25"/>
      <c r="PRV38" s="25"/>
      <c r="PRW38" s="25"/>
      <c r="PRX38" s="25"/>
      <c r="PRY38" s="25"/>
      <c r="PRZ38" s="25"/>
      <c r="PSA38" s="25"/>
      <c r="PSB38" s="25"/>
      <c r="PSC38" s="25"/>
      <c r="PSD38" s="25"/>
      <c r="PSE38" s="25"/>
      <c r="PSF38" s="25"/>
      <c r="PSG38" s="25"/>
      <c r="PSH38" s="25"/>
      <c r="PSI38" s="25"/>
      <c r="PSJ38" s="25"/>
      <c r="PSK38" s="25"/>
      <c r="PSL38" s="25"/>
      <c r="PSM38" s="25"/>
      <c r="PSN38" s="25"/>
      <c r="PSO38" s="25"/>
      <c r="PSP38" s="25"/>
      <c r="PSQ38" s="25"/>
      <c r="PSR38" s="25"/>
      <c r="PSS38" s="25"/>
      <c r="PST38" s="25"/>
      <c r="PSU38" s="25"/>
      <c r="PSV38" s="25"/>
      <c r="PSW38" s="25"/>
      <c r="PSX38" s="25"/>
      <c r="PSY38" s="25"/>
      <c r="PSZ38" s="25"/>
      <c r="PTA38" s="25"/>
      <c r="PTB38" s="25"/>
      <c r="PTC38" s="25"/>
      <c r="PTD38" s="25"/>
      <c r="PTE38" s="25"/>
      <c r="PTF38" s="25"/>
      <c r="PTG38" s="25"/>
      <c r="PTH38" s="25"/>
      <c r="PTI38" s="25"/>
      <c r="PTJ38" s="25"/>
      <c r="PTK38" s="25"/>
      <c r="PTL38" s="25"/>
      <c r="PTM38" s="25"/>
      <c r="PTN38" s="25"/>
      <c r="PTO38" s="25"/>
      <c r="PTP38" s="25"/>
      <c r="PTQ38" s="25"/>
      <c r="PTR38" s="25"/>
      <c r="PTS38" s="25"/>
      <c r="PTT38" s="25"/>
      <c r="PTU38" s="25"/>
      <c r="PTV38" s="25"/>
      <c r="PTW38" s="25"/>
      <c r="PTX38" s="25"/>
      <c r="PTY38" s="25"/>
      <c r="PTZ38" s="25"/>
      <c r="PUA38" s="25"/>
      <c r="PUB38" s="25"/>
      <c r="PUC38" s="25"/>
      <c r="PUD38" s="25"/>
      <c r="PUE38" s="25"/>
      <c r="PUF38" s="25"/>
      <c r="PUG38" s="25"/>
      <c r="PUH38" s="25"/>
      <c r="PUI38" s="25"/>
      <c r="PUJ38" s="25"/>
      <c r="PUK38" s="25"/>
      <c r="PUL38" s="25"/>
      <c r="PUM38" s="25"/>
      <c r="PUN38" s="25"/>
      <c r="PUO38" s="25"/>
      <c r="PUP38" s="25"/>
      <c r="PUQ38" s="25"/>
      <c r="PUR38" s="25"/>
      <c r="PUS38" s="25"/>
      <c r="PUT38" s="25"/>
      <c r="PUU38" s="25"/>
      <c r="PUV38" s="25"/>
      <c r="PUW38" s="25"/>
      <c r="PUX38" s="25"/>
      <c r="PUY38" s="25"/>
      <c r="PUZ38" s="25"/>
      <c r="PVA38" s="25"/>
      <c r="PVB38" s="25"/>
      <c r="PVC38" s="25"/>
      <c r="PVD38" s="25"/>
      <c r="PVE38" s="25"/>
      <c r="PVF38" s="25"/>
      <c r="PVG38" s="25"/>
      <c r="PVH38" s="25"/>
      <c r="PVI38" s="25"/>
      <c r="PVJ38" s="25"/>
      <c r="PVK38" s="25"/>
      <c r="PVL38" s="25"/>
      <c r="PVM38" s="25"/>
      <c r="PVN38" s="25"/>
      <c r="PVO38" s="25"/>
      <c r="PVP38" s="25"/>
      <c r="PVQ38" s="25"/>
      <c r="PVR38" s="25"/>
      <c r="PVS38" s="25"/>
      <c r="PVT38" s="25"/>
      <c r="PVU38" s="25"/>
      <c r="PVV38" s="25"/>
      <c r="PVW38" s="25"/>
      <c r="PVX38" s="25"/>
      <c r="PVY38" s="25"/>
      <c r="PVZ38" s="25"/>
      <c r="PWA38" s="25"/>
      <c r="PWB38" s="25"/>
      <c r="PWC38" s="25"/>
      <c r="PWD38" s="25"/>
      <c r="PWE38" s="25"/>
      <c r="PWF38" s="25"/>
      <c r="PWG38" s="25"/>
      <c r="PWH38" s="25"/>
      <c r="PWI38" s="25"/>
      <c r="PWJ38" s="25"/>
      <c r="PWK38" s="25"/>
      <c r="PWL38" s="25"/>
      <c r="PWM38" s="25"/>
      <c r="PWN38" s="25"/>
      <c r="PWO38" s="25"/>
      <c r="PWP38" s="25"/>
      <c r="PWQ38" s="25"/>
      <c r="PWR38" s="25"/>
      <c r="PWS38" s="25"/>
      <c r="PWT38" s="25"/>
      <c r="PWU38" s="25"/>
      <c r="PWV38" s="25"/>
      <c r="PWW38" s="25"/>
      <c r="PWX38" s="25"/>
      <c r="PWY38" s="25"/>
      <c r="PWZ38" s="25"/>
      <c r="PXA38" s="25"/>
      <c r="PXB38" s="25"/>
      <c r="PXC38" s="25"/>
      <c r="PXD38" s="25"/>
      <c r="PXE38" s="25"/>
      <c r="PXF38" s="25"/>
      <c r="PXG38" s="25"/>
      <c r="PXH38" s="25"/>
      <c r="PXI38" s="25"/>
      <c r="PXJ38" s="25"/>
      <c r="PXK38" s="25"/>
      <c r="PXL38" s="25"/>
      <c r="PXM38" s="25"/>
      <c r="PXN38" s="25"/>
      <c r="PXO38" s="25"/>
      <c r="PXP38" s="25"/>
      <c r="PXQ38" s="25"/>
      <c r="PXR38" s="25"/>
      <c r="PXS38" s="25"/>
      <c r="PXT38" s="25"/>
      <c r="PXU38" s="25"/>
      <c r="PXV38" s="25"/>
      <c r="PXW38" s="25"/>
      <c r="PXX38" s="25"/>
      <c r="PXY38" s="25"/>
      <c r="PXZ38" s="25"/>
      <c r="PYA38" s="25"/>
      <c r="PYB38" s="25"/>
      <c r="PYC38" s="25"/>
      <c r="PYD38" s="25"/>
      <c r="PYE38" s="25"/>
      <c r="PYF38" s="25"/>
      <c r="PYG38" s="25"/>
      <c r="PYH38" s="25"/>
      <c r="PYI38" s="25"/>
      <c r="PYJ38" s="25"/>
      <c r="PYK38" s="25"/>
      <c r="PYL38" s="25"/>
      <c r="PYM38" s="25"/>
      <c r="PYN38" s="25"/>
      <c r="PYO38" s="25"/>
      <c r="PYP38" s="25"/>
      <c r="PYQ38" s="25"/>
      <c r="PYR38" s="25"/>
      <c r="PYS38" s="25"/>
      <c r="PYT38" s="25"/>
      <c r="PYU38" s="25"/>
      <c r="PYV38" s="25"/>
      <c r="PYW38" s="25"/>
      <c r="PYX38" s="25"/>
      <c r="PYY38" s="25"/>
      <c r="PYZ38" s="25"/>
      <c r="PZA38" s="25"/>
      <c r="PZB38" s="25"/>
      <c r="PZC38" s="25"/>
      <c r="PZD38" s="25"/>
      <c r="PZE38" s="25"/>
      <c r="PZF38" s="25"/>
      <c r="PZG38" s="25"/>
      <c r="PZH38" s="25"/>
      <c r="PZI38" s="25"/>
      <c r="PZJ38" s="25"/>
      <c r="PZK38" s="25"/>
      <c r="PZL38" s="25"/>
      <c r="PZM38" s="25"/>
      <c r="PZN38" s="25"/>
      <c r="PZO38" s="25"/>
      <c r="PZP38" s="25"/>
      <c r="PZQ38" s="25"/>
      <c r="PZR38" s="25"/>
      <c r="PZS38" s="25"/>
      <c r="PZT38" s="25"/>
      <c r="PZU38" s="25"/>
      <c r="PZV38" s="25"/>
      <c r="PZW38" s="25"/>
      <c r="PZX38" s="25"/>
      <c r="PZY38" s="25"/>
      <c r="PZZ38" s="25"/>
      <c r="QAA38" s="25"/>
      <c r="QAB38" s="25"/>
      <c r="QAC38" s="25"/>
      <c r="QAD38" s="25"/>
      <c r="QAE38" s="25"/>
      <c r="QAF38" s="25"/>
      <c r="QAG38" s="25"/>
      <c r="QAH38" s="25"/>
      <c r="QAI38" s="25"/>
      <c r="QAJ38" s="25"/>
      <c r="QAK38" s="25"/>
      <c r="QAL38" s="25"/>
      <c r="QAM38" s="25"/>
      <c r="QAN38" s="25"/>
      <c r="QAO38" s="25"/>
      <c r="QAP38" s="25"/>
      <c r="QAQ38" s="25"/>
      <c r="QAR38" s="25"/>
      <c r="QAS38" s="25"/>
      <c r="QAT38" s="25"/>
      <c r="QAU38" s="25"/>
      <c r="QAV38" s="25"/>
      <c r="QAW38" s="25"/>
      <c r="QAX38" s="25"/>
      <c r="QAY38" s="25"/>
      <c r="QAZ38" s="25"/>
      <c r="QBA38" s="25"/>
      <c r="QBB38" s="25"/>
      <c r="QBC38" s="25"/>
      <c r="QBD38" s="25"/>
      <c r="QBE38" s="25"/>
      <c r="QBF38" s="25"/>
      <c r="QBG38" s="25"/>
      <c r="QBH38" s="25"/>
      <c r="QBI38" s="25"/>
      <c r="QBJ38" s="25"/>
      <c r="QBK38" s="25"/>
      <c r="QBL38" s="25"/>
      <c r="QBM38" s="25"/>
      <c r="QBN38" s="25"/>
      <c r="QBO38" s="25"/>
      <c r="QBP38" s="25"/>
      <c r="QBQ38" s="25"/>
      <c r="QBR38" s="25"/>
      <c r="QBS38" s="25"/>
      <c r="QBT38" s="25"/>
      <c r="QBU38" s="25"/>
      <c r="QBV38" s="25"/>
      <c r="QBW38" s="25"/>
      <c r="QBX38" s="25"/>
      <c r="QBY38" s="25"/>
      <c r="QBZ38" s="25"/>
      <c r="QCA38" s="25"/>
      <c r="QCB38" s="25"/>
      <c r="QCC38" s="25"/>
      <c r="QCD38" s="25"/>
      <c r="QCE38" s="25"/>
      <c r="QCF38" s="25"/>
      <c r="QCG38" s="25"/>
      <c r="QCH38" s="25"/>
      <c r="QCI38" s="25"/>
      <c r="QCJ38" s="25"/>
      <c r="QCK38" s="25"/>
      <c r="QCL38" s="25"/>
      <c r="QCM38" s="25"/>
      <c r="QCN38" s="25"/>
      <c r="QCO38" s="25"/>
      <c r="QCP38" s="25"/>
      <c r="QCQ38" s="25"/>
      <c r="QCR38" s="25"/>
      <c r="QCS38" s="25"/>
      <c r="QCT38" s="25"/>
      <c r="QCU38" s="25"/>
      <c r="QCV38" s="25"/>
      <c r="QCW38" s="25"/>
      <c r="QCX38" s="25"/>
      <c r="QCY38" s="25"/>
      <c r="QCZ38" s="25"/>
      <c r="QDA38" s="25"/>
      <c r="QDB38" s="25"/>
      <c r="QDC38" s="25"/>
      <c r="QDD38" s="25"/>
      <c r="QDE38" s="25"/>
      <c r="QDF38" s="25"/>
      <c r="QDG38" s="25"/>
      <c r="QDH38" s="25"/>
      <c r="QDI38" s="25"/>
      <c r="QDJ38" s="25"/>
      <c r="QDK38" s="25"/>
      <c r="QDL38" s="25"/>
      <c r="QDM38" s="25"/>
      <c r="QDN38" s="25"/>
      <c r="QDO38" s="25"/>
      <c r="QDP38" s="25"/>
      <c r="QDQ38" s="25"/>
      <c r="QDR38" s="25"/>
      <c r="QDS38" s="25"/>
      <c r="QDT38" s="25"/>
      <c r="QDU38" s="25"/>
      <c r="QDV38" s="25"/>
      <c r="QDW38" s="25"/>
      <c r="QDX38" s="25"/>
      <c r="QDY38" s="25"/>
      <c r="QDZ38" s="25"/>
      <c r="QEA38" s="25"/>
      <c r="QEB38" s="25"/>
      <c r="QEC38" s="25"/>
      <c r="QED38" s="25"/>
      <c r="QEE38" s="25"/>
      <c r="QEF38" s="25"/>
      <c r="QEG38" s="25"/>
      <c r="QEH38" s="25"/>
      <c r="QEI38" s="25"/>
      <c r="QEJ38" s="25"/>
      <c r="QEK38" s="25"/>
      <c r="QEL38" s="25"/>
      <c r="QEM38" s="25"/>
      <c r="QEN38" s="25"/>
      <c r="QEO38" s="25"/>
      <c r="QEP38" s="25"/>
      <c r="QEQ38" s="25"/>
      <c r="QER38" s="25"/>
      <c r="QES38" s="25"/>
      <c r="QET38" s="25"/>
      <c r="QEU38" s="25"/>
      <c r="QEV38" s="25"/>
      <c r="QEW38" s="25"/>
      <c r="QEX38" s="25"/>
      <c r="QEY38" s="25"/>
      <c r="QEZ38" s="25"/>
      <c r="QFA38" s="25"/>
      <c r="QFB38" s="25"/>
      <c r="QFC38" s="25"/>
      <c r="QFD38" s="25"/>
      <c r="QFE38" s="25"/>
      <c r="QFF38" s="25"/>
      <c r="QFG38" s="25"/>
      <c r="QFH38" s="25"/>
      <c r="QFI38" s="25"/>
      <c r="QFJ38" s="25"/>
      <c r="QFK38" s="25"/>
      <c r="QFL38" s="25"/>
      <c r="QFM38" s="25"/>
      <c r="QFN38" s="25"/>
      <c r="QFO38" s="25"/>
      <c r="QFP38" s="25"/>
      <c r="QFQ38" s="25"/>
      <c r="QFR38" s="25"/>
      <c r="QFS38" s="25"/>
      <c r="QFT38" s="25"/>
      <c r="QFU38" s="25"/>
      <c r="QFV38" s="25"/>
      <c r="QFW38" s="25"/>
      <c r="QFX38" s="25"/>
      <c r="QFY38" s="25"/>
      <c r="QFZ38" s="25"/>
      <c r="QGA38" s="25"/>
      <c r="QGB38" s="25"/>
      <c r="QGC38" s="25"/>
      <c r="QGD38" s="25"/>
      <c r="QGE38" s="25"/>
      <c r="QGF38" s="25"/>
      <c r="QGG38" s="25"/>
      <c r="QGH38" s="25"/>
      <c r="QGI38" s="25"/>
      <c r="QGJ38" s="25"/>
      <c r="QGK38" s="25"/>
      <c r="QGL38" s="25"/>
      <c r="QGM38" s="25"/>
      <c r="QGN38" s="25"/>
      <c r="QGO38" s="25"/>
      <c r="QGP38" s="25"/>
      <c r="QGQ38" s="25"/>
      <c r="QGR38" s="25"/>
      <c r="QGS38" s="25"/>
      <c r="QGT38" s="25"/>
      <c r="QGU38" s="25"/>
      <c r="QGV38" s="25"/>
      <c r="QGW38" s="25"/>
      <c r="QGX38" s="25"/>
      <c r="QGY38" s="25"/>
      <c r="QGZ38" s="25"/>
      <c r="QHA38" s="25"/>
      <c r="QHB38" s="25"/>
      <c r="QHC38" s="25"/>
      <c r="QHD38" s="25"/>
      <c r="QHE38" s="25"/>
      <c r="QHF38" s="25"/>
      <c r="QHG38" s="25"/>
      <c r="QHH38" s="25"/>
      <c r="QHI38" s="25"/>
      <c r="QHJ38" s="25"/>
      <c r="QHK38" s="25"/>
      <c r="QHL38" s="25"/>
      <c r="QHM38" s="25"/>
      <c r="QHN38" s="25"/>
      <c r="QHO38" s="25"/>
      <c r="QHP38" s="25"/>
      <c r="QHQ38" s="25"/>
      <c r="QHR38" s="25"/>
      <c r="QHS38" s="25"/>
      <c r="QHT38" s="25"/>
      <c r="QHU38" s="25"/>
      <c r="QHV38" s="25"/>
      <c r="QHW38" s="25"/>
      <c r="QHX38" s="25"/>
      <c r="QHY38" s="25"/>
      <c r="QHZ38" s="25"/>
      <c r="QIA38" s="25"/>
      <c r="QIB38" s="25"/>
      <c r="QIC38" s="25"/>
      <c r="QID38" s="25"/>
      <c r="QIE38" s="25"/>
      <c r="QIF38" s="25"/>
      <c r="QIG38" s="25"/>
      <c r="QIH38" s="25"/>
      <c r="QII38" s="25"/>
      <c r="QIJ38" s="25"/>
      <c r="QIK38" s="25"/>
      <c r="QIL38" s="25"/>
      <c r="QIM38" s="25"/>
      <c r="QIN38" s="25"/>
      <c r="QIO38" s="25"/>
      <c r="QIP38" s="25"/>
      <c r="QIQ38" s="25"/>
      <c r="QIR38" s="25"/>
      <c r="QIS38" s="25"/>
      <c r="QIT38" s="25"/>
      <c r="QIU38" s="25"/>
      <c r="QIV38" s="25"/>
      <c r="QIW38" s="25"/>
      <c r="QIX38" s="25"/>
      <c r="QIY38" s="25"/>
      <c r="QIZ38" s="25"/>
      <c r="QJA38" s="25"/>
      <c r="QJB38" s="25"/>
      <c r="QJC38" s="25"/>
      <c r="QJD38" s="25"/>
      <c r="QJE38" s="25"/>
      <c r="QJF38" s="25"/>
      <c r="QJG38" s="25"/>
      <c r="QJH38" s="25"/>
      <c r="QJI38" s="25"/>
      <c r="QJJ38" s="25"/>
      <c r="QJK38" s="25"/>
      <c r="QJL38" s="25"/>
      <c r="QJM38" s="25"/>
      <c r="QJN38" s="25"/>
      <c r="QJO38" s="25"/>
      <c r="QJP38" s="25"/>
      <c r="QJQ38" s="25"/>
      <c r="QJR38" s="25"/>
      <c r="QJS38" s="25"/>
      <c r="QJT38" s="25"/>
      <c r="QJU38" s="25"/>
      <c r="QJV38" s="25"/>
      <c r="QJW38" s="25"/>
      <c r="QJX38" s="25"/>
      <c r="QJY38" s="25"/>
      <c r="QJZ38" s="25"/>
      <c r="QKA38" s="25"/>
      <c r="QKB38" s="25"/>
      <c r="QKC38" s="25"/>
      <c r="QKD38" s="25"/>
      <c r="QKE38" s="25"/>
      <c r="QKF38" s="25"/>
      <c r="QKG38" s="25"/>
      <c r="QKH38" s="25"/>
      <c r="QKI38" s="25"/>
      <c r="QKJ38" s="25"/>
      <c r="QKK38" s="25"/>
      <c r="QKL38" s="25"/>
      <c r="QKM38" s="25"/>
      <c r="QKN38" s="25"/>
      <c r="QKO38" s="25"/>
      <c r="QKP38" s="25"/>
      <c r="QKQ38" s="25"/>
      <c r="QKR38" s="25"/>
      <c r="QKS38" s="25"/>
      <c r="QKT38" s="25"/>
      <c r="QKU38" s="25"/>
      <c r="QKV38" s="25"/>
      <c r="QKW38" s="25"/>
      <c r="QKX38" s="25"/>
      <c r="QKY38" s="25"/>
      <c r="QKZ38" s="25"/>
      <c r="QLA38" s="25"/>
      <c r="QLB38" s="25"/>
      <c r="QLC38" s="25"/>
      <c r="QLD38" s="25"/>
      <c r="QLE38" s="25"/>
      <c r="QLF38" s="25"/>
      <c r="QLG38" s="25"/>
      <c r="QLH38" s="25"/>
      <c r="QLI38" s="25"/>
      <c r="QLJ38" s="25"/>
      <c r="QLK38" s="25"/>
      <c r="QLL38" s="25"/>
      <c r="QLM38" s="25"/>
      <c r="QLN38" s="25"/>
      <c r="QLO38" s="25"/>
      <c r="QLP38" s="25"/>
      <c r="QLQ38" s="25"/>
      <c r="QLR38" s="25"/>
      <c r="QLS38" s="25"/>
      <c r="QLT38" s="25"/>
      <c r="QLU38" s="25"/>
      <c r="QLV38" s="25"/>
      <c r="QLW38" s="25"/>
      <c r="QLX38" s="25"/>
      <c r="QLY38" s="25"/>
      <c r="QLZ38" s="25"/>
      <c r="QMA38" s="25"/>
      <c r="QMB38" s="25"/>
      <c r="QMC38" s="25"/>
      <c r="QMD38" s="25"/>
      <c r="QME38" s="25"/>
      <c r="QMF38" s="25"/>
      <c r="QMG38" s="25"/>
      <c r="QMH38" s="25"/>
      <c r="QMI38" s="25"/>
      <c r="QMJ38" s="25"/>
      <c r="QMK38" s="25"/>
      <c r="QML38" s="25"/>
      <c r="QMM38" s="25"/>
      <c r="QMN38" s="25"/>
      <c r="QMO38" s="25"/>
      <c r="QMP38" s="25"/>
      <c r="QMQ38" s="25"/>
      <c r="QMR38" s="25"/>
      <c r="QMS38" s="25"/>
      <c r="QMT38" s="25"/>
      <c r="QMU38" s="25"/>
      <c r="QMV38" s="25"/>
      <c r="QMW38" s="25"/>
      <c r="QMX38" s="25"/>
      <c r="QMY38" s="25"/>
      <c r="QMZ38" s="25"/>
      <c r="QNA38" s="25"/>
      <c r="QNB38" s="25"/>
      <c r="QNC38" s="25"/>
      <c r="QND38" s="25"/>
      <c r="QNE38" s="25"/>
      <c r="QNF38" s="25"/>
      <c r="QNG38" s="25"/>
      <c r="QNH38" s="25"/>
      <c r="QNI38" s="25"/>
      <c r="QNJ38" s="25"/>
      <c r="QNK38" s="25"/>
      <c r="QNL38" s="25"/>
      <c r="QNM38" s="25"/>
      <c r="QNN38" s="25"/>
      <c r="QNO38" s="25"/>
      <c r="QNP38" s="25"/>
      <c r="QNQ38" s="25"/>
      <c r="QNR38" s="25"/>
      <c r="QNS38" s="25"/>
      <c r="QNT38" s="25"/>
      <c r="QNU38" s="25"/>
      <c r="QNV38" s="25"/>
      <c r="QNW38" s="25"/>
      <c r="QNX38" s="25"/>
      <c r="QNY38" s="25"/>
      <c r="QNZ38" s="25"/>
      <c r="QOA38" s="25"/>
      <c r="QOB38" s="25"/>
      <c r="QOC38" s="25"/>
      <c r="QOD38" s="25"/>
      <c r="QOE38" s="25"/>
      <c r="QOF38" s="25"/>
      <c r="QOG38" s="25"/>
      <c r="QOH38" s="25"/>
      <c r="QOI38" s="25"/>
      <c r="QOJ38" s="25"/>
      <c r="QOK38" s="25"/>
      <c r="QOL38" s="25"/>
      <c r="QOM38" s="25"/>
      <c r="QON38" s="25"/>
      <c r="QOO38" s="25"/>
      <c r="QOP38" s="25"/>
      <c r="QOQ38" s="25"/>
      <c r="QOR38" s="25"/>
      <c r="QOS38" s="25"/>
      <c r="QOT38" s="25"/>
      <c r="QOU38" s="25"/>
      <c r="QOV38" s="25"/>
      <c r="QOW38" s="25"/>
      <c r="QOX38" s="25"/>
      <c r="QOY38" s="25"/>
      <c r="QOZ38" s="25"/>
      <c r="QPA38" s="25"/>
      <c r="QPB38" s="25"/>
      <c r="QPC38" s="25"/>
      <c r="QPD38" s="25"/>
      <c r="QPE38" s="25"/>
      <c r="QPF38" s="25"/>
      <c r="QPG38" s="25"/>
      <c r="QPH38" s="25"/>
      <c r="QPI38" s="25"/>
      <c r="QPJ38" s="25"/>
      <c r="QPK38" s="25"/>
      <c r="QPL38" s="25"/>
      <c r="QPM38" s="25"/>
      <c r="QPN38" s="25"/>
      <c r="QPO38" s="25"/>
      <c r="QPP38" s="25"/>
      <c r="QPQ38" s="25"/>
      <c r="QPR38" s="25"/>
      <c r="QPS38" s="25"/>
      <c r="QPT38" s="25"/>
      <c r="QPU38" s="25"/>
      <c r="QPV38" s="25"/>
      <c r="QPW38" s="25"/>
      <c r="QPX38" s="25"/>
      <c r="QPY38" s="25"/>
      <c r="QPZ38" s="25"/>
      <c r="QQA38" s="25"/>
      <c r="QQB38" s="25"/>
      <c r="QQC38" s="25"/>
      <c r="QQD38" s="25"/>
      <c r="QQE38" s="25"/>
      <c r="QQF38" s="25"/>
      <c r="QQG38" s="25"/>
      <c r="QQH38" s="25"/>
      <c r="QQI38" s="25"/>
      <c r="QQJ38" s="25"/>
      <c r="QQK38" s="25"/>
      <c r="QQL38" s="25"/>
      <c r="QQM38" s="25"/>
      <c r="QQN38" s="25"/>
      <c r="QQO38" s="25"/>
      <c r="QQP38" s="25"/>
      <c r="QQQ38" s="25"/>
      <c r="QQR38" s="25"/>
      <c r="QQS38" s="25"/>
      <c r="QQT38" s="25"/>
      <c r="QQU38" s="25"/>
      <c r="QQV38" s="25"/>
      <c r="QQW38" s="25"/>
      <c r="QQX38" s="25"/>
      <c r="QQY38" s="25"/>
      <c r="QQZ38" s="25"/>
      <c r="QRA38" s="25"/>
      <c r="QRB38" s="25"/>
      <c r="QRC38" s="25"/>
      <c r="QRD38" s="25"/>
      <c r="QRE38" s="25"/>
      <c r="QRF38" s="25"/>
      <c r="QRG38" s="25"/>
      <c r="QRH38" s="25"/>
      <c r="QRI38" s="25"/>
      <c r="QRJ38" s="25"/>
      <c r="QRK38" s="25"/>
      <c r="QRL38" s="25"/>
      <c r="QRM38" s="25"/>
      <c r="QRN38" s="25"/>
      <c r="QRO38" s="25"/>
      <c r="QRP38" s="25"/>
      <c r="QRQ38" s="25"/>
      <c r="QRR38" s="25"/>
      <c r="QRS38" s="25"/>
      <c r="QRT38" s="25"/>
      <c r="QRU38" s="25"/>
      <c r="QRV38" s="25"/>
      <c r="QRW38" s="25"/>
      <c r="QRX38" s="25"/>
      <c r="QRY38" s="25"/>
      <c r="QRZ38" s="25"/>
      <c r="QSA38" s="25"/>
      <c r="QSB38" s="25"/>
      <c r="QSC38" s="25"/>
      <c r="QSD38" s="25"/>
      <c r="QSE38" s="25"/>
      <c r="QSF38" s="25"/>
      <c r="QSG38" s="25"/>
      <c r="QSH38" s="25"/>
      <c r="QSI38" s="25"/>
      <c r="QSJ38" s="25"/>
      <c r="QSK38" s="25"/>
      <c r="QSL38" s="25"/>
      <c r="QSM38" s="25"/>
      <c r="QSN38" s="25"/>
      <c r="QSO38" s="25"/>
      <c r="QSP38" s="25"/>
      <c r="QSQ38" s="25"/>
      <c r="QSR38" s="25"/>
      <c r="QSS38" s="25"/>
      <c r="QST38" s="25"/>
      <c r="QSU38" s="25"/>
      <c r="QSV38" s="25"/>
      <c r="QSW38" s="25"/>
      <c r="QSX38" s="25"/>
      <c r="QSY38" s="25"/>
      <c r="QSZ38" s="25"/>
      <c r="QTA38" s="25"/>
      <c r="QTB38" s="25"/>
      <c r="QTC38" s="25"/>
      <c r="QTD38" s="25"/>
      <c r="QTE38" s="25"/>
      <c r="QTF38" s="25"/>
      <c r="QTG38" s="25"/>
      <c r="QTH38" s="25"/>
      <c r="QTI38" s="25"/>
      <c r="QTJ38" s="25"/>
      <c r="QTK38" s="25"/>
      <c r="QTL38" s="25"/>
      <c r="QTM38" s="25"/>
      <c r="QTN38" s="25"/>
      <c r="QTO38" s="25"/>
      <c r="QTP38" s="25"/>
      <c r="QTQ38" s="25"/>
      <c r="QTR38" s="25"/>
      <c r="QTS38" s="25"/>
      <c r="QTT38" s="25"/>
      <c r="QTU38" s="25"/>
      <c r="QTV38" s="25"/>
      <c r="QTW38" s="25"/>
      <c r="QTX38" s="25"/>
      <c r="QTY38" s="25"/>
      <c r="QTZ38" s="25"/>
      <c r="QUA38" s="25"/>
      <c r="QUB38" s="25"/>
      <c r="QUC38" s="25"/>
      <c r="QUD38" s="25"/>
      <c r="QUE38" s="25"/>
      <c r="QUF38" s="25"/>
      <c r="QUG38" s="25"/>
      <c r="QUH38" s="25"/>
      <c r="QUI38" s="25"/>
      <c r="QUJ38" s="25"/>
      <c r="QUK38" s="25"/>
      <c r="QUL38" s="25"/>
      <c r="QUM38" s="25"/>
      <c r="QUN38" s="25"/>
      <c r="QUO38" s="25"/>
      <c r="QUP38" s="25"/>
      <c r="QUQ38" s="25"/>
      <c r="QUR38" s="25"/>
      <c r="QUS38" s="25"/>
      <c r="QUT38" s="25"/>
      <c r="QUU38" s="25"/>
      <c r="QUV38" s="25"/>
      <c r="QUW38" s="25"/>
      <c r="QUX38" s="25"/>
      <c r="QUY38" s="25"/>
      <c r="QUZ38" s="25"/>
      <c r="QVA38" s="25"/>
      <c r="QVB38" s="25"/>
      <c r="QVC38" s="25"/>
      <c r="QVD38" s="25"/>
      <c r="QVE38" s="25"/>
      <c r="QVF38" s="25"/>
      <c r="QVG38" s="25"/>
      <c r="QVH38" s="25"/>
      <c r="QVI38" s="25"/>
      <c r="QVJ38" s="25"/>
      <c r="QVK38" s="25"/>
      <c r="QVL38" s="25"/>
      <c r="QVM38" s="25"/>
      <c r="QVN38" s="25"/>
      <c r="QVO38" s="25"/>
      <c r="QVP38" s="25"/>
      <c r="QVQ38" s="25"/>
      <c r="QVR38" s="25"/>
      <c r="QVS38" s="25"/>
      <c r="QVT38" s="25"/>
      <c r="QVU38" s="25"/>
      <c r="QVV38" s="25"/>
      <c r="QVW38" s="25"/>
      <c r="QVX38" s="25"/>
      <c r="QVY38" s="25"/>
      <c r="QVZ38" s="25"/>
      <c r="QWA38" s="25"/>
      <c r="QWB38" s="25"/>
      <c r="QWC38" s="25"/>
      <c r="QWD38" s="25"/>
      <c r="QWE38" s="25"/>
      <c r="QWF38" s="25"/>
      <c r="QWG38" s="25"/>
      <c r="QWH38" s="25"/>
      <c r="QWI38" s="25"/>
      <c r="QWJ38" s="25"/>
      <c r="QWK38" s="25"/>
      <c r="QWL38" s="25"/>
      <c r="QWM38" s="25"/>
      <c r="QWN38" s="25"/>
      <c r="QWO38" s="25"/>
      <c r="QWP38" s="25"/>
      <c r="QWQ38" s="25"/>
      <c r="QWR38" s="25"/>
      <c r="QWS38" s="25"/>
      <c r="QWT38" s="25"/>
      <c r="QWU38" s="25"/>
      <c r="QWV38" s="25"/>
      <c r="QWW38" s="25"/>
      <c r="QWX38" s="25"/>
      <c r="QWY38" s="25"/>
      <c r="QWZ38" s="25"/>
      <c r="QXA38" s="25"/>
      <c r="QXB38" s="25"/>
      <c r="QXC38" s="25"/>
      <c r="QXD38" s="25"/>
      <c r="QXE38" s="25"/>
      <c r="QXF38" s="25"/>
      <c r="QXG38" s="25"/>
      <c r="QXH38" s="25"/>
      <c r="QXI38" s="25"/>
      <c r="QXJ38" s="25"/>
      <c r="QXK38" s="25"/>
      <c r="QXL38" s="25"/>
      <c r="QXM38" s="25"/>
      <c r="QXN38" s="25"/>
      <c r="QXO38" s="25"/>
      <c r="QXP38" s="25"/>
      <c r="QXQ38" s="25"/>
      <c r="QXR38" s="25"/>
      <c r="QXS38" s="25"/>
      <c r="QXT38" s="25"/>
      <c r="QXU38" s="25"/>
      <c r="QXV38" s="25"/>
      <c r="QXW38" s="25"/>
      <c r="QXX38" s="25"/>
      <c r="QXY38" s="25"/>
      <c r="QXZ38" s="25"/>
      <c r="QYA38" s="25"/>
      <c r="QYB38" s="25"/>
      <c r="QYC38" s="25"/>
      <c r="QYD38" s="25"/>
      <c r="QYE38" s="25"/>
      <c r="QYF38" s="25"/>
      <c r="QYG38" s="25"/>
      <c r="QYH38" s="25"/>
      <c r="QYI38" s="25"/>
      <c r="QYJ38" s="25"/>
      <c r="QYK38" s="25"/>
      <c r="QYL38" s="25"/>
      <c r="QYM38" s="25"/>
      <c r="QYN38" s="25"/>
      <c r="QYO38" s="25"/>
      <c r="QYP38" s="25"/>
      <c r="QYQ38" s="25"/>
      <c r="QYR38" s="25"/>
      <c r="QYS38" s="25"/>
      <c r="QYT38" s="25"/>
      <c r="QYU38" s="25"/>
      <c r="QYV38" s="25"/>
      <c r="QYW38" s="25"/>
      <c r="QYX38" s="25"/>
      <c r="QYY38" s="25"/>
      <c r="QYZ38" s="25"/>
      <c r="QZA38" s="25"/>
      <c r="QZB38" s="25"/>
      <c r="QZC38" s="25"/>
      <c r="QZD38" s="25"/>
      <c r="QZE38" s="25"/>
      <c r="QZF38" s="25"/>
      <c r="QZG38" s="25"/>
      <c r="QZH38" s="25"/>
      <c r="QZI38" s="25"/>
      <c r="QZJ38" s="25"/>
      <c r="QZK38" s="25"/>
      <c r="QZL38" s="25"/>
      <c r="QZM38" s="25"/>
      <c r="QZN38" s="25"/>
      <c r="QZO38" s="25"/>
      <c r="QZP38" s="25"/>
      <c r="QZQ38" s="25"/>
      <c r="QZR38" s="25"/>
      <c r="QZS38" s="25"/>
      <c r="QZT38" s="25"/>
      <c r="QZU38" s="25"/>
      <c r="QZV38" s="25"/>
      <c r="QZW38" s="25"/>
      <c r="QZX38" s="25"/>
      <c r="QZY38" s="25"/>
      <c r="QZZ38" s="25"/>
      <c r="RAA38" s="25"/>
      <c r="RAB38" s="25"/>
      <c r="RAC38" s="25"/>
      <c r="RAD38" s="25"/>
      <c r="RAE38" s="25"/>
      <c r="RAF38" s="25"/>
      <c r="RAG38" s="25"/>
      <c r="RAH38" s="25"/>
      <c r="RAI38" s="25"/>
      <c r="RAJ38" s="25"/>
      <c r="RAK38" s="25"/>
      <c r="RAL38" s="25"/>
      <c r="RAM38" s="25"/>
      <c r="RAN38" s="25"/>
      <c r="RAO38" s="25"/>
      <c r="RAP38" s="25"/>
      <c r="RAQ38" s="25"/>
      <c r="RAR38" s="25"/>
      <c r="RAS38" s="25"/>
      <c r="RAT38" s="25"/>
      <c r="RAU38" s="25"/>
      <c r="RAV38" s="25"/>
      <c r="RAW38" s="25"/>
      <c r="RAX38" s="25"/>
      <c r="RAY38" s="25"/>
      <c r="RAZ38" s="25"/>
      <c r="RBA38" s="25"/>
      <c r="RBB38" s="25"/>
      <c r="RBC38" s="25"/>
      <c r="RBD38" s="25"/>
      <c r="RBE38" s="25"/>
      <c r="RBF38" s="25"/>
      <c r="RBG38" s="25"/>
      <c r="RBH38" s="25"/>
      <c r="RBI38" s="25"/>
      <c r="RBJ38" s="25"/>
      <c r="RBK38" s="25"/>
      <c r="RBL38" s="25"/>
      <c r="RBM38" s="25"/>
      <c r="RBN38" s="25"/>
      <c r="RBO38" s="25"/>
      <c r="RBP38" s="25"/>
      <c r="RBQ38" s="25"/>
      <c r="RBR38" s="25"/>
      <c r="RBS38" s="25"/>
      <c r="RBT38" s="25"/>
      <c r="RBU38" s="25"/>
      <c r="RBV38" s="25"/>
      <c r="RBW38" s="25"/>
      <c r="RBX38" s="25"/>
      <c r="RBY38" s="25"/>
      <c r="RBZ38" s="25"/>
      <c r="RCA38" s="25"/>
      <c r="RCB38" s="25"/>
      <c r="RCC38" s="25"/>
      <c r="RCD38" s="25"/>
      <c r="RCE38" s="25"/>
      <c r="RCF38" s="25"/>
      <c r="RCG38" s="25"/>
      <c r="RCH38" s="25"/>
      <c r="RCI38" s="25"/>
      <c r="RCJ38" s="25"/>
      <c r="RCK38" s="25"/>
      <c r="RCL38" s="25"/>
      <c r="RCM38" s="25"/>
      <c r="RCN38" s="25"/>
      <c r="RCO38" s="25"/>
      <c r="RCP38" s="25"/>
      <c r="RCQ38" s="25"/>
      <c r="RCR38" s="25"/>
      <c r="RCS38" s="25"/>
      <c r="RCT38" s="25"/>
      <c r="RCU38" s="25"/>
      <c r="RCV38" s="25"/>
      <c r="RCW38" s="25"/>
      <c r="RCX38" s="25"/>
      <c r="RCY38" s="25"/>
      <c r="RCZ38" s="25"/>
      <c r="RDA38" s="25"/>
      <c r="RDB38" s="25"/>
      <c r="RDC38" s="25"/>
      <c r="RDD38" s="25"/>
      <c r="RDE38" s="25"/>
      <c r="RDF38" s="25"/>
      <c r="RDG38" s="25"/>
      <c r="RDH38" s="25"/>
      <c r="RDI38" s="25"/>
      <c r="RDJ38" s="25"/>
      <c r="RDK38" s="25"/>
      <c r="RDL38" s="25"/>
      <c r="RDM38" s="25"/>
      <c r="RDN38" s="25"/>
      <c r="RDO38" s="25"/>
      <c r="RDP38" s="25"/>
      <c r="RDQ38" s="25"/>
      <c r="RDR38" s="25"/>
      <c r="RDS38" s="25"/>
      <c r="RDT38" s="25"/>
      <c r="RDU38" s="25"/>
      <c r="RDV38" s="25"/>
      <c r="RDW38" s="25"/>
      <c r="RDX38" s="25"/>
      <c r="RDY38" s="25"/>
      <c r="RDZ38" s="25"/>
      <c r="REA38" s="25"/>
      <c r="REB38" s="25"/>
      <c r="REC38" s="25"/>
      <c r="RED38" s="25"/>
      <c r="REE38" s="25"/>
      <c r="REF38" s="25"/>
      <c r="REG38" s="25"/>
      <c r="REH38" s="25"/>
      <c r="REI38" s="25"/>
      <c r="REJ38" s="25"/>
      <c r="REK38" s="25"/>
      <c r="REL38" s="25"/>
      <c r="REM38" s="25"/>
      <c r="REN38" s="25"/>
      <c r="REO38" s="25"/>
      <c r="REP38" s="25"/>
      <c r="REQ38" s="25"/>
      <c r="RER38" s="25"/>
      <c r="RES38" s="25"/>
      <c r="RET38" s="25"/>
      <c r="REU38" s="25"/>
      <c r="REV38" s="25"/>
      <c r="REW38" s="25"/>
      <c r="REX38" s="25"/>
      <c r="REY38" s="25"/>
      <c r="REZ38" s="25"/>
      <c r="RFA38" s="25"/>
      <c r="RFB38" s="25"/>
      <c r="RFC38" s="25"/>
      <c r="RFD38" s="25"/>
      <c r="RFE38" s="25"/>
      <c r="RFF38" s="25"/>
      <c r="RFG38" s="25"/>
      <c r="RFH38" s="25"/>
      <c r="RFI38" s="25"/>
      <c r="RFJ38" s="25"/>
      <c r="RFK38" s="25"/>
      <c r="RFL38" s="25"/>
      <c r="RFM38" s="25"/>
      <c r="RFN38" s="25"/>
      <c r="RFO38" s="25"/>
      <c r="RFP38" s="25"/>
      <c r="RFQ38" s="25"/>
      <c r="RFR38" s="25"/>
      <c r="RFS38" s="25"/>
      <c r="RFT38" s="25"/>
      <c r="RFU38" s="25"/>
      <c r="RFV38" s="25"/>
      <c r="RFW38" s="25"/>
      <c r="RFX38" s="25"/>
      <c r="RFY38" s="25"/>
      <c r="RFZ38" s="25"/>
      <c r="RGA38" s="25"/>
      <c r="RGB38" s="25"/>
      <c r="RGC38" s="25"/>
      <c r="RGD38" s="25"/>
      <c r="RGE38" s="25"/>
      <c r="RGF38" s="25"/>
      <c r="RGG38" s="25"/>
      <c r="RGH38" s="25"/>
      <c r="RGI38" s="25"/>
      <c r="RGJ38" s="25"/>
      <c r="RGK38" s="25"/>
      <c r="RGL38" s="25"/>
      <c r="RGM38" s="25"/>
      <c r="RGN38" s="25"/>
      <c r="RGO38" s="25"/>
      <c r="RGP38" s="25"/>
      <c r="RGQ38" s="25"/>
      <c r="RGR38" s="25"/>
      <c r="RGS38" s="25"/>
      <c r="RGT38" s="25"/>
      <c r="RGU38" s="25"/>
      <c r="RGV38" s="25"/>
      <c r="RGW38" s="25"/>
      <c r="RGX38" s="25"/>
      <c r="RGY38" s="25"/>
      <c r="RGZ38" s="25"/>
      <c r="RHA38" s="25"/>
      <c r="RHB38" s="25"/>
      <c r="RHC38" s="25"/>
      <c r="RHD38" s="25"/>
      <c r="RHE38" s="25"/>
      <c r="RHF38" s="25"/>
      <c r="RHG38" s="25"/>
      <c r="RHH38" s="25"/>
      <c r="RHI38" s="25"/>
      <c r="RHJ38" s="25"/>
      <c r="RHK38" s="25"/>
      <c r="RHL38" s="25"/>
      <c r="RHM38" s="25"/>
      <c r="RHN38" s="25"/>
      <c r="RHO38" s="25"/>
      <c r="RHP38" s="25"/>
      <c r="RHQ38" s="25"/>
      <c r="RHR38" s="25"/>
      <c r="RHS38" s="25"/>
      <c r="RHT38" s="25"/>
      <c r="RHU38" s="25"/>
      <c r="RHV38" s="25"/>
      <c r="RHW38" s="25"/>
      <c r="RHX38" s="25"/>
      <c r="RHY38" s="25"/>
      <c r="RHZ38" s="25"/>
      <c r="RIA38" s="25"/>
      <c r="RIB38" s="25"/>
      <c r="RIC38" s="25"/>
      <c r="RID38" s="25"/>
      <c r="RIE38" s="25"/>
      <c r="RIF38" s="25"/>
      <c r="RIG38" s="25"/>
      <c r="RIH38" s="25"/>
      <c r="RII38" s="25"/>
      <c r="RIJ38" s="25"/>
      <c r="RIK38" s="25"/>
      <c r="RIL38" s="25"/>
      <c r="RIM38" s="25"/>
      <c r="RIN38" s="25"/>
      <c r="RIO38" s="25"/>
      <c r="RIP38" s="25"/>
      <c r="RIQ38" s="25"/>
      <c r="RIR38" s="25"/>
      <c r="RIS38" s="25"/>
      <c r="RIT38" s="25"/>
      <c r="RIU38" s="25"/>
      <c r="RIV38" s="25"/>
      <c r="RIW38" s="25"/>
      <c r="RIX38" s="25"/>
      <c r="RIY38" s="25"/>
      <c r="RIZ38" s="25"/>
      <c r="RJA38" s="25"/>
      <c r="RJB38" s="25"/>
      <c r="RJC38" s="25"/>
      <c r="RJD38" s="25"/>
      <c r="RJE38" s="25"/>
      <c r="RJF38" s="25"/>
      <c r="RJG38" s="25"/>
      <c r="RJH38" s="25"/>
      <c r="RJI38" s="25"/>
      <c r="RJJ38" s="25"/>
      <c r="RJK38" s="25"/>
      <c r="RJL38" s="25"/>
      <c r="RJM38" s="25"/>
      <c r="RJN38" s="25"/>
      <c r="RJO38" s="25"/>
      <c r="RJP38" s="25"/>
      <c r="RJQ38" s="25"/>
      <c r="RJR38" s="25"/>
      <c r="RJS38" s="25"/>
      <c r="RJT38" s="25"/>
      <c r="RJU38" s="25"/>
      <c r="RJV38" s="25"/>
      <c r="RJW38" s="25"/>
      <c r="RJX38" s="25"/>
      <c r="RJY38" s="25"/>
      <c r="RJZ38" s="25"/>
      <c r="RKA38" s="25"/>
      <c r="RKB38" s="25"/>
      <c r="RKC38" s="25"/>
      <c r="RKD38" s="25"/>
      <c r="RKE38" s="25"/>
      <c r="RKF38" s="25"/>
      <c r="RKG38" s="25"/>
      <c r="RKH38" s="25"/>
      <c r="RKI38" s="25"/>
      <c r="RKJ38" s="25"/>
      <c r="RKK38" s="25"/>
      <c r="RKL38" s="25"/>
      <c r="RKM38" s="25"/>
      <c r="RKN38" s="25"/>
      <c r="RKO38" s="25"/>
      <c r="RKP38" s="25"/>
      <c r="RKQ38" s="25"/>
      <c r="RKR38" s="25"/>
      <c r="RKS38" s="25"/>
      <c r="RKT38" s="25"/>
      <c r="RKU38" s="25"/>
      <c r="RKV38" s="25"/>
      <c r="RKW38" s="25"/>
      <c r="RKX38" s="25"/>
      <c r="RKY38" s="25"/>
      <c r="RKZ38" s="25"/>
      <c r="RLA38" s="25"/>
      <c r="RLB38" s="25"/>
      <c r="RLC38" s="25"/>
      <c r="RLD38" s="25"/>
      <c r="RLE38" s="25"/>
      <c r="RLF38" s="25"/>
      <c r="RLG38" s="25"/>
      <c r="RLH38" s="25"/>
      <c r="RLI38" s="25"/>
      <c r="RLJ38" s="25"/>
      <c r="RLK38" s="25"/>
      <c r="RLL38" s="25"/>
      <c r="RLM38" s="25"/>
      <c r="RLN38" s="25"/>
      <c r="RLO38" s="25"/>
      <c r="RLP38" s="25"/>
      <c r="RLQ38" s="25"/>
      <c r="RLR38" s="25"/>
      <c r="RLS38" s="25"/>
      <c r="RLT38" s="25"/>
      <c r="RLU38" s="25"/>
      <c r="RLV38" s="25"/>
      <c r="RLW38" s="25"/>
      <c r="RLX38" s="25"/>
      <c r="RLY38" s="25"/>
      <c r="RLZ38" s="25"/>
      <c r="RMA38" s="25"/>
      <c r="RMB38" s="25"/>
      <c r="RMC38" s="25"/>
      <c r="RMD38" s="25"/>
      <c r="RME38" s="25"/>
      <c r="RMF38" s="25"/>
      <c r="RMG38" s="25"/>
      <c r="RMH38" s="25"/>
      <c r="RMI38" s="25"/>
      <c r="RMJ38" s="25"/>
      <c r="RMK38" s="25"/>
      <c r="RML38" s="25"/>
      <c r="RMM38" s="25"/>
      <c r="RMN38" s="25"/>
      <c r="RMO38" s="25"/>
      <c r="RMP38" s="25"/>
      <c r="RMQ38" s="25"/>
      <c r="RMR38" s="25"/>
      <c r="RMS38" s="25"/>
      <c r="RMT38" s="25"/>
      <c r="RMU38" s="25"/>
      <c r="RMV38" s="25"/>
      <c r="RMW38" s="25"/>
      <c r="RMX38" s="25"/>
      <c r="RMY38" s="25"/>
      <c r="RMZ38" s="25"/>
      <c r="RNA38" s="25"/>
      <c r="RNB38" s="25"/>
      <c r="RNC38" s="25"/>
      <c r="RND38" s="25"/>
      <c r="RNE38" s="25"/>
      <c r="RNF38" s="25"/>
      <c r="RNG38" s="25"/>
      <c r="RNH38" s="25"/>
      <c r="RNI38" s="25"/>
      <c r="RNJ38" s="25"/>
      <c r="RNK38" s="25"/>
      <c r="RNL38" s="25"/>
      <c r="RNM38" s="25"/>
      <c r="RNN38" s="25"/>
      <c r="RNO38" s="25"/>
      <c r="RNP38" s="25"/>
      <c r="RNQ38" s="25"/>
      <c r="RNR38" s="25"/>
      <c r="RNS38" s="25"/>
      <c r="RNT38" s="25"/>
      <c r="RNU38" s="25"/>
      <c r="RNV38" s="25"/>
      <c r="RNW38" s="25"/>
      <c r="RNX38" s="25"/>
      <c r="RNY38" s="25"/>
      <c r="RNZ38" s="25"/>
      <c r="ROA38" s="25"/>
      <c r="ROB38" s="25"/>
      <c r="ROC38" s="25"/>
      <c r="ROD38" s="25"/>
      <c r="ROE38" s="25"/>
      <c r="ROF38" s="25"/>
      <c r="ROG38" s="25"/>
      <c r="ROH38" s="25"/>
      <c r="ROI38" s="25"/>
      <c r="ROJ38" s="25"/>
      <c r="ROK38" s="25"/>
      <c r="ROL38" s="25"/>
      <c r="ROM38" s="25"/>
      <c r="RON38" s="25"/>
      <c r="ROO38" s="25"/>
      <c r="ROP38" s="25"/>
      <c r="ROQ38" s="25"/>
      <c r="ROR38" s="25"/>
      <c r="ROS38" s="25"/>
      <c r="ROT38" s="25"/>
      <c r="ROU38" s="25"/>
      <c r="ROV38" s="25"/>
      <c r="ROW38" s="25"/>
      <c r="ROX38" s="25"/>
      <c r="ROY38" s="25"/>
      <c r="ROZ38" s="25"/>
      <c r="RPA38" s="25"/>
      <c r="RPB38" s="25"/>
      <c r="RPC38" s="25"/>
      <c r="RPD38" s="25"/>
      <c r="RPE38" s="25"/>
      <c r="RPF38" s="25"/>
      <c r="RPG38" s="25"/>
      <c r="RPH38" s="25"/>
      <c r="RPI38" s="25"/>
      <c r="RPJ38" s="25"/>
      <c r="RPK38" s="25"/>
      <c r="RPL38" s="25"/>
      <c r="RPM38" s="25"/>
      <c r="RPN38" s="25"/>
      <c r="RPO38" s="25"/>
      <c r="RPP38" s="25"/>
      <c r="RPQ38" s="25"/>
      <c r="RPR38" s="25"/>
      <c r="RPS38" s="25"/>
      <c r="RPT38" s="25"/>
      <c r="RPU38" s="25"/>
      <c r="RPV38" s="25"/>
      <c r="RPW38" s="25"/>
      <c r="RPX38" s="25"/>
      <c r="RPY38" s="25"/>
      <c r="RPZ38" s="25"/>
      <c r="RQA38" s="25"/>
      <c r="RQB38" s="25"/>
      <c r="RQC38" s="25"/>
      <c r="RQD38" s="25"/>
      <c r="RQE38" s="25"/>
      <c r="RQF38" s="25"/>
      <c r="RQG38" s="25"/>
      <c r="RQH38" s="25"/>
      <c r="RQI38" s="25"/>
      <c r="RQJ38" s="25"/>
      <c r="RQK38" s="25"/>
      <c r="RQL38" s="25"/>
      <c r="RQM38" s="25"/>
      <c r="RQN38" s="25"/>
      <c r="RQO38" s="25"/>
      <c r="RQP38" s="25"/>
      <c r="RQQ38" s="25"/>
      <c r="RQR38" s="25"/>
      <c r="RQS38" s="25"/>
      <c r="RQT38" s="25"/>
      <c r="RQU38" s="25"/>
      <c r="RQV38" s="25"/>
      <c r="RQW38" s="25"/>
      <c r="RQX38" s="25"/>
      <c r="RQY38" s="25"/>
      <c r="RQZ38" s="25"/>
      <c r="RRA38" s="25"/>
      <c r="RRB38" s="25"/>
      <c r="RRC38" s="25"/>
      <c r="RRD38" s="25"/>
      <c r="RRE38" s="25"/>
      <c r="RRF38" s="25"/>
      <c r="RRG38" s="25"/>
      <c r="RRH38" s="25"/>
      <c r="RRI38" s="25"/>
      <c r="RRJ38" s="25"/>
      <c r="RRK38" s="25"/>
      <c r="RRL38" s="25"/>
      <c r="RRM38" s="25"/>
      <c r="RRN38" s="25"/>
      <c r="RRO38" s="25"/>
      <c r="RRP38" s="25"/>
      <c r="RRQ38" s="25"/>
      <c r="RRR38" s="25"/>
      <c r="RRS38" s="25"/>
      <c r="RRT38" s="25"/>
      <c r="RRU38" s="25"/>
      <c r="RRV38" s="25"/>
      <c r="RRW38" s="25"/>
      <c r="RRX38" s="25"/>
      <c r="RRY38" s="25"/>
      <c r="RRZ38" s="25"/>
      <c r="RSA38" s="25"/>
      <c r="RSB38" s="25"/>
      <c r="RSC38" s="25"/>
      <c r="RSD38" s="25"/>
      <c r="RSE38" s="25"/>
      <c r="RSF38" s="25"/>
      <c r="RSG38" s="25"/>
      <c r="RSH38" s="25"/>
      <c r="RSI38" s="25"/>
      <c r="RSJ38" s="25"/>
      <c r="RSK38" s="25"/>
      <c r="RSL38" s="25"/>
      <c r="RSM38" s="25"/>
      <c r="RSN38" s="25"/>
      <c r="RSO38" s="25"/>
      <c r="RSP38" s="25"/>
      <c r="RSQ38" s="25"/>
      <c r="RSR38" s="25"/>
      <c r="RSS38" s="25"/>
      <c r="RST38" s="25"/>
      <c r="RSU38" s="25"/>
      <c r="RSV38" s="25"/>
      <c r="RSW38" s="25"/>
      <c r="RSX38" s="25"/>
      <c r="RSY38" s="25"/>
      <c r="RSZ38" s="25"/>
      <c r="RTA38" s="25"/>
      <c r="RTB38" s="25"/>
      <c r="RTC38" s="25"/>
      <c r="RTD38" s="25"/>
      <c r="RTE38" s="25"/>
      <c r="RTF38" s="25"/>
      <c r="RTG38" s="25"/>
      <c r="RTH38" s="25"/>
      <c r="RTI38" s="25"/>
      <c r="RTJ38" s="25"/>
      <c r="RTK38" s="25"/>
      <c r="RTL38" s="25"/>
      <c r="RTM38" s="25"/>
      <c r="RTN38" s="25"/>
      <c r="RTO38" s="25"/>
      <c r="RTP38" s="25"/>
      <c r="RTQ38" s="25"/>
      <c r="RTR38" s="25"/>
      <c r="RTS38" s="25"/>
      <c r="RTT38" s="25"/>
      <c r="RTU38" s="25"/>
      <c r="RTV38" s="25"/>
      <c r="RTW38" s="25"/>
      <c r="RTX38" s="25"/>
      <c r="RTY38" s="25"/>
      <c r="RTZ38" s="25"/>
      <c r="RUA38" s="25"/>
      <c r="RUB38" s="25"/>
      <c r="RUC38" s="25"/>
      <c r="RUD38" s="25"/>
      <c r="RUE38" s="25"/>
      <c r="RUF38" s="25"/>
      <c r="RUG38" s="25"/>
      <c r="RUH38" s="25"/>
      <c r="RUI38" s="25"/>
      <c r="RUJ38" s="25"/>
      <c r="RUK38" s="25"/>
      <c r="RUL38" s="25"/>
      <c r="RUM38" s="25"/>
      <c r="RUN38" s="25"/>
      <c r="RUO38" s="25"/>
      <c r="RUP38" s="25"/>
      <c r="RUQ38" s="25"/>
      <c r="RUR38" s="25"/>
      <c r="RUS38" s="25"/>
      <c r="RUT38" s="25"/>
      <c r="RUU38" s="25"/>
      <c r="RUV38" s="25"/>
      <c r="RUW38" s="25"/>
      <c r="RUX38" s="25"/>
      <c r="RUY38" s="25"/>
      <c r="RUZ38" s="25"/>
      <c r="RVA38" s="25"/>
      <c r="RVB38" s="25"/>
      <c r="RVC38" s="25"/>
      <c r="RVD38" s="25"/>
      <c r="RVE38" s="25"/>
      <c r="RVF38" s="25"/>
      <c r="RVG38" s="25"/>
      <c r="RVH38" s="25"/>
      <c r="RVI38" s="25"/>
      <c r="RVJ38" s="25"/>
      <c r="RVK38" s="25"/>
      <c r="RVL38" s="25"/>
      <c r="RVM38" s="25"/>
      <c r="RVN38" s="25"/>
      <c r="RVO38" s="25"/>
      <c r="RVP38" s="25"/>
      <c r="RVQ38" s="25"/>
      <c r="RVR38" s="25"/>
      <c r="RVS38" s="25"/>
      <c r="RVT38" s="25"/>
      <c r="RVU38" s="25"/>
      <c r="RVV38" s="25"/>
      <c r="RVW38" s="25"/>
      <c r="RVX38" s="25"/>
      <c r="RVY38" s="25"/>
      <c r="RVZ38" s="25"/>
      <c r="RWA38" s="25"/>
      <c r="RWB38" s="25"/>
      <c r="RWC38" s="25"/>
      <c r="RWD38" s="25"/>
      <c r="RWE38" s="25"/>
      <c r="RWF38" s="25"/>
      <c r="RWG38" s="25"/>
      <c r="RWH38" s="25"/>
      <c r="RWI38" s="25"/>
      <c r="RWJ38" s="25"/>
      <c r="RWK38" s="25"/>
      <c r="RWL38" s="25"/>
      <c r="RWM38" s="25"/>
      <c r="RWN38" s="25"/>
      <c r="RWO38" s="25"/>
      <c r="RWP38" s="25"/>
      <c r="RWQ38" s="25"/>
      <c r="RWR38" s="25"/>
      <c r="RWS38" s="25"/>
      <c r="RWT38" s="25"/>
      <c r="RWU38" s="25"/>
      <c r="RWV38" s="25"/>
      <c r="RWW38" s="25"/>
      <c r="RWX38" s="25"/>
      <c r="RWY38" s="25"/>
      <c r="RWZ38" s="25"/>
      <c r="RXA38" s="25"/>
      <c r="RXB38" s="25"/>
      <c r="RXC38" s="25"/>
      <c r="RXD38" s="25"/>
      <c r="RXE38" s="25"/>
      <c r="RXF38" s="25"/>
      <c r="RXG38" s="25"/>
      <c r="RXH38" s="25"/>
      <c r="RXI38" s="25"/>
      <c r="RXJ38" s="25"/>
      <c r="RXK38" s="25"/>
      <c r="RXL38" s="25"/>
      <c r="RXM38" s="25"/>
      <c r="RXN38" s="25"/>
      <c r="RXO38" s="25"/>
      <c r="RXP38" s="25"/>
      <c r="RXQ38" s="25"/>
      <c r="RXR38" s="25"/>
      <c r="RXS38" s="25"/>
      <c r="RXT38" s="25"/>
      <c r="RXU38" s="25"/>
      <c r="RXV38" s="25"/>
      <c r="RXW38" s="25"/>
      <c r="RXX38" s="25"/>
      <c r="RXY38" s="25"/>
      <c r="RXZ38" s="25"/>
      <c r="RYA38" s="25"/>
      <c r="RYB38" s="25"/>
      <c r="RYC38" s="25"/>
      <c r="RYD38" s="25"/>
      <c r="RYE38" s="25"/>
      <c r="RYF38" s="25"/>
      <c r="RYG38" s="25"/>
      <c r="RYH38" s="25"/>
      <c r="RYI38" s="25"/>
      <c r="RYJ38" s="25"/>
      <c r="RYK38" s="25"/>
      <c r="RYL38" s="25"/>
      <c r="RYM38" s="25"/>
      <c r="RYN38" s="25"/>
      <c r="RYO38" s="25"/>
      <c r="RYP38" s="25"/>
      <c r="RYQ38" s="25"/>
      <c r="RYR38" s="25"/>
      <c r="RYS38" s="25"/>
      <c r="RYT38" s="25"/>
      <c r="RYU38" s="25"/>
      <c r="RYV38" s="25"/>
      <c r="RYW38" s="25"/>
      <c r="RYX38" s="25"/>
      <c r="RYY38" s="25"/>
      <c r="RYZ38" s="25"/>
      <c r="RZA38" s="25"/>
      <c r="RZB38" s="25"/>
      <c r="RZC38" s="25"/>
      <c r="RZD38" s="25"/>
      <c r="RZE38" s="25"/>
      <c r="RZF38" s="25"/>
      <c r="RZG38" s="25"/>
      <c r="RZH38" s="25"/>
      <c r="RZI38" s="25"/>
      <c r="RZJ38" s="25"/>
      <c r="RZK38" s="25"/>
      <c r="RZL38" s="25"/>
      <c r="RZM38" s="25"/>
      <c r="RZN38" s="25"/>
      <c r="RZO38" s="25"/>
      <c r="RZP38" s="25"/>
      <c r="RZQ38" s="25"/>
      <c r="RZR38" s="25"/>
      <c r="RZS38" s="25"/>
      <c r="RZT38" s="25"/>
      <c r="RZU38" s="25"/>
      <c r="RZV38" s="25"/>
      <c r="RZW38" s="25"/>
      <c r="RZX38" s="25"/>
      <c r="RZY38" s="25"/>
      <c r="RZZ38" s="25"/>
      <c r="SAA38" s="25"/>
      <c r="SAB38" s="25"/>
      <c r="SAC38" s="25"/>
      <c r="SAD38" s="25"/>
      <c r="SAE38" s="25"/>
      <c r="SAF38" s="25"/>
      <c r="SAG38" s="25"/>
      <c r="SAH38" s="25"/>
      <c r="SAI38" s="25"/>
      <c r="SAJ38" s="25"/>
      <c r="SAK38" s="25"/>
      <c r="SAL38" s="25"/>
      <c r="SAM38" s="25"/>
      <c r="SAN38" s="25"/>
      <c r="SAO38" s="25"/>
      <c r="SAP38" s="25"/>
      <c r="SAQ38" s="25"/>
      <c r="SAR38" s="25"/>
      <c r="SAS38" s="25"/>
      <c r="SAT38" s="25"/>
      <c r="SAU38" s="25"/>
      <c r="SAV38" s="25"/>
      <c r="SAW38" s="25"/>
      <c r="SAX38" s="25"/>
      <c r="SAY38" s="25"/>
      <c r="SAZ38" s="25"/>
      <c r="SBA38" s="25"/>
      <c r="SBB38" s="25"/>
      <c r="SBC38" s="25"/>
      <c r="SBD38" s="25"/>
      <c r="SBE38" s="25"/>
      <c r="SBF38" s="25"/>
      <c r="SBG38" s="25"/>
      <c r="SBH38" s="25"/>
      <c r="SBI38" s="25"/>
      <c r="SBJ38" s="25"/>
      <c r="SBK38" s="25"/>
      <c r="SBL38" s="25"/>
      <c r="SBM38" s="25"/>
      <c r="SBN38" s="25"/>
      <c r="SBO38" s="25"/>
      <c r="SBP38" s="25"/>
      <c r="SBQ38" s="25"/>
      <c r="SBR38" s="25"/>
      <c r="SBS38" s="25"/>
      <c r="SBT38" s="25"/>
      <c r="SBU38" s="25"/>
      <c r="SBV38" s="25"/>
      <c r="SBW38" s="25"/>
      <c r="SBX38" s="25"/>
      <c r="SBY38" s="25"/>
      <c r="SBZ38" s="25"/>
      <c r="SCA38" s="25"/>
      <c r="SCB38" s="25"/>
      <c r="SCC38" s="25"/>
      <c r="SCD38" s="25"/>
      <c r="SCE38" s="25"/>
      <c r="SCF38" s="25"/>
      <c r="SCG38" s="25"/>
      <c r="SCH38" s="25"/>
      <c r="SCI38" s="25"/>
      <c r="SCJ38" s="25"/>
      <c r="SCK38" s="25"/>
      <c r="SCL38" s="25"/>
      <c r="SCM38" s="25"/>
      <c r="SCN38" s="25"/>
      <c r="SCO38" s="25"/>
      <c r="SCP38" s="25"/>
      <c r="SCQ38" s="25"/>
      <c r="SCR38" s="25"/>
      <c r="SCS38" s="25"/>
      <c r="SCT38" s="25"/>
      <c r="SCU38" s="25"/>
      <c r="SCV38" s="25"/>
      <c r="SCW38" s="25"/>
      <c r="SCX38" s="25"/>
      <c r="SCY38" s="25"/>
      <c r="SCZ38" s="25"/>
      <c r="SDA38" s="25"/>
      <c r="SDB38" s="25"/>
      <c r="SDC38" s="25"/>
      <c r="SDD38" s="25"/>
      <c r="SDE38" s="25"/>
      <c r="SDF38" s="25"/>
      <c r="SDG38" s="25"/>
      <c r="SDH38" s="25"/>
      <c r="SDI38" s="25"/>
      <c r="SDJ38" s="25"/>
      <c r="SDK38" s="25"/>
      <c r="SDL38" s="25"/>
      <c r="SDM38" s="25"/>
      <c r="SDN38" s="25"/>
      <c r="SDO38" s="25"/>
      <c r="SDP38" s="25"/>
      <c r="SDQ38" s="25"/>
      <c r="SDR38" s="25"/>
      <c r="SDS38" s="25"/>
      <c r="SDT38" s="25"/>
      <c r="SDU38" s="25"/>
      <c r="SDV38" s="25"/>
      <c r="SDW38" s="25"/>
      <c r="SDX38" s="25"/>
      <c r="SDY38" s="25"/>
      <c r="SDZ38" s="25"/>
      <c r="SEA38" s="25"/>
      <c r="SEB38" s="25"/>
      <c r="SEC38" s="25"/>
      <c r="SED38" s="25"/>
      <c r="SEE38" s="25"/>
      <c r="SEF38" s="25"/>
      <c r="SEG38" s="25"/>
      <c r="SEH38" s="25"/>
      <c r="SEI38" s="25"/>
      <c r="SEJ38" s="25"/>
      <c r="SEK38" s="25"/>
      <c r="SEL38" s="25"/>
      <c r="SEM38" s="25"/>
      <c r="SEN38" s="25"/>
      <c r="SEO38" s="25"/>
      <c r="SEP38" s="25"/>
      <c r="SEQ38" s="25"/>
      <c r="SER38" s="25"/>
      <c r="SES38" s="25"/>
      <c r="SET38" s="25"/>
      <c r="SEU38" s="25"/>
      <c r="SEV38" s="25"/>
      <c r="SEW38" s="25"/>
      <c r="SEX38" s="25"/>
      <c r="SEY38" s="25"/>
      <c r="SEZ38" s="25"/>
      <c r="SFA38" s="25"/>
      <c r="SFB38" s="25"/>
      <c r="SFC38" s="25"/>
      <c r="SFD38" s="25"/>
      <c r="SFE38" s="25"/>
      <c r="SFF38" s="25"/>
      <c r="SFG38" s="25"/>
      <c r="SFH38" s="25"/>
      <c r="SFI38" s="25"/>
      <c r="SFJ38" s="25"/>
      <c r="SFK38" s="25"/>
      <c r="SFL38" s="25"/>
      <c r="SFM38" s="25"/>
      <c r="SFN38" s="25"/>
      <c r="SFO38" s="25"/>
      <c r="SFP38" s="25"/>
      <c r="SFQ38" s="25"/>
      <c r="SFR38" s="25"/>
      <c r="SFS38" s="25"/>
      <c r="SFT38" s="25"/>
      <c r="SFU38" s="25"/>
      <c r="SFV38" s="25"/>
      <c r="SFW38" s="25"/>
      <c r="SFX38" s="25"/>
      <c r="SFY38" s="25"/>
      <c r="SFZ38" s="25"/>
      <c r="SGA38" s="25"/>
      <c r="SGB38" s="25"/>
      <c r="SGC38" s="25"/>
      <c r="SGD38" s="25"/>
      <c r="SGE38" s="25"/>
      <c r="SGF38" s="25"/>
      <c r="SGG38" s="25"/>
      <c r="SGH38" s="25"/>
      <c r="SGI38" s="25"/>
      <c r="SGJ38" s="25"/>
      <c r="SGK38" s="25"/>
      <c r="SGL38" s="25"/>
      <c r="SGM38" s="25"/>
      <c r="SGN38" s="25"/>
      <c r="SGO38" s="25"/>
      <c r="SGP38" s="25"/>
      <c r="SGQ38" s="25"/>
      <c r="SGR38" s="25"/>
      <c r="SGS38" s="25"/>
      <c r="SGT38" s="25"/>
      <c r="SGU38" s="25"/>
      <c r="SGV38" s="25"/>
      <c r="SGW38" s="25"/>
      <c r="SGX38" s="25"/>
      <c r="SGY38" s="25"/>
      <c r="SGZ38" s="25"/>
      <c r="SHA38" s="25"/>
      <c r="SHB38" s="25"/>
      <c r="SHC38" s="25"/>
      <c r="SHD38" s="25"/>
      <c r="SHE38" s="25"/>
      <c r="SHF38" s="25"/>
      <c r="SHG38" s="25"/>
      <c r="SHH38" s="25"/>
      <c r="SHI38" s="25"/>
      <c r="SHJ38" s="25"/>
      <c r="SHK38" s="25"/>
      <c r="SHL38" s="25"/>
      <c r="SHM38" s="25"/>
      <c r="SHN38" s="25"/>
      <c r="SHO38" s="25"/>
      <c r="SHP38" s="25"/>
      <c r="SHQ38" s="25"/>
      <c r="SHR38" s="25"/>
      <c r="SHS38" s="25"/>
      <c r="SHT38" s="25"/>
      <c r="SHU38" s="25"/>
      <c r="SHV38" s="25"/>
      <c r="SHW38" s="25"/>
      <c r="SHX38" s="25"/>
      <c r="SHY38" s="25"/>
      <c r="SHZ38" s="25"/>
      <c r="SIA38" s="25"/>
      <c r="SIB38" s="25"/>
      <c r="SIC38" s="25"/>
      <c r="SID38" s="25"/>
      <c r="SIE38" s="25"/>
      <c r="SIF38" s="25"/>
      <c r="SIG38" s="25"/>
      <c r="SIH38" s="25"/>
      <c r="SII38" s="25"/>
      <c r="SIJ38" s="25"/>
      <c r="SIK38" s="25"/>
      <c r="SIL38" s="25"/>
      <c r="SIM38" s="25"/>
      <c r="SIN38" s="25"/>
      <c r="SIO38" s="25"/>
      <c r="SIP38" s="25"/>
      <c r="SIQ38" s="25"/>
      <c r="SIR38" s="25"/>
      <c r="SIS38" s="25"/>
      <c r="SIT38" s="25"/>
      <c r="SIU38" s="25"/>
      <c r="SIV38" s="25"/>
      <c r="SIW38" s="25"/>
      <c r="SIX38" s="25"/>
      <c r="SIY38" s="25"/>
      <c r="SIZ38" s="25"/>
      <c r="SJA38" s="25"/>
      <c r="SJB38" s="25"/>
      <c r="SJC38" s="25"/>
      <c r="SJD38" s="25"/>
      <c r="SJE38" s="25"/>
      <c r="SJF38" s="25"/>
      <c r="SJG38" s="25"/>
      <c r="SJH38" s="25"/>
      <c r="SJI38" s="25"/>
      <c r="SJJ38" s="25"/>
      <c r="SJK38" s="25"/>
      <c r="SJL38" s="25"/>
      <c r="SJM38" s="25"/>
      <c r="SJN38" s="25"/>
      <c r="SJO38" s="25"/>
      <c r="SJP38" s="25"/>
      <c r="SJQ38" s="25"/>
      <c r="SJR38" s="25"/>
      <c r="SJS38" s="25"/>
      <c r="SJT38" s="25"/>
      <c r="SJU38" s="25"/>
      <c r="SJV38" s="25"/>
      <c r="SJW38" s="25"/>
      <c r="SJX38" s="25"/>
      <c r="SJY38" s="25"/>
      <c r="SJZ38" s="25"/>
      <c r="SKA38" s="25"/>
      <c r="SKB38" s="25"/>
      <c r="SKC38" s="25"/>
      <c r="SKD38" s="25"/>
      <c r="SKE38" s="25"/>
      <c r="SKF38" s="25"/>
      <c r="SKG38" s="25"/>
      <c r="SKH38" s="25"/>
      <c r="SKI38" s="25"/>
      <c r="SKJ38" s="25"/>
      <c r="SKK38" s="25"/>
      <c r="SKL38" s="25"/>
      <c r="SKM38" s="25"/>
      <c r="SKN38" s="25"/>
      <c r="SKO38" s="25"/>
      <c r="SKP38" s="25"/>
      <c r="SKQ38" s="25"/>
      <c r="SKR38" s="25"/>
      <c r="SKS38" s="25"/>
      <c r="SKT38" s="25"/>
      <c r="SKU38" s="25"/>
      <c r="SKV38" s="25"/>
      <c r="SKW38" s="25"/>
      <c r="SKX38" s="25"/>
      <c r="SKY38" s="25"/>
      <c r="SKZ38" s="25"/>
      <c r="SLA38" s="25"/>
      <c r="SLB38" s="25"/>
      <c r="SLC38" s="25"/>
      <c r="SLD38" s="25"/>
      <c r="SLE38" s="25"/>
      <c r="SLF38" s="25"/>
      <c r="SLG38" s="25"/>
      <c r="SLH38" s="25"/>
      <c r="SLI38" s="25"/>
      <c r="SLJ38" s="25"/>
      <c r="SLK38" s="25"/>
      <c r="SLL38" s="25"/>
      <c r="SLM38" s="25"/>
      <c r="SLN38" s="25"/>
      <c r="SLO38" s="25"/>
      <c r="SLP38" s="25"/>
      <c r="SLQ38" s="25"/>
      <c r="SLR38" s="25"/>
      <c r="SLS38" s="25"/>
      <c r="SLT38" s="25"/>
      <c r="SLU38" s="25"/>
      <c r="SLV38" s="25"/>
      <c r="SLW38" s="25"/>
      <c r="SLX38" s="25"/>
      <c r="SLY38" s="25"/>
      <c r="SLZ38" s="25"/>
      <c r="SMA38" s="25"/>
      <c r="SMB38" s="25"/>
      <c r="SMC38" s="25"/>
      <c r="SMD38" s="25"/>
      <c r="SME38" s="25"/>
      <c r="SMF38" s="25"/>
      <c r="SMG38" s="25"/>
      <c r="SMH38" s="25"/>
      <c r="SMI38" s="25"/>
      <c r="SMJ38" s="25"/>
      <c r="SMK38" s="25"/>
      <c r="SML38" s="25"/>
      <c r="SMM38" s="25"/>
      <c r="SMN38" s="25"/>
      <c r="SMO38" s="25"/>
      <c r="SMP38" s="25"/>
      <c r="SMQ38" s="25"/>
      <c r="SMR38" s="25"/>
      <c r="SMS38" s="25"/>
      <c r="SMT38" s="25"/>
      <c r="SMU38" s="25"/>
      <c r="SMV38" s="25"/>
      <c r="SMW38" s="25"/>
      <c r="SMX38" s="25"/>
      <c r="SMY38" s="25"/>
      <c r="SMZ38" s="25"/>
      <c r="SNA38" s="25"/>
      <c r="SNB38" s="25"/>
      <c r="SNC38" s="25"/>
      <c r="SND38" s="25"/>
      <c r="SNE38" s="25"/>
      <c r="SNF38" s="25"/>
      <c r="SNG38" s="25"/>
      <c r="SNH38" s="25"/>
      <c r="SNI38" s="25"/>
      <c r="SNJ38" s="25"/>
      <c r="SNK38" s="25"/>
      <c r="SNL38" s="25"/>
      <c r="SNM38" s="25"/>
      <c r="SNN38" s="25"/>
      <c r="SNO38" s="25"/>
      <c r="SNP38" s="25"/>
      <c r="SNQ38" s="25"/>
      <c r="SNR38" s="25"/>
      <c r="SNS38" s="25"/>
      <c r="SNT38" s="25"/>
      <c r="SNU38" s="25"/>
      <c r="SNV38" s="25"/>
      <c r="SNW38" s="25"/>
      <c r="SNX38" s="25"/>
      <c r="SNY38" s="25"/>
      <c r="SNZ38" s="25"/>
      <c r="SOA38" s="25"/>
      <c r="SOB38" s="25"/>
      <c r="SOC38" s="25"/>
      <c r="SOD38" s="25"/>
      <c r="SOE38" s="25"/>
      <c r="SOF38" s="25"/>
      <c r="SOG38" s="25"/>
      <c r="SOH38" s="25"/>
      <c r="SOI38" s="25"/>
      <c r="SOJ38" s="25"/>
      <c r="SOK38" s="25"/>
      <c r="SOL38" s="25"/>
      <c r="SOM38" s="25"/>
      <c r="SON38" s="25"/>
      <c r="SOO38" s="25"/>
      <c r="SOP38" s="25"/>
      <c r="SOQ38" s="25"/>
      <c r="SOR38" s="25"/>
      <c r="SOS38" s="25"/>
      <c r="SOT38" s="25"/>
      <c r="SOU38" s="25"/>
      <c r="SOV38" s="25"/>
      <c r="SOW38" s="25"/>
      <c r="SOX38" s="25"/>
      <c r="SOY38" s="25"/>
      <c r="SOZ38" s="25"/>
      <c r="SPA38" s="25"/>
      <c r="SPB38" s="25"/>
      <c r="SPC38" s="25"/>
      <c r="SPD38" s="25"/>
      <c r="SPE38" s="25"/>
      <c r="SPF38" s="25"/>
      <c r="SPG38" s="25"/>
      <c r="SPH38" s="25"/>
      <c r="SPI38" s="25"/>
      <c r="SPJ38" s="25"/>
      <c r="SPK38" s="25"/>
      <c r="SPL38" s="25"/>
      <c r="SPM38" s="25"/>
      <c r="SPN38" s="25"/>
      <c r="SPO38" s="25"/>
      <c r="SPP38" s="25"/>
      <c r="SPQ38" s="25"/>
      <c r="SPR38" s="25"/>
      <c r="SPS38" s="25"/>
      <c r="SPT38" s="25"/>
      <c r="SPU38" s="25"/>
      <c r="SPV38" s="25"/>
      <c r="SPW38" s="25"/>
      <c r="SPX38" s="25"/>
      <c r="SPY38" s="25"/>
      <c r="SPZ38" s="25"/>
      <c r="SQA38" s="25"/>
      <c r="SQB38" s="25"/>
      <c r="SQC38" s="25"/>
      <c r="SQD38" s="25"/>
      <c r="SQE38" s="25"/>
      <c r="SQF38" s="25"/>
      <c r="SQG38" s="25"/>
      <c r="SQH38" s="25"/>
      <c r="SQI38" s="25"/>
      <c r="SQJ38" s="25"/>
      <c r="SQK38" s="25"/>
      <c r="SQL38" s="25"/>
      <c r="SQM38" s="25"/>
      <c r="SQN38" s="25"/>
      <c r="SQO38" s="25"/>
      <c r="SQP38" s="25"/>
      <c r="SQQ38" s="25"/>
      <c r="SQR38" s="25"/>
      <c r="SQS38" s="25"/>
      <c r="SQT38" s="25"/>
      <c r="SQU38" s="25"/>
      <c r="SQV38" s="25"/>
      <c r="SQW38" s="25"/>
      <c r="SQX38" s="25"/>
      <c r="SQY38" s="25"/>
      <c r="SQZ38" s="25"/>
      <c r="SRA38" s="25"/>
      <c r="SRB38" s="25"/>
      <c r="SRC38" s="25"/>
      <c r="SRD38" s="25"/>
      <c r="SRE38" s="25"/>
      <c r="SRF38" s="25"/>
      <c r="SRG38" s="25"/>
      <c r="SRH38" s="25"/>
      <c r="SRI38" s="25"/>
      <c r="SRJ38" s="25"/>
      <c r="SRK38" s="25"/>
      <c r="SRL38" s="25"/>
      <c r="SRM38" s="25"/>
      <c r="SRN38" s="25"/>
      <c r="SRO38" s="25"/>
      <c r="SRP38" s="25"/>
      <c r="SRQ38" s="25"/>
      <c r="SRR38" s="25"/>
      <c r="SRS38" s="25"/>
      <c r="SRT38" s="25"/>
      <c r="SRU38" s="25"/>
      <c r="SRV38" s="25"/>
      <c r="SRW38" s="25"/>
      <c r="SRX38" s="25"/>
      <c r="SRY38" s="25"/>
      <c r="SRZ38" s="25"/>
      <c r="SSA38" s="25"/>
      <c r="SSB38" s="25"/>
      <c r="SSC38" s="25"/>
      <c r="SSD38" s="25"/>
      <c r="SSE38" s="25"/>
      <c r="SSF38" s="25"/>
      <c r="SSG38" s="25"/>
      <c r="SSH38" s="25"/>
      <c r="SSI38" s="25"/>
      <c r="SSJ38" s="25"/>
      <c r="SSK38" s="25"/>
      <c r="SSL38" s="25"/>
      <c r="SSM38" s="25"/>
      <c r="SSN38" s="25"/>
      <c r="SSO38" s="25"/>
      <c r="SSP38" s="25"/>
      <c r="SSQ38" s="25"/>
      <c r="SSR38" s="25"/>
      <c r="SSS38" s="25"/>
      <c r="SST38" s="25"/>
      <c r="SSU38" s="25"/>
      <c r="SSV38" s="25"/>
      <c r="SSW38" s="25"/>
      <c r="SSX38" s="25"/>
      <c r="SSY38" s="25"/>
      <c r="SSZ38" s="25"/>
      <c r="STA38" s="25"/>
      <c r="STB38" s="25"/>
      <c r="STC38" s="25"/>
      <c r="STD38" s="25"/>
      <c r="STE38" s="25"/>
      <c r="STF38" s="25"/>
      <c r="STG38" s="25"/>
      <c r="STH38" s="25"/>
      <c r="STI38" s="25"/>
      <c r="STJ38" s="25"/>
      <c r="STK38" s="25"/>
      <c r="STL38" s="25"/>
      <c r="STM38" s="25"/>
      <c r="STN38" s="25"/>
      <c r="STO38" s="25"/>
      <c r="STP38" s="25"/>
      <c r="STQ38" s="25"/>
      <c r="STR38" s="25"/>
      <c r="STS38" s="25"/>
      <c r="STT38" s="25"/>
      <c r="STU38" s="25"/>
      <c r="STV38" s="25"/>
      <c r="STW38" s="25"/>
      <c r="STX38" s="25"/>
      <c r="STY38" s="25"/>
      <c r="STZ38" s="25"/>
      <c r="SUA38" s="25"/>
      <c r="SUB38" s="25"/>
      <c r="SUC38" s="25"/>
      <c r="SUD38" s="25"/>
      <c r="SUE38" s="25"/>
      <c r="SUF38" s="25"/>
      <c r="SUG38" s="25"/>
      <c r="SUH38" s="25"/>
      <c r="SUI38" s="25"/>
      <c r="SUJ38" s="25"/>
      <c r="SUK38" s="25"/>
      <c r="SUL38" s="25"/>
      <c r="SUM38" s="25"/>
      <c r="SUN38" s="25"/>
      <c r="SUO38" s="25"/>
      <c r="SUP38" s="25"/>
      <c r="SUQ38" s="25"/>
      <c r="SUR38" s="25"/>
      <c r="SUS38" s="25"/>
      <c r="SUT38" s="25"/>
      <c r="SUU38" s="25"/>
      <c r="SUV38" s="25"/>
      <c r="SUW38" s="25"/>
      <c r="SUX38" s="25"/>
      <c r="SUY38" s="25"/>
      <c r="SUZ38" s="25"/>
      <c r="SVA38" s="25"/>
      <c r="SVB38" s="25"/>
      <c r="SVC38" s="25"/>
      <c r="SVD38" s="25"/>
      <c r="SVE38" s="25"/>
      <c r="SVF38" s="25"/>
      <c r="SVG38" s="25"/>
      <c r="SVH38" s="25"/>
      <c r="SVI38" s="25"/>
      <c r="SVJ38" s="25"/>
      <c r="SVK38" s="25"/>
      <c r="SVL38" s="25"/>
      <c r="SVM38" s="25"/>
      <c r="SVN38" s="25"/>
      <c r="SVO38" s="25"/>
      <c r="SVP38" s="25"/>
      <c r="SVQ38" s="25"/>
      <c r="SVR38" s="25"/>
      <c r="SVS38" s="25"/>
      <c r="SVT38" s="25"/>
      <c r="SVU38" s="25"/>
      <c r="SVV38" s="25"/>
      <c r="SVW38" s="25"/>
      <c r="SVX38" s="25"/>
      <c r="SVY38" s="25"/>
      <c r="SVZ38" s="25"/>
      <c r="SWA38" s="25"/>
      <c r="SWB38" s="25"/>
      <c r="SWC38" s="25"/>
      <c r="SWD38" s="25"/>
      <c r="SWE38" s="25"/>
      <c r="SWF38" s="25"/>
      <c r="SWG38" s="25"/>
      <c r="SWH38" s="25"/>
      <c r="SWI38" s="25"/>
      <c r="SWJ38" s="25"/>
      <c r="SWK38" s="25"/>
      <c r="SWL38" s="25"/>
      <c r="SWM38" s="25"/>
      <c r="SWN38" s="25"/>
      <c r="SWO38" s="25"/>
      <c r="SWP38" s="25"/>
      <c r="SWQ38" s="25"/>
      <c r="SWR38" s="25"/>
      <c r="SWS38" s="25"/>
      <c r="SWT38" s="25"/>
      <c r="SWU38" s="25"/>
      <c r="SWV38" s="25"/>
      <c r="SWW38" s="25"/>
      <c r="SWX38" s="25"/>
      <c r="SWY38" s="25"/>
      <c r="SWZ38" s="25"/>
      <c r="SXA38" s="25"/>
      <c r="SXB38" s="25"/>
      <c r="SXC38" s="25"/>
      <c r="SXD38" s="25"/>
      <c r="SXE38" s="25"/>
      <c r="SXF38" s="25"/>
      <c r="SXG38" s="25"/>
      <c r="SXH38" s="25"/>
      <c r="SXI38" s="25"/>
      <c r="SXJ38" s="25"/>
      <c r="SXK38" s="25"/>
      <c r="SXL38" s="25"/>
      <c r="SXM38" s="25"/>
      <c r="SXN38" s="25"/>
      <c r="SXO38" s="25"/>
      <c r="SXP38" s="25"/>
      <c r="SXQ38" s="25"/>
      <c r="SXR38" s="25"/>
      <c r="SXS38" s="25"/>
      <c r="SXT38" s="25"/>
      <c r="SXU38" s="25"/>
      <c r="SXV38" s="25"/>
      <c r="SXW38" s="25"/>
      <c r="SXX38" s="25"/>
      <c r="SXY38" s="25"/>
      <c r="SXZ38" s="25"/>
      <c r="SYA38" s="25"/>
      <c r="SYB38" s="25"/>
      <c r="SYC38" s="25"/>
      <c r="SYD38" s="25"/>
      <c r="SYE38" s="25"/>
      <c r="SYF38" s="25"/>
      <c r="SYG38" s="25"/>
      <c r="SYH38" s="25"/>
      <c r="SYI38" s="25"/>
      <c r="SYJ38" s="25"/>
      <c r="SYK38" s="25"/>
      <c r="SYL38" s="25"/>
      <c r="SYM38" s="25"/>
      <c r="SYN38" s="25"/>
      <c r="SYO38" s="25"/>
      <c r="SYP38" s="25"/>
      <c r="SYQ38" s="25"/>
      <c r="SYR38" s="25"/>
      <c r="SYS38" s="25"/>
      <c r="SYT38" s="25"/>
      <c r="SYU38" s="25"/>
      <c r="SYV38" s="25"/>
      <c r="SYW38" s="25"/>
      <c r="SYX38" s="25"/>
      <c r="SYY38" s="25"/>
      <c r="SYZ38" s="25"/>
      <c r="SZA38" s="25"/>
      <c r="SZB38" s="25"/>
      <c r="SZC38" s="25"/>
      <c r="SZD38" s="25"/>
      <c r="SZE38" s="25"/>
      <c r="SZF38" s="25"/>
      <c r="SZG38" s="25"/>
      <c r="SZH38" s="25"/>
      <c r="SZI38" s="25"/>
      <c r="SZJ38" s="25"/>
      <c r="SZK38" s="25"/>
      <c r="SZL38" s="25"/>
      <c r="SZM38" s="25"/>
      <c r="SZN38" s="25"/>
      <c r="SZO38" s="25"/>
      <c r="SZP38" s="25"/>
      <c r="SZQ38" s="25"/>
      <c r="SZR38" s="25"/>
      <c r="SZS38" s="25"/>
      <c r="SZT38" s="25"/>
      <c r="SZU38" s="25"/>
      <c r="SZV38" s="25"/>
      <c r="SZW38" s="25"/>
      <c r="SZX38" s="25"/>
      <c r="SZY38" s="25"/>
      <c r="SZZ38" s="25"/>
      <c r="TAA38" s="25"/>
      <c r="TAB38" s="25"/>
      <c r="TAC38" s="25"/>
      <c r="TAD38" s="25"/>
      <c r="TAE38" s="25"/>
      <c r="TAF38" s="25"/>
      <c r="TAG38" s="25"/>
      <c r="TAH38" s="25"/>
      <c r="TAI38" s="25"/>
      <c r="TAJ38" s="25"/>
      <c r="TAK38" s="25"/>
      <c r="TAL38" s="25"/>
      <c r="TAM38" s="25"/>
      <c r="TAN38" s="25"/>
      <c r="TAO38" s="25"/>
      <c r="TAP38" s="25"/>
      <c r="TAQ38" s="25"/>
      <c r="TAR38" s="25"/>
      <c r="TAS38" s="25"/>
      <c r="TAT38" s="25"/>
      <c r="TAU38" s="25"/>
      <c r="TAV38" s="25"/>
      <c r="TAW38" s="25"/>
      <c r="TAX38" s="25"/>
      <c r="TAY38" s="25"/>
      <c r="TAZ38" s="25"/>
      <c r="TBA38" s="25"/>
      <c r="TBB38" s="25"/>
      <c r="TBC38" s="25"/>
      <c r="TBD38" s="25"/>
      <c r="TBE38" s="25"/>
      <c r="TBF38" s="25"/>
      <c r="TBG38" s="25"/>
      <c r="TBH38" s="25"/>
      <c r="TBI38" s="25"/>
      <c r="TBJ38" s="25"/>
      <c r="TBK38" s="25"/>
      <c r="TBL38" s="25"/>
      <c r="TBM38" s="25"/>
      <c r="TBN38" s="25"/>
      <c r="TBO38" s="25"/>
      <c r="TBP38" s="25"/>
      <c r="TBQ38" s="25"/>
      <c r="TBR38" s="25"/>
      <c r="TBS38" s="25"/>
      <c r="TBT38" s="25"/>
      <c r="TBU38" s="25"/>
      <c r="TBV38" s="25"/>
      <c r="TBW38" s="25"/>
      <c r="TBX38" s="25"/>
      <c r="TBY38" s="25"/>
      <c r="TBZ38" s="25"/>
      <c r="TCA38" s="25"/>
      <c r="TCB38" s="25"/>
      <c r="TCC38" s="25"/>
      <c r="TCD38" s="25"/>
      <c r="TCE38" s="25"/>
      <c r="TCF38" s="25"/>
      <c r="TCG38" s="25"/>
      <c r="TCH38" s="25"/>
      <c r="TCI38" s="25"/>
      <c r="TCJ38" s="25"/>
      <c r="TCK38" s="25"/>
      <c r="TCL38" s="25"/>
      <c r="TCM38" s="25"/>
      <c r="TCN38" s="25"/>
      <c r="TCO38" s="25"/>
      <c r="TCP38" s="25"/>
      <c r="TCQ38" s="25"/>
      <c r="TCR38" s="25"/>
      <c r="TCS38" s="25"/>
      <c r="TCT38" s="25"/>
      <c r="TCU38" s="25"/>
      <c r="TCV38" s="25"/>
      <c r="TCW38" s="25"/>
      <c r="TCX38" s="25"/>
      <c r="TCY38" s="25"/>
      <c r="TCZ38" s="25"/>
      <c r="TDA38" s="25"/>
      <c r="TDB38" s="25"/>
      <c r="TDC38" s="25"/>
      <c r="TDD38" s="25"/>
      <c r="TDE38" s="25"/>
      <c r="TDF38" s="25"/>
      <c r="TDG38" s="25"/>
      <c r="TDH38" s="25"/>
      <c r="TDI38" s="25"/>
      <c r="TDJ38" s="25"/>
      <c r="TDK38" s="25"/>
      <c r="TDL38" s="25"/>
      <c r="TDM38" s="25"/>
      <c r="TDN38" s="25"/>
      <c r="TDO38" s="25"/>
      <c r="TDP38" s="25"/>
      <c r="TDQ38" s="25"/>
      <c r="TDR38" s="25"/>
      <c r="TDS38" s="25"/>
      <c r="TDT38" s="25"/>
      <c r="TDU38" s="25"/>
      <c r="TDV38" s="25"/>
      <c r="TDW38" s="25"/>
      <c r="TDX38" s="25"/>
      <c r="TDY38" s="25"/>
      <c r="TDZ38" s="25"/>
      <c r="TEA38" s="25"/>
      <c r="TEB38" s="25"/>
      <c r="TEC38" s="25"/>
      <c r="TED38" s="25"/>
      <c r="TEE38" s="25"/>
      <c r="TEF38" s="25"/>
      <c r="TEG38" s="25"/>
      <c r="TEH38" s="25"/>
      <c r="TEI38" s="25"/>
      <c r="TEJ38" s="25"/>
      <c r="TEK38" s="25"/>
      <c r="TEL38" s="25"/>
      <c r="TEM38" s="25"/>
      <c r="TEN38" s="25"/>
      <c r="TEO38" s="25"/>
      <c r="TEP38" s="25"/>
      <c r="TEQ38" s="25"/>
      <c r="TER38" s="25"/>
      <c r="TES38" s="25"/>
      <c r="TET38" s="25"/>
      <c r="TEU38" s="25"/>
      <c r="TEV38" s="25"/>
      <c r="TEW38" s="25"/>
      <c r="TEX38" s="25"/>
      <c r="TEY38" s="25"/>
      <c r="TEZ38" s="25"/>
      <c r="TFA38" s="25"/>
      <c r="TFB38" s="25"/>
      <c r="TFC38" s="25"/>
      <c r="TFD38" s="25"/>
      <c r="TFE38" s="25"/>
      <c r="TFF38" s="25"/>
      <c r="TFG38" s="25"/>
      <c r="TFH38" s="25"/>
      <c r="TFI38" s="25"/>
      <c r="TFJ38" s="25"/>
      <c r="TFK38" s="25"/>
      <c r="TFL38" s="25"/>
      <c r="TFM38" s="25"/>
      <c r="TFN38" s="25"/>
      <c r="TFO38" s="25"/>
      <c r="TFP38" s="25"/>
      <c r="TFQ38" s="25"/>
      <c r="TFR38" s="25"/>
      <c r="TFS38" s="25"/>
      <c r="TFT38" s="25"/>
      <c r="TFU38" s="25"/>
      <c r="TFV38" s="25"/>
      <c r="TFW38" s="25"/>
      <c r="TFX38" s="25"/>
      <c r="TFY38" s="25"/>
      <c r="TFZ38" s="25"/>
      <c r="TGA38" s="25"/>
      <c r="TGB38" s="25"/>
      <c r="TGC38" s="25"/>
      <c r="TGD38" s="25"/>
      <c r="TGE38" s="25"/>
      <c r="TGF38" s="25"/>
      <c r="TGG38" s="25"/>
      <c r="TGH38" s="25"/>
      <c r="TGI38" s="25"/>
      <c r="TGJ38" s="25"/>
      <c r="TGK38" s="25"/>
      <c r="TGL38" s="25"/>
      <c r="TGM38" s="25"/>
      <c r="TGN38" s="25"/>
      <c r="TGO38" s="25"/>
      <c r="TGP38" s="25"/>
      <c r="TGQ38" s="25"/>
      <c r="TGR38" s="25"/>
      <c r="TGS38" s="25"/>
      <c r="TGT38" s="25"/>
      <c r="TGU38" s="25"/>
      <c r="TGV38" s="25"/>
      <c r="TGW38" s="25"/>
      <c r="TGX38" s="25"/>
      <c r="TGY38" s="25"/>
      <c r="TGZ38" s="25"/>
      <c r="THA38" s="25"/>
      <c r="THB38" s="25"/>
      <c r="THC38" s="25"/>
      <c r="THD38" s="25"/>
      <c r="THE38" s="25"/>
      <c r="THF38" s="25"/>
      <c r="THG38" s="25"/>
      <c r="THH38" s="25"/>
      <c r="THI38" s="25"/>
      <c r="THJ38" s="25"/>
      <c r="THK38" s="25"/>
      <c r="THL38" s="25"/>
      <c r="THM38" s="25"/>
      <c r="THN38" s="25"/>
      <c r="THO38" s="25"/>
      <c r="THP38" s="25"/>
      <c r="THQ38" s="25"/>
      <c r="THR38" s="25"/>
      <c r="THS38" s="25"/>
      <c r="THT38" s="25"/>
      <c r="THU38" s="25"/>
      <c r="THV38" s="25"/>
      <c r="THW38" s="25"/>
      <c r="THX38" s="25"/>
      <c r="THY38" s="25"/>
      <c r="THZ38" s="25"/>
      <c r="TIA38" s="25"/>
      <c r="TIB38" s="25"/>
      <c r="TIC38" s="25"/>
      <c r="TID38" s="25"/>
      <c r="TIE38" s="25"/>
      <c r="TIF38" s="25"/>
      <c r="TIG38" s="25"/>
      <c r="TIH38" s="25"/>
      <c r="TII38" s="25"/>
      <c r="TIJ38" s="25"/>
      <c r="TIK38" s="25"/>
      <c r="TIL38" s="25"/>
      <c r="TIM38" s="25"/>
      <c r="TIN38" s="25"/>
      <c r="TIO38" s="25"/>
      <c r="TIP38" s="25"/>
      <c r="TIQ38" s="25"/>
      <c r="TIR38" s="25"/>
      <c r="TIS38" s="25"/>
      <c r="TIT38" s="25"/>
      <c r="TIU38" s="25"/>
      <c r="TIV38" s="25"/>
      <c r="TIW38" s="25"/>
      <c r="TIX38" s="25"/>
      <c r="TIY38" s="25"/>
      <c r="TIZ38" s="25"/>
      <c r="TJA38" s="25"/>
      <c r="TJB38" s="25"/>
      <c r="TJC38" s="25"/>
      <c r="TJD38" s="25"/>
      <c r="TJE38" s="25"/>
      <c r="TJF38" s="25"/>
      <c r="TJG38" s="25"/>
      <c r="TJH38" s="25"/>
      <c r="TJI38" s="25"/>
      <c r="TJJ38" s="25"/>
      <c r="TJK38" s="25"/>
      <c r="TJL38" s="25"/>
      <c r="TJM38" s="25"/>
      <c r="TJN38" s="25"/>
      <c r="TJO38" s="25"/>
      <c r="TJP38" s="25"/>
      <c r="TJQ38" s="25"/>
      <c r="TJR38" s="25"/>
      <c r="TJS38" s="25"/>
      <c r="TJT38" s="25"/>
      <c r="TJU38" s="25"/>
      <c r="TJV38" s="25"/>
      <c r="TJW38" s="25"/>
      <c r="TJX38" s="25"/>
      <c r="TJY38" s="25"/>
      <c r="TJZ38" s="25"/>
      <c r="TKA38" s="25"/>
      <c r="TKB38" s="25"/>
      <c r="TKC38" s="25"/>
      <c r="TKD38" s="25"/>
      <c r="TKE38" s="25"/>
      <c r="TKF38" s="25"/>
      <c r="TKG38" s="25"/>
      <c r="TKH38" s="25"/>
      <c r="TKI38" s="25"/>
      <c r="TKJ38" s="25"/>
      <c r="TKK38" s="25"/>
      <c r="TKL38" s="25"/>
      <c r="TKM38" s="25"/>
      <c r="TKN38" s="25"/>
      <c r="TKO38" s="25"/>
      <c r="TKP38" s="25"/>
      <c r="TKQ38" s="25"/>
      <c r="TKR38" s="25"/>
      <c r="TKS38" s="25"/>
      <c r="TKT38" s="25"/>
      <c r="TKU38" s="25"/>
      <c r="TKV38" s="25"/>
      <c r="TKW38" s="25"/>
      <c r="TKX38" s="25"/>
      <c r="TKY38" s="25"/>
      <c r="TKZ38" s="25"/>
      <c r="TLA38" s="25"/>
      <c r="TLB38" s="25"/>
      <c r="TLC38" s="25"/>
      <c r="TLD38" s="25"/>
      <c r="TLE38" s="25"/>
      <c r="TLF38" s="25"/>
      <c r="TLG38" s="25"/>
      <c r="TLH38" s="25"/>
      <c r="TLI38" s="25"/>
      <c r="TLJ38" s="25"/>
      <c r="TLK38" s="25"/>
      <c r="TLL38" s="25"/>
      <c r="TLM38" s="25"/>
      <c r="TLN38" s="25"/>
      <c r="TLO38" s="25"/>
      <c r="TLP38" s="25"/>
      <c r="TLQ38" s="25"/>
      <c r="TLR38" s="25"/>
      <c r="TLS38" s="25"/>
      <c r="TLT38" s="25"/>
      <c r="TLU38" s="25"/>
      <c r="TLV38" s="25"/>
      <c r="TLW38" s="25"/>
      <c r="TLX38" s="25"/>
      <c r="TLY38" s="25"/>
      <c r="TLZ38" s="25"/>
      <c r="TMA38" s="25"/>
      <c r="TMB38" s="25"/>
      <c r="TMC38" s="25"/>
      <c r="TMD38" s="25"/>
      <c r="TME38" s="25"/>
      <c r="TMF38" s="25"/>
      <c r="TMG38" s="25"/>
      <c r="TMH38" s="25"/>
      <c r="TMI38" s="25"/>
      <c r="TMJ38" s="25"/>
      <c r="TMK38" s="25"/>
      <c r="TML38" s="25"/>
      <c r="TMM38" s="25"/>
      <c r="TMN38" s="25"/>
      <c r="TMO38" s="25"/>
      <c r="TMP38" s="25"/>
      <c r="TMQ38" s="25"/>
      <c r="TMR38" s="25"/>
      <c r="TMS38" s="25"/>
      <c r="TMT38" s="25"/>
      <c r="TMU38" s="25"/>
      <c r="TMV38" s="25"/>
      <c r="TMW38" s="25"/>
      <c r="TMX38" s="25"/>
      <c r="TMY38" s="25"/>
      <c r="TMZ38" s="25"/>
      <c r="TNA38" s="25"/>
      <c r="TNB38" s="25"/>
      <c r="TNC38" s="25"/>
      <c r="TND38" s="25"/>
      <c r="TNE38" s="25"/>
      <c r="TNF38" s="25"/>
      <c r="TNG38" s="25"/>
      <c r="TNH38" s="25"/>
      <c r="TNI38" s="25"/>
      <c r="TNJ38" s="25"/>
      <c r="TNK38" s="25"/>
      <c r="TNL38" s="25"/>
      <c r="TNM38" s="25"/>
      <c r="TNN38" s="25"/>
      <c r="TNO38" s="25"/>
      <c r="TNP38" s="25"/>
      <c r="TNQ38" s="25"/>
      <c r="TNR38" s="25"/>
      <c r="TNS38" s="25"/>
      <c r="TNT38" s="25"/>
      <c r="TNU38" s="25"/>
      <c r="TNV38" s="25"/>
      <c r="TNW38" s="25"/>
      <c r="TNX38" s="25"/>
      <c r="TNY38" s="25"/>
      <c r="TNZ38" s="25"/>
      <c r="TOA38" s="25"/>
      <c r="TOB38" s="25"/>
      <c r="TOC38" s="25"/>
      <c r="TOD38" s="25"/>
      <c r="TOE38" s="25"/>
      <c r="TOF38" s="25"/>
      <c r="TOG38" s="25"/>
      <c r="TOH38" s="25"/>
      <c r="TOI38" s="25"/>
      <c r="TOJ38" s="25"/>
      <c r="TOK38" s="25"/>
      <c r="TOL38" s="25"/>
      <c r="TOM38" s="25"/>
      <c r="TON38" s="25"/>
      <c r="TOO38" s="25"/>
      <c r="TOP38" s="25"/>
      <c r="TOQ38" s="25"/>
      <c r="TOR38" s="25"/>
      <c r="TOS38" s="25"/>
      <c r="TOT38" s="25"/>
      <c r="TOU38" s="25"/>
      <c r="TOV38" s="25"/>
      <c r="TOW38" s="25"/>
      <c r="TOX38" s="25"/>
      <c r="TOY38" s="25"/>
      <c r="TOZ38" s="25"/>
      <c r="TPA38" s="25"/>
      <c r="TPB38" s="25"/>
      <c r="TPC38" s="25"/>
      <c r="TPD38" s="25"/>
      <c r="TPE38" s="25"/>
      <c r="TPF38" s="25"/>
      <c r="TPG38" s="25"/>
      <c r="TPH38" s="25"/>
      <c r="TPI38" s="25"/>
      <c r="TPJ38" s="25"/>
      <c r="TPK38" s="25"/>
      <c r="TPL38" s="25"/>
      <c r="TPM38" s="25"/>
      <c r="TPN38" s="25"/>
      <c r="TPO38" s="25"/>
      <c r="TPP38" s="25"/>
      <c r="TPQ38" s="25"/>
      <c r="TPR38" s="25"/>
      <c r="TPS38" s="25"/>
      <c r="TPT38" s="25"/>
      <c r="TPU38" s="25"/>
      <c r="TPV38" s="25"/>
      <c r="TPW38" s="25"/>
      <c r="TPX38" s="25"/>
      <c r="TPY38" s="25"/>
      <c r="TPZ38" s="25"/>
      <c r="TQA38" s="25"/>
      <c r="TQB38" s="25"/>
      <c r="TQC38" s="25"/>
      <c r="TQD38" s="25"/>
      <c r="TQE38" s="25"/>
      <c r="TQF38" s="25"/>
      <c r="TQG38" s="25"/>
      <c r="TQH38" s="25"/>
      <c r="TQI38" s="25"/>
      <c r="TQJ38" s="25"/>
      <c r="TQK38" s="25"/>
      <c r="TQL38" s="25"/>
      <c r="TQM38" s="25"/>
      <c r="TQN38" s="25"/>
      <c r="TQO38" s="25"/>
      <c r="TQP38" s="25"/>
      <c r="TQQ38" s="25"/>
      <c r="TQR38" s="25"/>
      <c r="TQS38" s="25"/>
      <c r="TQT38" s="25"/>
      <c r="TQU38" s="25"/>
      <c r="TQV38" s="25"/>
      <c r="TQW38" s="25"/>
      <c r="TQX38" s="25"/>
      <c r="TQY38" s="25"/>
      <c r="TQZ38" s="25"/>
      <c r="TRA38" s="25"/>
      <c r="TRB38" s="25"/>
      <c r="TRC38" s="25"/>
      <c r="TRD38" s="25"/>
      <c r="TRE38" s="25"/>
      <c r="TRF38" s="25"/>
      <c r="TRG38" s="25"/>
      <c r="TRH38" s="25"/>
      <c r="TRI38" s="25"/>
      <c r="TRJ38" s="25"/>
      <c r="TRK38" s="25"/>
      <c r="TRL38" s="25"/>
      <c r="TRM38" s="25"/>
      <c r="TRN38" s="25"/>
      <c r="TRO38" s="25"/>
      <c r="TRP38" s="25"/>
      <c r="TRQ38" s="25"/>
      <c r="TRR38" s="25"/>
      <c r="TRS38" s="25"/>
      <c r="TRT38" s="25"/>
      <c r="TRU38" s="25"/>
      <c r="TRV38" s="25"/>
      <c r="TRW38" s="25"/>
      <c r="TRX38" s="25"/>
      <c r="TRY38" s="25"/>
      <c r="TRZ38" s="25"/>
      <c r="TSA38" s="25"/>
      <c r="TSB38" s="25"/>
      <c r="TSC38" s="25"/>
      <c r="TSD38" s="25"/>
      <c r="TSE38" s="25"/>
      <c r="TSF38" s="25"/>
      <c r="TSG38" s="25"/>
      <c r="TSH38" s="25"/>
      <c r="TSI38" s="25"/>
      <c r="TSJ38" s="25"/>
      <c r="TSK38" s="25"/>
      <c r="TSL38" s="25"/>
      <c r="TSM38" s="25"/>
      <c r="TSN38" s="25"/>
      <c r="TSO38" s="25"/>
      <c r="TSP38" s="25"/>
      <c r="TSQ38" s="25"/>
      <c r="TSR38" s="25"/>
      <c r="TSS38" s="25"/>
      <c r="TST38" s="25"/>
      <c r="TSU38" s="25"/>
      <c r="TSV38" s="25"/>
      <c r="TSW38" s="25"/>
      <c r="TSX38" s="25"/>
      <c r="TSY38" s="25"/>
      <c r="TSZ38" s="25"/>
      <c r="TTA38" s="25"/>
      <c r="TTB38" s="25"/>
      <c r="TTC38" s="25"/>
      <c r="TTD38" s="25"/>
      <c r="TTE38" s="25"/>
      <c r="TTF38" s="25"/>
      <c r="TTG38" s="25"/>
      <c r="TTH38" s="25"/>
      <c r="TTI38" s="25"/>
      <c r="TTJ38" s="25"/>
      <c r="TTK38" s="25"/>
      <c r="TTL38" s="25"/>
      <c r="TTM38" s="25"/>
      <c r="TTN38" s="25"/>
      <c r="TTO38" s="25"/>
      <c r="TTP38" s="25"/>
      <c r="TTQ38" s="25"/>
      <c r="TTR38" s="25"/>
      <c r="TTS38" s="25"/>
      <c r="TTT38" s="25"/>
      <c r="TTU38" s="25"/>
      <c r="TTV38" s="25"/>
      <c r="TTW38" s="25"/>
      <c r="TTX38" s="25"/>
      <c r="TTY38" s="25"/>
      <c r="TTZ38" s="25"/>
      <c r="TUA38" s="25"/>
      <c r="TUB38" s="25"/>
      <c r="TUC38" s="25"/>
      <c r="TUD38" s="25"/>
      <c r="TUE38" s="25"/>
      <c r="TUF38" s="25"/>
      <c r="TUG38" s="25"/>
      <c r="TUH38" s="25"/>
      <c r="TUI38" s="25"/>
      <c r="TUJ38" s="25"/>
      <c r="TUK38" s="25"/>
      <c r="TUL38" s="25"/>
      <c r="TUM38" s="25"/>
      <c r="TUN38" s="25"/>
      <c r="TUO38" s="25"/>
      <c r="TUP38" s="25"/>
      <c r="TUQ38" s="25"/>
      <c r="TUR38" s="25"/>
      <c r="TUS38" s="25"/>
      <c r="TUT38" s="25"/>
      <c r="TUU38" s="25"/>
      <c r="TUV38" s="25"/>
      <c r="TUW38" s="25"/>
      <c r="TUX38" s="25"/>
      <c r="TUY38" s="25"/>
      <c r="TUZ38" s="25"/>
      <c r="TVA38" s="25"/>
      <c r="TVB38" s="25"/>
      <c r="TVC38" s="25"/>
      <c r="TVD38" s="25"/>
      <c r="TVE38" s="25"/>
      <c r="TVF38" s="25"/>
      <c r="TVG38" s="25"/>
      <c r="TVH38" s="25"/>
      <c r="TVI38" s="25"/>
      <c r="TVJ38" s="25"/>
      <c r="TVK38" s="25"/>
      <c r="TVL38" s="25"/>
      <c r="TVM38" s="25"/>
      <c r="TVN38" s="25"/>
      <c r="TVO38" s="25"/>
      <c r="TVP38" s="25"/>
      <c r="TVQ38" s="25"/>
      <c r="TVR38" s="25"/>
      <c r="TVS38" s="25"/>
      <c r="TVT38" s="25"/>
      <c r="TVU38" s="25"/>
      <c r="TVV38" s="25"/>
      <c r="TVW38" s="25"/>
      <c r="TVX38" s="25"/>
      <c r="TVY38" s="25"/>
      <c r="TVZ38" s="25"/>
      <c r="TWA38" s="25"/>
      <c r="TWB38" s="25"/>
      <c r="TWC38" s="25"/>
      <c r="TWD38" s="25"/>
      <c r="TWE38" s="25"/>
      <c r="TWF38" s="25"/>
      <c r="TWG38" s="25"/>
      <c r="TWH38" s="25"/>
      <c r="TWI38" s="25"/>
      <c r="TWJ38" s="25"/>
      <c r="TWK38" s="25"/>
      <c r="TWL38" s="25"/>
      <c r="TWM38" s="25"/>
      <c r="TWN38" s="25"/>
      <c r="TWO38" s="25"/>
      <c r="TWP38" s="25"/>
      <c r="TWQ38" s="25"/>
      <c r="TWR38" s="25"/>
      <c r="TWS38" s="25"/>
      <c r="TWT38" s="25"/>
      <c r="TWU38" s="25"/>
      <c r="TWV38" s="25"/>
      <c r="TWW38" s="25"/>
      <c r="TWX38" s="25"/>
      <c r="TWY38" s="25"/>
      <c r="TWZ38" s="25"/>
      <c r="TXA38" s="25"/>
      <c r="TXB38" s="25"/>
      <c r="TXC38" s="25"/>
      <c r="TXD38" s="25"/>
      <c r="TXE38" s="25"/>
      <c r="TXF38" s="25"/>
      <c r="TXG38" s="25"/>
      <c r="TXH38" s="25"/>
      <c r="TXI38" s="25"/>
      <c r="TXJ38" s="25"/>
      <c r="TXK38" s="25"/>
      <c r="TXL38" s="25"/>
      <c r="TXM38" s="25"/>
      <c r="TXN38" s="25"/>
      <c r="TXO38" s="25"/>
      <c r="TXP38" s="25"/>
      <c r="TXQ38" s="25"/>
      <c r="TXR38" s="25"/>
      <c r="TXS38" s="25"/>
      <c r="TXT38" s="25"/>
      <c r="TXU38" s="25"/>
      <c r="TXV38" s="25"/>
      <c r="TXW38" s="25"/>
      <c r="TXX38" s="25"/>
      <c r="TXY38" s="25"/>
      <c r="TXZ38" s="25"/>
      <c r="TYA38" s="25"/>
      <c r="TYB38" s="25"/>
      <c r="TYC38" s="25"/>
      <c r="TYD38" s="25"/>
      <c r="TYE38" s="25"/>
      <c r="TYF38" s="25"/>
      <c r="TYG38" s="25"/>
      <c r="TYH38" s="25"/>
      <c r="TYI38" s="25"/>
      <c r="TYJ38" s="25"/>
      <c r="TYK38" s="25"/>
      <c r="TYL38" s="25"/>
      <c r="TYM38" s="25"/>
      <c r="TYN38" s="25"/>
      <c r="TYO38" s="25"/>
      <c r="TYP38" s="25"/>
      <c r="TYQ38" s="25"/>
      <c r="TYR38" s="25"/>
      <c r="TYS38" s="25"/>
      <c r="TYT38" s="25"/>
      <c r="TYU38" s="25"/>
      <c r="TYV38" s="25"/>
      <c r="TYW38" s="25"/>
      <c r="TYX38" s="25"/>
      <c r="TYY38" s="25"/>
      <c r="TYZ38" s="25"/>
      <c r="TZA38" s="25"/>
      <c r="TZB38" s="25"/>
      <c r="TZC38" s="25"/>
      <c r="TZD38" s="25"/>
      <c r="TZE38" s="25"/>
      <c r="TZF38" s="25"/>
      <c r="TZG38" s="25"/>
      <c r="TZH38" s="25"/>
      <c r="TZI38" s="25"/>
      <c r="TZJ38" s="25"/>
      <c r="TZK38" s="25"/>
      <c r="TZL38" s="25"/>
      <c r="TZM38" s="25"/>
      <c r="TZN38" s="25"/>
      <c r="TZO38" s="25"/>
      <c r="TZP38" s="25"/>
      <c r="TZQ38" s="25"/>
      <c r="TZR38" s="25"/>
      <c r="TZS38" s="25"/>
      <c r="TZT38" s="25"/>
      <c r="TZU38" s="25"/>
      <c r="TZV38" s="25"/>
      <c r="TZW38" s="25"/>
      <c r="TZX38" s="25"/>
      <c r="TZY38" s="25"/>
      <c r="TZZ38" s="25"/>
      <c r="UAA38" s="25"/>
      <c r="UAB38" s="25"/>
      <c r="UAC38" s="25"/>
      <c r="UAD38" s="25"/>
      <c r="UAE38" s="25"/>
      <c r="UAF38" s="25"/>
      <c r="UAG38" s="25"/>
      <c r="UAH38" s="25"/>
      <c r="UAI38" s="25"/>
      <c r="UAJ38" s="25"/>
      <c r="UAK38" s="25"/>
      <c r="UAL38" s="25"/>
      <c r="UAM38" s="25"/>
      <c r="UAN38" s="25"/>
      <c r="UAO38" s="25"/>
      <c r="UAP38" s="25"/>
      <c r="UAQ38" s="25"/>
      <c r="UAR38" s="25"/>
      <c r="UAS38" s="25"/>
      <c r="UAT38" s="25"/>
      <c r="UAU38" s="25"/>
      <c r="UAV38" s="25"/>
      <c r="UAW38" s="25"/>
      <c r="UAX38" s="25"/>
      <c r="UAY38" s="25"/>
      <c r="UAZ38" s="25"/>
      <c r="UBA38" s="25"/>
      <c r="UBB38" s="25"/>
      <c r="UBC38" s="25"/>
      <c r="UBD38" s="25"/>
      <c r="UBE38" s="25"/>
      <c r="UBF38" s="25"/>
      <c r="UBG38" s="25"/>
      <c r="UBH38" s="25"/>
      <c r="UBI38" s="25"/>
      <c r="UBJ38" s="25"/>
      <c r="UBK38" s="25"/>
      <c r="UBL38" s="25"/>
      <c r="UBM38" s="25"/>
      <c r="UBN38" s="25"/>
      <c r="UBO38" s="25"/>
      <c r="UBP38" s="25"/>
      <c r="UBQ38" s="25"/>
      <c r="UBR38" s="25"/>
      <c r="UBS38" s="25"/>
      <c r="UBT38" s="25"/>
      <c r="UBU38" s="25"/>
      <c r="UBV38" s="25"/>
      <c r="UBW38" s="25"/>
      <c r="UBX38" s="25"/>
      <c r="UBY38" s="25"/>
      <c r="UBZ38" s="25"/>
      <c r="UCA38" s="25"/>
      <c r="UCB38" s="25"/>
      <c r="UCC38" s="25"/>
      <c r="UCD38" s="25"/>
      <c r="UCE38" s="25"/>
      <c r="UCF38" s="25"/>
      <c r="UCG38" s="25"/>
      <c r="UCH38" s="25"/>
      <c r="UCI38" s="25"/>
      <c r="UCJ38" s="25"/>
      <c r="UCK38" s="25"/>
      <c r="UCL38" s="25"/>
      <c r="UCM38" s="25"/>
      <c r="UCN38" s="25"/>
      <c r="UCO38" s="25"/>
      <c r="UCP38" s="25"/>
      <c r="UCQ38" s="25"/>
      <c r="UCR38" s="25"/>
      <c r="UCS38" s="25"/>
      <c r="UCT38" s="25"/>
      <c r="UCU38" s="25"/>
      <c r="UCV38" s="25"/>
      <c r="UCW38" s="25"/>
      <c r="UCX38" s="25"/>
      <c r="UCY38" s="25"/>
      <c r="UCZ38" s="25"/>
      <c r="UDA38" s="25"/>
      <c r="UDB38" s="25"/>
      <c r="UDC38" s="25"/>
      <c r="UDD38" s="25"/>
      <c r="UDE38" s="25"/>
      <c r="UDF38" s="25"/>
      <c r="UDG38" s="25"/>
      <c r="UDH38" s="25"/>
      <c r="UDI38" s="25"/>
      <c r="UDJ38" s="25"/>
      <c r="UDK38" s="25"/>
      <c r="UDL38" s="25"/>
      <c r="UDM38" s="25"/>
      <c r="UDN38" s="25"/>
      <c r="UDO38" s="25"/>
      <c r="UDP38" s="25"/>
      <c r="UDQ38" s="25"/>
      <c r="UDR38" s="25"/>
      <c r="UDS38" s="25"/>
      <c r="UDT38" s="25"/>
      <c r="UDU38" s="25"/>
      <c r="UDV38" s="25"/>
      <c r="UDW38" s="25"/>
      <c r="UDX38" s="25"/>
      <c r="UDY38" s="25"/>
      <c r="UDZ38" s="25"/>
      <c r="UEA38" s="25"/>
      <c r="UEB38" s="25"/>
      <c r="UEC38" s="25"/>
      <c r="UED38" s="25"/>
      <c r="UEE38" s="25"/>
      <c r="UEF38" s="25"/>
      <c r="UEG38" s="25"/>
      <c r="UEH38" s="25"/>
      <c r="UEI38" s="25"/>
      <c r="UEJ38" s="25"/>
      <c r="UEK38" s="25"/>
      <c r="UEL38" s="25"/>
      <c r="UEM38" s="25"/>
      <c r="UEN38" s="25"/>
      <c r="UEO38" s="25"/>
      <c r="UEP38" s="25"/>
      <c r="UEQ38" s="25"/>
      <c r="UER38" s="25"/>
      <c r="UES38" s="25"/>
      <c r="UET38" s="25"/>
      <c r="UEU38" s="25"/>
      <c r="UEV38" s="25"/>
      <c r="UEW38" s="25"/>
      <c r="UEX38" s="25"/>
      <c r="UEY38" s="25"/>
      <c r="UEZ38" s="25"/>
      <c r="UFA38" s="25"/>
      <c r="UFB38" s="25"/>
      <c r="UFC38" s="25"/>
      <c r="UFD38" s="25"/>
      <c r="UFE38" s="25"/>
      <c r="UFF38" s="25"/>
      <c r="UFG38" s="25"/>
      <c r="UFH38" s="25"/>
      <c r="UFI38" s="25"/>
      <c r="UFJ38" s="25"/>
      <c r="UFK38" s="25"/>
      <c r="UFL38" s="25"/>
      <c r="UFM38" s="25"/>
      <c r="UFN38" s="25"/>
      <c r="UFO38" s="25"/>
      <c r="UFP38" s="25"/>
      <c r="UFQ38" s="25"/>
      <c r="UFR38" s="25"/>
      <c r="UFS38" s="25"/>
      <c r="UFT38" s="25"/>
      <c r="UFU38" s="25"/>
      <c r="UFV38" s="25"/>
      <c r="UFW38" s="25"/>
      <c r="UFX38" s="25"/>
      <c r="UFY38" s="25"/>
      <c r="UFZ38" s="25"/>
      <c r="UGA38" s="25"/>
      <c r="UGB38" s="25"/>
      <c r="UGC38" s="25"/>
      <c r="UGD38" s="25"/>
      <c r="UGE38" s="25"/>
      <c r="UGF38" s="25"/>
      <c r="UGG38" s="25"/>
      <c r="UGH38" s="25"/>
      <c r="UGI38" s="25"/>
      <c r="UGJ38" s="25"/>
      <c r="UGK38" s="25"/>
      <c r="UGL38" s="25"/>
      <c r="UGM38" s="25"/>
      <c r="UGN38" s="25"/>
      <c r="UGO38" s="25"/>
      <c r="UGP38" s="25"/>
      <c r="UGQ38" s="25"/>
      <c r="UGR38" s="25"/>
      <c r="UGS38" s="25"/>
      <c r="UGT38" s="25"/>
      <c r="UGU38" s="25"/>
      <c r="UGV38" s="25"/>
      <c r="UGW38" s="25"/>
      <c r="UGX38" s="25"/>
      <c r="UGY38" s="25"/>
      <c r="UGZ38" s="25"/>
      <c r="UHA38" s="25"/>
      <c r="UHB38" s="25"/>
      <c r="UHC38" s="25"/>
      <c r="UHD38" s="25"/>
      <c r="UHE38" s="25"/>
      <c r="UHF38" s="25"/>
      <c r="UHG38" s="25"/>
      <c r="UHH38" s="25"/>
      <c r="UHI38" s="25"/>
      <c r="UHJ38" s="25"/>
      <c r="UHK38" s="25"/>
      <c r="UHL38" s="25"/>
      <c r="UHM38" s="25"/>
      <c r="UHN38" s="25"/>
      <c r="UHO38" s="25"/>
      <c r="UHP38" s="25"/>
      <c r="UHQ38" s="25"/>
      <c r="UHR38" s="25"/>
      <c r="UHS38" s="25"/>
      <c r="UHT38" s="25"/>
      <c r="UHU38" s="25"/>
      <c r="UHV38" s="25"/>
      <c r="UHW38" s="25"/>
      <c r="UHX38" s="25"/>
      <c r="UHY38" s="25"/>
      <c r="UHZ38" s="25"/>
      <c r="UIA38" s="25"/>
      <c r="UIB38" s="25"/>
      <c r="UIC38" s="25"/>
      <c r="UID38" s="25"/>
      <c r="UIE38" s="25"/>
      <c r="UIF38" s="25"/>
      <c r="UIG38" s="25"/>
      <c r="UIH38" s="25"/>
      <c r="UII38" s="25"/>
      <c r="UIJ38" s="25"/>
      <c r="UIK38" s="25"/>
      <c r="UIL38" s="25"/>
      <c r="UIM38" s="25"/>
      <c r="UIN38" s="25"/>
      <c r="UIO38" s="25"/>
      <c r="UIP38" s="25"/>
      <c r="UIQ38" s="25"/>
      <c r="UIR38" s="25"/>
      <c r="UIS38" s="25"/>
      <c r="UIT38" s="25"/>
      <c r="UIU38" s="25"/>
      <c r="UIV38" s="25"/>
      <c r="UIW38" s="25"/>
      <c r="UIX38" s="25"/>
      <c r="UIY38" s="25"/>
      <c r="UIZ38" s="25"/>
      <c r="UJA38" s="25"/>
      <c r="UJB38" s="25"/>
      <c r="UJC38" s="25"/>
      <c r="UJD38" s="25"/>
      <c r="UJE38" s="25"/>
      <c r="UJF38" s="25"/>
      <c r="UJG38" s="25"/>
      <c r="UJH38" s="25"/>
      <c r="UJI38" s="25"/>
      <c r="UJJ38" s="25"/>
      <c r="UJK38" s="25"/>
      <c r="UJL38" s="25"/>
      <c r="UJM38" s="25"/>
      <c r="UJN38" s="25"/>
      <c r="UJO38" s="25"/>
      <c r="UJP38" s="25"/>
      <c r="UJQ38" s="25"/>
      <c r="UJR38" s="25"/>
      <c r="UJS38" s="25"/>
      <c r="UJT38" s="25"/>
      <c r="UJU38" s="25"/>
      <c r="UJV38" s="25"/>
      <c r="UJW38" s="25"/>
      <c r="UJX38" s="25"/>
      <c r="UJY38" s="25"/>
      <c r="UJZ38" s="25"/>
      <c r="UKA38" s="25"/>
      <c r="UKB38" s="25"/>
      <c r="UKC38" s="25"/>
      <c r="UKD38" s="25"/>
      <c r="UKE38" s="25"/>
      <c r="UKF38" s="25"/>
      <c r="UKG38" s="25"/>
      <c r="UKH38" s="25"/>
      <c r="UKI38" s="25"/>
      <c r="UKJ38" s="25"/>
      <c r="UKK38" s="25"/>
      <c r="UKL38" s="25"/>
      <c r="UKM38" s="25"/>
      <c r="UKN38" s="25"/>
      <c r="UKO38" s="25"/>
      <c r="UKP38" s="25"/>
      <c r="UKQ38" s="25"/>
      <c r="UKR38" s="25"/>
      <c r="UKS38" s="25"/>
      <c r="UKT38" s="25"/>
      <c r="UKU38" s="25"/>
      <c r="UKV38" s="25"/>
      <c r="UKW38" s="25"/>
      <c r="UKX38" s="25"/>
      <c r="UKY38" s="25"/>
      <c r="UKZ38" s="25"/>
      <c r="ULA38" s="25"/>
      <c r="ULB38" s="25"/>
      <c r="ULC38" s="25"/>
      <c r="ULD38" s="25"/>
      <c r="ULE38" s="25"/>
      <c r="ULF38" s="25"/>
      <c r="ULG38" s="25"/>
      <c r="ULH38" s="25"/>
      <c r="ULI38" s="25"/>
      <c r="ULJ38" s="25"/>
      <c r="ULK38" s="25"/>
      <c r="ULL38" s="25"/>
      <c r="ULM38" s="25"/>
      <c r="ULN38" s="25"/>
      <c r="ULO38" s="25"/>
      <c r="ULP38" s="25"/>
      <c r="ULQ38" s="25"/>
      <c r="ULR38" s="25"/>
      <c r="ULS38" s="25"/>
      <c r="ULT38" s="25"/>
      <c r="ULU38" s="25"/>
      <c r="ULV38" s="25"/>
      <c r="ULW38" s="25"/>
      <c r="ULX38" s="25"/>
      <c r="ULY38" s="25"/>
      <c r="ULZ38" s="25"/>
      <c r="UMA38" s="25"/>
      <c r="UMB38" s="25"/>
      <c r="UMC38" s="25"/>
      <c r="UMD38" s="25"/>
      <c r="UME38" s="25"/>
      <c r="UMF38" s="25"/>
      <c r="UMG38" s="25"/>
      <c r="UMH38" s="25"/>
      <c r="UMI38" s="25"/>
      <c r="UMJ38" s="25"/>
      <c r="UMK38" s="25"/>
      <c r="UML38" s="25"/>
      <c r="UMM38" s="25"/>
      <c r="UMN38" s="25"/>
      <c r="UMO38" s="25"/>
      <c r="UMP38" s="25"/>
      <c r="UMQ38" s="25"/>
      <c r="UMR38" s="25"/>
      <c r="UMS38" s="25"/>
      <c r="UMT38" s="25"/>
      <c r="UMU38" s="25"/>
      <c r="UMV38" s="25"/>
      <c r="UMW38" s="25"/>
      <c r="UMX38" s="25"/>
      <c r="UMY38" s="25"/>
      <c r="UMZ38" s="25"/>
      <c r="UNA38" s="25"/>
      <c r="UNB38" s="25"/>
      <c r="UNC38" s="25"/>
      <c r="UND38" s="25"/>
      <c r="UNE38" s="25"/>
      <c r="UNF38" s="25"/>
      <c r="UNG38" s="25"/>
      <c r="UNH38" s="25"/>
      <c r="UNI38" s="25"/>
      <c r="UNJ38" s="25"/>
      <c r="UNK38" s="25"/>
      <c r="UNL38" s="25"/>
      <c r="UNM38" s="25"/>
      <c r="UNN38" s="25"/>
      <c r="UNO38" s="25"/>
      <c r="UNP38" s="25"/>
      <c r="UNQ38" s="25"/>
      <c r="UNR38" s="25"/>
      <c r="UNS38" s="25"/>
      <c r="UNT38" s="25"/>
      <c r="UNU38" s="25"/>
      <c r="UNV38" s="25"/>
      <c r="UNW38" s="25"/>
      <c r="UNX38" s="25"/>
      <c r="UNY38" s="25"/>
      <c r="UNZ38" s="25"/>
      <c r="UOA38" s="25"/>
      <c r="UOB38" s="25"/>
      <c r="UOC38" s="25"/>
      <c r="UOD38" s="25"/>
      <c r="UOE38" s="25"/>
      <c r="UOF38" s="25"/>
      <c r="UOG38" s="25"/>
      <c r="UOH38" s="25"/>
      <c r="UOI38" s="25"/>
      <c r="UOJ38" s="25"/>
      <c r="UOK38" s="25"/>
      <c r="UOL38" s="25"/>
      <c r="UOM38" s="25"/>
      <c r="UON38" s="25"/>
      <c r="UOO38" s="25"/>
      <c r="UOP38" s="25"/>
      <c r="UOQ38" s="25"/>
      <c r="UOR38" s="25"/>
      <c r="UOS38" s="25"/>
      <c r="UOT38" s="25"/>
      <c r="UOU38" s="25"/>
      <c r="UOV38" s="25"/>
      <c r="UOW38" s="25"/>
      <c r="UOX38" s="25"/>
      <c r="UOY38" s="25"/>
      <c r="UOZ38" s="25"/>
      <c r="UPA38" s="25"/>
      <c r="UPB38" s="25"/>
      <c r="UPC38" s="25"/>
      <c r="UPD38" s="25"/>
      <c r="UPE38" s="25"/>
      <c r="UPF38" s="25"/>
      <c r="UPG38" s="25"/>
      <c r="UPH38" s="25"/>
      <c r="UPI38" s="25"/>
      <c r="UPJ38" s="25"/>
      <c r="UPK38" s="25"/>
      <c r="UPL38" s="25"/>
      <c r="UPM38" s="25"/>
      <c r="UPN38" s="25"/>
      <c r="UPO38" s="25"/>
      <c r="UPP38" s="25"/>
      <c r="UPQ38" s="25"/>
      <c r="UPR38" s="25"/>
      <c r="UPS38" s="25"/>
      <c r="UPT38" s="25"/>
      <c r="UPU38" s="25"/>
      <c r="UPV38" s="25"/>
      <c r="UPW38" s="25"/>
      <c r="UPX38" s="25"/>
      <c r="UPY38" s="25"/>
      <c r="UPZ38" s="25"/>
      <c r="UQA38" s="25"/>
      <c r="UQB38" s="25"/>
      <c r="UQC38" s="25"/>
      <c r="UQD38" s="25"/>
      <c r="UQE38" s="25"/>
      <c r="UQF38" s="25"/>
      <c r="UQG38" s="25"/>
      <c r="UQH38" s="25"/>
      <c r="UQI38" s="25"/>
      <c r="UQJ38" s="25"/>
      <c r="UQK38" s="25"/>
      <c r="UQL38" s="25"/>
      <c r="UQM38" s="25"/>
      <c r="UQN38" s="25"/>
      <c r="UQO38" s="25"/>
      <c r="UQP38" s="25"/>
      <c r="UQQ38" s="25"/>
      <c r="UQR38" s="25"/>
      <c r="UQS38" s="25"/>
      <c r="UQT38" s="25"/>
      <c r="UQU38" s="25"/>
      <c r="UQV38" s="25"/>
      <c r="UQW38" s="25"/>
      <c r="UQX38" s="25"/>
      <c r="UQY38" s="25"/>
      <c r="UQZ38" s="25"/>
      <c r="URA38" s="25"/>
      <c r="URB38" s="25"/>
      <c r="URC38" s="25"/>
      <c r="URD38" s="25"/>
      <c r="URE38" s="25"/>
      <c r="URF38" s="25"/>
      <c r="URG38" s="25"/>
      <c r="URH38" s="25"/>
      <c r="URI38" s="25"/>
      <c r="URJ38" s="25"/>
      <c r="URK38" s="25"/>
      <c r="URL38" s="25"/>
      <c r="URM38" s="25"/>
      <c r="URN38" s="25"/>
      <c r="URO38" s="25"/>
      <c r="URP38" s="25"/>
      <c r="URQ38" s="25"/>
      <c r="URR38" s="25"/>
      <c r="URS38" s="25"/>
      <c r="URT38" s="25"/>
      <c r="URU38" s="25"/>
      <c r="URV38" s="25"/>
      <c r="URW38" s="25"/>
      <c r="URX38" s="25"/>
      <c r="URY38" s="25"/>
      <c r="URZ38" s="25"/>
      <c r="USA38" s="25"/>
      <c r="USB38" s="25"/>
      <c r="USC38" s="25"/>
      <c r="USD38" s="25"/>
      <c r="USE38" s="25"/>
      <c r="USF38" s="25"/>
      <c r="USG38" s="25"/>
      <c r="USH38" s="25"/>
      <c r="USI38" s="25"/>
      <c r="USJ38" s="25"/>
      <c r="USK38" s="25"/>
      <c r="USL38" s="25"/>
      <c r="USM38" s="25"/>
      <c r="USN38" s="25"/>
      <c r="USO38" s="25"/>
      <c r="USP38" s="25"/>
      <c r="USQ38" s="25"/>
      <c r="USR38" s="25"/>
      <c r="USS38" s="25"/>
      <c r="UST38" s="25"/>
      <c r="USU38" s="25"/>
      <c r="USV38" s="25"/>
      <c r="USW38" s="25"/>
      <c r="USX38" s="25"/>
      <c r="USY38" s="25"/>
      <c r="USZ38" s="25"/>
      <c r="UTA38" s="25"/>
      <c r="UTB38" s="25"/>
      <c r="UTC38" s="25"/>
      <c r="UTD38" s="25"/>
      <c r="UTE38" s="25"/>
      <c r="UTF38" s="25"/>
      <c r="UTG38" s="25"/>
      <c r="UTH38" s="25"/>
      <c r="UTI38" s="25"/>
      <c r="UTJ38" s="25"/>
      <c r="UTK38" s="25"/>
      <c r="UTL38" s="25"/>
      <c r="UTM38" s="25"/>
      <c r="UTN38" s="25"/>
      <c r="UTO38" s="25"/>
      <c r="UTP38" s="25"/>
      <c r="UTQ38" s="25"/>
      <c r="UTR38" s="25"/>
      <c r="UTS38" s="25"/>
      <c r="UTT38" s="25"/>
      <c r="UTU38" s="25"/>
      <c r="UTV38" s="25"/>
      <c r="UTW38" s="25"/>
      <c r="UTX38" s="25"/>
      <c r="UTY38" s="25"/>
      <c r="UTZ38" s="25"/>
      <c r="UUA38" s="25"/>
      <c r="UUB38" s="25"/>
      <c r="UUC38" s="25"/>
      <c r="UUD38" s="25"/>
      <c r="UUE38" s="25"/>
      <c r="UUF38" s="25"/>
      <c r="UUG38" s="25"/>
      <c r="UUH38" s="25"/>
      <c r="UUI38" s="25"/>
      <c r="UUJ38" s="25"/>
      <c r="UUK38" s="25"/>
      <c r="UUL38" s="25"/>
      <c r="UUM38" s="25"/>
      <c r="UUN38" s="25"/>
      <c r="UUO38" s="25"/>
      <c r="UUP38" s="25"/>
      <c r="UUQ38" s="25"/>
      <c r="UUR38" s="25"/>
      <c r="UUS38" s="25"/>
      <c r="UUT38" s="25"/>
      <c r="UUU38" s="25"/>
      <c r="UUV38" s="25"/>
      <c r="UUW38" s="25"/>
      <c r="UUX38" s="25"/>
      <c r="UUY38" s="25"/>
      <c r="UUZ38" s="25"/>
      <c r="UVA38" s="25"/>
      <c r="UVB38" s="25"/>
      <c r="UVC38" s="25"/>
      <c r="UVD38" s="25"/>
      <c r="UVE38" s="25"/>
      <c r="UVF38" s="25"/>
      <c r="UVG38" s="25"/>
      <c r="UVH38" s="25"/>
      <c r="UVI38" s="25"/>
      <c r="UVJ38" s="25"/>
      <c r="UVK38" s="25"/>
      <c r="UVL38" s="25"/>
      <c r="UVM38" s="25"/>
      <c r="UVN38" s="25"/>
      <c r="UVO38" s="25"/>
      <c r="UVP38" s="25"/>
      <c r="UVQ38" s="25"/>
      <c r="UVR38" s="25"/>
      <c r="UVS38" s="25"/>
      <c r="UVT38" s="25"/>
      <c r="UVU38" s="25"/>
      <c r="UVV38" s="25"/>
      <c r="UVW38" s="25"/>
      <c r="UVX38" s="25"/>
      <c r="UVY38" s="25"/>
      <c r="UVZ38" s="25"/>
      <c r="UWA38" s="25"/>
      <c r="UWB38" s="25"/>
      <c r="UWC38" s="25"/>
      <c r="UWD38" s="25"/>
      <c r="UWE38" s="25"/>
      <c r="UWF38" s="25"/>
      <c r="UWG38" s="25"/>
      <c r="UWH38" s="25"/>
      <c r="UWI38" s="25"/>
      <c r="UWJ38" s="25"/>
      <c r="UWK38" s="25"/>
      <c r="UWL38" s="25"/>
      <c r="UWM38" s="25"/>
      <c r="UWN38" s="25"/>
      <c r="UWO38" s="25"/>
      <c r="UWP38" s="25"/>
      <c r="UWQ38" s="25"/>
      <c r="UWR38" s="25"/>
      <c r="UWS38" s="25"/>
      <c r="UWT38" s="25"/>
      <c r="UWU38" s="25"/>
      <c r="UWV38" s="25"/>
      <c r="UWW38" s="25"/>
      <c r="UWX38" s="25"/>
      <c r="UWY38" s="25"/>
      <c r="UWZ38" s="25"/>
      <c r="UXA38" s="25"/>
      <c r="UXB38" s="25"/>
      <c r="UXC38" s="25"/>
      <c r="UXD38" s="25"/>
      <c r="UXE38" s="25"/>
      <c r="UXF38" s="25"/>
      <c r="UXG38" s="25"/>
      <c r="UXH38" s="25"/>
      <c r="UXI38" s="25"/>
      <c r="UXJ38" s="25"/>
      <c r="UXK38" s="25"/>
      <c r="UXL38" s="25"/>
      <c r="UXM38" s="25"/>
      <c r="UXN38" s="25"/>
      <c r="UXO38" s="25"/>
      <c r="UXP38" s="25"/>
      <c r="UXQ38" s="25"/>
      <c r="UXR38" s="25"/>
      <c r="UXS38" s="25"/>
      <c r="UXT38" s="25"/>
      <c r="UXU38" s="25"/>
      <c r="UXV38" s="25"/>
      <c r="UXW38" s="25"/>
      <c r="UXX38" s="25"/>
      <c r="UXY38" s="25"/>
      <c r="UXZ38" s="25"/>
      <c r="UYA38" s="25"/>
      <c r="UYB38" s="25"/>
      <c r="UYC38" s="25"/>
      <c r="UYD38" s="25"/>
      <c r="UYE38" s="25"/>
      <c r="UYF38" s="25"/>
      <c r="UYG38" s="25"/>
      <c r="UYH38" s="25"/>
      <c r="UYI38" s="25"/>
      <c r="UYJ38" s="25"/>
      <c r="UYK38" s="25"/>
      <c r="UYL38" s="25"/>
      <c r="UYM38" s="25"/>
      <c r="UYN38" s="25"/>
      <c r="UYO38" s="25"/>
      <c r="UYP38" s="25"/>
      <c r="UYQ38" s="25"/>
      <c r="UYR38" s="25"/>
      <c r="UYS38" s="25"/>
      <c r="UYT38" s="25"/>
      <c r="UYU38" s="25"/>
      <c r="UYV38" s="25"/>
      <c r="UYW38" s="25"/>
      <c r="UYX38" s="25"/>
      <c r="UYY38" s="25"/>
      <c r="UYZ38" s="25"/>
      <c r="UZA38" s="25"/>
      <c r="UZB38" s="25"/>
      <c r="UZC38" s="25"/>
      <c r="UZD38" s="25"/>
      <c r="UZE38" s="25"/>
      <c r="UZF38" s="25"/>
      <c r="UZG38" s="25"/>
      <c r="UZH38" s="25"/>
      <c r="UZI38" s="25"/>
      <c r="UZJ38" s="25"/>
      <c r="UZK38" s="25"/>
      <c r="UZL38" s="25"/>
      <c r="UZM38" s="25"/>
      <c r="UZN38" s="25"/>
      <c r="UZO38" s="25"/>
      <c r="UZP38" s="25"/>
      <c r="UZQ38" s="25"/>
      <c r="UZR38" s="25"/>
      <c r="UZS38" s="25"/>
      <c r="UZT38" s="25"/>
      <c r="UZU38" s="25"/>
      <c r="UZV38" s="25"/>
      <c r="UZW38" s="25"/>
      <c r="UZX38" s="25"/>
      <c r="UZY38" s="25"/>
      <c r="UZZ38" s="25"/>
      <c r="VAA38" s="25"/>
      <c r="VAB38" s="25"/>
      <c r="VAC38" s="25"/>
      <c r="VAD38" s="25"/>
      <c r="VAE38" s="25"/>
      <c r="VAF38" s="25"/>
      <c r="VAG38" s="25"/>
      <c r="VAH38" s="25"/>
      <c r="VAI38" s="25"/>
      <c r="VAJ38" s="25"/>
      <c r="VAK38" s="25"/>
      <c r="VAL38" s="25"/>
      <c r="VAM38" s="25"/>
      <c r="VAN38" s="25"/>
      <c r="VAO38" s="25"/>
      <c r="VAP38" s="25"/>
      <c r="VAQ38" s="25"/>
      <c r="VAR38" s="25"/>
      <c r="VAS38" s="25"/>
      <c r="VAT38" s="25"/>
      <c r="VAU38" s="25"/>
      <c r="VAV38" s="25"/>
      <c r="VAW38" s="25"/>
      <c r="VAX38" s="25"/>
      <c r="VAY38" s="25"/>
      <c r="VAZ38" s="25"/>
      <c r="VBA38" s="25"/>
      <c r="VBB38" s="25"/>
      <c r="VBC38" s="25"/>
      <c r="VBD38" s="25"/>
      <c r="VBE38" s="25"/>
      <c r="VBF38" s="25"/>
      <c r="VBG38" s="25"/>
      <c r="VBH38" s="25"/>
      <c r="VBI38" s="25"/>
      <c r="VBJ38" s="25"/>
      <c r="VBK38" s="25"/>
      <c r="VBL38" s="25"/>
      <c r="VBM38" s="25"/>
      <c r="VBN38" s="25"/>
      <c r="VBO38" s="25"/>
      <c r="VBP38" s="25"/>
      <c r="VBQ38" s="25"/>
      <c r="VBR38" s="25"/>
      <c r="VBS38" s="25"/>
      <c r="VBT38" s="25"/>
      <c r="VBU38" s="25"/>
      <c r="VBV38" s="25"/>
      <c r="VBW38" s="25"/>
      <c r="VBX38" s="25"/>
      <c r="VBY38" s="25"/>
      <c r="VBZ38" s="25"/>
      <c r="VCA38" s="25"/>
      <c r="VCB38" s="25"/>
      <c r="VCC38" s="25"/>
      <c r="VCD38" s="25"/>
      <c r="VCE38" s="25"/>
      <c r="VCF38" s="25"/>
      <c r="VCG38" s="25"/>
      <c r="VCH38" s="25"/>
      <c r="VCI38" s="25"/>
      <c r="VCJ38" s="25"/>
      <c r="VCK38" s="25"/>
      <c r="VCL38" s="25"/>
      <c r="VCM38" s="25"/>
      <c r="VCN38" s="25"/>
      <c r="VCO38" s="25"/>
      <c r="VCP38" s="25"/>
      <c r="VCQ38" s="25"/>
      <c r="VCR38" s="25"/>
      <c r="VCS38" s="25"/>
      <c r="VCT38" s="25"/>
      <c r="VCU38" s="25"/>
      <c r="VCV38" s="25"/>
      <c r="VCW38" s="25"/>
      <c r="VCX38" s="25"/>
      <c r="VCY38" s="25"/>
      <c r="VCZ38" s="25"/>
      <c r="VDA38" s="25"/>
      <c r="VDB38" s="25"/>
      <c r="VDC38" s="25"/>
      <c r="VDD38" s="25"/>
      <c r="VDE38" s="25"/>
      <c r="VDF38" s="25"/>
      <c r="VDG38" s="25"/>
      <c r="VDH38" s="25"/>
      <c r="VDI38" s="25"/>
      <c r="VDJ38" s="25"/>
      <c r="VDK38" s="25"/>
      <c r="VDL38" s="25"/>
      <c r="VDM38" s="25"/>
      <c r="VDN38" s="25"/>
      <c r="VDO38" s="25"/>
      <c r="VDP38" s="25"/>
      <c r="VDQ38" s="25"/>
      <c r="VDR38" s="25"/>
      <c r="VDS38" s="25"/>
      <c r="VDT38" s="25"/>
      <c r="VDU38" s="25"/>
      <c r="VDV38" s="25"/>
      <c r="VDW38" s="25"/>
      <c r="VDX38" s="25"/>
      <c r="VDY38" s="25"/>
      <c r="VDZ38" s="25"/>
      <c r="VEA38" s="25"/>
      <c r="VEB38" s="25"/>
      <c r="VEC38" s="25"/>
      <c r="VED38" s="25"/>
      <c r="VEE38" s="25"/>
      <c r="VEF38" s="25"/>
      <c r="VEG38" s="25"/>
      <c r="VEH38" s="25"/>
      <c r="VEI38" s="25"/>
      <c r="VEJ38" s="25"/>
      <c r="VEK38" s="25"/>
      <c r="VEL38" s="25"/>
      <c r="VEM38" s="25"/>
      <c r="VEN38" s="25"/>
      <c r="VEO38" s="25"/>
      <c r="VEP38" s="25"/>
      <c r="VEQ38" s="25"/>
      <c r="VER38" s="25"/>
      <c r="VES38" s="25"/>
      <c r="VET38" s="25"/>
      <c r="VEU38" s="25"/>
      <c r="VEV38" s="25"/>
      <c r="VEW38" s="25"/>
      <c r="VEX38" s="25"/>
      <c r="VEY38" s="25"/>
      <c r="VEZ38" s="25"/>
      <c r="VFA38" s="25"/>
      <c r="VFB38" s="25"/>
      <c r="VFC38" s="25"/>
      <c r="VFD38" s="25"/>
      <c r="VFE38" s="25"/>
      <c r="VFF38" s="25"/>
      <c r="VFG38" s="25"/>
      <c r="VFH38" s="25"/>
      <c r="VFI38" s="25"/>
      <c r="VFJ38" s="25"/>
      <c r="VFK38" s="25"/>
      <c r="VFL38" s="25"/>
      <c r="VFM38" s="25"/>
      <c r="VFN38" s="25"/>
      <c r="VFO38" s="25"/>
      <c r="VFP38" s="25"/>
      <c r="VFQ38" s="25"/>
      <c r="VFR38" s="25"/>
      <c r="VFS38" s="25"/>
      <c r="VFT38" s="25"/>
      <c r="VFU38" s="25"/>
      <c r="VFV38" s="25"/>
      <c r="VFW38" s="25"/>
      <c r="VFX38" s="25"/>
      <c r="VFY38" s="25"/>
      <c r="VFZ38" s="25"/>
      <c r="VGA38" s="25"/>
      <c r="VGB38" s="25"/>
      <c r="VGC38" s="25"/>
      <c r="VGD38" s="25"/>
      <c r="VGE38" s="25"/>
      <c r="VGF38" s="25"/>
      <c r="VGG38" s="25"/>
      <c r="VGH38" s="25"/>
      <c r="VGI38" s="25"/>
      <c r="VGJ38" s="25"/>
      <c r="VGK38" s="25"/>
      <c r="VGL38" s="25"/>
      <c r="VGM38" s="25"/>
      <c r="VGN38" s="25"/>
      <c r="VGO38" s="25"/>
      <c r="VGP38" s="25"/>
      <c r="VGQ38" s="25"/>
      <c r="VGR38" s="25"/>
      <c r="VGS38" s="25"/>
      <c r="VGT38" s="25"/>
      <c r="VGU38" s="25"/>
      <c r="VGV38" s="25"/>
      <c r="VGW38" s="25"/>
      <c r="VGX38" s="25"/>
      <c r="VGY38" s="25"/>
      <c r="VGZ38" s="25"/>
      <c r="VHA38" s="25"/>
      <c r="VHB38" s="25"/>
      <c r="VHC38" s="25"/>
      <c r="VHD38" s="25"/>
      <c r="VHE38" s="25"/>
      <c r="VHF38" s="25"/>
      <c r="VHG38" s="25"/>
      <c r="VHH38" s="25"/>
      <c r="VHI38" s="25"/>
      <c r="VHJ38" s="25"/>
      <c r="VHK38" s="25"/>
      <c r="VHL38" s="25"/>
      <c r="VHM38" s="25"/>
      <c r="VHN38" s="25"/>
      <c r="VHO38" s="25"/>
      <c r="VHP38" s="25"/>
      <c r="VHQ38" s="25"/>
      <c r="VHR38" s="25"/>
      <c r="VHS38" s="25"/>
      <c r="VHT38" s="25"/>
      <c r="VHU38" s="25"/>
      <c r="VHV38" s="25"/>
      <c r="VHW38" s="25"/>
      <c r="VHX38" s="25"/>
      <c r="VHY38" s="25"/>
      <c r="VHZ38" s="25"/>
      <c r="VIA38" s="25"/>
      <c r="VIB38" s="25"/>
      <c r="VIC38" s="25"/>
      <c r="VID38" s="25"/>
      <c r="VIE38" s="25"/>
      <c r="VIF38" s="25"/>
      <c r="VIG38" s="25"/>
      <c r="VIH38" s="25"/>
      <c r="VII38" s="25"/>
      <c r="VIJ38" s="25"/>
      <c r="VIK38" s="25"/>
      <c r="VIL38" s="25"/>
      <c r="VIM38" s="25"/>
      <c r="VIN38" s="25"/>
      <c r="VIO38" s="25"/>
      <c r="VIP38" s="25"/>
      <c r="VIQ38" s="25"/>
      <c r="VIR38" s="25"/>
      <c r="VIS38" s="25"/>
      <c r="VIT38" s="25"/>
      <c r="VIU38" s="25"/>
      <c r="VIV38" s="25"/>
      <c r="VIW38" s="25"/>
      <c r="VIX38" s="25"/>
      <c r="VIY38" s="25"/>
      <c r="VIZ38" s="25"/>
      <c r="VJA38" s="25"/>
      <c r="VJB38" s="25"/>
      <c r="VJC38" s="25"/>
      <c r="VJD38" s="25"/>
      <c r="VJE38" s="25"/>
      <c r="VJF38" s="25"/>
      <c r="VJG38" s="25"/>
      <c r="VJH38" s="25"/>
      <c r="VJI38" s="25"/>
      <c r="VJJ38" s="25"/>
      <c r="VJK38" s="25"/>
      <c r="VJL38" s="25"/>
      <c r="VJM38" s="25"/>
      <c r="VJN38" s="25"/>
      <c r="VJO38" s="25"/>
      <c r="VJP38" s="25"/>
      <c r="VJQ38" s="25"/>
      <c r="VJR38" s="25"/>
      <c r="VJS38" s="25"/>
      <c r="VJT38" s="25"/>
      <c r="VJU38" s="25"/>
      <c r="VJV38" s="25"/>
      <c r="VJW38" s="25"/>
      <c r="VJX38" s="25"/>
      <c r="VJY38" s="25"/>
      <c r="VJZ38" s="25"/>
      <c r="VKA38" s="25"/>
      <c r="VKB38" s="25"/>
      <c r="VKC38" s="25"/>
      <c r="VKD38" s="25"/>
      <c r="VKE38" s="25"/>
      <c r="VKF38" s="25"/>
      <c r="VKG38" s="25"/>
      <c r="VKH38" s="25"/>
      <c r="VKI38" s="25"/>
      <c r="VKJ38" s="25"/>
      <c r="VKK38" s="25"/>
      <c r="VKL38" s="25"/>
      <c r="VKM38" s="25"/>
      <c r="VKN38" s="25"/>
      <c r="VKO38" s="25"/>
      <c r="VKP38" s="25"/>
      <c r="VKQ38" s="25"/>
      <c r="VKR38" s="25"/>
      <c r="VKS38" s="25"/>
      <c r="VKT38" s="25"/>
      <c r="VKU38" s="25"/>
      <c r="VKV38" s="25"/>
      <c r="VKW38" s="25"/>
      <c r="VKX38" s="25"/>
      <c r="VKY38" s="25"/>
      <c r="VKZ38" s="25"/>
      <c r="VLA38" s="25"/>
      <c r="VLB38" s="25"/>
      <c r="VLC38" s="25"/>
      <c r="VLD38" s="25"/>
      <c r="VLE38" s="25"/>
      <c r="VLF38" s="25"/>
      <c r="VLG38" s="25"/>
      <c r="VLH38" s="25"/>
      <c r="VLI38" s="25"/>
      <c r="VLJ38" s="25"/>
      <c r="VLK38" s="25"/>
      <c r="VLL38" s="25"/>
      <c r="VLM38" s="25"/>
      <c r="VLN38" s="25"/>
      <c r="VLO38" s="25"/>
      <c r="VLP38" s="25"/>
      <c r="VLQ38" s="25"/>
      <c r="VLR38" s="25"/>
      <c r="VLS38" s="25"/>
      <c r="VLT38" s="25"/>
      <c r="VLU38" s="25"/>
      <c r="VLV38" s="25"/>
      <c r="VLW38" s="25"/>
      <c r="VLX38" s="25"/>
      <c r="VLY38" s="25"/>
      <c r="VLZ38" s="25"/>
      <c r="VMA38" s="25"/>
      <c r="VMB38" s="25"/>
      <c r="VMC38" s="25"/>
      <c r="VMD38" s="25"/>
      <c r="VME38" s="25"/>
      <c r="VMF38" s="25"/>
      <c r="VMG38" s="25"/>
      <c r="VMH38" s="25"/>
      <c r="VMI38" s="25"/>
      <c r="VMJ38" s="25"/>
      <c r="VMK38" s="25"/>
      <c r="VML38" s="25"/>
      <c r="VMM38" s="25"/>
      <c r="VMN38" s="25"/>
      <c r="VMO38" s="25"/>
      <c r="VMP38" s="25"/>
      <c r="VMQ38" s="25"/>
      <c r="VMR38" s="25"/>
      <c r="VMS38" s="25"/>
      <c r="VMT38" s="25"/>
      <c r="VMU38" s="25"/>
      <c r="VMV38" s="25"/>
      <c r="VMW38" s="25"/>
      <c r="VMX38" s="25"/>
      <c r="VMY38" s="25"/>
      <c r="VMZ38" s="25"/>
      <c r="VNA38" s="25"/>
      <c r="VNB38" s="25"/>
      <c r="VNC38" s="25"/>
      <c r="VND38" s="25"/>
      <c r="VNE38" s="25"/>
      <c r="VNF38" s="25"/>
      <c r="VNG38" s="25"/>
      <c r="VNH38" s="25"/>
      <c r="VNI38" s="25"/>
      <c r="VNJ38" s="25"/>
      <c r="VNK38" s="25"/>
      <c r="VNL38" s="25"/>
      <c r="VNM38" s="25"/>
      <c r="VNN38" s="25"/>
      <c r="VNO38" s="25"/>
      <c r="VNP38" s="25"/>
      <c r="VNQ38" s="25"/>
      <c r="VNR38" s="25"/>
      <c r="VNS38" s="25"/>
      <c r="VNT38" s="25"/>
      <c r="VNU38" s="25"/>
      <c r="VNV38" s="25"/>
      <c r="VNW38" s="25"/>
      <c r="VNX38" s="25"/>
      <c r="VNY38" s="25"/>
      <c r="VNZ38" s="25"/>
      <c r="VOA38" s="25"/>
      <c r="VOB38" s="25"/>
      <c r="VOC38" s="25"/>
      <c r="VOD38" s="25"/>
      <c r="VOE38" s="25"/>
      <c r="VOF38" s="25"/>
      <c r="VOG38" s="25"/>
      <c r="VOH38" s="25"/>
      <c r="VOI38" s="25"/>
      <c r="VOJ38" s="25"/>
      <c r="VOK38" s="25"/>
      <c r="VOL38" s="25"/>
      <c r="VOM38" s="25"/>
      <c r="VON38" s="25"/>
      <c r="VOO38" s="25"/>
      <c r="VOP38" s="25"/>
      <c r="VOQ38" s="25"/>
      <c r="VOR38" s="25"/>
      <c r="VOS38" s="25"/>
      <c r="VOT38" s="25"/>
      <c r="VOU38" s="25"/>
      <c r="VOV38" s="25"/>
      <c r="VOW38" s="25"/>
      <c r="VOX38" s="25"/>
      <c r="VOY38" s="25"/>
      <c r="VOZ38" s="25"/>
      <c r="VPA38" s="25"/>
      <c r="VPB38" s="25"/>
      <c r="VPC38" s="25"/>
      <c r="VPD38" s="25"/>
      <c r="VPE38" s="25"/>
      <c r="VPF38" s="25"/>
      <c r="VPG38" s="25"/>
      <c r="VPH38" s="25"/>
      <c r="VPI38" s="25"/>
      <c r="VPJ38" s="25"/>
      <c r="VPK38" s="25"/>
      <c r="VPL38" s="25"/>
      <c r="VPM38" s="25"/>
      <c r="VPN38" s="25"/>
      <c r="VPO38" s="25"/>
      <c r="VPP38" s="25"/>
      <c r="VPQ38" s="25"/>
      <c r="VPR38" s="25"/>
      <c r="VPS38" s="25"/>
      <c r="VPT38" s="25"/>
      <c r="VPU38" s="25"/>
      <c r="VPV38" s="25"/>
      <c r="VPW38" s="25"/>
      <c r="VPX38" s="25"/>
      <c r="VPY38" s="25"/>
      <c r="VPZ38" s="25"/>
      <c r="VQA38" s="25"/>
      <c r="VQB38" s="25"/>
      <c r="VQC38" s="25"/>
      <c r="VQD38" s="25"/>
      <c r="VQE38" s="25"/>
      <c r="VQF38" s="25"/>
      <c r="VQG38" s="25"/>
      <c r="VQH38" s="25"/>
      <c r="VQI38" s="25"/>
      <c r="VQJ38" s="25"/>
      <c r="VQK38" s="25"/>
      <c r="VQL38" s="25"/>
      <c r="VQM38" s="25"/>
      <c r="VQN38" s="25"/>
      <c r="VQO38" s="25"/>
      <c r="VQP38" s="25"/>
      <c r="VQQ38" s="25"/>
      <c r="VQR38" s="25"/>
      <c r="VQS38" s="25"/>
      <c r="VQT38" s="25"/>
      <c r="VQU38" s="25"/>
      <c r="VQV38" s="25"/>
      <c r="VQW38" s="25"/>
      <c r="VQX38" s="25"/>
      <c r="VQY38" s="25"/>
      <c r="VQZ38" s="25"/>
      <c r="VRA38" s="25"/>
      <c r="VRB38" s="25"/>
      <c r="VRC38" s="25"/>
      <c r="VRD38" s="25"/>
      <c r="VRE38" s="25"/>
      <c r="VRF38" s="25"/>
      <c r="VRG38" s="25"/>
      <c r="VRH38" s="25"/>
      <c r="VRI38" s="25"/>
      <c r="VRJ38" s="25"/>
      <c r="VRK38" s="25"/>
      <c r="VRL38" s="25"/>
      <c r="VRM38" s="25"/>
      <c r="VRN38" s="25"/>
      <c r="VRO38" s="25"/>
      <c r="VRP38" s="25"/>
      <c r="VRQ38" s="25"/>
      <c r="VRR38" s="25"/>
      <c r="VRS38" s="25"/>
      <c r="VRT38" s="25"/>
      <c r="VRU38" s="25"/>
      <c r="VRV38" s="25"/>
      <c r="VRW38" s="25"/>
      <c r="VRX38" s="25"/>
      <c r="VRY38" s="25"/>
      <c r="VRZ38" s="25"/>
      <c r="VSA38" s="25"/>
      <c r="VSB38" s="25"/>
      <c r="VSC38" s="25"/>
      <c r="VSD38" s="25"/>
      <c r="VSE38" s="25"/>
      <c r="VSF38" s="25"/>
      <c r="VSG38" s="25"/>
      <c r="VSH38" s="25"/>
      <c r="VSI38" s="25"/>
      <c r="VSJ38" s="25"/>
      <c r="VSK38" s="25"/>
      <c r="VSL38" s="25"/>
      <c r="VSM38" s="25"/>
      <c r="VSN38" s="25"/>
      <c r="VSO38" s="25"/>
      <c r="VSP38" s="25"/>
      <c r="VSQ38" s="25"/>
      <c r="VSR38" s="25"/>
      <c r="VSS38" s="25"/>
      <c r="VST38" s="25"/>
      <c r="VSU38" s="25"/>
      <c r="VSV38" s="25"/>
      <c r="VSW38" s="25"/>
      <c r="VSX38" s="25"/>
      <c r="VSY38" s="25"/>
      <c r="VSZ38" s="25"/>
      <c r="VTA38" s="25"/>
      <c r="VTB38" s="25"/>
      <c r="VTC38" s="25"/>
      <c r="VTD38" s="25"/>
      <c r="VTE38" s="25"/>
      <c r="VTF38" s="25"/>
      <c r="VTG38" s="25"/>
      <c r="VTH38" s="25"/>
      <c r="VTI38" s="25"/>
      <c r="VTJ38" s="25"/>
      <c r="VTK38" s="25"/>
      <c r="VTL38" s="25"/>
      <c r="VTM38" s="25"/>
      <c r="VTN38" s="25"/>
      <c r="VTO38" s="25"/>
      <c r="VTP38" s="25"/>
      <c r="VTQ38" s="25"/>
      <c r="VTR38" s="25"/>
      <c r="VTS38" s="25"/>
      <c r="VTT38" s="25"/>
      <c r="VTU38" s="25"/>
      <c r="VTV38" s="25"/>
      <c r="VTW38" s="25"/>
      <c r="VTX38" s="25"/>
      <c r="VTY38" s="25"/>
      <c r="VTZ38" s="25"/>
      <c r="VUA38" s="25"/>
      <c r="VUB38" s="25"/>
      <c r="VUC38" s="25"/>
      <c r="VUD38" s="25"/>
      <c r="VUE38" s="25"/>
      <c r="VUF38" s="25"/>
      <c r="VUG38" s="25"/>
      <c r="VUH38" s="25"/>
      <c r="VUI38" s="25"/>
      <c r="VUJ38" s="25"/>
      <c r="VUK38" s="25"/>
      <c r="VUL38" s="25"/>
      <c r="VUM38" s="25"/>
      <c r="VUN38" s="25"/>
      <c r="VUO38" s="25"/>
      <c r="VUP38" s="25"/>
      <c r="VUQ38" s="25"/>
      <c r="VUR38" s="25"/>
      <c r="VUS38" s="25"/>
      <c r="VUT38" s="25"/>
      <c r="VUU38" s="25"/>
      <c r="VUV38" s="25"/>
      <c r="VUW38" s="25"/>
      <c r="VUX38" s="25"/>
      <c r="VUY38" s="25"/>
      <c r="VUZ38" s="25"/>
      <c r="VVA38" s="25"/>
      <c r="VVB38" s="25"/>
      <c r="VVC38" s="25"/>
      <c r="VVD38" s="25"/>
      <c r="VVE38" s="25"/>
      <c r="VVF38" s="25"/>
      <c r="VVG38" s="25"/>
      <c r="VVH38" s="25"/>
      <c r="VVI38" s="25"/>
      <c r="VVJ38" s="25"/>
      <c r="VVK38" s="25"/>
      <c r="VVL38" s="25"/>
      <c r="VVM38" s="25"/>
      <c r="VVN38" s="25"/>
      <c r="VVO38" s="25"/>
      <c r="VVP38" s="25"/>
      <c r="VVQ38" s="25"/>
      <c r="VVR38" s="25"/>
      <c r="VVS38" s="25"/>
      <c r="VVT38" s="25"/>
      <c r="VVU38" s="25"/>
      <c r="VVV38" s="25"/>
      <c r="VVW38" s="25"/>
      <c r="VVX38" s="25"/>
      <c r="VVY38" s="25"/>
      <c r="VVZ38" s="25"/>
      <c r="VWA38" s="25"/>
      <c r="VWB38" s="25"/>
      <c r="VWC38" s="25"/>
      <c r="VWD38" s="25"/>
      <c r="VWE38" s="25"/>
      <c r="VWF38" s="25"/>
      <c r="VWG38" s="25"/>
      <c r="VWH38" s="25"/>
      <c r="VWI38" s="25"/>
      <c r="VWJ38" s="25"/>
      <c r="VWK38" s="25"/>
      <c r="VWL38" s="25"/>
      <c r="VWM38" s="25"/>
      <c r="VWN38" s="25"/>
      <c r="VWO38" s="25"/>
      <c r="VWP38" s="25"/>
      <c r="VWQ38" s="25"/>
      <c r="VWR38" s="25"/>
      <c r="VWS38" s="25"/>
      <c r="VWT38" s="25"/>
      <c r="VWU38" s="25"/>
      <c r="VWV38" s="25"/>
      <c r="VWW38" s="25"/>
      <c r="VWX38" s="25"/>
      <c r="VWY38" s="25"/>
      <c r="VWZ38" s="25"/>
      <c r="VXA38" s="25"/>
      <c r="VXB38" s="25"/>
      <c r="VXC38" s="25"/>
      <c r="VXD38" s="25"/>
      <c r="VXE38" s="25"/>
      <c r="VXF38" s="25"/>
      <c r="VXG38" s="25"/>
      <c r="VXH38" s="25"/>
      <c r="VXI38" s="25"/>
      <c r="VXJ38" s="25"/>
      <c r="VXK38" s="25"/>
      <c r="VXL38" s="25"/>
      <c r="VXM38" s="25"/>
      <c r="VXN38" s="25"/>
      <c r="VXO38" s="25"/>
      <c r="VXP38" s="25"/>
      <c r="VXQ38" s="25"/>
      <c r="VXR38" s="25"/>
      <c r="VXS38" s="25"/>
      <c r="VXT38" s="25"/>
      <c r="VXU38" s="25"/>
      <c r="VXV38" s="25"/>
      <c r="VXW38" s="25"/>
      <c r="VXX38" s="25"/>
      <c r="VXY38" s="25"/>
      <c r="VXZ38" s="25"/>
      <c r="VYA38" s="25"/>
      <c r="VYB38" s="25"/>
      <c r="VYC38" s="25"/>
      <c r="VYD38" s="25"/>
      <c r="VYE38" s="25"/>
      <c r="VYF38" s="25"/>
      <c r="VYG38" s="25"/>
      <c r="VYH38" s="25"/>
      <c r="VYI38" s="25"/>
      <c r="VYJ38" s="25"/>
      <c r="VYK38" s="25"/>
      <c r="VYL38" s="25"/>
      <c r="VYM38" s="25"/>
      <c r="VYN38" s="25"/>
      <c r="VYO38" s="25"/>
      <c r="VYP38" s="25"/>
      <c r="VYQ38" s="25"/>
      <c r="VYR38" s="25"/>
      <c r="VYS38" s="25"/>
      <c r="VYT38" s="25"/>
      <c r="VYU38" s="25"/>
      <c r="VYV38" s="25"/>
      <c r="VYW38" s="25"/>
      <c r="VYX38" s="25"/>
      <c r="VYY38" s="25"/>
      <c r="VYZ38" s="25"/>
      <c r="VZA38" s="25"/>
      <c r="VZB38" s="25"/>
      <c r="VZC38" s="25"/>
      <c r="VZD38" s="25"/>
      <c r="VZE38" s="25"/>
      <c r="VZF38" s="25"/>
      <c r="VZG38" s="25"/>
      <c r="VZH38" s="25"/>
      <c r="VZI38" s="25"/>
      <c r="VZJ38" s="25"/>
      <c r="VZK38" s="25"/>
      <c r="VZL38" s="25"/>
      <c r="VZM38" s="25"/>
      <c r="VZN38" s="25"/>
      <c r="VZO38" s="25"/>
      <c r="VZP38" s="25"/>
      <c r="VZQ38" s="25"/>
      <c r="VZR38" s="25"/>
      <c r="VZS38" s="25"/>
      <c r="VZT38" s="25"/>
      <c r="VZU38" s="25"/>
      <c r="VZV38" s="25"/>
      <c r="VZW38" s="25"/>
      <c r="VZX38" s="25"/>
      <c r="VZY38" s="25"/>
      <c r="VZZ38" s="25"/>
      <c r="WAA38" s="25"/>
      <c r="WAB38" s="25"/>
      <c r="WAC38" s="25"/>
      <c r="WAD38" s="25"/>
      <c r="WAE38" s="25"/>
      <c r="WAF38" s="25"/>
      <c r="WAG38" s="25"/>
      <c r="WAH38" s="25"/>
      <c r="WAI38" s="25"/>
      <c r="WAJ38" s="25"/>
      <c r="WAK38" s="25"/>
      <c r="WAL38" s="25"/>
      <c r="WAM38" s="25"/>
      <c r="WAN38" s="25"/>
      <c r="WAO38" s="25"/>
      <c r="WAP38" s="25"/>
      <c r="WAQ38" s="25"/>
      <c r="WAR38" s="25"/>
      <c r="WAS38" s="25"/>
      <c r="WAT38" s="25"/>
      <c r="WAU38" s="25"/>
      <c r="WAV38" s="25"/>
      <c r="WAW38" s="25"/>
      <c r="WAX38" s="25"/>
      <c r="WAY38" s="25"/>
      <c r="WAZ38" s="25"/>
      <c r="WBA38" s="25"/>
      <c r="WBB38" s="25"/>
      <c r="WBC38" s="25"/>
      <c r="WBD38" s="25"/>
      <c r="WBE38" s="25"/>
      <c r="WBF38" s="25"/>
      <c r="WBG38" s="25"/>
      <c r="WBH38" s="25"/>
      <c r="WBI38" s="25"/>
      <c r="WBJ38" s="25"/>
      <c r="WBK38" s="25"/>
      <c r="WBL38" s="25"/>
      <c r="WBM38" s="25"/>
      <c r="WBN38" s="25"/>
      <c r="WBO38" s="25"/>
      <c r="WBP38" s="25"/>
      <c r="WBQ38" s="25"/>
      <c r="WBR38" s="25"/>
      <c r="WBS38" s="25"/>
      <c r="WBT38" s="25"/>
      <c r="WBU38" s="25"/>
      <c r="WBV38" s="25"/>
      <c r="WBW38" s="25"/>
      <c r="WBX38" s="25"/>
      <c r="WBY38" s="25"/>
      <c r="WBZ38" s="25"/>
      <c r="WCA38" s="25"/>
      <c r="WCB38" s="25"/>
      <c r="WCC38" s="25"/>
      <c r="WCD38" s="25"/>
      <c r="WCE38" s="25"/>
      <c r="WCF38" s="25"/>
      <c r="WCG38" s="25"/>
      <c r="WCH38" s="25"/>
      <c r="WCI38" s="25"/>
      <c r="WCJ38" s="25"/>
      <c r="WCK38" s="25"/>
      <c r="WCL38" s="25"/>
      <c r="WCM38" s="25"/>
      <c r="WCN38" s="25"/>
      <c r="WCO38" s="25"/>
      <c r="WCP38" s="25"/>
      <c r="WCQ38" s="25"/>
      <c r="WCR38" s="25"/>
      <c r="WCS38" s="25"/>
      <c r="WCT38" s="25"/>
      <c r="WCU38" s="25"/>
      <c r="WCV38" s="25"/>
      <c r="WCW38" s="25"/>
      <c r="WCX38" s="25"/>
      <c r="WCY38" s="25"/>
      <c r="WCZ38" s="25"/>
      <c r="WDA38" s="25"/>
      <c r="WDB38" s="25"/>
      <c r="WDC38" s="25"/>
      <c r="WDD38" s="25"/>
      <c r="WDE38" s="25"/>
      <c r="WDF38" s="25"/>
      <c r="WDG38" s="25"/>
      <c r="WDH38" s="25"/>
      <c r="WDI38" s="25"/>
      <c r="WDJ38" s="25"/>
      <c r="WDK38" s="25"/>
      <c r="WDL38" s="25"/>
      <c r="WDM38" s="25"/>
      <c r="WDN38" s="25"/>
      <c r="WDO38" s="25"/>
      <c r="WDP38" s="25"/>
      <c r="WDQ38" s="25"/>
      <c r="WDR38" s="25"/>
      <c r="WDS38" s="25"/>
      <c r="WDT38" s="25"/>
      <c r="WDU38" s="25"/>
      <c r="WDV38" s="25"/>
      <c r="WDW38" s="25"/>
      <c r="WDX38" s="25"/>
      <c r="WDY38" s="25"/>
      <c r="WDZ38" s="25"/>
      <c r="WEA38" s="25"/>
      <c r="WEB38" s="25"/>
      <c r="WEC38" s="25"/>
      <c r="WED38" s="25"/>
      <c r="WEE38" s="25"/>
      <c r="WEF38" s="25"/>
      <c r="WEG38" s="25"/>
      <c r="WEH38" s="25"/>
      <c r="WEI38" s="25"/>
      <c r="WEJ38" s="25"/>
      <c r="WEK38" s="25"/>
      <c r="WEL38" s="25"/>
      <c r="WEM38" s="25"/>
      <c r="WEN38" s="25"/>
      <c r="WEO38" s="25"/>
      <c r="WEP38" s="25"/>
      <c r="WEQ38" s="25"/>
      <c r="WER38" s="25"/>
      <c r="WES38" s="25"/>
      <c r="WET38" s="25"/>
      <c r="WEU38" s="25"/>
      <c r="WEV38" s="25"/>
      <c r="WEW38" s="25"/>
      <c r="WEX38" s="25"/>
      <c r="WEY38" s="25"/>
      <c r="WEZ38" s="25"/>
      <c r="WFA38" s="25"/>
      <c r="WFB38" s="25"/>
      <c r="WFC38" s="25"/>
      <c r="WFD38" s="25"/>
      <c r="WFE38" s="25"/>
      <c r="WFF38" s="25"/>
      <c r="WFG38" s="25"/>
      <c r="WFH38" s="25"/>
      <c r="WFI38" s="25"/>
      <c r="WFJ38" s="25"/>
      <c r="WFK38" s="25"/>
      <c r="WFL38" s="25"/>
      <c r="WFM38" s="25"/>
      <c r="WFN38" s="25"/>
      <c r="WFO38" s="25"/>
      <c r="WFP38" s="25"/>
      <c r="WFQ38" s="25"/>
      <c r="WFR38" s="25"/>
      <c r="WFS38" s="25"/>
      <c r="WFT38" s="25"/>
      <c r="WFU38" s="25"/>
      <c r="WFV38" s="25"/>
      <c r="WFW38" s="25"/>
      <c r="WFX38" s="25"/>
      <c r="WFY38" s="25"/>
      <c r="WFZ38" s="25"/>
      <c r="WGA38" s="25"/>
      <c r="WGB38" s="25"/>
      <c r="WGC38" s="25"/>
      <c r="WGD38" s="25"/>
      <c r="WGE38" s="25"/>
      <c r="WGF38" s="25"/>
      <c r="WGG38" s="25"/>
      <c r="WGH38" s="25"/>
      <c r="WGI38" s="25"/>
      <c r="WGJ38" s="25"/>
      <c r="WGK38" s="25"/>
      <c r="WGL38" s="25"/>
      <c r="WGM38" s="25"/>
      <c r="WGN38" s="25"/>
      <c r="WGO38" s="25"/>
      <c r="WGP38" s="25"/>
      <c r="WGQ38" s="25"/>
      <c r="WGR38" s="25"/>
      <c r="WGS38" s="25"/>
      <c r="WGT38" s="25"/>
      <c r="WGU38" s="25"/>
      <c r="WGV38" s="25"/>
      <c r="WGW38" s="25"/>
      <c r="WGX38" s="25"/>
      <c r="WGY38" s="25"/>
      <c r="WGZ38" s="25"/>
      <c r="WHA38" s="25"/>
      <c r="WHB38" s="25"/>
      <c r="WHC38" s="25"/>
      <c r="WHD38" s="25"/>
      <c r="WHE38" s="25"/>
      <c r="WHF38" s="25"/>
      <c r="WHG38" s="25"/>
      <c r="WHH38" s="25"/>
      <c r="WHI38" s="25"/>
      <c r="WHJ38" s="25"/>
      <c r="WHK38" s="25"/>
      <c r="WHL38" s="25"/>
      <c r="WHM38" s="25"/>
      <c r="WHN38" s="25"/>
      <c r="WHO38" s="25"/>
      <c r="WHP38" s="25"/>
      <c r="WHQ38" s="25"/>
      <c r="WHR38" s="25"/>
      <c r="WHS38" s="25"/>
      <c r="WHT38" s="25"/>
      <c r="WHU38" s="25"/>
      <c r="WHV38" s="25"/>
      <c r="WHW38" s="25"/>
      <c r="WHX38" s="25"/>
      <c r="WHY38" s="25"/>
      <c r="WHZ38" s="25"/>
      <c r="WIA38" s="25"/>
      <c r="WIB38" s="25"/>
      <c r="WIC38" s="25"/>
      <c r="WID38" s="25"/>
      <c r="WIE38" s="25"/>
      <c r="WIF38" s="25"/>
      <c r="WIG38" s="25"/>
      <c r="WIH38" s="25"/>
      <c r="WII38" s="25"/>
      <c r="WIJ38" s="25"/>
      <c r="WIK38" s="25"/>
      <c r="WIL38" s="25"/>
      <c r="WIM38" s="25"/>
      <c r="WIN38" s="25"/>
      <c r="WIO38" s="25"/>
      <c r="WIP38" s="25"/>
      <c r="WIQ38" s="25"/>
      <c r="WIR38" s="25"/>
      <c r="WIS38" s="25"/>
      <c r="WIT38" s="25"/>
      <c r="WIU38" s="25"/>
      <c r="WIV38" s="25"/>
      <c r="WIW38" s="25"/>
      <c r="WIX38" s="25"/>
      <c r="WIY38" s="25"/>
      <c r="WIZ38" s="25"/>
      <c r="WJA38" s="25"/>
      <c r="WJB38" s="25"/>
      <c r="WJC38" s="25"/>
      <c r="WJD38" s="25"/>
      <c r="WJE38" s="25"/>
      <c r="WJF38" s="25"/>
      <c r="WJG38" s="25"/>
      <c r="WJH38" s="25"/>
      <c r="WJI38" s="25"/>
      <c r="WJJ38" s="25"/>
      <c r="WJK38" s="25"/>
      <c r="WJL38" s="25"/>
      <c r="WJM38" s="25"/>
      <c r="WJN38" s="25"/>
      <c r="WJO38" s="25"/>
      <c r="WJP38" s="25"/>
      <c r="WJQ38" s="25"/>
      <c r="WJR38" s="25"/>
      <c r="WJS38" s="25"/>
      <c r="WJT38" s="25"/>
      <c r="WJU38" s="25"/>
      <c r="WJV38" s="25"/>
      <c r="WJW38" s="25"/>
      <c r="WJX38" s="25"/>
      <c r="WJY38" s="25"/>
      <c r="WJZ38" s="25"/>
      <c r="WKA38" s="25"/>
      <c r="WKB38" s="25"/>
      <c r="WKC38" s="25"/>
      <c r="WKD38" s="25"/>
      <c r="WKE38" s="25"/>
      <c r="WKF38" s="25"/>
      <c r="WKG38" s="25"/>
      <c r="WKH38" s="25"/>
      <c r="WKI38" s="25"/>
      <c r="WKJ38" s="25"/>
      <c r="WKK38" s="25"/>
      <c r="WKL38" s="25"/>
      <c r="WKM38" s="25"/>
      <c r="WKN38" s="25"/>
      <c r="WKO38" s="25"/>
      <c r="WKP38" s="25"/>
      <c r="WKQ38" s="25"/>
      <c r="WKR38" s="25"/>
      <c r="WKS38" s="25"/>
      <c r="WKT38" s="25"/>
      <c r="WKU38" s="25"/>
      <c r="WKV38" s="25"/>
      <c r="WKW38" s="25"/>
      <c r="WKX38" s="25"/>
      <c r="WKY38" s="25"/>
      <c r="WKZ38" s="25"/>
      <c r="WLA38" s="25"/>
      <c r="WLB38" s="25"/>
      <c r="WLC38" s="25"/>
      <c r="WLD38" s="25"/>
      <c r="WLE38" s="25"/>
      <c r="WLF38" s="25"/>
      <c r="WLG38" s="25"/>
      <c r="WLH38" s="25"/>
      <c r="WLI38" s="25"/>
      <c r="WLJ38" s="25"/>
      <c r="WLK38" s="25"/>
      <c r="WLL38" s="25"/>
      <c r="WLM38" s="25"/>
      <c r="WLN38" s="25"/>
      <c r="WLO38" s="25"/>
      <c r="WLP38" s="25"/>
      <c r="WLQ38" s="25"/>
      <c r="WLR38" s="25"/>
      <c r="WLS38" s="25"/>
      <c r="WLT38" s="25"/>
      <c r="WLU38" s="25"/>
      <c r="WLV38" s="25"/>
      <c r="WLW38" s="25"/>
      <c r="WLX38" s="25"/>
      <c r="WLY38" s="25"/>
      <c r="WLZ38" s="25"/>
      <c r="WMA38" s="25"/>
      <c r="WMB38" s="25"/>
      <c r="WMC38" s="25"/>
      <c r="WMD38" s="25"/>
      <c r="WME38" s="25"/>
      <c r="WMF38" s="25"/>
      <c r="WMG38" s="25"/>
      <c r="WMH38" s="25"/>
      <c r="WMI38" s="25"/>
      <c r="WMJ38" s="25"/>
      <c r="WMK38" s="25"/>
      <c r="WML38" s="25"/>
      <c r="WMM38" s="25"/>
      <c r="WMN38" s="25"/>
      <c r="WMO38" s="25"/>
      <c r="WMP38" s="25"/>
      <c r="WMQ38" s="25"/>
      <c r="WMR38" s="25"/>
      <c r="WMS38" s="25"/>
      <c r="WMT38" s="25"/>
      <c r="WMU38" s="25"/>
      <c r="WMV38" s="25"/>
      <c r="WMW38" s="25"/>
      <c r="WMX38" s="25"/>
      <c r="WMY38" s="25"/>
      <c r="WMZ38" s="25"/>
      <c r="WNA38" s="25"/>
      <c r="WNB38" s="25"/>
      <c r="WNC38" s="25"/>
      <c r="WND38" s="25"/>
      <c r="WNE38" s="25"/>
      <c r="WNF38" s="25"/>
      <c r="WNG38" s="25"/>
      <c r="WNH38" s="25"/>
      <c r="WNI38" s="25"/>
      <c r="WNJ38" s="25"/>
      <c r="WNK38" s="25"/>
      <c r="WNL38" s="25"/>
      <c r="WNM38" s="25"/>
      <c r="WNN38" s="25"/>
      <c r="WNO38" s="25"/>
      <c r="WNP38" s="25"/>
      <c r="WNQ38" s="25"/>
      <c r="WNR38" s="25"/>
      <c r="WNS38" s="25"/>
      <c r="WNT38" s="25"/>
      <c r="WNU38" s="25"/>
      <c r="WNV38" s="25"/>
      <c r="WNW38" s="25"/>
      <c r="WNX38" s="25"/>
      <c r="WNY38" s="25"/>
      <c r="WNZ38" s="25"/>
      <c r="WOA38" s="25"/>
      <c r="WOB38" s="25"/>
      <c r="WOC38" s="25"/>
      <c r="WOD38" s="25"/>
      <c r="WOE38" s="25"/>
      <c r="WOF38" s="25"/>
      <c r="WOG38" s="25"/>
      <c r="WOH38" s="25"/>
      <c r="WOI38" s="25"/>
      <c r="WOJ38" s="25"/>
      <c r="WOK38" s="25"/>
      <c r="WOL38" s="25"/>
      <c r="WOM38" s="25"/>
      <c r="WON38" s="25"/>
      <c r="WOO38" s="25"/>
      <c r="WOP38" s="25"/>
      <c r="WOQ38" s="25"/>
      <c r="WOR38" s="25"/>
      <c r="WOS38" s="25"/>
      <c r="WOT38" s="25"/>
      <c r="WOU38" s="25"/>
      <c r="WOV38" s="25"/>
      <c r="WOW38" s="25"/>
      <c r="WOX38" s="25"/>
      <c r="WOY38" s="25"/>
      <c r="WOZ38" s="25"/>
      <c r="WPA38" s="25"/>
      <c r="WPB38" s="25"/>
      <c r="WPC38" s="25"/>
      <c r="WPD38" s="25"/>
      <c r="WPE38" s="25"/>
      <c r="WPF38" s="25"/>
      <c r="WPG38" s="25"/>
      <c r="WPH38" s="25"/>
      <c r="WPI38" s="25"/>
      <c r="WPJ38" s="25"/>
      <c r="WPK38" s="25"/>
      <c r="WPL38" s="25"/>
      <c r="WPM38" s="25"/>
      <c r="WPN38" s="25"/>
      <c r="WPO38" s="25"/>
      <c r="WPP38" s="25"/>
      <c r="WPQ38" s="25"/>
      <c r="WPR38" s="25"/>
      <c r="WPS38" s="25"/>
      <c r="WPT38" s="25"/>
      <c r="WPU38" s="25"/>
      <c r="WPV38" s="25"/>
      <c r="WPW38" s="25"/>
      <c r="WPX38" s="25"/>
      <c r="WPY38" s="25"/>
      <c r="WPZ38" s="25"/>
      <c r="WQA38" s="25"/>
      <c r="WQB38" s="25"/>
      <c r="WQC38" s="25"/>
      <c r="WQD38" s="25"/>
      <c r="WQE38" s="25"/>
      <c r="WQF38" s="25"/>
      <c r="WQG38" s="25"/>
      <c r="WQH38" s="25"/>
      <c r="WQI38" s="25"/>
      <c r="WQJ38" s="25"/>
      <c r="WQK38" s="25"/>
      <c r="WQL38" s="25"/>
      <c r="WQM38" s="25"/>
      <c r="WQN38" s="25"/>
      <c r="WQO38" s="25"/>
      <c r="WQP38" s="25"/>
      <c r="WQQ38" s="25"/>
      <c r="WQR38" s="25"/>
      <c r="WQS38" s="25"/>
      <c r="WQT38" s="25"/>
      <c r="WQU38" s="25"/>
      <c r="WQV38" s="25"/>
      <c r="WQW38" s="25"/>
      <c r="WQX38" s="25"/>
      <c r="WQY38" s="25"/>
      <c r="WQZ38" s="25"/>
      <c r="WRA38" s="25"/>
      <c r="WRB38" s="25"/>
      <c r="WRC38" s="25"/>
      <c r="WRD38" s="25"/>
      <c r="WRE38" s="25"/>
      <c r="WRF38" s="25"/>
      <c r="WRG38" s="25"/>
      <c r="WRH38" s="25"/>
      <c r="WRI38" s="25"/>
      <c r="WRJ38" s="25"/>
      <c r="WRK38" s="25"/>
      <c r="WRL38" s="25"/>
      <c r="WRM38" s="25"/>
      <c r="WRN38" s="25"/>
      <c r="WRO38" s="25"/>
      <c r="WRP38" s="25"/>
      <c r="WRQ38" s="25"/>
      <c r="WRR38" s="25"/>
      <c r="WRS38" s="25"/>
      <c r="WRT38" s="25"/>
      <c r="WRU38" s="25"/>
      <c r="WRV38" s="25"/>
      <c r="WRW38" s="25"/>
      <c r="WRX38" s="25"/>
      <c r="WRY38" s="25"/>
      <c r="WRZ38" s="25"/>
      <c r="WSA38" s="25"/>
      <c r="WSB38" s="25"/>
      <c r="WSC38" s="25"/>
      <c r="WSD38" s="25"/>
      <c r="WSE38" s="25"/>
      <c r="WSF38" s="25"/>
      <c r="WSG38" s="25"/>
      <c r="WSH38" s="25"/>
      <c r="WSI38" s="25"/>
      <c r="WSJ38" s="25"/>
      <c r="WSK38" s="25"/>
      <c r="WSL38" s="25"/>
      <c r="WSM38" s="25"/>
      <c r="WSN38" s="25"/>
      <c r="WSO38" s="25"/>
      <c r="WSP38" s="25"/>
      <c r="WSQ38" s="25"/>
      <c r="WSR38" s="25"/>
      <c r="WSS38" s="25"/>
      <c r="WST38" s="25"/>
      <c r="WSU38" s="25"/>
      <c r="WSV38" s="25"/>
      <c r="WSW38" s="25"/>
      <c r="WSX38" s="25"/>
      <c r="WSY38" s="25"/>
      <c r="WSZ38" s="25"/>
      <c r="WTA38" s="25"/>
      <c r="WTB38" s="25"/>
      <c r="WTC38" s="25"/>
      <c r="WTD38" s="25"/>
      <c r="WTE38" s="25"/>
      <c r="WTF38" s="25"/>
      <c r="WTG38" s="25"/>
      <c r="WTH38" s="25"/>
      <c r="WTI38" s="25"/>
      <c r="WTJ38" s="25"/>
      <c r="WTK38" s="25"/>
      <c r="WTL38" s="25"/>
      <c r="WTM38" s="25"/>
      <c r="WTN38" s="25"/>
      <c r="WTO38" s="25"/>
      <c r="WTP38" s="25"/>
      <c r="WTQ38" s="25"/>
      <c r="WTR38" s="25"/>
      <c r="WTS38" s="25"/>
      <c r="WTT38" s="25"/>
      <c r="WTU38" s="25"/>
      <c r="WTV38" s="25"/>
      <c r="WTW38" s="25"/>
      <c r="WTX38" s="25"/>
      <c r="WTY38" s="25"/>
      <c r="WTZ38" s="25"/>
      <c r="WUA38" s="25"/>
      <c r="WUB38" s="25"/>
      <c r="WUC38" s="25"/>
      <c r="WUD38" s="25"/>
      <c r="WUE38" s="25"/>
      <c r="WUF38" s="25"/>
      <c r="WUG38" s="25"/>
      <c r="WUH38" s="25"/>
      <c r="WUI38" s="25"/>
      <c r="WUJ38" s="25"/>
      <c r="WUK38" s="25"/>
      <c r="WUL38" s="25"/>
      <c r="WUM38" s="25"/>
      <c r="WUN38" s="25"/>
      <c r="WUO38" s="25"/>
      <c r="WUP38" s="25"/>
      <c r="WUQ38" s="25"/>
      <c r="WUR38" s="25"/>
      <c r="WUS38" s="25"/>
      <c r="WUT38" s="25"/>
      <c r="WUU38" s="25"/>
      <c r="WUV38" s="25"/>
      <c r="WUW38" s="25"/>
      <c r="WUX38" s="25"/>
      <c r="WUY38" s="25"/>
      <c r="WUZ38" s="25"/>
      <c r="WVA38" s="25"/>
      <c r="WVB38" s="25"/>
      <c r="WVC38" s="25"/>
      <c r="WVD38" s="25"/>
      <c r="WVE38" s="25"/>
      <c r="WVF38" s="25"/>
      <c r="WVG38" s="25"/>
      <c r="WVH38" s="25"/>
      <c r="WVI38" s="25"/>
      <c r="WVJ38" s="25"/>
      <c r="WVK38" s="25"/>
      <c r="WVL38" s="25"/>
      <c r="WVM38" s="25"/>
      <c r="WVN38" s="25"/>
      <c r="WVO38" s="25"/>
      <c r="WVP38" s="25"/>
      <c r="WVQ38" s="25"/>
      <c r="WVR38" s="25"/>
      <c r="WVS38" s="25"/>
      <c r="WVT38" s="25"/>
      <c r="WVU38" s="25"/>
      <c r="WVV38" s="25"/>
      <c r="WVW38" s="25"/>
      <c r="WVX38" s="25"/>
      <c r="WVY38" s="25"/>
      <c r="WVZ38" s="25"/>
      <c r="WWA38" s="25"/>
      <c r="WWB38" s="25"/>
      <c r="WWC38" s="25"/>
      <c r="WWD38" s="25"/>
      <c r="WWE38" s="25"/>
      <c r="WWF38" s="25"/>
      <c r="WWG38" s="25"/>
      <c r="WWH38" s="25"/>
      <c r="WWI38" s="25"/>
      <c r="WWJ38" s="25"/>
      <c r="WWK38" s="25"/>
      <c r="WWL38" s="25"/>
      <c r="WWM38" s="25"/>
      <c r="WWN38" s="25"/>
      <c r="WWO38" s="25"/>
      <c r="WWP38" s="25"/>
      <c r="WWQ38" s="25"/>
      <c r="WWR38" s="25"/>
      <c r="WWS38" s="25"/>
      <c r="WWT38" s="25"/>
      <c r="WWU38" s="25"/>
      <c r="WWV38" s="25"/>
      <c r="WWW38" s="25"/>
      <c r="WWX38" s="25"/>
      <c r="WWY38" s="25"/>
      <c r="WWZ38" s="25"/>
      <c r="WXA38" s="25"/>
      <c r="WXB38" s="25"/>
      <c r="WXC38" s="25"/>
      <c r="WXD38" s="25"/>
      <c r="WXE38" s="25"/>
      <c r="WXF38" s="25"/>
      <c r="WXG38" s="25"/>
      <c r="WXH38" s="25"/>
      <c r="WXI38" s="25"/>
      <c r="WXJ38" s="25"/>
      <c r="WXK38" s="25"/>
      <c r="WXL38" s="25"/>
      <c r="WXM38" s="25"/>
      <c r="WXN38" s="25"/>
      <c r="WXO38" s="25"/>
      <c r="WXP38" s="25"/>
      <c r="WXQ38" s="25"/>
      <c r="WXR38" s="25"/>
      <c r="WXS38" s="25"/>
      <c r="WXT38" s="25"/>
      <c r="WXU38" s="25"/>
      <c r="WXV38" s="25"/>
      <c r="WXW38" s="25"/>
      <c r="WXX38" s="25"/>
      <c r="WXY38" s="25"/>
      <c r="WXZ38" s="25"/>
      <c r="WYA38" s="25"/>
      <c r="WYB38" s="25"/>
      <c r="WYC38" s="25"/>
      <c r="WYD38" s="25"/>
      <c r="WYE38" s="25"/>
      <c r="WYF38" s="25"/>
      <c r="WYG38" s="25"/>
      <c r="WYH38" s="25"/>
      <c r="WYI38" s="25"/>
      <c r="WYJ38" s="25"/>
      <c r="WYK38" s="25"/>
      <c r="WYL38" s="25"/>
      <c r="WYM38" s="25"/>
      <c r="WYN38" s="25"/>
      <c r="WYO38" s="25"/>
      <c r="WYP38" s="25"/>
      <c r="WYQ38" s="25"/>
      <c r="WYR38" s="25"/>
      <c r="WYS38" s="25"/>
      <c r="WYT38" s="25"/>
      <c r="WYU38" s="25"/>
      <c r="WYV38" s="25"/>
      <c r="WYW38" s="25"/>
      <c r="WYX38" s="25"/>
      <c r="WYY38" s="25"/>
      <c r="WYZ38" s="25"/>
      <c r="WZA38" s="25"/>
      <c r="WZB38" s="25"/>
      <c r="WZC38" s="25"/>
      <c r="WZD38" s="25"/>
      <c r="WZE38" s="25"/>
      <c r="WZF38" s="25"/>
      <c r="WZG38" s="25"/>
      <c r="WZH38" s="25"/>
      <c r="WZI38" s="25"/>
      <c r="WZJ38" s="25"/>
      <c r="WZK38" s="25"/>
      <c r="WZL38" s="25"/>
      <c r="WZM38" s="25"/>
      <c r="WZN38" s="25"/>
      <c r="WZO38" s="25"/>
      <c r="WZP38" s="25"/>
      <c r="WZQ38" s="25"/>
      <c r="WZR38" s="25"/>
      <c r="WZS38" s="25"/>
      <c r="WZT38" s="25"/>
      <c r="WZU38" s="25"/>
      <c r="WZV38" s="25"/>
      <c r="WZW38" s="25"/>
      <c r="WZX38" s="25"/>
      <c r="WZY38" s="25"/>
      <c r="WZZ38" s="25"/>
      <c r="XAA38" s="25"/>
      <c r="XAB38" s="25"/>
      <c r="XAC38" s="25"/>
      <c r="XAD38" s="25"/>
      <c r="XAE38" s="25"/>
      <c r="XAF38" s="25"/>
      <c r="XAG38" s="25"/>
      <c r="XAH38" s="25"/>
      <c r="XAI38" s="25"/>
      <c r="XAJ38" s="25"/>
      <c r="XAK38" s="25"/>
      <c r="XAL38" s="25"/>
      <c r="XAM38" s="25"/>
      <c r="XAN38" s="25"/>
      <c r="XAO38" s="25"/>
      <c r="XAP38" s="25"/>
      <c r="XAQ38" s="25"/>
      <c r="XAR38" s="25"/>
      <c r="XAS38" s="25"/>
      <c r="XAT38" s="25"/>
      <c r="XAU38" s="25"/>
      <c r="XAV38" s="25"/>
      <c r="XAW38" s="25"/>
      <c r="XAX38" s="25"/>
      <c r="XAY38" s="25"/>
      <c r="XAZ38" s="25"/>
      <c r="XBA38" s="25"/>
      <c r="XBB38" s="25"/>
      <c r="XBC38" s="25"/>
      <c r="XBD38" s="25"/>
      <c r="XBE38" s="25"/>
      <c r="XBF38" s="25"/>
      <c r="XBG38" s="25"/>
      <c r="XBH38" s="25"/>
      <c r="XBI38" s="25"/>
      <c r="XBJ38" s="25"/>
      <c r="XBK38" s="25"/>
      <c r="XBL38" s="25"/>
      <c r="XBM38" s="25"/>
      <c r="XBN38" s="25"/>
      <c r="XBO38" s="25"/>
      <c r="XBP38" s="25"/>
      <c r="XBQ38" s="25"/>
      <c r="XBR38" s="25"/>
      <c r="XBS38" s="25"/>
      <c r="XBT38" s="25"/>
      <c r="XBU38" s="25"/>
      <c r="XBV38" s="25"/>
      <c r="XBW38" s="25"/>
      <c r="XBX38" s="25"/>
      <c r="XBY38" s="25"/>
      <c r="XBZ38" s="25"/>
      <c r="XCA38" s="25"/>
      <c r="XCB38" s="25"/>
      <c r="XCC38" s="25"/>
      <c r="XCD38" s="25"/>
      <c r="XCE38" s="25"/>
      <c r="XCF38" s="25"/>
      <c r="XCG38" s="25"/>
      <c r="XCH38" s="25"/>
      <c r="XCI38" s="25"/>
      <c r="XCJ38" s="25"/>
      <c r="XCK38" s="25"/>
      <c r="XCL38" s="25"/>
      <c r="XCM38" s="25"/>
      <c r="XCN38" s="25"/>
      <c r="XCO38" s="25"/>
      <c r="XCP38" s="25"/>
      <c r="XCQ38" s="25"/>
      <c r="XCR38" s="25"/>
      <c r="XCS38" s="25"/>
      <c r="XCT38" s="25"/>
      <c r="XCU38" s="25"/>
      <c r="XCV38" s="25"/>
      <c r="XCW38" s="25"/>
      <c r="XCX38" s="25"/>
      <c r="XCY38" s="25"/>
      <c r="XCZ38" s="25"/>
      <c r="XDA38" s="25"/>
      <c r="XDB38" s="25"/>
      <c r="XDC38" s="25"/>
      <c r="XDD38" s="25"/>
      <c r="XDE38" s="25"/>
      <c r="XDF38" s="25"/>
      <c r="XDG38" s="25"/>
      <c r="XDH38" s="25"/>
      <c r="XDI38" s="25"/>
      <c r="XDJ38" s="25"/>
      <c r="XDK38" s="25"/>
      <c r="XDL38" s="25"/>
      <c r="XDM38" s="25"/>
      <c r="XDN38" s="25"/>
      <c r="XDO38" s="25"/>
      <c r="XDP38" s="25"/>
      <c r="XDQ38" s="25"/>
      <c r="XDR38" s="25"/>
      <c r="XDS38" s="25"/>
      <c r="XDT38" s="25"/>
      <c r="XDU38" s="25"/>
      <c r="XDV38" s="25"/>
      <c r="XDW38" s="25"/>
      <c r="XDX38" s="25"/>
      <c r="XDY38" s="25"/>
      <c r="XDZ38" s="25"/>
      <c r="XEA38" s="25"/>
      <c r="XEB38" s="25"/>
      <c r="XEC38" s="25"/>
      <c r="XED38" s="25"/>
      <c r="XEE38" s="25"/>
      <c r="XEF38" s="25"/>
      <c r="XEG38" s="25"/>
      <c r="XEH38" s="25"/>
      <c r="XEI38" s="25"/>
      <c r="XEJ38" s="25"/>
      <c r="XEK38" s="25"/>
      <c r="XEL38" s="25"/>
    </row>
    <row r="39" spans="1:16366" s="28" customFormat="1">
      <c r="A39" s="217"/>
      <c r="B39" s="273"/>
      <c r="C39" s="238"/>
      <c r="D39" s="377"/>
      <c r="G39" s="370"/>
      <c r="H39" s="370"/>
      <c r="J39" s="370"/>
      <c r="K39" s="370"/>
      <c r="M39" s="370"/>
      <c r="N39" s="370"/>
      <c r="P39" s="370"/>
      <c r="Q39" s="370"/>
      <c r="S39" s="370"/>
      <c r="T39" s="370"/>
      <c r="V39" s="370"/>
      <c r="W39" s="370"/>
      <c r="Y39" s="370"/>
      <c r="Z39" s="370"/>
      <c r="AB39" s="370"/>
      <c r="AC39" s="370"/>
      <c r="AE39" s="370"/>
      <c r="AF39" s="370"/>
      <c r="AH39" s="370"/>
      <c r="AI39" s="370"/>
      <c r="AJ39" s="25"/>
      <c r="AK39" s="370"/>
      <c r="AL39" s="370"/>
      <c r="AM39" s="370"/>
    </row>
    <row r="40" spans="1:16366" s="28" customFormat="1">
      <c r="A40" s="217"/>
      <c r="B40" s="28" t="s">
        <v>1105</v>
      </c>
      <c r="C40" s="238" t="s">
        <v>1152</v>
      </c>
      <c r="D40" s="378"/>
      <c r="E40" s="208"/>
      <c r="F40" s="208"/>
      <c r="G40" s="371"/>
      <c r="H40" s="393"/>
      <c r="I40" s="208"/>
      <c r="J40" s="393"/>
      <c r="K40" s="393"/>
      <c r="L40" s="208"/>
      <c r="M40" s="393"/>
      <c r="N40" s="393"/>
      <c r="O40" s="208"/>
      <c r="P40" s="393"/>
      <c r="Q40" s="393"/>
      <c r="R40" s="208"/>
      <c r="S40" s="393"/>
      <c r="T40" s="393"/>
      <c r="U40" s="208"/>
      <c r="V40" s="393"/>
      <c r="W40" s="393"/>
      <c r="X40" s="208"/>
      <c r="Y40" s="393"/>
      <c r="Z40" s="393"/>
      <c r="AA40" s="208"/>
      <c r="AB40" s="393">
        <v>10.7</v>
      </c>
      <c r="AC40" s="393"/>
      <c r="AD40" s="208"/>
      <c r="AE40" s="546">
        <v>13</v>
      </c>
      <c r="AF40" s="393">
        <v>13.2</v>
      </c>
      <c r="AG40" s="208"/>
      <c r="AH40" s="546">
        <v>14.436999999999999</v>
      </c>
      <c r="AI40" s="548">
        <f>+AVERAGE(AH40,AK40)</f>
        <v>16.602550000000001</v>
      </c>
      <c r="AJ40" s="565">
        <f>+AK40</f>
        <v>18.7681</v>
      </c>
      <c r="AK40" s="371">
        <f>+AH40*(1+AK42)</f>
        <v>18.7681</v>
      </c>
      <c r="AL40" s="371">
        <f t="shared" ref="AL40" si="72">+AK40*(1+AL42)</f>
        <v>23.460125000000001</v>
      </c>
      <c r="AM40" s="371">
        <f t="shared" ref="AM40" si="73">+AL40*(1+AM42)</f>
        <v>29.090555000000002</v>
      </c>
    </row>
    <row r="41" spans="1:16366" s="28" customFormat="1">
      <c r="A41" s="217"/>
      <c r="B41" s="437" t="s">
        <v>1101</v>
      </c>
      <c r="C41" s="271" t="s">
        <v>1104</v>
      </c>
      <c r="D41" s="379"/>
      <c r="E41" s="284"/>
      <c r="F41" s="221"/>
      <c r="G41" s="284"/>
      <c r="H41" s="284"/>
      <c r="I41" s="221"/>
      <c r="J41" s="284"/>
      <c r="K41" s="284"/>
      <c r="L41" s="221"/>
      <c r="M41" s="284"/>
      <c r="N41" s="284"/>
      <c r="O41" s="221"/>
      <c r="P41" s="284"/>
      <c r="Q41" s="284"/>
      <c r="R41" s="221"/>
      <c r="S41" s="284"/>
      <c r="T41" s="284"/>
      <c r="U41" s="221"/>
      <c r="V41" s="284"/>
      <c r="W41" s="284"/>
      <c r="X41" s="221"/>
      <c r="Y41" s="284"/>
      <c r="Z41" s="284"/>
      <c r="AA41" s="221"/>
      <c r="AB41" s="284"/>
      <c r="AC41" s="284"/>
      <c r="AD41" s="221"/>
      <c r="AE41" s="540">
        <f t="shared" ref="AE41" si="74">AE40/AB40-1</f>
        <v>0.21495327102803752</v>
      </c>
      <c r="AF41" s="284"/>
      <c r="AG41" s="221"/>
      <c r="AH41" s="540">
        <f t="shared" ref="AH41" si="75">AH40/AE40-1</f>
        <v>0.11053846153846147</v>
      </c>
      <c r="AI41" s="398"/>
      <c r="AJ41" s="221"/>
      <c r="AK41" s="398">
        <f>AK40/AH40-1</f>
        <v>0.30000000000000004</v>
      </c>
      <c r="AL41" s="398">
        <f t="shared" ref="AL41" si="76">AL40/AK40-1</f>
        <v>0.25</v>
      </c>
      <c r="AM41" s="398">
        <f t="shared" ref="AM41" si="77">AM40/AL40-1</f>
        <v>0.24</v>
      </c>
    </row>
    <row r="42" spans="1:16366" s="28" customFormat="1">
      <c r="A42" s="217"/>
      <c r="B42" s="437" t="s">
        <v>1102</v>
      </c>
      <c r="C42" s="271" t="s">
        <v>1104</v>
      </c>
      <c r="D42" s="379"/>
      <c r="E42" s="284"/>
      <c r="F42" s="221"/>
      <c r="G42" s="284"/>
      <c r="H42" s="284"/>
      <c r="I42" s="221"/>
      <c r="J42" s="284"/>
      <c r="K42" s="284"/>
      <c r="L42" s="221"/>
      <c r="M42" s="284"/>
      <c r="N42" s="284"/>
      <c r="O42" s="221"/>
      <c r="P42" s="284"/>
      <c r="Q42" s="284"/>
      <c r="R42" s="221"/>
      <c r="S42" s="284"/>
      <c r="T42" s="284"/>
      <c r="U42" s="221"/>
      <c r="V42" s="284"/>
      <c r="W42" s="284"/>
      <c r="X42" s="221"/>
      <c r="Y42" s="284"/>
      <c r="Z42" s="284"/>
      <c r="AA42" s="221"/>
      <c r="AB42" s="284"/>
      <c r="AC42" s="284"/>
      <c r="AD42" s="547"/>
      <c r="AE42" s="399">
        <f>+AE40/AB40-1</f>
        <v>0.21495327102803752</v>
      </c>
      <c r="AF42" s="284"/>
      <c r="AG42" s="547"/>
      <c r="AH42" s="399">
        <f>+AH40/AE40-1</f>
        <v>0.11053846153846147</v>
      </c>
      <c r="AI42" s="497">
        <f>+AI40/AH40-1</f>
        <v>0.15000000000000013</v>
      </c>
      <c r="AJ42" s="550">
        <f>+AJ40/AI40-1</f>
        <v>0.13043478260869557</v>
      </c>
      <c r="AK42" s="397">
        <v>0.3</v>
      </c>
      <c r="AL42" s="397">
        <v>0.25</v>
      </c>
      <c r="AM42" s="521">
        <f>+MAX(AL42-1%,5%)</f>
        <v>0.24</v>
      </c>
    </row>
    <row r="43" spans="1:16366" s="28" customFormat="1">
      <c r="A43" s="217"/>
      <c r="B43" s="273"/>
      <c r="C43" s="238"/>
      <c r="D43" s="377"/>
      <c r="G43" s="370"/>
      <c r="H43" s="370"/>
      <c r="J43" s="370"/>
      <c r="K43" s="370"/>
      <c r="M43" s="370"/>
      <c r="N43" s="370"/>
      <c r="P43" s="370"/>
      <c r="Q43" s="370"/>
      <c r="S43" s="370"/>
      <c r="T43" s="370"/>
      <c r="V43" s="370"/>
      <c r="W43" s="370"/>
      <c r="Y43" s="370"/>
      <c r="Z43" s="370"/>
      <c r="AB43" s="370"/>
      <c r="AC43" s="370"/>
      <c r="AE43" s="370"/>
      <c r="AF43" s="370"/>
      <c r="AH43" s="370"/>
      <c r="AI43" s="370"/>
      <c r="AJ43" s="25"/>
      <c r="AK43" s="370"/>
      <c r="AL43" s="370"/>
      <c r="AM43" s="370"/>
    </row>
    <row r="44" spans="1:16366" s="272" customFormat="1" outlineLevel="1">
      <c r="A44" s="551"/>
      <c r="B44" s="552" t="s">
        <v>1212</v>
      </c>
      <c r="C44" s="271"/>
      <c r="D44" s="379"/>
      <c r="G44" s="372"/>
      <c r="H44" s="372"/>
      <c r="J44" s="372"/>
      <c r="K44" s="372"/>
      <c r="M44" s="372"/>
      <c r="N44" s="372"/>
      <c r="P44" s="372"/>
      <c r="Q44" s="372"/>
      <c r="S44" s="372"/>
      <c r="T44" s="372"/>
      <c r="V44" s="372"/>
      <c r="W44" s="372"/>
      <c r="Y44" s="372"/>
      <c r="Z44" s="372"/>
      <c r="AB44" s="372"/>
      <c r="AC44" s="372"/>
      <c r="AE44" s="553">
        <f>+AE46-AE45</f>
        <v>10.937777777777779</v>
      </c>
      <c r="AF44" s="372"/>
      <c r="AH44" s="553">
        <f>+AH46-AH45</f>
        <v>13.455414012738853</v>
      </c>
      <c r="AI44" s="556">
        <f>+AK44*0.48</f>
        <v>7.2069504000000002</v>
      </c>
      <c r="AJ44" s="566">
        <f>+AK44-AI44</f>
        <v>7.8075296000000005</v>
      </c>
      <c r="AK44" s="573">
        <f>+AH40*AK$8</f>
        <v>15.014480000000001</v>
      </c>
      <c r="AL44" s="553">
        <f t="shared" ref="AL44:AM44" si="78">+AK40*AL$8</f>
        <v>19.518824000000002</v>
      </c>
      <c r="AM44" s="553">
        <f t="shared" si="78"/>
        <v>24.398530000000001</v>
      </c>
    </row>
    <row r="45" spans="1:16366" s="272" customFormat="1" outlineLevel="1">
      <c r="A45" s="551"/>
      <c r="B45" s="552" t="s">
        <v>1211</v>
      </c>
      <c r="C45" s="271"/>
      <c r="D45" s="379"/>
      <c r="G45" s="372"/>
      <c r="H45" s="372"/>
      <c r="J45" s="372"/>
      <c r="K45" s="372"/>
      <c r="M45" s="372"/>
      <c r="N45" s="372"/>
      <c r="P45" s="372"/>
      <c r="Q45" s="372"/>
      <c r="S45" s="372"/>
      <c r="T45" s="372"/>
      <c r="V45" s="372"/>
      <c r="W45" s="372"/>
      <c r="Y45" s="372"/>
      <c r="Z45" s="372"/>
      <c r="AB45" s="372"/>
      <c r="AC45" s="372"/>
      <c r="AE45" s="553">
        <f>+AE46-(AB40*AE$8)</f>
        <v>10.162222222222223</v>
      </c>
      <c r="AF45" s="372"/>
      <c r="AH45" s="553">
        <f>+AH46-(AE40*AH$8)</f>
        <v>8.7625859872611471</v>
      </c>
      <c r="AI45" s="556">
        <f>+AK45*0.48</f>
        <v>4.5599999999999996</v>
      </c>
      <c r="AJ45" s="566">
        <f>+AK45-AI45</f>
        <v>4.9400000000000004</v>
      </c>
      <c r="AK45" s="573">
        <v>9.5</v>
      </c>
      <c r="AL45" s="553">
        <f t="shared" ref="AL45:AM45" si="79">+AK45</f>
        <v>9.5</v>
      </c>
      <c r="AM45" s="553">
        <f t="shared" si="79"/>
        <v>9.5</v>
      </c>
    </row>
    <row r="46" spans="1:16366" s="28" customFormat="1">
      <c r="A46" s="217"/>
      <c r="B46" s="28" t="s">
        <v>378</v>
      </c>
      <c r="C46" s="238" t="s">
        <v>1152</v>
      </c>
      <c r="D46" s="393">
        <v>0</v>
      </c>
      <c r="E46" s="393">
        <v>0</v>
      </c>
      <c r="F46" s="208">
        <f>+G46-E46</f>
        <v>0</v>
      </c>
      <c r="G46" s="393">
        <v>0</v>
      </c>
      <c r="H46" s="393">
        <v>0</v>
      </c>
      <c r="I46" s="208">
        <f>+J46-H46</f>
        <v>0</v>
      </c>
      <c r="J46" s="393">
        <v>0</v>
      </c>
      <c r="K46" s="393">
        <v>0</v>
      </c>
      <c r="L46" s="208">
        <f>+M46-K46</f>
        <v>0</v>
      </c>
      <c r="M46" s="393">
        <v>0</v>
      </c>
      <c r="N46" s="393">
        <v>0</v>
      </c>
      <c r="O46" s="208">
        <f>+P46-N46</f>
        <v>0</v>
      </c>
      <c r="P46" s="393">
        <v>0</v>
      </c>
      <c r="Q46" s="393">
        <v>0</v>
      </c>
      <c r="R46" s="208">
        <f>+S46-Q46</f>
        <v>0</v>
      </c>
      <c r="S46" s="393">
        <v>0</v>
      </c>
      <c r="T46" s="393">
        <v>0</v>
      </c>
      <c r="U46" s="208">
        <f>+V46-T46</f>
        <v>0</v>
      </c>
      <c r="V46" s="393">
        <v>0</v>
      </c>
      <c r="W46" s="393">
        <v>7.6459999999999999</v>
      </c>
      <c r="X46" s="208">
        <f>+Y46-W46</f>
        <v>7.6060000000000008</v>
      </c>
      <c r="Y46" s="393">
        <v>15.252000000000001</v>
      </c>
      <c r="Z46" s="393">
        <v>9.89</v>
      </c>
      <c r="AA46" s="208">
        <f>+AB46-Z46</f>
        <v>10.477</v>
      </c>
      <c r="AB46" s="393">
        <v>20.367000000000001</v>
      </c>
      <c r="AC46" s="393">
        <v>10.369</v>
      </c>
      <c r="AD46" s="208">
        <f>+AE46-AC46</f>
        <v>10.731000000000002</v>
      </c>
      <c r="AE46" s="546">
        <v>21.1</v>
      </c>
      <c r="AF46" s="393">
        <v>10.77</v>
      </c>
      <c r="AG46" s="208">
        <f>+AH46-AF46</f>
        <v>11.448</v>
      </c>
      <c r="AH46" s="546">
        <v>22.218</v>
      </c>
      <c r="AI46" s="496">
        <f>+AI44+AI45</f>
        <v>11.766950399999999</v>
      </c>
      <c r="AJ46" s="565">
        <f>+AJ44+AJ45</f>
        <v>12.7475296</v>
      </c>
      <c r="AK46" s="371">
        <f>+AK44+AK45</f>
        <v>24.514479999999999</v>
      </c>
      <c r="AL46" s="371">
        <f t="shared" ref="AL46" si="80">+AL44+AL45</f>
        <v>29.018824000000002</v>
      </c>
      <c r="AM46" s="371">
        <f t="shared" ref="AM46" si="81">+AM44+AM45</f>
        <v>33.898530000000001</v>
      </c>
    </row>
    <row r="47" spans="1:16366" s="28" customFormat="1">
      <c r="A47" s="217"/>
      <c r="B47" s="437" t="s">
        <v>1101</v>
      </c>
      <c r="C47" s="271" t="s">
        <v>1104</v>
      </c>
      <c r="D47" s="379"/>
      <c r="E47" s="272"/>
      <c r="F47" s="272"/>
      <c r="G47" s="372"/>
      <c r="H47" s="284"/>
      <c r="I47" s="221"/>
      <c r="J47" s="284"/>
      <c r="K47" s="284"/>
      <c r="L47" s="221"/>
      <c r="M47" s="284"/>
      <c r="N47" s="284"/>
      <c r="O47" s="221"/>
      <c r="P47" s="284"/>
      <c r="Q47" s="284"/>
      <c r="R47" s="221"/>
      <c r="S47" s="284"/>
      <c r="T47" s="284"/>
      <c r="U47" s="221"/>
      <c r="V47" s="284"/>
      <c r="W47" s="284"/>
      <c r="X47" s="221"/>
      <c r="Y47" s="284"/>
      <c r="Z47" s="284">
        <f t="shared" ref="Z47:AF47" si="82">Z46/W46-1</f>
        <v>0.29348679047868176</v>
      </c>
      <c r="AA47" s="221">
        <f t="shared" si="82"/>
        <v>0.37746515908493294</v>
      </c>
      <c r="AB47" s="284">
        <f t="shared" ref="AB47" si="83">AB46/Y46-1</f>
        <v>0.33536585365853666</v>
      </c>
      <c r="AC47" s="284">
        <f t="shared" si="82"/>
        <v>4.8432760364004013E-2</v>
      </c>
      <c r="AD47" s="221">
        <f t="shared" si="82"/>
        <v>2.4243581177818108E-2</v>
      </c>
      <c r="AE47" s="540">
        <f t="shared" ref="AE47" si="84">AE46/AB46-1</f>
        <v>3.5989591005057164E-2</v>
      </c>
      <c r="AF47" s="284">
        <f t="shared" si="82"/>
        <v>3.8672967499276734E-2</v>
      </c>
      <c r="AG47" s="221">
        <f t="shared" ref="AG47" si="85">AG46/AD46-1</f>
        <v>6.6815767402851334E-2</v>
      </c>
      <c r="AH47" s="540">
        <f t="shared" ref="AH47" si="86">AH46/AE46-1</f>
        <v>5.2985781990521286E-2</v>
      </c>
      <c r="AI47" s="284">
        <f t="shared" ref="AI47:AJ47" si="87">AI46/AF46-1</f>
        <v>9.256735376044567E-2</v>
      </c>
      <c r="AJ47" s="221">
        <f t="shared" si="87"/>
        <v>0.11351586303284411</v>
      </c>
      <c r="AK47" s="554">
        <f>AK46/AH46-1</f>
        <v>0.10336123863534064</v>
      </c>
      <c r="AL47" s="554">
        <f t="shared" ref="AL47" si="88">AL46/AK46-1</f>
        <v>0.18374218013190591</v>
      </c>
      <c r="AM47" s="554">
        <f t="shared" ref="AM47" si="89">AM46/AL46-1</f>
        <v>0.16815657312646426</v>
      </c>
    </row>
    <row r="48" spans="1:16366" s="28" customFormat="1">
      <c r="A48" s="217"/>
      <c r="B48" s="437" t="s">
        <v>1102</v>
      </c>
      <c r="C48" s="271" t="s">
        <v>1104</v>
      </c>
      <c r="D48" s="379"/>
      <c r="E48" s="272"/>
      <c r="F48" s="272"/>
      <c r="G48" s="372"/>
      <c r="H48" s="284"/>
      <c r="I48" s="221"/>
      <c r="J48" s="284"/>
      <c r="K48" s="284"/>
      <c r="L48" s="221"/>
      <c r="M48" s="284"/>
      <c r="N48" s="284"/>
      <c r="O48" s="221"/>
      <c r="P48" s="284"/>
      <c r="Q48" s="284"/>
      <c r="R48" s="221"/>
      <c r="S48" s="284"/>
      <c r="T48" s="284"/>
      <c r="U48" s="221"/>
      <c r="V48" s="284"/>
      <c r="W48" s="284"/>
      <c r="X48" s="221">
        <f>+X46/W46-1</f>
        <v>-5.2314935914202776E-3</v>
      </c>
      <c r="Y48" s="284"/>
      <c r="Z48" s="284">
        <f>+Z46/X46-1</f>
        <v>0.30028924533263202</v>
      </c>
      <c r="AA48" s="221">
        <f>+AA46/Z46-1</f>
        <v>5.9352881698685467E-2</v>
      </c>
      <c r="AB48" s="284">
        <f>+AB46/Y46-1</f>
        <v>0.33536585365853666</v>
      </c>
      <c r="AC48" s="284">
        <f>+AC46/AA46-1</f>
        <v>-1.0308294359072323E-2</v>
      </c>
      <c r="AD48" s="221">
        <f>+AD46/AC46-1</f>
        <v>3.4911756196354782E-2</v>
      </c>
      <c r="AE48" s="399">
        <f>+AE46/AB46-1</f>
        <v>3.5989591005057164E-2</v>
      </c>
      <c r="AF48" s="284">
        <f>+AF46/AD46-1</f>
        <v>3.6343304445063396E-3</v>
      </c>
      <c r="AG48" s="221">
        <f>+AG46/AF46-1</f>
        <v>6.2952646239554433E-2</v>
      </c>
      <c r="AH48" s="399">
        <f>+AH46/AE46-1</f>
        <v>5.2985781990521286E-2</v>
      </c>
      <c r="AI48" s="284">
        <f>+AI46/AG46-1</f>
        <v>2.7860796645702068E-2</v>
      </c>
      <c r="AJ48" s="221">
        <f>+AJ46/AI46-1</f>
        <v>8.3333333333333481E-2</v>
      </c>
      <c r="AK48" s="497">
        <f>+AK47</f>
        <v>0.10336123863534064</v>
      </c>
      <c r="AL48" s="497">
        <f t="shared" ref="AL48" si="90">+AL47</f>
        <v>0.18374218013190591</v>
      </c>
      <c r="AM48" s="497">
        <f t="shared" ref="AM48" si="91">+AM47</f>
        <v>0.16815657312646426</v>
      </c>
    </row>
    <row r="49" spans="1:16366" s="28" customFormat="1">
      <c r="A49" s="217"/>
      <c r="B49" s="273"/>
      <c r="C49" s="238"/>
      <c r="D49" s="377"/>
      <c r="G49" s="370"/>
      <c r="H49" s="370"/>
      <c r="J49" s="370"/>
      <c r="K49" s="370"/>
      <c r="M49" s="370"/>
      <c r="N49" s="370"/>
      <c r="P49" s="370"/>
      <c r="Q49" s="370"/>
      <c r="S49" s="370"/>
      <c r="T49" s="370"/>
      <c r="V49" s="370"/>
      <c r="W49" s="370"/>
      <c r="Y49" s="370"/>
      <c r="Z49" s="370"/>
      <c r="AB49" s="370"/>
      <c r="AC49" s="370"/>
      <c r="AE49" s="370"/>
      <c r="AF49" s="370"/>
      <c r="AH49" s="370"/>
      <c r="AI49" s="370"/>
      <c r="AJ49" s="25"/>
      <c r="AK49" s="370"/>
      <c r="AL49" s="370"/>
      <c r="AM49" s="370"/>
    </row>
    <row r="50" spans="1:16366" s="28" customFormat="1">
      <c r="A50" s="217" t="s">
        <v>1111</v>
      </c>
      <c r="B50" s="212" t="s">
        <v>1155</v>
      </c>
      <c r="C50" s="212"/>
      <c r="D50" s="376"/>
      <c r="E50" s="213"/>
      <c r="F50" s="213"/>
      <c r="G50" s="387"/>
      <c r="H50" s="389"/>
      <c r="I50" s="213"/>
      <c r="J50" s="387"/>
      <c r="K50" s="387"/>
      <c r="L50" s="213"/>
      <c r="M50" s="387"/>
      <c r="N50" s="387"/>
      <c r="O50" s="213"/>
      <c r="P50" s="387"/>
      <c r="Q50" s="387"/>
      <c r="R50" s="213"/>
      <c r="S50" s="387"/>
      <c r="T50" s="387"/>
      <c r="U50" s="214"/>
      <c r="V50" s="387"/>
      <c r="W50" s="387"/>
      <c r="X50" s="214"/>
      <c r="Y50" s="387"/>
      <c r="Z50" s="387"/>
      <c r="AA50" s="214"/>
      <c r="AB50" s="396"/>
      <c r="AC50" s="387"/>
      <c r="AD50" s="214"/>
      <c r="AE50" s="396"/>
      <c r="AF50" s="396"/>
      <c r="AG50" s="214"/>
      <c r="AH50" s="396"/>
      <c r="AI50" s="567"/>
      <c r="AJ50" s="568"/>
      <c r="AK50" s="396"/>
      <c r="AL50" s="396"/>
      <c r="AM50" s="396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  <c r="MH50" s="25"/>
      <c r="MI50" s="25"/>
      <c r="MJ50" s="25"/>
      <c r="MK50" s="25"/>
      <c r="ML50" s="25"/>
      <c r="MM50" s="25"/>
      <c r="MN50" s="25"/>
      <c r="MO50" s="25"/>
      <c r="MP50" s="25"/>
      <c r="MQ50" s="25"/>
      <c r="MR50" s="25"/>
      <c r="MS50" s="25"/>
      <c r="MT50" s="25"/>
      <c r="MU50" s="25"/>
      <c r="MV50" s="25"/>
      <c r="MW50" s="25"/>
      <c r="MX50" s="25"/>
      <c r="MY50" s="25"/>
      <c r="MZ50" s="25"/>
      <c r="NA50" s="25"/>
      <c r="NB50" s="25"/>
      <c r="NC50" s="25"/>
      <c r="ND50" s="25"/>
      <c r="NE50" s="25"/>
      <c r="NF50" s="25"/>
      <c r="NG50" s="25"/>
      <c r="NH50" s="25"/>
      <c r="NI50" s="25"/>
      <c r="NJ50" s="25"/>
      <c r="NK50" s="25"/>
      <c r="NL50" s="25"/>
      <c r="NM50" s="25"/>
      <c r="NN50" s="25"/>
      <c r="NO50" s="25"/>
      <c r="NP50" s="25"/>
      <c r="NQ50" s="25"/>
      <c r="NR50" s="25"/>
      <c r="NS50" s="25"/>
      <c r="NT50" s="25"/>
      <c r="NU50" s="25"/>
      <c r="NV50" s="25"/>
      <c r="NW50" s="25"/>
      <c r="NX50" s="25"/>
      <c r="NY50" s="25"/>
      <c r="NZ50" s="25"/>
      <c r="OA50" s="25"/>
      <c r="OB50" s="25"/>
      <c r="OC50" s="25"/>
      <c r="OD50" s="25"/>
      <c r="OE50" s="25"/>
      <c r="OF50" s="25"/>
      <c r="OG50" s="25"/>
      <c r="OH50" s="25"/>
      <c r="OI50" s="25"/>
      <c r="OJ50" s="25"/>
      <c r="OK50" s="25"/>
      <c r="OL50" s="25"/>
      <c r="OM50" s="25"/>
      <c r="ON50" s="25"/>
      <c r="OO50" s="25"/>
      <c r="OP50" s="25"/>
      <c r="OQ50" s="25"/>
      <c r="OR50" s="25"/>
      <c r="OS50" s="25"/>
      <c r="OT50" s="25"/>
      <c r="OU50" s="25"/>
      <c r="OV50" s="25"/>
      <c r="OW50" s="25"/>
      <c r="OX50" s="25"/>
      <c r="OY50" s="25"/>
      <c r="OZ50" s="25"/>
      <c r="PA50" s="25"/>
      <c r="PB50" s="25"/>
      <c r="PC50" s="25"/>
      <c r="PD50" s="25"/>
      <c r="PE50" s="25"/>
      <c r="PF50" s="25"/>
      <c r="PG50" s="25"/>
      <c r="PH50" s="25"/>
      <c r="PI50" s="25"/>
      <c r="PJ50" s="25"/>
      <c r="PK50" s="25"/>
      <c r="PL50" s="25"/>
      <c r="PM50" s="25"/>
      <c r="PN50" s="25"/>
      <c r="PO50" s="25"/>
      <c r="PP50" s="25"/>
      <c r="PQ50" s="25"/>
      <c r="PR50" s="25"/>
      <c r="PS50" s="25"/>
      <c r="PT50" s="25"/>
      <c r="PU50" s="25"/>
      <c r="PV50" s="25"/>
      <c r="PW50" s="25"/>
      <c r="PX50" s="25"/>
      <c r="PY50" s="25"/>
      <c r="PZ50" s="25"/>
      <c r="QA50" s="25"/>
      <c r="QB50" s="25"/>
      <c r="QC50" s="25"/>
      <c r="QD50" s="25"/>
      <c r="QE50" s="25"/>
      <c r="QF50" s="25"/>
      <c r="QG50" s="25"/>
      <c r="QH50" s="25"/>
      <c r="QI50" s="25"/>
      <c r="QJ50" s="25"/>
      <c r="QK50" s="25"/>
      <c r="QL50" s="25"/>
      <c r="QM50" s="25"/>
      <c r="QN50" s="25"/>
      <c r="QO50" s="25"/>
      <c r="QP50" s="25"/>
      <c r="QQ50" s="25"/>
      <c r="QR50" s="25"/>
      <c r="QS50" s="25"/>
      <c r="QT50" s="25"/>
      <c r="QU50" s="25"/>
      <c r="QV50" s="25"/>
      <c r="QW50" s="25"/>
      <c r="QX50" s="25"/>
      <c r="QY50" s="25"/>
      <c r="QZ50" s="25"/>
      <c r="RA50" s="25"/>
      <c r="RB50" s="25"/>
      <c r="RC50" s="25"/>
      <c r="RD50" s="25"/>
      <c r="RE50" s="25"/>
      <c r="RF50" s="25"/>
      <c r="RG50" s="25"/>
      <c r="RH50" s="25"/>
      <c r="RI50" s="25"/>
      <c r="RJ50" s="25"/>
      <c r="RK50" s="25"/>
      <c r="RL50" s="25"/>
      <c r="RM50" s="25"/>
      <c r="RN50" s="25"/>
      <c r="RO50" s="25"/>
      <c r="RP50" s="25"/>
      <c r="RQ50" s="25"/>
      <c r="RR50" s="25"/>
      <c r="RS50" s="25"/>
      <c r="RT50" s="25"/>
      <c r="RU50" s="25"/>
      <c r="RV50" s="25"/>
      <c r="RW50" s="25"/>
      <c r="RX50" s="25"/>
      <c r="RY50" s="25"/>
      <c r="RZ50" s="25"/>
      <c r="SA50" s="25"/>
      <c r="SB50" s="25"/>
      <c r="SC50" s="25"/>
      <c r="SD50" s="25"/>
      <c r="SE50" s="25"/>
      <c r="SF50" s="25"/>
      <c r="SG50" s="25"/>
      <c r="SH50" s="25"/>
      <c r="SI50" s="25"/>
      <c r="SJ50" s="25"/>
      <c r="SK50" s="25"/>
      <c r="SL50" s="25"/>
      <c r="SM50" s="25"/>
      <c r="SN50" s="25"/>
      <c r="SO50" s="25"/>
      <c r="SP50" s="25"/>
      <c r="SQ50" s="25"/>
      <c r="SR50" s="25"/>
      <c r="SS50" s="25"/>
      <c r="ST50" s="25"/>
      <c r="SU50" s="25"/>
      <c r="SV50" s="25"/>
      <c r="SW50" s="25"/>
      <c r="SX50" s="25"/>
      <c r="SY50" s="25"/>
      <c r="SZ50" s="25"/>
      <c r="TA50" s="25"/>
      <c r="TB50" s="25"/>
      <c r="TC50" s="25"/>
      <c r="TD50" s="25"/>
      <c r="TE50" s="25"/>
      <c r="TF50" s="25"/>
      <c r="TG50" s="25"/>
      <c r="TH50" s="25"/>
      <c r="TI50" s="25"/>
      <c r="TJ50" s="25"/>
      <c r="TK50" s="25"/>
      <c r="TL50" s="25"/>
      <c r="TM50" s="25"/>
      <c r="TN50" s="25"/>
      <c r="TO50" s="25"/>
      <c r="TP50" s="25"/>
      <c r="TQ50" s="25"/>
      <c r="TR50" s="25"/>
      <c r="TS50" s="25"/>
      <c r="TT50" s="25"/>
      <c r="TU50" s="25"/>
      <c r="TV50" s="25"/>
      <c r="TW50" s="25"/>
      <c r="TX50" s="25"/>
      <c r="TY50" s="25"/>
      <c r="TZ50" s="25"/>
      <c r="UA50" s="25"/>
      <c r="UB50" s="25"/>
      <c r="UC50" s="25"/>
      <c r="UD50" s="25"/>
      <c r="UE50" s="25"/>
      <c r="UF50" s="25"/>
      <c r="UG50" s="25"/>
      <c r="UH50" s="25"/>
      <c r="UI50" s="25"/>
      <c r="UJ50" s="25"/>
      <c r="UK50" s="25"/>
      <c r="UL50" s="25"/>
      <c r="UM50" s="25"/>
      <c r="UN50" s="25"/>
      <c r="UO50" s="25"/>
      <c r="UP50" s="25"/>
      <c r="UQ50" s="25"/>
      <c r="UR50" s="25"/>
      <c r="US50" s="25"/>
      <c r="UT50" s="25"/>
      <c r="UU50" s="25"/>
      <c r="UV50" s="25"/>
      <c r="UW50" s="25"/>
      <c r="UX50" s="25"/>
      <c r="UY50" s="25"/>
      <c r="UZ50" s="25"/>
      <c r="VA50" s="25"/>
      <c r="VB50" s="25"/>
      <c r="VC50" s="25"/>
      <c r="VD50" s="25"/>
      <c r="VE50" s="25"/>
      <c r="VF50" s="25"/>
      <c r="VG50" s="25"/>
      <c r="VH50" s="25"/>
      <c r="VI50" s="25"/>
      <c r="VJ50" s="25"/>
      <c r="VK50" s="25"/>
      <c r="VL50" s="25"/>
      <c r="VM50" s="25"/>
      <c r="VN50" s="25"/>
      <c r="VO50" s="25"/>
      <c r="VP50" s="25"/>
      <c r="VQ50" s="25"/>
      <c r="VR50" s="25"/>
      <c r="VS50" s="25"/>
      <c r="VT50" s="25"/>
      <c r="VU50" s="25"/>
      <c r="VV50" s="25"/>
      <c r="VW50" s="25"/>
      <c r="VX50" s="25"/>
      <c r="VY50" s="25"/>
      <c r="VZ50" s="25"/>
      <c r="WA50" s="25"/>
      <c r="WB50" s="25"/>
      <c r="WC50" s="25"/>
      <c r="WD50" s="25"/>
      <c r="WE50" s="25"/>
      <c r="WF50" s="25"/>
      <c r="WG50" s="25"/>
      <c r="WH50" s="25"/>
      <c r="WI50" s="25"/>
      <c r="WJ50" s="25"/>
      <c r="WK50" s="25"/>
      <c r="WL50" s="25"/>
      <c r="WM50" s="25"/>
      <c r="WN50" s="25"/>
      <c r="WO50" s="25"/>
      <c r="WP50" s="25"/>
      <c r="WQ50" s="25"/>
      <c r="WR50" s="25"/>
      <c r="WS50" s="25"/>
      <c r="WT50" s="25"/>
      <c r="WU50" s="25"/>
      <c r="WV50" s="25"/>
      <c r="WW50" s="25"/>
      <c r="WX50" s="25"/>
      <c r="WY50" s="25"/>
      <c r="WZ50" s="25"/>
      <c r="XA50" s="25"/>
      <c r="XB50" s="25"/>
      <c r="XC50" s="25"/>
      <c r="XD50" s="25"/>
      <c r="XE50" s="25"/>
      <c r="XF50" s="25"/>
      <c r="XG50" s="25"/>
      <c r="XH50" s="25"/>
      <c r="XI50" s="25"/>
      <c r="XJ50" s="25"/>
      <c r="XK50" s="25"/>
      <c r="XL50" s="25"/>
      <c r="XM50" s="25"/>
      <c r="XN50" s="25"/>
      <c r="XO50" s="25"/>
      <c r="XP50" s="25"/>
      <c r="XQ50" s="25"/>
      <c r="XR50" s="25"/>
      <c r="XS50" s="25"/>
      <c r="XT50" s="25"/>
      <c r="XU50" s="25"/>
      <c r="XV50" s="25"/>
      <c r="XW50" s="25"/>
      <c r="XX50" s="25"/>
      <c r="XY50" s="25"/>
      <c r="XZ50" s="25"/>
      <c r="YA50" s="25"/>
      <c r="YB50" s="25"/>
      <c r="YC50" s="25"/>
      <c r="YD50" s="25"/>
      <c r="YE50" s="25"/>
      <c r="YF50" s="25"/>
      <c r="YG50" s="25"/>
      <c r="YH50" s="25"/>
      <c r="YI50" s="25"/>
      <c r="YJ50" s="25"/>
      <c r="YK50" s="25"/>
      <c r="YL50" s="25"/>
      <c r="YM50" s="25"/>
      <c r="YN50" s="25"/>
      <c r="YO50" s="25"/>
      <c r="YP50" s="25"/>
      <c r="YQ50" s="25"/>
      <c r="YR50" s="25"/>
      <c r="YS50" s="25"/>
      <c r="YT50" s="25"/>
      <c r="YU50" s="25"/>
      <c r="YV50" s="25"/>
      <c r="YW50" s="25"/>
      <c r="YX50" s="25"/>
      <c r="YY50" s="25"/>
      <c r="YZ50" s="25"/>
      <c r="ZA50" s="25"/>
      <c r="ZB50" s="25"/>
      <c r="ZC50" s="25"/>
      <c r="ZD50" s="25"/>
      <c r="ZE50" s="25"/>
      <c r="ZF50" s="25"/>
      <c r="ZG50" s="25"/>
      <c r="ZH50" s="25"/>
      <c r="ZI50" s="25"/>
      <c r="ZJ50" s="25"/>
      <c r="ZK50" s="25"/>
      <c r="ZL50" s="25"/>
      <c r="ZM50" s="25"/>
      <c r="ZN50" s="25"/>
      <c r="ZO50" s="25"/>
      <c r="ZP50" s="25"/>
      <c r="ZQ50" s="25"/>
      <c r="ZR50" s="25"/>
      <c r="ZS50" s="25"/>
      <c r="ZT50" s="25"/>
      <c r="ZU50" s="25"/>
      <c r="ZV50" s="25"/>
      <c r="ZW50" s="25"/>
      <c r="ZX50" s="25"/>
      <c r="ZY50" s="25"/>
      <c r="ZZ50" s="25"/>
      <c r="AAA50" s="25"/>
      <c r="AAB50" s="25"/>
      <c r="AAC50" s="25"/>
      <c r="AAD50" s="25"/>
      <c r="AAE50" s="25"/>
      <c r="AAF50" s="25"/>
      <c r="AAG50" s="25"/>
      <c r="AAH50" s="25"/>
      <c r="AAI50" s="25"/>
      <c r="AAJ50" s="25"/>
      <c r="AAK50" s="25"/>
      <c r="AAL50" s="25"/>
      <c r="AAM50" s="25"/>
      <c r="AAN50" s="25"/>
      <c r="AAO50" s="25"/>
      <c r="AAP50" s="25"/>
      <c r="AAQ50" s="25"/>
      <c r="AAR50" s="25"/>
      <c r="AAS50" s="25"/>
      <c r="AAT50" s="25"/>
      <c r="AAU50" s="25"/>
      <c r="AAV50" s="25"/>
      <c r="AAW50" s="25"/>
      <c r="AAX50" s="25"/>
      <c r="AAY50" s="25"/>
      <c r="AAZ50" s="25"/>
      <c r="ABA50" s="25"/>
      <c r="ABB50" s="25"/>
      <c r="ABC50" s="25"/>
      <c r="ABD50" s="25"/>
      <c r="ABE50" s="25"/>
      <c r="ABF50" s="25"/>
      <c r="ABG50" s="25"/>
      <c r="ABH50" s="25"/>
      <c r="ABI50" s="25"/>
      <c r="ABJ50" s="25"/>
      <c r="ABK50" s="25"/>
      <c r="ABL50" s="25"/>
      <c r="ABM50" s="25"/>
      <c r="ABN50" s="25"/>
      <c r="ABO50" s="25"/>
      <c r="ABP50" s="25"/>
      <c r="ABQ50" s="25"/>
      <c r="ABR50" s="25"/>
      <c r="ABS50" s="25"/>
      <c r="ABT50" s="25"/>
      <c r="ABU50" s="25"/>
      <c r="ABV50" s="25"/>
      <c r="ABW50" s="25"/>
      <c r="ABX50" s="25"/>
      <c r="ABY50" s="25"/>
      <c r="ABZ50" s="25"/>
      <c r="ACA50" s="25"/>
      <c r="ACB50" s="25"/>
      <c r="ACC50" s="25"/>
      <c r="ACD50" s="25"/>
      <c r="ACE50" s="25"/>
      <c r="ACF50" s="25"/>
      <c r="ACG50" s="25"/>
      <c r="ACH50" s="25"/>
      <c r="ACI50" s="25"/>
      <c r="ACJ50" s="25"/>
      <c r="ACK50" s="25"/>
      <c r="ACL50" s="25"/>
      <c r="ACM50" s="25"/>
      <c r="ACN50" s="25"/>
      <c r="ACO50" s="25"/>
      <c r="ACP50" s="25"/>
      <c r="ACQ50" s="25"/>
      <c r="ACR50" s="25"/>
      <c r="ACS50" s="25"/>
      <c r="ACT50" s="25"/>
      <c r="ACU50" s="25"/>
      <c r="ACV50" s="25"/>
      <c r="ACW50" s="25"/>
      <c r="ACX50" s="25"/>
      <c r="ACY50" s="25"/>
      <c r="ACZ50" s="25"/>
      <c r="ADA50" s="25"/>
      <c r="ADB50" s="25"/>
      <c r="ADC50" s="25"/>
      <c r="ADD50" s="25"/>
      <c r="ADE50" s="25"/>
      <c r="ADF50" s="25"/>
      <c r="ADG50" s="25"/>
      <c r="ADH50" s="25"/>
      <c r="ADI50" s="25"/>
      <c r="ADJ50" s="25"/>
      <c r="ADK50" s="25"/>
      <c r="ADL50" s="25"/>
      <c r="ADM50" s="25"/>
      <c r="ADN50" s="25"/>
      <c r="ADO50" s="25"/>
      <c r="ADP50" s="25"/>
      <c r="ADQ50" s="25"/>
      <c r="ADR50" s="25"/>
      <c r="ADS50" s="25"/>
      <c r="ADT50" s="25"/>
      <c r="ADU50" s="25"/>
      <c r="ADV50" s="25"/>
      <c r="ADW50" s="25"/>
      <c r="ADX50" s="25"/>
      <c r="ADY50" s="25"/>
      <c r="ADZ50" s="25"/>
      <c r="AEA50" s="25"/>
      <c r="AEB50" s="25"/>
      <c r="AEC50" s="25"/>
      <c r="AED50" s="25"/>
      <c r="AEE50" s="25"/>
      <c r="AEF50" s="25"/>
      <c r="AEG50" s="25"/>
      <c r="AEH50" s="25"/>
      <c r="AEI50" s="25"/>
      <c r="AEJ50" s="25"/>
      <c r="AEK50" s="25"/>
      <c r="AEL50" s="25"/>
      <c r="AEM50" s="25"/>
      <c r="AEN50" s="25"/>
      <c r="AEO50" s="25"/>
      <c r="AEP50" s="25"/>
      <c r="AEQ50" s="25"/>
      <c r="AER50" s="25"/>
      <c r="AES50" s="25"/>
      <c r="AET50" s="25"/>
      <c r="AEU50" s="25"/>
      <c r="AEV50" s="25"/>
      <c r="AEW50" s="25"/>
      <c r="AEX50" s="25"/>
      <c r="AEY50" s="25"/>
      <c r="AEZ50" s="25"/>
      <c r="AFA50" s="25"/>
      <c r="AFB50" s="25"/>
      <c r="AFC50" s="25"/>
      <c r="AFD50" s="25"/>
      <c r="AFE50" s="25"/>
      <c r="AFF50" s="25"/>
      <c r="AFG50" s="25"/>
      <c r="AFH50" s="25"/>
      <c r="AFI50" s="25"/>
      <c r="AFJ50" s="25"/>
      <c r="AFK50" s="25"/>
      <c r="AFL50" s="25"/>
      <c r="AFM50" s="25"/>
      <c r="AFN50" s="25"/>
      <c r="AFO50" s="25"/>
      <c r="AFP50" s="25"/>
      <c r="AFQ50" s="25"/>
      <c r="AFR50" s="25"/>
      <c r="AFS50" s="25"/>
      <c r="AFT50" s="25"/>
      <c r="AFU50" s="25"/>
      <c r="AFV50" s="25"/>
      <c r="AFW50" s="25"/>
      <c r="AFX50" s="25"/>
      <c r="AFY50" s="25"/>
      <c r="AFZ50" s="25"/>
      <c r="AGA50" s="25"/>
      <c r="AGB50" s="25"/>
      <c r="AGC50" s="25"/>
      <c r="AGD50" s="25"/>
      <c r="AGE50" s="25"/>
      <c r="AGF50" s="25"/>
      <c r="AGG50" s="25"/>
      <c r="AGH50" s="25"/>
      <c r="AGI50" s="25"/>
      <c r="AGJ50" s="25"/>
      <c r="AGK50" s="25"/>
      <c r="AGL50" s="25"/>
      <c r="AGM50" s="25"/>
      <c r="AGN50" s="25"/>
      <c r="AGO50" s="25"/>
      <c r="AGP50" s="25"/>
      <c r="AGQ50" s="25"/>
      <c r="AGR50" s="25"/>
      <c r="AGS50" s="25"/>
      <c r="AGT50" s="25"/>
      <c r="AGU50" s="25"/>
      <c r="AGV50" s="25"/>
      <c r="AGW50" s="25"/>
      <c r="AGX50" s="25"/>
      <c r="AGY50" s="25"/>
      <c r="AGZ50" s="25"/>
      <c r="AHA50" s="25"/>
      <c r="AHB50" s="25"/>
      <c r="AHC50" s="25"/>
      <c r="AHD50" s="25"/>
      <c r="AHE50" s="25"/>
      <c r="AHF50" s="25"/>
      <c r="AHG50" s="25"/>
      <c r="AHH50" s="25"/>
      <c r="AHI50" s="25"/>
      <c r="AHJ50" s="25"/>
      <c r="AHK50" s="25"/>
      <c r="AHL50" s="25"/>
      <c r="AHM50" s="25"/>
      <c r="AHN50" s="25"/>
      <c r="AHO50" s="25"/>
      <c r="AHP50" s="25"/>
      <c r="AHQ50" s="25"/>
      <c r="AHR50" s="25"/>
      <c r="AHS50" s="25"/>
      <c r="AHT50" s="25"/>
      <c r="AHU50" s="25"/>
      <c r="AHV50" s="25"/>
      <c r="AHW50" s="25"/>
      <c r="AHX50" s="25"/>
      <c r="AHY50" s="25"/>
      <c r="AHZ50" s="25"/>
      <c r="AIA50" s="25"/>
      <c r="AIB50" s="25"/>
      <c r="AIC50" s="25"/>
      <c r="AID50" s="25"/>
      <c r="AIE50" s="25"/>
      <c r="AIF50" s="25"/>
      <c r="AIG50" s="25"/>
      <c r="AIH50" s="25"/>
      <c r="AII50" s="25"/>
      <c r="AIJ50" s="25"/>
      <c r="AIK50" s="25"/>
      <c r="AIL50" s="25"/>
      <c r="AIM50" s="25"/>
      <c r="AIN50" s="25"/>
      <c r="AIO50" s="25"/>
      <c r="AIP50" s="25"/>
      <c r="AIQ50" s="25"/>
      <c r="AIR50" s="25"/>
      <c r="AIS50" s="25"/>
      <c r="AIT50" s="25"/>
      <c r="AIU50" s="25"/>
      <c r="AIV50" s="25"/>
      <c r="AIW50" s="25"/>
      <c r="AIX50" s="25"/>
      <c r="AIY50" s="25"/>
      <c r="AIZ50" s="25"/>
      <c r="AJA50" s="25"/>
      <c r="AJB50" s="25"/>
      <c r="AJC50" s="25"/>
      <c r="AJD50" s="25"/>
      <c r="AJE50" s="25"/>
      <c r="AJF50" s="25"/>
      <c r="AJG50" s="25"/>
      <c r="AJH50" s="25"/>
      <c r="AJI50" s="25"/>
      <c r="AJJ50" s="25"/>
      <c r="AJK50" s="25"/>
      <c r="AJL50" s="25"/>
      <c r="AJM50" s="25"/>
      <c r="AJN50" s="25"/>
      <c r="AJO50" s="25"/>
      <c r="AJP50" s="25"/>
      <c r="AJQ50" s="25"/>
      <c r="AJR50" s="25"/>
      <c r="AJS50" s="25"/>
      <c r="AJT50" s="25"/>
      <c r="AJU50" s="25"/>
      <c r="AJV50" s="25"/>
      <c r="AJW50" s="25"/>
      <c r="AJX50" s="25"/>
      <c r="AJY50" s="25"/>
      <c r="AJZ50" s="25"/>
      <c r="AKA50" s="25"/>
      <c r="AKB50" s="25"/>
      <c r="AKC50" s="25"/>
      <c r="AKD50" s="25"/>
      <c r="AKE50" s="25"/>
      <c r="AKF50" s="25"/>
      <c r="AKG50" s="25"/>
      <c r="AKH50" s="25"/>
      <c r="AKI50" s="25"/>
      <c r="AKJ50" s="25"/>
      <c r="AKK50" s="25"/>
      <c r="AKL50" s="25"/>
      <c r="AKM50" s="25"/>
      <c r="AKN50" s="25"/>
      <c r="AKO50" s="25"/>
      <c r="AKP50" s="25"/>
      <c r="AKQ50" s="25"/>
      <c r="AKR50" s="25"/>
      <c r="AKS50" s="25"/>
      <c r="AKT50" s="25"/>
      <c r="AKU50" s="25"/>
      <c r="AKV50" s="25"/>
      <c r="AKW50" s="25"/>
      <c r="AKX50" s="25"/>
      <c r="AKY50" s="25"/>
      <c r="AKZ50" s="25"/>
      <c r="ALA50" s="25"/>
      <c r="ALB50" s="25"/>
      <c r="ALC50" s="25"/>
      <c r="ALD50" s="25"/>
      <c r="ALE50" s="25"/>
      <c r="ALF50" s="25"/>
      <c r="ALG50" s="25"/>
      <c r="ALH50" s="25"/>
      <c r="ALI50" s="25"/>
      <c r="ALJ50" s="25"/>
      <c r="ALK50" s="25"/>
      <c r="ALL50" s="25"/>
      <c r="ALM50" s="25"/>
      <c r="ALN50" s="25"/>
      <c r="ALO50" s="25"/>
      <c r="ALP50" s="25"/>
      <c r="ALQ50" s="25"/>
      <c r="ALR50" s="25"/>
      <c r="ALS50" s="25"/>
      <c r="ALT50" s="25"/>
      <c r="ALU50" s="25"/>
      <c r="ALV50" s="25"/>
      <c r="ALW50" s="25"/>
      <c r="ALX50" s="25"/>
      <c r="ALY50" s="25"/>
      <c r="ALZ50" s="25"/>
      <c r="AMA50" s="25"/>
      <c r="AMB50" s="25"/>
      <c r="AMC50" s="25"/>
      <c r="AMD50" s="25"/>
      <c r="AME50" s="25"/>
      <c r="AMF50" s="25"/>
      <c r="AMG50" s="25"/>
      <c r="AMH50" s="25"/>
      <c r="AMI50" s="25"/>
      <c r="AMJ50" s="25"/>
      <c r="AMK50" s="25"/>
      <c r="AML50" s="25"/>
      <c r="AMM50" s="25"/>
      <c r="AMN50" s="25"/>
      <c r="AMO50" s="25"/>
      <c r="AMP50" s="25"/>
      <c r="AMQ50" s="25"/>
      <c r="AMR50" s="25"/>
      <c r="AMS50" s="25"/>
      <c r="AMT50" s="25"/>
      <c r="AMU50" s="25"/>
      <c r="AMV50" s="25"/>
      <c r="AMW50" s="25"/>
      <c r="AMX50" s="25"/>
      <c r="AMY50" s="25"/>
      <c r="AMZ50" s="25"/>
      <c r="ANA50" s="25"/>
      <c r="ANB50" s="25"/>
      <c r="ANC50" s="25"/>
      <c r="AND50" s="25"/>
      <c r="ANE50" s="25"/>
      <c r="ANF50" s="25"/>
      <c r="ANG50" s="25"/>
      <c r="ANH50" s="25"/>
      <c r="ANI50" s="25"/>
      <c r="ANJ50" s="25"/>
      <c r="ANK50" s="25"/>
      <c r="ANL50" s="25"/>
      <c r="ANM50" s="25"/>
      <c r="ANN50" s="25"/>
      <c r="ANO50" s="25"/>
      <c r="ANP50" s="25"/>
      <c r="ANQ50" s="25"/>
      <c r="ANR50" s="25"/>
      <c r="ANS50" s="25"/>
      <c r="ANT50" s="25"/>
      <c r="ANU50" s="25"/>
      <c r="ANV50" s="25"/>
      <c r="ANW50" s="25"/>
      <c r="ANX50" s="25"/>
      <c r="ANY50" s="25"/>
      <c r="ANZ50" s="25"/>
      <c r="AOA50" s="25"/>
      <c r="AOB50" s="25"/>
      <c r="AOC50" s="25"/>
      <c r="AOD50" s="25"/>
      <c r="AOE50" s="25"/>
      <c r="AOF50" s="25"/>
      <c r="AOG50" s="25"/>
      <c r="AOH50" s="25"/>
      <c r="AOI50" s="25"/>
      <c r="AOJ50" s="25"/>
      <c r="AOK50" s="25"/>
      <c r="AOL50" s="25"/>
      <c r="AOM50" s="25"/>
      <c r="AON50" s="25"/>
      <c r="AOO50" s="25"/>
      <c r="AOP50" s="25"/>
      <c r="AOQ50" s="25"/>
      <c r="AOR50" s="25"/>
      <c r="AOS50" s="25"/>
      <c r="AOT50" s="25"/>
      <c r="AOU50" s="25"/>
      <c r="AOV50" s="25"/>
      <c r="AOW50" s="25"/>
      <c r="AOX50" s="25"/>
      <c r="AOY50" s="25"/>
      <c r="AOZ50" s="25"/>
      <c r="APA50" s="25"/>
      <c r="APB50" s="25"/>
      <c r="APC50" s="25"/>
      <c r="APD50" s="25"/>
      <c r="APE50" s="25"/>
      <c r="APF50" s="25"/>
      <c r="APG50" s="25"/>
      <c r="APH50" s="25"/>
      <c r="API50" s="25"/>
      <c r="APJ50" s="25"/>
      <c r="APK50" s="25"/>
      <c r="APL50" s="25"/>
      <c r="APM50" s="25"/>
      <c r="APN50" s="25"/>
      <c r="APO50" s="25"/>
      <c r="APP50" s="25"/>
      <c r="APQ50" s="25"/>
      <c r="APR50" s="25"/>
      <c r="APS50" s="25"/>
      <c r="APT50" s="25"/>
      <c r="APU50" s="25"/>
      <c r="APV50" s="25"/>
      <c r="APW50" s="25"/>
      <c r="APX50" s="25"/>
      <c r="APY50" s="25"/>
      <c r="APZ50" s="25"/>
      <c r="AQA50" s="25"/>
      <c r="AQB50" s="25"/>
      <c r="AQC50" s="25"/>
      <c r="AQD50" s="25"/>
      <c r="AQE50" s="25"/>
      <c r="AQF50" s="25"/>
      <c r="AQG50" s="25"/>
      <c r="AQH50" s="25"/>
      <c r="AQI50" s="25"/>
      <c r="AQJ50" s="25"/>
      <c r="AQK50" s="25"/>
      <c r="AQL50" s="25"/>
      <c r="AQM50" s="25"/>
      <c r="AQN50" s="25"/>
      <c r="AQO50" s="25"/>
      <c r="AQP50" s="25"/>
      <c r="AQQ50" s="25"/>
      <c r="AQR50" s="25"/>
      <c r="AQS50" s="25"/>
      <c r="AQT50" s="25"/>
      <c r="AQU50" s="25"/>
      <c r="AQV50" s="25"/>
      <c r="AQW50" s="25"/>
      <c r="AQX50" s="25"/>
      <c r="AQY50" s="25"/>
      <c r="AQZ50" s="25"/>
      <c r="ARA50" s="25"/>
      <c r="ARB50" s="25"/>
      <c r="ARC50" s="25"/>
      <c r="ARD50" s="25"/>
      <c r="ARE50" s="25"/>
      <c r="ARF50" s="25"/>
      <c r="ARG50" s="25"/>
      <c r="ARH50" s="25"/>
      <c r="ARI50" s="25"/>
      <c r="ARJ50" s="25"/>
      <c r="ARK50" s="25"/>
      <c r="ARL50" s="25"/>
      <c r="ARM50" s="25"/>
      <c r="ARN50" s="25"/>
      <c r="ARO50" s="25"/>
      <c r="ARP50" s="25"/>
      <c r="ARQ50" s="25"/>
      <c r="ARR50" s="25"/>
      <c r="ARS50" s="25"/>
      <c r="ART50" s="25"/>
      <c r="ARU50" s="25"/>
      <c r="ARV50" s="25"/>
      <c r="ARW50" s="25"/>
      <c r="ARX50" s="25"/>
      <c r="ARY50" s="25"/>
      <c r="ARZ50" s="25"/>
      <c r="ASA50" s="25"/>
      <c r="ASB50" s="25"/>
      <c r="ASC50" s="25"/>
      <c r="ASD50" s="25"/>
      <c r="ASE50" s="25"/>
      <c r="ASF50" s="25"/>
      <c r="ASG50" s="25"/>
      <c r="ASH50" s="25"/>
      <c r="ASI50" s="25"/>
      <c r="ASJ50" s="25"/>
      <c r="ASK50" s="25"/>
      <c r="ASL50" s="25"/>
      <c r="ASM50" s="25"/>
      <c r="ASN50" s="25"/>
      <c r="ASO50" s="25"/>
      <c r="ASP50" s="25"/>
      <c r="ASQ50" s="25"/>
      <c r="ASR50" s="25"/>
      <c r="ASS50" s="25"/>
      <c r="AST50" s="25"/>
      <c r="ASU50" s="25"/>
      <c r="ASV50" s="25"/>
      <c r="ASW50" s="25"/>
      <c r="ASX50" s="25"/>
      <c r="ASY50" s="25"/>
      <c r="ASZ50" s="25"/>
      <c r="ATA50" s="25"/>
      <c r="ATB50" s="25"/>
      <c r="ATC50" s="25"/>
      <c r="ATD50" s="25"/>
      <c r="ATE50" s="25"/>
      <c r="ATF50" s="25"/>
      <c r="ATG50" s="25"/>
      <c r="ATH50" s="25"/>
      <c r="ATI50" s="25"/>
      <c r="ATJ50" s="25"/>
      <c r="ATK50" s="25"/>
      <c r="ATL50" s="25"/>
      <c r="ATM50" s="25"/>
      <c r="ATN50" s="25"/>
      <c r="ATO50" s="25"/>
      <c r="ATP50" s="25"/>
      <c r="ATQ50" s="25"/>
      <c r="ATR50" s="25"/>
      <c r="ATS50" s="25"/>
      <c r="ATT50" s="25"/>
      <c r="ATU50" s="25"/>
      <c r="ATV50" s="25"/>
      <c r="ATW50" s="25"/>
      <c r="ATX50" s="25"/>
      <c r="ATY50" s="25"/>
      <c r="ATZ50" s="25"/>
      <c r="AUA50" s="25"/>
      <c r="AUB50" s="25"/>
      <c r="AUC50" s="25"/>
      <c r="AUD50" s="25"/>
      <c r="AUE50" s="25"/>
      <c r="AUF50" s="25"/>
      <c r="AUG50" s="25"/>
      <c r="AUH50" s="25"/>
      <c r="AUI50" s="25"/>
      <c r="AUJ50" s="25"/>
      <c r="AUK50" s="25"/>
      <c r="AUL50" s="25"/>
      <c r="AUM50" s="25"/>
      <c r="AUN50" s="25"/>
      <c r="AUO50" s="25"/>
      <c r="AUP50" s="25"/>
      <c r="AUQ50" s="25"/>
      <c r="AUR50" s="25"/>
      <c r="AUS50" s="25"/>
      <c r="AUT50" s="25"/>
      <c r="AUU50" s="25"/>
      <c r="AUV50" s="25"/>
      <c r="AUW50" s="25"/>
      <c r="AUX50" s="25"/>
      <c r="AUY50" s="25"/>
      <c r="AUZ50" s="25"/>
      <c r="AVA50" s="25"/>
      <c r="AVB50" s="25"/>
      <c r="AVC50" s="25"/>
      <c r="AVD50" s="25"/>
      <c r="AVE50" s="25"/>
      <c r="AVF50" s="25"/>
      <c r="AVG50" s="25"/>
      <c r="AVH50" s="25"/>
      <c r="AVI50" s="25"/>
      <c r="AVJ50" s="25"/>
      <c r="AVK50" s="25"/>
      <c r="AVL50" s="25"/>
      <c r="AVM50" s="25"/>
      <c r="AVN50" s="25"/>
      <c r="AVO50" s="25"/>
      <c r="AVP50" s="25"/>
      <c r="AVQ50" s="25"/>
      <c r="AVR50" s="25"/>
      <c r="AVS50" s="25"/>
      <c r="AVT50" s="25"/>
      <c r="AVU50" s="25"/>
      <c r="AVV50" s="25"/>
      <c r="AVW50" s="25"/>
      <c r="AVX50" s="25"/>
      <c r="AVY50" s="25"/>
      <c r="AVZ50" s="25"/>
      <c r="AWA50" s="25"/>
      <c r="AWB50" s="25"/>
      <c r="AWC50" s="25"/>
      <c r="AWD50" s="25"/>
      <c r="AWE50" s="25"/>
      <c r="AWF50" s="25"/>
      <c r="AWG50" s="25"/>
      <c r="AWH50" s="25"/>
      <c r="AWI50" s="25"/>
      <c r="AWJ50" s="25"/>
      <c r="AWK50" s="25"/>
      <c r="AWL50" s="25"/>
      <c r="AWM50" s="25"/>
      <c r="AWN50" s="25"/>
      <c r="AWO50" s="25"/>
      <c r="AWP50" s="25"/>
      <c r="AWQ50" s="25"/>
      <c r="AWR50" s="25"/>
      <c r="AWS50" s="25"/>
      <c r="AWT50" s="25"/>
      <c r="AWU50" s="25"/>
      <c r="AWV50" s="25"/>
      <c r="AWW50" s="25"/>
      <c r="AWX50" s="25"/>
      <c r="AWY50" s="25"/>
      <c r="AWZ50" s="25"/>
      <c r="AXA50" s="25"/>
      <c r="AXB50" s="25"/>
      <c r="AXC50" s="25"/>
      <c r="AXD50" s="25"/>
      <c r="AXE50" s="25"/>
      <c r="AXF50" s="25"/>
      <c r="AXG50" s="25"/>
      <c r="AXH50" s="25"/>
      <c r="AXI50" s="25"/>
      <c r="AXJ50" s="25"/>
      <c r="AXK50" s="25"/>
      <c r="AXL50" s="25"/>
      <c r="AXM50" s="25"/>
      <c r="AXN50" s="25"/>
      <c r="AXO50" s="25"/>
      <c r="AXP50" s="25"/>
      <c r="AXQ50" s="25"/>
      <c r="AXR50" s="25"/>
      <c r="AXS50" s="25"/>
      <c r="AXT50" s="25"/>
      <c r="AXU50" s="25"/>
      <c r="AXV50" s="25"/>
      <c r="AXW50" s="25"/>
      <c r="AXX50" s="25"/>
      <c r="AXY50" s="25"/>
      <c r="AXZ50" s="25"/>
      <c r="AYA50" s="25"/>
      <c r="AYB50" s="25"/>
      <c r="AYC50" s="25"/>
      <c r="AYD50" s="25"/>
      <c r="AYE50" s="25"/>
      <c r="AYF50" s="25"/>
      <c r="AYG50" s="25"/>
      <c r="AYH50" s="25"/>
      <c r="AYI50" s="25"/>
      <c r="AYJ50" s="25"/>
      <c r="AYK50" s="25"/>
      <c r="AYL50" s="25"/>
      <c r="AYM50" s="25"/>
      <c r="AYN50" s="25"/>
      <c r="AYO50" s="25"/>
      <c r="AYP50" s="25"/>
      <c r="AYQ50" s="25"/>
      <c r="AYR50" s="25"/>
      <c r="AYS50" s="25"/>
      <c r="AYT50" s="25"/>
      <c r="AYU50" s="25"/>
      <c r="AYV50" s="25"/>
      <c r="AYW50" s="25"/>
      <c r="AYX50" s="25"/>
      <c r="AYY50" s="25"/>
      <c r="AYZ50" s="25"/>
      <c r="AZA50" s="25"/>
      <c r="AZB50" s="25"/>
      <c r="AZC50" s="25"/>
      <c r="AZD50" s="25"/>
      <c r="AZE50" s="25"/>
      <c r="AZF50" s="25"/>
      <c r="AZG50" s="25"/>
      <c r="AZH50" s="25"/>
      <c r="AZI50" s="25"/>
      <c r="AZJ50" s="25"/>
      <c r="AZK50" s="25"/>
      <c r="AZL50" s="25"/>
      <c r="AZM50" s="25"/>
      <c r="AZN50" s="25"/>
      <c r="AZO50" s="25"/>
      <c r="AZP50" s="25"/>
      <c r="AZQ50" s="25"/>
      <c r="AZR50" s="25"/>
      <c r="AZS50" s="25"/>
      <c r="AZT50" s="25"/>
      <c r="AZU50" s="25"/>
      <c r="AZV50" s="25"/>
      <c r="AZW50" s="25"/>
      <c r="AZX50" s="25"/>
      <c r="AZY50" s="25"/>
      <c r="AZZ50" s="25"/>
      <c r="BAA50" s="25"/>
      <c r="BAB50" s="25"/>
      <c r="BAC50" s="25"/>
      <c r="BAD50" s="25"/>
      <c r="BAE50" s="25"/>
      <c r="BAF50" s="25"/>
      <c r="BAG50" s="25"/>
      <c r="BAH50" s="25"/>
      <c r="BAI50" s="25"/>
      <c r="BAJ50" s="25"/>
      <c r="BAK50" s="25"/>
      <c r="BAL50" s="25"/>
      <c r="BAM50" s="25"/>
      <c r="BAN50" s="25"/>
      <c r="BAO50" s="25"/>
      <c r="BAP50" s="25"/>
      <c r="BAQ50" s="25"/>
      <c r="BAR50" s="25"/>
      <c r="BAS50" s="25"/>
      <c r="BAT50" s="25"/>
      <c r="BAU50" s="25"/>
      <c r="BAV50" s="25"/>
      <c r="BAW50" s="25"/>
      <c r="BAX50" s="25"/>
      <c r="BAY50" s="25"/>
      <c r="BAZ50" s="25"/>
      <c r="BBA50" s="25"/>
      <c r="BBB50" s="25"/>
      <c r="BBC50" s="25"/>
      <c r="BBD50" s="25"/>
      <c r="BBE50" s="25"/>
      <c r="BBF50" s="25"/>
      <c r="BBG50" s="25"/>
      <c r="BBH50" s="25"/>
      <c r="BBI50" s="25"/>
      <c r="BBJ50" s="25"/>
      <c r="BBK50" s="25"/>
      <c r="BBL50" s="25"/>
      <c r="BBM50" s="25"/>
      <c r="BBN50" s="25"/>
      <c r="BBO50" s="25"/>
      <c r="BBP50" s="25"/>
      <c r="BBQ50" s="25"/>
      <c r="BBR50" s="25"/>
      <c r="BBS50" s="25"/>
      <c r="BBT50" s="25"/>
      <c r="BBU50" s="25"/>
      <c r="BBV50" s="25"/>
      <c r="BBW50" s="25"/>
      <c r="BBX50" s="25"/>
      <c r="BBY50" s="25"/>
      <c r="BBZ50" s="25"/>
      <c r="BCA50" s="25"/>
      <c r="BCB50" s="25"/>
      <c r="BCC50" s="25"/>
      <c r="BCD50" s="25"/>
      <c r="BCE50" s="25"/>
      <c r="BCF50" s="25"/>
      <c r="BCG50" s="25"/>
      <c r="BCH50" s="25"/>
      <c r="BCI50" s="25"/>
      <c r="BCJ50" s="25"/>
      <c r="BCK50" s="25"/>
      <c r="BCL50" s="25"/>
      <c r="BCM50" s="25"/>
      <c r="BCN50" s="25"/>
      <c r="BCO50" s="25"/>
      <c r="BCP50" s="25"/>
      <c r="BCQ50" s="25"/>
      <c r="BCR50" s="25"/>
      <c r="BCS50" s="25"/>
      <c r="BCT50" s="25"/>
      <c r="BCU50" s="25"/>
      <c r="BCV50" s="25"/>
      <c r="BCW50" s="25"/>
      <c r="BCX50" s="25"/>
      <c r="BCY50" s="25"/>
      <c r="BCZ50" s="25"/>
      <c r="BDA50" s="25"/>
      <c r="BDB50" s="25"/>
      <c r="BDC50" s="25"/>
      <c r="BDD50" s="25"/>
      <c r="BDE50" s="25"/>
      <c r="BDF50" s="25"/>
      <c r="BDG50" s="25"/>
      <c r="BDH50" s="25"/>
      <c r="BDI50" s="25"/>
      <c r="BDJ50" s="25"/>
      <c r="BDK50" s="25"/>
      <c r="BDL50" s="25"/>
      <c r="BDM50" s="25"/>
      <c r="BDN50" s="25"/>
      <c r="BDO50" s="25"/>
      <c r="BDP50" s="25"/>
      <c r="BDQ50" s="25"/>
      <c r="BDR50" s="25"/>
      <c r="BDS50" s="25"/>
      <c r="BDT50" s="25"/>
      <c r="BDU50" s="25"/>
      <c r="BDV50" s="25"/>
      <c r="BDW50" s="25"/>
      <c r="BDX50" s="25"/>
      <c r="BDY50" s="25"/>
      <c r="BDZ50" s="25"/>
      <c r="BEA50" s="25"/>
      <c r="BEB50" s="25"/>
      <c r="BEC50" s="25"/>
      <c r="BED50" s="25"/>
      <c r="BEE50" s="25"/>
      <c r="BEF50" s="25"/>
      <c r="BEG50" s="25"/>
      <c r="BEH50" s="25"/>
      <c r="BEI50" s="25"/>
      <c r="BEJ50" s="25"/>
      <c r="BEK50" s="25"/>
      <c r="BEL50" s="25"/>
      <c r="BEM50" s="25"/>
      <c r="BEN50" s="25"/>
      <c r="BEO50" s="25"/>
      <c r="BEP50" s="25"/>
      <c r="BEQ50" s="25"/>
      <c r="BER50" s="25"/>
      <c r="BES50" s="25"/>
      <c r="BET50" s="25"/>
      <c r="BEU50" s="25"/>
      <c r="BEV50" s="25"/>
      <c r="BEW50" s="25"/>
      <c r="BEX50" s="25"/>
      <c r="BEY50" s="25"/>
      <c r="BEZ50" s="25"/>
      <c r="BFA50" s="25"/>
      <c r="BFB50" s="25"/>
      <c r="BFC50" s="25"/>
      <c r="BFD50" s="25"/>
      <c r="BFE50" s="25"/>
      <c r="BFF50" s="25"/>
      <c r="BFG50" s="25"/>
      <c r="BFH50" s="25"/>
      <c r="BFI50" s="25"/>
      <c r="BFJ50" s="25"/>
      <c r="BFK50" s="25"/>
      <c r="BFL50" s="25"/>
      <c r="BFM50" s="25"/>
      <c r="BFN50" s="25"/>
      <c r="BFO50" s="25"/>
      <c r="BFP50" s="25"/>
      <c r="BFQ50" s="25"/>
      <c r="BFR50" s="25"/>
      <c r="BFS50" s="25"/>
      <c r="BFT50" s="25"/>
      <c r="BFU50" s="25"/>
      <c r="BFV50" s="25"/>
      <c r="BFW50" s="25"/>
      <c r="BFX50" s="25"/>
      <c r="BFY50" s="25"/>
      <c r="BFZ50" s="25"/>
      <c r="BGA50" s="25"/>
      <c r="BGB50" s="25"/>
      <c r="BGC50" s="25"/>
      <c r="BGD50" s="25"/>
      <c r="BGE50" s="25"/>
      <c r="BGF50" s="25"/>
      <c r="BGG50" s="25"/>
      <c r="BGH50" s="25"/>
      <c r="BGI50" s="25"/>
      <c r="BGJ50" s="25"/>
      <c r="BGK50" s="25"/>
      <c r="BGL50" s="25"/>
      <c r="BGM50" s="25"/>
      <c r="BGN50" s="25"/>
      <c r="BGO50" s="25"/>
      <c r="BGP50" s="25"/>
      <c r="BGQ50" s="25"/>
      <c r="BGR50" s="25"/>
      <c r="BGS50" s="25"/>
      <c r="BGT50" s="25"/>
      <c r="BGU50" s="25"/>
      <c r="BGV50" s="25"/>
      <c r="BGW50" s="25"/>
      <c r="BGX50" s="25"/>
      <c r="BGY50" s="25"/>
      <c r="BGZ50" s="25"/>
      <c r="BHA50" s="25"/>
      <c r="BHB50" s="25"/>
      <c r="BHC50" s="25"/>
      <c r="BHD50" s="25"/>
      <c r="BHE50" s="25"/>
      <c r="BHF50" s="25"/>
      <c r="BHG50" s="25"/>
      <c r="BHH50" s="25"/>
      <c r="BHI50" s="25"/>
      <c r="BHJ50" s="25"/>
      <c r="BHK50" s="25"/>
      <c r="BHL50" s="25"/>
      <c r="BHM50" s="25"/>
      <c r="BHN50" s="25"/>
      <c r="BHO50" s="25"/>
      <c r="BHP50" s="25"/>
      <c r="BHQ50" s="25"/>
      <c r="BHR50" s="25"/>
      <c r="BHS50" s="25"/>
      <c r="BHT50" s="25"/>
      <c r="BHU50" s="25"/>
      <c r="BHV50" s="25"/>
      <c r="BHW50" s="25"/>
      <c r="BHX50" s="25"/>
      <c r="BHY50" s="25"/>
      <c r="BHZ50" s="25"/>
      <c r="BIA50" s="25"/>
      <c r="BIB50" s="25"/>
      <c r="BIC50" s="25"/>
      <c r="BID50" s="25"/>
      <c r="BIE50" s="25"/>
      <c r="BIF50" s="25"/>
      <c r="BIG50" s="25"/>
      <c r="BIH50" s="25"/>
      <c r="BII50" s="25"/>
      <c r="BIJ50" s="25"/>
      <c r="BIK50" s="25"/>
      <c r="BIL50" s="25"/>
      <c r="BIM50" s="25"/>
      <c r="BIN50" s="25"/>
      <c r="BIO50" s="25"/>
      <c r="BIP50" s="25"/>
      <c r="BIQ50" s="25"/>
      <c r="BIR50" s="25"/>
      <c r="BIS50" s="25"/>
      <c r="BIT50" s="25"/>
      <c r="BIU50" s="25"/>
      <c r="BIV50" s="25"/>
      <c r="BIW50" s="25"/>
      <c r="BIX50" s="25"/>
      <c r="BIY50" s="25"/>
      <c r="BIZ50" s="25"/>
      <c r="BJA50" s="25"/>
      <c r="BJB50" s="25"/>
      <c r="BJC50" s="25"/>
      <c r="BJD50" s="25"/>
      <c r="BJE50" s="25"/>
      <c r="BJF50" s="25"/>
      <c r="BJG50" s="25"/>
      <c r="BJH50" s="25"/>
      <c r="BJI50" s="25"/>
      <c r="BJJ50" s="25"/>
      <c r="BJK50" s="25"/>
      <c r="BJL50" s="25"/>
      <c r="BJM50" s="25"/>
      <c r="BJN50" s="25"/>
      <c r="BJO50" s="25"/>
      <c r="BJP50" s="25"/>
      <c r="BJQ50" s="25"/>
      <c r="BJR50" s="25"/>
      <c r="BJS50" s="25"/>
      <c r="BJT50" s="25"/>
      <c r="BJU50" s="25"/>
      <c r="BJV50" s="25"/>
      <c r="BJW50" s="25"/>
      <c r="BJX50" s="25"/>
      <c r="BJY50" s="25"/>
      <c r="BJZ50" s="25"/>
      <c r="BKA50" s="25"/>
      <c r="BKB50" s="25"/>
      <c r="BKC50" s="25"/>
      <c r="BKD50" s="25"/>
      <c r="BKE50" s="25"/>
      <c r="BKF50" s="25"/>
      <c r="BKG50" s="25"/>
      <c r="BKH50" s="25"/>
      <c r="BKI50" s="25"/>
      <c r="BKJ50" s="25"/>
      <c r="BKK50" s="25"/>
      <c r="BKL50" s="25"/>
      <c r="BKM50" s="25"/>
      <c r="BKN50" s="25"/>
      <c r="BKO50" s="25"/>
      <c r="BKP50" s="25"/>
      <c r="BKQ50" s="25"/>
      <c r="BKR50" s="25"/>
      <c r="BKS50" s="25"/>
      <c r="BKT50" s="25"/>
      <c r="BKU50" s="25"/>
      <c r="BKV50" s="25"/>
      <c r="BKW50" s="25"/>
      <c r="BKX50" s="25"/>
      <c r="BKY50" s="25"/>
      <c r="BKZ50" s="25"/>
      <c r="BLA50" s="25"/>
      <c r="BLB50" s="25"/>
      <c r="BLC50" s="25"/>
      <c r="BLD50" s="25"/>
      <c r="BLE50" s="25"/>
      <c r="BLF50" s="25"/>
      <c r="BLG50" s="25"/>
      <c r="BLH50" s="25"/>
      <c r="BLI50" s="25"/>
      <c r="BLJ50" s="25"/>
      <c r="BLK50" s="25"/>
      <c r="BLL50" s="25"/>
      <c r="BLM50" s="25"/>
      <c r="BLN50" s="25"/>
      <c r="BLO50" s="25"/>
      <c r="BLP50" s="25"/>
      <c r="BLQ50" s="25"/>
      <c r="BLR50" s="25"/>
      <c r="BLS50" s="25"/>
      <c r="BLT50" s="25"/>
      <c r="BLU50" s="25"/>
      <c r="BLV50" s="25"/>
      <c r="BLW50" s="25"/>
      <c r="BLX50" s="25"/>
      <c r="BLY50" s="25"/>
      <c r="BLZ50" s="25"/>
      <c r="BMA50" s="25"/>
      <c r="BMB50" s="25"/>
      <c r="BMC50" s="25"/>
      <c r="BMD50" s="25"/>
      <c r="BME50" s="25"/>
      <c r="BMF50" s="25"/>
      <c r="BMG50" s="25"/>
      <c r="BMH50" s="25"/>
      <c r="BMI50" s="25"/>
      <c r="BMJ50" s="25"/>
      <c r="BMK50" s="25"/>
      <c r="BML50" s="25"/>
      <c r="BMM50" s="25"/>
      <c r="BMN50" s="25"/>
      <c r="BMO50" s="25"/>
      <c r="BMP50" s="25"/>
      <c r="BMQ50" s="25"/>
      <c r="BMR50" s="25"/>
      <c r="BMS50" s="25"/>
      <c r="BMT50" s="25"/>
      <c r="BMU50" s="25"/>
      <c r="BMV50" s="25"/>
      <c r="BMW50" s="25"/>
      <c r="BMX50" s="25"/>
      <c r="BMY50" s="25"/>
      <c r="BMZ50" s="25"/>
      <c r="BNA50" s="25"/>
      <c r="BNB50" s="25"/>
      <c r="BNC50" s="25"/>
      <c r="BND50" s="25"/>
      <c r="BNE50" s="25"/>
      <c r="BNF50" s="25"/>
      <c r="BNG50" s="25"/>
      <c r="BNH50" s="25"/>
      <c r="BNI50" s="25"/>
      <c r="BNJ50" s="25"/>
      <c r="BNK50" s="25"/>
      <c r="BNL50" s="25"/>
      <c r="BNM50" s="25"/>
      <c r="BNN50" s="25"/>
      <c r="BNO50" s="25"/>
      <c r="BNP50" s="25"/>
      <c r="BNQ50" s="25"/>
      <c r="BNR50" s="25"/>
      <c r="BNS50" s="25"/>
      <c r="BNT50" s="25"/>
      <c r="BNU50" s="25"/>
      <c r="BNV50" s="25"/>
      <c r="BNW50" s="25"/>
      <c r="BNX50" s="25"/>
      <c r="BNY50" s="25"/>
      <c r="BNZ50" s="25"/>
      <c r="BOA50" s="25"/>
      <c r="BOB50" s="25"/>
      <c r="BOC50" s="25"/>
      <c r="BOD50" s="25"/>
      <c r="BOE50" s="25"/>
      <c r="BOF50" s="25"/>
      <c r="BOG50" s="25"/>
      <c r="BOH50" s="25"/>
      <c r="BOI50" s="25"/>
      <c r="BOJ50" s="25"/>
      <c r="BOK50" s="25"/>
      <c r="BOL50" s="25"/>
      <c r="BOM50" s="25"/>
      <c r="BON50" s="25"/>
      <c r="BOO50" s="25"/>
      <c r="BOP50" s="25"/>
      <c r="BOQ50" s="25"/>
      <c r="BOR50" s="25"/>
      <c r="BOS50" s="25"/>
      <c r="BOT50" s="25"/>
      <c r="BOU50" s="25"/>
      <c r="BOV50" s="25"/>
      <c r="BOW50" s="25"/>
      <c r="BOX50" s="25"/>
      <c r="BOY50" s="25"/>
      <c r="BOZ50" s="25"/>
      <c r="BPA50" s="25"/>
      <c r="BPB50" s="25"/>
      <c r="BPC50" s="25"/>
      <c r="BPD50" s="25"/>
      <c r="BPE50" s="25"/>
      <c r="BPF50" s="25"/>
      <c r="BPG50" s="25"/>
      <c r="BPH50" s="25"/>
      <c r="BPI50" s="25"/>
      <c r="BPJ50" s="25"/>
      <c r="BPK50" s="25"/>
      <c r="BPL50" s="25"/>
      <c r="BPM50" s="25"/>
      <c r="BPN50" s="25"/>
      <c r="BPO50" s="25"/>
      <c r="BPP50" s="25"/>
      <c r="BPQ50" s="25"/>
      <c r="BPR50" s="25"/>
      <c r="BPS50" s="25"/>
      <c r="BPT50" s="25"/>
      <c r="BPU50" s="25"/>
      <c r="BPV50" s="25"/>
      <c r="BPW50" s="25"/>
      <c r="BPX50" s="25"/>
      <c r="BPY50" s="25"/>
      <c r="BPZ50" s="25"/>
      <c r="BQA50" s="25"/>
      <c r="BQB50" s="25"/>
      <c r="BQC50" s="25"/>
      <c r="BQD50" s="25"/>
      <c r="BQE50" s="25"/>
      <c r="BQF50" s="25"/>
      <c r="BQG50" s="25"/>
      <c r="BQH50" s="25"/>
      <c r="BQI50" s="25"/>
      <c r="BQJ50" s="25"/>
      <c r="BQK50" s="25"/>
      <c r="BQL50" s="25"/>
      <c r="BQM50" s="25"/>
      <c r="BQN50" s="25"/>
      <c r="BQO50" s="25"/>
      <c r="BQP50" s="25"/>
      <c r="BQQ50" s="25"/>
      <c r="BQR50" s="25"/>
      <c r="BQS50" s="25"/>
      <c r="BQT50" s="25"/>
      <c r="BQU50" s="25"/>
      <c r="BQV50" s="25"/>
      <c r="BQW50" s="25"/>
      <c r="BQX50" s="25"/>
      <c r="BQY50" s="25"/>
      <c r="BQZ50" s="25"/>
      <c r="BRA50" s="25"/>
      <c r="BRB50" s="25"/>
      <c r="BRC50" s="25"/>
      <c r="BRD50" s="25"/>
      <c r="BRE50" s="25"/>
      <c r="BRF50" s="25"/>
      <c r="BRG50" s="25"/>
      <c r="BRH50" s="25"/>
      <c r="BRI50" s="25"/>
      <c r="BRJ50" s="25"/>
      <c r="BRK50" s="25"/>
      <c r="BRL50" s="25"/>
      <c r="BRM50" s="25"/>
      <c r="BRN50" s="25"/>
      <c r="BRO50" s="25"/>
      <c r="BRP50" s="25"/>
      <c r="BRQ50" s="25"/>
      <c r="BRR50" s="25"/>
      <c r="BRS50" s="25"/>
      <c r="BRT50" s="25"/>
      <c r="BRU50" s="25"/>
      <c r="BRV50" s="25"/>
      <c r="BRW50" s="25"/>
      <c r="BRX50" s="25"/>
      <c r="BRY50" s="25"/>
      <c r="BRZ50" s="25"/>
      <c r="BSA50" s="25"/>
      <c r="BSB50" s="25"/>
      <c r="BSC50" s="25"/>
      <c r="BSD50" s="25"/>
      <c r="BSE50" s="25"/>
      <c r="BSF50" s="25"/>
      <c r="BSG50" s="25"/>
      <c r="BSH50" s="25"/>
      <c r="BSI50" s="25"/>
      <c r="BSJ50" s="25"/>
      <c r="BSK50" s="25"/>
      <c r="BSL50" s="25"/>
      <c r="BSM50" s="25"/>
      <c r="BSN50" s="25"/>
      <c r="BSO50" s="25"/>
      <c r="BSP50" s="25"/>
      <c r="BSQ50" s="25"/>
      <c r="BSR50" s="25"/>
      <c r="BSS50" s="25"/>
      <c r="BST50" s="25"/>
      <c r="BSU50" s="25"/>
      <c r="BSV50" s="25"/>
      <c r="BSW50" s="25"/>
      <c r="BSX50" s="25"/>
      <c r="BSY50" s="25"/>
      <c r="BSZ50" s="25"/>
      <c r="BTA50" s="25"/>
      <c r="BTB50" s="25"/>
      <c r="BTC50" s="25"/>
      <c r="BTD50" s="25"/>
      <c r="BTE50" s="25"/>
      <c r="BTF50" s="25"/>
      <c r="BTG50" s="25"/>
      <c r="BTH50" s="25"/>
      <c r="BTI50" s="25"/>
      <c r="BTJ50" s="25"/>
      <c r="BTK50" s="25"/>
      <c r="BTL50" s="25"/>
      <c r="BTM50" s="25"/>
      <c r="BTN50" s="25"/>
      <c r="BTO50" s="25"/>
      <c r="BTP50" s="25"/>
      <c r="BTQ50" s="25"/>
      <c r="BTR50" s="25"/>
      <c r="BTS50" s="25"/>
      <c r="BTT50" s="25"/>
      <c r="BTU50" s="25"/>
      <c r="BTV50" s="25"/>
      <c r="BTW50" s="25"/>
      <c r="BTX50" s="25"/>
      <c r="BTY50" s="25"/>
      <c r="BTZ50" s="25"/>
      <c r="BUA50" s="25"/>
      <c r="BUB50" s="25"/>
      <c r="BUC50" s="25"/>
      <c r="BUD50" s="25"/>
      <c r="BUE50" s="25"/>
      <c r="BUF50" s="25"/>
      <c r="BUG50" s="25"/>
      <c r="BUH50" s="25"/>
      <c r="BUI50" s="25"/>
      <c r="BUJ50" s="25"/>
      <c r="BUK50" s="25"/>
      <c r="BUL50" s="25"/>
      <c r="BUM50" s="25"/>
      <c r="BUN50" s="25"/>
      <c r="BUO50" s="25"/>
      <c r="BUP50" s="25"/>
      <c r="BUQ50" s="25"/>
      <c r="BUR50" s="25"/>
      <c r="BUS50" s="25"/>
      <c r="BUT50" s="25"/>
      <c r="BUU50" s="25"/>
      <c r="BUV50" s="25"/>
      <c r="BUW50" s="25"/>
      <c r="BUX50" s="25"/>
      <c r="BUY50" s="25"/>
      <c r="BUZ50" s="25"/>
      <c r="BVA50" s="25"/>
      <c r="BVB50" s="25"/>
      <c r="BVC50" s="25"/>
      <c r="BVD50" s="25"/>
      <c r="BVE50" s="25"/>
      <c r="BVF50" s="25"/>
      <c r="BVG50" s="25"/>
      <c r="BVH50" s="25"/>
      <c r="BVI50" s="25"/>
      <c r="BVJ50" s="25"/>
      <c r="BVK50" s="25"/>
      <c r="BVL50" s="25"/>
      <c r="BVM50" s="25"/>
      <c r="BVN50" s="25"/>
      <c r="BVO50" s="25"/>
      <c r="BVP50" s="25"/>
      <c r="BVQ50" s="25"/>
      <c r="BVR50" s="25"/>
      <c r="BVS50" s="25"/>
      <c r="BVT50" s="25"/>
      <c r="BVU50" s="25"/>
      <c r="BVV50" s="25"/>
      <c r="BVW50" s="25"/>
      <c r="BVX50" s="25"/>
      <c r="BVY50" s="25"/>
      <c r="BVZ50" s="25"/>
      <c r="BWA50" s="25"/>
      <c r="BWB50" s="25"/>
      <c r="BWC50" s="25"/>
      <c r="BWD50" s="25"/>
      <c r="BWE50" s="25"/>
      <c r="BWF50" s="25"/>
      <c r="BWG50" s="25"/>
      <c r="BWH50" s="25"/>
      <c r="BWI50" s="25"/>
      <c r="BWJ50" s="25"/>
      <c r="BWK50" s="25"/>
      <c r="BWL50" s="25"/>
      <c r="BWM50" s="25"/>
      <c r="BWN50" s="25"/>
      <c r="BWO50" s="25"/>
      <c r="BWP50" s="25"/>
      <c r="BWQ50" s="25"/>
      <c r="BWR50" s="25"/>
      <c r="BWS50" s="25"/>
      <c r="BWT50" s="25"/>
      <c r="BWU50" s="25"/>
      <c r="BWV50" s="25"/>
      <c r="BWW50" s="25"/>
      <c r="BWX50" s="25"/>
      <c r="BWY50" s="25"/>
      <c r="BWZ50" s="25"/>
      <c r="BXA50" s="25"/>
      <c r="BXB50" s="25"/>
      <c r="BXC50" s="25"/>
      <c r="BXD50" s="25"/>
      <c r="BXE50" s="25"/>
      <c r="BXF50" s="25"/>
      <c r="BXG50" s="25"/>
      <c r="BXH50" s="25"/>
      <c r="BXI50" s="25"/>
      <c r="BXJ50" s="25"/>
      <c r="BXK50" s="25"/>
      <c r="BXL50" s="25"/>
      <c r="BXM50" s="25"/>
      <c r="BXN50" s="25"/>
      <c r="BXO50" s="25"/>
      <c r="BXP50" s="25"/>
      <c r="BXQ50" s="25"/>
      <c r="BXR50" s="25"/>
      <c r="BXS50" s="25"/>
      <c r="BXT50" s="25"/>
      <c r="BXU50" s="25"/>
      <c r="BXV50" s="25"/>
      <c r="BXW50" s="25"/>
      <c r="BXX50" s="25"/>
      <c r="BXY50" s="25"/>
      <c r="BXZ50" s="25"/>
      <c r="BYA50" s="25"/>
      <c r="BYB50" s="25"/>
      <c r="BYC50" s="25"/>
      <c r="BYD50" s="25"/>
      <c r="BYE50" s="25"/>
      <c r="BYF50" s="25"/>
      <c r="BYG50" s="25"/>
      <c r="BYH50" s="25"/>
      <c r="BYI50" s="25"/>
      <c r="BYJ50" s="25"/>
      <c r="BYK50" s="25"/>
      <c r="BYL50" s="25"/>
      <c r="BYM50" s="25"/>
      <c r="BYN50" s="25"/>
      <c r="BYO50" s="25"/>
      <c r="BYP50" s="25"/>
      <c r="BYQ50" s="25"/>
      <c r="BYR50" s="25"/>
      <c r="BYS50" s="25"/>
      <c r="BYT50" s="25"/>
      <c r="BYU50" s="25"/>
      <c r="BYV50" s="25"/>
      <c r="BYW50" s="25"/>
      <c r="BYX50" s="25"/>
      <c r="BYY50" s="25"/>
      <c r="BYZ50" s="25"/>
      <c r="BZA50" s="25"/>
      <c r="BZB50" s="25"/>
      <c r="BZC50" s="25"/>
      <c r="BZD50" s="25"/>
      <c r="BZE50" s="25"/>
      <c r="BZF50" s="25"/>
      <c r="BZG50" s="25"/>
      <c r="BZH50" s="25"/>
      <c r="BZI50" s="25"/>
      <c r="BZJ50" s="25"/>
      <c r="BZK50" s="25"/>
      <c r="BZL50" s="25"/>
      <c r="BZM50" s="25"/>
      <c r="BZN50" s="25"/>
      <c r="BZO50" s="25"/>
      <c r="BZP50" s="25"/>
      <c r="BZQ50" s="25"/>
      <c r="BZR50" s="25"/>
      <c r="BZS50" s="25"/>
      <c r="BZT50" s="25"/>
      <c r="BZU50" s="25"/>
      <c r="BZV50" s="25"/>
      <c r="BZW50" s="25"/>
      <c r="BZX50" s="25"/>
      <c r="BZY50" s="25"/>
      <c r="BZZ50" s="25"/>
      <c r="CAA50" s="25"/>
      <c r="CAB50" s="25"/>
      <c r="CAC50" s="25"/>
      <c r="CAD50" s="25"/>
      <c r="CAE50" s="25"/>
      <c r="CAF50" s="25"/>
      <c r="CAG50" s="25"/>
      <c r="CAH50" s="25"/>
      <c r="CAI50" s="25"/>
      <c r="CAJ50" s="25"/>
      <c r="CAK50" s="25"/>
      <c r="CAL50" s="25"/>
      <c r="CAM50" s="25"/>
      <c r="CAN50" s="25"/>
      <c r="CAO50" s="25"/>
      <c r="CAP50" s="25"/>
      <c r="CAQ50" s="25"/>
      <c r="CAR50" s="25"/>
      <c r="CAS50" s="25"/>
      <c r="CAT50" s="25"/>
      <c r="CAU50" s="25"/>
      <c r="CAV50" s="25"/>
      <c r="CAW50" s="25"/>
      <c r="CAX50" s="25"/>
      <c r="CAY50" s="25"/>
      <c r="CAZ50" s="25"/>
      <c r="CBA50" s="25"/>
      <c r="CBB50" s="25"/>
      <c r="CBC50" s="25"/>
      <c r="CBD50" s="25"/>
      <c r="CBE50" s="25"/>
      <c r="CBF50" s="25"/>
      <c r="CBG50" s="25"/>
      <c r="CBH50" s="25"/>
      <c r="CBI50" s="25"/>
      <c r="CBJ50" s="25"/>
      <c r="CBK50" s="25"/>
      <c r="CBL50" s="25"/>
      <c r="CBM50" s="25"/>
      <c r="CBN50" s="25"/>
      <c r="CBO50" s="25"/>
      <c r="CBP50" s="25"/>
      <c r="CBQ50" s="25"/>
      <c r="CBR50" s="25"/>
      <c r="CBS50" s="25"/>
      <c r="CBT50" s="25"/>
      <c r="CBU50" s="25"/>
      <c r="CBV50" s="25"/>
      <c r="CBW50" s="25"/>
      <c r="CBX50" s="25"/>
      <c r="CBY50" s="25"/>
      <c r="CBZ50" s="25"/>
      <c r="CCA50" s="25"/>
      <c r="CCB50" s="25"/>
      <c r="CCC50" s="25"/>
      <c r="CCD50" s="25"/>
      <c r="CCE50" s="25"/>
      <c r="CCF50" s="25"/>
      <c r="CCG50" s="25"/>
      <c r="CCH50" s="25"/>
      <c r="CCI50" s="25"/>
      <c r="CCJ50" s="25"/>
      <c r="CCK50" s="25"/>
      <c r="CCL50" s="25"/>
      <c r="CCM50" s="25"/>
      <c r="CCN50" s="25"/>
      <c r="CCO50" s="25"/>
      <c r="CCP50" s="25"/>
      <c r="CCQ50" s="25"/>
      <c r="CCR50" s="25"/>
      <c r="CCS50" s="25"/>
      <c r="CCT50" s="25"/>
      <c r="CCU50" s="25"/>
      <c r="CCV50" s="25"/>
      <c r="CCW50" s="25"/>
      <c r="CCX50" s="25"/>
      <c r="CCY50" s="25"/>
      <c r="CCZ50" s="25"/>
      <c r="CDA50" s="25"/>
      <c r="CDB50" s="25"/>
      <c r="CDC50" s="25"/>
      <c r="CDD50" s="25"/>
      <c r="CDE50" s="25"/>
      <c r="CDF50" s="25"/>
      <c r="CDG50" s="25"/>
      <c r="CDH50" s="25"/>
      <c r="CDI50" s="25"/>
      <c r="CDJ50" s="25"/>
      <c r="CDK50" s="25"/>
      <c r="CDL50" s="25"/>
      <c r="CDM50" s="25"/>
      <c r="CDN50" s="25"/>
      <c r="CDO50" s="25"/>
      <c r="CDP50" s="25"/>
      <c r="CDQ50" s="25"/>
      <c r="CDR50" s="25"/>
      <c r="CDS50" s="25"/>
      <c r="CDT50" s="25"/>
      <c r="CDU50" s="25"/>
      <c r="CDV50" s="25"/>
      <c r="CDW50" s="25"/>
      <c r="CDX50" s="25"/>
      <c r="CDY50" s="25"/>
      <c r="CDZ50" s="25"/>
      <c r="CEA50" s="25"/>
      <c r="CEB50" s="25"/>
      <c r="CEC50" s="25"/>
      <c r="CED50" s="25"/>
      <c r="CEE50" s="25"/>
      <c r="CEF50" s="25"/>
      <c r="CEG50" s="25"/>
      <c r="CEH50" s="25"/>
      <c r="CEI50" s="25"/>
      <c r="CEJ50" s="25"/>
      <c r="CEK50" s="25"/>
      <c r="CEL50" s="25"/>
      <c r="CEM50" s="25"/>
      <c r="CEN50" s="25"/>
      <c r="CEO50" s="25"/>
      <c r="CEP50" s="25"/>
      <c r="CEQ50" s="25"/>
      <c r="CER50" s="25"/>
      <c r="CES50" s="25"/>
      <c r="CET50" s="25"/>
      <c r="CEU50" s="25"/>
      <c r="CEV50" s="25"/>
      <c r="CEW50" s="25"/>
      <c r="CEX50" s="25"/>
      <c r="CEY50" s="25"/>
      <c r="CEZ50" s="25"/>
      <c r="CFA50" s="25"/>
      <c r="CFB50" s="25"/>
      <c r="CFC50" s="25"/>
      <c r="CFD50" s="25"/>
      <c r="CFE50" s="25"/>
      <c r="CFF50" s="25"/>
      <c r="CFG50" s="25"/>
      <c r="CFH50" s="25"/>
      <c r="CFI50" s="25"/>
      <c r="CFJ50" s="25"/>
      <c r="CFK50" s="25"/>
      <c r="CFL50" s="25"/>
      <c r="CFM50" s="25"/>
      <c r="CFN50" s="25"/>
      <c r="CFO50" s="25"/>
      <c r="CFP50" s="25"/>
      <c r="CFQ50" s="25"/>
      <c r="CFR50" s="25"/>
      <c r="CFS50" s="25"/>
      <c r="CFT50" s="25"/>
      <c r="CFU50" s="25"/>
      <c r="CFV50" s="25"/>
      <c r="CFW50" s="25"/>
      <c r="CFX50" s="25"/>
      <c r="CFY50" s="25"/>
      <c r="CFZ50" s="25"/>
      <c r="CGA50" s="25"/>
      <c r="CGB50" s="25"/>
      <c r="CGC50" s="25"/>
      <c r="CGD50" s="25"/>
      <c r="CGE50" s="25"/>
      <c r="CGF50" s="25"/>
      <c r="CGG50" s="25"/>
      <c r="CGH50" s="25"/>
      <c r="CGI50" s="25"/>
      <c r="CGJ50" s="25"/>
      <c r="CGK50" s="25"/>
      <c r="CGL50" s="25"/>
      <c r="CGM50" s="25"/>
      <c r="CGN50" s="25"/>
      <c r="CGO50" s="25"/>
      <c r="CGP50" s="25"/>
      <c r="CGQ50" s="25"/>
      <c r="CGR50" s="25"/>
      <c r="CGS50" s="25"/>
      <c r="CGT50" s="25"/>
      <c r="CGU50" s="25"/>
      <c r="CGV50" s="25"/>
      <c r="CGW50" s="25"/>
      <c r="CGX50" s="25"/>
      <c r="CGY50" s="25"/>
      <c r="CGZ50" s="25"/>
      <c r="CHA50" s="25"/>
      <c r="CHB50" s="25"/>
      <c r="CHC50" s="25"/>
      <c r="CHD50" s="25"/>
      <c r="CHE50" s="25"/>
      <c r="CHF50" s="25"/>
      <c r="CHG50" s="25"/>
      <c r="CHH50" s="25"/>
      <c r="CHI50" s="25"/>
      <c r="CHJ50" s="25"/>
      <c r="CHK50" s="25"/>
      <c r="CHL50" s="25"/>
      <c r="CHM50" s="25"/>
      <c r="CHN50" s="25"/>
      <c r="CHO50" s="25"/>
      <c r="CHP50" s="25"/>
      <c r="CHQ50" s="25"/>
      <c r="CHR50" s="25"/>
      <c r="CHS50" s="25"/>
      <c r="CHT50" s="25"/>
      <c r="CHU50" s="25"/>
      <c r="CHV50" s="25"/>
      <c r="CHW50" s="25"/>
      <c r="CHX50" s="25"/>
      <c r="CHY50" s="25"/>
      <c r="CHZ50" s="25"/>
      <c r="CIA50" s="25"/>
      <c r="CIB50" s="25"/>
      <c r="CIC50" s="25"/>
      <c r="CID50" s="25"/>
      <c r="CIE50" s="25"/>
      <c r="CIF50" s="25"/>
      <c r="CIG50" s="25"/>
      <c r="CIH50" s="25"/>
      <c r="CII50" s="25"/>
      <c r="CIJ50" s="25"/>
      <c r="CIK50" s="25"/>
      <c r="CIL50" s="25"/>
      <c r="CIM50" s="25"/>
      <c r="CIN50" s="25"/>
      <c r="CIO50" s="25"/>
      <c r="CIP50" s="25"/>
      <c r="CIQ50" s="25"/>
      <c r="CIR50" s="25"/>
      <c r="CIS50" s="25"/>
      <c r="CIT50" s="25"/>
      <c r="CIU50" s="25"/>
      <c r="CIV50" s="25"/>
      <c r="CIW50" s="25"/>
      <c r="CIX50" s="25"/>
      <c r="CIY50" s="25"/>
      <c r="CIZ50" s="25"/>
      <c r="CJA50" s="25"/>
      <c r="CJB50" s="25"/>
      <c r="CJC50" s="25"/>
      <c r="CJD50" s="25"/>
      <c r="CJE50" s="25"/>
      <c r="CJF50" s="25"/>
      <c r="CJG50" s="25"/>
      <c r="CJH50" s="25"/>
      <c r="CJI50" s="25"/>
      <c r="CJJ50" s="25"/>
      <c r="CJK50" s="25"/>
      <c r="CJL50" s="25"/>
      <c r="CJM50" s="25"/>
      <c r="CJN50" s="25"/>
      <c r="CJO50" s="25"/>
      <c r="CJP50" s="25"/>
      <c r="CJQ50" s="25"/>
      <c r="CJR50" s="25"/>
      <c r="CJS50" s="25"/>
      <c r="CJT50" s="25"/>
      <c r="CJU50" s="25"/>
      <c r="CJV50" s="25"/>
      <c r="CJW50" s="25"/>
      <c r="CJX50" s="25"/>
      <c r="CJY50" s="25"/>
      <c r="CJZ50" s="25"/>
      <c r="CKA50" s="25"/>
      <c r="CKB50" s="25"/>
      <c r="CKC50" s="25"/>
      <c r="CKD50" s="25"/>
      <c r="CKE50" s="25"/>
      <c r="CKF50" s="25"/>
      <c r="CKG50" s="25"/>
      <c r="CKH50" s="25"/>
      <c r="CKI50" s="25"/>
      <c r="CKJ50" s="25"/>
      <c r="CKK50" s="25"/>
      <c r="CKL50" s="25"/>
      <c r="CKM50" s="25"/>
      <c r="CKN50" s="25"/>
      <c r="CKO50" s="25"/>
      <c r="CKP50" s="25"/>
      <c r="CKQ50" s="25"/>
      <c r="CKR50" s="25"/>
      <c r="CKS50" s="25"/>
      <c r="CKT50" s="25"/>
      <c r="CKU50" s="25"/>
      <c r="CKV50" s="25"/>
      <c r="CKW50" s="25"/>
      <c r="CKX50" s="25"/>
      <c r="CKY50" s="25"/>
      <c r="CKZ50" s="25"/>
      <c r="CLA50" s="25"/>
      <c r="CLB50" s="25"/>
      <c r="CLC50" s="25"/>
      <c r="CLD50" s="25"/>
      <c r="CLE50" s="25"/>
      <c r="CLF50" s="25"/>
      <c r="CLG50" s="25"/>
      <c r="CLH50" s="25"/>
      <c r="CLI50" s="25"/>
      <c r="CLJ50" s="25"/>
      <c r="CLK50" s="25"/>
      <c r="CLL50" s="25"/>
      <c r="CLM50" s="25"/>
      <c r="CLN50" s="25"/>
      <c r="CLO50" s="25"/>
      <c r="CLP50" s="25"/>
      <c r="CLQ50" s="25"/>
      <c r="CLR50" s="25"/>
      <c r="CLS50" s="25"/>
      <c r="CLT50" s="25"/>
      <c r="CLU50" s="25"/>
      <c r="CLV50" s="25"/>
      <c r="CLW50" s="25"/>
      <c r="CLX50" s="25"/>
      <c r="CLY50" s="25"/>
      <c r="CLZ50" s="25"/>
      <c r="CMA50" s="25"/>
      <c r="CMB50" s="25"/>
      <c r="CMC50" s="25"/>
      <c r="CMD50" s="25"/>
      <c r="CME50" s="25"/>
      <c r="CMF50" s="25"/>
      <c r="CMG50" s="25"/>
      <c r="CMH50" s="25"/>
      <c r="CMI50" s="25"/>
      <c r="CMJ50" s="25"/>
      <c r="CMK50" s="25"/>
      <c r="CML50" s="25"/>
      <c r="CMM50" s="25"/>
      <c r="CMN50" s="25"/>
      <c r="CMO50" s="25"/>
      <c r="CMP50" s="25"/>
      <c r="CMQ50" s="25"/>
      <c r="CMR50" s="25"/>
      <c r="CMS50" s="25"/>
      <c r="CMT50" s="25"/>
      <c r="CMU50" s="25"/>
      <c r="CMV50" s="25"/>
      <c r="CMW50" s="25"/>
      <c r="CMX50" s="25"/>
      <c r="CMY50" s="25"/>
      <c r="CMZ50" s="25"/>
      <c r="CNA50" s="25"/>
      <c r="CNB50" s="25"/>
      <c r="CNC50" s="25"/>
      <c r="CND50" s="25"/>
      <c r="CNE50" s="25"/>
      <c r="CNF50" s="25"/>
      <c r="CNG50" s="25"/>
      <c r="CNH50" s="25"/>
      <c r="CNI50" s="25"/>
      <c r="CNJ50" s="25"/>
      <c r="CNK50" s="25"/>
      <c r="CNL50" s="25"/>
      <c r="CNM50" s="25"/>
      <c r="CNN50" s="25"/>
      <c r="CNO50" s="25"/>
      <c r="CNP50" s="25"/>
      <c r="CNQ50" s="25"/>
      <c r="CNR50" s="25"/>
      <c r="CNS50" s="25"/>
      <c r="CNT50" s="25"/>
      <c r="CNU50" s="25"/>
      <c r="CNV50" s="25"/>
      <c r="CNW50" s="25"/>
      <c r="CNX50" s="25"/>
      <c r="CNY50" s="25"/>
      <c r="CNZ50" s="25"/>
      <c r="COA50" s="25"/>
      <c r="COB50" s="25"/>
      <c r="COC50" s="25"/>
      <c r="COD50" s="25"/>
      <c r="COE50" s="25"/>
      <c r="COF50" s="25"/>
      <c r="COG50" s="25"/>
      <c r="COH50" s="25"/>
      <c r="COI50" s="25"/>
      <c r="COJ50" s="25"/>
      <c r="COK50" s="25"/>
      <c r="COL50" s="25"/>
      <c r="COM50" s="25"/>
      <c r="CON50" s="25"/>
      <c r="COO50" s="25"/>
      <c r="COP50" s="25"/>
      <c r="COQ50" s="25"/>
      <c r="COR50" s="25"/>
      <c r="COS50" s="25"/>
      <c r="COT50" s="25"/>
      <c r="COU50" s="25"/>
      <c r="COV50" s="25"/>
      <c r="COW50" s="25"/>
      <c r="COX50" s="25"/>
      <c r="COY50" s="25"/>
      <c r="COZ50" s="25"/>
      <c r="CPA50" s="25"/>
      <c r="CPB50" s="25"/>
      <c r="CPC50" s="25"/>
      <c r="CPD50" s="25"/>
      <c r="CPE50" s="25"/>
      <c r="CPF50" s="25"/>
      <c r="CPG50" s="25"/>
      <c r="CPH50" s="25"/>
      <c r="CPI50" s="25"/>
      <c r="CPJ50" s="25"/>
      <c r="CPK50" s="25"/>
      <c r="CPL50" s="25"/>
      <c r="CPM50" s="25"/>
      <c r="CPN50" s="25"/>
      <c r="CPO50" s="25"/>
      <c r="CPP50" s="25"/>
      <c r="CPQ50" s="25"/>
      <c r="CPR50" s="25"/>
      <c r="CPS50" s="25"/>
      <c r="CPT50" s="25"/>
      <c r="CPU50" s="25"/>
      <c r="CPV50" s="25"/>
      <c r="CPW50" s="25"/>
      <c r="CPX50" s="25"/>
      <c r="CPY50" s="25"/>
      <c r="CPZ50" s="25"/>
      <c r="CQA50" s="25"/>
      <c r="CQB50" s="25"/>
      <c r="CQC50" s="25"/>
      <c r="CQD50" s="25"/>
      <c r="CQE50" s="25"/>
      <c r="CQF50" s="25"/>
      <c r="CQG50" s="25"/>
      <c r="CQH50" s="25"/>
      <c r="CQI50" s="25"/>
      <c r="CQJ50" s="25"/>
      <c r="CQK50" s="25"/>
      <c r="CQL50" s="25"/>
      <c r="CQM50" s="25"/>
      <c r="CQN50" s="25"/>
      <c r="CQO50" s="25"/>
      <c r="CQP50" s="25"/>
      <c r="CQQ50" s="25"/>
      <c r="CQR50" s="25"/>
      <c r="CQS50" s="25"/>
      <c r="CQT50" s="25"/>
      <c r="CQU50" s="25"/>
      <c r="CQV50" s="25"/>
      <c r="CQW50" s="25"/>
      <c r="CQX50" s="25"/>
      <c r="CQY50" s="25"/>
      <c r="CQZ50" s="25"/>
      <c r="CRA50" s="25"/>
      <c r="CRB50" s="25"/>
      <c r="CRC50" s="25"/>
      <c r="CRD50" s="25"/>
      <c r="CRE50" s="25"/>
      <c r="CRF50" s="25"/>
      <c r="CRG50" s="25"/>
      <c r="CRH50" s="25"/>
      <c r="CRI50" s="25"/>
      <c r="CRJ50" s="25"/>
      <c r="CRK50" s="25"/>
      <c r="CRL50" s="25"/>
      <c r="CRM50" s="25"/>
      <c r="CRN50" s="25"/>
      <c r="CRO50" s="25"/>
      <c r="CRP50" s="25"/>
      <c r="CRQ50" s="25"/>
      <c r="CRR50" s="25"/>
      <c r="CRS50" s="25"/>
      <c r="CRT50" s="25"/>
      <c r="CRU50" s="25"/>
      <c r="CRV50" s="25"/>
      <c r="CRW50" s="25"/>
      <c r="CRX50" s="25"/>
      <c r="CRY50" s="25"/>
      <c r="CRZ50" s="25"/>
      <c r="CSA50" s="25"/>
      <c r="CSB50" s="25"/>
      <c r="CSC50" s="25"/>
      <c r="CSD50" s="25"/>
      <c r="CSE50" s="25"/>
      <c r="CSF50" s="25"/>
      <c r="CSG50" s="25"/>
      <c r="CSH50" s="25"/>
      <c r="CSI50" s="25"/>
      <c r="CSJ50" s="25"/>
      <c r="CSK50" s="25"/>
      <c r="CSL50" s="25"/>
      <c r="CSM50" s="25"/>
      <c r="CSN50" s="25"/>
      <c r="CSO50" s="25"/>
      <c r="CSP50" s="25"/>
      <c r="CSQ50" s="25"/>
      <c r="CSR50" s="25"/>
      <c r="CSS50" s="25"/>
      <c r="CST50" s="25"/>
      <c r="CSU50" s="25"/>
      <c r="CSV50" s="25"/>
      <c r="CSW50" s="25"/>
      <c r="CSX50" s="25"/>
      <c r="CSY50" s="25"/>
      <c r="CSZ50" s="25"/>
      <c r="CTA50" s="25"/>
      <c r="CTB50" s="25"/>
      <c r="CTC50" s="25"/>
      <c r="CTD50" s="25"/>
      <c r="CTE50" s="25"/>
      <c r="CTF50" s="25"/>
      <c r="CTG50" s="25"/>
      <c r="CTH50" s="25"/>
      <c r="CTI50" s="25"/>
      <c r="CTJ50" s="25"/>
      <c r="CTK50" s="25"/>
      <c r="CTL50" s="25"/>
      <c r="CTM50" s="25"/>
      <c r="CTN50" s="25"/>
      <c r="CTO50" s="25"/>
      <c r="CTP50" s="25"/>
      <c r="CTQ50" s="25"/>
      <c r="CTR50" s="25"/>
      <c r="CTS50" s="25"/>
      <c r="CTT50" s="25"/>
      <c r="CTU50" s="25"/>
      <c r="CTV50" s="25"/>
      <c r="CTW50" s="25"/>
      <c r="CTX50" s="25"/>
      <c r="CTY50" s="25"/>
      <c r="CTZ50" s="25"/>
      <c r="CUA50" s="25"/>
      <c r="CUB50" s="25"/>
      <c r="CUC50" s="25"/>
      <c r="CUD50" s="25"/>
      <c r="CUE50" s="25"/>
      <c r="CUF50" s="25"/>
      <c r="CUG50" s="25"/>
      <c r="CUH50" s="25"/>
      <c r="CUI50" s="25"/>
      <c r="CUJ50" s="25"/>
      <c r="CUK50" s="25"/>
      <c r="CUL50" s="25"/>
      <c r="CUM50" s="25"/>
      <c r="CUN50" s="25"/>
      <c r="CUO50" s="25"/>
      <c r="CUP50" s="25"/>
      <c r="CUQ50" s="25"/>
      <c r="CUR50" s="25"/>
      <c r="CUS50" s="25"/>
      <c r="CUT50" s="25"/>
      <c r="CUU50" s="25"/>
      <c r="CUV50" s="25"/>
      <c r="CUW50" s="25"/>
      <c r="CUX50" s="25"/>
      <c r="CUY50" s="25"/>
      <c r="CUZ50" s="25"/>
      <c r="CVA50" s="25"/>
      <c r="CVB50" s="25"/>
      <c r="CVC50" s="25"/>
      <c r="CVD50" s="25"/>
      <c r="CVE50" s="25"/>
      <c r="CVF50" s="25"/>
      <c r="CVG50" s="25"/>
      <c r="CVH50" s="25"/>
      <c r="CVI50" s="25"/>
      <c r="CVJ50" s="25"/>
      <c r="CVK50" s="25"/>
      <c r="CVL50" s="25"/>
      <c r="CVM50" s="25"/>
      <c r="CVN50" s="25"/>
      <c r="CVO50" s="25"/>
      <c r="CVP50" s="25"/>
      <c r="CVQ50" s="25"/>
      <c r="CVR50" s="25"/>
      <c r="CVS50" s="25"/>
      <c r="CVT50" s="25"/>
      <c r="CVU50" s="25"/>
      <c r="CVV50" s="25"/>
      <c r="CVW50" s="25"/>
      <c r="CVX50" s="25"/>
      <c r="CVY50" s="25"/>
      <c r="CVZ50" s="25"/>
      <c r="CWA50" s="25"/>
      <c r="CWB50" s="25"/>
      <c r="CWC50" s="25"/>
      <c r="CWD50" s="25"/>
      <c r="CWE50" s="25"/>
      <c r="CWF50" s="25"/>
      <c r="CWG50" s="25"/>
      <c r="CWH50" s="25"/>
      <c r="CWI50" s="25"/>
      <c r="CWJ50" s="25"/>
      <c r="CWK50" s="25"/>
      <c r="CWL50" s="25"/>
      <c r="CWM50" s="25"/>
      <c r="CWN50" s="25"/>
      <c r="CWO50" s="25"/>
      <c r="CWP50" s="25"/>
      <c r="CWQ50" s="25"/>
      <c r="CWR50" s="25"/>
      <c r="CWS50" s="25"/>
      <c r="CWT50" s="25"/>
      <c r="CWU50" s="25"/>
      <c r="CWV50" s="25"/>
      <c r="CWW50" s="25"/>
      <c r="CWX50" s="25"/>
      <c r="CWY50" s="25"/>
      <c r="CWZ50" s="25"/>
      <c r="CXA50" s="25"/>
      <c r="CXB50" s="25"/>
      <c r="CXC50" s="25"/>
      <c r="CXD50" s="25"/>
      <c r="CXE50" s="25"/>
      <c r="CXF50" s="25"/>
      <c r="CXG50" s="25"/>
      <c r="CXH50" s="25"/>
      <c r="CXI50" s="25"/>
      <c r="CXJ50" s="25"/>
      <c r="CXK50" s="25"/>
      <c r="CXL50" s="25"/>
      <c r="CXM50" s="25"/>
      <c r="CXN50" s="25"/>
      <c r="CXO50" s="25"/>
      <c r="CXP50" s="25"/>
      <c r="CXQ50" s="25"/>
      <c r="CXR50" s="25"/>
      <c r="CXS50" s="25"/>
      <c r="CXT50" s="25"/>
      <c r="CXU50" s="25"/>
      <c r="CXV50" s="25"/>
      <c r="CXW50" s="25"/>
      <c r="CXX50" s="25"/>
      <c r="CXY50" s="25"/>
      <c r="CXZ50" s="25"/>
      <c r="CYA50" s="25"/>
      <c r="CYB50" s="25"/>
      <c r="CYC50" s="25"/>
      <c r="CYD50" s="25"/>
      <c r="CYE50" s="25"/>
      <c r="CYF50" s="25"/>
      <c r="CYG50" s="25"/>
      <c r="CYH50" s="25"/>
      <c r="CYI50" s="25"/>
      <c r="CYJ50" s="25"/>
      <c r="CYK50" s="25"/>
      <c r="CYL50" s="25"/>
      <c r="CYM50" s="25"/>
      <c r="CYN50" s="25"/>
      <c r="CYO50" s="25"/>
      <c r="CYP50" s="25"/>
      <c r="CYQ50" s="25"/>
      <c r="CYR50" s="25"/>
      <c r="CYS50" s="25"/>
      <c r="CYT50" s="25"/>
      <c r="CYU50" s="25"/>
      <c r="CYV50" s="25"/>
      <c r="CYW50" s="25"/>
      <c r="CYX50" s="25"/>
      <c r="CYY50" s="25"/>
      <c r="CYZ50" s="25"/>
      <c r="CZA50" s="25"/>
      <c r="CZB50" s="25"/>
      <c r="CZC50" s="25"/>
      <c r="CZD50" s="25"/>
      <c r="CZE50" s="25"/>
      <c r="CZF50" s="25"/>
      <c r="CZG50" s="25"/>
      <c r="CZH50" s="25"/>
      <c r="CZI50" s="25"/>
      <c r="CZJ50" s="25"/>
      <c r="CZK50" s="25"/>
      <c r="CZL50" s="25"/>
      <c r="CZM50" s="25"/>
      <c r="CZN50" s="25"/>
      <c r="CZO50" s="25"/>
      <c r="CZP50" s="25"/>
      <c r="CZQ50" s="25"/>
      <c r="CZR50" s="25"/>
      <c r="CZS50" s="25"/>
      <c r="CZT50" s="25"/>
      <c r="CZU50" s="25"/>
      <c r="CZV50" s="25"/>
      <c r="CZW50" s="25"/>
      <c r="CZX50" s="25"/>
      <c r="CZY50" s="25"/>
      <c r="CZZ50" s="25"/>
      <c r="DAA50" s="25"/>
      <c r="DAB50" s="25"/>
      <c r="DAC50" s="25"/>
      <c r="DAD50" s="25"/>
      <c r="DAE50" s="25"/>
      <c r="DAF50" s="25"/>
      <c r="DAG50" s="25"/>
      <c r="DAH50" s="25"/>
      <c r="DAI50" s="25"/>
      <c r="DAJ50" s="25"/>
      <c r="DAK50" s="25"/>
      <c r="DAL50" s="25"/>
      <c r="DAM50" s="25"/>
      <c r="DAN50" s="25"/>
      <c r="DAO50" s="25"/>
      <c r="DAP50" s="25"/>
      <c r="DAQ50" s="25"/>
      <c r="DAR50" s="25"/>
      <c r="DAS50" s="25"/>
      <c r="DAT50" s="25"/>
      <c r="DAU50" s="25"/>
      <c r="DAV50" s="25"/>
      <c r="DAW50" s="25"/>
      <c r="DAX50" s="25"/>
      <c r="DAY50" s="25"/>
      <c r="DAZ50" s="25"/>
      <c r="DBA50" s="25"/>
      <c r="DBB50" s="25"/>
      <c r="DBC50" s="25"/>
      <c r="DBD50" s="25"/>
      <c r="DBE50" s="25"/>
      <c r="DBF50" s="25"/>
      <c r="DBG50" s="25"/>
      <c r="DBH50" s="25"/>
      <c r="DBI50" s="25"/>
      <c r="DBJ50" s="25"/>
      <c r="DBK50" s="25"/>
      <c r="DBL50" s="25"/>
      <c r="DBM50" s="25"/>
      <c r="DBN50" s="25"/>
      <c r="DBO50" s="25"/>
      <c r="DBP50" s="25"/>
      <c r="DBQ50" s="25"/>
      <c r="DBR50" s="25"/>
      <c r="DBS50" s="25"/>
      <c r="DBT50" s="25"/>
      <c r="DBU50" s="25"/>
      <c r="DBV50" s="25"/>
      <c r="DBW50" s="25"/>
      <c r="DBX50" s="25"/>
      <c r="DBY50" s="25"/>
      <c r="DBZ50" s="25"/>
      <c r="DCA50" s="25"/>
      <c r="DCB50" s="25"/>
      <c r="DCC50" s="25"/>
      <c r="DCD50" s="25"/>
      <c r="DCE50" s="25"/>
      <c r="DCF50" s="25"/>
      <c r="DCG50" s="25"/>
      <c r="DCH50" s="25"/>
      <c r="DCI50" s="25"/>
      <c r="DCJ50" s="25"/>
      <c r="DCK50" s="25"/>
      <c r="DCL50" s="25"/>
      <c r="DCM50" s="25"/>
      <c r="DCN50" s="25"/>
      <c r="DCO50" s="25"/>
      <c r="DCP50" s="25"/>
      <c r="DCQ50" s="25"/>
      <c r="DCR50" s="25"/>
      <c r="DCS50" s="25"/>
      <c r="DCT50" s="25"/>
      <c r="DCU50" s="25"/>
      <c r="DCV50" s="25"/>
      <c r="DCW50" s="25"/>
      <c r="DCX50" s="25"/>
      <c r="DCY50" s="25"/>
      <c r="DCZ50" s="25"/>
      <c r="DDA50" s="25"/>
      <c r="DDB50" s="25"/>
      <c r="DDC50" s="25"/>
      <c r="DDD50" s="25"/>
      <c r="DDE50" s="25"/>
      <c r="DDF50" s="25"/>
      <c r="DDG50" s="25"/>
      <c r="DDH50" s="25"/>
      <c r="DDI50" s="25"/>
      <c r="DDJ50" s="25"/>
      <c r="DDK50" s="25"/>
      <c r="DDL50" s="25"/>
      <c r="DDM50" s="25"/>
      <c r="DDN50" s="25"/>
      <c r="DDO50" s="25"/>
      <c r="DDP50" s="25"/>
      <c r="DDQ50" s="25"/>
      <c r="DDR50" s="25"/>
      <c r="DDS50" s="25"/>
      <c r="DDT50" s="25"/>
      <c r="DDU50" s="25"/>
      <c r="DDV50" s="25"/>
      <c r="DDW50" s="25"/>
      <c r="DDX50" s="25"/>
      <c r="DDY50" s="25"/>
      <c r="DDZ50" s="25"/>
      <c r="DEA50" s="25"/>
      <c r="DEB50" s="25"/>
      <c r="DEC50" s="25"/>
      <c r="DED50" s="25"/>
      <c r="DEE50" s="25"/>
      <c r="DEF50" s="25"/>
      <c r="DEG50" s="25"/>
      <c r="DEH50" s="25"/>
      <c r="DEI50" s="25"/>
      <c r="DEJ50" s="25"/>
      <c r="DEK50" s="25"/>
      <c r="DEL50" s="25"/>
      <c r="DEM50" s="25"/>
      <c r="DEN50" s="25"/>
      <c r="DEO50" s="25"/>
      <c r="DEP50" s="25"/>
      <c r="DEQ50" s="25"/>
      <c r="DER50" s="25"/>
      <c r="DES50" s="25"/>
      <c r="DET50" s="25"/>
      <c r="DEU50" s="25"/>
      <c r="DEV50" s="25"/>
      <c r="DEW50" s="25"/>
      <c r="DEX50" s="25"/>
      <c r="DEY50" s="25"/>
      <c r="DEZ50" s="25"/>
      <c r="DFA50" s="25"/>
      <c r="DFB50" s="25"/>
      <c r="DFC50" s="25"/>
      <c r="DFD50" s="25"/>
      <c r="DFE50" s="25"/>
      <c r="DFF50" s="25"/>
      <c r="DFG50" s="25"/>
      <c r="DFH50" s="25"/>
      <c r="DFI50" s="25"/>
      <c r="DFJ50" s="25"/>
      <c r="DFK50" s="25"/>
      <c r="DFL50" s="25"/>
      <c r="DFM50" s="25"/>
      <c r="DFN50" s="25"/>
      <c r="DFO50" s="25"/>
      <c r="DFP50" s="25"/>
      <c r="DFQ50" s="25"/>
      <c r="DFR50" s="25"/>
      <c r="DFS50" s="25"/>
      <c r="DFT50" s="25"/>
      <c r="DFU50" s="25"/>
      <c r="DFV50" s="25"/>
      <c r="DFW50" s="25"/>
      <c r="DFX50" s="25"/>
      <c r="DFY50" s="25"/>
      <c r="DFZ50" s="25"/>
      <c r="DGA50" s="25"/>
      <c r="DGB50" s="25"/>
      <c r="DGC50" s="25"/>
      <c r="DGD50" s="25"/>
      <c r="DGE50" s="25"/>
      <c r="DGF50" s="25"/>
      <c r="DGG50" s="25"/>
      <c r="DGH50" s="25"/>
      <c r="DGI50" s="25"/>
      <c r="DGJ50" s="25"/>
      <c r="DGK50" s="25"/>
      <c r="DGL50" s="25"/>
      <c r="DGM50" s="25"/>
      <c r="DGN50" s="25"/>
      <c r="DGO50" s="25"/>
      <c r="DGP50" s="25"/>
      <c r="DGQ50" s="25"/>
      <c r="DGR50" s="25"/>
      <c r="DGS50" s="25"/>
      <c r="DGT50" s="25"/>
      <c r="DGU50" s="25"/>
      <c r="DGV50" s="25"/>
      <c r="DGW50" s="25"/>
      <c r="DGX50" s="25"/>
      <c r="DGY50" s="25"/>
      <c r="DGZ50" s="25"/>
      <c r="DHA50" s="25"/>
      <c r="DHB50" s="25"/>
      <c r="DHC50" s="25"/>
      <c r="DHD50" s="25"/>
      <c r="DHE50" s="25"/>
      <c r="DHF50" s="25"/>
      <c r="DHG50" s="25"/>
      <c r="DHH50" s="25"/>
      <c r="DHI50" s="25"/>
      <c r="DHJ50" s="25"/>
      <c r="DHK50" s="25"/>
      <c r="DHL50" s="25"/>
      <c r="DHM50" s="25"/>
      <c r="DHN50" s="25"/>
      <c r="DHO50" s="25"/>
      <c r="DHP50" s="25"/>
      <c r="DHQ50" s="25"/>
      <c r="DHR50" s="25"/>
      <c r="DHS50" s="25"/>
      <c r="DHT50" s="25"/>
      <c r="DHU50" s="25"/>
      <c r="DHV50" s="25"/>
      <c r="DHW50" s="25"/>
      <c r="DHX50" s="25"/>
      <c r="DHY50" s="25"/>
      <c r="DHZ50" s="25"/>
      <c r="DIA50" s="25"/>
      <c r="DIB50" s="25"/>
      <c r="DIC50" s="25"/>
      <c r="DID50" s="25"/>
      <c r="DIE50" s="25"/>
      <c r="DIF50" s="25"/>
      <c r="DIG50" s="25"/>
      <c r="DIH50" s="25"/>
      <c r="DII50" s="25"/>
      <c r="DIJ50" s="25"/>
      <c r="DIK50" s="25"/>
      <c r="DIL50" s="25"/>
      <c r="DIM50" s="25"/>
      <c r="DIN50" s="25"/>
      <c r="DIO50" s="25"/>
      <c r="DIP50" s="25"/>
      <c r="DIQ50" s="25"/>
      <c r="DIR50" s="25"/>
      <c r="DIS50" s="25"/>
      <c r="DIT50" s="25"/>
      <c r="DIU50" s="25"/>
      <c r="DIV50" s="25"/>
      <c r="DIW50" s="25"/>
      <c r="DIX50" s="25"/>
      <c r="DIY50" s="25"/>
      <c r="DIZ50" s="25"/>
      <c r="DJA50" s="25"/>
      <c r="DJB50" s="25"/>
      <c r="DJC50" s="25"/>
      <c r="DJD50" s="25"/>
      <c r="DJE50" s="25"/>
      <c r="DJF50" s="25"/>
      <c r="DJG50" s="25"/>
      <c r="DJH50" s="25"/>
      <c r="DJI50" s="25"/>
      <c r="DJJ50" s="25"/>
      <c r="DJK50" s="25"/>
      <c r="DJL50" s="25"/>
      <c r="DJM50" s="25"/>
      <c r="DJN50" s="25"/>
      <c r="DJO50" s="25"/>
      <c r="DJP50" s="25"/>
      <c r="DJQ50" s="25"/>
      <c r="DJR50" s="25"/>
      <c r="DJS50" s="25"/>
      <c r="DJT50" s="25"/>
      <c r="DJU50" s="25"/>
      <c r="DJV50" s="25"/>
      <c r="DJW50" s="25"/>
      <c r="DJX50" s="25"/>
      <c r="DJY50" s="25"/>
      <c r="DJZ50" s="25"/>
      <c r="DKA50" s="25"/>
      <c r="DKB50" s="25"/>
      <c r="DKC50" s="25"/>
      <c r="DKD50" s="25"/>
      <c r="DKE50" s="25"/>
      <c r="DKF50" s="25"/>
      <c r="DKG50" s="25"/>
      <c r="DKH50" s="25"/>
      <c r="DKI50" s="25"/>
      <c r="DKJ50" s="25"/>
      <c r="DKK50" s="25"/>
      <c r="DKL50" s="25"/>
      <c r="DKM50" s="25"/>
      <c r="DKN50" s="25"/>
      <c r="DKO50" s="25"/>
      <c r="DKP50" s="25"/>
      <c r="DKQ50" s="25"/>
      <c r="DKR50" s="25"/>
      <c r="DKS50" s="25"/>
      <c r="DKT50" s="25"/>
      <c r="DKU50" s="25"/>
      <c r="DKV50" s="25"/>
      <c r="DKW50" s="25"/>
      <c r="DKX50" s="25"/>
      <c r="DKY50" s="25"/>
      <c r="DKZ50" s="25"/>
      <c r="DLA50" s="25"/>
      <c r="DLB50" s="25"/>
      <c r="DLC50" s="25"/>
      <c r="DLD50" s="25"/>
      <c r="DLE50" s="25"/>
      <c r="DLF50" s="25"/>
      <c r="DLG50" s="25"/>
      <c r="DLH50" s="25"/>
      <c r="DLI50" s="25"/>
      <c r="DLJ50" s="25"/>
      <c r="DLK50" s="25"/>
      <c r="DLL50" s="25"/>
      <c r="DLM50" s="25"/>
      <c r="DLN50" s="25"/>
      <c r="DLO50" s="25"/>
      <c r="DLP50" s="25"/>
      <c r="DLQ50" s="25"/>
      <c r="DLR50" s="25"/>
      <c r="DLS50" s="25"/>
      <c r="DLT50" s="25"/>
      <c r="DLU50" s="25"/>
      <c r="DLV50" s="25"/>
      <c r="DLW50" s="25"/>
      <c r="DLX50" s="25"/>
      <c r="DLY50" s="25"/>
      <c r="DLZ50" s="25"/>
      <c r="DMA50" s="25"/>
      <c r="DMB50" s="25"/>
      <c r="DMC50" s="25"/>
      <c r="DMD50" s="25"/>
      <c r="DME50" s="25"/>
      <c r="DMF50" s="25"/>
      <c r="DMG50" s="25"/>
      <c r="DMH50" s="25"/>
      <c r="DMI50" s="25"/>
      <c r="DMJ50" s="25"/>
      <c r="DMK50" s="25"/>
      <c r="DML50" s="25"/>
      <c r="DMM50" s="25"/>
      <c r="DMN50" s="25"/>
      <c r="DMO50" s="25"/>
      <c r="DMP50" s="25"/>
      <c r="DMQ50" s="25"/>
      <c r="DMR50" s="25"/>
      <c r="DMS50" s="25"/>
      <c r="DMT50" s="25"/>
      <c r="DMU50" s="25"/>
      <c r="DMV50" s="25"/>
      <c r="DMW50" s="25"/>
      <c r="DMX50" s="25"/>
      <c r="DMY50" s="25"/>
      <c r="DMZ50" s="25"/>
      <c r="DNA50" s="25"/>
      <c r="DNB50" s="25"/>
      <c r="DNC50" s="25"/>
      <c r="DND50" s="25"/>
      <c r="DNE50" s="25"/>
      <c r="DNF50" s="25"/>
      <c r="DNG50" s="25"/>
      <c r="DNH50" s="25"/>
      <c r="DNI50" s="25"/>
      <c r="DNJ50" s="25"/>
      <c r="DNK50" s="25"/>
      <c r="DNL50" s="25"/>
      <c r="DNM50" s="25"/>
      <c r="DNN50" s="25"/>
      <c r="DNO50" s="25"/>
      <c r="DNP50" s="25"/>
      <c r="DNQ50" s="25"/>
      <c r="DNR50" s="25"/>
      <c r="DNS50" s="25"/>
      <c r="DNT50" s="25"/>
      <c r="DNU50" s="25"/>
      <c r="DNV50" s="25"/>
      <c r="DNW50" s="25"/>
      <c r="DNX50" s="25"/>
      <c r="DNY50" s="25"/>
      <c r="DNZ50" s="25"/>
      <c r="DOA50" s="25"/>
      <c r="DOB50" s="25"/>
      <c r="DOC50" s="25"/>
      <c r="DOD50" s="25"/>
      <c r="DOE50" s="25"/>
      <c r="DOF50" s="25"/>
      <c r="DOG50" s="25"/>
      <c r="DOH50" s="25"/>
      <c r="DOI50" s="25"/>
      <c r="DOJ50" s="25"/>
      <c r="DOK50" s="25"/>
      <c r="DOL50" s="25"/>
      <c r="DOM50" s="25"/>
      <c r="DON50" s="25"/>
      <c r="DOO50" s="25"/>
      <c r="DOP50" s="25"/>
      <c r="DOQ50" s="25"/>
      <c r="DOR50" s="25"/>
      <c r="DOS50" s="25"/>
      <c r="DOT50" s="25"/>
      <c r="DOU50" s="25"/>
      <c r="DOV50" s="25"/>
      <c r="DOW50" s="25"/>
      <c r="DOX50" s="25"/>
      <c r="DOY50" s="25"/>
      <c r="DOZ50" s="25"/>
      <c r="DPA50" s="25"/>
      <c r="DPB50" s="25"/>
      <c r="DPC50" s="25"/>
      <c r="DPD50" s="25"/>
      <c r="DPE50" s="25"/>
      <c r="DPF50" s="25"/>
      <c r="DPG50" s="25"/>
      <c r="DPH50" s="25"/>
      <c r="DPI50" s="25"/>
      <c r="DPJ50" s="25"/>
      <c r="DPK50" s="25"/>
      <c r="DPL50" s="25"/>
      <c r="DPM50" s="25"/>
      <c r="DPN50" s="25"/>
      <c r="DPO50" s="25"/>
      <c r="DPP50" s="25"/>
      <c r="DPQ50" s="25"/>
      <c r="DPR50" s="25"/>
      <c r="DPS50" s="25"/>
      <c r="DPT50" s="25"/>
      <c r="DPU50" s="25"/>
      <c r="DPV50" s="25"/>
      <c r="DPW50" s="25"/>
      <c r="DPX50" s="25"/>
      <c r="DPY50" s="25"/>
      <c r="DPZ50" s="25"/>
      <c r="DQA50" s="25"/>
      <c r="DQB50" s="25"/>
      <c r="DQC50" s="25"/>
      <c r="DQD50" s="25"/>
      <c r="DQE50" s="25"/>
      <c r="DQF50" s="25"/>
      <c r="DQG50" s="25"/>
      <c r="DQH50" s="25"/>
      <c r="DQI50" s="25"/>
      <c r="DQJ50" s="25"/>
      <c r="DQK50" s="25"/>
      <c r="DQL50" s="25"/>
      <c r="DQM50" s="25"/>
      <c r="DQN50" s="25"/>
      <c r="DQO50" s="25"/>
      <c r="DQP50" s="25"/>
      <c r="DQQ50" s="25"/>
      <c r="DQR50" s="25"/>
      <c r="DQS50" s="25"/>
      <c r="DQT50" s="25"/>
      <c r="DQU50" s="25"/>
      <c r="DQV50" s="25"/>
      <c r="DQW50" s="25"/>
      <c r="DQX50" s="25"/>
      <c r="DQY50" s="25"/>
      <c r="DQZ50" s="25"/>
      <c r="DRA50" s="25"/>
      <c r="DRB50" s="25"/>
      <c r="DRC50" s="25"/>
      <c r="DRD50" s="25"/>
      <c r="DRE50" s="25"/>
      <c r="DRF50" s="25"/>
      <c r="DRG50" s="25"/>
      <c r="DRH50" s="25"/>
      <c r="DRI50" s="25"/>
      <c r="DRJ50" s="25"/>
      <c r="DRK50" s="25"/>
      <c r="DRL50" s="25"/>
      <c r="DRM50" s="25"/>
      <c r="DRN50" s="25"/>
      <c r="DRO50" s="25"/>
      <c r="DRP50" s="25"/>
      <c r="DRQ50" s="25"/>
      <c r="DRR50" s="25"/>
      <c r="DRS50" s="25"/>
      <c r="DRT50" s="25"/>
      <c r="DRU50" s="25"/>
      <c r="DRV50" s="25"/>
      <c r="DRW50" s="25"/>
      <c r="DRX50" s="25"/>
      <c r="DRY50" s="25"/>
      <c r="DRZ50" s="25"/>
      <c r="DSA50" s="25"/>
      <c r="DSB50" s="25"/>
      <c r="DSC50" s="25"/>
      <c r="DSD50" s="25"/>
      <c r="DSE50" s="25"/>
      <c r="DSF50" s="25"/>
      <c r="DSG50" s="25"/>
      <c r="DSH50" s="25"/>
      <c r="DSI50" s="25"/>
      <c r="DSJ50" s="25"/>
      <c r="DSK50" s="25"/>
      <c r="DSL50" s="25"/>
      <c r="DSM50" s="25"/>
      <c r="DSN50" s="25"/>
      <c r="DSO50" s="25"/>
      <c r="DSP50" s="25"/>
      <c r="DSQ50" s="25"/>
      <c r="DSR50" s="25"/>
      <c r="DSS50" s="25"/>
      <c r="DST50" s="25"/>
      <c r="DSU50" s="25"/>
      <c r="DSV50" s="25"/>
      <c r="DSW50" s="25"/>
      <c r="DSX50" s="25"/>
      <c r="DSY50" s="25"/>
      <c r="DSZ50" s="25"/>
      <c r="DTA50" s="25"/>
      <c r="DTB50" s="25"/>
      <c r="DTC50" s="25"/>
      <c r="DTD50" s="25"/>
      <c r="DTE50" s="25"/>
      <c r="DTF50" s="25"/>
      <c r="DTG50" s="25"/>
      <c r="DTH50" s="25"/>
      <c r="DTI50" s="25"/>
      <c r="DTJ50" s="25"/>
      <c r="DTK50" s="25"/>
      <c r="DTL50" s="25"/>
      <c r="DTM50" s="25"/>
      <c r="DTN50" s="25"/>
      <c r="DTO50" s="25"/>
      <c r="DTP50" s="25"/>
      <c r="DTQ50" s="25"/>
      <c r="DTR50" s="25"/>
      <c r="DTS50" s="25"/>
      <c r="DTT50" s="25"/>
      <c r="DTU50" s="25"/>
      <c r="DTV50" s="25"/>
      <c r="DTW50" s="25"/>
      <c r="DTX50" s="25"/>
      <c r="DTY50" s="25"/>
      <c r="DTZ50" s="25"/>
      <c r="DUA50" s="25"/>
      <c r="DUB50" s="25"/>
      <c r="DUC50" s="25"/>
      <c r="DUD50" s="25"/>
      <c r="DUE50" s="25"/>
      <c r="DUF50" s="25"/>
      <c r="DUG50" s="25"/>
      <c r="DUH50" s="25"/>
      <c r="DUI50" s="25"/>
      <c r="DUJ50" s="25"/>
      <c r="DUK50" s="25"/>
      <c r="DUL50" s="25"/>
      <c r="DUM50" s="25"/>
      <c r="DUN50" s="25"/>
      <c r="DUO50" s="25"/>
      <c r="DUP50" s="25"/>
      <c r="DUQ50" s="25"/>
      <c r="DUR50" s="25"/>
      <c r="DUS50" s="25"/>
      <c r="DUT50" s="25"/>
      <c r="DUU50" s="25"/>
      <c r="DUV50" s="25"/>
      <c r="DUW50" s="25"/>
      <c r="DUX50" s="25"/>
      <c r="DUY50" s="25"/>
      <c r="DUZ50" s="25"/>
      <c r="DVA50" s="25"/>
      <c r="DVB50" s="25"/>
      <c r="DVC50" s="25"/>
      <c r="DVD50" s="25"/>
      <c r="DVE50" s="25"/>
      <c r="DVF50" s="25"/>
      <c r="DVG50" s="25"/>
      <c r="DVH50" s="25"/>
      <c r="DVI50" s="25"/>
      <c r="DVJ50" s="25"/>
      <c r="DVK50" s="25"/>
      <c r="DVL50" s="25"/>
      <c r="DVM50" s="25"/>
      <c r="DVN50" s="25"/>
      <c r="DVO50" s="25"/>
      <c r="DVP50" s="25"/>
      <c r="DVQ50" s="25"/>
      <c r="DVR50" s="25"/>
      <c r="DVS50" s="25"/>
      <c r="DVT50" s="25"/>
      <c r="DVU50" s="25"/>
      <c r="DVV50" s="25"/>
      <c r="DVW50" s="25"/>
      <c r="DVX50" s="25"/>
      <c r="DVY50" s="25"/>
      <c r="DVZ50" s="25"/>
      <c r="DWA50" s="25"/>
      <c r="DWB50" s="25"/>
      <c r="DWC50" s="25"/>
      <c r="DWD50" s="25"/>
      <c r="DWE50" s="25"/>
      <c r="DWF50" s="25"/>
      <c r="DWG50" s="25"/>
      <c r="DWH50" s="25"/>
      <c r="DWI50" s="25"/>
      <c r="DWJ50" s="25"/>
      <c r="DWK50" s="25"/>
      <c r="DWL50" s="25"/>
      <c r="DWM50" s="25"/>
      <c r="DWN50" s="25"/>
      <c r="DWO50" s="25"/>
      <c r="DWP50" s="25"/>
      <c r="DWQ50" s="25"/>
      <c r="DWR50" s="25"/>
      <c r="DWS50" s="25"/>
      <c r="DWT50" s="25"/>
      <c r="DWU50" s="25"/>
      <c r="DWV50" s="25"/>
      <c r="DWW50" s="25"/>
      <c r="DWX50" s="25"/>
      <c r="DWY50" s="25"/>
      <c r="DWZ50" s="25"/>
      <c r="DXA50" s="25"/>
      <c r="DXB50" s="25"/>
      <c r="DXC50" s="25"/>
      <c r="DXD50" s="25"/>
      <c r="DXE50" s="25"/>
      <c r="DXF50" s="25"/>
      <c r="DXG50" s="25"/>
      <c r="DXH50" s="25"/>
      <c r="DXI50" s="25"/>
      <c r="DXJ50" s="25"/>
      <c r="DXK50" s="25"/>
      <c r="DXL50" s="25"/>
      <c r="DXM50" s="25"/>
      <c r="DXN50" s="25"/>
      <c r="DXO50" s="25"/>
      <c r="DXP50" s="25"/>
      <c r="DXQ50" s="25"/>
      <c r="DXR50" s="25"/>
      <c r="DXS50" s="25"/>
      <c r="DXT50" s="25"/>
      <c r="DXU50" s="25"/>
      <c r="DXV50" s="25"/>
      <c r="DXW50" s="25"/>
      <c r="DXX50" s="25"/>
      <c r="DXY50" s="25"/>
      <c r="DXZ50" s="25"/>
      <c r="DYA50" s="25"/>
      <c r="DYB50" s="25"/>
      <c r="DYC50" s="25"/>
      <c r="DYD50" s="25"/>
      <c r="DYE50" s="25"/>
      <c r="DYF50" s="25"/>
      <c r="DYG50" s="25"/>
      <c r="DYH50" s="25"/>
      <c r="DYI50" s="25"/>
      <c r="DYJ50" s="25"/>
      <c r="DYK50" s="25"/>
      <c r="DYL50" s="25"/>
      <c r="DYM50" s="25"/>
      <c r="DYN50" s="25"/>
      <c r="DYO50" s="25"/>
      <c r="DYP50" s="25"/>
      <c r="DYQ50" s="25"/>
      <c r="DYR50" s="25"/>
      <c r="DYS50" s="25"/>
      <c r="DYT50" s="25"/>
      <c r="DYU50" s="25"/>
      <c r="DYV50" s="25"/>
      <c r="DYW50" s="25"/>
      <c r="DYX50" s="25"/>
      <c r="DYY50" s="25"/>
      <c r="DYZ50" s="25"/>
      <c r="DZA50" s="25"/>
      <c r="DZB50" s="25"/>
      <c r="DZC50" s="25"/>
      <c r="DZD50" s="25"/>
      <c r="DZE50" s="25"/>
      <c r="DZF50" s="25"/>
      <c r="DZG50" s="25"/>
      <c r="DZH50" s="25"/>
      <c r="DZI50" s="25"/>
      <c r="DZJ50" s="25"/>
      <c r="DZK50" s="25"/>
      <c r="DZL50" s="25"/>
      <c r="DZM50" s="25"/>
      <c r="DZN50" s="25"/>
      <c r="DZO50" s="25"/>
      <c r="DZP50" s="25"/>
      <c r="DZQ50" s="25"/>
      <c r="DZR50" s="25"/>
      <c r="DZS50" s="25"/>
      <c r="DZT50" s="25"/>
      <c r="DZU50" s="25"/>
      <c r="DZV50" s="25"/>
      <c r="DZW50" s="25"/>
      <c r="DZX50" s="25"/>
      <c r="DZY50" s="25"/>
      <c r="DZZ50" s="25"/>
      <c r="EAA50" s="25"/>
      <c r="EAB50" s="25"/>
      <c r="EAC50" s="25"/>
      <c r="EAD50" s="25"/>
      <c r="EAE50" s="25"/>
      <c r="EAF50" s="25"/>
      <c r="EAG50" s="25"/>
      <c r="EAH50" s="25"/>
      <c r="EAI50" s="25"/>
      <c r="EAJ50" s="25"/>
      <c r="EAK50" s="25"/>
      <c r="EAL50" s="25"/>
      <c r="EAM50" s="25"/>
      <c r="EAN50" s="25"/>
      <c r="EAO50" s="25"/>
      <c r="EAP50" s="25"/>
      <c r="EAQ50" s="25"/>
      <c r="EAR50" s="25"/>
      <c r="EAS50" s="25"/>
      <c r="EAT50" s="25"/>
      <c r="EAU50" s="25"/>
      <c r="EAV50" s="25"/>
      <c r="EAW50" s="25"/>
      <c r="EAX50" s="25"/>
      <c r="EAY50" s="25"/>
      <c r="EAZ50" s="25"/>
      <c r="EBA50" s="25"/>
      <c r="EBB50" s="25"/>
      <c r="EBC50" s="25"/>
      <c r="EBD50" s="25"/>
      <c r="EBE50" s="25"/>
      <c r="EBF50" s="25"/>
      <c r="EBG50" s="25"/>
      <c r="EBH50" s="25"/>
      <c r="EBI50" s="25"/>
      <c r="EBJ50" s="25"/>
      <c r="EBK50" s="25"/>
      <c r="EBL50" s="25"/>
      <c r="EBM50" s="25"/>
      <c r="EBN50" s="25"/>
      <c r="EBO50" s="25"/>
      <c r="EBP50" s="25"/>
      <c r="EBQ50" s="25"/>
      <c r="EBR50" s="25"/>
      <c r="EBS50" s="25"/>
      <c r="EBT50" s="25"/>
      <c r="EBU50" s="25"/>
      <c r="EBV50" s="25"/>
      <c r="EBW50" s="25"/>
      <c r="EBX50" s="25"/>
      <c r="EBY50" s="25"/>
      <c r="EBZ50" s="25"/>
      <c r="ECA50" s="25"/>
      <c r="ECB50" s="25"/>
      <c r="ECC50" s="25"/>
      <c r="ECD50" s="25"/>
      <c r="ECE50" s="25"/>
      <c r="ECF50" s="25"/>
      <c r="ECG50" s="25"/>
      <c r="ECH50" s="25"/>
      <c r="ECI50" s="25"/>
      <c r="ECJ50" s="25"/>
      <c r="ECK50" s="25"/>
      <c r="ECL50" s="25"/>
      <c r="ECM50" s="25"/>
      <c r="ECN50" s="25"/>
      <c r="ECO50" s="25"/>
      <c r="ECP50" s="25"/>
      <c r="ECQ50" s="25"/>
      <c r="ECR50" s="25"/>
      <c r="ECS50" s="25"/>
      <c r="ECT50" s="25"/>
      <c r="ECU50" s="25"/>
      <c r="ECV50" s="25"/>
      <c r="ECW50" s="25"/>
      <c r="ECX50" s="25"/>
      <c r="ECY50" s="25"/>
      <c r="ECZ50" s="25"/>
      <c r="EDA50" s="25"/>
      <c r="EDB50" s="25"/>
      <c r="EDC50" s="25"/>
      <c r="EDD50" s="25"/>
      <c r="EDE50" s="25"/>
      <c r="EDF50" s="25"/>
      <c r="EDG50" s="25"/>
      <c r="EDH50" s="25"/>
      <c r="EDI50" s="25"/>
      <c r="EDJ50" s="25"/>
      <c r="EDK50" s="25"/>
      <c r="EDL50" s="25"/>
      <c r="EDM50" s="25"/>
      <c r="EDN50" s="25"/>
      <c r="EDO50" s="25"/>
      <c r="EDP50" s="25"/>
      <c r="EDQ50" s="25"/>
      <c r="EDR50" s="25"/>
      <c r="EDS50" s="25"/>
      <c r="EDT50" s="25"/>
      <c r="EDU50" s="25"/>
      <c r="EDV50" s="25"/>
      <c r="EDW50" s="25"/>
      <c r="EDX50" s="25"/>
      <c r="EDY50" s="25"/>
      <c r="EDZ50" s="25"/>
      <c r="EEA50" s="25"/>
      <c r="EEB50" s="25"/>
      <c r="EEC50" s="25"/>
      <c r="EED50" s="25"/>
      <c r="EEE50" s="25"/>
      <c r="EEF50" s="25"/>
      <c r="EEG50" s="25"/>
      <c r="EEH50" s="25"/>
      <c r="EEI50" s="25"/>
      <c r="EEJ50" s="25"/>
      <c r="EEK50" s="25"/>
      <c r="EEL50" s="25"/>
      <c r="EEM50" s="25"/>
      <c r="EEN50" s="25"/>
      <c r="EEO50" s="25"/>
      <c r="EEP50" s="25"/>
      <c r="EEQ50" s="25"/>
      <c r="EER50" s="25"/>
      <c r="EES50" s="25"/>
      <c r="EET50" s="25"/>
      <c r="EEU50" s="25"/>
      <c r="EEV50" s="25"/>
      <c r="EEW50" s="25"/>
      <c r="EEX50" s="25"/>
      <c r="EEY50" s="25"/>
      <c r="EEZ50" s="25"/>
      <c r="EFA50" s="25"/>
      <c r="EFB50" s="25"/>
      <c r="EFC50" s="25"/>
      <c r="EFD50" s="25"/>
      <c r="EFE50" s="25"/>
      <c r="EFF50" s="25"/>
      <c r="EFG50" s="25"/>
      <c r="EFH50" s="25"/>
      <c r="EFI50" s="25"/>
      <c r="EFJ50" s="25"/>
      <c r="EFK50" s="25"/>
      <c r="EFL50" s="25"/>
      <c r="EFM50" s="25"/>
      <c r="EFN50" s="25"/>
      <c r="EFO50" s="25"/>
      <c r="EFP50" s="25"/>
      <c r="EFQ50" s="25"/>
      <c r="EFR50" s="25"/>
      <c r="EFS50" s="25"/>
      <c r="EFT50" s="25"/>
      <c r="EFU50" s="25"/>
      <c r="EFV50" s="25"/>
      <c r="EFW50" s="25"/>
      <c r="EFX50" s="25"/>
      <c r="EFY50" s="25"/>
      <c r="EFZ50" s="25"/>
      <c r="EGA50" s="25"/>
      <c r="EGB50" s="25"/>
      <c r="EGC50" s="25"/>
      <c r="EGD50" s="25"/>
      <c r="EGE50" s="25"/>
      <c r="EGF50" s="25"/>
      <c r="EGG50" s="25"/>
      <c r="EGH50" s="25"/>
      <c r="EGI50" s="25"/>
      <c r="EGJ50" s="25"/>
      <c r="EGK50" s="25"/>
      <c r="EGL50" s="25"/>
      <c r="EGM50" s="25"/>
      <c r="EGN50" s="25"/>
      <c r="EGO50" s="25"/>
      <c r="EGP50" s="25"/>
      <c r="EGQ50" s="25"/>
      <c r="EGR50" s="25"/>
      <c r="EGS50" s="25"/>
      <c r="EGT50" s="25"/>
      <c r="EGU50" s="25"/>
      <c r="EGV50" s="25"/>
      <c r="EGW50" s="25"/>
      <c r="EGX50" s="25"/>
      <c r="EGY50" s="25"/>
      <c r="EGZ50" s="25"/>
      <c r="EHA50" s="25"/>
      <c r="EHB50" s="25"/>
      <c r="EHC50" s="25"/>
      <c r="EHD50" s="25"/>
      <c r="EHE50" s="25"/>
      <c r="EHF50" s="25"/>
      <c r="EHG50" s="25"/>
      <c r="EHH50" s="25"/>
      <c r="EHI50" s="25"/>
      <c r="EHJ50" s="25"/>
      <c r="EHK50" s="25"/>
      <c r="EHL50" s="25"/>
      <c r="EHM50" s="25"/>
      <c r="EHN50" s="25"/>
      <c r="EHO50" s="25"/>
      <c r="EHP50" s="25"/>
      <c r="EHQ50" s="25"/>
      <c r="EHR50" s="25"/>
      <c r="EHS50" s="25"/>
      <c r="EHT50" s="25"/>
      <c r="EHU50" s="25"/>
      <c r="EHV50" s="25"/>
      <c r="EHW50" s="25"/>
      <c r="EHX50" s="25"/>
      <c r="EHY50" s="25"/>
      <c r="EHZ50" s="25"/>
      <c r="EIA50" s="25"/>
      <c r="EIB50" s="25"/>
      <c r="EIC50" s="25"/>
      <c r="EID50" s="25"/>
      <c r="EIE50" s="25"/>
      <c r="EIF50" s="25"/>
      <c r="EIG50" s="25"/>
      <c r="EIH50" s="25"/>
      <c r="EII50" s="25"/>
      <c r="EIJ50" s="25"/>
      <c r="EIK50" s="25"/>
      <c r="EIL50" s="25"/>
      <c r="EIM50" s="25"/>
      <c r="EIN50" s="25"/>
      <c r="EIO50" s="25"/>
      <c r="EIP50" s="25"/>
      <c r="EIQ50" s="25"/>
      <c r="EIR50" s="25"/>
      <c r="EIS50" s="25"/>
      <c r="EIT50" s="25"/>
      <c r="EIU50" s="25"/>
      <c r="EIV50" s="25"/>
      <c r="EIW50" s="25"/>
      <c r="EIX50" s="25"/>
      <c r="EIY50" s="25"/>
      <c r="EIZ50" s="25"/>
      <c r="EJA50" s="25"/>
      <c r="EJB50" s="25"/>
      <c r="EJC50" s="25"/>
      <c r="EJD50" s="25"/>
      <c r="EJE50" s="25"/>
      <c r="EJF50" s="25"/>
      <c r="EJG50" s="25"/>
      <c r="EJH50" s="25"/>
      <c r="EJI50" s="25"/>
      <c r="EJJ50" s="25"/>
      <c r="EJK50" s="25"/>
      <c r="EJL50" s="25"/>
      <c r="EJM50" s="25"/>
      <c r="EJN50" s="25"/>
      <c r="EJO50" s="25"/>
      <c r="EJP50" s="25"/>
      <c r="EJQ50" s="25"/>
      <c r="EJR50" s="25"/>
      <c r="EJS50" s="25"/>
      <c r="EJT50" s="25"/>
      <c r="EJU50" s="25"/>
      <c r="EJV50" s="25"/>
      <c r="EJW50" s="25"/>
      <c r="EJX50" s="25"/>
      <c r="EJY50" s="25"/>
      <c r="EJZ50" s="25"/>
      <c r="EKA50" s="25"/>
      <c r="EKB50" s="25"/>
      <c r="EKC50" s="25"/>
      <c r="EKD50" s="25"/>
      <c r="EKE50" s="25"/>
      <c r="EKF50" s="25"/>
      <c r="EKG50" s="25"/>
      <c r="EKH50" s="25"/>
      <c r="EKI50" s="25"/>
      <c r="EKJ50" s="25"/>
      <c r="EKK50" s="25"/>
      <c r="EKL50" s="25"/>
      <c r="EKM50" s="25"/>
      <c r="EKN50" s="25"/>
      <c r="EKO50" s="25"/>
      <c r="EKP50" s="25"/>
      <c r="EKQ50" s="25"/>
      <c r="EKR50" s="25"/>
      <c r="EKS50" s="25"/>
      <c r="EKT50" s="25"/>
      <c r="EKU50" s="25"/>
      <c r="EKV50" s="25"/>
      <c r="EKW50" s="25"/>
      <c r="EKX50" s="25"/>
      <c r="EKY50" s="25"/>
      <c r="EKZ50" s="25"/>
      <c r="ELA50" s="25"/>
      <c r="ELB50" s="25"/>
      <c r="ELC50" s="25"/>
      <c r="ELD50" s="25"/>
      <c r="ELE50" s="25"/>
      <c r="ELF50" s="25"/>
      <c r="ELG50" s="25"/>
      <c r="ELH50" s="25"/>
      <c r="ELI50" s="25"/>
      <c r="ELJ50" s="25"/>
      <c r="ELK50" s="25"/>
      <c r="ELL50" s="25"/>
      <c r="ELM50" s="25"/>
      <c r="ELN50" s="25"/>
      <c r="ELO50" s="25"/>
      <c r="ELP50" s="25"/>
      <c r="ELQ50" s="25"/>
      <c r="ELR50" s="25"/>
      <c r="ELS50" s="25"/>
      <c r="ELT50" s="25"/>
      <c r="ELU50" s="25"/>
      <c r="ELV50" s="25"/>
      <c r="ELW50" s="25"/>
      <c r="ELX50" s="25"/>
      <c r="ELY50" s="25"/>
      <c r="ELZ50" s="25"/>
      <c r="EMA50" s="25"/>
      <c r="EMB50" s="25"/>
      <c r="EMC50" s="25"/>
      <c r="EMD50" s="25"/>
      <c r="EME50" s="25"/>
      <c r="EMF50" s="25"/>
      <c r="EMG50" s="25"/>
      <c r="EMH50" s="25"/>
      <c r="EMI50" s="25"/>
      <c r="EMJ50" s="25"/>
      <c r="EMK50" s="25"/>
      <c r="EML50" s="25"/>
      <c r="EMM50" s="25"/>
      <c r="EMN50" s="25"/>
      <c r="EMO50" s="25"/>
      <c r="EMP50" s="25"/>
      <c r="EMQ50" s="25"/>
      <c r="EMR50" s="25"/>
      <c r="EMS50" s="25"/>
      <c r="EMT50" s="25"/>
      <c r="EMU50" s="25"/>
      <c r="EMV50" s="25"/>
      <c r="EMW50" s="25"/>
      <c r="EMX50" s="25"/>
      <c r="EMY50" s="25"/>
      <c r="EMZ50" s="25"/>
      <c r="ENA50" s="25"/>
      <c r="ENB50" s="25"/>
      <c r="ENC50" s="25"/>
      <c r="END50" s="25"/>
      <c r="ENE50" s="25"/>
      <c r="ENF50" s="25"/>
      <c r="ENG50" s="25"/>
      <c r="ENH50" s="25"/>
      <c r="ENI50" s="25"/>
      <c r="ENJ50" s="25"/>
      <c r="ENK50" s="25"/>
      <c r="ENL50" s="25"/>
      <c r="ENM50" s="25"/>
      <c r="ENN50" s="25"/>
      <c r="ENO50" s="25"/>
      <c r="ENP50" s="25"/>
      <c r="ENQ50" s="25"/>
      <c r="ENR50" s="25"/>
      <c r="ENS50" s="25"/>
      <c r="ENT50" s="25"/>
      <c r="ENU50" s="25"/>
      <c r="ENV50" s="25"/>
      <c r="ENW50" s="25"/>
      <c r="ENX50" s="25"/>
      <c r="ENY50" s="25"/>
      <c r="ENZ50" s="25"/>
      <c r="EOA50" s="25"/>
      <c r="EOB50" s="25"/>
      <c r="EOC50" s="25"/>
      <c r="EOD50" s="25"/>
      <c r="EOE50" s="25"/>
      <c r="EOF50" s="25"/>
      <c r="EOG50" s="25"/>
      <c r="EOH50" s="25"/>
      <c r="EOI50" s="25"/>
      <c r="EOJ50" s="25"/>
      <c r="EOK50" s="25"/>
      <c r="EOL50" s="25"/>
      <c r="EOM50" s="25"/>
      <c r="EON50" s="25"/>
      <c r="EOO50" s="25"/>
      <c r="EOP50" s="25"/>
      <c r="EOQ50" s="25"/>
      <c r="EOR50" s="25"/>
      <c r="EOS50" s="25"/>
      <c r="EOT50" s="25"/>
      <c r="EOU50" s="25"/>
      <c r="EOV50" s="25"/>
      <c r="EOW50" s="25"/>
      <c r="EOX50" s="25"/>
      <c r="EOY50" s="25"/>
      <c r="EOZ50" s="25"/>
      <c r="EPA50" s="25"/>
      <c r="EPB50" s="25"/>
      <c r="EPC50" s="25"/>
      <c r="EPD50" s="25"/>
      <c r="EPE50" s="25"/>
      <c r="EPF50" s="25"/>
      <c r="EPG50" s="25"/>
      <c r="EPH50" s="25"/>
      <c r="EPI50" s="25"/>
      <c r="EPJ50" s="25"/>
      <c r="EPK50" s="25"/>
      <c r="EPL50" s="25"/>
      <c r="EPM50" s="25"/>
      <c r="EPN50" s="25"/>
      <c r="EPO50" s="25"/>
      <c r="EPP50" s="25"/>
      <c r="EPQ50" s="25"/>
      <c r="EPR50" s="25"/>
      <c r="EPS50" s="25"/>
      <c r="EPT50" s="25"/>
      <c r="EPU50" s="25"/>
      <c r="EPV50" s="25"/>
      <c r="EPW50" s="25"/>
      <c r="EPX50" s="25"/>
      <c r="EPY50" s="25"/>
      <c r="EPZ50" s="25"/>
      <c r="EQA50" s="25"/>
      <c r="EQB50" s="25"/>
      <c r="EQC50" s="25"/>
      <c r="EQD50" s="25"/>
      <c r="EQE50" s="25"/>
      <c r="EQF50" s="25"/>
      <c r="EQG50" s="25"/>
      <c r="EQH50" s="25"/>
      <c r="EQI50" s="25"/>
      <c r="EQJ50" s="25"/>
      <c r="EQK50" s="25"/>
      <c r="EQL50" s="25"/>
      <c r="EQM50" s="25"/>
      <c r="EQN50" s="25"/>
      <c r="EQO50" s="25"/>
      <c r="EQP50" s="25"/>
      <c r="EQQ50" s="25"/>
      <c r="EQR50" s="25"/>
      <c r="EQS50" s="25"/>
      <c r="EQT50" s="25"/>
      <c r="EQU50" s="25"/>
      <c r="EQV50" s="25"/>
      <c r="EQW50" s="25"/>
      <c r="EQX50" s="25"/>
      <c r="EQY50" s="25"/>
      <c r="EQZ50" s="25"/>
      <c r="ERA50" s="25"/>
      <c r="ERB50" s="25"/>
      <c r="ERC50" s="25"/>
      <c r="ERD50" s="25"/>
      <c r="ERE50" s="25"/>
      <c r="ERF50" s="25"/>
      <c r="ERG50" s="25"/>
      <c r="ERH50" s="25"/>
      <c r="ERI50" s="25"/>
      <c r="ERJ50" s="25"/>
      <c r="ERK50" s="25"/>
      <c r="ERL50" s="25"/>
      <c r="ERM50" s="25"/>
      <c r="ERN50" s="25"/>
      <c r="ERO50" s="25"/>
      <c r="ERP50" s="25"/>
      <c r="ERQ50" s="25"/>
      <c r="ERR50" s="25"/>
      <c r="ERS50" s="25"/>
      <c r="ERT50" s="25"/>
      <c r="ERU50" s="25"/>
      <c r="ERV50" s="25"/>
      <c r="ERW50" s="25"/>
      <c r="ERX50" s="25"/>
      <c r="ERY50" s="25"/>
      <c r="ERZ50" s="25"/>
      <c r="ESA50" s="25"/>
      <c r="ESB50" s="25"/>
      <c r="ESC50" s="25"/>
      <c r="ESD50" s="25"/>
      <c r="ESE50" s="25"/>
      <c r="ESF50" s="25"/>
      <c r="ESG50" s="25"/>
      <c r="ESH50" s="25"/>
      <c r="ESI50" s="25"/>
      <c r="ESJ50" s="25"/>
      <c r="ESK50" s="25"/>
      <c r="ESL50" s="25"/>
      <c r="ESM50" s="25"/>
      <c r="ESN50" s="25"/>
      <c r="ESO50" s="25"/>
      <c r="ESP50" s="25"/>
      <c r="ESQ50" s="25"/>
      <c r="ESR50" s="25"/>
      <c r="ESS50" s="25"/>
      <c r="EST50" s="25"/>
      <c r="ESU50" s="25"/>
      <c r="ESV50" s="25"/>
      <c r="ESW50" s="25"/>
      <c r="ESX50" s="25"/>
      <c r="ESY50" s="25"/>
      <c r="ESZ50" s="25"/>
      <c r="ETA50" s="25"/>
      <c r="ETB50" s="25"/>
      <c r="ETC50" s="25"/>
      <c r="ETD50" s="25"/>
      <c r="ETE50" s="25"/>
      <c r="ETF50" s="25"/>
      <c r="ETG50" s="25"/>
      <c r="ETH50" s="25"/>
      <c r="ETI50" s="25"/>
      <c r="ETJ50" s="25"/>
      <c r="ETK50" s="25"/>
      <c r="ETL50" s="25"/>
      <c r="ETM50" s="25"/>
      <c r="ETN50" s="25"/>
      <c r="ETO50" s="25"/>
      <c r="ETP50" s="25"/>
      <c r="ETQ50" s="25"/>
      <c r="ETR50" s="25"/>
      <c r="ETS50" s="25"/>
      <c r="ETT50" s="25"/>
      <c r="ETU50" s="25"/>
      <c r="ETV50" s="25"/>
      <c r="ETW50" s="25"/>
      <c r="ETX50" s="25"/>
      <c r="ETY50" s="25"/>
      <c r="ETZ50" s="25"/>
      <c r="EUA50" s="25"/>
      <c r="EUB50" s="25"/>
      <c r="EUC50" s="25"/>
      <c r="EUD50" s="25"/>
      <c r="EUE50" s="25"/>
      <c r="EUF50" s="25"/>
      <c r="EUG50" s="25"/>
      <c r="EUH50" s="25"/>
      <c r="EUI50" s="25"/>
      <c r="EUJ50" s="25"/>
      <c r="EUK50" s="25"/>
      <c r="EUL50" s="25"/>
      <c r="EUM50" s="25"/>
      <c r="EUN50" s="25"/>
      <c r="EUO50" s="25"/>
      <c r="EUP50" s="25"/>
      <c r="EUQ50" s="25"/>
      <c r="EUR50" s="25"/>
      <c r="EUS50" s="25"/>
      <c r="EUT50" s="25"/>
      <c r="EUU50" s="25"/>
      <c r="EUV50" s="25"/>
      <c r="EUW50" s="25"/>
      <c r="EUX50" s="25"/>
      <c r="EUY50" s="25"/>
      <c r="EUZ50" s="25"/>
      <c r="EVA50" s="25"/>
      <c r="EVB50" s="25"/>
      <c r="EVC50" s="25"/>
      <c r="EVD50" s="25"/>
      <c r="EVE50" s="25"/>
      <c r="EVF50" s="25"/>
      <c r="EVG50" s="25"/>
      <c r="EVH50" s="25"/>
      <c r="EVI50" s="25"/>
      <c r="EVJ50" s="25"/>
      <c r="EVK50" s="25"/>
      <c r="EVL50" s="25"/>
      <c r="EVM50" s="25"/>
      <c r="EVN50" s="25"/>
      <c r="EVO50" s="25"/>
      <c r="EVP50" s="25"/>
      <c r="EVQ50" s="25"/>
      <c r="EVR50" s="25"/>
      <c r="EVS50" s="25"/>
      <c r="EVT50" s="25"/>
      <c r="EVU50" s="25"/>
      <c r="EVV50" s="25"/>
      <c r="EVW50" s="25"/>
      <c r="EVX50" s="25"/>
      <c r="EVY50" s="25"/>
      <c r="EVZ50" s="25"/>
      <c r="EWA50" s="25"/>
      <c r="EWB50" s="25"/>
      <c r="EWC50" s="25"/>
      <c r="EWD50" s="25"/>
      <c r="EWE50" s="25"/>
      <c r="EWF50" s="25"/>
      <c r="EWG50" s="25"/>
      <c r="EWH50" s="25"/>
      <c r="EWI50" s="25"/>
      <c r="EWJ50" s="25"/>
      <c r="EWK50" s="25"/>
      <c r="EWL50" s="25"/>
      <c r="EWM50" s="25"/>
      <c r="EWN50" s="25"/>
      <c r="EWO50" s="25"/>
      <c r="EWP50" s="25"/>
      <c r="EWQ50" s="25"/>
      <c r="EWR50" s="25"/>
      <c r="EWS50" s="25"/>
      <c r="EWT50" s="25"/>
      <c r="EWU50" s="25"/>
      <c r="EWV50" s="25"/>
      <c r="EWW50" s="25"/>
      <c r="EWX50" s="25"/>
      <c r="EWY50" s="25"/>
      <c r="EWZ50" s="25"/>
      <c r="EXA50" s="25"/>
      <c r="EXB50" s="25"/>
      <c r="EXC50" s="25"/>
      <c r="EXD50" s="25"/>
      <c r="EXE50" s="25"/>
      <c r="EXF50" s="25"/>
      <c r="EXG50" s="25"/>
      <c r="EXH50" s="25"/>
      <c r="EXI50" s="25"/>
      <c r="EXJ50" s="25"/>
      <c r="EXK50" s="25"/>
      <c r="EXL50" s="25"/>
      <c r="EXM50" s="25"/>
      <c r="EXN50" s="25"/>
      <c r="EXO50" s="25"/>
      <c r="EXP50" s="25"/>
      <c r="EXQ50" s="25"/>
      <c r="EXR50" s="25"/>
      <c r="EXS50" s="25"/>
      <c r="EXT50" s="25"/>
      <c r="EXU50" s="25"/>
      <c r="EXV50" s="25"/>
      <c r="EXW50" s="25"/>
      <c r="EXX50" s="25"/>
      <c r="EXY50" s="25"/>
      <c r="EXZ50" s="25"/>
      <c r="EYA50" s="25"/>
      <c r="EYB50" s="25"/>
      <c r="EYC50" s="25"/>
      <c r="EYD50" s="25"/>
      <c r="EYE50" s="25"/>
      <c r="EYF50" s="25"/>
      <c r="EYG50" s="25"/>
      <c r="EYH50" s="25"/>
      <c r="EYI50" s="25"/>
      <c r="EYJ50" s="25"/>
      <c r="EYK50" s="25"/>
      <c r="EYL50" s="25"/>
      <c r="EYM50" s="25"/>
      <c r="EYN50" s="25"/>
      <c r="EYO50" s="25"/>
      <c r="EYP50" s="25"/>
      <c r="EYQ50" s="25"/>
      <c r="EYR50" s="25"/>
      <c r="EYS50" s="25"/>
      <c r="EYT50" s="25"/>
      <c r="EYU50" s="25"/>
      <c r="EYV50" s="25"/>
      <c r="EYW50" s="25"/>
      <c r="EYX50" s="25"/>
      <c r="EYY50" s="25"/>
      <c r="EYZ50" s="25"/>
      <c r="EZA50" s="25"/>
      <c r="EZB50" s="25"/>
      <c r="EZC50" s="25"/>
      <c r="EZD50" s="25"/>
      <c r="EZE50" s="25"/>
      <c r="EZF50" s="25"/>
      <c r="EZG50" s="25"/>
      <c r="EZH50" s="25"/>
      <c r="EZI50" s="25"/>
      <c r="EZJ50" s="25"/>
      <c r="EZK50" s="25"/>
      <c r="EZL50" s="25"/>
      <c r="EZM50" s="25"/>
      <c r="EZN50" s="25"/>
      <c r="EZO50" s="25"/>
      <c r="EZP50" s="25"/>
      <c r="EZQ50" s="25"/>
      <c r="EZR50" s="25"/>
      <c r="EZS50" s="25"/>
      <c r="EZT50" s="25"/>
      <c r="EZU50" s="25"/>
      <c r="EZV50" s="25"/>
      <c r="EZW50" s="25"/>
      <c r="EZX50" s="25"/>
      <c r="EZY50" s="25"/>
      <c r="EZZ50" s="25"/>
      <c r="FAA50" s="25"/>
      <c r="FAB50" s="25"/>
      <c r="FAC50" s="25"/>
      <c r="FAD50" s="25"/>
      <c r="FAE50" s="25"/>
      <c r="FAF50" s="25"/>
      <c r="FAG50" s="25"/>
      <c r="FAH50" s="25"/>
      <c r="FAI50" s="25"/>
      <c r="FAJ50" s="25"/>
      <c r="FAK50" s="25"/>
      <c r="FAL50" s="25"/>
      <c r="FAM50" s="25"/>
      <c r="FAN50" s="25"/>
      <c r="FAO50" s="25"/>
      <c r="FAP50" s="25"/>
      <c r="FAQ50" s="25"/>
      <c r="FAR50" s="25"/>
      <c r="FAS50" s="25"/>
      <c r="FAT50" s="25"/>
      <c r="FAU50" s="25"/>
      <c r="FAV50" s="25"/>
      <c r="FAW50" s="25"/>
      <c r="FAX50" s="25"/>
      <c r="FAY50" s="25"/>
      <c r="FAZ50" s="25"/>
      <c r="FBA50" s="25"/>
      <c r="FBB50" s="25"/>
      <c r="FBC50" s="25"/>
      <c r="FBD50" s="25"/>
      <c r="FBE50" s="25"/>
      <c r="FBF50" s="25"/>
      <c r="FBG50" s="25"/>
      <c r="FBH50" s="25"/>
      <c r="FBI50" s="25"/>
      <c r="FBJ50" s="25"/>
      <c r="FBK50" s="25"/>
      <c r="FBL50" s="25"/>
      <c r="FBM50" s="25"/>
      <c r="FBN50" s="25"/>
      <c r="FBO50" s="25"/>
      <c r="FBP50" s="25"/>
      <c r="FBQ50" s="25"/>
      <c r="FBR50" s="25"/>
      <c r="FBS50" s="25"/>
      <c r="FBT50" s="25"/>
      <c r="FBU50" s="25"/>
      <c r="FBV50" s="25"/>
      <c r="FBW50" s="25"/>
      <c r="FBX50" s="25"/>
      <c r="FBY50" s="25"/>
      <c r="FBZ50" s="25"/>
      <c r="FCA50" s="25"/>
      <c r="FCB50" s="25"/>
      <c r="FCC50" s="25"/>
      <c r="FCD50" s="25"/>
      <c r="FCE50" s="25"/>
      <c r="FCF50" s="25"/>
      <c r="FCG50" s="25"/>
      <c r="FCH50" s="25"/>
      <c r="FCI50" s="25"/>
      <c r="FCJ50" s="25"/>
      <c r="FCK50" s="25"/>
      <c r="FCL50" s="25"/>
      <c r="FCM50" s="25"/>
      <c r="FCN50" s="25"/>
      <c r="FCO50" s="25"/>
      <c r="FCP50" s="25"/>
      <c r="FCQ50" s="25"/>
      <c r="FCR50" s="25"/>
      <c r="FCS50" s="25"/>
      <c r="FCT50" s="25"/>
      <c r="FCU50" s="25"/>
      <c r="FCV50" s="25"/>
      <c r="FCW50" s="25"/>
      <c r="FCX50" s="25"/>
      <c r="FCY50" s="25"/>
      <c r="FCZ50" s="25"/>
      <c r="FDA50" s="25"/>
      <c r="FDB50" s="25"/>
      <c r="FDC50" s="25"/>
      <c r="FDD50" s="25"/>
      <c r="FDE50" s="25"/>
      <c r="FDF50" s="25"/>
      <c r="FDG50" s="25"/>
      <c r="FDH50" s="25"/>
      <c r="FDI50" s="25"/>
      <c r="FDJ50" s="25"/>
      <c r="FDK50" s="25"/>
      <c r="FDL50" s="25"/>
      <c r="FDM50" s="25"/>
      <c r="FDN50" s="25"/>
      <c r="FDO50" s="25"/>
      <c r="FDP50" s="25"/>
      <c r="FDQ50" s="25"/>
      <c r="FDR50" s="25"/>
      <c r="FDS50" s="25"/>
      <c r="FDT50" s="25"/>
      <c r="FDU50" s="25"/>
      <c r="FDV50" s="25"/>
      <c r="FDW50" s="25"/>
      <c r="FDX50" s="25"/>
      <c r="FDY50" s="25"/>
      <c r="FDZ50" s="25"/>
      <c r="FEA50" s="25"/>
      <c r="FEB50" s="25"/>
      <c r="FEC50" s="25"/>
      <c r="FED50" s="25"/>
      <c r="FEE50" s="25"/>
      <c r="FEF50" s="25"/>
      <c r="FEG50" s="25"/>
      <c r="FEH50" s="25"/>
      <c r="FEI50" s="25"/>
      <c r="FEJ50" s="25"/>
      <c r="FEK50" s="25"/>
      <c r="FEL50" s="25"/>
      <c r="FEM50" s="25"/>
      <c r="FEN50" s="25"/>
      <c r="FEO50" s="25"/>
      <c r="FEP50" s="25"/>
      <c r="FEQ50" s="25"/>
      <c r="FER50" s="25"/>
      <c r="FES50" s="25"/>
      <c r="FET50" s="25"/>
      <c r="FEU50" s="25"/>
      <c r="FEV50" s="25"/>
      <c r="FEW50" s="25"/>
      <c r="FEX50" s="25"/>
      <c r="FEY50" s="25"/>
      <c r="FEZ50" s="25"/>
      <c r="FFA50" s="25"/>
      <c r="FFB50" s="25"/>
      <c r="FFC50" s="25"/>
      <c r="FFD50" s="25"/>
      <c r="FFE50" s="25"/>
      <c r="FFF50" s="25"/>
      <c r="FFG50" s="25"/>
      <c r="FFH50" s="25"/>
      <c r="FFI50" s="25"/>
      <c r="FFJ50" s="25"/>
      <c r="FFK50" s="25"/>
      <c r="FFL50" s="25"/>
      <c r="FFM50" s="25"/>
      <c r="FFN50" s="25"/>
      <c r="FFO50" s="25"/>
      <c r="FFP50" s="25"/>
      <c r="FFQ50" s="25"/>
      <c r="FFR50" s="25"/>
      <c r="FFS50" s="25"/>
      <c r="FFT50" s="25"/>
      <c r="FFU50" s="25"/>
      <c r="FFV50" s="25"/>
      <c r="FFW50" s="25"/>
      <c r="FFX50" s="25"/>
      <c r="FFY50" s="25"/>
      <c r="FFZ50" s="25"/>
      <c r="FGA50" s="25"/>
      <c r="FGB50" s="25"/>
      <c r="FGC50" s="25"/>
      <c r="FGD50" s="25"/>
      <c r="FGE50" s="25"/>
      <c r="FGF50" s="25"/>
      <c r="FGG50" s="25"/>
      <c r="FGH50" s="25"/>
      <c r="FGI50" s="25"/>
      <c r="FGJ50" s="25"/>
      <c r="FGK50" s="25"/>
      <c r="FGL50" s="25"/>
      <c r="FGM50" s="25"/>
      <c r="FGN50" s="25"/>
      <c r="FGO50" s="25"/>
      <c r="FGP50" s="25"/>
      <c r="FGQ50" s="25"/>
      <c r="FGR50" s="25"/>
      <c r="FGS50" s="25"/>
      <c r="FGT50" s="25"/>
      <c r="FGU50" s="25"/>
      <c r="FGV50" s="25"/>
      <c r="FGW50" s="25"/>
      <c r="FGX50" s="25"/>
      <c r="FGY50" s="25"/>
      <c r="FGZ50" s="25"/>
      <c r="FHA50" s="25"/>
      <c r="FHB50" s="25"/>
      <c r="FHC50" s="25"/>
      <c r="FHD50" s="25"/>
      <c r="FHE50" s="25"/>
      <c r="FHF50" s="25"/>
      <c r="FHG50" s="25"/>
      <c r="FHH50" s="25"/>
      <c r="FHI50" s="25"/>
      <c r="FHJ50" s="25"/>
      <c r="FHK50" s="25"/>
      <c r="FHL50" s="25"/>
      <c r="FHM50" s="25"/>
      <c r="FHN50" s="25"/>
      <c r="FHO50" s="25"/>
      <c r="FHP50" s="25"/>
      <c r="FHQ50" s="25"/>
      <c r="FHR50" s="25"/>
      <c r="FHS50" s="25"/>
      <c r="FHT50" s="25"/>
      <c r="FHU50" s="25"/>
      <c r="FHV50" s="25"/>
      <c r="FHW50" s="25"/>
      <c r="FHX50" s="25"/>
      <c r="FHY50" s="25"/>
      <c r="FHZ50" s="25"/>
      <c r="FIA50" s="25"/>
      <c r="FIB50" s="25"/>
      <c r="FIC50" s="25"/>
      <c r="FID50" s="25"/>
      <c r="FIE50" s="25"/>
      <c r="FIF50" s="25"/>
      <c r="FIG50" s="25"/>
      <c r="FIH50" s="25"/>
      <c r="FII50" s="25"/>
      <c r="FIJ50" s="25"/>
      <c r="FIK50" s="25"/>
      <c r="FIL50" s="25"/>
      <c r="FIM50" s="25"/>
      <c r="FIN50" s="25"/>
      <c r="FIO50" s="25"/>
      <c r="FIP50" s="25"/>
      <c r="FIQ50" s="25"/>
      <c r="FIR50" s="25"/>
      <c r="FIS50" s="25"/>
      <c r="FIT50" s="25"/>
      <c r="FIU50" s="25"/>
      <c r="FIV50" s="25"/>
      <c r="FIW50" s="25"/>
      <c r="FIX50" s="25"/>
      <c r="FIY50" s="25"/>
      <c r="FIZ50" s="25"/>
      <c r="FJA50" s="25"/>
      <c r="FJB50" s="25"/>
      <c r="FJC50" s="25"/>
      <c r="FJD50" s="25"/>
      <c r="FJE50" s="25"/>
      <c r="FJF50" s="25"/>
      <c r="FJG50" s="25"/>
      <c r="FJH50" s="25"/>
      <c r="FJI50" s="25"/>
      <c r="FJJ50" s="25"/>
      <c r="FJK50" s="25"/>
      <c r="FJL50" s="25"/>
      <c r="FJM50" s="25"/>
      <c r="FJN50" s="25"/>
      <c r="FJO50" s="25"/>
      <c r="FJP50" s="25"/>
      <c r="FJQ50" s="25"/>
      <c r="FJR50" s="25"/>
      <c r="FJS50" s="25"/>
      <c r="FJT50" s="25"/>
      <c r="FJU50" s="25"/>
      <c r="FJV50" s="25"/>
      <c r="FJW50" s="25"/>
      <c r="FJX50" s="25"/>
      <c r="FJY50" s="25"/>
      <c r="FJZ50" s="25"/>
      <c r="FKA50" s="25"/>
      <c r="FKB50" s="25"/>
      <c r="FKC50" s="25"/>
      <c r="FKD50" s="25"/>
      <c r="FKE50" s="25"/>
      <c r="FKF50" s="25"/>
      <c r="FKG50" s="25"/>
      <c r="FKH50" s="25"/>
      <c r="FKI50" s="25"/>
      <c r="FKJ50" s="25"/>
      <c r="FKK50" s="25"/>
      <c r="FKL50" s="25"/>
      <c r="FKM50" s="25"/>
      <c r="FKN50" s="25"/>
      <c r="FKO50" s="25"/>
      <c r="FKP50" s="25"/>
      <c r="FKQ50" s="25"/>
      <c r="FKR50" s="25"/>
      <c r="FKS50" s="25"/>
      <c r="FKT50" s="25"/>
      <c r="FKU50" s="25"/>
      <c r="FKV50" s="25"/>
      <c r="FKW50" s="25"/>
      <c r="FKX50" s="25"/>
      <c r="FKY50" s="25"/>
      <c r="FKZ50" s="25"/>
      <c r="FLA50" s="25"/>
      <c r="FLB50" s="25"/>
      <c r="FLC50" s="25"/>
      <c r="FLD50" s="25"/>
      <c r="FLE50" s="25"/>
      <c r="FLF50" s="25"/>
      <c r="FLG50" s="25"/>
      <c r="FLH50" s="25"/>
      <c r="FLI50" s="25"/>
      <c r="FLJ50" s="25"/>
      <c r="FLK50" s="25"/>
      <c r="FLL50" s="25"/>
      <c r="FLM50" s="25"/>
      <c r="FLN50" s="25"/>
      <c r="FLO50" s="25"/>
      <c r="FLP50" s="25"/>
      <c r="FLQ50" s="25"/>
      <c r="FLR50" s="25"/>
      <c r="FLS50" s="25"/>
      <c r="FLT50" s="25"/>
      <c r="FLU50" s="25"/>
      <c r="FLV50" s="25"/>
      <c r="FLW50" s="25"/>
      <c r="FLX50" s="25"/>
      <c r="FLY50" s="25"/>
      <c r="FLZ50" s="25"/>
      <c r="FMA50" s="25"/>
      <c r="FMB50" s="25"/>
      <c r="FMC50" s="25"/>
      <c r="FMD50" s="25"/>
      <c r="FME50" s="25"/>
      <c r="FMF50" s="25"/>
      <c r="FMG50" s="25"/>
      <c r="FMH50" s="25"/>
      <c r="FMI50" s="25"/>
      <c r="FMJ50" s="25"/>
      <c r="FMK50" s="25"/>
      <c r="FML50" s="25"/>
      <c r="FMM50" s="25"/>
      <c r="FMN50" s="25"/>
      <c r="FMO50" s="25"/>
      <c r="FMP50" s="25"/>
      <c r="FMQ50" s="25"/>
      <c r="FMR50" s="25"/>
      <c r="FMS50" s="25"/>
      <c r="FMT50" s="25"/>
      <c r="FMU50" s="25"/>
      <c r="FMV50" s="25"/>
      <c r="FMW50" s="25"/>
      <c r="FMX50" s="25"/>
      <c r="FMY50" s="25"/>
      <c r="FMZ50" s="25"/>
      <c r="FNA50" s="25"/>
      <c r="FNB50" s="25"/>
      <c r="FNC50" s="25"/>
      <c r="FND50" s="25"/>
      <c r="FNE50" s="25"/>
      <c r="FNF50" s="25"/>
      <c r="FNG50" s="25"/>
      <c r="FNH50" s="25"/>
      <c r="FNI50" s="25"/>
      <c r="FNJ50" s="25"/>
      <c r="FNK50" s="25"/>
      <c r="FNL50" s="25"/>
      <c r="FNM50" s="25"/>
      <c r="FNN50" s="25"/>
      <c r="FNO50" s="25"/>
      <c r="FNP50" s="25"/>
      <c r="FNQ50" s="25"/>
      <c r="FNR50" s="25"/>
      <c r="FNS50" s="25"/>
      <c r="FNT50" s="25"/>
      <c r="FNU50" s="25"/>
      <c r="FNV50" s="25"/>
      <c r="FNW50" s="25"/>
      <c r="FNX50" s="25"/>
      <c r="FNY50" s="25"/>
      <c r="FNZ50" s="25"/>
      <c r="FOA50" s="25"/>
      <c r="FOB50" s="25"/>
      <c r="FOC50" s="25"/>
      <c r="FOD50" s="25"/>
      <c r="FOE50" s="25"/>
      <c r="FOF50" s="25"/>
      <c r="FOG50" s="25"/>
      <c r="FOH50" s="25"/>
      <c r="FOI50" s="25"/>
      <c r="FOJ50" s="25"/>
      <c r="FOK50" s="25"/>
      <c r="FOL50" s="25"/>
      <c r="FOM50" s="25"/>
      <c r="FON50" s="25"/>
      <c r="FOO50" s="25"/>
      <c r="FOP50" s="25"/>
      <c r="FOQ50" s="25"/>
      <c r="FOR50" s="25"/>
      <c r="FOS50" s="25"/>
      <c r="FOT50" s="25"/>
      <c r="FOU50" s="25"/>
      <c r="FOV50" s="25"/>
      <c r="FOW50" s="25"/>
      <c r="FOX50" s="25"/>
      <c r="FOY50" s="25"/>
      <c r="FOZ50" s="25"/>
      <c r="FPA50" s="25"/>
      <c r="FPB50" s="25"/>
      <c r="FPC50" s="25"/>
      <c r="FPD50" s="25"/>
      <c r="FPE50" s="25"/>
      <c r="FPF50" s="25"/>
      <c r="FPG50" s="25"/>
      <c r="FPH50" s="25"/>
      <c r="FPI50" s="25"/>
      <c r="FPJ50" s="25"/>
      <c r="FPK50" s="25"/>
      <c r="FPL50" s="25"/>
      <c r="FPM50" s="25"/>
      <c r="FPN50" s="25"/>
      <c r="FPO50" s="25"/>
      <c r="FPP50" s="25"/>
      <c r="FPQ50" s="25"/>
      <c r="FPR50" s="25"/>
      <c r="FPS50" s="25"/>
      <c r="FPT50" s="25"/>
      <c r="FPU50" s="25"/>
      <c r="FPV50" s="25"/>
      <c r="FPW50" s="25"/>
      <c r="FPX50" s="25"/>
      <c r="FPY50" s="25"/>
      <c r="FPZ50" s="25"/>
      <c r="FQA50" s="25"/>
      <c r="FQB50" s="25"/>
      <c r="FQC50" s="25"/>
      <c r="FQD50" s="25"/>
      <c r="FQE50" s="25"/>
      <c r="FQF50" s="25"/>
      <c r="FQG50" s="25"/>
      <c r="FQH50" s="25"/>
      <c r="FQI50" s="25"/>
      <c r="FQJ50" s="25"/>
      <c r="FQK50" s="25"/>
      <c r="FQL50" s="25"/>
      <c r="FQM50" s="25"/>
      <c r="FQN50" s="25"/>
      <c r="FQO50" s="25"/>
      <c r="FQP50" s="25"/>
      <c r="FQQ50" s="25"/>
      <c r="FQR50" s="25"/>
      <c r="FQS50" s="25"/>
      <c r="FQT50" s="25"/>
      <c r="FQU50" s="25"/>
      <c r="FQV50" s="25"/>
      <c r="FQW50" s="25"/>
      <c r="FQX50" s="25"/>
      <c r="FQY50" s="25"/>
      <c r="FQZ50" s="25"/>
      <c r="FRA50" s="25"/>
      <c r="FRB50" s="25"/>
      <c r="FRC50" s="25"/>
      <c r="FRD50" s="25"/>
      <c r="FRE50" s="25"/>
      <c r="FRF50" s="25"/>
      <c r="FRG50" s="25"/>
      <c r="FRH50" s="25"/>
      <c r="FRI50" s="25"/>
      <c r="FRJ50" s="25"/>
      <c r="FRK50" s="25"/>
      <c r="FRL50" s="25"/>
      <c r="FRM50" s="25"/>
      <c r="FRN50" s="25"/>
      <c r="FRO50" s="25"/>
      <c r="FRP50" s="25"/>
      <c r="FRQ50" s="25"/>
      <c r="FRR50" s="25"/>
      <c r="FRS50" s="25"/>
      <c r="FRT50" s="25"/>
      <c r="FRU50" s="25"/>
      <c r="FRV50" s="25"/>
      <c r="FRW50" s="25"/>
      <c r="FRX50" s="25"/>
      <c r="FRY50" s="25"/>
      <c r="FRZ50" s="25"/>
      <c r="FSA50" s="25"/>
      <c r="FSB50" s="25"/>
      <c r="FSC50" s="25"/>
      <c r="FSD50" s="25"/>
      <c r="FSE50" s="25"/>
      <c r="FSF50" s="25"/>
      <c r="FSG50" s="25"/>
      <c r="FSH50" s="25"/>
      <c r="FSI50" s="25"/>
      <c r="FSJ50" s="25"/>
      <c r="FSK50" s="25"/>
      <c r="FSL50" s="25"/>
      <c r="FSM50" s="25"/>
      <c r="FSN50" s="25"/>
      <c r="FSO50" s="25"/>
      <c r="FSP50" s="25"/>
      <c r="FSQ50" s="25"/>
      <c r="FSR50" s="25"/>
      <c r="FSS50" s="25"/>
      <c r="FST50" s="25"/>
      <c r="FSU50" s="25"/>
      <c r="FSV50" s="25"/>
      <c r="FSW50" s="25"/>
      <c r="FSX50" s="25"/>
      <c r="FSY50" s="25"/>
      <c r="FSZ50" s="25"/>
      <c r="FTA50" s="25"/>
      <c r="FTB50" s="25"/>
      <c r="FTC50" s="25"/>
      <c r="FTD50" s="25"/>
      <c r="FTE50" s="25"/>
      <c r="FTF50" s="25"/>
      <c r="FTG50" s="25"/>
      <c r="FTH50" s="25"/>
      <c r="FTI50" s="25"/>
      <c r="FTJ50" s="25"/>
      <c r="FTK50" s="25"/>
      <c r="FTL50" s="25"/>
      <c r="FTM50" s="25"/>
      <c r="FTN50" s="25"/>
      <c r="FTO50" s="25"/>
      <c r="FTP50" s="25"/>
      <c r="FTQ50" s="25"/>
      <c r="FTR50" s="25"/>
      <c r="FTS50" s="25"/>
      <c r="FTT50" s="25"/>
      <c r="FTU50" s="25"/>
      <c r="FTV50" s="25"/>
      <c r="FTW50" s="25"/>
      <c r="FTX50" s="25"/>
      <c r="FTY50" s="25"/>
      <c r="FTZ50" s="25"/>
      <c r="FUA50" s="25"/>
      <c r="FUB50" s="25"/>
      <c r="FUC50" s="25"/>
      <c r="FUD50" s="25"/>
      <c r="FUE50" s="25"/>
      <c r="FUF50" s="25"/>
      <c r="FUG50" s="25"/>
      <c r="FUH50" s="25"/>
      <c r="FUI50" s="25"/>
      <c r="FUJ50" s="25"/>
      <c r="FUK50" s="25"/>
      <c r="FUL50" s="25"/>
      <c r="FUM50" s="25"/>
      <c r="FUN50" s="25"/>
      <c r="FUO50" s="25"/>
      <c r="FUP50" s="25"/>
      <c r="FUQ50" s="25"/>
      <c r="FUR50" s="25"/>
      <c r="FUS50" s="25"/>
      <c r="FUT50" s="25"/>
      <c r="FUU50" s="25"/>
      <c r="FUV50" s="25"/>
      <c r="FUW50" s="25"/>
      <c r="FUX50" s="25"/>
      <c r="FUY50" s="25"/>
      <c r="FUZ50" s="25"/>
      <c r="FVA50" s="25"/>
      <c r="FVB50" s="25"/>
      <c r="FVC50" s="25"/>
      <c r="FVD50" s="25"/>
      <c r="FVE50" s="25"/>
      <c r="FVF50" s="25"/>
      <c r="FVG50" s="25"/>
      <c r="FVH50" s="25"/>
      <c r="FVI50" s="25"/>
      <c r="FVJ50" s="25"/>
      <c r="FVK50" s="25"/>
      <c r="FVL50" s="25"/>
      <c r="FVM50" s="25"/>
      <c r="FVN50" s="25"/>
      <c r="FVO50" s="25"/>
      <c r="FVP50" s="25"/>
      <c r="FVQ50" s="25"/>
      <c r="FVR50" s="25"/>
      <c r="FVS50" s="25"/>
      <c r="FVT50" s="25"/>
      <c r="FVU50" s="25"/>
      <c r="FVV50" s="25"/>
      <c r="FVW50" s="25"/>
      <c r="FVX50" s="25"/>
      <c r="FVY50" s="25"/>
      <c r="FVZ50" s="25"/>
      <c r="FWA50" s="25"/>
      <c r="FWB50" s="25"/>
      <c r="FWC50" s="25"/>
      <c r="FWD50" s="25"/>
      <c r="FWE50" s="25"/>
      <c r="FWF50" s="25"/>
      <c r="FWG50" s="25"/>
      <c r="FWH50" s="25"/>
      <c r="FWI50" s="25"/>
      <c r="FWJ50" s="25"/>
      <c r="FWK50" s="25"/>
      <c r="FWL50" s="25"/>
      <c r="FWM50" s="25"/>
      <c r="FWN50" s="25"/>
      <c r="FWO50" s="25"/>
      <c r="FWP50" s="25"/>
      <c r="FWQ50" s="25"/>
      <c r="FWR50" s="25"/>
      <c r="FWS50" s="25"/>
      <c r="FWT50" s="25"/>
      <c r="FWU50" s="25"/>
      <c r="FWV50" s="25"/>
      <c r="FWW50" s="25"/>
      <c r="FWX50" s="25"/>
      <c r="FWY50" s="25"/>
      <c r="FWZ50" s="25"/>
      <c r="FXA50" s="25"/>
      <c r="FXB50" s="25"/>
      <c r="FXC50" s="25"/>
      <c r="FXD50" s="25"/>
      <c r="FXE50" s="25"/>
      <c r="FXF50" s="25"/>
      <c r="FXG50" s="25"/>
      <c r="FXH50" s="25"/>
      <c r="FXI50" s="25"/>
      <c r="FXJ50" s="25"/>
      <c r="FXK50" s="25"/>
      <c r="FXL50" s="25"/>
      <c r="FXM50" s="25"/>
      <c r="FXN50" s="25"/>
      <c r="FXO50" s="25"/>
      <c r="FXP50" s="25"/>
      <c r="FXQ50" s="25"/>
      <c r="FXR50" s="25"/>
      <c r="FXS50" s="25"/>
      <c r="FXT50" s="25"/>
      <c r="FXU50" s="25"/>
      <c r="FXV50" s="25"/>
      <c r="FXW50" s="25"/>
      <c r="FXX50" s="25"/>
      <c r="FXY50" s="25"/>
      <c r="FXZ50" s="25"/>
      <c r="FYA50" s="25"/>
      <c r="FYB50" s="25"/>
      <c r="FYC50" s="25"/>
      <c r="FYD50" s="25"/>
      <c r="FYE50" s="25"/>
      <c r="FYF50" s="25"/>
      <c r="FYG50" s="25"/>
      <c r="FYH50" s="25"/>
      <c r="FYI50" s="25"/>
      <c r="FYJ50" s="25"/>
      <c r="FYK50" s="25"/>
      <c r="FYL50" s="25"/>
      <c r="FYM50" s="25"/>
      <c r="FYN50" s="25"/>
      <c r="FYO50" s="25"/>
      <c r="FYP50" s="25"/>
      <c r="FYQ50" s="25"/>
      <c r="FYR50" s="25"/>
      <c r="FYS50" s="25"/>
      <c r="FYT50" s="25"/>
      <c r="FYU50" s="25"/>
      <c r="FYV50" s="25"/>
      <c r="FYW50" s="25"/>
      <c r="FYX50" s="25"/>
      <c r="FYY50" s="25"/>
      <c r="FYZ50" s="25"/>
      <c r="FZA50" s="25"/>
      <c r="FZB50" s="25"/>
      <c r="FZC50" s="25"/>
      <c r="FZD50" s="25"/>
      <c r="FZE50" s="25"/>
      <c r="FZF50" s="25"/>
      <c r="FZG50" s="25"/>
      <c r="FZH50" s="25"/>
      <c r="FZI50" s="25"/>
      <c r="FZJ50" s="25"/>
      <c r="FZK50" s="25"/>
      <c r="FZL50" s="25"/>
      <c r="FZM50" s="25"/>
      <c r="FZN50" s="25"/>
      <c r="FZO50" s="25"/>
      <c r="FZP50" s="25"/>
      <c r="FZQ50" s="25"/>
      <c r="FZR50" s="25"/>
      <c r="FZS50" s="25"/>
      <c r="FZT50" s="25"/>
      <c r="FZU50" s="25"/>
      <c r="FZV50" s="25"/>
      <c r="FZW50" s="25"/>
      <c r="FZX50" s="25"/>
      <c r="FZY50" s="25"/>
      <c r="FZZ50" s="25"/>
      <c r="GAA50" s="25"/>
      <c r="GAB50" s="25"/>
      <c r="GAC50" s="25"/>
      <c r="GAD50" s="25"/>
      <c r="GAE50" s="25"/>
      <c r="GAF50" s="25"/>
      <c r="GAG50" s="25"/>
      <c r="GAH50" s="25"/>
      <c r="GAI50" s="25"/>
      <c r="GAJ50" s="25"/>
      <c r="GAK50" s="25"/>
      <c r="GAL50" s="25"/>
      <c r="GAM50" s="25"/>
      <c r="GAN50" s="25"/>
      <c r="GAO50" s="25"/>
      <c r="GAP50" s="25"/>
      <c r="GAQ50" s="25"/>
      <c r="GAR50" s="25"/>
      <c r="GAS50" s="25"/>
      <c r="GAT50" s="25"/>
      <c r="GAU50" s="25"/>
      <c r="GAV50" s="25"/>
      <c r="GAW50" s="25"/>
      <c r="GAX50" s="25"/>
      <c r="GAY50" s="25"/>
      <c r="GAZ50" s="25"/>
      <c r="GBA50" s="25"/>
      <c r="GBB50" s="25"/>
      <c r="GBC50" s="25"/>
      <c r="GBD50" s="25"/>
      <c r="GBE50" s="25"/>
      <c r="GBF50" s="25"/>
      <c r="GBG50" s="25"/>
      <c r="GBH50" s="25"/>
      <c r="GBI50" s="25"/>
      <c r="GBJ50" s="25"/>
      <c r="GBK50" s="25"/>
      <c r="GBL50" s="25"/>
      <c r="GBM50" s="25"/>
      <c r="GBN50" s="25"/>
      <c r="GBO50" s="25"/>
      <c r="GBP50" s="25"/>
      <c r="GBQ50" s="25"/>
      <c r="GBR50" s="25"/>
      <c r="GBS50" s="25"/>
      <c r="GBT50" s="25"/>
      <c r="GBU50" s="25"/>
      <c r="GBV50" s="25"/>
      <c r="GBW50" s="25"/>
      <c r="GBX50" s="25"/>
      <c r="GBY50" s="25"/>
      <c r="GBZ50" s="25"/>
      <c r="GCA50" s="25"/>
      <c r="GCB50" s="25"/>
      <c r="GCC50" s="25"/>
      <c r="GCD50" s="25"/>
      <c r="GCE50" s="25"/>
      <c r="GCF50" s="25"/>
      <c r="GCG50" s="25"/>
      <c r="GCH50" s="25"/>
      <c r="GCI50" s="25"/>
      <c r="GCJ50" s="25"/>
      <c r="GCK50" s="25"/>
      <c r="GCL50" s="25"/>
      <c r="GCM50" s="25"/>
      <c r="GCN50" s="25"/>
      <c r="GCO50" s="25"/>
      <c r="GCP50" s="25"/>
      <c r="GCQ50" s="25"/>
      <c r="GCR50" s="25"/>
      <c r="GCS50" s="25"/>
      <c r="GCT50" s="25"/>
      <c r="GCU50" s="25"/>
      <c r="GCV50" s="25"/>
      <c r="GCW50" s="25"/>
      <c r="GCX50" s="25"/>
      <c r="GCY50" s="25"/>
      <c r="GCZ50" s="25"/>
      <c r="GDA50" s="25"/>
      <c r="GDB50" s="25"/>
      <c r="GDC50" s="25"/>
      <c r="GDD50" s="25"/>
      <c r="GDE50" s="25"/>
      <c r="GDF50" s="25"/>
      <c r="GDG50" s="25"/>
      <c r="GDH50" s="25"/>
      <c r="GDI50" s="25"/>
      <c r="GDJ50" s="25"/>
      <c r="GDK50" s="25"/>
      <c r="GDL50" s="25"/>
      <c r="GDM50" s="25"/>
      <c r="GDN50" s="25"/>
      <c r="GDO50" s="25"/>
      <c r="GDP50" s="25"/>
      <c r="GDQ50" s="25"/>
      <c r="GDR50" s="25"/>
      <c r="GDS50" s="25"/>
      <c r="GDT50" s="25"/>
      <c r="GDU50" s="25"/>
      <c r="GDV50" s="25"/>
      <c r="GDW50" s="25"/>
      <c r="GDX50" s="25"/>
      <c r="GDY50" s="25"/>
      <c r="GDZ50" s="25"/>
      <c r="GEA50" s="25"/>
      <c r="GEB50" s="25"/>
      <c r="GEC50" s="25"/>
      <c r="GED50" s="25"/>
      <c r="GEE50" s="25"/>
      <c r="GEF50" s="25"/>
      <c r="GEG50" s="25"/>
      <c r="GEH50" s="25"/>
      <c r="GEI50" s="25"/>
      <c r="GEJ50" s="25"/>
      <c r="GEK50" s="25"/>
      <c r="GEL50" s="25"/>
      <c r="GEM50" s="25"/>
      <c r="GEN50" s="25"/>
      <c r="GEO50" s="25"/>
      <c r="GEP50" s="25"/>
      <c r="GEQ50" s="25"/>
      <c r="GER50" s="25"/>
      <c r="GES50" s="25"/>
      <c r="GET50" s="25"/>
      <c r="GEU50" s="25"/>
      <c r="GEV50" s="25"/>
      <c r="GEW50" s="25"/>
      <c r="GEX50" s="25"/>
      <c r="GEY50" s="25"/>
      <c r="GEZ50" s="25"/>
      <c r="GFA50" s="25"/>
      <c r="GFB50" s="25"/>
      <c r="GFC50" s="25"/>
      <c r="GFD50" s="25"/>
      <c r="GFE50" s="25"/>
      <c r="GFF50" s="25"/>
      <c r="GFG50" s="25"/>
      <c r="GFH50" s="25"/>
      <c r="GFI50" s="25"/>
      <c r="GFJ50" s="25"/>
      <c r="GFK50" s="25"/>
      <c r="GFL50" s="25"/>
      <c r="GFM50" s="25"/>
      <c r="GFN50" s="25"/>
      <c r="GFO50" s="25"/>
      <c r="GFP50" s="25"/>
      <c r="GFQ50" s="25"/>
      <c r="GFR50" s="25"/>
      <c r="GFS50" s="25"/>
      <c r="GFT50" s="25"/>
      <c r="GFU50" s="25"/>
      <c r="GFV50" s="25"/>
      <c r="GFW50" s="25"/>
      <c r="GFX50" s="25"/>
      <c r="GFY50" s="25"/>
      <c r="GFZ50" s="25"/>
      <c r="GGA50" s="25"/>
      <c r="GGB50" s="25"/>
      <c r="GGC50" s="25"/>
      <c r="GGD50" s="25"/>
      <c r="GGE50" s="25"/>
      <c r="GGF50" s="25"/>
      <c r="GGG50" s="25"/>
      <c r="GGH50" s="25"/>
      <c r="GGI50" s="25"/>
      <c r="GGJ50" s="25"/>
      <c r="GGK50" s="25"/>
      <c r="GGL50" s="25"/>
      <c r="GGM50" s="25"/>
      <c r="GGN50" s="25"/>
      <c r="GGO50" s="25"/>
      <c r="GGP50" s="25"/>
      <c r="GGQ50" s="25"/>
      <c r="GGR50" s="25"/>
      <c r="GGS50" s="25"/>
      <c r="GGT50" s="25"/>
      <c r="GGU50" s="25"/>
      <c r="GGV50" s="25"/>
      <c r="GGW50" s="25"/>
      <c r="GGX50" s="25"/>
      <c r="GGY50" s="25"/>
      <c r="GGZ50" s="25"/>
      <c r="GHA50" s="25"/>
      <c r="GHB50" s="25"/>
      <c r="GHC50" s="25"/>
      <c r="GHD50" s="25"/>
      <c r="GHE50" s="25"/>
      <c r="GHF50" s="25"/>
      <c r="GHG50" s="25"/>
      <c r="GHH50" s="25"/>
      <c r="GHI50" s="25"/>
      <c r="GHJ50" s="25"/>
      <c r="GHK50" s="25"/>
      <c r="GHL50" s="25"/>
      <c r="GHM50" s="25"/>
      <c r="GHN50" s="25"/>
      <c r="GHO50" s="25"/>
      <c r="GHP50" s="25"/>
      <c r="GHQ50" s="25"/>
      <c r="GHR50" s="25"/>
      <c r="GHS50" s="25"/>
      <c r="GHT50" s="25"/>
      <c r="GHU50" s="25"/>
      <c r="GHV50" s="25"/>
      <c r="GHW50" s="25"/>
      <c r="GHX50" s="25"/>
      <c r="GHY50" s="25"/>
      <c r="GHZ50" s="25"/>
      <c r="GIA50" s="25"/>
      <c r="GIB50" s="25"/>
      <c r="GIC50" s="25"/>
      <c r="GID50" s="25"/>
      <c r="GIE50" s="25"/>
      <c r="GIF50" s="25"/>
      <c r="GIG50" s="25"/>
      <c r="GIH50" s="25"/>
      <c r="GII50" s="25"/>
      <c r="GIJ50" s="25"/>
      <c r="GIK50" s="25"/>
      <c r="GIL50" s="25"/>
      <c r="GIM50" s="25"/>
      <c r="GIN50" s="25"/>
      <c r="GIO50" s="25"/>
      <c r="GIP50" s="25"/>
      <c r="GIQ50" s="25"/>
      <c r="GIR50" s="25"/>
      <c r="GIS50" s="25"/>
      <c r="GIT50" s="25"/>
      <c r="GIU50" s="25"/>
      <c r="GIV50" s="25"/>
      <c r="GIW50" s="25"/>
      <c r="GIX50" s="25"/>
      <c r="GIY50" s="25"/>
      <c r="GIZ50" s="25"/>
      <c r="GJA50" s="25"/>
      <c r="GJB50" s="25"/>
      <c r="GJC50" s="25"/>
      <c r="GJD50" s="25"/>
      <c r="GJE50" s="25"/>
      <c r="GJF50" s="25"/>
      <c r="GJG50" s="25"/>
      <c r="GJH50" s="25"/>
      <c r="GJI50" s="25"/>
      <c r="GJJ50" s="25"/>
      <c r="GJK50" s="25"/>
      <c r="GJL50" s="25"/>
      <c r="GJM50" s="25"/>
      <c r="GJN50" s="25"/>
      <c r="GJO50" s="25"/>
      <c r="GJP50" s="25"/>
      <c r="GJQ50" s="25"/>
      <c r="GJR50" s="25"/>
      <c r="GJS50" s="25"/>
      <c r="GJT50" s="25"/>
      <c r="GJU50" s="25"/>
      <c r="GJV50" s="25"/>
      <c r="GJW50" s="25"/>
      <c r="GJX50" s="25"/>
      <c r="GJY50" s="25"/>
      <c r="GJZ50" s="25"/>
      <c r="GKA50" s="25"/>
      <c r="GKB50" s="25"/>
      <c r="GKC50" s="25"/>
      <c r="GKD50" s="25"/>
      <c r="GKE50" s="25"/>
      <c r="GKF50" s="25"/>
      <c r="GKG50" s="25"/>
      <c r="GKH50" s="25"/>
      <c r="GKI50" s="25"/>
      <c r="GKJ50" s="25"/>
      <c r="GKK50" s="25"/>
      <c r="GKL50" s="25"/>
      <c r="GKM50" s="25"/>
      <c r="GKN50" s="25"/>
      <c r="GKO50" s="25"/>
      <c r="GKP50" s="25"/>
      <c r="GKQ50" s="25"/>
      <c r="GKR50" s="25"/>
      <c r="GKS50" s="25"/>
      <c r="GKT50" s="25"/>
      <c r="GKU50" s="25"/>
      <c r="GKV50" s="25"/>
      <c r="GKW50" s="25"/>
      <c r="GKX50" s="25"/>
      <c r="GKY50" s="25"/>
      <c r="GKZ50" s="25"/>
      <c r="GLA50" s="25"/>
      <c r="GLB50" s="25"/>
      <c r="GLC50" s="25"/>
      <c r="GLD50" s="25"/>
      <c r="GLE50" s="25"/>
      <c r="GLF50" s="25"/>
      <c r="GLG50" s="25"/>
      <c r="GLH50" s="25"/>
      <c r="GLI50" s="25"/>
      <c r="GLJ50" s="25"/>
      <c r="GLK50" s="25"/>
      <c r="GLL50" s="25"/>
      <c r="GLM50" s="25"/>
      <c r="GLN50" s="25"/>
      <c r="GLO50" s="25"/>
      <c r="GLP50" s="25"/>
      <c r="GLQ50" s="25"/>
      <c r="GLR50" s="25"/>
      <c r="GLS50" s="25"/>
      <c r="GLT50" s="25"/>
      <c r="GLU50" s="25"/>
      <c r="GLV50" s="25"/>
      <c r="GLW50" s="25"/>
      <c r="GLX50" s="25"/>
      <c r="GLY50" s="25"/>
      <c r="GLZ50" s="25"/>
      <c r="GMA50" s="25"/>
      <c r="GMB50" s="25"/>
      <c r="GMC50" s="25"/>
      <c r="GMD50" s="25"/>
      <c r="GME50" s="25"/>
      <c r="GMF50" s="25"/>
      <c r="GMG50" s="25"/>
      <c r="GMH50" s="25"/>
      <c r="GMI50" s="25"/>
      <c r="GMJ50" s="25"/>
      <c r="GMK50" s="25"/>
      <c r="GML50" s="25"/>
      <c r="GMM50" s="25"/>
      <c r="GMN50" s="25"/>
      <c r="GMO50" s="25"/>
      <c r="GMP50" s="25"/>
      <c r="GMQ50" s="25"/>
      <c r="GMR50" s="25"/>
      <c r="GMS50" s="25"/>
      <c r="GMT50" s="25"/>
      <c r="GMU50" s="25"/>
      <c r="GMV50" s="25"/>
      <c r="GMW50" s="25"/>
      <c r="GMX50" s="25"/>
      <c r="GMY50" s="25"/>
      <c r="GMZ50" s="25"/>
      <c r="GNA50" s="25"/>
      <c r="GNB50" s="25"/>
      <c r="GNC50" s="25"/>
      <c r="GND50" s="25"/>
      <c r="GNE50" s="25"/>
      <c r="GNF50" s="25"/>
      <c r="GNG50" s="25"/>
      <c r="GNH50" s="25"/>
      <c r="GNI50" s="25"/>
      <c r="GNJ50" s="25"/>
      <c r="GNK50" s="25"/>
      <c r="GNL50" s="25"/>
      <c r="GNM50" s="25"/>
      <c r="GNN50" s="25"/>
      <c r="GNO50" s="25"/>
      <c r="GNP50" s="25"/>
      <c r="GNQ50" s="25"/>
      <c r="GNR50" s="25"/>
      <c r="GNS50" s="25"/>
      <c r="GNT50" s="25"/>
      <c r="GNU50" s="25"/>
      <c r="GNV50" s="25"/>
      <c r="GNW50" s="25"/>
      <c r="GNX50" s="25"/>
      <c r="GNY50" s="25"/>
      <c r="GNZ50" s="25"/>
      <c r="GOA50" s="25"/>
      <c r="GOB50" s="25"/>
      <c r="GOC50" s="25"/>
      <c r="GOD50" s="25"/>
      <c r="GOE50" s="25"/>
      <c r="GOF50" s="25"/>
      <c r="GOG50" s="25"/>
      <c r="GOH50" s="25"/>
      <c r="GOI50" s="25"/>
      <c r="GOJ50" s="25"/>
      <c r="GOK50" s="25"/>
      <c r="GOL50" s="25"/>
      <c r="GOM50" s="25"/>
      <c r="GON50" s="25"/>
      <c r="GOO50" s="25"/>
      <c r="GOP50" s="25"/>
      <c r="GOQ50" s="25"/>
      <c r="GOR50" s="25"/>
      <c r="GOS50" s="25"/>
      <c r="GOT50" s="25"/>
      <c r="GOU50" s="25"/>
      <c r="GOV50" s="25"/>
      <c r="GOW50" s="25"/>
      <c r="GOX50" s="25"/>
      <c r="GOY50" s="25"/>
      <c r="GOZ50" s="25"/>
      <c r="GPA50" s="25"/>
      <c r="GPB50" s="25"/>
      <c r="GPC50" s="25"/>
      <c r="GPD50" s="25"/>
      <c r="GPE50" s="25"/>
      <c r="GPF50" s="25"/>
      <c r="GPG50" s="25"/>
      <c r="GPH50" s="25"/>
      <c r="GPI50" s="25"/>
      <c r="GPJ50" s="25"/>
      <c r="GPK50" s="25"/>
      <c r="GPL50" s="25"/>
      <c r="GPM50" s="25"/>
      <c r="GPN50" s="25"/>
      <c r="GPO50" s="25"/>
      <c r="GPP50" s="25"/>
      <c r="GPQ50" s="25"/>
      <c r="GPR50" s="25"/>
      <c r="GPS50" s="25"/>
      <c r="GPT50" s="25"/>
      <c r="GPU50" s="25"/>
      <c r="GPV50" s="25"/>
      <c r="GPW50" s="25"/>
      <c r="GPX50" s="25"/>
      <c r="GPY50" s="25"/>
      <c r="GPZ50" s="25"/>
      <c r="GQA50" s="25"/>
      <c r="GQB50" s="25"/>
      <c r="GQC50" s="25"/>
      <c r="GQD50" s="25"/>
      <c r="GQE50" s="25"/>
      <c r="GQF50" s="25"/>
      <c r="GQG50" s="25"/>
      <c r="GQH50" s="25"/>
      <c r="GQI50" s="25"/>
      <c r="GQJ50" s="25"/>
      <c r="GQK50" s="25"/>
      <c r="GQL50" s="25"/>
      <c r="GQM50" s="25"/>
      <c r="GQN50" s="25"/>
      <c r="GQO50" s="25"/>
      <c r="GQP50" s="25"/>
      <c r="GQQ50" s="25"/>
      <c r="GQR50" s="25"/>
      <c r="GQS50" s="25"/>
      <c r="GQT50" s="25"/>
      <c r="GQU50" s="25"/>
      <c r="GQV50" s="25"/>
      <c r="GQW50" s="25"/>
      <c r="GQX50" s="25"/>
      <c r="GQY50" s="25"/>
      <c r="GQZ50" s="25"/>
      <c r="GRA50" s="25"/>
      <c r="GRB50" s="25"/>
      <c r="GRC50" s="25"/>
      <c r="GRD50" s="25"/>
      <c r="GRE50" s="25"/>
      <c r="GRF50" s="25"/>
      <c r="GRG50" s="25"/>
      <c r="GRH50" s="25"/>
      <c r="GRI50" s="25"/>
      <c r="GRJ50" s="25"/>
      <c r="GRK50" s="25"/>
      <c r="GRL50" s="25"/>
      <c r="GRM50" s="25"/>
      <c r="GRN50" s="25"/>
      <c r="GRO50" s="25"/>
      <c r="GRP50" s="25"/>
      <c r="GRQ50" s="25"/>
      <c r="GRR50" s="25"/>
      <c r="GRS50" s="25"/>
      <c r="GRT50" s="25"/>
      <c r="GRU50" s="25"/>
      <c r="GRV50" s="25"/>
      <c r="GRW50" s="25"/>
      <c r="GRX50" s="25"/>
      <c r="GRY50" s="25"/>
      <c r="GRZ50" s="25"/>
      <c r="GSA50" s="25"/>
      <c r="GSB50" s="25"/>
      <c r="GSC50" s="25"/>
      <c r="GSD50" s="25"/>
      <c r="GSE50" s="25"/>
      <c r="GSF50" s="25"/>
      <c r="GSG50" s="25"/>
      <c r="GSH50" s="25"/>
      <c r="GSI50" s="25"/>
      <c r="GSJ50" s="25"/>
      <c r="GSK50" s="25"/>
      <c r="GSL50" s="25"/>
      <c r="GSM50" s="25"/>
      <c r="GSN50" s="25"/>
      <c r="GSO50" s="25"/>
      <c r="GSP50" s="25"/>
      <c r="GSQ50" s="25"/>
      <c r="GSR50" s="25"/>
      <c r="GSS50" s="25"/>
      <c r="GST50" s="25"/>
      <c r="GSU50" s="25"/>
      <c r="GSV50" s="25"/>
      <c r="GSW50" s="25"/>
      <c r="GSX50" s="25"/>
      <c r="GSY50" s="25"/>
      <c r="GSZ50" s="25"/>
      <c r="GTA50" s="25"/>
      <c r="GTB50" s="25"/>
      <c r="GTC50" s="25"/>
      <c r="GTD50" s="25"/>
      <c r="GTE50" s="25"/>
      <c r="GTF50" s="25"/>
      <c r="GTG50" s="25"/>
      <c r="GTH50" s="25"/>
      <c r="GTI50" s="25"/>
      <c r="GTJ50" s="25"/>
      <c r="GTK50" s="25"/>
      <c r="GTL50" s="25"/>
      <c r="GTM50" s="25"/>
      <c r="GTN50" s="25"/>
      <c r="GTO50" s="25"/>
      <c r="GTP50" s="25"/>
      <c r="GTQ50" s="25"/>
      <c r="GTR50" s="25"/>
      <c r="GTS50" s="25"/>
      <c r="GTT50" s="25"/>
      <c r="GTU50" s="25"/>
      <c r="GTV50" s="25"/>
      <c r="GTW50" s="25"/>
      <c r="GTX50" s="25"/>
      <c r="GTY50" s="25"/>
      <c r="GTZ50" s="25"/>
      <c r="GUA50" s="25"/>
      <c r="GUB50" s="25"/>
      <c r="GUC50" s="25"/>
      <c r="GUD50" s="25"/>
      <c r="GUE50" s="25"/>
      <c r="GUF50" s="25"/>
      <c r="GUG50" s="25"/>
      <c r="GUH50" s="25"/>
      <c r="GUI50" s="25"/>
      <c r="GUJ50" s="25"/>
      <c r="GUK50" s="25"/>
      <c r="GUL50" s="25"/>
      <c r="GUM50" s="25"/>
      <c r="GUN50" s="25"/>
      <c r="GUO50" s="25"/>
      <c r="GUP50" s="25"/>
      <c r="GUQ50" s="25"/>
      <c r="GUR50" s="25"/>
      <c r="GUS50" s="25"/>
      <c r="GUT50" s="25"/>
      <c r="GUU50" s="25"/>
      <c r="GUV50" s="25"/>
      <c r="GUW50" s="25"/>
      <c r="GUX50" s="25"/>
      <c r="GUY50" s="25"/>
      <c r="GUZ50" s="25"/>
      <c r="GVA50" s="25"/>
      <c r="GVB50" s="25"/>
      <c r="GVC50" s="25"/>
      <c r="GVD50" s="25"/>
      <c r="GVE50" s="25"/>
      <c r="GVF50" s="25"/>
      <c r="GVG50" s="25"/>
      <c r="GVH50" s="25"/>
      <c r="GVI50" s="25"/>
      <c r="GVJ50" s="25"/>
      <c r="GVK50" s="25"/>
      <c r="GVL50" s="25"/>
      <c r="GVM50" s="25"/>
      <c r="GVN50" s="25"/>
      <c r="GVO50" s="25"/>
      <c r="GVP50" s="25"/>
      <c r="GVQ50" s="25"/>
      <c r="GVR50" s="25"/>
      <c r="GVS50" s="25"/>
      <c r="GVT50" s="25"/>
      <c r="GVU50" s="25"/>
      <c r="GVV50" s="25"/>
      <c r="GVW50" s="25"/>
      <c r="GVX50" s="25"/>
      <c r="GVY50" s="25"/>
      <c r="GVZ50" s="25"/>
      <c r="GWA50" s="25"/>
      <c r="GWB50" s="25"/>
      <c r="GWC50" s="25"/>
      <c r="GWD50" s="25"/>
      <c r="GWE50" s="25"/>
      <c r="GWF50" s="25"/>
      <c r="GWG50" s="25"/>
      <c r="GWH50" s="25"/>
      <c r="GWI50" s="25"/>
      <c r="GWJ50" s="25"/>
      <c r="GWK50" s="25"/>
      <c r="GWL50" s="25"/>
      <c r="GWM50" s="25"/>
      <c r="GWN50" s="25"/>
      <c r="GWO50" s="25"/>
      <c r="GWP50" s="25"/>
      <c r="GWQ50" s="25"/>
      <c r="GWR50" s="25"/>
      <c r="GWS50" s="25"/>
      <c r="GWT50" s="25"/>
      <c r="GWU50" s="25"/>
      <c r="GWV50" s="25"/>
      <c r="GWW50" s="25"/>
      <c r="GWX50" s="25"/>
      <c r="GWY50" s="25"/>
      <c r="GWZ50" s="25"/>
      <c r="GXA50" s="25"/>
      <c r="GXB50" s="25"/>
      <c r="GXC50" s="25"/>
      <c r="GXD50" s="25"/>
      <c r="GXE50" s="25"/>
      <c r="GXF50" s="25"/>
      <c r="GXG50" s="25"/>
      <c r="GXH50" s="25"/>
      <c r="GXI50" s="25"/>
      <c r="GXJ50" s="25"/>
      <c r="GXK50" s="25"/>
      <c r="GXL50" s="25"/>
      <c r="GXM50" s="25"/>
      <c r="GXN50" s="25"/>
      <c r="GXO50" s="25"/>
      <c r="GXP50" s="25"/>
      <c r="GXQ50" s="25"/>
      <c r="GXR50" s="25"/>
      <c r="GXS50" s="25"/>
      <c r="GXT50" s="25"/>
      <c r="GXU50" s="25"/>
      <c r="GXV50" s="25"/>
      <c r="GXW50" s="25"/>
      <c r="GXX50" s="25"/>
      <c r="GXY50" s="25"/>
      <c r="GXZ50" s="25"/>
      <c r="GYA50" s="25"/>
      <c r="GYB50" s="25"/>
      <c r="GYC50" s="25"/>
      <c r="GYD50" s="25"/>
      <c r="GYE50" s="25"/>
      <c r="GYF50" s="25"/>
      <c r="GYG50" s="25"/>
      <c r="GYH50" s="25"/>
      <c r="GYI50" s="25"/>
      <c r="GYJ50" s="25"/>
      <c r="GYK50" s="25"/>
      <c r="GYL50" s="25"/>
      <c r="GYM50" s="25"/>
      <c r="GYN50" s="25"/>
      <c r="GYO50" s="25"/>
      <c r="GYP50" s="25"/>
      <c r="GYQ50" s="25"/>
      <c r="GYR50" s="25"/>
      <c r="GYS50" s="25"/>
      <c r="GYT50" s="25"/>
      <c r="GYU50" s="25"/>
      <c r="GYV50" s="25"/>
      <c r="GYW50" s="25"/>
      <c r="GYX50" s="25"/>
      <c r="GYY50" s="25"/>
      <c r="GYZ50" s="25"/>
      <c r="GZA50" s="25"/>
      <c r="GZB50" s="25"/>
      <c r="GZC50" s="25"/>
      <c r="GZD50" s="25"/>
      <c r="GZE50" s="25"/>
      <c r="GZF50" s="25"/>
      <c r="GZG50" s="25"/>
      <c r="GZH50" s="25"/>
      <c r="GZI50" s="25"/>
      <c r="GZJ50" s="25"/>
      <c r="GZK50" s="25"/>
      <c r="GZL50" s="25"/>
      <c r="GZM50" s="25"/>
      <c r="GZN50" s="25"/>
      <c r="GZO50" s="25"/>
      <c r="GZP50" s="25"/>
      <c r="GZQ50" s="25"/>
      <c r="GZR50" s="25"/>
      <c r="GZS50" s="25"/>
      <c r="GZT50" s="25"/>
      <c r="GZU50" s="25"/>
      <c r="GZV50" s="25"/>
      <c r="GZW50" s="25"/>
      <c r="GZX50" s="25"/>
      <c r="GZY50" s="25"/>
      <c r="GZZ50" s="25"/>
      <c r="HAA50" s="25"/>
      <c r="HAB50" s="25"/>
      <c r="HAC50" s="25"/>
      <c r="HAD50" s="25"/>
      <c r="HAE50" s="25"/>
      <c r="HAF50" s="25"/>
      <c r="HAG50" s="25"/>
      <c r="HAH50" s="25"/>
      <c r="HAI50" s="25"/>
      <c r="HAJ50" s="25"/>
      <c r="HAK50" s="25"/>
      <c r="HAL50" s="25"/>
      <c r="HAM50" s="25"/>
      <c r="HAN50" s="25"/>
      <c r="HAO50" s="25"/>
      <c r="HAP50" s="25"/>
      <c r="HAQ50" s="25"/>
      <c r="HAR50" s="25"/>
      <c r="HAS50" s="25"/>
      <c r="HAT50" s="25"/>
      <c r="HAU50" s="25"/>
      <c r="HAV50" s="25"/>
      <c r="HAW50" s="25"/>
      <c r="HAX50" s="25"/>
      <c r="HAY50" s="25"/>
      <c r="HAZ50" s="25"/>
      <c r="HBA50" s="25"/>
      <c r="HBB50" s="25"/>
      <c r="HBC50" s="25"/>
      <c r="HBD50" s="25"/>
      <c r="HBE50" s="25"/>
      <c r="HBF50" s="25"/>
      <c r="HBG50" s="25"/>
      <c r="HBH50" s="25"/>
      <c r="HBI50" s="25"/>
      <c r="HBJ50" s="25"/>
      <c r="HBK50" s="25"/>
      <c r="HBL50" s="25"/>
      <c r="HBM50" s="25"/>
      <c r="HBN50" s="25"/>
      <c r="HBO50" s="25"/>
      <c r="HBP50" s="25"/>
      <c r="HBQ50" s="25"/>
      <c r="HBR50" s="25"/>
      <c r="HBS50" s="25"/>
      <c r="HBT50" s="25"/>
      <c r="HBU50" s="25"/>
      <c r="HBV50" s="25"/>
      <c r="HBW50" s="25"/>
      <c r="HBX50" s="25"/>
      <c r="HBY50" s="25"/>
      <c r="HBZ50" s="25"/>
      <c r="HCA50" s="25"/>
      <c r="HCB50" s="25"/>
      <c r="HCC50" s="25"/>
      <c r="HCD50" s="25"/>
      <c r="HCE50" s="25"/>
      <c r="HCF50" s="25"/>
      <c r="HCG50" s="25"/>
      <c r="HCH50" s="25"/>
      <c r="HCI50" s="25"/>
      <c r="HCJ50" s="25"/>
      <c r="HCK50" s="25"/>
      <c r="HCL50" s="25"/>
      <c r="HCM50" s="25"/>
      <c r="HCN50" s="25"/>
      <c r="HCO50" s="25"/>
      <c r="HCP50" s="25"/>
      <c r="HCQ50" s="25"/>
      <c r="HCR50" s="25"/>
      <c r="HCS50" s="25"/>
      <c r="HCT50" s="25"/>
      <c r="HCU50" s="25"/>
      <c r="HCV50" s="25"/>
      <c r="HCW50" s="25"/>
      <c r="HCX50" s="25"/>
      <c r="HCY50" s="25"/>
      <c r="HCZ50" s="25"/>
      <c r="HDA50" s="25"/>
      <c r="HDB50" s="25"/>
      <c r="HDC50" s="25"/>
      <c r="HDD50" s="25"/>
      <c r="HDE50" s="25"/>
      <c r="HDF50" s="25"/>
      <c r="HDG50" s="25"/>
      <c r="HDH50" s="25"/>
      <c r="HDI50" s="25"/>
      <c r="HDJ50" s="25"/>
      <c r="HDK50" s="25"/>
      <c r="HDL50" s="25"/>
      <c r="HDM50" s="25"/>
      <c r="HDN50" s="25"/>
      <c r="HDO50" s="25"/>
      <c r="HDP50" s="25"/>
      <c r="HDQ50" s="25"/>
      <c r="HDR50" s="25"/>
      <c r="HDS50" s="25"/>
      <c r="HDT50" s="25"/>
      <c r="HDU50" s="25"/>
      <c r="HDV50" s="25"/>
      <c r="HDW50" s="25"/>
      <c r="HDX50" s="25"/>
      <c r="HDY50" s="25"/>
      <c r="HDZ50" s="25"/>
      <c r="HEA50" s="25"/>
      <c r="HEB50" s="25"/>
      <c r="HEC50" s="25"/>
      <c r="HED50" s="25"/>
      <c r="HEE50" s="25"/>
      <c r="HEF50" s="25"/>
      <c r="HEG50" s="25"/>
      <c r="HEH50" s="25"/>
      <c r="HEI50" s="25"/>
      <c r="HEJ50" s="25"/>
      <c r="HEK50" s="25"/>
      <c r="HEL50" s="25"/>
      <c r="HEM50" s="25"/>
      <c r="HEN50" s="25"/>
      <c r="HEO50" s="25"/>
      <c r="HEP50" s="25"/>
      <c r="HEQ50" s="25"/>
      <c r="HER50" s="25"/>
      <c r="HES50" s="25"/>
      <c r="HET50" s="25"/>
      <c r="HEU50" s="25"/>
      <c r="HEV50" s="25"/>
      <c r="HEW50" s="25"/>
      <c r="HEX50" s="25"/>
      <c r="HEY50" s="25"/>
      <c r="HEZ50" s="25"/>
      <c r="HFA50" s="25"/>
      <c r="HFB50" s="25"/>
      <c r="HFC50" s="25"/>
      <c r="HFD50" s="25"/>
      <c r="HFE50" s="25"/>
      <c r="HFF50" s="25"/>
      <c r="HFG50" s="25"/>
      <c r="HFH50" s="25"/>
      <c r="HFI50" s="25"/>
      <c r="HFJ50" s="25"/>
      <c r="HFK50" s="25"/>
      <c r="HFL50" s="25"/>
      <c r="HFM50" s="25"/>
      <c r="HFN50" s="25"/>
      <c r="HFO50" s="25"/>
      <c r="HFP50" s="25"/>
      <c r="HFQ50" s="25"/>
      <c r="HFR50" s="25"/>
      <c r="HFS50" s="25"/>
      <c r="HFT50" s="25"/>
      <c r="HFU50" s="25"/>
      <c r="HFV50" s="25"/>
      <c r="HFW50" s="25"/>
      <c r="HFX50" s="25"/>
      <c r="HFY50" s="25"/>
      <c r="HFZ50" s="25"/>
      <c r="HGA50" s="25"/>
      <c r="HGB50" s="25"/>
      <c r="HGC50" s="25"/>
      <c r="HGD50" s="25"/>
      <c r="HGE50" s="25"/>
      <c r="HGF50" s="25"/>
      <c r="HGG50" s="25"/>
      <c r="HGH50" s="25"/>
      <c r="HGI50" s="25"/>
      <c r="HGJ50" s="25"/>
      <c r="HGK50" s="25"/>
      <c r="HGL50" s="25"/>
      <c r="HGM50" s="25"/>
      <c r="HGN50" s="25"/>
      <c r="HGO50" s="25"/>
      <c r="HGP50" s="25"/>
      <c r="HGQ50" s="25"/>
      <c r="HGR50" s="25"/>
      <c r="HGS50" s="25"/>
      <c r="HGT50" s="25"/>
      <c r="HGU50" s="25"/>
      <c r="HGV50" s="25"/>
      <c r="HGW50" s="25"/>
      <c r="HGX50" s="25"/>
      <c r="HGY50" s="25"/>
      <c r="HGZ50" s="25"/>
      <c r="HHA50" s="25"/>
      <c r="HHB50" s="25"/>
      <c r="HHC50" s="25"/>
      <c r="HHD50" s="25"/>
      <c r="HHE50" s="25"/>
      <c r="HHF50" s="25"/>
      <c r="HHG50" s="25"/>
      <c r="HHH50" s="25"/>
      <c r="HHI50" s="25"/>
      <c r="HHJ50" s="25"/>
      <c r="HHK50" s="25"/>
      <c r="HHL50" s="25"/>
      <c r="HHM50" s="25"/>
      <c r="HHN50" s="25"/>
      <c r="HHO50" s="25"/>
      <c r="HHP50" s="25"/>
      <c r="HHQ50" s="25"/>
      <c r="HHR50" s="25"/>
      <c r="HHS50" s="25"/>
      <c r="HHT50" s="25"/>
      <c r="HHU50" s="25"/>
      <c r="HHV50" s="25"/>
      <c r="HHW50" s="25"/>
      <c r="HHX50" s="25"/>
      <c r="HHY50" s="25"/>
      <c r="HHZ50" s="25"/>
      <c r="HIA50" s="25"/>
      <c r="HIB50" s="25"/>
      <c r="HIC50" s="25"/>
      <c r="HID50" s="25"/>
      <c r="HIE50" s="25"/>
      <c r="HIF50" s="25"/>
      <c r="HIG50" s="25"/>
      <c r="HIH50" s="25"/>
      <c r="HII50" s="25"/>
      <c r="HIJ50" s="25"/>
      <c r="HIK50" s="25"/>
      <c r="HIL50" s="25"/>
      <c r="HIM50" s="25"/>
      <c r="HIN50" s="25"/>
      <c r="HIO50" s="25"/>
      <c r="HIP50" s="25"/>
      <c r="HIQ50" s="25"/>
      <c r="HIR50" s="25"/>
      <c r="HIS50" s="25"/>
      <c r="HIT50" s="25"/>
      <c r="HIU50" s="25"/>
      <c r="HIV50" s="25"/>
      <c r="HIW50" s="25"/>
      <c r="HIX50" s="25"/>
      <c r="HIY50" s="25"/>
      <c r="HIZ50" s="25"/>
      <c r="HJA50" s="25"/>
      <c r="HJB50" s="25"/>
      <c r="HJC50" s="25"/>
      <c r="HJD50" s="25"/>
      <c r="HJE50" s="25"/>
      <c r="HJF50" s="25"/>
      <c r="HJG50" s="25"/>
      <c r="HJH50" s="25"/>
      <c r="HJI50" s="25"/>
      <c r="HJJ50" s="25"/>
      <c r="HJK50" s="25"/>
      <c r="HJL50" s="25"/>
      <c r="HJM50" s="25"/>
      <c r="HJN50" s="25"/>
      <c r="HJO50" s="25"/>
      <c r="HJP50" s="25"/>
      <c r="HJQ50" s="25"/>
      <c r="HJR50" s="25"/>
      <c r="HJS50" s="25"/>
      <c r="HJT50" s="25"/>
      <c r="HJU50" s="25"/>
      <c r="HJV50" s="25"/>
      <c r="HJW50" s="25"/>
      <c r="HJX50" s="25"/>
      <c r="HJY50" s="25"/>
      <c r="HJZ50" s="25"/>
      <c r="HKA50" s="25"/>
      <c r="HKB50" s="25"/>
      <c r="HKC50" s="25"/>
      <c r="HKD50" s="25"/>
      <c r="HKE50" s="25"/>
      <c r="HKF50" s="25"/>
      <c r="HKG50" s="25"/>
      <c r="HKH50" s="25"/>
      <c r="HKI50" s="25"/>
      <c r="HKJ50" s="25"/>
      <c r="HKK50" s="25"/>
      <c r="HKL50" s="25"/>
      <c r="HKM50" s="25"/>
      <c r="HKN50" s="25"/>
      <c r="HKO50" s="25"/>
      <c r="HKP50" s="25"/>
      <c r="HKQ50" s="25"/>
      <c r="HKR50" s="25"/>
      <c r="HKS50" s="25"/>
      <c r="HKT50" s="25"/>
      <c r="HKU50" s="25"/>
      <c r="HKV50" s="25"/>
      <c r="HKW50" s="25"/>
      <c r="HKX50" s="25"/>
      <c r="HKY50" s="25"/>
      <c r="HKZ50" s="25"/>
      <c r="HLA50" s="25"/>
      <c r="HLB50" s="25"/>
      <c r="HLC50" s="25"/>
      <c r="HLD50" s="25"/>
      <c r="HLE50" s="25"/>
      <c r="HLF50" s="25"/>
      <c r="HLG50" s="25"/>
      <c r="HLH50" s="25"/>
      <c r="HLI50" s="25"/>
      <c r="HLJ50" s="25"/>
      <c r="HLK50" s="25"/>
      <c r="HLL50" s="25"/>
      <c r="HLM50" s="25"/>
      <c r="HLN50" s="25"/>
      <c r="HLO50" s="25"/>
      <c r="HLP50" s="25"/>
      <c r="HLQ50" s="25"/>
      <c r="HLR50" s="25"/>
      <c r="HLS50" s="25"/>
      <c r="HLT50" s="25"/>
      <c r="HLU50" s="25"/>
      <c r="HLV50" s="25"/>
      <c r="HLW50" s="25"/>
      <c r="HLX50" s="25"/>
      <c r="HLY50" s="25"/>
      <c r="HLZ50" s="25"/>
      <c r="HMA50" s="25"/>
      <c r="HMB50" s="25"/>
      <c r="HMC50" s="25"/>
      <c r="HMD50" s="25"/>
      <c r="HME50" s="25"/>
      <c r="HMF50" s="25"/>
      <c r="HMG50" s="25"/>
      <c r="HMH50" s="25"/>
      <c r="HMI50" s="25"/>
      <c r="HMJ50" s="25"/>
      <c r="HMK50" s="25"/>
      <c r="HML50" s="25"/>
      <c r="HMM50" s="25"/>
      <c r="HMN50" s="25"/>
      <c r="HMO50" s="25"/>
      <c r="HMP50" s="25"/>
      <c r="HMQ50" s="25"/>
      <c r="HMR50" s="25"/>
      <c r="HMS50" s="25"/>
      <c r="HMT50" s="25"/>
      <c r="HMU50" s="25"/>
      <c r="HMV50" s="25"/>
      <c r="HMW50" s="25"/>
      <c r="HMX50" s="25"/>
      <c r="HMY50" s="25"/>
      <c r="HMZ50" s="25"/>
      <c r="HNA50" s="25"/>
      <c r="HNB50" s="25"/>
      <c r="HNC50" s="25"/>
      <c r="HND50" s="25"/>
      <c r="HNE50" s="25"/>
      <c r="HNF50" s="25"/>
      <c r="HNG50" s="25"/>
      <c r="HNH50" s="25"/>
      <c r="HNI50" s="25"/>
      <c r="HNJ50" s="25"/>
      <c r="HNK50" s="25"/>
      <c r="HNL50" s="25"/>
      <c r="HNM50" s="25"/>
      <c r="HNN50" s="25"/>
      <c r="HNO50" s="25"/>
      <c r="HNP50" s="25"/>
      <c r="HNQ50" s="25"/>
      <c r="HNR50" s="25"/>
      <c r="HNS50" s="25"/>
      <c r="HNT50" s="25"/>
      <c r="HNU50" s="25"/>
      <c r="HNV50" s="25"/>
      <c r="HNW50" s="25"/>
      <c r="HNX50" s="25"/>
      <c r="HNY50" s="25"/>
      <c r="HNZ50" s="25"/>
      <c r="HOA50" s="25"/>
      <c r="HOB50" s="25"/>
      <c r="HOC50" s="25"/>
      <c r="HOD50" s="25"/>
      <c r="HOE50" s="25"/>
      <c r="HOF50" s="25"/>
      <c r="HOG50" s="25"/>
      <c r="HOH50" s="25"/>
      <c r="HOI50" s="25"/>
      <c r="HOJ50" s="25"/>
      <c r="HOK50" s="25"/>
      <c r="HOL50" s="25"/>
      <c r="HOM50" s="25"/>
      <c r="HON50" s="25"/>
      <c r="HOO50" s="25"/>
      <c r="HOP50" s="25"/>
      <c r="HOQ50" s="25"/>
      <c r="HOR50" s="25"/>
      <c r="HOS50" s="25"/>
      <c r="HOT50" s="25"/>
      <c r="HOU50" s="25"/>
      <c r="HOV50" s="25"/>
      <c r="HOW50" s="25"/>
      <c r="HOX50" s="25"/>
      <c r="HOY50" s="25"/>
      <c r="HOZ50" s="25"/>
      <c r="HPA50" s="25"/>
      <c r="HPB50" s="25"/>
      <c r="HPC50" s="25"/>
      <c r="HPD50" s="25"/>
      <c r="HPE50" s="25"/>
      <c r="HPF50" s="25"/>
      <c r="HPG50" s="25"/>
      <c r="HPH50" s="25"/>
      <c r="HPI50" s="25"/>
      <c r="HPJ50" s="25"/>
      <c r="HPK50" s="25"/>
      <c r="HPL50" s="25"/>
      <c r="HPM50" s="25"/>
      <c r="HPN50" s="25"/>
      <c r="HPO50" s="25"/>
      <c r="HPP50" s="25"/>
      <c r="HPQ50" s="25"/>
      <c r="HPR50" s="25"/>
      <c r="HPS50" s="25"/>
      <c r="HPT50" s="25"/>
      <c r="HPU50" s="25"/>
      <c r="HPV50" s="25"/>
      <c r="HPW50" s="25"/>
      <c r="HPX50" s="25"/>
      <c r="HPY50" s="25"/>
      <c r="HPZ50" s="25"/>
      <c r="HQA50" s="25"/>
      <c r="HQB50" s="25"/>
      <c r="HQC50" s="25"/>
      <c r="HQD50" s="25"/>
      <c r="HQE50" s="25"/>
      <c r="HQF50" s="25"/>
      <c r="HQG50" s="25"/>
      <c r="HQH50" s="25"/>
      <c r="HQI50" s="25"/>
      <c r="HQJ50" s="25"/>
      <c r="HQK50" s="25"/>
      <c r="HQL50" s="25"/>
      <c r="HQM50" s="25"/>
      <c r="HQN50" s="25"/>
      <c r="HQO50" s="25"/>
      <c r="HQP50" s="25"/>
      <c r="HQQ50" s="25"/>
      <c r="HQR50" s="25"/>
      <c r="HQS50" s="25"/>
      <c r="HQT50" s="25"/>
      <c r="HQU50" s="25"/>
      <c r="HQV50" s="25"/>
      <c r="HQW50" s="25"/>
      <c r="HQX50" s="25"/>
      <c r="HQY50" s="25"/>
      <c r="HQZ50" s="25"/>
      <c r="HRA50" s="25"/>
      <c r="HRB50" s="25"/>
      <c r="HRC50" s="25"/>
      <c r="HRD50" s="25"/>
      <c r="HRE50" s="25"/>
      <c r="HRF50" s="25"/>
      <c r="HRG50" s="25"/>
      <c r="HRH50" s="25"/>
      <c r="HRI50" s="25"/>
      <c r="HRJ50" s="25"/>
      <c r="HRK50" s="25"/>
      <c r="HRL50" s="25"/>
      <c r="HRM50" s="25"/>
      <c r="HRN50" s="25"/>
      <c r="HRO50" s="25"/>
      <c r="HRP50" s="25"/>
      <c r="HRQ50" s="25"/>
      <c r="HRR50" s="25"/>
      <c r="HRS50" s="25"/>
      <c r="HRT50" s="25"/>
      <c r="HRU50" s="25"/>
      <c r="HRV50" s="25"/>
      <c r="HRW50" s="25"/>
      <c r="HRX50" s="25"/>
      <c r="HRY50" s="25"/>
      <c r="HRZ50" s="25"/>
      <c r="HSA50" s="25"/>
      <c r="HSB50" s="25"/>
      <c r="HSC50" s="25"/>
      <c r="HSD50" s="25"/>
      <c r="HSE50" s="25"/>
      <c r="HSF50" s="25"/>
      <c r="HSG50" s="25"/>
      <c r="HSH50" s="25"/>
      <c r="HSI50" s="25"/>
      <c r="HSJ50" s="25"/>
      <c r="HSK50" s="25"/>
      <c r="HSL50" s="25"/>
      <c r="HSM50" s="25"/>
      <c r="HSN50" s="25"/>
      <c r="HSO50" s="25"/>
      <c r="HSP50" s="25"/>
      <c r="HSQ50" s="25"/>
      <c r="HSR50" s="25"/>
      <c r="HSS50" s="25"/>
      <c r="HST50" s="25"/>
      <c r="HSU50" s="25"/>
      <c r="HSV50" s="25"/>
      <c r="HSW50" s="25"/>
      <c r="HSX50" s="25"/>
      <c r="HSY50" s="25"/>
      <c r="HSZ50" s="25"/>
      <c r="HTA50" s="25"/>
      <c r="HTB50" s="25"/>
      <c r="HTC50" s="25"/>
      <c r="HTD50" s="25"/>
      <c r="HTE50" s="25"/>
      <c r="HTF50" s="25"/>
      <c r="HTG50" s="25"/>
      <c r="HTH50" s="25"/>
      <c r="HTI50" s="25"/>
      <c r="HTJ50" s="25"/>
      <c r="HTK50" s="25"/>
      <c r="HTL50" s="25"/>
      <c r="HTM50" s="25"/>
      <c r="HTN50" s="25"/>
      <c r="HTO50" s="25"/>
      <c r="HTP50" s="25"/>
      <c r="HTQ50" s="25"/>
      <c r="HTR50" s="25"/>
      <c r="HTS50" s="25"/>
      <c r="HTT50" s="25"/>
      <c r="HTU50" s="25"/>
      <c r="HTV50" s="25"/>
      <c r="HTW50" s="25"/>
      <c r="HTX50" s="25"/>
      <c r="HTY50" s="25"/>
      <c r="HTZ50" s="25"/>
      <c r="HUA50" s="25"/>
      <c r="HUB50" s="25"/>
      <c r="HUC50" s="25"/>
      <c r="HUD50" s="25"/>
      <c r="HUE50" s="25"/>
      <c r="HUF50" s="25"/>
      <c r="HUG50" s="25"/>
      <c r="HUH50" s="25"/>
      <c r="HUI50" s="25"/>
      <c r="HUJ50" s="25"/>
      <c r="HUK50" s="25"/>
      <c r="HUL50" s="25"/>
      <c r="HUM50" s="25"/>
      <c r="HUN50" s="25"/>
      <c r="HUO50" s="25"/>
      <c r="HUP50" s="25"/>
      <c r="HUQ50" s="25"/>
      <c r="HUR50" s="25"/>
      <c r="HUS50" s="25"/>
      <c r="HUT50" s="25"/>
      <c r="HUU50" s="25"/>
      <c r="HUV50" s="25"/>
      <c r="HUW50" s="25"/>
      <c r="HUX50" s="25"/>
      <c r="HUY50" s="25"/>
      <c r="HUZ50" s="25"/>
      <c r="HVA50" s="25"/>
      <c r="HVB50" s="25"/>
      <c r="HVC50" s="25"/>
      <c r="HVD50" s="25"/>
      <c r="HVE50" s="25"/>
      <c r="HVF50" s="25"/>
      <c r="HVG50" s="25"/>
      <c r="HVH50" s="25"/>
      <c r="HVI50" s="25"/>
      <c r="HVJ50" s="25"/>
      <c r="HVK50" s="25"/>
      <c r="HVL50" s="25"/>
      <c r="HVM50" s="25"/>
      <c r="HVN50" s="25"/>
      <c r="HVO50" s="25"/>
      <c r="HVP50" s="25"/>
      <c r="HVQ50" s="25"/>
      <c r="HVR50" s="25"/>
      <c r="HVS50" s="25"/>
      <c r="HVT50" s="25"/>
      <c r="HVU50" s="25"/>
      <c r="HVV50" s="25"/>
      <c r="HVW50" s="25"/>
      <c r="HVX50" s="25"/>
      <c r="HVY50" s="25"/>
      <c r="HVZ50" s="25"/>
      <c r="HWA50" s="25"/>
      <c r="HWB50" s="25"/>
      <c r="HWC50" s="25"/>
      <c r="HWD50" s="25"/>
      <c r="HWE50" s="25"/>
      <c r="HWF50" s="25"/>
      <c r="HWG50" s="25"/>
      <c r="HWH50" s="25"/>
      <c r="HWI50" s="25"/>
      <c r="HWJ50" s="25"/>
      <c r="HWK50" s="25"/>
      <c r="HWL50" s="25"/>
      <c r="HWM50" s="25"/>
      <c r="HWN50" s="25"/>
      <c r="HWO50" s="25"/>
      <c r="HWP50" s="25"/>
      <c r="HWQ50" s="25"/>
      <c r="HWR50" s="25"/>
      <c r="HWS50" s="25"/>
      <c r="HWT50" s="25"/>
      <c r="HWU50" s="25"/>
      <c r="HWV50" s="25"/>
      <c r="HWW50" s="25"/>
      <c r="HWX50" s="25"/>
      <c r="HWY50" s="25"/>
      <c r="HWZ50" s="25"/>
      <c r="HXA50" s="25"/>
      <c r="HXB50" s="25"/>
      <c r="HXC50" s="25"/>
      <c r="HXD50" s="25"/>
      <c r="HXE50" s="25"/>
      <c r="HXF50" s="25"/>
      <c r="HXG50" s="25"/>
      <c r="HXH50" s="25"/>
      <c r="HXI50" s="25"/>
      <c r="HXJ50" s="25"/>
      <c r="HXK50" s="25"/>
      <c r="HXL50" s="25"/>
      <c r="HXM50" s="25"/>
      <c r="HXN50" s="25"/>
      <c r="HXO50" s="25"/>
      <c r="HXP50" s="25"/>
      <c r="HXQ50" s="25"/>
      <c r="HXR50" s="25"/>
      <c r="HXS50" s="25"/>
      <c r="HXT50" s="25"/>
      <c r="HXU50" s="25"/>
      <c r="HXV50" s="25"/>
      <c r="HXW50" s="25"/>
      <c r="HXX50" s="25"/>
      <c r="HXY50" s="25"/>
      <c r="HXZ50" s="25"/>
      <c r="HYA50" s="25"/>
      <c r="HYB50" s="25"/>
      <c r="HYC50" s="25"/>
      <c r="HYD50" s="25"/>
      <c r="HYE50" s="25"/>
      <c r="HYF50" s="25"/>
      <c r="HYG50" s="25"/>
      <c r="HYH50" s="25"/>
      <c r="HYI50" s="25"/>
      <c r="HYJ50" s="25"/>
      <c r="HYK50" s="25"/>
      <c r="HYL50" s="25"/>
      <c r="HYM50" s="25"/>
      <c r="HYN50" s="25"/>
      <c r="HYO50" s="25"/>
      <c r="HYP50" s="25"/>
      <c r="HYQ50" s="25"/>
      <c r="HYR50" s="25"/>
      <c r="HYS50" s="25"/>
      <c r="HYT50" s="25"/>
      <c r="HYU50" s="25"/>
      <c r="HYV50" s="25"/>
      <c r="HYW50" s="25"/>
      <c r="HYX50" s="25"/>
      <c r="HYY50" s="25"/>
      <c r="HYZ50" s="25"/>
      <c r="HZA50" s="25"/>
      <c r="HZB50" s="25"/>
      <c r="HZC50" s="25"/>
      <c r="HZD50" s="25"/>
      <c r="HZE50" s="25"/>
      <c r="HZF50" s="25"/>
      <c r="HZG50" s="25"/>
      <c r="HZH50" s="25"/>
      <c r="HZI50" s="25"/>
      <c r="HZJ50" s="25"/>
      <c r="HZK50" s="25"/>
      <c r="HZL50" s="25"/>
      <c r="HZM50" s="25"/>
      <c r="HZN50" s="25"/>
      <c r="HZO50" s="25"/>
      <c r="HZP50" s="25"/>
      <c r="HZQ50" s="25"/>
      <c r="HZR50" s="25"/>
      <c r="HZS50" s="25"/>
      <c r="HZT50" s="25"/>
      <c r="HZU50" s="25"/>
      <c r="HZV50" s="25"/>
      <c r="HZW50" s="25"/>
      <c r="HZX50" s="25"/>
      <c r="HZY50" s="25"/>
      <c r="HZZ50" s="25"/>
      <c r="IAA50" s="25"/>
      <c r="IAB50" s="25"/>
      <c r="IAC50" s="25"/>
      <c r="IAD50" s="25"/>
      <c r="IAE50" s="25"/>
      <c r="IAF50" s="25"/>
      <c r="IAG50" s="25"/>
      <c r="IAH50" s="25"/>
      <c r="IAI50" s="25"/>
      <c r="IAJ50" s="25"/>
      <c r="IAK50" s="25"/>
      <c r="IAL50" s="25"/>
      <c r="IAM50" s="25"/>
      <c r="IAN50" s="25"/>
      <c r="IAO50" s="25"/>
      <c r="IAP50" s="25"/>
      <c r="IAQ50" s="25"/>
      <c r="IAR50" s="25"/>
      <c r="IAS50" s="25"/>
      <c r="IAT50" s="25"/>
      <c r="IAU50" s="25"/>
      <c r="IAV50" s="25"/>
      <c r="IAW50" s="25"/>
      <c r="IAX50" s="25"/>
      <c r="IAY50" s="25"/>
      <c r="IAZ50" s="25"/>
      <c r="IBA50" s="25"/>
      <c r="IBB50" s="25"/>
      <c r="IBC50" s="25"/>
      <c r="IBD50" s="25"/>
      <c r="IBE50" s="25"/>
      <c r="IBF50" s="25"/>
      <c r="IBG50" s="25"/>
      <c r="IBH50" s="25"/>
      <c r="IBI50" s="25"/>
      <c r="IBJ50" s="25"/>
      <c r="IBK50" s="25"/>
      <c r="IBL50" s="25"/>
      <c r="IBM50" s="25"/>
      <c r="IBN50" s="25"/>
      <c r="IBO50" s="25"/>
      <c r="IBP50" s="25"/>
      <c r="IBQ50" s="25"/>
      <c r="IBR50" s="25"/>
      <c r="IBS50" s="25"/>
      <c r="IBT50" s="25"/>
      <c r="IBU50" s="25"/>
      <c r="IBV50" s="25"/>
      <c r="IBW50" s="25"/>
      <c r="IBX50" s="25"/>
      <c r="IBY50" s="25"/>
      <c r="IBZ50" s="25"/>
      <c r="ICA50" s="25"/>
      <c r="ICB50" s="25"/>
      <c r="ICC50" s="25"/>
      <c r="ICD50" s="25"/>
      <c r="ICE50" s="25"/>
      <c r="ICF50" s="25"/>
      <c r="ICG50" s="25"/>
      <c r="ICH50" s="25"/>
      <c r="ICI50" s="25"/>
      <c r="ICJ50" s="25"/>
      <c r="ICK50" s="25"/>
      <c r="ICL50" s="25"/>
      <c r="ICM50" s="25"/>
      <c r="ICN50" s="25"/>
      <c r="ICO50" s="25"/>
      <c r="ICP50" s="25"/>
      <c r="ICQ50" s="25"/>
      <c r="ICR50" s="25"/>
      <c r="ICS50" s="25"/>
      <c r="ICT50" s="25"/>
      <c r="ICU50" s="25"/>
      <c r="ICV50" s="25"/>
      <c r="ICW50" s="25"/>
      <c r="ICX50" s="25"/>
      <c r="ICY50" s="25"/>
      <c r="ICZ50" s="25"/>
      <c r="IDA50" s="25"/>
      <c r="IDB50" s="25"/>
      <c r="IDC50" s="25"/>
      <c r="IDD50" s="25"/>
      <c r="IDE50" s="25"/>
      <c r="IDF50" s="25"/>
      <c r="IDG50" s="25"/>
      <c r="IDH50" s="25"/>
      <c r="IDI50" s="25"/>
      <c r="IDJ50" s="25"/>
      <c r="IDK50" s="25"/>
      <c r="IDL50" s="25"/>
      <c r="IDM50" s="25"/>
      <c r="IDN50" s="25"/>
      <c r="IDO50" s="25"/>
      <c r="IDP50" s="25"/>
      <c r="IDQ50" s="25"/>
      <c r="IDR50" s="25"/>
      <c r="IDS50" s="25"/>
      <c r="IDT50" s="25"/>
      <c r="IDU50" s="25"/>
      <c r="IDV50" s="25"/>
      <c r="IDW50" s="25"/>
      <c r="IDX50" s="25"/>
      <c r="IDY50" s="25"/>
      <c r="IDZ50" s="25"/>
      <c r="IEA50" s="25"/>
      <c r="IEB50" s="25"/>
      <c r="IEC50" s="25"/>
      <c r="IED50" s="25"/>
      <c r="IEE50" s="25"/>
      <c r="IEF50" s="25"/>
      <c r="IEG50" s="25"/>
      <c r="IEH50" s="25"/>
      <c r="IEI50" s="25"/>
      <c r="IEJ50" s="25"/>
      <c r="IEK50" s="25"/>
      <c r="IEL50" s="25"/>
      <c r="IEM50" s="25"/>
      <c r="IEN50" s="25"/>
      <c r="IEO50" s="25"/>
      <c r="IEP50" s="25"/>
      <c r="IEQ50" s="25"/>
      <c r="IER50" s="25"/>
      <c r="IES50" s="25"/>
      <c r="IET50" s="25"/>
      <c r="IEU50" s="25"/>
      <c r="IEV50" s="25"/>
      <c r="IEW50" s="25"/>
      <c r="IEX50" s="25"/>
      <c r="IEY50" s="25"/>
      <c r="IEZ50" s="25"/>
      <c r="IFA50" s="25"/>
      <c r="IFB50" s="25"/>
      <c r="IFC50" s="25"/>
      <c r="IFD50" s="25"/>
      <c r="IFE50" s="25"/>
      <c r="IFF50" s="25"/>
      <c r="IFG50" s="25"/>
      <c r="IFH50" s="25"/>
      <c r="IFI50" s="25"/>
      <c r="IFJ50" s="25"/>
      <c r="IFK50" s="25"/>
      <c r="IFL50" s="25"/>
      <c r="IFM50" s="25"/>
      <c r="IFN50" s="25"/>
      <c r="IFO50" s="25"/>
      <c r="IFP50" s="25"/>
      <c r="IFQ50" s="25"/>
      <c r="IFR50" s="25"/>
      <c r="IFS50" s="25"/>
      <c r="IFT50" s="25"/>
      <c r="IFU50" s="25"/>
      <c r="IFV50" s="25"/>
      <c r="IFW50" s="25"/>
      <c r="IFX50" s="25"/>
      <c r="IFY50" s="25"/>
      <c r="IFZ50" s="25"/>
      <c r="IGA50" s="25"/>
      <c r="IGB50" s="25"/>
      <c r="IGC50" s="25"/>
      <c r="IGD50" s="25"/>
      <c r="IGE50" s="25"/>
      <c r="IGF50" s="25"/>
      <c r="IGG50" s="25"/>
      <c r="IGH50" s="25"/>
      <c r="IGI50" s="25"/>
      <c r="IGJ50" s="25"/>
      <c r="IGK50" s="25"/>
      <c r="IGL50" s="25"/>
      <c r="IGM50" s="25"/>
      <c r="IGN50" s="25"/>
      <c r="IGO50" s="25"/>
      <c r="IGP50" s="25"/>
      <c r="IGQ50" s="25"/>
      <c r="IGR50" s="25"/>
      <c r="IGS50" s="25"/>
      <c r="IGT50" s="25"/>
      <c r="IGU50" s="25"/>
      <c r="IGV50" s="25"/>
      <c r="IGW50" s="25"/>
      <c r="IGX50" s="25"/>
      <c r="IGY50" s="25"/>
      <c r="IGZ50" s="25"/>
      <c r="IHA50" s="25"/>
      <c r="IHB50" s="25"/>
      <c r="IHC50" s="25"/>
      <c r="IHD50" s="25"/>
      <c r="IHE50" s="25"/>
      <c r="IHF50" s="25"/>
      <c r="IHG50" s="25"/>
      <c r="IHH50" s="25"/>
      <c r="IHI50" s="25"/>
      <c r="IHJ50" s="25"/>
      <c r="IHK50" s="25"/>
      <c r="IHL50" s="25"/>
      <c r="IHM50" s="25"/>
      <c r="IHN50" s="25"/>
      <c r="IHO50" s="25"/>
      <c r="IHP50" s="25"/>
      <c r="IHQ50" s="25"/>
      <c r="IHR50" s="25"/>
      <c r="IHS50" s="25"/>
      <c r="IHT50" s="25"/>
      <c r="IHU50" s="25"/>
      <c r="IHV50" s="25"/>
      <c r="IHW50" s="25"/>
      <c r="IHX50" s="25"/>
      <c r="IHY50" s="25"/>
      <c r="IHZ50" s="25"/>
      <c r="IIA50" s="25"/>
      <c r="IIB50" s="25"/>
      <c r="IIC50" s="25"/>
      <c r="IID50" s="25"/>
      <c r="IIE50" s="25"/>
      <c r="IIF50" s="25"/>
      <c r="IIG50" s="25"/>
      <c r="IIH50" s="25"/>
      <c r="III50" s="25"/>
      <c r="IIJ50" s="25"/>
      <c r="IIK50" s="25"/>
      <c r="IIL50" s="25"/>
      <c r="IIM50" s="25"/>
      <c r="IIN50" s="25"/>
      <c r="IIO50" s="25"/>
      <c r="IIP50" s="25"/>
      <c r="IIQ50" s="25"/>
      <c r="IIR50" s="25"/>
      <c r="IIS50" s="25"/>
      <c r="IIT50" s="25"/>
      <c r="IIU50" s="25"/>
      <c r="IIV50" s="25"/>
      <c r="IIW50" s="25"/>
      <c r="IIX50" s="25"/>
      <c r="IIY50" s="25"/>
      <c r="IIZ50" s="25"/>
      <c r="IJA50" s="25"/>
      <c r="IJB50" s="25"/>
      <c r="IJC50" s="25"/>
      <c r="IJD50" s="25"/>
      <c r="IJE50" s="25"/>
      <c r="IJF50" s="25"/>
      <c r="IJG50" s="25"/>
      <c r="IJH50" s="25"/>
      <c r="IJI50" s="25"/>
      <c r="IJJ50" s="25"/>
      <c r="IJK50" s="25"/>
      <c r="IJL50" s="25"/>
      <c r="IJM50" s="25"/>
      <c r="IJN50" s="25"/>
      <c r="IJO50" s="25"/>
      <c r="IJP50" s="25"/>
      <c r="IJQ50" s="25"/>
      <c r="IJR50" s="25"/>
      <c r="IJS50" s="25"/>
      <c r="IJT50" s="25"/>
      <c r="IJU50" s="25"/>
      <c r="IJV50" s="25"/>
      <c r="IJW50" s="25"/>
      <c r="IJX50" s="25"/>
      <c r="IJY50" s="25"/>
      <c r="IJZ50" s="25"/>
      <c r="IKA50" s="25"/>
      <c r="IKB50" s="25"/>
      <c r="IKC50" s="25"/>
      <c r="IKD50" s="25"/>
      <c r="IKE50" s="25"/>
      <c r="IKF50" s="25"/>
      <c r="IKG50" s="25"/>
      <c r="IKH50" s="25"/>
      <c r="IKI50" s="25"/>
      <c r="IKJ50" s="25"/>
      <c r="IKK50" s="25"/>
      <c r="IKL50" s="25"/>
      <c r="IKM50" s="25"/>
      <c r="IKN50" s="25"/>
      <c r="IKO50" s="25"/>
      <c r="IKP50" s="25"/>
      <c r="IKQ50" s="25"/>
      <c r="IKR50" s="25"/>
      <c r="IKS50" s="25"/>
      <c r="IKT50" s="25"/>
      <c r="IKU50" s="25"/>
      <c r="IKV50" s="25"/>
      <c r="IKW50" s="25"/>
      <c r="IKX50" s="25"/>
      <c r="IKY50" s="25"/>
      <c r="IKZ50" s="25"/>
      <c r="ILA50" s="25"/>
      <c r="ILB50" s="25"/>
      <c r="ILC50" s="25"/>
      <c r="ILD50" s="25"/>
      <c r="ILE50" s="25"/>
      <c r="ILF50" s="25"/>
      <c r="ILG50" s="25"/>
      <c r="ILH50" s="25"/>
      <c r="ILI50" s="25"/>
      <c r="ILJ50" s="25"/>
      <c r="ILK50" s="25"/>
      <c r="ILL50" s="25"/>
      <c r="ILM50" s="25"/>
      <c r="ILN50" s="25"/>
      <c r="ILO50" s="25"/>
      <c r="ILP50" s="25"/>
      <c r="ILQ50" s="25"/>
      <c r="ILR50" s="25"/>
      <c r="ILS50" s="25"/>
      <c r="ILT50" s="25"/>
      <c r="ILU50" s="25"/>
      <c r="ILV50" s="25"/>
      <c r="ILW50" s="25"/>
      <c r="ILX50" s="25"/>
      <c r="ILY50" s="25"/>
      <c r="ILZ50" s="25"/>
      <c r="IMA50" s="25"/>
      <c r="IMB50" s="25"/>
      <c r="IMC50" s="25"/>
      <c r="IMD50" s="25"/>
      <c r="IME50" s="25"/>
      <c r="IMF50" s="25"/>
      <c r="IMG50" s="25"/>
      <c r="IMH50" s="25"/>
      <c r="IMI50" s="25"/>
      <c r="IMJ50" s="25"/>
      <c r="IMK50" s="25"/>
      <c r="IML50" s="25"/>
      <c r="IMM50" s="25"/>
      <c r="IMN50" s="25"/>
      <c r="IMO50" s="25"/>
      <c r="IMP50" s="25"/>
      <c r="IMQ50" s="25"/>
      <c r="IMR50" s="25"/>
      <c r="IMS50" s="25"/>
      <c r="IMT50" s="25"/>
      <c r="IMU50" s="25"/>
      <c r="IMV50" s="25"/>
      <c r="IMW50" s="25"/>
      <c r="IMX50" s="25"/>
      <c r="IMY50" s="25"/>
      <c r="IMZ50" s="25"/>
      <c r="INA50" s="25"/>
      <c r="INB50" s="25"/>
      <c r="INC50" s="25"/>
      <c r="IND50" s="25"/>
      <c r="INE50" s="25"/>
      <c r="INF50" s="25"/>
      <c r="ING50" s="25"/>
      <c r="INH50" s="25"/>
      <c r="INI50" s="25"/>
      <c r="INJ50" s="25"/>
      <c r="INK50" s="25"/>
      <c r="INL50" s="25"/>
      <c r="INM50" s="25"/>
      <c r="INN50" s="25"/>
      <c r="INO50" s="25"/>
      <c r="INP50" s="25"/>
      <c r="INQ50" s="25"/>
      <c r="INR50" s="25"/>
      <c r="INS50" s="25"/>
      <c r="INT50" s="25"/>
      <c r="INU50" s="25"/>
      <c r="INV50" s="25"/>
      <c r="INW50" s="25"/>
      <c r="INX50" s="25"/>
      <c r="INY50" s="25"/>
      <c r="INZ50" s="25"/>
      <c r="IOA50" s="25"/>
      <c r="IOB50" s="25"/>
      <c r="IOC50" s="25"/>
      <c r="IOD50" s="25"/>
      <c r="IOE50" s="25"/>
      <c r="IOF50" s="25"/>
      <c r="IOG50" s="25"/>
      <c r="IOH50" s="25"/>
      <c r="IOI50" s="25"/>
      <c r="IOJ50" s="25"/>
      <c r="IOK50" s="25"/>
      <c r="IOL50" s="25"/>
      <c r="IOM50" s="25"/>
      <c r="ION50" s="25"/>
      <c r="IOO50" s="25"/>
      <c r="IOP50" s="25"/>
      <c r="IOQ50" s="25"/>
      <c r="IOR50" s="25"/>
      <c r="IOS50" s="25"/>
      <c r="IOT50" s="25"/>
      <c r="IOU50" s="25"/>
      <c r="IOV50" s="25"/>
      <c r="IOW50" s="25"/>
      <c r="IOX50" s="25"/>
      <c r="IOY50" s="25"/>
      <c r="IOZ50" s="25"/>
      <c r="IPA50" s="25"/>
      <c r="IPB50" s="25"/>
      <c r="IPC50" s="25"/>
      <c r="IPD50" s="25"/>
      <c r="IPE50" s="25"/>
      <c r="IPF50" s="25"/>
      <c r="IPG50" s="25"/>
      <c r="IPH50" s="25"/>
      <c r="IPI50" s="25"/>
      <c r="IPJ50" s="25"/>
      <c r="IPK50" s="25"/>
      <c r="IPL50" s="25"/>
      <c r="IPM50" s="25"/>
      <c r="IPN50" s="25"/>
      <c r="IPO50" s="25"/>
      <c r="IPP50" s="25"/>
      <c r="IPQ50" s="25"/>
      <c r="IPR50" s="25"/>
      <c r="IPS50" s="25"/>
      <c r="IPT50" s="25"/>
      <c r="IPU50" s="25"/>
      <c r="IPV50" s="25"/>
      <c r="IPW50" s="25"/>
      <c r="IPX50" s="25"/>
      <c r="IPY50" s="25"/>
      <c r="IPZ50" s="25"/>
      <c r="IQA50" s="25"/>
      <c r="IQB50" s="25"/>
      <c r="IQC50" s="25"/>
      <c r="IQD50" s="25"/>
      <c r="IQE50" s="25"/>
      <c r="IQF50" s="25"/>
      <c r="IQG50" s="25"/>
      <c r="IQH50" s="25"/>
      <c r="IQI50" s="25"/>
      <c r="IQJ50" s="25"/>
      <c r="IQK50" s="25"/>
      <c r="IQL50" s="25"/>
      <c r="IQM50" s="25"/>
      <c r="IQN50" s="25"/>
      <c r="IQO50" s="25"/>
      <c r="IQP50" s="25"/>
      <c r="IQQ50" s="25"/>
      <c r="IQR50" s="25"/>
      <c r="IQS50" s="25"/>
      <c r="IQT50" s="25"/>
      <c r="IQU50" s="25"/>
      <c r="IQV50" s="25"/>
      <c r="IQW50" s="25"/>
      <c r="IQX50" s="25"/>
      <c r="IQY50" s="25"/>
      <c r="IQZ50" s="25"/>
      <c r="IRA50" s="25"/>
      <c r="IRB50" s="25"/>
      <c r="IRC50" s="25"/>
      <c r="IRD50" s="25"/>
      <c r="IRE50" s="25"/>
      <c r="IRF50" s="25"/>
      <c r="IRG50" s="25"/>
      <c r="IRH50" s="25"/>
      <c r="IRI50" s="25"/>
      <c r="IRJ50" s="25"/>
      <c r="IRK50" s="25"/>
      <c r="IRL50" s="25"/>
      <c r="IRM50" s="25"/>
      <c r="IRN50" s="25"/>
      <c r="IRO50" s="25"/>
      <c r="IRP50" s="25"/>
      <c r="IRQ50" s="25"/>
      <c r="IRR50" s="25"/>
      <c r="IRS50" s="25"/>
      <c r="IRT50" s="25"/>
      <c r="IRU50" s="25"/>
      <c r="IRV50" s="25"/>
      <c r="IRW50" s="25"/>
      <c r="IRX50" s="25"/>
      <c r="IRY50" s="25"/>
      <c r="IRZ50" s="25"/>
      <c r="ISA50" s="25"/>
      <c r="ISB50" s="25"/>
      <c r="ISC50" s="25"/>
      <c r="ISD50" s="25"/>
      <c r="ISE50" s="25"/>
      <c r="ISF50" s="25"/>
      <c r="ISG50" s="25"/>
      <c r="ISH50" s="25"/>
      <c r="ISI50" s="25"/>
      <c r="ISJ50" s="25"/>
      <c r="ISK50" s="25"/>
      <c r="ISL50" s="25"/>
      <c r="ISM50" s="25"/>
      <c r="ISN50" s="25"/>
      <c r="ISO50" s="25"/>
      <c r="ISP50" s="25"/>
      <c r="ISQ50" s="25"/>
      <c r="ISR50" s="25"/>
      <c r="ISS50" s="25"/>
      <c r="IST50" s="25"/>
      <c r="ISU50" s="25"/>
      <c r="ISV50" s="25"/>
      <c r="ISW50" s="25"/>
      <c r="ISX50" s="25"/>
      <c r="ISY50" s="25"/>
      <c r="ISZ50" s="25"/>
      <c r="ITA50" s="25"/>
      <c r="ITB50" s="25"/>
      <c r="ITC50" s="25"/>
      <c r="ITD50" s="25"/>
      <c r="ITE50" s="25"/>
      <c r="ITF50" s="25"/>
      <c r="ITG50" s="25"/>
      <c r="ITH50" s="25"/>
      <c r="ITI50" s="25"/>
      <c r="ITJ50" s="25"/>
      <c r="ITK50" s="25"/>
      <c r="ITL50" s="25"/>
      <c r="ITM50" s="25"/>
      <c r="ITN50" s="25"/>
      <c r="ITO50" s="25"/>
      <c r="ITP50" s="25"/>
      <c r="ITQ50" s="25"/>
      <c r="ITR50" s="25"/>
      <c r="ITS50" s="25"/>
      <c r="ITT50" s="25"/>
      <c r="ITU50" s="25"/>
      <c r="ITV50" s="25"/>
      <c r="ITW50" s="25"/>
      <c r="ITX50" s="25"/>
      <c r="ITY50" s="25"/>
      <c r="ITZ50" s="25"/>
      <c r="IUA50" s="25"/>
      <c r="IUB50" s="25"/>
      <c r="IUC50" s="25"/>
      <c r="IUD50" s="25"/>
      <c r="IUE50" s="25"/>
      <c r="IUF50" s="25"/>
      <c r="IUG50" s="25"/>
      <c r="IUH50" s="25"/>
      <c r="IUI50" s="25"/>
      <c r="IUJ50" s="25"/>
      <c r="IUK50" s="25"/>
      <c r="IUL50" s="25"/>
      <c r="IUM50" s="25"/>
      <c r="IUN50" s="25"/>
      <c r="IUO50" s="25"/>
      <c r="IUP50" s="25"/>
      <c r="IUQ50" s="25"/>
      <c r="IUR50" s="25"/>
      <c r="IUS50" s="25"/>
      <c r="IUT50" s="25"/>
      <c r="IUU50" s="25"/>
      <c r="IUV50" s="25"/>
      <c r="IUW50" s="25"/>
      <c r="IUX50" s="25"/>
      <c r="IUY50" s="25"/>
      <c r="IUZ50" s="25"/>
      <c r="IVA50" s="25"/>
      <c r="IVB50" s="25"/>
      <c r="IVC50" s="25"/>
      <c r="IVD50" s="25"/>
      <c r="IVE50" s="25"/>
      <c r="IVF50" s="25"/>
      <c r="IVG50" s="25"/>
      <c r="IVH50" s="25"/>
      <c r="IVI50" s="25"/>
      <c r="IVJ50" s="25"/>
      <c r="IVK50" s="25"/>
      <c r="IVL50" s="25"/>
      <c r="IVM50" s="25"/>
      <c r="IVN50" s="25"/>
      <c r="IVO50" s="25"/>
      <c r="IVP50" s="25"/>
      <c r="IVQ50" s="25"/>
      <c r="IVR50" s="25"/>
      <c r="IVS50" s="25"/>
      <c r="IVT50" s="25"/>
      <c r="IVU50" s="25"/>
      <c r="IVV50" s="25"/>
      <c r="IVW50" s="25"/>
      <c r="IVX50" s="25"/>
      <c r="IVY50" s="25"/>
      <c r="IVZ50" s="25"/>
      <c r="IWA50" s="25"/>
      <c r="IWB50" s="25"/>
      <c r="IWC50" s="25"/>
      <c r="IWD50" s="25"/>
      <c r="IWE50" s="25"/>
      <c r="IWF50" s="25"/>
      <c r="IWG50" s="25"/>
      <c r="IWH50" s="25"/>
      <c r="IWI50" s="25"/>
      <c r="IWJ50" s="25"/>
      <c r="IWK50" s="25"/>
      <c r="IWL50" s="25"/>
      <c r="IWM50" s="25"/>
      <c r="IWN50" s="25"/>
      <c r="IWO50" s="25"/>
      <c r="IWP50" s="25"/>
      <c r="IWQ50" s="25"/>
      <c r="IWR50" s="25"/>
      <c r="IWS50" s="25"/>
      <c r="IWT50" s="25"/>
      <c r="IWU50" s="25"/>
      <c r="IWV50" s="25"/>
      <c r="IWW50" s="25"/>
      <c r="IWX50" s="25"/>
      <c r="IWY50" s="25"/>
      <c r="IWZ50" s="25"/>
      <c r="IXA50" s="25"/>
      <c r="IXB50" s="25"/>
      <c r="IXC50" s="25"/>
      <c r="IXD50" s="25"/>
      <c r="IXE50" s="25"/>
      <c r="IXF50" s="25"/>
      <c r="IXG50" s="25"/>
      <c r="IXH50" s="25"/>
      <c r="IXI50" s="25"/>
      <c r="IXJ50" s="25"/>
      <c r="IXK50" s="25"/>
      <c r="IXL50" s="25"/>
      <c r="IXM50" s="25"/>
      <c r="IXN50" s="25"/>
      <c r="IXO50" s="25"/>
      <c r="IXP50" s="25"/>
      <c r="IXQ50" s="25"/>
      <c r="IXR50" s="25"/>
      <c r="IXS50" s="25"/>
      <c r="IXT50" s="25"/>
      <c r="IXU50" s="25"/>
      <c r="IXV50" s="25"/>
      <c r="IXW50" s="25"/>
      <c r="IXX50" s="25"/>
      <c r="IXY50" s="25"/>
      <c r="IXZ50" s="25"/>
      <c r="IYA50" s="25"/>
      <c r="IYB50" s="25"/>
      <c r="IYC50" s="25"/>
      <c r="IYD50" s="25"/>
      <c r="IYE50" s="25"/>
      <c r="IYF50" s="25"/>
      <c r="IYG50" s="25"/>
      <c r="IYH50" s="25"/>
      <c r="IYI50" s="25"/>
      <c r="IYJ50" s="25"/>
      <c r="IYK50" s="25"/>
      <c r="IYL50" s="25"/>
      <c r="IYM50" s="25"/>
      <c r="IYN50" s="25"/>
      <c r="IYO50" s="25"/>
      <c r="IYP50" s="25"/>
      <c r="IYQ50" s="25"/>
      <c r="IYR50" s="25"/>
      <c r="IYS50" s="25"/>
      <c r="IYT50" s="25"/>
      <c r="IYU50" s="25"/>
      <c r="IYV50" s="25"/>
      <c r="IYW50" s="25"/>
      <c r="IYX50" s="25"/>
      <c r="IYY50" s="25"/>
      <c r="IYZ50" s="25"/>
      <c r="IZA50" s="25"/>
      <c r="IZB50" s="25"/>
      <c r="IZC50" s="25"/>
      <c r="IZD50" s="25"/>
      <c r="IZE50" s="25"/>
      <c r="IZF50" s="25"/>
      <c r="IZG50" s="25"/>
      <c r="IZH50" s="25"/>
      <c r="IZI50" s="25"/>
      <c r="IZJ50" s="25"/>
      <c r="IZK50" s="25"/>
      <c r="IZL50" s="25"/>
      <c r="IZM50" s="25"/>
      <c r="IZN50" s="25"/>
      <c r="IZO50" s="25"/>
      <c r="IZP50" s="25"/>
      <c r="IZQ50" s="25"/>
      <c r="IZR50" s="25"/>
      <c r="IZS50" s="25"/>
      <c r="IZT50" s="25"/>
      <c r="IZU50" s="25"/>
      <c r="IZV50" s="25"/>
      <c r="IZW50" s="25"/>
      <c r="IZX50" s="25"/>
      <c r="IZY50" s="25"/>
      <c r="IZZ50" s="25"/>
      <c r="JAA50" s="25"/>
      <c r="JAB50" s="25"/>
      <c r="JAC50" s="25"/>
      <c r="JAD50" s="25"/>
      <c r="JAE50" s="25"/>
      <c r="JAF50" s="25"/>
      <c r="JAG50" s="25"/>
      <c r="JAH50" s="25"/>
      <c r="JAI50" s="25"/>
      <c r="JAJ50" s="25"/>
      <c r="JAK50" s="25"/>
      <c r="JAL50" s="25"/>
      <c r="JAM50" s="25"/>
      <c r="JAN50" s="25"/>
      <c r="JAO50" s="25"/>
      <c r="JAP50" s="25"/>
      <c r="JAQ50" s="25"/>
      <c r="JAR50" s="25"/>
      <c r="JAS50" s="25"/>
      <c r="JAT50" s="25"/>
      <c r="JAU50" s="25"/>
      <c r="JAV50" s="25"/>
      <c r="JAW50" s="25"/>
      <c r="JAX50" s="25"/>
      <c r="JAY50" s="25"/>
      <c r="JAZ50" s="25"/>
      <c r="JBA50" s="25"/>
      <c r="JBB50" s="25"/>
      <c r="JBC50" s="25"/>
      <c r="JBD50" s="25"/>
      <c r="JBE50" s="25"/>
      <c r="JBF50" s="25"/>
      <c r="JBG50" s="25"/>
      <c r="JBH50" s="25"/>
      <c r="JBI50" s="25"/>
      <c r="JBJ50" s="25"/>
      <c r="JBK50" s="25"/>
      <c r="JBL50" s="25"/>
      <c r="JBM50" s="25"/>
      <c r="JBN50" s="25"/>
      <c r="JBO50" s="25"/>
      <c r="JBP50" s="25"/>
      <c r="JBQ50" s="25"/>
      <c r="JBR50" s="25"/>
      <c r="JBS50" s="25"/>
      <c r="JBT50" s="25"/>
      <c r="JBU50" s="25"/>
      <c r="JBV50" s="25"/>
      <c r="JBW50" s="25"/>
      <c r="JBX50" s="25"/>
      <c r="JBY50" s="25"/>
      <c r="JBZ50" s="25"/>
      <c r="JCA50" s="25"/>
      <c r="JCB50" s="25"/>
      <c r="JCC50" s="25"/>
      <c r="JCD50" s="25"/>
      <c r="JCE50" s="25"/>
      <c r="JCF50" s="25"/>
      <c r="JCG50" s="25"/>
      <c r="JCH50" s="25"/>
      <c r="JCI50" s="25"/>
      <c r="JCJ50" s="25"/>
      <c r="JCK50" s="25"/>
      <c r="JCL50" s="25"/>
      <c r="JCM50" s="25"/>
      <c r="JCN50" s="25"/>
      <c r="JCO50" s="25"/>
      <c r="JCP50" s="25"/>
      <c r="JCQ50" s="25"/>
      <c r="JCR50" s="25"/>
      <c r="JCS50" s="25"/>
      <c r="JCT50" s="25"/>
      <c r="JCU50" s="25"/>
      <c r="JCV50" s="25"/>
      <c r="JCW50" s="25"/>
      <c r="JCX50" s="25"/>
      <c r="JCY50" s="25"/>
      <c r="JCZ50" s="25"/>
      <c r="JDA50" s="25"/>
      <c r="JDB50" s="25"/>
      <c r="JDC50" s="25"/>
      <c r="JDD50" s="25"/>
      <c r="JDE50" s="25"/>
      <c r="JDF50" s="25"/>
      <c r="JDG50" s="25"/>
      <c r="JDH50" s="25"/>
      <c r="JDI50" s="25"/>
      <c r="JDJ50" s="25"/>
      <c r="JDK50" s="25"/>
      <c r="JDL50" s="25"/>
      <c r="JDM50" s="25"/>
      <c r="JDN50" s="25"/>
      <c r="JDO50" s="25"/>
      <c r="JDP50" s="25"/>
      <c r="JDQ50" s="25"/>
      <c r="JDR50" s="25"/>
      <c r="JDS50" s="25"/>
      <c r="JDT50" s="25"/>
      <c r="JDU50" s="25"/>
      <c r="JDV50" s="25"/>
      <c r="JDW50" s="25"/>
      <c r="JDX50" s="25"/>
      <c r="JDY50" s="25"/>
      <c r="JDZ50" s="25"/>
      <c r="JEA50" s="25"/>
      <c r="JEB50" s="25"/>
      <c r="JEC50" s="25"/>
      <c r="JED50" s="25"/>
      <c r="JEE50" s="25"/>
      <c r="JEF50" s="25"/>
      <c r="JEG50" s="25"/>
      <c r="JEH50" s="25"/>
      <c r="JEI50" s="25"/>
      <c r="JEJ50" s="25"/>
      <c r="JEK50" s="25"/>
      <c r="JEL50" s="25"/>
      <c r="JEM50" s="25"/>
      <c r="JEN50" s="25"/>
      <c r="JEO50" s="25"/>
      <c r="JEP50" s="25"/>
      <c r="JEQ50" s="25"/>
      <c r="JER50" s="25"/>
      <c r="JES50" s="25"/>
      <c r="JET50" s="25"/>
      <c r="JEU50" s="25"/>
      <c r="JEV50" s="25"/>
      <c r="JEW50" s="25"/>
      <c r="JEX50" s="25"/>
      <c r="JEY50" s="25"/>
      <c r="JEZ50" s="25"/>
      <c r="JFA50" s="25"/>
      <c r="JFB50" s="25"/>
      <c r="JFC50" s="25"/>
      <c r="JFD50" s="25"/>
      <c r="JFE50" s="25"/>
      <c r="JFF50" s="25"/>
      <c r="JFG50" s="25"/>
      <c r="JFH50" s="25"/>
      <c r="JFI50" s="25"/>
      <c r="JFJ50" s="25"/>
      <c r="JFK50" s="25"/>
      <c r="JFL50" s="25"/>
      <c r="JFM50" s="25"/>
      <c r="JFN50" s="25"/>
      <c r="JFO50" s="25"/>
      <c r="JFP50" s="25"/>
      <c r="JFQ50" s="25"/>
      <c r="JFR50" s="25"/>
      <c r="JFS50" s="25"/>
      <c r="JFT50" s="25"/>
      <c r="JFU50" s="25"/>
      <c r="JFV50" s="25"/>
      <c r="JFW50" s="25"/>
      <c r="JFX50" s="25"/>
      <c r="JFY50" s="25"/>
      <c r="JFZ50" s="25"/>
      <c r="JGA50" s="25"/>
      <c r="JGB50" s="25"/>
      <c r="JGC50" s="25"/>
      <c r="JGD50" s="25"/>
      <c r="JGE50" s="25"/>
      <c r="JGF50" s="25"/>
      <c r="JGG50" s="25"/>
      <c r="JGH50" s="25"/>
      <c r="JGI50" s="25"/>
      <c r="JGJ50" s="25"/>
      <c r="JGK50" s="25"/>
      <c r="JGL50" s="25"/>
      <c r="JGM50" s="25"/>
      <c r="JGN50" s="25"/>
      <c r="JGO50" s="25"/>
      <c r="JGP50" s="25"/>
      <c r="JGQ50" s="25"/>
      <c r="JGR50" s="25"/>
      <c r="JGS50" s="25"/>
      <c r="JGT50" s="25"/>
      <c r="JGU50" s="25"/>
      <c r="JGV50" s="25"/>
      <c r="JGW50" s="25"/>
      <c r="JGX50" s="25"/>
      <c r="JGY50" s="25"/>
      <c r="JGZ50" s="25"/>
      <c r="JHA50" s="25"/>
      <c r="JHB50" s="25"/>
      <c r="JHC50" s="25"/>
      <c r="JHD50" s="25"/>
      <c r="JHE50" s="25"/>
      <c r="JHF50" s="25"/>
      <c r="JHG50" s="25"/>
      <c r="JHH50" s="25"/>
      <c r="JHI50" s="25"/>
      <c r="JHJ50" s="25"/>
      <c r="JHK50" s="25"/>
      <c r="JHL50" s="25"/>
      <c r="JHM50" s="25"/>
      <c r="JHN50" s="25"/>
      <c r="JHO50" s="25"/>
      <c r="JHP50" s="25"/>
      <c r="JHQ50" s="25"/>
      <c r="JHR50" s="25"/>
      <c r="JHS50" s="25"/>
      <c r="JHT50" s="25"/>
      <c r="JHU50" s="25"/>
      <c r="JHV50" s="25"/>
      <c r="JHW50" s="25"/>
      <c r="JHX50" s="25"/>
      <c r="JHY50" s="25"/>
      <c r="JHZ50" s="25"/>
      <c r="JIA50" s="25"/>
      <c r="JIB50" s="25"/>
      <c r="JIC50" s="25"/>
      <c r="JID50" s="25"/>
      <c r="JIE50" s="25"/>
      <c r="JIF50" s="25"/>
      <c r="JIG50" s="25"/>
      <c r="JIH50" s="25"/>
      <c r="JII50" s="25"/>
      <c r="JIJ50" s="25"/>
      <c r="JIK50" s="25"/>
      <c r="JIL50" s="25"/>
      <c r="JIM50" s="25"/>
      <c r="JIN50" s="25"/>
      <c r="JIO50" s="25"/>
      <c r="JIP50" s="25"/>
      <c r="JIQ50" s="25"/>
      <c r="JIR50" s="25"/>
      <c r="JIS50" s="25"/>
      <c r="JIT50" s="25"/>
      <c r="JIU50" s="25"/>
      <c r="JIV50" s="25"/>
      <c r="JIW50" s="25"/>
      <c r="JIX50" s="25"/>
      <c r="JIY50" s="25"/>
      <c r="JIZ50" s="25"/>
      <c r="JJA50" s="25"/>
      <c r="JJB50" s="25"/>
      <c r="JJC50" s="25"/>
      <c r="JJD50" s="25"/>
      <c r="JJE50" s="25"/>
      <c r="JJF50" s="25"/>
      <c r="JJG50" s="25"/>
      <c r="JJH50" s="25"/>
      <c r="JJI50" s="25"/>
      <c r="JJJ50" s="25"/>
      <c r="JJK50" s="25"/>
      <c r="JJL50" s="25"/>
      <c r="JJM50" s="25"/>
      <c r="JJN50" s="25"/>
      <c r="JJO50" s="25"/>
      <c r="JJP50" s="25"/>
      <c r="JJQ50" s="25"/>
      <c r="JJR50" s="25"/>
      <c r="JJS50" s="25"/>
      <c r="JJT50" s="25"/>
      <c r="JJU50" s="25"/>
      <c r="JJV50" s="25"/>
      <c r="JJW50" s="25"/>
      <c r="JJX50" s="25"/>
      <c r="JJY50" s="25"/>
      <c r="JJZ50" s="25"/>
      <c r="JKA50" s="25"/>
      <c r="JKB50" s="25"/>
      <c r="JKC50" s="25"/>
      <c r="JKD50" s="25"/>
      <c r="JKE50" s="25"/>
      <c r="JKF50" s="25"/>
      <c r="JKG50" s="25"/>
      <c r="JKH50" s="25"/>
      <c r="JKI50" s="25"/>
      <c r="JKJ50" s="25"/>
      <c r="JKK50" s="25"/>
      <c r="JKL50" s="25"/>
      <c r="JKM50" s="25"/>
      <c r="JKN50" s="25"/>
      <c r="JKO50" s="25"/>
      <c r="JKP50" s="25"/>
      <c r="JKQ50" s="25"/>
      <c r="JKR50" s="25"/>
      <c r="JKS50" s="25"/>
      <c r="JKT50" s="25"/>
      <c r="JKU50" s="25"/>
      <c r="JKV50" s="25"/>
      <c r="JKW50" s="25"/>
      <c r="JKX50" s="25"/>
      <c r="JKY50" s="25"/>
      <c r="JKZ50" s="25"/>
      <c r="JLA50" s="25"/>
      <c r="JLB50" s="25"/>
      <c r="JLC50" s="25"/>
      <c r="JLD50" s="25"/>
      <c r="JLE50" s="25"/>
      <c r="JLF50" s="25"/>
      <c r="JLG50" s="25"/>
      <c r="JLH50" s="25"/>
      <c r="JLI50" s="25"/>
      <c r="JLJ50" s="25"/>
      <c r="JLK50" s="25"/>
      <c r="JLL50" s="25"/>
      <c r="JLM50" s="25"/>
      <c r="JLN50" s="25"/>
      <c r="JLO50" s="25"/>
      <c r="JLP50" s="25"/>
      <c r="JLQ50" s="25"/>
      <c r="JLR50" s="25"/>
      <c r="JLS50" s="25"/>
      <c r="JLT50" s="25"/>
      <c r="JLU50" s="25"/>
      <c r="JLV50" s="25"/>
      <c r="JLW50" s="25"/>
      <c r="JLX50" s="25"/>
      <c r="JLY50" s="25"/>
      <c r="JLZ50" s="25"/>
      <c r="JMA50" s="25"/>
      <c r="JMB50" s="25"/>
      <c r="JMC50" s="25"/>
      <c r="JMD50" s="25"/>
      <c r="JME50" s="25"/>
      <c r="JMF50" s="25"/>
      <c r="JMG50" s="25"/>
      <c r="JMH50" s="25"/>
      <c r="JMI50" s="25"/>
      <c r="JMJ50" s="25"/>
      <c r="JMK50" s="25"/>
      <c r="JML50" s="25"/>
      <c r="JMM50" s="25"/>
      <c r="JMN50" s="25"/>
      <c r="JMO50" s="25"/>
      <c r="JMP50" s="25"/>
      <c r="JMQ50" s="25"/>
      <c r="JMR50" s="25"/>
      <c r="JMS50" s="25"/>
      <c r="JMT50" s="25"/>
      <c r="JMU50" s="25"/>
      <c r="JMV50" s="25"/>
      <c r="JMW50" s="25"/>
      <c r="JMX50" s="25"/>
      <c r="JMY50" s="25"/>
      <c r="JMZ50" s="25"/>
      <c r="JNA50" s="25"/>
      <c r="JNB50" s="25"/>
      <c r="JNC50" s="25"/>
      <c r="JND50" s="25"/>
      <c r="JNE50" s="25"/>
      <c r="JNF50" s="25"/>
      <c r="JNG50" s="25"/>
      <c r="JNH50" s="25"/>
      <c r="JNI50" s="25"/>
      <c r="JNJ50" s="25"/>
      <c r="JNK50" s="25"/>
      <c r="JNL50" s="25"/>
      <c r="JNM50" s="25"/>
      <c r="JNN50" s="25"/>
      <c r="JNO50" s="25"/>
      <c r="JNP50" s="25"/>
      <c r="JNQ50" s="25"/>
      <c r="JNR50" s="25"/>
      <c r="JNS50" s="25"/>
      <c r="JNT50" s="25"/>
      <c r="JNU50" s="25"/>
      <c r="JNV50" s="25"/>
      <c r="JNW50" s="25"/>
      <c r="JNX50" s="25"/>
      <c r="JNY50" s="25"/>
      <c r="JNZ50" s="25"/>
      <c r="JOA50" s="25"/>
      <c r="JOB50" s="25"/>
      <c r="JOC50" s="25"/>
      <c r="JOD50" s="25"/>
      <c r="JOE50" s="25"/>
      <c r="JOF50" s="25"/>
      <c r="JOG50" s="25"/>
      <c r="JOH50" s="25"/>
      <c r="JOI50" s="25"/>
      <c r="JOJ50" s="25"/>
      <c r="JOK50" s="25"/>
      <c r="JOL50" s="25"/>
      <c r="JOM50" s="25"/>
      <c r="JON50" s="25"/>
      <c r="JOO50" s="25"/>
      <c r="JOP50" s="25"/>
      <c r="JOQ50" s="25"/>
      <c r="JOR50" s="25"/>
      <c r="JOS50" s="25"/>
      <c r="JOT50" s="25"/>
      <c r="JOU50" s="25"/>
      <c r="JOV50" s="25"/>
      <c r="JOW50" s="25"/>
      <c r="JOX50" s="25"/>
      <c r="JOY50" s="25"/>
      <c r="JOZ50" s="25"/>
      <c r="JPA50" s="25"/>
      <c r="JPB50" s="25"/>
      <c r="JPC50" s="25"/>
      <c r="JPD50" s="25"/>
      <c r="JPE50" s="25"/>
      <c r="JPF50" s="25"/>
      <c r="JPG50" s="25"/>
      <c r="JPH50" s="25"/>
      <c r="JPI50" s="25"/>
      <c r="JPJ50" s="25"/>
      <c r="JPK50" s="25"/>
      <c r="JPL50" s="25"/>
      <c r="JPM50" s="25"/>
      <c r="JPN50" s="25"/>
      <c r="JPO50" s="25"/>
      <c r="JPP50" s="25"/>
      <c r="JPQ50" s="25"/>
      <c r="JPR50" s="25"/>
      <c r="JPS50" s="25"/>
      <c r="JPT50" s="25"/>
      <c r="JPU50" s="25"/>
      <c r="JPV50" s="25"/>
      <c r="JPW50" s="25"/>
      <c r="JPX50" s="25"/>
      <c r="JPY50" s="25"/>
      <c r="JPZ50" s="25"/>
      <c r="JQA50" s="25"/>
      <c r="JQB50" s="25"/>
      <c r="JQC50" s="25"/>
      <c r="JQD50" s="25"/>
      <c r="JQE50" s="25"/>
      <c r="JQF50" s="25"/>
      <c r="JQG50" s="25"/>
      <c r="JQH50" s="25"/>
      <c r="JQI50" s="25"/>
      <c r="JQJ50" s="25"/>
      <c r="JQK50" s="25"/>
      <c r="JQL50" s="25"/>
      <c r="JQM50" s="25"/>
      <c r="JQN50" s="25"/>
      <c r="JQO50" s="25"/>
      <c r="JQP50" s="25"/>
      <c r="JQQ50" s="25"/>
      <c r="JQR50" s="25"/>
      <c r="JQS50" s="25"/>
      <c r="JQT50" s="25"/>
      <c r="JQU50" s="25"/>
      <c r="JQV50" s="25"/>
      <c r="JQW50" s="25"/>
      <c r="JQX50" s="25"/>
      <c r="JQY50" s="25"/>
      <c r="JQZ50" s="25"/>
      <c r="JRA50" s="25"/>
      <c r="JRB50" s="25"/>
      <c r="JRC50" s="25"/>
      <c r="JRD50" s="25"/>
      <c r="JRE50" s="25"/>
      <c r="JRF50" s="25"/>
      <c r="JRG50" s="25"/>
      <c r="JRH50" s="25"/>
      <c r="JRI50" s="25"/>
      <c r="JRJ50" s="25"/>
      <c r="JRK50" s="25"/>
      <c r="JRL50" s="25"/>
      <c r="JRM50" s="25"/>
      <c r="JRN50" s="25"/>
      <c r="JRO50" s="25"/>
      <c r="JRP50" s="25"/>
      <c r="JRQ50" s="25"/>
      <c r="JRR50" s="25"/>
      <c r="JRS50" s="25"/>
      <c r="JRT50" s="25"/>
      <c r="JRU50" s="25"/>
      <c r="JRV50" s="25"/>
      <c r="JRW50" s="25"/>
      <c r="JRX50" s="25"/>
      <c r="JRY50" s="25"/>
      <c r="JRZ50" s="25"/>
      <c r="JSA50" s="25"/>
      <c r="JSB50" s="25"/>
      <c r="JSC50" s="25"/>
      <c r="JSD50" s="25"/>
      <c r="JSE50" s="25"/>
      <c r="JSF50" s="25"/>
      <c r="JSG50" s="25"/>
      <c r="JSH50" s="25"/>
      <c r="JSI50" s="25"/>
      <c r="JSJ50" s="25"/>
      <c r="JSK50" s="25"/>
      <c r="JSL50" s="25"/>
      <c r="JSM50" s="25"/>
      <c r="JSN50" s="25"/>
      <c r="JSO50" s="25"/>
      <c r="JSP50" s="25"/>
      <c r="JSQ50" s="25"/>
      <c r="JSR50" s="25"/>
      <c r="JSS50" s="25"/>
      <c r="JST50" s="25"/>
      <c r="JSU50" s="25"/>
      <c r="JSV50" s="25"/>
      <c r="JSW50" s="25"/>
      <c r="JSX50" s="25"/>
      <c r="JSY50" s="25"/>
      <c r="JSZ50" s="25"/>
      <c r="JTA50" s="25"/>
      <c r="JTB50" s="25"/>
      <c r="JTC50" s="25"/>
      <c r="JTD50" s="25"/>
      <c r="JTE50" s="25"/>
      <c r="JTF50" s="25"/>
      <c r="JTG50" s="25"/>
      <c r="JTH50" s="25"/>
      <c r="JTI50" s="25"/>
      <c r="JTJ50" s="25"/>
      <c r="JTK50" s="25"/>
      <c r="JTL50" s="25"/>
      <c r="JTM50" s="25"/>
      <c r="JTN50" s="25"/>
      <c r="JTO50" s="25"/>
      <c r="JTP50" s="25"/>
      <c r="JTQ50" s="25"/>
      <c r="JTR50" s="25"/>
      <c r="JTS50" s="25"/>
      <c r="JTT50" s="25"/>
      <c r="JTU50" s="25"/>
      <c r="JTV50" s="25"/>
      <c r="JTW50" s="25"/>
      <c r="JTX50" s="25"/>
      <c r="JTY50" s="25"/>
      <c r="JTZ50" s="25"/>
      <c r="JUA50" s="25"/>
      <c r="JUB50" s="25"/>
      <c r="JUC50" s="25"/>
      <c r="JUD50" s="25"/>
      <c r="JUE50" s="25"/>
      <c r="JUF50" s="25"/>
      <c r="JUG50" s="25"/>
      <c r="JUH50" s="25"/>
      <c r="JUI50" s="25"/>
      <c r="JUJ50" s="25"/>
      <c r="JUK50" s="25"/>
      <c r="JUL50" s="25"/>
      <c r="JUM50" s="25"/>
      <c r="JUN50" s="25"/>
      <c r="JUO50" s="25"/>
      <c r="JUP50" s="25"/>
      <c r="JUQ50" s="25"/>
      <c r="JUR50" s="25"/>
      <c r="JUS50" s="25"/>
      <c r="JUT50" s="25"/>
      <c r="JUU50" s="25"/>
      <c r="JUV50" s="25"/>
      <c r="JUW50" s="25"/>
      <c r="JUX50" s="25"/>
      <c r="JUY50" s="25"/>
      <c r="JUZ50" s="25"/>
      <c r="JVA50" s="25"/>
      <c r="JVB50" s="25"/>
      <c r="JVC50" s="25"/>
      <c r="JVD50" s="25"/>
      <c r="JVE50" s="25"/>
      <c r="JVF50" s="25"/>
      <c r="JVG50" s="25"/>
      <c r="JVH50" s="25"/>
      <c r="JVI50" s="25"/>
      <c r="JVJ50" s="25"/>
      <c r="JVK50" s="25"/>
      <c r="JVL50" s="25"/>
      <c r="JVM50" s="25"/>
      <c r="JVN50" s="25"/>
      <c r="JVO50" s="25"/>
      <c r="JVP50" s="25"/>
      <c r="JVQ50" s="25"/>
      <c r="JVR50" s="25"/>
      <c r="JVS50" s="25"/>
      <c r="JVT50" s="25"/>
      <c r="JVU50" s="25"/>
      <c r="JVV50" s="25"/>
      <c r="JVW50" s="25"/>
      <c r="JVX50" s="25"/>
      <c r="JVY50" s="25"/>
      <c r="JVZ50" s="25"/>
      <c r="JWA50" s="25"/>
      <c r="JWB50" s="25"/>
      <c r="JWC50" s="25"/>
      <c r="JWD50" s="25"/>
      <c r="JWE50" s="25"/>
      <c r="JWF50" s="25"/>
      <c r="JWG50" s="25"/>
      <c r="JWH50" s="25"/>
      <c r="JWI50" s="25"/>
      <c r="JWJ50" s="25"/>
      <c r="JWK50" s="25"/>
      <c r="JWL50" s="25"/>
      <c r="JWM50" s="25"/>
      <c r="JWN50" s="25"/>
      <c r="JWO50" s="25"/>
      <c r="JWP50" s="25"/>
      <c r="JWQ50" s="25"/>
      <c r="JWR50" s="25"/>
      <c r="JWS50" s="25"/>
      <c r="JWT50" s="25"/>
      <c r="JWU50" s="25"/>
      <c r="JWV50" s="25"/>
      <c r="JWW50" s="25"/>
      <c r="JWX50" s="25"/>
      <c r="JWY50" s="25"/>
      <c r="JWZ50" s="25"/>
      <c r="JXA50" s="25"/>
      <c r="JXB50" s="25"/>
      <c r="JXC50" s="25"/>
      <c r="JXD50" s="25"/>
      <c r="JXE50" s="25"/>
      <c r="JXF50" s="25"/>
      <c r="JXG50" s="25"/>
      <c r="JXH50" s="25"/>
      <c r="JXI50" s="25"/>
      <c r="JXJ50" s="25"/>
      <c r="JXK50" s="25"/>
      <c r="JXL50" s="25"/>
      <c r="JXM50" s="25"/>
      <c r="JXN50" s="25"/>
      <c r="JXO50" s="25"/>
      <c r="JXP50" s="25"/>
      <c r="JXQ50" s="25"/>
      <c r="JXR50" s="25"/>
      <c r="JXS50" s="25"/>
      <c r="JXT50" s="25"/>
      <c r="JXU50" s="25"/>
      <c r="JXV50" s="25"/>
      <c r="JXW50" s="25"/>
      <c r="JXX50" s="25"/>
      <c r="JXY50" s="25"/>
      <c r="JXZ50" s="25"/>
      <c r="JYA50" s="25"/>
      <c r="JYB50" s="25"/>
      <c r="JYC50" s="25"/>
      <c r="JYD50" s="25"/>
      <c r="JYE50" s="25"/>
      <c r="JYF50" s="25"/>
      <c r="JYG50" s="25"/>
      <c r="JYH50" s="25"/>
      <c r="JYI50" s="25"/>
      <c r="JYJ50" s="25"/>
      <c r="JYK50" s="25"/>
      <c r="JYL50" s="25"/>
      <c r="JYM50" s="25"/>
      <c r="JYN50" s="25"/>
      <c r="JYO50" s="25"/>
      <c r="JYP50" s="25"/>
      <c r="JYQ50" s="25"/>
      <c r="JYR50" s="25"/>
      <c r="JYS50" s="25"/>
      <c r="JYT50" s="25"/>
      <c r="JYU50" s="25"/>
      <c r="JYV50" s="25"/>
      <c r="JYW50" s="25"/>
      <c r="JYX50" s="25"/>
      <c r="JYY50" s="25"/>
      <c r="JYZ50" s="25"/>
      <c r="JZA50" s="25"/>
      <c r="JZB50" s="25"/>
      <c r="JZC50" s="25"/>
      <c r="JZD50" s="25"/>
      <c r="JZE50" s="25"/>
      <c r="JZF50" s="25"/>
      <c r="JZG50" s="25"/>
      <c r="JZH50" s="25"/>
      <c r="JZI50" s="25"/>
      <c r="JZJ50" s="25"/>
      <c r="JZK50" s="25"/>
      <c r="JZL50" s="25"/>
      <c r="JZM50" s="25"/>
      <c r="JZN50" s="25"/>
      <c r="JZO50" s="25"/>
      <c r="JZP50" s="25"/>
      <c r="JZQ50" s="25"/>
      <c r="JZR50" s="25"/>
      <c r="JZS50" s="25"/>
      <c r="JZT50" s="25"/>
      <c r="JZU50" s="25"/>
      <c r="JZV50" s="25"/>
      <c r="JZW50" s="25"/>
      <c r="JZX50" s="25"/>
      <c r="JZY50" s="25"/>
      <c r="JZZ50" s="25"/>
      <c r="KAA50" s="25"/>
      <c r="KAB50" s="25"/>
      <c r="KAC50" s="25"/>
      <c r="KAD50" s="25"/>
      <c r="KAE50" s="25"/>
      <c r="KAF50" s="25"/>
      <c r="KAG50" s="25"/>
      <c r="KAH50" s="25"/>
      <c r="KAI50" s="25"/>
      <c r="KAJ50" s="25"/>
      <c r="KAK50" s="25"/>
      <c r="KAL50" s="25"/>
      <c r="KAM50" s="25"/>
      <c r="KAN50" s="25"/>
      <c r="KAO50" s="25"/>
      <c r="KAP50" s="25"/>
      <c r="KAQ50" s="25"/>
      <c r="KAR50" s="25"/>
      <c r="KAS50" s="25"/>
      <c r="KAT50" s="25"/>
      <c r="KAU50" s="25"/>
      <c r="KAV50" s="25"/>
      <c r="KAW50" s="25"/>
      <c r="KAX50" s="25"/>
      <c r="KAY50" s="25"/>
      <c r="KAZ50" s="25"/>
      <c r="KBA50" s="25"/>
      <c r="KBB50" s="25"/>
      <c r="KBC50" s="25"/>
      <c r="KBD50" s="25"/>
      <c r="KBE50" s="25"/>
      <c r="KBF50" s="25"/>
      <c r="KBG50" s="25"/>
      <c r="KBH50" s="25"/>
      <c r="KBI50" s="25"/>
      <c r="KBJ50" s="25"/>
      <c r="KBK50" s="25"/>
      <c r="KBL50" s="25"/>
      <c r="KBM50" s="25"/>
      <c r="KBN50" s="25"/>
      <c r="KBO50" s="25"/>
      <c r="KBP50" s="25"/>
      <c r="KBQ50" s="25"/>
      <c r="KBR50" s="25"/>
      <c r="KBS50" s="25"/>
      <c r="KBT50" s="25"/>
      <c r="KBU50" s="25"/>
      <c r="KBV50" s="25"/>
      <c r="KBW50" s="25"/>
      <c r="KBX50" s="25"/>
      <c r="KBY50" s="25"/>
      <c r="KBZ50" s="25"/>
      <c r="KCA50" s="25"/>
      <c r="KCB50" s="25"/>
      <c r="KCC50" s="25"/>
      <c r="KCD50" s="25"/>
      <c r="KCE50" s="25"/>
      <c r="KCF50" s="25"/>
      <c r="KCG50" s="25"/>
      <c r="KCH50" s="25"/>
      <c r="KCI50" s="25"/>
      <c r="KCJ50" s="25"/>
      <c r="KCK50" s="25"/>
      <c r="KCL50" s="25"/>
      <c r="KCM50" s="25"/>
      <c r="KCN50" s="25"/>
      <c r="KCO50" s="25"/>
      <c r="KCP50" s="25"/>
      <c r="KCQ50" s="25"/>
      <c r="KCR50" s="25"/>
      <c r="KCS50" s="25"/>
      <c r="KCT50" s="25"/>
      <c r="KCU50" s="25"/>
      <c r="KCV50" s="25"/>
      <c r="KCW50" s="25"/>
      <c r="KCX50" s="25"/>
      <c r="KCY50" s="25"/>
      <c r="KCZ50" s="25"/>
      <c r="KDA50" s="25"/>
      <c r="KDB50" s="25"/>
      <c r="KDC50" s="25"/>
      <c r="KDD50" s="25"/>
      <c r="KDE50" s="25"/>
      <c r="KDF50" s="25"/>
      <c r="KDG50" s="25"/>
      <c r="KDH50" s="25"/>
      <c r="KDI50" s="25"/>
      <c r="KDJ50" s="25"/>
      <c r="KDK50" s="25"/>
      <c r="KDL50" s="25"/>
      <c r="KDM50" s="25"/>
      <c r="KDN50" s="25"/>
      <c r="KDO50" s="25"/>
      <c r="KDP50" s="25"/>
      <c r="KDQ50" s="25"/>
      <c r="KDR50" s="25"/>
      <c r="KDS50" s="25"/>
      <c r="KDT50" s="25"/>
      <c r="KDU50" s="25"/>
      <c r="KDV50" s="25"/>
      <c r="KDW50" s="25"/>
      <c r="KDX50" s="25"/>
      <c r="KDY50" s="25"/>
      <c r="KDZ50" s="25"/>
      <c r="KEA50" s="25"/>
      <c r="KEB50" s="25"/>
      <c r="KEC50" s="25"/>
      <c r="KED50" s="25"/>
      <c r="KEE50" s="25"/>
      <c r="KEF50" s="25"/>
      <c r="KEG50" s="25"/>
      <c r="KEH50" s="25"/>
      <c r="KEI50" s="25"/>
      <c r="KEJ50" s="25"/>
      <c r="KEK50" s="25"/>
      <c r="KEL50" s="25"/>
      <c r="KEM50" s="25"/>
      <c r="KEN50" s="25"/>
      <c r="KEO50" s="25"/>
      <c r="KEP50" s="25"/>
      <c r="KEQ50" s="25"/>
      <c r="KER50" s="25"/>
      <c r="KES50" s="25"/>
      <c r="KET50" s="25"/>
      <c r="KEU50" s="25"/>
      <c r="KEV50" s="25"/>
      <c r="KEW50" s="25"/>
      <c r="KEX50" s="25"/>
      <c r="KEY50" s="25"/>
      <c r="KEZ50" s="25"/>
      <c r="KFA50" s="25"/>
      <c r="KFB50" s="25"/>
      <c r="KFC50" s="25"/>
      <c r="KFD50" s="25"/>
      <c r="KFE50" s="25"/>
      <c r="KFF50" s="25"/>
      <c r="KFG50" s="25"/>
      <c r="KFH50" s="25"/>
      <c r="KFI50" s="25"/>
      <c r="KFJ50" s="25"/>
      <c r="KFK50" s="25"/>
      <c r="KFL50" s="25"/>
      <c r="KFM50" s="25"/>
      <c r="KFN50" s="25"/>
      <c r="KFO50" s="25"/>
      <c r="KFP50" s="25"/>
      <c r="KFQ50" s="25"/>
      <c r="KFR50" s="25"/>
      <c r="KFS50" s="25"/>
      <c r="KFT50" s="25"/>
      <c r="KFU50" s="25"/>
      <c r="KFV50" s="25"/>
      <c r="KFW50" s="25"/>
      <c r="KFX50" s="25"/>
      <c r="KFY50" s="25"/>
      <c r="KFZ50" s="25"/>
      <c r="KGA50" s="25"/>
      <c r="KGB50" s="25"/>
      <c r="KGC50" s="25"/>
      <c r="KGD50" s="25"/>
      <c r="KGE50" s="25"/>
      <c r="KGF50" s="25"/>
      <c r="KGG50" s="25"/>
      <c r="KGH50" s="25"/>
      <c r="KGI50" s="25"/>
      <c r="KGJ50" s="25"/>
      <c r="KGK50" s="25"/>
      <c r="KGL50" s="25"/>
      <c r="KGM50" s="25"/>
      <c r="KGN50" s="25"/>
      <c r="KGO50" s="25"/>
      <c r="KGP50" s="25"/>
      <c r="KGQ50" s="25"/>
      <c r="KGR50" s="25"/>
      <c r="KGS50" s="25"/>
      <c r="KGT50" s="25"/>
      <c r="KGU50" s="25"/>
      <c r="KGV50" s="25"/>
      <c r="KGW50" s="25"/>
      <c r="KGX50" s="25"/>
      <c r="KGY50" s="25"/>
      <c r="KGZ50" s="25"/>
      <c r="KHA50" s="25"/>
      <c r="KHB50" s="25"/>
      <c r="KHC50" s="25"/>
      <c r="KHD50" s="25"/>
      <c r="KHE50" s="25"/>
      <c r="KHF50" s="25"/>
      <c r="KHG50" s="25"/>
      <c r="KHH50" s="25"/>
      <c r="KHI50" s="25"/>
      <c r="KHJ50" s="25"/>
      <c r="KHK50" s="25"/>
      <c r="KHL50" s="25"/>
      <c r="KHM50" s="25"/>
      <c r="KHN50" s="25"/>
      <c r="KHO50" s="25"/>
      <c r="KHP50" s="25"/>
      <c r="KHQ50" s="25"/>
      <c r="KHR50" s="25"/>
      <c r="KHS50" s="25"/>
      <c r="KHT50" s="25"/>
      <c r="KHU50" s="25"/>
      <c r="KHV50" s="25"/>
      <c r="KHW50" s="25"/>
      <c r="KHX50" s="25"/>
      <c r="KHY50" s="25"/>
      <c r="KHZ50" s="25"/>
      <c r="KIA50" s="25"/>
      <c r="KIB50" s="25"/>
      <c r="KIC50" s="25"/>
      <c r="KID50" s="25"/>
      <c r="KIE50" s="25"/>
      <c r="KIF50" s="25"/>
      <c r="KIG50" s="25"/>
      <c r="KIH50" s="25"/>
      <c r="KII50" s="25"/>
      <c r="KIJ50" s="25"/>
      <c r="KIK50" s="25"/>
      <c r="KIL50" s="25"/>
      <c r="KIM50" s="25"/>
      <c r="KIN50" s="25"/>
      <c r="KIO50" s="25"/>
      <c r="KIP50" s="25"/>
      <c r="KIQ50" s="25"/>
      <c r="KIR50" s="25"/>
      <c r="KIS50" s="25"/>
      <c r="KIT50" s="25"/>
      <c r="KIU50" s="25"/>
      <c r="KIV50" s="25"/>
      <c r="KIW50" s="25"/>
      <c r="KIX50" s="25"/>
      <c r="KIY50" s="25"/>
      <c r="KIZ50" s="25"/>
      <c r="KJA50" s="25"/>
      <c r="KJB50" s="25"/>
      <c r="KJC50" s="25"/>
      <c r="KJD50" s="25"/>
      <c r="KJE50" s="25"/>
      <c r="KJF50" s="25"/>
      <c r="KJG50" s="25"/>
      <c r="KJH50" s="25"/>
      <c r="KJI50" s="25"/>
      <c r="KJJ50" s="25"/>
      <c r="KJK50" s="25"/>
      <c r="KJL50" s="25"/>
      <c r="KJM50" s="25"/>
      <c r="KJN50" s="25"/>
      <c r="KJO50" s="25"/>
      <c r="KJP50" s="25"/>
      <c r="KJQ50" s="25"/>
      <c r="KJR50" s="25"/>
      <c r="KJS50" s="25"/>
      <c r="KJT50" s="25"/>
      <c r="KJU50" s="25"/>
      <c r="KJV50" s="25"/>
      <c r="KJW50" s="25"/>
      <c r="KJX50" s="25"/>
      <c r="KJY50" s="25"/>
      <c r="KJZ50" s="25"/>
      <c r="KKA50" s="25"/>
      <c r="KKB50" s="25"/>
      <c r="KKC50" s="25"/>
      <c r="KKD50" s="25"/>
      <c r="KKE50" s="25"/>
      <c r="KKF50" s="25"/>
      <c r="KKG50" s="25"/>
      <c r="KKH50" s="25"/>
      <c r="KKI50" s="25"/>
      <c r="KKJ50" s="25"/>
      <c r="KKK50" s="25"/>
      <c r="KKL50" s="25"/>
      <c r="KKM50" s="25"/>
      <c r="KKN50" s="25"/>
      <c r="KKO50" s="25"/>
      <c r="KKP50" s="25"/>
      <c r="KKQ50" s="25"/>
      <c r="KKR50" s="25"/>
      <c r="KKS50" s="25"/>
      <c r="KKT50" s="25"/>
      <c r="KKU50" s="25"/>
      <c r="KKV50" s="25"/>
      <c r="KKW50" s="25"/>
      <c r="KKX50" s="25"/>
      <c r="KKY50" s="25"/>
      <c r="KKZ50" s="25"/>
      <c r="KLA50" s="25"/>
      <c r="KLB50" s="25"/>
      <c r="KLC50" s="25"/>
      <c r="KLD50" s="25"/>
      <c r="KLE50" s="25"/>
      <c r="KLF50" s="25"/>
      <c r="KLG50" s="25"/>
      <c r="KLH50" s="25"/>
      <c r="KLI50" s="25"/>
      <c r="KLJ50" s="25"/>
      <c r="KLK50" s="25"/>
      <c r="KLL50" s="25"/>
      <c r="KLM50" s="25"/>
      <c r="KLN50" s="25"/>
      <c r="KLO50" s="25"/>
      <c r="KLP50" s="25"/>
      <c r="KLQ50" s="25"/>
      <c r="KLR50" s="25"/>
      <c r="KLS50" s="25"/>
      <c r="KLT50" s="25"/>
      <c r="KLU50" s="25"/>
      <c r="KLV50" s="25"/>
      <c r="KLW50" s="25"/>
      <c r="KLX50" s="25"/>
      <c r="KLY50" s="25"/>
      <c r="KLZ50" s="25"/>
      <c r="KMA50" s="25"/>
      <c r="KMB50" s="25"/>
      <c r="KMC50" s="25"/>
      <c r="KMD50" s="25"/>
      <c r="KME50" s="25"/>
      <c r="KMF50" s="25"/>
      <c r="KMG50" s="25"/>
      <c r="KMH50" s="25"/>
      <c r="KMI50" s="25"/>
      <c r="KMJ50" s="25"/>
      <c r="KMK50" s="25"/>
      <c r="KML50" s="25"/>
      <c r="KMM50" s="25"/>
      <c r="KMN50" s="25"/>
      <c r="KMO50" s="25"/>
      <c r="KMP50" s="25"/>
      <c r="KMQ50" s="25"/>
      <c r="KMR50" s="25"/>
      <c r="KMS50" s="25"/>
      <c r="KMT50" s="25"/>
      <c r="KMU50" s="25"/>
      <c r="KMV50" s="25"/>
      <c r="KMW50" s="25"/>
      <c r="KMX50" s="25"/>
      <c r="KMY50" s="25"/>
      <c r="KMZ50" s="25"/>
      <c r="KNA50" s="25"/>
      <c r="KNB50" s="25"/>
      <c r="KNC50" s="25"/>
      <c r="KND50" s="25"/>
      <c r="KNE50" s="25"/>
      <c r="KNF50" s="25"/>
      <c r="KNG50" s="25"/>
      <c r="KNH50" s="25"/>
      <c r="KNI50" s="25"/>
      <c r="KNJ50" s="25"/>
      <c r="KNK50" s="25"/>
      <c r="KNL50" s="25"/>
      <c r="KNM50" s="25"/>
      <c r="KNN50" s="25"/>
      <c r="KNO50" s="25"/>
      <c r="KNP50" s="25"/>
      <c r="KNQ50" s="25"/>
      <c r="KNR50" s="25"/>
      <c r="KNS50" s="25"/>
      <c r="KNT50" s="25"/>
      <c r="KNU50" s="25"/>
      <c r="KNV50" s="25"/>
      <c r="KNW50" s="25"/>
      <c r="KNX50" s="25"/>
      <c r="KNY50" s="25"/>
      <c r="KNZ50" s="25"/>
      <c r="KOA50" s="25"/>
      <c r="KOB50" s="25"/>
      <c r="KOC50" s="25"/>
      <c r="KOD50" s="25"/>
      <c r="KOE50" s="25"/>
      <c r="KOF50" s="25"/>
      <c r="KOG50" s="25"/>
      <c r="KOH50" s="25"/>
      <c r="KOI50" s="25"/>
      <c r="KOJ50" s="25"/>
      <c r="KOK50" s="25"/>
      <c r="KOL50" s="25"/>
      <c r="KOM50" s="25"/>
      <c r="KON50" s="25"/>
      <c r="KOO50" s="25"/>
      <c r="KOP50" s="25"/>
      <c r="KOQ50" s="25"/>
      <c r="KOR50" s="25"/>
      <c r="KOS50" s="25"/>
      <c r="KOT50" s="25"/>
      <c r="KOU50" s="25"/>
      <c r="KOV50" s="25"/>
      <c r="KOW50" s="25"/>
      <c r="KOX50" s="25"/>
      <c r="KOY50" s="25"/>
      <c r="KOZ50" s="25"/>
      <c r="KPA50" s="25"/>
      <c r="KPB50" s="25"/>
      <c r="KPC50" s="25"/>
      <c r="KPD50" s="25"/>
      <c r="KPE50" s="25"/>
      <c r="KPF50" s="25"/>
      <c r="KPG50" s="25"/>
      <c r="KPH50" s="25"/>
      <c r="KPI50" s="25"/>
      <c r="KPJ50" s="25"/>
      <c r="KPK50" s="25"/>
      <c r="KPL50" s="25"/>
      <c r="KPM50" s="25"/>
      <c r="KPN50" s="25"/>
      <c r="KPO50" s="25"/>
      <c r="KPP50" s="25"/>
      <c r="KPQ50" s="25"/>
      <c r="KPR50" s="25"/>
      <c r="KPS50" s="25"/>
      <c r="KPT50" s="25"/>
      <c r="KPU50" s="25"/>
      <c r="KPV50" s="25"/>
      <c r="KPW50" s="25"/>
      <c r="KPX50" s="25"/>
      <c r="KPY50" s="25"/>
      <c r="KPZ50" s="25"/>
      <c r="KQA50" s="25"/>
      <c r="KQB50" s="25"/>
      <c r="KQC50" s="25"/>
      <c r="KQD50" s="25"/>
      <c r="KQE50" s="25"/>
      <c r="KQF50" s="25"/>
      <c r="KQG50" s="25"/>
      <c r="KQH50" s="25"/>
      <c r="KQI50" s="25"/>
      <c r="KQJ50" s="25"/>
      <c r="KQK50" s="25"/>
      <c r="KQL50" s="25"/>
      <c r="KQM50" s="25"/>
      <c r="KQN50" s="25"/>
      <c r="KQO50" s="25"/>
      <c r="KQP50" s="25"/>
      <c r="KQQ50" s="25"/>
      <c r="KQR50" s="25"/>
      <c r="KQS50" s="25"/>
      <c r="KQT50" s="25"/>
      <c r="KQU50" s="25"/>
      <c r="KQV50" s="25"/>
      <c r="KQW50" s="25"/>
      <c r="KQX50" s="25"/>
      <c r="KQY50" s="25"/>
      <c r="KQZ50" s="25"/>
      <c r="KRA50" s="25"/>
      <c r="KRB50" s="25"/>
      <c r="KRC50" s="25"/>
      <c r="KRD50" s="25"/>
      <c r="KRE50" s="25"/>
      <c r="KRF50" s="25"/>
      <c r="KRG50" s="25"/>
      <c r="KRH50" s="25"/>
      <c r="KRI50" s="25"/>
      <c r="KRJ50" s="25"/>
      <c r="KRK50" s="25"/>
      <c r="KRL50" s="25"/>
      <c r="KRM50" s="25"/>
      <c r="KRN50" s="25"/>
      <c r="KRO50" s="25"/>
      <c r="KRP50" s="25"/>
      <c r="KRQ50" s="25"/>
      <c r="KRR50" s="25"/>
      <c r="KRS50" s="25"/>
      <c r="KRT50" s="25"/>
      <c r="KRU50" s="25"/>
      <c r="KRV50" s="25"/>
      <c r="KRW50" s="25"/>
      <c r="KRX50" s="25"/>
      <c r="KRY50" s="25"/>
      <c r="KRZ50" s="25"/>
      <c r="KSA50" s="25"/>
      <c r="KSB50" s="25"/>
      <c r="KSC50" s="25"/>
      <c r="KSD50" s="25"/>
      <c r="KSE50" s="25"/>
      <c r="KSF50" s="25"/>
      <c r="KSG50" s="25"/>
      <c r="KSH50" s="25"/>
      <c r="KSI50" s="25"/>
      <c r="KSJ50" s="25"/>
      <c r="KSK50" s="25"/>
      <c r="KSL50" s="25"/>
      <c r="KSM50" s="25"/>
      <c r="KSN50" s="25"/>
      <c r="KSO50" s="25"/>
      <c r="KSP50" s="25"/>
      <c r="KSQ50" s="25"/>
      <c r="KSR50" s="25"/>
      <c r="KSS50" s="25"/>
      <c r="KST50" s="25"/>
      <c r="KSU50" s="25"/>
      <c r="KSV50" s="25"/>
      <c r="KSW50" s="25"/>
      <c r="KSX50" s="25"/>
      <c r="KSY50" s="25"/>
      <c r="KSZ50" s="25"/>
      <c r="KTA50" s="25"/>
      <c r="KTB50" s="25"/>
      <c r="KTC50" s="25"/>
      <c r="KTD50" s="25"/>
      <c r="KTE50" s="25"/>
      <c r="KTF50" s="25"/>
      <c r="KTG50" s="25"/>
      <c r="KTH50" s="25"/>
      <c r="KTI50" s="25"/>
      <c r="KTJ50" s="25"/>
      <c r="KTK50" s="25"/>
      <c r="KTL50" s="25"/>
      <c r="KTM50" s="25"/>
      <c r="KTN50" s="25"/>
      <c r="KTO50" s="25"/>
      <c r="KTP50" s="25"/>
      <c r="KTQ50" s="25"/>
      <c r="KTR50" s="25"/>
      <c r="KTS50" s="25"/>
      <c r="KTT50" s="25"/>
      <c r="KTU50" s="25"/>
      <c r="KTV50" s="25"/>
      <c r="KTW50" s="25"/>
      <c r="KTX50" s="25"/>
      <c r="KTY50" s="25"/>
      <c r="KTZ50" s="25"/>
      <c r="KUA50" s="25"/>
      <c r="KUB50" s="25"/>
      <c r="KUC50" s="25"/>
      <c r="KUD50" s="25"/>
      <c r="KUE50" s="25"/>
      <c r="KUF50" s="25"/>
      <c r="KUG50" s="25"/>
      <c r="KUH50" s="25"/>
      <c r="KUI50" s="25"/>
      <c r="KUJ50" s="25"/>
      <c r="KUK50" s="25"/>
      <c r="KUL50" s="25"/>
      <c r="KUM50" s="25"/>
      <c r="KUN50" s="25"/>
      <c r="KUO50" s="25"/>
      <c r="KUP50" s="25"/>
      <c r="KUQ50" s="25"/>
      <c r="KUR50" s="25"/>
      <c r="KUS50" s="25"/>
      <c r="KUT50" s="25"/>
      <c r="KUU50" s="25"/>
      <c r="KUV50" s="25"/>
      <c r="KUW50" s="25"/>
      <c r="KUX50" s="25"/>
      <c r="KUY50" s="25"/>
      <c r="KUZ50" s="25"/>
      <c r="KVA50" s="25"/>
      <c r="KVB50" s="25"/>
      <c r="KVC50" s="25"/>
      <c r="KVD50" s="25"/>
      <c r="KVE50" s="25"/>
      <c r="KVF50" s="25"/>
      <c r="KVG50" s="25"/>
      <c r="KVH50" s="25"/>
      <c r="KVI50" s="25"/>
      <c r="KVJ50" s="25"/>
      <c r="KVK50" s="25"/>
      <c r="KVL50" s="25"/>
      <c r="KVM50" s="25"/>
      <c r="KVN50" s="25"/>
      <c r="KVO50" s="25"/>
      <c r="KVP50" s="25"/>
      <c r="KVQ50" s="25"/>
      <c r="KVR50" s="25"/>
      <c r="KVS50" s="25"/>
      <c r="KVT50" s="25"/>
      <c r="KVU50" s="25"/>
      <c r="KVV50" s="25"/>
      <c r="KVW50" s="25"/>
      <c r="KVX50" s="25"/>
      <c r="KVY50" s="25"/>
      <c r="KVZ50" s="25"/>
      <c r="KWA50" s="25"/>
      <c r="KWB50" s="25"/>
      <c r="KWC50" s="25"/>
      <c r="KWD50" s="25"/>
      <c r="KWE50" s="25"/>
      <c r="KWF50" s="25"/>
      <c r="KWG50" s="25"/>
      <c r="KWH50" s="25"/>
      <c r="KWI50" s="25"/>
      <c r="KWJ50" s="25"/>
      <c r="KWK50" s="25"/>
      <c r="KWL50" s="25"/>
      <c r="KWM50" s="25"/>
      <c r="KWN50" s="25"/>
      <c r="KWO50" s="25"/>
      <c r="KWP50" s="25"/>
      <c r="KWQ50" s="25"/>
      <c r="KWR50" s="25"/>
      <c r="KWS50" s="25"/>
      <c r="KWT50" s="25"/>
      <c r="KWU50" s="25"/>
      <c r="KWV50" s="25"/>
      <c r="KWW50" s="25"/>
      <c r="KWX50" s="25"/>
      <c r="KWY50" s="25"/>
      <c r="KWZ50" s="25"/>
      <c r="KXA50" s="25"/>
      <c r="KXB50" s="25"/>
      <c r="KXC50" s="25"/>
      <c r="KXD50" s="25"/>
      <c r="KXE50" s="25"/>
      <c r="KXF50" s="25"/>
      <c r="KXG50" s="25"/>
      <c r="KXH50" s="25"/>
      <c r="KXI50" s="25"/>
      <c r="KXJ50" s="25"/>
      <c r="KXK50" s="25"/>
      <c r="KXL50" s="25"/>
      <c r="KXM50" s="25"/>
      <c r="KXN50" s="25"/>
      <c r="KXO50" s="25"/>
      <c r="KXP50" s="25"/>
      <c r="KXQ50" s="25"/>
      <c r="KXR50" s="25"/>
      <c r="KXS50" s="25"/>
      <c r="KXT50" s="25"/>
      <c r="KXU50" s="25"/>
      <c r="KXV50" s="25"/>
      <c r="KXW50" s="25"/>
      <c r="KXX50" s="25"/>
      <c r="KXY50" s="25"/>
      <c r="KXZ50" s="25"/>
      <c r="KYA50" s="25"/>
      <c r="KYB50" s="25"/>
      <c r="KYC50" s="25"/>
      <c r="KYD50" s="25"/>
      <c r="KYE50" s="25"/>
      <c r="KYF50" s="25"/>
      <c r="KYG50" s="25"/>
      <c r="KYH50" s="25"/>
      <c r="KYI50" s="25"/>
      <c r="KYJ50" s="25"/>
      <c r="KYK50" s="25"/>
      <c r="KYL50" s="25"/>
      <c r="KYM50" s="25"/>
      <c r="KYN50" s="25"/>
      <c r="KYO50" s="25"/>
      <c r="KYP50" s="25"/>
      <c r="KYQ50" s="25"/>
      <c r="KYR50" s="25"/>
      <c r="KYS50" s="25"/>
      <c r="KYT50" s="25"/>
      <c r="KYU50" s="25"/>
      <c r="KYV50" s="25"/>
      <c r="KYW50" s="25"/>
      <c r="KYX50" s="25"/>
      <c r="KYY50" s="25"/>
      <c r="KYZ50" s="25"/>
      <c r="KZA50" s="25"/>
      <c r="KZB50" s="25"/>
      <c r="KZC50" s="25"/>
      <c r="KZD50" s="25"/>
      <c r="KZE50" s="25"/>
      <c r="KZF50" s="25"/>
      <c r="KZG50" s="25"/>
      <c r="KZH50" s="25"/>
      <c r="KZI50" s="25"/>
      <c r="KZJ50" s="25"/>
      <c r="KZK50" s="25"/>
      <c r="KZL50" s="25"/>
      <c r="KZM50" s="25"/>
      <c r="KZN50" s="25"/>
      <c r="KZO50" s="25"/>
      <c r="KZP50" s="25"/>
      <c r="KZQ50" s="25"/>
      <c r="KZR50" s="25"/>
      <c r="KZS50" s="25"/>
      <c r="KZT50" s="25"/>
      <c r="KZU50" s="25"/>
      <c r="KZV50" s="25"/>
      <c r="KZW50" s="25"/>
      <c r="KZX50" s="25"/>
      <c r="KZY50" s="25"/>
      <c r="KZZ50" s="25"/>
      <c r="LAA50" s="25"/>
      <c r="LAB50" s="25"/>
      <c r="LAC50" s="25"/>
      <c r="LAD50" s="25"/>
      <c r="LAE50" s="25"/>
      <c r="LAF50" s="25"/>
      <c r="LAG50" s="25"/>
      <c r="LAH50" s="25"/>
      <c r="LAI50" s="25"/>
      <c r="LAJ50" s="25"/>
      <c r="LAK50" s="25"/>
      <c r="LAL50" s="25"/>
      <c r="LAM50" s="25"/>
      <c r="LAN50" s="25"/>
      <c r="LAO50" s="25"/>
      <c r="LAP50" s="25"/>
      <c r="LAQ50" s="25"/>
      <c r="LAR50" s="25"/>
      <c r="LAS50" s="25"/>
      <c r="LAT50" s="25"/>
      <c r="LAU50" s="25"/>
      <c r="LAV50" s="25"/>
      <c r="LAW50" s="25"/>
      <c r="LAX50" s="25"/>
      <c r="LAY50" s="25"/>
      <c r="LAZ50" s="25"/>
      <c r="LBA50" s="25"/>
      <c r="LBB50" s="25"/>
      <c r="LBC50" s="25"/>
      <c r="LBD50" s="25"/>
      <c r="LBE50" s="25"/>
      <c r="LBF50" s="25"/>
      <c r="LBG50" s="25"/>
      <c r="LBH50" s="25"/>
      <c r="LBI50" s="25"/>
      <c r="LBJ50" s="25"/>
      <c r="LBK50" s="25"/>
      <c r="LBL50" s="25"/>
      <c r="LBM50" s="25"/>
      <c r="LBN50" s="25"/>
      <c r="LBO50" s="25"/>
      <c r="LBP50" s="25"/>
      <c r="LBQ50" s="25"/>
      <c r="LBR50" s="25"/>
      <c r="LBS50" s="25"/>
      <c r="LBT50" s="25"/>
      <c r="LBU50" s="25"/>
      <c r="LBV50" s="25"/>
      <c r="LBW50" s="25"/>
      <c r="LBX50" s="25"/>
      <c r="LBY50" s="25"/>
      <c r="LBZ50" s="25"/>
      <c r="LCA50" s="25"/>
      <c r="LCB50" s="25"/>
      <c r="LCC50" s="25"/>
      <c r="LCD50" s="25"/>
      <c r="LCE50" s="25"/>
      <c r="LCF50" s="25"/>
      <c r="LCG50" s="25"/>
      <c r="LCH50" s="25"/>
      <c r="LCI50" s="25"/>
      <c r="LCJ50" s="25"/>
      <c r="LCK50" s="25"/>
      <c r="LCL50" s="25"/>
      <c r="LCM50" s="25"/>
      <c r="LCN50" s="25"/>
      <c r="LCO50" s="25"/>
      <c r="LCP50" s="25"/>
      <c r="LCQ50" s="25"/>
      <c r="LCR50" s="25"/>
      <c r="LCS50" s="25"/>
      <c r="LCT50" s="25"/>
      <c r="LCU50" s="25"/>
      <c r="LCV50" s="25"/>
      <c r="LCW50" s="25"/>
      <c r="LCX50" s="25"/>
      <c r="LCY50" s="25"/>
      <c r="LCZ50" s="25"/>
      <c r="LDA50" s="25"/>
      <c r="LDB50" s="25"/>
      <c r="LDC50" s="25"/>
      <c r="LDD50" s="25"/>
      <c r="LDE50" s="25"/>
      <c r="LDF50" s="25"/>
      <c r="LDG50" s="25"/>
      <c r="LDH50" s="25"/>
      <c r="LDI50" s="25"/>
      <c r="LDJ50" s="25"/>
      <c r="LDK50" s="25"/>
      <c r="LDL50" s="25"/>
      <c r="LDM50" s="25"/>
      <c r="LDN50" s="25"/>
      <c r="LDO50" s="25"/>
      <c r="LDP50" s="25"/>
      <c r="LDQ50" s="25"/>
      <c r="LDR50" s="25"/>
      <c r="LDS50" s="25"/>
      <c r="LDT50" s="25"/>
      <c r="LDU50" s="25"/>
      <c r="LDV50" s="25"/>
      <c r="LDW50" s="25"/>
      <c r="LDX50" s="25"/>
      <c r="LDY50" s="25"/>
      <c r="LDZ50" s="25"/>
      <c r="LEA50" s="25"/>
      <c r="LEB50" s="25"/>
      <c r="LEC50" s="25"/>
      <c r="LED50" s="25"/>
      <c r="LEE50" s="25"/>
      <c r="LEF50" s="25"/>
      <c r="LEG50" s="25"/>
      <c r="LEH50" s="25"/>
      <c r="LEI50" s="25"/>
      <c r="LEJ50" s="25"/>
      <c r="LEK50" s="25"/>
      <c r="LEL50" s="25"/>
      <c r="LEM50" s="25"/>
      <c r="LEN50" s="25"/>
      <c r="LEO50" s="25"/>
      <c r="LEP50" s="25"/>
      <c r="LEQ50" s="25"/>
      <c r="LER50" s="25"/>
      <c r="LES50" s="25"/>
      <c r="LET50" s="25"/>
      <c r="LEU50" s="25"/>
      <c r="LEV50" s="25"/>
      <c r="LEW50" s="25"/>
      <c r="LEX50" s="25"/>
      <c r="LEY50" s="25"/>
      <c r="LEZ50" s="25"/>
      <c r="LFA50" s="25"/>
      <c r="LFB50" s="25"/>
      <c r="LFC50" s="25"/>
      <c r="LFD50" s="25"/>
      <c r="LFE50" s="25"/>
      <c r="LFF50" s="25"/>
      <c r="LFG50" s="25"/>
      <c r="LFH50" s="25"/>
      <c r="LFI50" s="25"/>
      <c r="LFJ50" s="25"/>
      <c r="LFK50" s="25"/>
      <c r="LFL50" s="25"/>
      <c r="LFM50" s="25"/>
      <c r="LFN50" s="25"/>
      <c r="LFO50" s="25"/>
      <c r="LFP50" s="25"/>
      <c r="LFQ50" s="25"/>
      <c r="LFR50" s="25"/>
      <c r="LFS50" s="25"/>
      <c r="LFT50" s="25"/>
      <c r="LFU50" s="25"/>
      <c r="LFV50" s="25"/>
      <c r="LFW50" s="25"/>
      <c r="LFX50" s="25"/>
      <c r="LFY50" s="25"/>
      <c r="LFZ50" s="25"/>
      <c r="LGA50" s="25"/>
      <c r="LGB50" s="25"/>
      <c r="LGC50" s="25"/>
      <c r="LGD50" s="25"/>
      <c r="LGE50" s="25"/>
      <c r="LGF50" s="25"/>
      <c r="LGG50" s="25"/>
      <c r="LGH50" s="25"/>
      <c r="LGI50" s="25"/>
      <c r="LGJ50" s="25"/>
      <c r="LGK50" s="25"/>
      <c r="LGL50" s="25"/>
      <c r="LGM50" s="25"/>
      <c r="LGN50" s="25"/>
      <c r="LGO50" s="25"/>
      <c r="LGP50" s="25"/>
      <c r="LGQ50" s="25"/>
      <c r="LGR50" s="25"/>
      <c r="LGS50" s="25"/>
      <c r="LGT50" s="25"/>
      <c r="LGU50" s="25"/>
      <c r="LGV50" s="25"/>
      <c r="LGW50" s="25"/>
      <c r="LGX50" s="25"/>
      <c r="LGY50" s="25"/>
      <c r="LGZ50" s="25"/>
      <c r="LHA50" s="25"/>
      <c r="LHB50" s="25"/>
      <c r="LHC50" s="25"/>
      <c r="LHD50" s="25"/>
      <c r="LHE50" s="25"/>
      <c r="LHF50" s="25"/>
      <c r="LHG50" s="25"/>
      <c r="LHH50" s="25"/>
      <c r="LHI50" s="25"/>
      <c r="LHJ50" s="25"/>
      <c r="LHK50" s="25"/>
      <c r="LHL50" s="25"/>
      <c r="LHM50" s="25"/>
      <c r="LHN50" s="25"/>
      <c r="LHO50" s="25"/>
      <c r="LHP50" s="25"/>
      <c r="LHQ50" s="25"/>
      <c r="LHR50" s="25"/>
      <c r="LHS50" s="25"/>
      <c r="LHT50" s="25"/>
      <c r="LHU50" s="25"/>
      <c r="LHV50" s="25"/>
      <c r="LHW50" s="25"/>
      <c r="LHX50" s="25"/>
      <c r="LHY50" s="25"/>
      <c r="LHZ50" s="25"/>
      <c r="LIA50" s="25"/>
      <c r="LIB50" s="25"/>
      <c r="LIC50" s="25"/>
      <c r="LID50" s="25"/>
      <c r="LIE50" s="25"/>
      <c r="LIF50" s="25"/>
      <c r="LIG50" s="25"/>
      <c r="LIH50" s="25"/>
      <c r="LII50" s="25"/>
      <c r="LIJ50" s="25"/>
      <c r="LIK50" s="25"/>
      <c r="LIL50" s="25"/>
      <c r="LIM50" s="25"/>
      <c r="LIN50" s="25"/>
      <c r="LIO50" s="25"/>
      <c r="LIP50" s="25"/>
      <c r="LIQ50" s="25"/>
      <c r="LIR50" s="25"/>
      <c r="LIS50" s="25"/>
      <c r="LIT50" s="25"/>
      <c r="LIU50" s="25"/>
      <c r="LIV50" s="25"/>
      <c r="LIW50" s="25"/>
      <c r="LIX50" s="25"/>
      <c r="LIY50" s="25"/>
      <c r="LIZ50" s="25"/>
      <c r="LJA50" s="25"/>
      <c r="LJB50" s="25"/>
      <c r="LJC50" s="25"/>
      <c r="LJD50" s="25"/>
      <c r="LJE50" s="25"/>
      <c r="LJF50" s="25"/>
      <c r="LJG50" s="25"/>
      <c r="LJH50" s="25"/>
      <c r="LJI50" s="25"/>
      <c r="LJJ50" s="25"/>
      <c r="LJK50" s="25"/>
      <c r="LJL50" s="25"/>
      <c r="LJM50" s="25"/>
      <c r="LJN50" s="25"/>
      <c r="LJO50" s="25"/>
      <c r="LJP50" s="25"/>
      <c r="LJQ50" s="25"/>
      <c r="LJR50" s="25"/>
      <c r="LJS50" s="25"/>
      <c r="LJT50" s="25"/>
      <c r="LJU50" s="25"/>
      <c r="LJV50" s="25"/>
      <c r="LJW50" s="25"/>
      <c r="LJX50" s="25"/>
      <c r="LJY50" s="25"/>
      <c r="LJZ50" s="25"/>
      <c r="LKA50" s="25"/>
      <c r="LKB50" s="25"/>
      <c r="LKC50" s="25"/>
      <c r="LKD50" s="25"/>
      <c r="LKE50" s="25"/>
      <c r="LKF50" s="25"/>
      <c r="LKG50" s="25"/>
      <c r="LKH50" s="25"/>
      <c r="LKI50" s="25"/>
      <c r="LKJ50" s="25"/>
      <c r="LKK50" s="25"/>
      <c r="LKL50" s="25"/>
      <c r="LKM50" s="25"/>
      <c r="LKN50" s="25"/>
      <c r="LKO50" s="25"/>
      <c r="LKP50" s="25"/>
      <c r="LKQ50" s="25"/>
      <c r="LKR50" s="25"/>
      <c r="LKS50" s="25"/>
      <c r="LKT50" s="25"/>
      <c r="LKU50" s="25"/>
      <c r="LKV50" s="25"/>
      <c r="LKW50" s="25"/>
      <c r="LKX50" s="25"/>
      <c r="LKY50" s="25"/>
      <c r="LKZ50" s="25"/>
      <c r="LLA50" s="25"/>
      <c r="LLB50" s="25"/>
      <c r="LLC50" s="25"/>
      <c r="LLD50" s="25"/>
      <c r="LLE50" s="25"/>
      <c r="LLF50" s="25"/>
      <c r="LLG50" s="25"/>
      <c r="LLH50" s="25"/>
      <c r="LLI50" s="25"/>
      <c r="LLJ50" s="25"/>
      <c r="LLK50" s="25"/>
      <c r="LLL50" s="25"/>
      <c r="LLM50" s="25"/>
      <c r="LLN50" s="25"/>
      <c r="LLO50" s="25"/>
      <c r="LLP50" s="25"/>
      <c r="LLQ50" s="25"/>
      <c r="LLR50" s="25"/>
      <c r="LLS50" s="25"/>
      <c r="LLT50" s="25"/>
      <c r="LLU50" s="25"/>
      <c r="LLV50" s="25"/>
      <c r="LLW50" s="25"/>
      <c r="LLX50" s="25"/>
      <c r="LLY50" s="25"/>
      <c r="LLZ50" s="25"/>
      <c r="LMA50" s="25"/>
      <c r="LMB50" s="25"/>
      <c r="LMC50" s="25"/>
      <c r="LMD50" s="25"/>
      <c r="LME50" s="25"/>
      <c r="LMF50" s="25"/>
      <c r="LMG50" s="25"/>
      <c r="LMH50" s="25"/>
      <c r="LMI50" s="25"/>
      <c r="LMJ50" s="25"/>
      <c r="LMK50" s="25"/>
      <c r="LML50" s="25"/>
      <c r="LMM50" s="25"/>
      <c r="LMN50" s="25"/>
      <c r="LMO50" s="25"/>
      <c r="LMP50" s="25"/>
      <c r="LMQ50" s="25"/>
      <c r="LMR50" s="25"/>
      <c r="LMS50" s="25"/>
      <c r="LMT50" s="25"/>
      <c r="LMU50" s="25"/>
      <c r="LMV50" s="25"/>
      <c r="LMW50" s="25"/>
      <c r="LMX50" s="25"/>
      <c r="LMY50" s="25"/>
      <c r="LMZ50" s="25"/>
      <c r="LNA50" s="25"/>
      <c r="LNB50" s="25"/>
      <c r="LNC50" s="25"/>
      <c r="LND50" s="25"/>
      <c r="LNE50" s="25"/>
      <c r="LNF50" s="25"/>
      <c r="LNG50" s="25"/>
      <c r="LNH50" s="25"/>
      <c r="LNI50" s="25"/>
      <c r="LNJ50" s="25"/>
      <c r="LNK50" s="25"/>
      <c r="LNL50" s="25"/>
      <c r="LNM50" s="25"/>
      <c r="LNN50" s="25"/>
      <c r="LNO50" s="25"/>
      <c r="LNP50" s="25"/>
      <c r="LNQ50" s="25"/>
      <c r="LNR50" s="25"/>
      <c r="LNS50" s="25"/>
      <c r="LNT50" s="25"/>
      <c r="LNU50" s="25"/>
      <c r="LNV50" s="25"/>
      <c r="LNW50" s="25"/>
      <c r="LNX50" s="25"/>
      <c r="LNY50" s="25"/>
      <c r="LNZ50" s="25"/>
      <c r="LOA50" s="25"/>
      <c r="LOB50" s="25"/>
      <c r="LOC50" s="25"/>
      <c r="LOD50" s="25"/>
      <c r="LOE50" s="25"/>
      <c r="LOF50" s="25"/>
      <c r="LOG50" s="25"/>
      <c r="LOH50" s="25"/>
      <c r="LOI50" s="25"/>
      <c r="LOJ50" s="25"/>
      <c r="LOK50" s="25"/>
      <c r="LOL50" s="25"/>
      <c r="LOM50" s="25"/>
      <c r="LON50" s="25"/>
      <c r="LOO50" s="25"/>
      <c r="LOP50" s="25"/>
      <c r="LOQ50" s="25"/>
      <c r="LOR50" s="25"/>
      <c r="LOS50" s="25"/>
      <c r="LOT50" s="25"/>
      <c r="LOU50" s="25"/>
      <c r="LOV50" s="25"/>
      <c r="LOW50" s="25"/>
      <c r="LOX50" s="25"/>
      <c r="LOY50" s="25"/>
      <c r="LOZ50" s="25"/>
      <c r="LPA50" s="25"/>
      <c r="LPB50" s="25"/>
      <c r="LPC50" s="25"/>
      <c r="LPD50" s="25"/>
      <c r="LPE50" s="25"/>
      <c r="LPF50" s="25"/>
      <c r="LPG50" s="25"/>
      <c r="LPH50" s="25"/>
      <c r="LPI50" s="25"/>
      <c r="LPJ50" s="25"/>
      <c r="LPK50" s="25"/>
      <c r="LPL50" s="25"/>
      <c r="LPM50" s="25"/>
      <c r="LPN50" s="25"/>
      <c r="LPO50" s="25"/>
      <c r="LPP50" s="25"/>
      <c r="LPQ50" s="25"/>
      <c r="LPR50" s="25"/>
      <c r="LPS50" s="25"/>
      <c r="LPT50" s="25"/>
      <c r="LPU50" s="25"/>
      <c r="LPV50" s="25"/>
      <c r="LPW50" s="25"/>
      <c r="LPX50" s="25"/>
      <c r="LPY50" s="25"/>
      <c r="LPZ50" s="25"/>
      <c r="LQA50" s="25"/>
      <c r="LQB50" s="25"/>
      <c r="LQC50" s="25"/>
      <c r="LQD50" s="25"/>
      <c r="LQE50" s="25"/>
      <c r="LQF50" s="25"/>
      <c r="LQG50" s="25"/>
      <c r="LQH50" s="25"/>
      <c r="LQI50" s="25"/>
      <c r="LQJ50" s="25"/>
      <c r="LQK50" s="25"/>
      <c r="LQL50" s="25"/>
      <c r="LQM50" s="25"/>
      <c r="LQN50" s="25"/>
      <c r="LQO50" s="25"/>
      <c r="LQP50" s="25"/>
      <c r="LQQ50" s="25"/>
      <c r="LQR50" s="25"/>
      <c r="LQS50" s="25"/>
      <c r="LQT50" s="25"/>
      <c r="LQU50" s="25"/>
      <c r="LQV50" s="25"/>
      <c r="LQW50" s="25"/>
      <c r="LQX50" s="25"/>
      <c r="LQY50" s="25"/>
      <c r="LQZ50" s="25"/>
      <c r="LRA50" s="25"/>
      <c r="LRB50" s="25"/>
      <c r="LRC50" s="25"/>
      <c r="LRD50" s="25"/>
      <c r="LRE50" s="25"/>
      <c r="LRF50" s="25"/>
      <c r="LRG50" s="25"/>
      <c r="LRH50" s="25"/>
      <c r="LRI50" s="25"/>
      <c r="LRJ50" s="25"/>
      <c r="LRK50" s="25"/>
      <c r="LRL50" s="25"/>
      <c r="LRM50" s="25"/>
      <c r="LRN50" s="25"/>
      <c r="LRO50" s="25"/>
      <c r="LRP50" s="25"/>
      <c r="LRQ50" s="25"/>
      <c r="LRR50" s="25"/>
      <c r="LRS50" s="25"/>
      <c r="LRT50" s="25"/>
      <c r="LRU50" s="25"/>
      <c r="LRV50" s="25"/>
      <c r="LRW50" s="25"/>
      <c r="LRX50" s="25"/>
      <c r="LRY50" s="25"/>
      <c r="LRZ50" s="25"/>
      <c r="LSA50" s="25"/>
      <c r="LSB50" s="25"/>
      <c r="LSC50" s="25"/>
      <c r="LSD50" s="25"/>
      <c r="LSE50" s="25"/>
      <c r="LSF50" s="25"/>
      <c r="LSG50" s="25"/>
      <c r="LSH50" s="25"/>
      <c r="LSI50" s="25"/>
      <c r="LSJ50" s="25"/>
      <c r="LSK50" s="25"/>
      <c r="LSL50" s="25"/>
      <c r="LSM50" s="25"/>
      <c r="LSN50" s="25"/>
      <c r="LSO50" s="25"/>
      <c r="LSP50" s="25"/>
      <c r="LSQ50" s="25"/>
      <c r="LSR50" s="25"/>
      <c r="LSS50" s="25"/>
      <c r="LST50" s="25"/>
      <c r="LSU50" s="25"/>
      <c r="LSV50" s="25"/>
      <c r="LSW50" s="25"/>
      <c r="LSX50" s="25"/>
      <c r="LSY50" s="25"/>
      <c r="LSZ50" s="25"/>
      <c r="LTA50" s="25"/>
      <c r="LTB50" s="25"/>
      <c r="LTC50" s="25"/>
      <c r="LTD50" s="25"/>
      <c r="LTE50" s="25"/>
      <c r="LTF50" s="25"/>
      <c r="LTG50" s="25"/>
      <c r="LTH50" s="25"/>
      <c r="LTI50" s="25"/>
      <c r="LTJ50" s="25"/>
      <c r="LTK50" s="25"/>
      <c r="LTL50" s="25"/>
      <c r="LTM50" s="25"/>
      <c r="LTN50" s="25"/>
      <c r="LTO50" s="25"/>
      <c r="LTP50" s="25"/>
      <c r="LTQ50" s="25"/>
      <c r="LTR50" s="25"/>
      <c r="LTS50" s="25"/>
      <c r="LTT50" s="25"/>
      <c r="LTU50" s="25"/>
      <c r="LTV50" s="25"/>
      <c r="LTW50" s="25"/>
      <c r="LTX50" s="25"/>
      <c r="LTY50" s="25"/>
      <c r="LTZ50" s="25"/>
      <c r="LUA50" s="25"/>
      <c r="LUB50" s="25"/>
      <c r="LUC50" s="25"/>
      <c r="LUD50" s="25"/>
      <c r="LUE50" s="25"/>
      <c r="LUF50" s="25"/>
      <c r="LUG50" s="25"/>
      <c r="LUH50" s="25"/>
      <c r="LUI50" s="25"/>
      <c r="LUJ50" s="25"/>
      <c r="LUK50" s="25"/>
      <c r="LUL50" s="25"/>
      <c r="LUM50" s="25"/>
      <c r="LUN50" s="25"/>
      <c r="LUO50" s="25"/>
      <c r="LUP50" s="25"/>
      <c r="LUQ50" s="25"/>
      <c r="LUR50" s="25"/>
      <c r="LUS50" s="25"/>
      <c r="LUT50" s="25"/>
      <c r="LUU50" s="25"/>
      <c r="LUV50" s="25"/>
      <c r="LUW50" s="25"/>
      <c r="LUX50" s="25"/>
      <c r="LUY50" s="25"/>
      <c r="LUZ50" s="25"/>
      <c r="LVA50" s="25"/>
      <c r="LVB50" s="25"/>
      <c r="LVC50" s="25"/>
      <c r="LVD50" s="25"/>
      <c r="LVE50" s="25"/>
      <c r="LVF50" s="25"/>
      <c r="LVG50" s="25"/>
      <c r="LVH50" s="25"/>
      <c r="LVI50" s="25"/>
      <c r="LVJ50" s="25"/>
      <c r="LVK50" s="25"/>
      <c r="LVL50" s="25"/>
      <c r="LVM50" s="25"/>
      <c r="LVN50" s="25"/>
      <c r="LVO50" s="25"/>
      <c r="LVP50" s="25"/>
      <c r="LVQ50" s="25"/>
      <c r="LVR50" s="25"/>
      <c r="LVS50" s="25"/>
      <c r="LVT50" s="25"/>
      <c r="LVU50" s="25"/>
      <c r="LVV50" s="25"/>
      <c r="LVW50" s="25"/>
      <c r="LVX50" s="25"/>
      <c r="LVY50" s="25"/>
      <c r="LVZ50" s="25"/>
      <c r="LWA50" s="25"/>
      <c r="LWB50" s="25"/>
      <c r="LWC50" s="25"/>
      <c r="LWD50" s="25"/>
      <c r="LWE50" s="25"/>
      <c r="LWF50" s="25"/>
      <c r="LWG50" s="25"/>
      <c r="LWH50" s="25"/>
      <c r="LWI50" s="25"/>
      <c r="LWJ50" s="25"/>
      <c r="LWK50" s="25"/>
      <c r="LWL50" s="25"/>
      <c r="LWM50" s="25"/>
      <c r="LWN50" s="25"/>
      <c r="LWO50" s="25"/>
      <c r="LWP50" s="25"/>
      <c r="LWQ50" s="25"/>
      <c r="LWR50" s="25"/>
      <c r="LWS50" s="25"/>
      <c r="LWT50" s="25"/>
      <c r="LWU50" s="25"/>
      <c r="LWV50" s="25"/>
      <c r="LWW50" s="25"/>
      <c r="LWX50" s="25"/>
      <c r="LWY50" s="25"/>
      <c r="LWZ50" s="25"/>
      <c r="LXA50" s="25"/>
      <c r="LXB50" s="25"/>
      <c r="LXC50" s="25"/>
      <c r="LXD50" s="25"/>
      <c r="LXE50" s="25"/>
      <c r="LXF50" s="25"/>
      <c r="LXG50" s="25"/>
      <c r="LXH50" s="25"/>
      <c r="LXI50" s="25"/>
      <c r="LXJ50" s="25"/>
      <c r="LXK50" s="25"/>
      <c r="LXL50" s="25"/>
      <c r="LXM50" s="25"/>
      <c r="LXN50" s="25"/>
      <c r="LXO50" s="25"/>
      <c r="LXP50" s="25"/>
      <c r="LXQ50" s="25"/>
      <c r="LXR50" s="25"/>
      <c r="LXS50" s="25"/>
      <c r="LXT50" s="25"/>
      <c r="LXU50" s="25"/>
      <c r="LXV50" s="25"/>
      <c r="LXW50" s="25"/>
      <c r="LXX50" s="25"/>
      <c r="LXY50" s="25"/>
      <c r="LXZ50" s="25"/>
      <c r="LYA50" s="25"/>
      <c r="LYB50" s="25"/>
      <c r="LYC50" s="25"/>
      <c r="LYD50" s="25"/>
      <c r="LYE50" s="25"/>
      <c r="LYF50" s="25"/>
      <c r="LYG50" s="25"/>
      <c r="LYH50" s="25"/>
      <c r="LYI50" s="25"/>
      <c r="LYJ50" s="25"/>
      <c r="LYK50" s="25"/>
      <c r="LYL50" s="25"/>
      <c r="LYM50" s="25"/>
      <c r="LYN50" s="25"/>
      <c r="LYO50" s="25"/>
      <c r="LYP50" s="25"/>
      <c r="LYQ50" s="25"/>
      <c r="LYR50" s="25"/>
      <c r="LYS50" s="25"/>
      <c r="LYT50" s="25"/>
      <c r="LYU50" s="25"/>
      <c r="LYV50" s="25"/>
      <c r="LYW50" s="25"/>
      <c r="LYX50" s="25"/>
      <c r="LYY50" s="25"/>
      <c r="LYZ50" s="25"/>
      <c r="LZA50" s="25"/>
      <c r="LZB50" s="25"/>
      <c r="LZC50" s="25"/>
      <c r="LZD50" s="25"/>
      <c r="LZE50" s="25"/>
      <c r="LZF50" s="25"/>
      <c r="LZG50" s="25"/>
      <c r="LZH50" s="25"/>
      <c r="LZI50" s="25"/>
      <c r="LZJ50" s="25"/>
      <c r="LZK50" s="25"/>
      <c r="LZL50" s="25"/>
      <c r="LZM50" s="25"/>
      <c r="LZN50" s="25"/>
      <c r="LZO50" s="25"/>
      <c r="LZP50" s="25"/>
      <c r="LZQ50" s="25"/>
      <c r="LZR50" s="25"/>
      <c r="LZS50" s="25"/>
      <c r="LZT50" s="25"/>
      <c r="LZU50" s="25"/>
      <c r="LZV50" s="25"/>
      <c r="LZW50" s="25"/>
      <c r="LZX50" s="25"/>
      <c r="LZY50" s="25"/>
      <c r="LZZ50" s="25"/>
      <c r="MAA50" s="25"/>
      <c r="MAB50" s="25"/>
      <c r="MAC50" s="25"/>
      <c r="MAD50" s="25"/>
      <c r="MAE50" s="25"/>
      <c r="MAF50" s="25"/>
      <c r="MAG50" s="25"/>
      <c r="MAH50" s="25"/>
      <c r="MAI50" s="25"/>
      <c r="MAJ50" s="25"/>
      <c r="MAK50" s="25"/>
      <c r="MAL50" s="25"/>
      <c r="MAM50" s="25"/>
      <c r="MAN50" s="25"/>
      <c r="MAO50" s="25"/>
      <c r="MAP50" s="25"/>
      <c r="MAQ50" s="25"/>
      <c r="MAR50" s="25"/>
      <c r="MAS50" s="25"/>
      <c r="MAT50" s="25"/>
      <c r="MAU50" s="25"/>
      <c r="MAV50" s="25"/>
      <c r="MAW50" s="25"/>
      <c r="MAX50" s="25"/>
      <c r="MAY50" s="25"/>
      <c r="MAZ50" s="25"/>
      <c r="MBA50" s="25"/>
      <c r="MBB50" s="25"/>
      <c r="MBC50" s="25"/>
      <c r="MBD50" s="25"/>
      <c r="MBE50" s="25"/>
      <c r="MBF50" s="25"/>
      <c r="MBG50" s="25"/>
      <c r="MBH50" s="25"/>
      <c r="MBI50" s="25"/>
      <c r="MBJ50" s="25"/>
      <c r="MBK50" s="25"/>
      <c r="MBL50" s="25"/>
      <c r="MBM50" s="25"/>
      <c r="MBN50" s="25"/>
      <c r="MBO50" s="25"/>
      <c r="MBP50" s="25"/>
      <c r="MBQ50" s="25"/>
      <c r="MBR50" s="25"/>
      <c r="MBS50" s="25"/>
      <c r="MBT50" s="25"/>
      <c r="MBU50" s="25"/>
      <c r="MBV50" s="25"/>
      <c r="MBW50" s="25"/>
      <c r="MBX50" s="25"/>
      <c r="MBY50" s="25"/>
      <c r="MBZ50" s="25"/>
      <c r="MCA50" s="25"/>
      <c r="MCB50" s="25"/>
      <c r="MCC50" s="25"/>
      <c r="MCD50" s="25"/>
      <c r="MCE50" s="25"/>
      <c r="MCF50" s="25"/>
      <c r="MCG50" s="25"/>
      <c r="MCH50" s="25"/>
      <c r="MCI50" s="25"/>
      <c r="MCJ50" s="25"/>
      <c r="MCK50" s="25"/>
      <c r="MCL50" s="25"/>
      <c r="MCM50" s="25"/>
      <c r="MCN50" s="25"/>
      <c r="MCO50" s="25"/>
      <c r="MCP50" s="25"/>
      <c r="MCQ50" s="25"/>
      <c r="MCR50" s="25"/>
      <c r="MCS50" s="25"/>
      <c r="MCT50" s="25"/>
      <c r="MCU50" s="25"/>
      <c r="MCV50" s="25"/>
      <c r="MCW50" s="25"/>
      <c r="MCX50" s="25"/>
      <c r="MCY50" s="25"/>
      <c r="MCZ50" s="25"/>
      <c r="MDA50" s="25"/>
      <c r="MDB50" s="25"/>
      <c r="MDC50" s="25"/>
      <c r="MDD50" s="25"/>
      <c r="MDE50" s="25"/>
      <c r="MDF50" s="25"/>
      <c r="MDG50" s="25"/>
      <c r="MDH50" s="25"/>
      <c r="MDI50" s="25"/>
      <c r="MDJ50" s="25"/>
      <c r="MDK50" s="25"/>
      <c r="MDL50" s="25"/>
      <c r="MDM50" s="25"/>
      <c r="MDN50" s="25"/>
      <c r="MDO50" s="25"/>
      <c r="MDP50" s="25"/>
      <c r="MDQ50" s="25"/>
      <c r="MDR50" s="25"/>
      <c r="MDS50" s="25"/>
      <c r="MDT50" s="25"/>
      <c r="MDU50" s="25"/>
      <c r="MDV50" s="25"/>
      <c r="MDW50" s="25"/>
      <c r="MDX50" s="25"/>
      <c r="MDY50" s="25"/>
      <c r="MDZ50" s="25"/>
      <c r="MEA50" s="25"/>
      <c r="MEB50" s="25"/>
      <c r="MEC50" s="25"/>
      <c r="MED50" s="25"/>
      <c r="MEE50" s="25"/>
      <c r="MEF50" s="25"/>
      <c r="MEG50" s="25"/>
      <c r="MEH50" s="25"/>
      <c r="MEI50" s="25"/>
      <c r="MEJ50" s="25"/>
      <c r="MEK50" s="25"/>
      <c r="MEL50" s="25"/>
      <c r="MEM50" s="25"/>
      <c r="MEN50" s="25"/>
      <c r="MEO50" s="25"/>
      <c r="MEP50" s="25"/>
      <c r="MEQ50" s="25"/>
      <c r="MER50" s="25"/>
      <c r="MES50" s="25"/>
      <c r="MET50" s="25"/>
      <c r="MEU50" s="25"/>
      <c r="MEV50" s="25"/>
      <c r="MEW50" s="25"/>
      <c r="MEX50" s="25"/>
      <c r="MEY50" s="25"/>
      <c r="MEZ50" s="25"/>
      <c r="MFA50" s="25"/>
      <c r="MFB50" s="25"/>
      <c r="MFC50" s="25"/>
      <c r="MFD50" s="25"/>
      <c r="MFE50" s="25"/>
      <c r="MFF50" s="25"/>
      <c r="MFG50" s="25"/>
      <c r="MFH50" s="25"/>
      <c r="MFI50" s="25"/>
      <c r="MFJ50" s="25"/>
      <c r="MFK50" s="25"/>
      <c r="MFL50" s="25"/>
      <c r="MFM50" s="25"/>
      <c r="MFN50" s="25"/>
      <c r="MFO50" s="25"/>
      <c r="MFP50" s="25"/>
      <c r="MFQ50" s="25"/>
      <c r="MFR50" s="25"/>
      <c r="MFS50" s="25"/>
      <c r="MFT50" s="25"/>
      <c r="MFU50" s="25"/>
      <c r="MFV50" s="25"/>
      <c r="MFW50" s="25"/>
      <c r="MFX50" s="25"/>
      <c r="MFY50" s="25"/>
      <c r="MFZ50" s="25"/>
      <c r="MGA50" s="25"/>
      <c r="MGB50" s="25"/>
      <c r="MGC50" s="25"/>
      <c r="MGD50" s="25"/>
      <c r="MGE50" s="25"/>
      <c r="MGF50" s="25"/>
      <c r="MGG50" s="25"/>
      <c r="MGH50" s="25"/>
      <c r="MGI50" s="25"/>
      <c r="MGJ50" s="25"/>
      <c r="MGK50" s="25"/>
      <c r="MGL50" s="25"/>
      <c r="MGM50" s="25"/>
      <c r="MGN50" s="25"/>
      <c r="MGO50" s="25"/>
      <c r="MGP50" s="25"/>
      <c r="MGQ50" s="25"/>
      <c r="MGR50" s="25"/>
      <c r="MGS50" s="25"/>
      <c r="MGT50" s="25"/>
      <c r="MGU50" s="25"/>
      <c r="MGV50" s="25"/>
      <c r="MGW50" s="25"/>
      <c r="MGX50" s="25"/>
      <c r="MGY50" s="25"/>
      <c r="MGZ50" s="25"/>
      <c r="MHA50" s="25"/>
      <c r="MHB50" s="25"/>
      <c r="MHC50" s="25"/>
      <c r="MHD50" s="25"/>
      <c r="MHE50" s="25"/>
      <c r="MHF50" s="25"/>
      <c r="MHG50" s="25"/>
      <c r="MHH50" s="25"/>
      <c r="MHI50" s="25"/>
      <c r="MHJ50" s="25"/>
      <c r="MHK50" s="25"/>
      <c r="MHL50" s="25"/>
      <c r="MHM50" s="25"/>
      <c r="MHN50" s="25"/>
      <c r="MHO50" s="25"/>
      <c r="MHP50" s="25"/>
      <c r="MHQ50" s="25"/>
      <c r="MHR50" s="25"/>
      <c r="MHS50" s="25"/>
      <c r="MHT50" s="25"/>
      <c r="MHU50" s="25"/>
      <c r="MHV50" s="25"/>
      <c r="MHW50" s="25"/>
      <c r="MHX50" s="25"/>
      <c r="MHY50" s="25"/>
      <c r="MHZ50" s="25"/>
      <c r="MIA50" s="25"/>
      <c r="MIB50" s="25"/>
      <c r="MIC50" s="25"/>
      <c r="MID50" s="25"/>
      <c r="MIE50" s="25"/>
      <c r="MIF50" s="25"/>
      <c r="MIG50" s="25"/>
      <c r="MIH50" s="25"/>
      <c r="MII50" s="25"/>
      <c r="MIJ50" s="25"/>
      <c r="MIK50" s="25"/>
      <c r="MIL50" s="25"/>
      <c r="MIM50" s="25"/>
      <c r="MIN50" s="25"/>
      <c r="MIO50" s="25"/>
      <c r="MIP50" s="25"/>
      <c r="MIQ50" s="25"/>
      <c r="MIR50" s="25"/>
      <c r="MIS50" s="25"/>
      <c r="MIT50" s="25"/>
      <c r="MIU50" s="25"/>
      <c r="MIV50" s="25"/>
      <c r="MIW50" s="25"/>
      <c r="MIX50" s="25"/>
      <c r="MIY50" s="25"/>
      <c r="MIZ50" s="25"/>
      <c r="MJA50" s="25"/>
      <c r="MJB50" s="25"/>
      <c r="MJC50" s="25"/>
      <c r="MJD50" s="25"/>
      <c r="MJE50" s="25"/>
      <c r="MJF50" s="25"/>
      <c r="MJG50" s="25"/>
      <c r="MJH50" s="25"/>
      <c r="MJI50" s="25"/>
      <c r="MJJ50" s="25"/>
      <c r="MJK50" s="25"/>
      <c r="MJL50" s="25"/>
      <c r="MJM50" s="25"/>
      <c r="MJN50" s="25"/>
      <c r="MJO50" s="25"/>
      <c r="MJP50" s="25"/>
      <c r="MJQ50" s="25"/>
      <c r="MJR50" s="25"/>
      <c r="MJS50" s="25"/>
      <c r="MJT50" s="25"/>
      <c r="MJU50" s="25"/>
      <c r="MJV50" s="25"/>
      <c r="MJW50" s="25"/>
      <c r="MJX50" s="25"/>
      <c r="MJY50" s="25"/>
      <c r="MJZ50" s="25"/>
      <c r="MKA50" s="25"/>
      <c r="MKB50" s="25"/>
      <c r="MKC50" s="25"/>
      <c r="MKD50" s="25"/>
      <c r="MKE50" s="25"/>
      <c r="MKF50" s="25"/>
      <c r="MKG50" s="25"/>
      <c r="MKH50" s="25"/>
      <c r="MKI50" s="25"/>
      <c r="MKJ50" s="25"/>
      <c r="MKK50" s="25"/>
      <c r="MKL50" s="25"/>
      <c r="MKM50" s="25"/>
      <c r="MKN50" s="25"/>
      <c r="MKO50" s="25"/>
      <c r="MKP50" s="25"/>
      <c r="MKQ50" s="25"/>
      <c r="MKR50" s="25"/>
      <c r="MKS50" s="25"/>
      <c r="MKT50" s="25"/>
      <c r="MKU50" s="25"/>
      <c r="MKV50" s="25"/>
      <c r="MKW50" s="25"/>
      <c r="MKX50" s="25"/>
      <c r="MKY50" s="25"/>
      <c r="MKZ50" s="25"/>
      <c r="MLA50" s="25"/>
      <c r="MLB50" s="25"/>
      <c r="MLC50" s="25"/>
      <c r="MLD50" s="25"/>
      <c r="MLE50" s="25"/>
      <c r="MLF50" s="25"/>
      <c r="MLG50" s="25"/>
      <c r="MLH50" s="25"/>
      <c r="MLI50" s="25"/>
      <c r="MLJ50" s="25"/>
      <c r="MLK50" s="25"/>
      <c r="MLL50" s="25"/>
      <c r="MLM50" s="25"/>
      <c r="MLN50" s="25"/>
      <c r="MLO50" s="25"/>
      <c r="MLP50" s="25"/>
      <c r="MLQ50" s="25"/>
      <c r="MLR50" s="25"/>
      <c r="MLS50" s="25"/>
      <c r="MLT50" s="25"/>
      <c r="MLU50" s="25"/>
      <c r="MLV50" s="25"/>
      <c r="MLW50" s="25"/>
      <c r="MLX50" s="25"/>
      <c r="MLY50" s="25"/>
      <c r="MLZ50" s="25"/>
      <c r="MMA50" s="25"/>
      <c r="MMB50" s="25"/>
      <c r="MMC50" s="25"/>
      <c r="MMD50" s="25"/>
      <c r="MME50" s="25"/>
      <c r="MMF50" s="25"/>
      <c r="MMG50" s="25"/>
      <c r="MMH50" s="25"/>
      <c r="MMI50" s="25"/>
      <c r="MMJ50" s="25"/>
      <c r="MMK50" s="25"/>
      <c r="MML50" s="25"/>
      <c r="MMM50" s="25"/>
      <c r="MMN50" s="25"/>
      <c r="MMO50" s="25"/>
      <c r="MMP50" s="25"/>
      <c r="MMQ50" s="25"/>
      <c r="MMR50" s="25"/>
      <c r="MMS50" s="25"/>
      <c r="MMT50" s="25"/>
      <c r="MMU50" s="25"/>
      <c r="MMV50" s="25"/>
      <c r="MMW50" s="25"/>
      <c r="MMX50" s="25"/>
      <c r="MMY50" s="25"/>
      <c r="MMZ50" s="25"/>
      <c r="MNA50" s="25"/>
      <c r="MNB50" s="25"/>
      <c r="MNC50" s="25"/>
      <c r="MND50" s="25"/>
      <c r="MNE50" s="25"/>
      <c r="MNF50" s="25"/>
      <c r="MNG50" s="25"/>
      <c r="MNH50" s="25"/>
      <c r="MNI50" s="25"/>
      <c r="MNJ50" s="25"/>
      <c r="MNK50" s="25"/>
      <c r="MNL50" s="25"/>
      <c r="MNM50" s="25"/>
      <c r="MNN50" s="25"/>
      <c r="MNO50" s="25"/>
      <c r="MNP50" s="25"/>
      <c r="MNQ50" s="25"/>
      <c r="MNR50" s="25"/>
      <c r="MNS50" s="25"/>
      <c r="MNT50" s="25"/>
      <c r="MNU50" s="25"/>
      <c r="MNV50" s="25"/>
      <c r="MNW50" s="25"/>
      <c r="MNX50" s="25"/>
      <c r="MNY50" s="25"/>
      <c r="MNZ50" s="25"/>
      <c r="MOA50" s="25"/>
      <c r="MOB50" s="25"/>
      <c r="MOC50" s="25"/>
      <c r="MOD50" s="25"/>
      <c r="MOE50" s="25"/>
      <c r="MOF50" s="25"/>
      <c r="MOG50" s="25"/>
      <c r="MOH50" s="25"/>
      <c r="MOI50" s="25"/>
      <c r="MOJ50" s="25"/>
      <c r="MOK50" s="25"/>
      <c r="MOL50" s="25"/>
      <c r="MOM50" s="25"/>
      <c r="MON50" s="25"/>
      <c r="MOO50" s="25"/>
      <c r="MOP50" s="25"/>
      <c r="MOQ50" s="25"/>
      <c r="MOR50" s="25"/>
      <c r="MOS50" s="25"/>
      <c r="MOT50" s="25"/>
      <c r="MOU50" s="25"/>
      <c r="MOV50" s="25"/>
      <c r="MOW50" s="25"/>
      <c r="MOX50" s="25"/>
      <c r="MOY50" s="25"/>
      <c r="MOZ50" s="25"/>
      <c r="MPA50" s="25"/>
      <c r="MPB50" s="25"/>
      <c r="MPC50" s="25"/>
      <c r="MPD50" s="25"/>
      <c r="MPE50" s="25"/>
      <c r="MPF50" s="25"/>
      <c r="MPG50" s="25"/>
      <c r="MPH50" s="25"/>
      <c r="MPI50" s="25"/>
      <c r="MPJ50" s="25"/>
      <c r="MPK50" s="25"/>
      <c r="MPL50" s="25"/>
      <c r="MPM50" s="25"/>
      <c r="MPN50" s="25"/>
      <c r="MPO50" s="25"/>
      <c r="MPP50" s="25"/>
      <c r="MPQ50" s="25"/>
      <c r="MPR50" s="25"/>
      <c r="MPS50" s="25"/>
      <c r="MPT50" s="25"/>
      <c r="MPU50" s="25"/>
      <c r="MPV50" s="25"/>
      <c r="MPW50" s="25"/>
      <c r="MPX50" s="25"/>
      <c r="MPY50" s="25"/>
      <c r="MPZ50" s="25"/>
      <c r="MQA50" s="25"/>
      <c r="MQB50" s="25"/>
      <c r="MQC50" s="25"/>
      <c r="MQD50" s="25"/>
      <c r="MQE50" s="25"/>
      <c r="MQF50" s="25"/>
      <c r="MQG50" s="25"/>
      <c r="MQH50" s="25"/>
      <c r="MQI50" s="25"/>
      <c r="MQJ50" s="25"/>
      <c r="MQK50" s="25"/>
      <c r="MQL50" s="25"/>
      <c r="MQM50" s="25"/>
      <c r="MQN50" s="25"/>
      <c r="MQO50" s="25"/>
      <c r="MQP50" s="25"/>
      <c r="MQQ50" s="25"/>
      <c r="MQR50" s="25"/>
      <c r="MQS50" s="25"/>
      <c r="MQT50" s="25"/>
      <c r="MQU50" s="25"/>
      <c r="MQV50" s="25"/>
      <c r="MQW50" s="25"/>
      <c r="MQX50" s="25"/>
      <c r="MQY50" s="25"/>
      <c r="MQZ50" s="25"/>
      <c r="MRA50" s="25"/>
      <c r="MRB50" s="25"/>
      <c r="MRC50" s="25"/>
      <c r="MRD50" s="25"/>
      <c r="MRE50" s="25"/>
      <c r="MRF50" s="25"/>
      <c r="MRG50" s="25"/>
      <c r="MRH50" s="25"/>
      <c r="MRI50" s="25"/>
      <c r="MRJ50" s="25"/>
      <c r="MRK50" s="25"/>
      <c r="MRL50" s="25"/>
      <c r="MRM50" s="25"/>
      <c r="MRN50" s="25"/>
      <c r="MRO50" s="25"/>
      <c r="MRP50" s="25"/>
      <c r="MRQ50" s="25"/>
      <c r="MRR50" s="25"/>
      <c r="MRS50" s="25"/>
      <c r="MRT50" s="25"/>
      <c r="MRU50" s="25"/>
      <c r="MRV50" s="25"/>
      <c r="MRW50" s="25"/>
      <c r="MRX50" s="25"/>
      <c r="MRY50" s="25"/>
      <c r="MRZ50" s="25"/>
      <c r="MSA50" s="25"/>
      <c r="MSB50" s="25"/>
      <c r="MSC50" s="25"/>
      <c r="MSD50" s="25"/>
      <c r="MSE50" s="25"/>
      <c r="MSF50" s="25"/>
      <c r="MSG50" s="25"/>
      <c r="MSH50" s="25"/>
      <c r="MSI50" s="25"/>
      <c r="MSJ50" s="25"/>
      <c r="MSK50" s="25"/>
      <c r="MSL50" s="25"/>
      <c r="MSM50" s="25"/>
      <c r="MSN50" s="25"/>
      <c r="MSO50" s="25"/>
      <c r="MSP50" s="25"/>
      <c r="MSQ50" s="25"/>
      <c r="MSR50" s="25"/>
      <c r="MSS50" s="25"/>
      <c r="MST50" s="25"/>
      <c r="MSU50" s="25"/>
      <c r="MSV50" s="25"/>
      <c r="MSW50" s="25"/>
      <c r="MSX50" s="25"/>
      <c r="MSY50" s="25"/>
      <c r="MSZ50" s="25"/>
      <c r="MTA50" s="25"/>
      <c r="MTB50" s="25"/>
      <c r="MTC50" s="25"/>
      <c r="MTD50" s="25"/>
      <c r="MTE50" s="25"/>
      <c r="MTF50" s="25"/>
      <c r="MTG50" s="25"/>
      <c r="MTH50" s="25"/>
      <c r="MTI50" s="25"/>
      <c r="MTJ50" s="25"/>
      <c r="MTK50" s="25"/>
      <c r="MTL50" s="25"/>
      <c r="MTM50" s="25"/>
      <c r="MTN50" s="25"/>
      <c r="MTO50" s="25"/>
      <c r="MTP50" s="25"/>
      <c r="MTQ50" s="25"/>
      <c r="MTR50" s="25"/>
      <c r="MTS50" s="25"/>
      <c r="MTT50" s="25"/>
      <c r="MTU50" s="25"/>
      <c r="MTV50" s="25"/>
      <c r="MTW50" s="25"/>
      <c r="MTX50" s="25"/>
      <c r="MTY50" s="25"/>
      <c r="MTZ50" s="25"/>
      <c r="MUA50" s="25"/>
      <c r="MUB50" s="25"/>
      <c r="MUC50" s="25"/>
      <c r="MUD50" s="25"/>
      <c r="MUE50" s="25"/>
      <c r="MUF50" s="25"/>
      <c r="MUG50" s="25"/>
      <c r="MUH50" s="25"/>
      <c r="MUI50" s="25"/>
      <c r="MUJ50" s="25"/>
      <c r="MUK50" s="25"/>
      <c r="MUL50" s="25"/>
      <c r="MUM50" s="25"/>
      <c r="MUN50" s="25"/>
      <c r="MUO50" s="25"/>
      <c r="MUP50" s="25"/>
      <c r="MUQ50" s="25"/>
      <c r="MUR50" s="25"/>
      <c r="MUS50" s="25"/>
      <c r="MUT50" s="25"/>
      <c r="MUU50" s="25"/>
      <c r="MUV50" s="25"/>
      <c r="MUW50" s="25"/>
      <c r="MUX50" s="25"/>
      <c r="MUY50" s="25"/>
      <c r="MUZ50" s="25"/>
      <c r="MVA50" s="25"/>
      <c r="MVB50" s="25"/>
      <c r="MVC50" s="25"/>
      <c r="MVD50" s="25"/>
      <c r="MVE50" s="25"/>
      <c r="MVF50" s="25"/>
      <c r="MVG50" s="25"/>
      <c r="MVH50" s="25"/>
      <c r="MVI50" s="25"/>
      <c r="MVJ50" s="25"/>
      <c r="MVK50" s="25"/>
      <c r="MVL50" s="25"/>
      <c r="MVM50" s="25"/>
      <c r="MVN50" s="25"/>
      <c r="MVO50" s="25"/>
      <c r="MVP50" s="25"/>
      <c r="MVQ50" s="25"/>
      <c r="MVR50" s="25"/>
      <c r="MVS50" s="25"/>
      <c r="MVT50" s="25"/>
      <c r="MVU50" s="25"/>
      <c r="MVV50" s="25"/>
      <c r="MVW50" s="25"/>
      <c r="MVX50" s="25"/>
      <c r="MVY50" s="25"/>
      <c r="MVZ50" s="25"/>
      <c r="MWA50" s="25"/>
      <c r="MWB50" s="25"/>
      <c r="MWC50" s="25"/>
      <c r="MWD50" s="25"/>
      <c r="MWE50" s="25"/>
      <c r="MWF50" s="25"/>
      <c r="MWG50" s="25"/>
      <c r="MWH50" s="25"/>
      <c r="MWI50" s="25"/>
      <c r="MWJ50" s="25"/>
      <c r="MWK50" s="25"/>
      <c r="MWL50" s="25"/>
      <c r="MWM50" s="25"/>
      <c r="MWN50" s="25"/>
      <c r="MWO50" s="25"/>
      <c r="MWP50" s="25"/>
      <c r="MWQ50" s="25"/>
      <c r="MWR50" s="25"/>
      <c r="MWS50" s="25"/>
      <c r="MWT50" s="25"/>
      <c r="MWU50" s="25"/>
      <c r="MWV50" s="25"/>
      <c r="MWW50" s="25"/>
      <c r="MWX50" s="25"/>
      <c r="MWY50" s="25"/>
      <c r="MWZ50" s="25"/>
      <c r="MXA50" s="25"/>
      <c r="MXB50" s="25"/>
      <c r="MXC50" s="25"/>
      <c r="MXD50" s="25"/>
      <c r="MXE50" s="25"/>
      <c r="MXF50" s="25"/>
      <c r="MXG50" s="25"/>
      <c r="MXH50" s="25"/>
      <c r="MXI50" s="25"/>
      <c r="MXJ50" s="25"/>
      <c r="MXK50" s="25"/>
      <c r="MXL50" s="25"/>
      <c r="MXM50" s="25"/>
      <c r="MXN50" s="25"/>
      <c r="MXO50" s="25"/>
      <c r="MXP50" s="25"/>
      <c r="MXQ50" s="25"/>
      <c r="MXR50" s="25"/>
      <c r="MXS50" s="25"/>
      <c r="MXT50" s="25"/>
      <c r="MXU50" s="25"/>
      <c r="MXV50" s="25"/>
      <c r="MXW50" s="25"/>
      <c r="MXX50" s="25"/>
      <c r="MXY50" s="25"/>
      <c r="MXZ50" s="25"/>
      <c r="MYA50" s="25"/>
      <c r="MYB50" s="25"/>
      <c r="MYC50" s="25"/>
      <c r="MYD50" s="25"/>
      <c r="MYE50" s="25"/>
      <c r="MYF50" s="25"/>
      <c r="MYG50" s="25"/>
      <c r="MYH50" s="25"/>
      <c r="MYI50" s="25"/>
      <c r="MYJ50" s="25"/>
      <c r="MYK50" s="25"/>
      <c r="MYL50" s="25"/>
      <c r="MYM50" s="25"/>
      <c r="MYN50" s="25"/>
      <c r="MYO50" s="25"/>
      <c r="MYP50" s="25"/>
      <c r="MYQ50" s="25"/>
      <c r="MYR50" s="25"/>
      <c r="MYS50" s="25"/>
      <c r="MYT50" s="25"/>
      <c r="MYU50" s="25"/>
      <c r="MYV50" s="25"/>
      <c r="MYW50" s="25"/>
      <c r="MYX50" s="25"/>
      <c r="MYY50" s="25"/>
      <c r="MYZ50" s="25"/>
      <c r="MZA50" s="25"/>
      <c r="MZB50" s="25"/>
      <c r="MZC50" s="25"/>
      <c r="MZD50" s="25"/>
      <c r="MZE50" s="25"/>
      <c r="MZF50" s="25"/>
      <c r="MZG50" s="25"/>
      <c r="MZH50" s="25"/>
      <c r="MZI50" s="25"/>
      <c r="MZJ50" s="25"/>
      <c r="MZK50" s="25"/>
      <c r="MZL50" s="25"/>
      <c r="MZM50" s="25"/>
      <c r="MZN50" s="25"/>
      <c r="MZO50" s="25"/>
      <c r="MZP50" s="25"/>
      <c r="MZQ50" s="25"/>
      <c r="MZR50" s="25"/>
      <c r="MZS50" s="25"/>
      <c r="MZT50" s="25"/>
      <c r="MZU50" s="25"/>
      <c r="MZV50" s="25"/>
      <c r="MZW50" s="25"/>
      <c r="MZX50" s="25"/>
      <c r="MZY50" s="25"/>
      <c r="MZZ50" s="25"/>
      <c r="NAA50" s="25"/>
      <c r="NAB50" s="25"/>
      <c r="NAC50" s="25"/>
      <c r="NAD50" s="25"/>
      <c r="NAE50" s="25"/>
      <c r="NAF50" s="25"/>
      <c r="NAG50" s="25"/>
      <c r="NAH50" s="25"/>
      <c r="NAI50" s="25"/>
      <c r="NAJ50" s="25"/>
      <c r="NAK50" s="25"/>
      <c r="NAL50" s="25"/>
      <c r="NAM50" s="25"/>
      <c r="NAN50" s="25"/>
      <c r="NAO50" s="25"/>
      <c r="NAP50" s="25"/>
      <c r="NAQ50" s="25"/>
      <c r="NAR50" s="25"/>
      <c r="NAS50" s="25"/>
      <c r="NAT50" s="25"/>
      <c r="NAU50" s="25"/>
      <c r="NAV50" s="25"/>
      <c r="NAW50" s="25"/>
      <c r="NAX50" s="25"/>
      <c r="NAY50" s="25"/>
      <c r="NAZ50" s="25"/>
      <c r="NBA50" s="25"/>
      <c r="NBB50" s="25"/>
      <c r="NBC50" s="25"/>
      <c r="NBD50" s="25"/>
      <c r="NBE50" s="25"/>
      <c r="NBF50" s="25"/>
      <c r="NBG50" s="25"/>
      <c r="NBH50" s="25"/>
      <c r="NBI50" s="25"/>
      <c r="NBJ50" s="25"/>
      <c r="NBK50" s="25"/>
      <c r="NBL50" s="25"/>
      <c r="NBM50" s="25"/>
      <c r="NBN50" s="25"/>
      <c r="NBO50" s="25"/>
      <c r="NBP50" s="25"/>
      <c r="NBQ50" s="25"/>
      <c r="NBR50" s="25"/>
      <c r="NBS50" s="25"/>
      <c r="NBT50" s="25"/>
      <c r="NBU50" s="25"/>
      <c r="NBV50" s="25"/>
      <c r="NBW50" s="25"/>
      <c r="NBX50" s="25"/>
      <c r="NBY50" s="25"/>
      <c r="NBZ50" s="25"/>
      <c r="NCA50" s="25"/>
      <c r="NCB50" s="25"/>
      <c r="NCC50" s="25"/>
      <c r="NCD50" s="25"/>
      <c r="NCE50" s="25"/>
      <c r="NCF50" s="25"/>
      <c r="NCG50" s="25"/>
      <c r="NCH50" s="25"/>
      <c r="NCI50" s="25"/>
      <c r="NCJ50" s="25"/>
      <c r="NCK50" s="25"/>
      <c r="NCL50" s="25"/>
      <c r="NCM50" s="25"/>
      <c r="NCN50" s="25"/>
      <c r="NCO50" s="25"/>
      <c r="NCP50" s="25"/>
      <c r="NCQ50" s="25"/>
      <c r="NCR50" s="25"/>
      <c r="NCS50" s="25"/>
      <c r="NCT50" s="25"/>
      <c r="NCU50" s="25"/>
      <c r="NCV50" s="25"/>
      <c r="NCW50" s="25"/>
      <c r="NCX50" s="25"/>
      <c r="NCY50" s="25"/>
      <c r="NCZ50" s="25"/>
      <c r="NDA50" s="25"/>
      <c r="NDB50" s="25"/>
      <c r="NDC50" s="25"/>
      <c r="NDD50" s="25"/>
      <c r="NDE50" s="25"/>
      <c r="NDF50" s="25"/>
      <c r="NDG50" s="25"/>
      <c r="NDH50" s="25"/>
      <c r="NDI50" s="25"/>
      <c r="NDJ50" s="25"/>
      <c r="NDK50" s="25"/>
      <c r="NDL50" s="25"/>
      <c r="NDM50" s="25"/>
      <c r="NDN50" s="25"/>
      <c r="NDO50" s="25"/>
      <c r="NDP50" s="25"/>
      <c r="NDQ50" s="25"/>
      <c r="NDR50" s="25"/>
      <c r="NDS50" s="25"/>
      <c r="NDT50" s="25"/>
      <c r="NDU50" s="25"/>
      <c r="NDV50" s="25"/>
      <c r="NDW50" s="25"/>
      <c r="NDX50" s="25"/>
      <c r="NDY50" s="25"/>
      <c r="NDZ50" s="25"/>
      <c r="NEA50" s="25"/>
      <c r="NEB50" s="25"/>
      <c r="NEC50" s="25"/>
      <c r="NED50" s="25"/>
      <c r="NEE50" s="25"/>
      <c r="NEF50" s="25"/>
      <c r="NEG50" s="25"/>
      <c r="NEH50" s="25"/>
      <c r="NEI50" s="25"/>
      <c r="NEJ50" s="25"/>
      <c r="NEK50" s="25"/>
      <c r="NEL50" s="25"/>
      <c r="NEM50" s="25"/>
      <c r="NEN50" s="25"/>
      <c r="NEO50" s="25"/>
      <c r="NEP50" s="25"/>
      <c r="NEQ50" s="25"/>
      <c r="NER50" s="25"/>
      <c r="NES50" s="25"/>
      <c r="NET50" s="25"/>
      <c r="NEU50" s="25"/>
      <c r="NEV50" s="25"/>
      <c r="NEW50" s="25"/>
      <c r="NEX50" s="25"/>
      <c r="NEY50" s="25"/>
      <c r="NEZ50" s="25"/>
      <c r="NFA50" s="25"/>
      <c r="NFB50" s="25"/>
      <c r="NFC50" s="25"/>
      <c r="NFD50" s="25"/>
      <c r="NFE50" s="25"/>
      <c r="NFF50" s="25"/>
      <c r="NFG50" s="25"/>
      <c r="NFH50" s="25"/>
      <c r="NFI50" s="25"/>
      <c r="NFJ50" s="25"/>
      <c r="NFK50" s="25"/>
      <c r="NFL50" s="25"/>
      <c r="NFM50" s="25"/>
      <c r="NFN50" s="25"/>
      <c r="NFO50" s="25"/>
      <c r="NFP50" s="25"/>
      <c r="NFQ50" s="25"/>
      <c r="NFR50" s="25"/>
      <c r="NFS50" s="25"/>
      <c r="NFT50" s="25"/>
      <c r="NFU50" s="25"/>
      <c r="NFV50" s="25"/>
      <c r="NFW50" s="25"/>
      <c r="NFX50" s="25"/>
      <c r="NFY50" s="25"/>
      <c r="NFZ50" s="25"/>
      <c r="NGA50" s="25"/>
      <c r="NGB50" s="25"/>
      <c r="NGC50" s="25"/>
      <c r="NGD50" s="25"/>
      <c r="NGE50" s="25"/>
      <c r="NGF50" s="25"/>
      <c r="NGG50" s="25"/>
      <c r="NGH50" s="25"/>
      <c r="NGI50" s="25"/>
      <c r="NGJ50" s="25"/>
      <c r="NGK50" s="25"/>
      <c r="NGL50" s="25"/>
      <c r="NGM50" s="25"/>
      <c r="NGN50" s="25"/>
      <c r="NGO50" s="25"/>
      <c r="NGP50" s="25"/>
      <c r="NGQ50" s="25"/>
      <c r="NGR50" s="25"/>
      <c r="NGS50" s="25"/>
      <c r="NGT50" s="25"/>
      <c r="NGU50" s="25"/>
      <c r="NGV50" s="25"/>
      <c r="NGW50" s="25"/>
      <c r="NGX50" s="25"/>
      <c r="NGY50" s="25"/>
      <c r="NGZ50" s="25"/>
      <c r="NHA50" s="25"/>
      <c r="NHB50" s="25"/>
      <c r="NHC50" s="25"/>
      <c r="NHD50" s="25"/>
      <c r="NHE50" s="25"/>
      <c r="NHF50" s="25"/>
      <c r="NHG50" s="25"/>
      <c r="NHH50" s="25"/>
      <c r="NHI50" s="25"/>
      <c r="NHJ50" s="25"/>
      <c r="NHK50" s="25"/>
      <c r="NHL50" s="25"/>
      <c r="NHM50" s="25"/>
      <c r="NHN50" s="25"/>
      <c r="NHO50" s="25"/>
      <c r="NHP50" s="25"/>
      <c r="NHQ50" s="25"/>
      <c r="NHR50" s="25"/>
      <c r="NHS50" s="25"/>
      <c r="NHT50" s="25"/>
      <c r="NHU50" s="25"/>
      <c r="NHV50" s="25"/>
      <c r="NHW50" s="25"/>
      <c r="NHX50" s="25"/>
      <c r="NHY50" s="25"/>
      <c r="NHZ50" s="25"/>
      <c r="NIA50" s="25"/>
      <c r="NIB50" s="25"/>
      <c r="NIC50" s="25"/>
      <c r="NID50" s="25"/>
      <c r="NIE50" s="25"/>
      <c r="NIF50" s="25"/>
      <c r="NIG50" s="25"/>
      <c r="NIH50" s="25"/>
      <c r="NII50" s="25"/>
      <c r="NIJ50" s="25"/>
      <c r="NIK50" s="25"/>
      <c r="NIL50" s="25"/>
      <c r="NIM50" s="25"/>
      <c r="NIN50" s="25"/>
      <c r="NIO50" s="25"/>
      <c r="NIP50" s="25"/>
      <c r="NIQ50" s="25"/>
      <c r="NIR50" s="25"/>
      <c r="NIS50" s="25"/>
      <c r="NIT50" s="25"/>
      <c r="NIU50" s="25"/>
      <c r="NIV50" s="25"/>
      <c r="NIW50" s="25"/>
      <c r="NIX50" s="25"/>
      <c r="NIY50" s="25"/>
      <c r="NIZ50" s="25"/>
      <c r="NJA50" s="25"/>
      <c r="NJB50" s="25"/>
      <c r="NJC50" s="25"/>
      <c r="NJD50" s="25"/>
      <c r="NJE50" s="25"/>
      <c r="NJF50" s="25"/>
      <c r="NJG50" s="25"/>
      <c r="NJH50" s="25"/>
      <c r="NJI50" s="25"/>
      <c r="NJJ50" s="25"/>
      <c r="NJK50" s="25"/>
      <c r="NJL50" s="25"/>
      <c r="NJM50" s="25"/>
      <c r="NJN50" s="25"/>
      <c r="NJO50" s="25"/>
      <c r="NJP50" s="25"/>
      <c r="NJQ50" s="25"/>
      <c r="NJR50" s="25"/>
      <c r="NJS50" s="25"/>
      <c r="NJT50" s="25"/>
      <c r="NJU50" s="25"/>
      <c r="NJV50" s="25"/>
      <c r="NJW50" s="25"/>
      <c r="NJX50" s="25"/>
      <c r="NJY50" s="25"/>
      <c r="NJZ50" s="25"/>
      <c r="NKA50" s="25"/>
      <c r="NKB50" s="25"/>
      <c r="NKC50" s="25"/>
      <c r="NKD50" s="25"/>
      <c r="NKE50" s="25"/>
      <c r="NKF50" s="25"/>
      <c r="NKG50" s="25"/>
      <c r="NKH50" s="25"/>
      <c r="NKI50" s="25"/>
      <c r="NKJ50" s="25"/>
      <c r="NKK50" s="25"/>
      <c r="NKL50" s="25"/>
      <c r="NKM50" s="25"/>
      <c r="NKN50" s="25"/>
      <c r="NKO50" s="25"/>
      <c r="NKP50" s="25"/>
      <c r="NKQ50" s="25"/>
      <c r="NKR50" s="25"/>
      <c r="NKS50" s="25"/>
      <c r="NKT50" s="25"/>
      <c r="NKU50" s="25"/>
      <c r="NKV50" s="25"/>
      <c r="NKW50" s="25"/>
      <c r="NKX50" s="25"/>
      <c r="NKY50" s="25"/>
      <c r="NKZ50" s="25"/>
      <c r="NLA50" s="25"/>
      <c r="NLB50" s="25"/>
      <c r="NLC50" s="25"/>
      <c r="NLD50" s="25"/>
      <c r="NLE50" s="25"/>
      <c r="NLF50" s="25"/>
      <c r="NLG50" s="25"/>
      <c r="NLH50" s="25"/>
      <c r="NLI50" s="25"/>
      <c r="NLJ50" s="25"/>
      <c r="NLK50" s="25"/>
      <c r="NLL50" s="25"/>
      <c r="NLM50" s="25"/>
      <c r="NLN50" s="25"/>
      <c r="NLO50" s="25"/>
      <c r="NLP50" s="25"/>
      <c r="NLQ50" s="25"/>
      <c r="NLR50" s="25"/>
      <c r="NLS50" s="25"/>
      <c r="NLT50" s="25"/>
      <c r="NLU50" s="25"/>
      <c r="NLV50" s="25"/>
      <c r="NLW50" s="25"/>
      <c r="NLX50" s="25"/>
      <c r="NLY50" s="25"/>
      <c r="NLZ50" s="25"/>
      <c r="NMA50" s="25"/>
      <c r="NMB50" s="25"/>
      <c r="NMC50" s="25"/>
      <c r="NMD50" s="25"/>
      <c r="NME50" s="25"/>
      <c r="NMF50" s="25"/>
      <c r="NMG50" s="25"/>
      <c r="NMH50" s="25"/>
      <c r="NMI50" s="25"/>
      <c r="NMJ50" s="25"/>
      <c r="NMK50" s="25"/>
      <c r="NML50" s="25"/>
      <c r="NMM50" s="25"/>
      <c r="NMN50" s="25"/>
      <c r="NMO50" s="25"/>
      <c r="NMP50" s="25"/>
      <c r="NMQ50" s="25"/>
      <c r="NMR50" s="25"/>
      <c r="NMS50" s="25"/>
      <c r="NMT50" s="25"/>
      <c r="NMU50" s="25"/>
      <c r="NMV50" s="25"/>
      <c r="NMW50" s="25"/>
      <c r="NMX50" s="25"/>
      <c r="NMY50" s="25"/>
      <c r="NMZ50" s="25"/>
      <c r="NNA50" s="25"/>
      <c r="NNB50" s="25"/>
      <c r="NNC50" s="25"/>
      <c r="NND50" s="25"/>
      <c r="NNE50" s="25"/>
      <c r="NNF50" s="25"/>
      <c r="NNG50" s="25"/>
      <c r="NNH50" s="25"/>
      <c r="NNI50" s="25"/>
      <c r="NNJ50" s="25"/>
      <c r="NNK50" s="25"/>
      <c r="NNL50" s="25"/>
      <c r="NNM50" s="25"/>
      <c r="NNN50" s="25"/>
      <c r="NNO50" s="25"/>
      <c r="NNP50" s="25"/>
      <c r="NNQ50" s="25"/>
      <c r="NNR50" s="25"/>
      <c r="NNS50" s="25"/>
      <c r="NNT50" s="25"/>
      <c r="NNU50" s="25"/>
      <c r="NNV50" s="25"/>
      <c r="NNW50" s="25"/>
      <c r="NNX50" s="25"/>
      <c r="NNY50" s="25"/>
      <c r="NNZ50" s="25"/>
      <c r="NOA50" s="25"/>
      <c r="NOB50" s="25"/>
      <c r="NOC50" s="25"/>
      <c r="NOD50" s="25"/>
      <c r="NOE50" s="25"/>
      <c r="NOF50" s="25"/>
      <c r="NOG50" s="25"/>
      <c r="NOH50" s="25"/>
      <c r="NOI50" s="25"/>
      <c r="NOJ50" s="25"/>
      <c r="NOK50" s="25"/>
      <c r="NOL50" s="25"/>
      <c r="NOM50" s="25"/>
      <c r="NON50" s="25"/>
      <c r="NOO50" s="25"/>
      <c r="NOP50" s="25"/>
      <c r="NOQ50" s="25"/>
      <c r="NOR50" s="25"/>
      <c r="NOS50" s="25"/>
      <c r="NOT50" s="25"/>
      <c r="NOU50" s="25"/>
      <c r="NOV50" s="25"/>
      <c r="NOW50" s="25"/>
      <c r="NOX50" s="25"/>
      <c r="NOY50" s="25"/>
      <c r="NOZ50" s="25"/>
      <c r="NPA50" s="25"/>
      <c r="NPB50" s="25"/>
      <c r="NPC50" s="25"/>
      <c r="NPD50" s="25"/>
      <c r="NPE50" s="25"/>
      <c r="NPF50" s="25"/>
      <c r="NPG50" s="25"/>
      <c r="NPH50" s="25"/>
      <c r="NPI50" s="25"/>
      <c r="NPJ50" s="25"/>
      <c r="NPK50" s="25"/>
      <c r="NPL50" s="25"/>
      <c r="NPM50" s="25"/>
      <c r="NPN50" s="25"/>
      <c r="NPO50" s="25"/>
      <c r="NPP50" s="25"/>
      <c r="NPQ50" s="25"/>
      <c r="NPR50" s="25"/>
      <c r="NPS50" s="25"/>
      <c r="NPT50" s="25"/>
      <c r="NPU50" s="25"/>
      <c r="NPV50" s="25"/>
      <c r="NPW50" s="25"/>
      <c r="NPX50" s="25"/>
      <c r="NPY50" s="25"/>
      <c r="NPZ50" s="25"/>
      <c r="NQA50" s="25"/>
      <c r="NQB50" s="25"/>
      <c r="NQC50" s="25"/>
      <c r="NQD50" s="25"/>
      <c r="NQE50" s="25"/>
      <c r="NQF50" s="25"/>
      <c r="NQG50" s="25"/>
      <c r="NQH50" s="25"/>
      <c r="NQI50" s="25"/>
      <c r="NQJ50" s="25"/>
      <c r="NQK50" s="25"/>
      <c r="NQL50" s="25"/>
      <c r="NQM50" s="25"/>
      <c r="NQN50" s="25"/>
      <c r="NQO50" s="25"/>
      <c r="NQP50" s="25"/>
      <c r="NQQ50" s="25"/>
      <c r="NQR50" s="25"/>
      <c r="NQS50" s="25"/>
      <c r="NQT50" s="25"/>
      <c r="NQU50" s="25"/>
      <c r="NQV50" s="25"/>
      <c r="NQW50" s="25"/>
      <c r="NQX50" s="25"/>
      <c r="NQY50" s="25"/>
      <c r="NQZ50" s="25"/>
      <c r="NRA50" s="25"/>
      <c r="NRB50" s="25"/>
      <c r="NRC50" s="25"/>
      <c r="NRD50" s="25"/>
      <c r="NRE50" s="25"/>
      <c r="NRF50" s="25"/>
      <c r="NRG50" s="25"/>
      <c r="NRH50" s="25"/>
      <c r="NRI50" s="25"/>
      <c r="NRJ50" s="25"/>
      <c r="NRK50" s="25"/>
      <c r="NRL50" s="25"/>
      <c r="NRM50" s="25"/>
      <c r="NRN50" s="25"/>
      <c r="NRO50" s="25"/>
      <c r="NRP50" s="25"/>
      <c r="NRQ50" s="25"/>
      <c r="NRR50" s="25"/>
      <c r="NRS50" s="25"/>
      <c r="NRT50" s="25"/>
      <c r="NRU50" s="25"/>
      <c r="NRV50" s="25"/>
      <c r="NRW50" s="25"/>
      <c r="NRX50" s="25"/>
      <c r="NRY50" s="25"/>
      <c r="NRZ50" s="25"/>
      <c r="NSA50" s="25"/>
      <c r="NSB50" s="25"/>
      <c r="NSC50" s="25"/>
      <c r="NSD50" s="25"/>
      <c r="NSE50" s="25"/>
      <c r="NSF50" s="25"/>
      <c r="NSG50" s="25"/>
      <c r="NSH50" s="25"/>
      <c r="NSI50" s="25"/>
      <c r="NSJ50" s="25"/>
      <c r="NSK50" s="25"/>
      <c r="NSL50" s="25"/>
      <c r="NSM50" s="25"/>
      <c r="NSN50" s="25"/>
      <c r="NSO50" s="25"/>
      <c r="NSP50" s="25"/>
      <c r="NSQ50" s="25"/>
      <c r="NSR50" s="25"/>
      <c r="NSS50" s="25"/>
      <c r="NST50" s="25"/>
      <c r="NSU50" s="25"/>
      <c r="NSV50" s="25"/>
      <c r="NSW50" s="25"/>
      <c r="NSX50" s="25"/>
      <c r="NSY50" s="25"/>
      <c r="NSZ50" s="25"/>
      <c r="NTA50" s="25"/>
      <c r="NTB50" s="25"/>
      <c r="NTC50" s="25"/>
      <c r="NTD50" s="25"/>
      <c r="NTE50" s="25"/>
      <c r="NTF50" s="25"/>
      <c r="NTG50" s="25"/>
      <c r="NTH50" s="25"/>
      <c r="NTI50" s="25"/>
      <c r="NTJ50" s="25"/>
      <c r="NTK50" s="25"/>
      <c r="NTL50" s="25"/>
      <c r="NTM50" s="25"/>
      <c r="NTN50" s="25"/>
      <c r="NTO50" s="25"/>
      <c r="NTP50" s="25"/>
      <c r="NTQ50" s="25"/>
      <c r="NTR50" s="25"/>
      <c r="NTS50" s="25"/>
      <c r="NTT50" s="25"/>
      <c r="NTU50" s="25"/>
      <c r="NTV50" s="25"/>
      <c r="NTW50" s="25"/>
      <c r="NTX50" s="25"/>
      <c r="NTY50" s="25"/>
      <c r="NTZ50" s="25"/>
      <c r="NUA50" s="25"/>
      <c r="NUB50" s="25"/>
      <c r="NUC50" s="25"/>
      <c r="NUD50" s="25"/>
      <c r="NUE50" s="25"/>
      <c r="NUF50" s="25"/>
      <c r="NUG50" s="25"/>
      <c r="NUH50" s="25"/>
      <c r="NUI50" s="25"/>
      <c r="NUJ50" s="25"/>
      <c r="NUK50" s="25"/>
      <c r="NUL50" s="25"/>
      <c r="NUM50" s="25"/>
      <c r="NUN50" s="25"/>
      <c r="NUO50" s="25"/>
      <c r="NUP50" s="25"/>
      <c r="NUQ50" s="25"/>
      <c r="NUR50" s="25"/>
      <c r="NUS50" s="25"/>
      <c r="NUT50" s="25"/>
      <c r="NUU50" s="25"/>
      <c r="NUV50" s="25"/>
      <c r="NUW50" s="25"/>
      <c r="NUX50" s="25"/>
      <c r="NUY50" s="25"/>
      <c r="NUZ50" s="25"/>
      <c r="NVA50" s="25"/>
      <c r="NVB50" s="25"/>
      <c r="NVC50" s="25"/>
      <c r="NVD50" s="25"/>
      <c r="NVE50" s="25"/>
      <c r="NVF50" s="25"/>
      <c r="NVG50" s="25"/>
      <c r="NVH50" s="25"/>
      <c r="NVI50" s="25"/>
      <c r="NVJ50" s="25"/>
      <c r="NVK50" s="25"/>
      <c r="NVL50" s="25"/>
      <c r="NVM50" s="25"/>
      <c r="NVN50" s="25"/>
      <c r="NVO50" s="25"/>
      <c r="NVP50" s="25"/>
      <c r="NVQ50" s="25"/>
      <c r="NVR50" s="25"/>
      <c r="NVS50" s="25"/>
      <c r="NVT50" s="25"/>
      <c r="NVU50" s="25"/>
      <c r="NVV50" s="25"/>
      <c r="NVW50" s="25"/>
      <c r="NVX50" s="25"/>
      <c r="NVY50" s="25"/>
      <c r="NVZ50" s="25"/>
      <c r="NWA50" s="25"/>
      <c r="NWB50" s="25"/>
      <c r="NWC50" s="25"/>
      <c r="NWD50" s="25"/>
      <c r="NWE50" s="25"/>
      <c r="NWF50" s="25"/>
      <c r="NWG50" s="25"/>
      <c r="NWH50" s="25"/>
      <c r="NWI50" s="25"/>
      <c r="NWJ50" s="25"/>
      <c r="NWK50" s="25"/>
      <c r="NWL50" s="25"/>
      <c r="NWM50" s="25"/>
      <c r="NWN50" s="25"/>
      <c r="NWO50" s="25"/>
      <c r="NWP50" s="25"/>
      <c r="NWQ50" s="25"/>
      <c r="NWR50" s="25"/>
      <c r="NWS50" s="25"/>
      <c r="NWT50" s="25"/>
      <c r="NWU50" s="25"/>
      <c r="NWV50" s="25"/>
      <c r="NWW50" s="25"/>
      <c r="NWX50" s="25"/>
      <c r="NWY50" s="25"/>
      <c r="NWZ50" s="25"/>
      <c r="NXA50" s="25"/>
      <c r="NXB50" s="25"/>
      <c r="NXC50" s="25"/>
      <c r="NXD50" s="25"/>
      <c r="NXE50" s="25"/>
      <c r="NXF50" s="25"/>
      <c r="NXG50" s="25"/>
      <c r="NXH50" s="25"/>
      <c r="NXI50" s="25"/>
      <c r="NXJ50" s="25"/>
      <c r="NXK50" s="25"/>
      <c r="NXL50" s="25"/>
      <c r="NXM50" s="25"/>
      <c r="NXN50" s="25"/>
      <c r="NXO50" s="25"/>
      <c r="NXP50" s="25"/>
      <c r="NXQ50" s="25"/>
      <c r="NXR50" s="25"/>
      <c r="NXS50" s="25"/>
      <c r="NXT50" s="25"/>
      <c r="NXU50" s="25"/>
      <c r="NXV50" s="25"/>
      <c r="NXW50" s="25"/>
      <c r="NXX50" s="25"/>
      <c r="NXY50" s="25"/>
      <c r="NXZ50" s="25"/>
      <c r="NYA50" s="25"/>
      <c r="NYB50" s="25"/>
      <c r="NYC50" s="25"/>
      <c r="NYD50" s="25"/>
      <c r="NYE50" s="25"/>
      <c r="NYF50" s="25"/>
      <c r="NYG50" s="25"/>
      <c r="NYH50" s="25"/>
      <c r="NYI50" s="25"/>
      <c r="NYJ50" s="25"/>
      <c r="NYK50" s="25"/>
      <c r="NYL50" s="25"/>
      <c r="NYM50" s="25"/>
      <c r="NYN50" s="25"/>
      <c r="NYO50" s="25"/>
      <c r="NYP50" s="25"/>
      <c r="NYQ50" s="25"/>
      <c r="NYR50" s="25"/>
      <c r="NYS50" s="25"/>
      <c r="NYT50" s="25"/>
      <c r="NYU50" s="25"/>
      <c r="NYV50" s="25"/>
      <c r="NYW50" s="25"/>
      <c r="NYX50" s="25"/>
      <c r="NYY50" s="25"/>
      <c r="NYZ50" s="25"/>
      <c r="NZA50" s="25"/>
      <c r="NZB50" s="25"/>
      <c r="NZC50" s="25"/>
      <c r="NZD50" s="25"/>
      <c r="NZE50" s="25"/>
      <c r="NZF50" s="25"/>
      <c r="NZG50" s="25"/>
      <c r="NZH50" s="25"/>
      <c r="NZI50" s="25"/>
      <c r="NZJ50" s="25"/>
      <c r="NZK50" s="25"/>
      <c r="NZL50" s="25"/>
      <c r="NZM50" s="25"/>
      <c r="NZN50" s="25"/>
      <c r="NZO50" s="25"/>
      <c r="NZP50" s="25"/>
      <c r="NZQ50" s="25"/>
      <c r="NZR50" s="25"/>
      <c r="NZS50" s="25"/>
      <c r="NZT50" s="25"/>
      <c r="NZU50" s="25"/>
      <c r="NZV50" s="25"/>
      <c r="NZW50" s="25"/>
      <c r="NZX50" s="25"/>
      <c r="NZY50" s="25"/>
      <c r="NZZ50" s="25"/>
      <c r="OAA50" s="25"/>
      <c r="OAB50" s="25"/>
      <c r="OAC50" s="25"/>
      <c r="OAD50" s="25"/>
      <c r="OAE50" s="25"/>
      <c r="OAF50" s="25"/>
      <c r="OAG50" s="25"/>
      <c r="OAH50" s="25"/>
      <c r="OAI50" s="25"/>
      <c r="OAJ50" s="25"/>
      <c r="OAK50" s="25"/>
      <c r="OAL50" s="25"/>
      <c r="OAM50" s="25"/>
      <c r="OAN50" s="25"/>
      <c r="OAO50" s="25"/>
      <c r="OAP50" s="25"/>
      <c r="OAQ50" s="25"/>
      <c r="OAR50" s="25"/>
      <c r="OAS50" s="25"/>
      <c r="OAT50" s="25"/>
      <c r="OAU50" s="25"/>
      <c r="OAV50" s="25"/>
      <c r="OAW50" s="25"/>
      <c r="OAX50" s="25"/>
      <c r="OAY50" s="25"/>
      <c r="OAZ50" s="25"/>
      <c r="OBA50" s="25"/>
      <c r="OBB50" s="25"/>
      <c r="OBC50" s="25"/>
      <c r="OBD50" s="25"/>
      <c r="OBE50" s="25"/>
      <c r="OBF50" s="25"/>
      <c r="OBG50" s="25"/>
      <c r="OBH50" s="25"/>
      <c r="OBI50" s="25"/>
      <c r="OBJ50" s="25"/>
      <c r="OBK50" s="25"/>
      <c r="OBL50" s="25"/>
      <c r="OBM50" s="25"/>
      <c r="OBN50" s="25"/>
      <c r="OBO50" s="25"/>
      <c r="OBP50" s="25"/>
      <c r="OBQ50" s="25"/>
      <c r="OBR50" s="25"/>
      <c r="OBS50" s="25"/>
      <c r="OBT50" s="25"/>
      <c r="OBU50" s="25"/>
      <c r="OBV50" s="25"/>
      <c r="OBW50" s="25"/>
      <c r="OBX50" s="25"/>
      <c r="OBY50" s="25"/>
      <c r="OBZ50" s="25"/>
      <c r="OCA50" s="25"/>
      <c r="OCB50" s="25"/>
      <c r="OCC50" s="25"/>
      <c r="OCD50" s="25"/>
      <c r="OCE50" s="25"/>
      <c r="OCF50" s="25"/>
      <c r="OCG50" s="25"/>
      <c r="OCH50" s="25"/>
      <c r="OCI50" s="25"/>
      <c r="OCJ50" s="25"/>
      <c r="OCK50" s="25"/>
      <c r="OCL50" s="25"/>
      <c r="OCM50" s="25"/>
      <c r="OCN50" s="25"/>
      <c r="OCO50" s="25"/>
      <c r="OCP50" s="25"/>
      <c r="OCQ50" s="25"/>
      <c r="OCR50" s="25"/>
      <c r="OCS50" s="25"/>
      <c r="OCT50" s="25"/>
      <c r="OCU50" s="25"/>
      <c r="OCV50" s="25"/>
      <c r="OCW50" s="25"/>
      <c r="OCX50" s="25"/>
      <c r="OCY50" s="25"/>
      <c r="OCZ50" s="25"/>
      <c r="ODA50" s="25"/>
      <c r="ODB50" s="25"/>
      <c r="ODC50" s="25"/>
      <c r="ODD50" s="25"/>
      <c r="ODE50" s="25"/>
      <c r="ODF50" s="25"/>
      <c r="ODG50" s="25"/>
      <c r="ODH50" s="25"/>
      <c r="ODI50" s="25"/>
      <c r="ODJ50" s="25"/>
      <c r="ODK50" s="25"/>
      <c r="ODL50" s="25"/>
      <c r="ODM50" s="25"/>
      <c r="ODN50" s="25"/>
      <c r="ODO50" s="25"/>
      <c r="ODP50" s="25"/>
      <c r="ODQ50" s="25"/>
      <c r="ODR50" s="25"/>
      <c r="ODS50" s="25"/>
      <c r="ODT50" s="25"/>
      <c r="ODU50" s="25"/>
      <c r="ODV50" s="25"/>
      <c r="ODW50" s="25"/>
      <c r="ODX50" s="25"/>
      <c r="ODY50" s="25"/>
      <c r="ODZ50" s="25"/>
      <c r="OEA50" s="25"/>
      <c r="OEB50" s="25"/>
      <c r="OEC50" s="25"/>
      <c r="OED50" s="25"/>
      <c r="OEE50" s="25"/>
      <c r="OEF50" s="25"/>
      <c r="OEG50" s="25"/>
      <c r="OEH50" s="25"/>
      <c r="OEI50" s="25"/>
      <c r="OEJ50" s="25"/>
      <c r="OEK50" s="25"/>
      <c r="OEL50" s="25"/>
      <c r="OEM50" s="25"/>
      <c r="OEN50" s="25"/>
      <c r="OEO50" s="25"/>
      <c r="OEP50" s="25"/>
      <c r="OEQ50" s="25"/>
      <c r="OER50" s="25"/>
      <c r="OES50" s="25"/>
      <c r="OET50" s="25"/>
      <c r="OEU50" s="25"/>
      <c r="OEV50" s="25"/>
      <c r="OEW50" s="25"/>
      <c r="OEX50" s="25"/>
      <c r="OEY50" s="25"/>
      <c r="OEZ50" s="25"/>
      <c r="OFA50" s="25"/>
      <c r="OFB50" s="25"/>
      <c r="OFC50" s="25"/>
      <c r="OFD50" s="25"/>
      <c r="OFE50" s="25"/>
      <c r="OFF50" s="25"/>
      <c r="OFG50" s="25"/>
      <c r="OFH50" s="25"/>
      <c r="OFI50" s="25"/>
      <c r="OFJ50" s="25"/>
      <c r="OFK50" s="25"/>
      <c r="OFL50" s="25"/>
      <c r="OFM50" s="25"/>
      <c r="OFN50" s="25"/>
      <c r="OFO50" s="25"/>
      <c r="OFP50" s="25"/>
      <c r="OFQ50" s="25"/>
      <c r="OFR50" s="25"/>
      <c r="OFS50" s="25"/>
      <c r="OFT50" s="25"/>
      <c r="OFU50" s="25"/>
      <c r="OFV50" s="25"/>
      <c r="OFW50" s="25"/>
      <c r="OFX50" s="25"/>
      <c r="OFY50" s="25"/>
      <c r="OFZ50" s="25"/>
      <c r="OGA50" s="25"/>
      <c r="OGB50" s="25"/>
      <c r="OGC50" s="25"/>
      <c r="OGD50" s="25"/>
      <c r="OGE50" s="25"/>
      <c r="OGF50" s="25"/>
      <c r="OGG50" s="25"/>
      <c r="OGH50" s="25"/>
      <c r="OGI50" s="25"/>
      <c r="OGJ50" s="25"/>
      <c r="OGK50" s="25"/>
      <c r="OGL50" s="25"/>
      <c r="OGM50" s="25"/>
      <c r="OGN50" s="25"/>
      <c r="OGO50" s="25"/>
      <c r="OGP50" s="25"/>
      <c r="OGQ50" s="25"/>
      <c r="OGR50" s="25"/>
      <c r="OGS50" s="25"/>
      <c r="OGT50" s="25"/>
      <c r="OGU50" s="25"/>
      <c r="OGV50" s="25"/>
      <c r="OGW50" s="25"/>
      <c r="OGX50" s="25"/>
      <c r="OGY50" s="25"/>
      <c r="OGZ50" s="25"/>
      <c r="OHA50" s="25"/>
      <c r="OHB50" s="25"/>
      <c r="OHC50" s="25"/>
      <c r="OHD50" s="25"/>
      <c r="OHE50" s="25"/>
      <c r="OHF50" s="25"/>
      <c r="OHG50" s="25"/>
      <c r="OHH50" s="25"/>
      <c r="OHI50" s="25"/>
      <c r="OHJ50" s="25"/>
      <c r="OHK50" s="25"/>
      <c r="OHL50" s="25"/>
      <c r="OHM50" s="25"/>
      <c r="OHN50" s="25"/>
      <c r="OHO50" s="25"/>
      <c r="OHP50" s="25"/>
      <c r="OHQ50" s="25"/>
      <c r="OHR50" s="25"/>
      <c r="OHS50" s="25"/>
      <c r="OHT50" s="25"/>
      <c r="OHU50" s="25"/>
      <c r="OHV50" s="25"/>
      <c r="OHW50" s="25"/>
      <c r="OHX50" s="25"/>
      <c r="OHY50" s="25"/>
      <c r="OHZ50" s="25"/>
      <c r="OIA50" s="25"/>
      <c r="OIB50" s="25"/>
      <c r="OIC50" s="25"/>
      <c r="OID50" s="25"/>
      <c r="OIE50" s="25"/>
      <c r="OIF50" s="25"/>
      <c r="OIG50" s="25"/>
      <c r="OIH50" s="25"/>
      <c r="OII50" s="25"/>
      <c r="OIJ50" s="25"/>
      <c r="OIK50" s="25"/>
      <c r="OIL50" s="25"/>
      <c r="OIM50" s="25"/>
      <c r="OIN50" s="25"/>
      <c r="OIO50" s="25"/>
      <c r="OIP50" s="25"/>
      <c r="OIQ50" s="25"/>
      <c r="OIR50" s="25"/>
      <c r="OIS50" s="25"/>
      <c r="OIT50" s="25"/>
      <c r="OIU50" s="25"/>
      <c r="OIV50" s="25"/>
      <c r="OIW50" s="25"/>
      <c r="OIX50" s="25"/>
      <c r="OIY50" s="25"/>
      <c r="OIZ50" s="25"/>
      <c r="OJA50" s="25"/>
      <c r="OJB50" s="25"/>
      <c r="OJC50" s="25"/>
      <c r="OJD50" s="25"/>
      <c r="OJE50" s="25"/>
      <c r="OJF50" s="25"/>
      <c r="OJG50" s="25"/>
      <c r="OJH50" s="25"/>
      <c r="OJI50" s="25"/>
      <c r="OJJ50" s="25"/>
      <c r="OJK50" s="25"/>
      <c r="OJL50" s="25"/>
      <c r="OJM50" s="25"/>
      <c r="OJN50" s="25"/>
      <c r="OJO50" s="25"/>
      <c r="OJP50" s="25"/>
      <c r="OJQ50" s="25"/>
      <c r="OJR50" s="25"/>
      <c r="OJS50" s="25"/>
      <c r="OJT50" s="25"/>
      <c r="OJU50" s="25"/>
      <c r="OJV50" s="25"/>
      <c r="OJW50" s="25"/>
      <c r="OJX50" s="25"/>
      <c r="OJY50" s="25"/>
      <c r="OJZ50" s="25"/>
      <c r="OKA50" s="25"/>
      <c r="OKB50" s="25"/>
      <c r="OKC50" s="25"/>
      <c r="OKD50" s="25"/>
      <c r="OKE50" s="25"/>
      <c r="OKF50" s="25"/>
      <c r="OKG50" s="25"/>
      <c r="OKH50" s="25"/>
      <c r="OKI50" s="25"/>
      <c r="OKJ50" s="25"/>
      <c r="OKK50" s="25"/>
      <c r="OKL50" s="25"/>
      <c r="OKM50" s="25"/>
      <c r="OKN50" s="25"/>
      <c r="OKO50" s="25"/>
      <c r="OKP50" s="25"/>
      <c r="OKQ50" s="25"/>
      <c r="OKR50" s="25"/>
      <c r="OKS50" s="25"/>
      <c r="OKT50" s="25"/>
      <c r="OKU50" s="25"/>
      <c r="OKV50" s="25"/>
      <c r="OKW50" s="25"/>
      <c r="OKX50" s="25"/>
      <c r="OKY50" s="25"/>
      <c r="OKZ50" s="25"/>
      <c r="OLA50" s="25"/>
      <c r="OLB50" s="25"/>
      <c r="OLC50" s="25"/>
      <c r="OLD50" s="25"/>
      <c r="OLE50" s="25"/>
      <c r="OLF50" s="25"/>
      <c r="OLG50" s="25"/>
      <c r="OLH50" s="25"/>
      <c r="OLI50" s="25"/>
      <c r="OLJ50" s="25"/>
      <c r="OLK50" s="25"/>
      <c r="OLL50" s="25"/>
      <c r="OLM50" s="25"/>
      <c r="OLN50" s="25"/>
      <c r="OLO50" s="25"/>
      <c r="OLP50" s="25"/>
      <c r="OLQ50" s="25"/>
      <c r="OLR50" s="25"/>
      <c r="OLS50" s="25"/>
      <c r="OLT50" s="25"/>
      <c r="OLU50" s="25"/>
      <c r="OLV50" s="25"/>
      <c r="OLW50" s="25"/>
      <c r="OLX50" s="25"/>
      <c r="OLY50" s="25"/>
      <c r="OLZ50" s="25"/>
      <c r="OMA50" s="25"/>
      <c r="OMB50" s="25"/>
      <c r="OMC50" s="25"/>
      <c r="OMD50" s="25"/>
      <c r="OME50" s="25"/>
      <c r="OMF50" s="25"/>
      <c r="OMG50" s="25"/>
      <c r="OMH50" s="25"/>
      <c r="OMI50" s="25"/>
      <c r="OMJ50" s="25"/>
      <c r="OMK50" s="25"/>
      <c r="OML50" s="25"/>
      <c r="OMM50" s="25"/>
      <c r="OMN50" s="25"/>
      <c r="OMO50" s="25"/>
      <c r="OMP50" s="25"/>
      <c r="OMQ50" s="25"/>
      <c r="OMR50" s="25"/>
      <c r="OMS50" s="25"/>
      <c r="OMT50" s="25"/>
      <c r="OMU50" s="25"/>
      <c r="OMV50" s="25"/>
      <c r="OMW50" s="25"/>
      <c r="OMX50" s="25"/>
      <c r="OMY50" s="25"/>
      <c r="OMZ50" s="25"/>
      <c r="ONA50" s="25"/>
      <c r="ONB50" s="25"/>
      <c r="ONC50" s="25"/>
      <c r="OND50" s="25"/>
      <c r="ONE50" s="25"/>
      <c r="ONF50" s="25"/>
      <c r="ONG50" s="25"/>
      <c r="ONH50" s="25"/>
      <c r="ONI50" s="25"/>
      <c r="ONJ50" s="25"/>
      <c r="ONK50" s="25"/>
      <c r="ONL50" s="25"/>
      <c r="ONM50" s="25"/>
      <c r="ONN50" s="25"/>
      <c r="ONO50" s="25"/>
      <c r="ONP50" s="25"/>
      <c r="ONQ50" s="25"/>
      <c r="ONR50" s="25"/>
      <c r="ONS50" s="25"/>
      <c r="ONT50" s="25"/>
      <c r="ONU50" s="25"/>
      <c r="ONV50" s="25"/>
      <c r="ONW50" s="25"/>
      <c r="ONX50" s="25"/>
      <c r="ONY50" s="25"/>
      <c r="ONZ50" s="25"/>
      <c r="OOA50" s="25"/>
      <c r="OOB50" s="25"/>
      <c r="OOC50" s="25"/>
      <c r="OOD50" s="25"/>
      <c r="OOE50" s="25"/>
      <c r="OOF50" s="25"/>
      <c r="OOG50" s="25"/>
      <c r="OOH50" s="25"/>
      <c r="OOI50" s="25"/>
      <c r="OOJ50" s="25"/>
      <c r="OOK50" s="25"/>
      <c r="OOL50" s="25"/>
      <c r="OOM50" s="25"/>
      <c r="OON50" s="25"/>
      <c r="OOO50" s="25"/>
      <c r="OOP50" s="25"/>
      <c r="OOQ50" s="25"/>
      <c r="OOR50" s="25"/>
      <c r="OOS50" s="25"/>
      <c r="OOT50" s="25"/>
      <c r="OOU50" s="25"/>
      <c r="OOV50" s="25"/>
      <c r="OOW50" s="25"/>
      <c r="OOX50" s="25"/>
      <c r="OOY50" s="25"/>
      <c r="OOZ50" s="25"/>
      <c r="OPA50" s="25"/>
      <c r="OPB50" s="25"/>
      <c r="OPC50" s="25"/>
      <c r="OPD50" s="25"/>
      <c r="OPE50" s="25"/>
      <c r="OPF50" s="25"/>
      <c r="OPG50" s="25"/>
      <c r="OPH50" s="25"/>
      <c r="OPI50" s="25"/>
      <c r="OPJ50" s="25"/>
      <c r="OPK50" s="25"/>
      <c r="OPL50" s="25"/>
      <c r="OPM50" s="25"/>
      <c r="OPN50" s="25"/>
      <c r="OPO50" s="25"/>
      <c r="OPP50" s="25"/>
      <c r="OPQ50" s="25"/>
      <c r="OPR50" s="25"/>
      <c r="OPS50" s="25"/>
      <c r="OPT50" s="25"/>
      <c r="OPU50" s="25"/>
      <c r="OPV50" s="25"/>
      <c r="OPW50" s="25"/>
      <c r="OPX50" s="25"/>
      <c r="OPY50" s="25"/>
      <c r="OPZ50" s="25"/>
      <c r="OQA50" s="25"/>
      <c r="OQB50" s="25"/>
      <c r="OQC50" s="25"/>
      <c r="OQD50" s="25"/>
      <c r="OQE50" s="25"/>
      <c r="OQF50" s="25"/>
      <c r="OQG50" s="25"/>
      <c r="OQH50" s="25"/>
      <c r="OQI50" s="25"/>
      <c r="OQJ50" s="25"/>
      <c r="OQK50" s="25"/>
      <c r="OQL50" s="25"/>
      <c r="OQM50" s="25"/>
      <c r="OQN50" s="25"/>
      <c r="OQO50" s="25"/>
      <c r="OQP50" s="25"/>
      <c r="OQQ50" s="25"/>
      <c r="OQR50" s="25"/>
      <c r="OQS50" s="25"/>
      <c r="OQT50" s="25"/>
      <c r="OQU50" s="25"/>
      <c r="OQV50" s="25"/>
      <c r="OQW50" s="25"/>
      <c r="OQX50" s="25"/>
      <c r="OQY50" s="25"/>
      <c r="OQZ50" s="25"/>
      <c r="ORA50" s="25"/>
      <c r="ORB50" s="25"/>
      <c r="ORC50" s="25"/>
      <c r="ORD50" s="25"/>
      <c r="ORE50" s="25"/>
      <c r="ORF50" s="25"/>
      <c r="ORG50" s="25"/>
      <c r="ORH50" s="25"/>
      <c r="ORI50" s="25"/>
      <c r="ORJ50" s="25"/>
      <c r="ORK50" s="25"/>
      <c r="ORL50" s="25"/>
      <c r="ORM50" s="25"/>
      <c r="ORN50" s="25"/>
      <c r="ORO50" s="25"/>
      <c r="ORP50" s="25"/>
      <c r="ORQ50" s="25"/>
      <c r="ORR50" s="25"/>
      <c r="ORS50" s="25"/>
      <c r="ORT50" s="25"/>
      <c r="ORU50" s="25"/>
      <c r="ORV50" s="25"/>
      <c r="ORW50" s="25"/>
      <c r="ORX50" s="25"/>
      <c r="ORY50" s="25"/>
      <c r="ORZ50" s="25"/>
      <c r="OSA50" s="25"/>
      <c r="OSB50" s="25"/>
      <c r="OSC50" s="25"/>
      <c r="OSD50" s="25"/>
      <c r="OSE50" s="25"/>
      <c r="OSF50" s="25"/>
      <c r="OSG50" s="25"/>
      <c r="OSH50" s="25"/>
      <c r="OSI50" s="25"/>
      <c r="OSJ50" s="25"/>
      <c r="OSK50" s="25"/>
      <c r="OSL50" s="25"/>
      <c r="OSM50" s="25"/>
      <c r="OSN50" s="25"/>
      <c r="OSO50" s="25"/>
      <c r="OSP50" s="25"/>
      <c r="OSQ50" s="25"/>
      <c r="OSR50" s="25"/>
      <c r="OSS50" s="25"/>
      <c r="OST50" s="25"/>
      <c r="OSU50" s="25"/>
      <c r="OSV50" s="25"/>
      <c r="OSW50" s="25"/>
      <c r="OSX50" s="25"/>
      <c r="OSY50" s="25"/>
      <c r="OSZ50" s="25"/>
      <c r="OTA50" s="25"/>
      <c r="OTB50" s="25"/>
      <c r="OTC50" s="25"/>
      <c r="OTD50" s="25"/>
      <c r="OTE50" s="25"/>
      <c r="OTF50" s="25"/>
      <c r="OTG50" s="25"/>
      <c r="OTH50" s="25"/>
      <c r="OTI50" s="25"/>
      <c r="OTJ50" s="25"/>
      <c r="OTK50" s="25"/>
      <c r="OTL50" s="25"/>
      <c r="OTM50" s="25"/>
      <c r="OTN50" s="25"/>
      <c r="OTO50" s="25"/>
      <c r="OTP50" s="25"/>
      <c r="OTQ50" s="25"/>
      <c r="OTR50" s="25"/>
      <c r="OTS50" s="25"/>
      <c r="OTT50" s="25"/>
      <c r="OTU50" s="25"/>
      <c r="OTV50" s="25"/>
      <c r="OTW50" s="25"/>
      <c r="OTX50" s="25"/>
      <c r="OTY50" s="25"/>
      <c r="OTZ50" s="25"/>
      <c r="OUA50" s="25"/>
      <c r="OUB50" s="25"/>
      <c r="OUC50" s="25"/>
      <c r="OUD50" s="25"/>
      <c r="OUE50" s="25"/>
      <c r="OUF50" s="25"/>
      <c r="OUG50" s="25"/>
      <c r="OUH50" s="25"/>
      <c r="OUI50" s="25"/>
      <c r="OUJ50" s="25"/>
      <c r="OUK50" s="25"/>
      <c r="OUL50" s="25"/>
      <c r="OUM50" s="25"/>
      <c r="OUN50" s="25"/>
      <c r="OUO50" s="25"/>
      <c r="OUP50" s="25"/>
      <c r="OUQ50" s="25"/>
      <c r="OUR50" s="25"/>
      <c r="OUS50" s="25"/>
      <c r="OUT50" s="25"/>
      <c r="OUU50" s="25"/>
      <c r="OUV50" s="25"/>
      <c r="OUW50" s="25"/>
      <c r="OUX50" s="25"/>
      <c r="OUY50" s="25"/>
      <c r="OUZ50" s="25"/>
      <c r="OVA50" s="25"/>
      <c r="OVB50" s="25"/>
      <c r="OVC50" s="25"/>
      <c r="OVD50" s="25"/>
      <c r="OVE50" s="25"/>
      <c r="OVF50" s="25"/>
      <c r="OVG50" s="25"/>
      <c r="OVH50" s="25"/>
      <c r="OVI50" s="25"/>
      <c r="OVJ50" s="25"/>
      <c r="OVK50" s="25"/>
      <c r="OVL50" s="25"/>
      <c r="OVM50" s="25"/>
      <c r="OVN50" s="25"/>
      <c r="OVO50" s="25"/>
      <c r="OVP50" s="25"/>
      <c r="OVQ50" s="25"/>
      <c r="OVR50" s="25"/>
      <c r="OVS50" s="25"/>
      <c r="OVT50" s="25"/>
      <c r="OVU50" s="25"/>
      <c r="OVV50" s="25"/>
      <c r="OVW50" s="25"/>
      <c r="OVX50" s="25"/>
      <c r="OVY50" s="25"/>
      <c r="OVZ50" s="25"/>
      <c r="OWA50" s="25"/>
      <c r="OWB50" s="25"/>
      <c r="OWC50" s="25"/>
      <c r="OWD50" s="25"/>
      <c r="OWE50" s="25"/>
      <c r="OWF50" s="25"/>
      <c r="OWG50" s="25"/>
      <c r="OWH50" s="25"/>
      <c r="OWI50" s="25"/>
      <c r="OWJ50" s="25"/>
      <c r="OWK50" s="25"/>
      <c r="OWL50" s="25"/>
      <c r="OWM50" s="25"/>
      <c r="OWN50" s="25"/>
      <c r="OWO50" s="25"/>
      <c r="OWP50" s="25"/>
      <c r="OWQ50" s="25"/>
      <c r="OWR50" s="25"/>
      <c r="OWS50" s="25"/>
      <c r="OWT50" s="25"/>
      <c r="OWU50" s="25"/>
      <c r="OWV50" s="25"/>
      <c r="OWW50" s="25"/>
      <c r="OWX50" s="25"/>
      <c r="OWY50" s="25"/>
      <c r="OWZ50" s="25"/>
      <c r="OXA50" s="25"/>
      <c r="OXB50" s="25"/>
      <c r="OXC50" s="25"/>
      <c r="OXD50" s="25"/>
      <c r="OXE50" s="25"/>
      <c r="OXF50" s="25"/>
      <c r="OXG50" s="25"/>
      <c r="OXH50" s="25"/>
      <c r="OXI50" s="25"/>
      <c r="OXJ50" s="25"/>
      <c r="OXK50" s="25"/>
      <c r="OXL50" s="25"/>
      <c r="OXM50" s="25"/>
      <c r="OXN50" s="25"/>
      <c r="OXO50" s="25"/>
      <c r="OXP50" s="25"/>
      <c r="OXQ50" s="25"/>
      <c r="OXR50" s="25"/>
      <c r="OXS50" s="25"/>
      <c r="OXT50" s="25"/>
      <c r="OXU50" s="25"/>
      <c r="OXV50" s="25"/>
      <c r="OXW50" s="25"/>
      <c r="OXX50" s="25"/>
      <c r="OXY50" s="25"/>
      <c r="OXZ50" s="25"/>
      <c r="OYA50" s="25"/>
      <c r="OYB50" s="25"/>
      <c r="OYC50" s="25"/>
      <c r="OYD50" s="25"/>
      <c r="OYE50" s="25"/>
      <c r="OYF50" s="25"/>
      <c r="OYG50" s="25"/>
      <c r="OYH50" s="25"/>
      <c r="OYI50" s="25"/>
      <c r="OYJ50" s="25"/>
      <c r="OYK50" s="25"/>
      <c r="OYL50" s="25"/>
      <c r="OYM50" s="25"/>
      <c r="OYN50" s="25"/>
      <c r="OYO50" s="25"/>
      <c r="OYP50" s="25"/>
      <c r="OYQ50" s="25"/>
      <c r="OYR50" s="25"/>
      <c r="OYS50" s="25"/>
      <c r="OYT50" s="25"/>
      <c r="OYU50" s="25"/>
      <c r="OYV50" s="25"/>
      <c r="OYW50" s="25"/>
      <c r="OYX50" s="25"/>
      <c r="OYY50" s="25"/>
      <c r="OYZ50" s="25"/>
      <c r="OZA50" s="25"/>
      <c r="OZB50" s="25"/>
      <c r="OZC50" s="25"/>
      <c r="OZD50" s="25"/>
      <c r="OZE50" s="25"/>
      <c r="OZF50" s="25"/>
      <c r="OZG50" s="25"/>
      <c r="OZH50" s="25"/>
      <c r="OZI50" s="25"/>
      <c r="OZJ50" s="25"/>
      <c r="OZK50" s="25"/>
      <c r="OZL50" s="25"/>
      <c r="OZM50" s="25"/>
      <c r="OZN50" s="25"/>
      <c r="OZO50" s="25"/>
      <c r="OZP50" s="25"/>
      <c r="OZQ50" s="25"/>
      <c r="OZR50" s="25"/>
      <c r="OZS50" s="25"/>
      <c r="OZT50" s="25"/>
      <c r="OZU50" s="25"/>
      <c r="OZV50" s="25"/>
      <c r="OZW50" s="25"/>
      <c r="OZX50" s="25"/>
      <c r="OZY50" s="25"/>
      <c r="OZZ50" s="25"/>
      <c r="PAA50" s="25"/>
      <c r="PAB50" s="25"/>
      <c r="PAC50" s="25"/>
      <c r="PAD50" s="25"/>
      <c r="PAE50" s="25"/>
      <c r="PAF50" s="25"/>
      <c r="PAG50" s="25"/>
      <c r="PAH50" s="25"/>
      <c r="PAI50" s="25"/>
      <c r="PAJ50" s="25"/>
      <c r="PAK50" s="25"/>
      <c r="PAL50" s="25"/>
      <c r="PAM50" s="25"/>
      <c r="PAN50" s="25"/>
      <c r="PAO50" s="25"/>
      <c r="PAP50" s="25"/>
      <c r="PAQ50" s="25"/>
      <c r="PAR50" s="25"/>
      <c r="PAS50" s="25"/>
      <c r="PAT50" s="25"/>
      <c r="PAU50" s="25"/>
      <c r="PAV50" s="25"/>
      <c r="PAW50" s="25"/>
      <c r="PAX50" s="25"/>
      <c r="PAY50" s="25"/>
      <c r="PAZ50" s="25"/>
      <c r="PBA50" s="25"/>
      <c r="PBB50" s="25"/>
      <c r="PBC50" s="25"/>
      <c r="PBD50" s="25"/>
      <c r="PBE50" s="25"/>
      <c r="PBF50" s="25"/>
      <c r="PBG50" s="25"/>
      <c r="PBH50" s="25"/>
      <c r="PBI50" s="25"/>
      <c r="PBJ50" s="25"/>
      <c r="PBK50" s="25"/>
      <c r="PBL50" s="25"/>
      <c r="PBM50" s="25"/>
      <c r="PBN50" s="25"/>
      <c r="PBO50" s="25"/>
      <c r="PBP50" s="25"/>
      <c r="PBQ50" s="25"/>
      <c r="PBR50" s="25"/>
      <c r="PBS50" s="25"/>
      <c r="PBT50" s="25"/>
      <c r="PBU50" s="25"/>
      <c r="PBV50" s="25"/>
      <c r="PBW50" s="25"/>
      <c r="PBX50" s="25"/>
      <c r="PBY50" s="25"/>
      <c r="PBZ50" s="25"/>
      <c r="PCA50" s="25"/>
      <c r="PCB50" s="25"/>
      <c r="PCC50" s="25"/>
      <c r="PCD50" s="25"/>
      <c r="PCE50" s="25"/>
      <c r="PCF50" s="25"/>
      <c r="PCG50" s="25"/>
      <c r="PCH50" s="25"/>
      <c r="PCI50" s="25"/>
      <c r="PCJ50" s="25"/>
      <c r="PCK50" s="25"/>
      <c r="PCL50" s="25"/>
      <c r="PCM50" s="25"/>
      <c r="PCN50" s="25"/>
      <c r="PCO50" s="25"/>
      <c r="PCP50" s="25"/>
      <c r="PCQ50" s="25"/>
      <c r="PCR50" s="25"/>
      <c r="PCS50" s="25"/>
      <c r="PCT50" s="25"/>
      <c r="PCU50" s="25"/>
      <c r="PCV50" s="25"/>
      <c r="PCW50" s="25"/>
      <c r="PCX50" s="25"/>
      <c r="PCY50" s="25"/>
      <c r="PCZ50" s="25"/>
      <c r="PDA50" s="25"/>
      <c r="PDB50" s="25"/>
      <c r="PDC50" s="25"/>
      <c r="PDD50" s="25"/>
      <c r="PDE50" s="25"/>
      <c r="PDF50" s="25"/>
      <c r="PDG50" s="25"/>
      <c r="PDH50" s="25"/>
      <c r="PDI50" s="25"/>
      <c r="PDJ50" s="25"/>
      <c r="PDK50" s="25"/>
      <c r="PDL50" s="25"/>
      <c r="PDM50" s="25"/>
      <c r="PDN50" s="25"/>
      <c r="PDO50" s="25"/>
      <c r="PDP50" s="25"/>
      <c r="PDQ50" s="25"/>
      <c r="PDR50" s="25"/>
      <c r="PDS50" s="25"/>
      <c r="PDT50" s="25"/>
      <c r="PDU50" s="25"/>
      <c r="PDV50" s="25"/>
      <c r="PDW50" s="25"/>
      <c r="PDX50" s="25"/>
      <c r="PDY50" s="25"/>
      <c r="PDZ50" s="25"/>
      <c r="PEA50" s="25"/>
      <c r="PEB50" s="25"/>
      <c r="PEC50" s="25"/>
      <c r="PED50" s="25"/>
      <c r="PEE50" s="25"/>
      <c r="PEF50" s="25"/>
      <c r="PEG50" s="25"/>
      <c r="PEH50" s="25"/>
      <c r="PEI50" s="25"/>
      <c r="PEJ50" s="25"/>
      <c r="PEK50" s="25"/>
      <c r="PEL50" s="25"/>
      <c r="PEM50" s="25"/>
      <c r="PEN50" s="25"/>
      <c r="PEO50" s="25"/>
      <c r="PEP50" s="25"/>
      <c r="PEQ50" s="25"/>
      <c r="PER50" s="25"/>
      <c r="PES50" s="25"/>
      <c r="PET50" s="25"/>
      <c r="PEU50" s="25"/>
      <c r="PEV50" s="25"/>
      <c r="PEW50" s="25"/>
      <c r="PEX50" s="25"/>
      <c r="PEY50" s="25"/>
      <c r="PEZ50" s="25"/>
      <c r="PFA50" s="25"/>
      <c r="PFB50" s="25"/>
      <c r="PFC50" s="25"/>
      <c r="PFD50" s="25"/>
      <c r="PFE50" s="25"/>
      <c r="PFF50" s="25"/>
      <c r="PFG50" s="25"/>
      <c r="PFH50" s="25"/>
      <c r="PFI50" s="25"/>
      <c r="PFJ50" s="25"/>
      <c r="PFK50" s="25"/>
      <c r="PFL50" s="25"/>
      <c r="PFM50" s="25"/>
      <c r="PFN50" s="25"/>
      <c r="PFO50" s="25"/>
      <c r="PFP50" s="25"/>
      <c r="PFQ50" s="25"/>
      <c r="PFR50" s="25"/>
      <c r="PFS50" s="25"/>
      <c r="PFT50" s="25"/>
      <c r="PFU50" s="25"/>
      <c r="PFV50" s="25"/>
      <c r="PFW50" s="25"/>
      <c r="PFX50" s="25"/>
      <c r="PFY50" s="25"/>
      <c r="PFZ50" s="25"/>
      <c r="PGA50" s="25"/>
      <c r="PGB50" s="25"/>
      <c r="PGC50" s="25"/>
      <c r="PGD50" s="25"/>
      <c r="PGE50" s="25"/>
      <c r="PGF50" s="25"/>
      <c r="PGG50" s="25"/>
      <c r="PGH50" s="25"/>
      <c r="PGI50" s="25"/>
      <c r="PGJ50" s="25"/>
      <c r="PGK50" s="25"/>
      <c r="PGL50" s="25"/>
      <c r="PGM50" s="25"/>
      <c r="PGN50" s="25"/>
      <c r="PGO50" s="25"/>
      <c r="PGP50" s="25"/>
      <c r="PGQ50" s="25"/>
      <c r="PGR50" s="25"/>
      <c r="PGS50" s="25"/>
      <c r="PGT50" s="25"/>
      <c r="PGU50" s="25"/>
      <c r="PGV50" s="25"/>
      <c r="PGW50" s="25"/>
      <c r="PGX50" s="25"/>
      <c r="PGY50" s="25"/>
      <c r="PGZ50" s="25"/>
      <c r="PHA50" s="25"/>
      <c r="PHB50" s="25"/>
      <c r="PHC50" s="25"/>
      <c r="PHD50" s="25"/>
      <c r="PHE50" s="25"/>
      <c r="PHF50" s="25"/>
      <c r="PHG50" s="25"/>
      <c r="PHH50" s="25"/>
      <c r="PHI50" s="25"/>
      <c r="PHJ50" s="25"/>
      <c r="PHK50" s="25"/>
      <c r="PHL50" s="25"/>
      <c r="PHM50" s="25"/>
      <c r="PHN50" s="25"/>
      <c r="PHO50" s="25"/>
      <c r="PHP50" s="25"/>
      <c r="PHQ50" s="25"/>
      <c r="PHR50" s="25"/>
      <c r="PHS50" s="25"/>
      <c r="PHT50" s="25"/>
      <c r="PHU50" s="25"/>
      <c r="PHV50" s="25"/>
      <c r="PHW50" s="25"/>
      <c r="PHX50" s="25"/>
      <c r="PHY50" s="25"/>
      <c r="PHZ50" s="25"/>
      <c r="PIA50" s="25"/>
      <c r="PIB50" s="25"/>
      <c r="PIC50" s="25"/>
      <c r="PID50" s="25"/>
      <c r="PIE50" s="25"/>
      <c r="PIF50" s="25"/>
      <c r="PIG50" s="25"/>
      <c r="PIH50" s="25"/>
      <c r="PII50" s="25"/>
      <c r="PIJ50" s="25"/>
      <c r="PIK50" s="25"/>
      <c r="PIL50" s="25"/>
      <c r="PIM50" s="25"/>
      <c r="PIN50" s="25"/>
      <c r="PIO50" s="25"/>
      <c r="PIP50" s="25"/>
      <c r="PIQ50" s="25"/>
      <c r="PIR50" s="25"/>
      <c r="PIS50" s="25"/>
      <c r="PIT50" s="25"/>
      <c r="PIU50" s="25"/>
      <c r="PIV50" s="25"/>
      <c r="PIW50" s="25"/>
      <c r="PIX50" s="25"/>
      <c r="PIY50" s="25"/>
      <c r="PIZ50" s="25"/>
      <c r="PJA50" s="25"/>
      <c r="PJB50" s="25"/>
      <c r="PJC50" s="25"/>
      <c r="PJD50" s="25"/>
      <c r="PJE50" s="25"/>
      <c r="PJF50" s="25"/>
      <c r="PJG50" s="25"/>
      <c r="PJH50" s="25"/>
      <c r="PJI50" s="25"/>
      <c r="PJJ50" s="25"/>
      <c r="PJK50" s="25"/>
      <c r="PJL50" s="25"/>
      <c r="PJM50" s="25"/>
      <c r="PJN50" s="25"/>
      <c r="PJO50" s="25"/>
      <c r="PJP50" s="25"/>
      <c r="PJQ50" s="25"/>
      <c r="PJR50" s="25"/>
      <c r="PJS50" s="25"/>
      <c r="PJT50" s="25"/>
      <c r="PJU50" s="25"/>
      <c r="PJV50" s="25"/>
      <c r="PJW50" s="25"/>
      <c r="PJX50" s="25"/>
      <c r="PJY50" s="25"/>
      <c r="PJZ50" s="25"/>
      <c r="PKA50" s="25"/>
      <c r="PKB50" s="25"/>
      <c r="PKC50" s="25"/>
      <c r="PKD50" s="25"/>
      <c r="PKE50" s="25"/>
      <c r="PKF50" s="25"/>
      <c r="PKG50" s="25"/>
      <c r="PKH50" s="25"/>
      <c r="PKI50" s="25"/>
      <c r="PKJ50" s="25"/>
      <c r="PKK50" s="25"/>
      <c r="PKL50" s="25"/>
      <c r="PKM50" s="25"/>
      <c r="PKN50" s="25"/>
      <c r="PKO50" s="25"/>
      <c r="PKP50" s="25"/>
      <c r="PKQ50" s="25"/>
      <c r="PKR50" s="25"/>
      <c r="PKS50" s="25"/>
      <c r="PKT50" s="25"/>
      <c r="PKU50" s="25"/>
      <c r="PKV50" s="25"/>
      <c r="PKW50" s="25"/>
      <c r="PKX50" s="25"/>
      <c r="PKY50" s="25"/>
      <c r="PKZ50" s="25"/>
      <c r="PLA50" s="25"/>
      <c r="PLB50" s="25"/>
      <c r="PLC50" s="25"/>
      <c r="PLD50" s="25"/>
      <c r="PLE50" s="25"/>
      <c r="PLF50" s="25"/>
      <c r="PLG50" s="25"/>
      <c r="PLH50" s="25"/>
      <c r="PLI50" s="25"/>
      <c r="PLJ50" s="25"/>
      <c r="PLK50" s="25"/>
      <c r="PLL50" s="25"/>
      <c r="PLM50" s="25"/>
      <c r="PLN50" s="25"/>
      <c r="PLO50" s="25"/>
      <c r="PLP50" s="25"/>
      <c r="PLQ50" s="25"/>
      <c r="PLR50" s="25"/>
      <c r="PLS50" s="25"/>
      <c r="PLT50" s="25"/>
      <c r="PLU50" s="25"/>
      <c r="PLV50" s="25"/>
      <c r="PLW50" s="25"/>
      <c r="PLX50" s="25"/>
      <c r="PLY50" s="25"/>
      <c r="PLZ50" s="25"/>
      <c r="PMA50" s="25"/>
      <c r="PMB50" s="25"/>
      <c r="PMC50" s="25"/>
      <c r="PMD50" s="25"/>
      <c r="PME50" s="25"/>
      <c r="PMF50" s="25"/>
      <c r="PMG50" s="25"/>
      <c r="PMH50" s="25"/>
      <c r="PMI50" s="25"/>
      <c r="PMJ50" s="25"/>
      <c r="PMK50" s="25"/>
      <c r="PML50" s="25"/>
      <c r="PMM50" s="25"/>
      <c r="PMN50" s="25"/>
      <c r="PMO50" s="25"/>
      <c r="PMP50" s="25"/>
      <c r="PMQ50" s="25"/>
      <c r="PMR50" s="25"/>
      <c r="PMS50" s="25"/>
      <c r="PMT50" s="25"/>
      <c r="PMU50" s="25"/>
      <c r="PMV50" s="25"/>
      <c r="PMW50" s="25"/>
      <c r="PMX50" s="25"/>
      <c r="PMY50" s="25"/>
      <c r="PMZ50" s="25"/>
      <c r="PNA50" s="25"/>
      <c r="PNB50" s="25"/>
      <c r="PNC50" s="25"/>
      <c r="PND50" s="25"/>
      <c r="PNE50" s="25"/>
      <c r="PNF50" s="25"/>
      <c r="PNG50" s="25"/>
      <c r="PNH50" s="25"/>
      <c r="PNI50" s="25"/>
      <c r="PNJ50" s="25"/>
      <c r="PNK50" s="25"/>
      <c r="PNL50" s="25"/>
      <c r="PNM50" s="25"/>
      <c r="PNN50" s="25"/>
      <c r="PNO50" s="25"/>
      <c r="PNP50" s="25"/>
      <c r="PNQ50" s="25"/>
      <c r="PNR50" s="25"/>
      <c r="PNS50" s="25"/>
      <c r="PNT50" s="25"/>
      <c r="PNU50" s="25"/>
      <c r="PNV50" s="25"/>
      <c r="PNW50" s="25"/>
      <c r="PNX50" s="25"/>
      <c r="PNY50" s="25"/>
      <c r="PNZ50" s="25"/>
      <c r="POA50" s="25"/>
      <c r="POB50" s="25"/>
      <c r="POC50" s="25"/>
      <c r="POD50" s="25"/>
      <c r="POE50" s="25"/>
      <c r="POF50" s="25"/>
      <c r="POG50" s="25"/>
      <c r="POH50" s="25"/>
      <c r="POI50" s="25"/>
      <c r="POJ50" s="25"/>
      <c r="POK50" s="25"/>
      <c r="POL50" s="25"/>
      <c r="POM50" s="25"/>
      <c r="PON50" s="25"/>
      <c r="POO50" s="25"/>
      <c r="POP50" s="25"/>
      <c r="POQ50" s="25"/>
      <c r="POR50" s="25"/>
      <c r="POS50" s="25"/>
      <c r="POT50" s="25"/>
      <c r="POU50" s="25"/>
      <c r="POV50" s="25"/>
      <c r="POW50" s="25"/>
      <c r="POX50" s="25"/>
      <c r="POY50" s="25"/>
      <c r="POZ50" s="25"/>
      <c r="PPA50" s="25"/>
      <c r="PPB50" s="25"/>
      <c r="PPC50" s="25"/>
      <c r="PPD50" s="25"/>
      <c r="PPE50" s="25"/>
      <c r="PPF50" s="25"/>
      <c r="PPG50" s="25"/>
      <c r="PPH50" s="25"/>
      <c r="PPI50" s="25"/>
      <c r="PPJ50" s="25"/>
      <c r="PPK50" s="25"/>
      <c r="PPL50" s="25"/>
      <c r="PPM50" s="25"/>
      <c r="PPN50" s="25"/>
      <c r="PPO50" s="25"/>
      <c r="PPP50" s="25"/>
      <c r="PPQ50" s="25"/>
      <c r="PPR50" s="25"/>
      <c r="PPS50" s="25"/>
      <c r="PPT50" s="25"/>
      <c r="PPU50" s="25"/>
      <c r="PPV50" s="25"/>
      <c r="PPW50" s="25"/>
      <c r="PPX50" s="25"/>
      <c r="PPY50" s="25"/>
      <c r="PPZ50" s="25"/>
      <c r="PQA50" s="25"/>
      <c r="PQB50" s="25"/>
      <c r="PQC50" s="25"/>
      <c r="PQD50" s="25"/>
      <c r="PQE50" s="25"/>
      <c r="PQF50" s="25"/>
      <c r="PQG50" s="25"/>
      <c r="PQH50" s="25"/>
      <c r="PQI50" s="25"/>
      <c r="PQJ50" s="25"/>
      <c r="PQK50" s="25"/>
      <c r="PQL50" s="25"/>
      <c r="PQM50" s="25"/>
      <c r="PQN50" s="25"/>
      <c r="PQO50" s="25"/>
      <c r="PQP50" s="25"/>
      <c r="PQQ50" s="25"/>
      <c r="PQR50" s="25"/>
      <c r="PQS50" s="25"/>
      <c r="PQT50" s="25"/>
      <c r="PQU50" s="25"/>
      <c r="PQV50" s="25"/>
      <c r="PQW50" s="25"/>
      <c r="PQX50" s="25"/>
      <c r="PQY50" s="25"/>
      <c r="PQZ50" s="25"/>
      <c r="PRA50" s="25"/>
      <c r="PRB50" s="25"/>
      <c r="PRC50" s="25"/>
      <c r="PRD50" s="25"/>
      <c r="PRE50" s="25"/>
      <c r="PRF50" s="25"/>
      <c r="PRG50" s="25"/>
      <c r="PRH50" s="25"/>
      <c r="PRI50" s="25"/>
      <c r="PRJ50" s="25"/>
      <c r="PRK50" s="25"/>
      <c r="PRL50" s="25"/>
      <c r="PRM50" s="25"/>
      <c r="PRN50" s="25"/>
      <c r="PRO50" s="25"/>
      <c r="PRP50" s="25"/>
      <c r="PRQ50" s="25"/>
      <c r="PRR50" s="25"/>
      <c r="PRS50" s="25"/>
      <c r="PRT50" s="25"/>
      <c r="PRU50" s="25"/>
      <c r="PRV50" s="25"/>
      <c r="PRW50" s="25"/>
      <c r="PRX50" s="25"/>
      <c r="PRY50" s="25"/>
      <c r="PRZ50" s="25"/>
      <c r="PSA50" s="25"/>
      <c r="PSB50" s="25"/>
      <c r="PSC50" s="25"/>
      <c r="PSD50" s="25"/>
      <c r="PSE50" s="25"/>
      <c r="PSF50" s="25"/>
      <c r="PSG50" s="25"/>
      <c r="PSH50" s="25"/>
      <c r="PSI50" s="25"/>
      <c r="PSJ50" s="25"/>
      <c r="PSK50" s="25"/>
      <c r="PSL50" s="25"/>
      <c r="PSM50" s="25"/>
      <c r="PSN50" s="25"/>
      <c r="PSO50" s="25"/>
      <c r="PSP50" s="25"/>
      <c r="PSQ50" s="25"/>
      <c r="PSR50" s="25"/>
      <c r="PSS50" s="25"/>
      <c r="PST50" s="25"/>
      <c r="PSU50" s="25"/>
      <c r="PSV50" s="25"/>
      <c r="PSW50" s="25"/>
      <c r="PSX50" s="25"/>
      <c r="PSY50" s="25"/>
      <c r="PSZ50" s="25"/>
      <c r="PTA50" s="25"/>
      <c r="PTB50" s="25"/>
      <c r="PTC50" s="25"/>
      <c r="PTD50" s="25"/>
      <c r="PTE50" s="25"/>
      <c r="PTF50" s="25"/>
      <c r="PTG50" s="25"/>
      <c r="PTH50" s="25"/>
      <c r="PTI50" s="25"/>
      <c r="PTJ50" s="25"/>
      <c r="PTK50" s="25"/>
      <c r="PTL50" s="25"/>
      <c r="PTM50" s="25"/>
      <c r="PTN50" s="25"/>
      <c r="PTO50" s="25"/>
      <c r="PTP50" s="25"/>
      <c r="PTQ50" s="25"/>
      <c r="PTR50" s="25"/>
      <c r="PTS50" s="25"/>
      <c r="PTT50" s="25"/>
      <c r="PTU50" s="25"/>
      <c r="PTV50" s="25"/>
      <c r="PTW50" s="25"/>
      <c r="PTX50" s="25"/>
      <c r="PTY50" s="25"/>
      <c r="PTZ50" s="25"/>
      <c r="PUA50" s="25"/>
      <c r="PUB50" s="25"/>
      <c r="PUC50" s="25"/>
      <c r="PUD50" s="25"/>
      <c r="PUE50" s="25"/>
      <c r="PUF50" s="25"/>
      <c r="PUG50" s="25"/>
      <c r="PUH50" s="25"/>
      <c r="PUI50" s="25"/>
      <c r="PUJ50" s="25"/>
      <c r="PUK50" s="25"/>
      <c r="PUL50" s="25"/>
      <c r="PUM50" s="25"/>
      <c r="PUN50" s="25"/>
      <c r="PUO50" s="25"/>
      <c r="PUP50" s="25"/>
      <c r="PUQ50" s="25"/>
      <c r="PUR50" s="25"/>
      <c r="PUS50" s="25"/>
      <c r="PUT50" s="25"/>
      <c r="PUU50" s="25"/>
      <c r="PUV50" s="25"/>
      <c r="PUW50" s="25"/>
      <c r="PUX50" s="25"/>
      <c r="PUY50" s="25"/>
      <c r="PUZ50" s="25"/>
      <c r="PVA50" s="25"/>
      <c r="PVB50" s="25"/>
      <c r="PVC50" s="25"/>
      <c r="PVD50" s="25"/>
      <c r="PVE50" s="25"/>
      <c r="PVF50" s="25"/>
      <c r="PVG50" s="25"/>
      <c r="PVH50" s="25"/>
      <c r="PVI50" s="25"/>
      <c r="PVJ50" s="25"/>
      <c r="PVK50" s="25"/>
      <c r="PVL50" s="25"/>
      <c r="PVM50" s="25"/>
      <c r="PVN50" s="25"/>
      <c r="PVO50" s="25"/>
      <c r="PVP50" s="25"/>
      <c r="PVQ50" s="25"/>
      <c r="PVR50" s="25"/>
      <c r="PVS50" s="25"/>
      <c r="PVT50" s="25"/>
      <c r="PVU50" s="25"/>
      <c r="PVV50" s="25"/>
      <c r="PVW50" s="25"/>
      <c r="PVX50" s="25"/>
      <c r="PVY50" s="25"/>
      <c r="PVZ50" s="25"/>
      <c r="PWA50" s="25"/>
      <c r="PWB50" s="25"/>
      <c r="PWC50" s="25"/>
      <c r="PWD50" s="25"/>
      <c r="PWE50" s="25"/>
      <c r="PWF50" s="25"/>
      <c r="PWG50" s="25"/>
      <c r="PWH50" s="25"/>
      <c r="PWI50" s="25"/>
      <c r="PWJ50" s="25"/>
      <c r="PWK50" s="25"/>
      <c r="PWL50" s="25"/>
      <c r="PWM50" s="25"/>
      <c r="PWN50" s="25"/>
      <c r="PWO50" s="25"/>
      <c r="PWP50" s="25"/>
      <c r="PWQ50" s="25"/>
      <c r="PWR50" s="25"/>
      <c r="PWS50" s="25"/>
      <c r="PWT50" s="25"/>
      <c r="PWU50" s="25"/>
      <c r="PWV50" s="25"/>
      <c r="PWW50" s="25"/>
      <c r="PWX50" s="25"/>
      <c r="PWY50" s="25"/>
      <c r="PWZ50" s="25"/>
      <c r="PXA50" s="25"/>
      <c r="PXB50" s="25"/>
      <c r="PXC50" s="25"/>
      <c r="PXD50" s="25"/>
      <c r="PXE50" s="25"/>
      <c r="PXF50" s="25"/>
      <c r="PXG50" s="25"/>
      <c r="PXH50" s="25"/>
      <c r="PXI50" s="25"/>
      <c r="PXJ50" s="25"/>
      <c r="PXK50" s="25"/>
      <c r="PXL50" s="25"/>
      <c r="PXM50" s="25"/>
      <c r="PXN50" s="25"/>
      <c r="PXO50" s="25"/>
      <c r="PXP50" s="25"/>
      <c r="PXQ50" s="25"/>
      <c r="PXR50" s="25"/>
      <c r="PXS50" s="25"/>
      <c r="PXT50" s="25"/>
      <c r="PXU50" s="25"/>
      <c r="PXV50" s="25"/>
      <c r="PXW50" s="25"/>
      <c r="PXX50" s="25"/>
      <c r="PXY50" s="25"/>
      <c r="PXZ50" s="25"/>
      <c r="PYA50" s="25"/>
      <c r="PYB50" s="25"/>
      <c r="PYC50" s="25"/>
      <c r="PYD50" s="25"/>
      <c r="PYE50" s="25"/>
      <c r="PYF50" s="25"/>
      <c r="PYG50" s="25"/>
      <c r="PYH50" s="25"/>
      <c r="PYI50" s="25"/>
      <c r="PYJ50" s="25"/>
      <c r="PYK50" s="25"/>
      <c r="PYL50" s="25"/>
      <c r="PYM50" s="25"/>
      <c r="PYN50" s="25"/>
      <c r="PYO50" s="25"/>
      <c r="PYP50" s="25"/>
      <c r="PYQ50" s="25"/>
      <c r="PYR50" s="25"/>
      <c r="PYS50" s="25"/>
      <c r="PYT50" s="25"/>
      <c r="PYU50" s="25"/>
      <c r="PYV50" s="25"/>
      <c r="PYW50" s="25"/>
      <c r="PYX50" s="25"/>
      <c r="PYY50" s="25"/>
      <c r="PYZ50" s="25"/>
      <c r="PZA50" s="25"/>
      <c r="PZB50" s="25"/>
      <c r="PZC50" s="25"/>
      <c r="PZD50" s="25"/>
      <c r="PZE50" s="25"/>
      <c r="PZF50" s="25"/>
      <c r="PZG50" s="25"/>
      <c r="PZH50" s="25"/>
      <c r="PZI50" s="25"/>
      <c r="PZJ50" s="25"/>
      <c r="PZK50" s="25"/>
      <c r="PZL50" s="25"/>
      <c r="PZM50" s="25"/>
      <c r="PZN50" s="25"/>
      <c r="PZO50" s="25"/>
      <c r="PZP50" s="25"/>
      <c r="PZQ50" s="25"/>
      <c r="PZR50" s="25"/>
      <c r="PZS50" s="25"/>
      <c r="PZT50" s="25"/>
      <c r="PZU50" s="25"/>
      <c r="PZV50" s="25"/>
      <c r="PZW50" s="25"/>
      <c r="PZX50" s="25"/>
      <c r="PZY50" s="25"/>
      <c r="PZZ50" s="25"/>
      <c r="QAA50" s="25"/>
      <c r="QAB50" s="25"/>
      <c r="QAC50" s="25"/>
      <c r="QAD50" s="25"/>
      <c r="QAE50" s="25"/>
      <c r="QAF50" s="25"/>
      <c r="QAG50" s="25"/>
      <c r="QAH50" s="25"/>
      <c r="QAI50" s="25"/>
      <c r="QAJ50" s="25"/>
      <c r="QAK50" s="25"/>
      <c r="QAL50" s="25"/>
      <c r="QAM50" s="25"/>
      <c r="QAN50" s="25"/>
      <c r="QAO50" s="25"/>
      <c r="QAP50" s="25"/>
      <c r="QAQ50" s="25"/>
      <c r="QAR50" s="25"/>
      <c r="QAS50" s="25"/>
      <c r="QAT50" s="25"/>
      <c r="QAU50" s="25"/>
      <c r="QAV50" s="25"/>
      <c r="QAW50" s="25"/>
      <c r="QAX50" s="25"/>
      <c r="QAY50" s="25"/>
      <c r="QAZ50" s="25"/>
      <c r="QBA50" s="25"/>
      <c r="QBB50" s="25"/>
      <c r="QBC50" s="25"/>
      <c r="QBD50" s="25"/>
      <c r="QBE50" s="25"/>
      <c r="QBF50" s="25"/>
      <c r="QBG50" s="25"/>
      <c r="QBH50" s="25"/>
      <c r="QBI50" s="25"/>
      <c r="QBJ50" s="25"/>
      <c r="QBK50" s="25"/>
      <c r="QBL50" s="25"/>
      <c r="QBM50" s="25"/>
      <c r="QBN50" s="25"/>
      <c r="QBO50" s="25"/>
      <c r="QBP50" s="25"/>
      <c r="QBQ50" s="25"/>
      <c r="QBR50" s="25"/>
      <c r="QBS50" s="25"/>
      <c r="QBT50" s="25"/>
      <c r="QBU50" s="25"/>
      <c r="QBV50" s="25"/>
      <c r="QBW50" s="25"/>
      <c r="QBX50" s="25"/>
      <c r="QBY50" s="25"/>
      <c r="QBZ50" s="25"/>
      <c r="QCA50" s="25"/>
      <c r="QCB50" s="25"/>
      <c r="QCC50" s="25"/>
      <c r="QCD50" s="25"/>
      <c r="QCE50" s="25"/>
      <c r="QCF50" s="25"/>
      <c r="QCG50" s="25"/>
      <c r="QCH50" s="25"/>
      <c r="QCI50" s="25"/>
      <c r="QCJ50" s="25"/>
      <c r="QCK50" s="25"/>
      <c r="QCL50" s="25"/>
      <c r="QCM50" s="25"/>
      <c r="QCN50" s="25"/>
      <c r="QCO50" s="25"/>
      <c r="QCP50" s="25"/>
      <c r="QCQ50" s="25"/>
      <c r="QCR50" s="25"/>
      <c r="QCS50" s="25"/>
      <c r="QCT50" s="25"/>
      <c r="QCU50" s="25"/>
      <c r="QCV50" s="25"/>
      <c r="QCW50" s="25"/>
      <c r="QCX50" s="25"/>
      <c r="QCY50" s="25"/>
      <c r="QCZ50" s="25"/>
      <c r="QDA50" s="25"/>
      <c r="QDB50" s="25"/>
      <c r="QDC50" s="25"/>
      <c r="QDD50" s="25"/>
      <c r="QDE50" s="25"/>
      <c r="QDF50" s="25"/>
      <c r="QDG50" s="25"/>
      <c r="QDH50" s="25"/>
      <c r="QDI50" s="25"/>
      <c r="QDJ50" s="25"/>
      <c r="QDK50" s="25"/>
      <c r="QDL50" s="25"/>
      <c r="QDM50" s="25"/>
      <c r="QDN50" s="25"/>
      <c r="QDO50" s="25"/>
      <c r="QDP50" s="25"/>
      <c r="QDQ50" s="25"/>
      <c r="QDR50" s="25"/>
      <c r="QDS50" s="25"/>
      <c r="QDT50" s="25"/>
      <c r="QDU50" s="25"/>
      <c r="QDV50" s="25"/>
      <c r="QDW50" s="25"/>
      <c r="QDX50" s="25"/>
      <c r="QDY50" s="25"/>
      <c r="QDZ50" s="25"/>
      <c r="QEA50" s="25"/>
      <c r="QEB50" s="25"/>
      <c r="QEC50" s="25"/>
      <c r="QED50" s="25"/>
      <c r="QEE50" s="25"/>
      <c r="QEF50" s="25"/>
      <c r="QEG50" s="25"/>
      <c r="QEH50" s="25"/>
      <c r="QEI50" s="25"/>
      <c r="QEJ50" s="25"/>
      <c r="QEK50" s="25"/>
      <c r="QEL50" s="25"/>
      <c r="QEM50" s="25"/>
      <c r="QEN50" s="25"/>
      <c r="QEO50" s="25"/>
      <c r="QEP50" s="25"/>
      <c r="QEQ50" s="25"/>
      <c r="QER50" s="25"/>
      <c r="QES50" s="25"/>
      <c r="QET50" s="25"/>
      <c r="QEU50" s="25"/>
      <c r="QEV50" s="25"/>
      <c r="QEW50" s="25"/>
      <c r="QEX50" s="25"/>
      <c r="QEY50" s="25"/>
      <c r="QEZ50" s="25"/>
      <c r="QFA50" s="25"/>
      <c r="QFB50" s="25"/>
      <c r="QFC50" s="25"/>
      <c r="QFD50" s="25"/>
      <c r="QFE50" s="25"/>
      <c r="QFF50" s="25"/>
      <c r="QFG50" s="25"/>
      <c r="QFH50" s="25"/>
      <c r="QFI50" s="25"/>
      <c r="QFJ50" s="25"/>
      <c r="QFK50" s="25"/>
      <c r="QFL50" s="25"/>
      <c r="QFM50" s="25"/>
      <c r="QFN50" s="25"/>
      <c r="QFO50" s="25"/>
      <c r="QFP50" s="25"/>
      <c r="QFQ50" s="25"/>
      <c r="QFR50" s="25"/>
      <c r="QFS50" s="25"/>
      <c r="QFT50" s="25"/>
      <c r="QFU50" s="25"/>
      <c r="QFV50" s="25"/>
      <c r="QFW50" s="25"/>
      <c r="QFX50" s="25"/>
      <c r="QFY50" s="25"/>
      <c r="QFZ50" s="25"/>
      <c r="QGA50" s="25"/>
      <c r="QGB50" s="25"/>
      <c r="QGC50" s="25"/>
      <c r="QGD50" s="25"/>
      <c r="QGE50" s="25"/>
      <c r="QGF50" s="25"/>
      <c r="QGG50" s="25"/>
      <c r="QGH50" s="25"/>
      <c r="QGI50" s="25"/>
      <c r="QGJ50" s="25"/>
      <c r="QGK50" s="25"/>
      <c r="QGL50" s="25"/>
      <c r="QGM50" s="25"/>
      <c r="QGN50" s="25"/>
      <c r="QGO50" s="25"/>
      <c r="QGP50" s="25"/>
      <c r="QGQ50" s="25"/>
      <c r="QGR50" s="25"/>
      <c r="QGS50" s="25"/>
      <c r="QGT50" s="25"/>
      <c r="QGU50" s="25"/>
      <c r="QGV50" s="25"/>
      <c r="QGW50" s="25"/>
      <c r="QGX50" s="25"/>
      <c r="QGY50" s="25"/>
      <c r="QGZ50" s="25"/>
      <c r="QHA50" s="25"/>
      <c r="QHB50" s="25"/>
      <c r="QHC50" s="25"/>
      <c r="QHD50" s="25"/>
      <c r="QHE50" s="25"/>
      <c r="QHF50" s="25"/>
      <c r="QHG50" s="25"/>
      <c r="QHH50" s="25"/>
      <c r="QHI50" s="25"/>
      <c r="QHJ50" s="25"/>
      <c r="QHK50" s="25"/>
      <c r="QHL50" s="25"/>
      <c r="QHM50" s="25"/>
      <c r="QHN50" s="25"/>
      <c r="QHO50" s="25"/>
      <c r="QHP50" s="25"/>
      <c r="QHQ50" s="25"/>
      <c r="QHR50" s="25"/>
      <c r="QHS50" s="25"/>
      <c r="QHT50" s="25"/>
      <c r="QHU50" s="25"/>
      <c r="QHV50" s="25"/>
      <c r="QHW50" s="25"/>
      <c r="QHX50" s="25"/>
      <c r="QHY50" s="25"/>
      <c r="QHZ50" s="25"/>
      <c r="QIA50" s="25"/>
      <c r="QIB50" s="25"/>
      <c r="QIC50" s="25"/>
      <c r="QID50" s="25"/>
      <c r="QIE50" s="25"/>
      <c r="QIF50" s="25"/>
      <c r="QIG50" s="25"/>
      <c r="QIH50" s="25"/>
      <c r="QII50" s="25"/>
      <c r="QIJ50" s="25"/>
      <c r="QIK50" s="25"/>
      <c r="QIL50" s="25"/>
      <c r="QIM50" s="25"/>
      <c r="QIN50" s="25"/>
      <c r="QIO50" s="25"/>
      <c r="QIP50" s="25"/>
      <c r="QIQ50" s="25"/>
      <c r="QIR50" s="25"/>
      <c r="QIS50" s="25"/>
      <c r="QIT50" s="25"/>
      <c r="QIU50" s="25"/>
      <c r="QIV50" s="25"/>
      <c r="QIW50" s="25"/>
      <c r="QIX50" s="25"/>
      <c r="QIY50" s="25"/>
      <c r="QIZ50" s="25"/>
      <c r="QJA50" s="25"/>
      <c r="QJB50" s="25"/>
      <c r="QJC50" s="25"/>
      <c r="QJD50" s="25"/>
      <c r="QJE50" s="25"/>
      <c r="QJF50" s="25"/>
      <c r="QJG50" s="25"/>
      <c r="QJH50" s="25"/>
      <c r="QJI50" s="25"/>
      <c r="QJJ50" s="25"/>
      <c r="QJK50" s="25"/>
      <c r="QJL50" s="25"/>
      <c r="QJM50" s="25"/>
      <c r="QJN50" s="25"/>
      <c r="QJO50" s="25"/>
      <c r="QJP50" s="25"/>
      <c r="QJQ50" s="25"/>
      <c r="QJR50" s="25"/>
      <c r="QJS50" s="25"/>
      <c r="QJT50" s="25"/>
      <c r="QJU50" s="25"/>
      <c r="QJV50" s="25"/>
      <c r="QJW50" s="25"/>
      <c r="QJX50" s="25"/>
      <c r="QJY50" s="25"/>
      <c r="QJZ50" s="25"/>
      <c r="QKA50" s="25"/>
      <c r="QKB50" s="25"/>
      <c r="QKC50" s="25"/>
      <c r="QKD50" s="25"/>
      <c r="QKE50" s="25"/>
      <c r="QKF50" s="25"/>
      <c r="QKG50" s="25"/>
      <c r="QKH50" s="25"/>
      <c r="QKI50" s="25"/>
      <c r="QKJ50" s="25"/>
      <c r="QKK50" s="25"/>
      <c r="QKL50" s="25"/>
      <c r="QKM50" s="25"/>
      <c r="QKN50" s="25"/>
      <c r="QKO50" s="25"/>
      <c r="QKP50" s="25"/>
      <c r="QKQ50" s="25"/>
      <c r="QKR50" s="25"/>
      <c r="QKS50" s="25"/>
      <c r="QKT50" s="25"/>
      <c r="QKU50" s="25"/>
      <c r="QKV50" s="25"/>
      <c r="QKW50" s="25"/>
      <c r="QKX50" s="25"/>
      <c r="QKY50" s="25"/>
      <c r="QKZ50" s="25"/>
      <c r="QLA50" s="25"/>
      <c r="QLB50" s="25"/>
      <c r="QLC50" s="25"/>
      <c r="QLD50" s="25"/>
      <c r="QLE50" s="25"/>
      <c r="QLF50" s="25"/>
      <c r="QLG50" s="25"/>
      <c r="QLH50" s="25"/>
      <c r="QLI50" s="25"/>
      <c r="QLJ50" s="25"/>
      <c r="QLK50" s="25"/>
      <c r="QLL50" s="25"/>
      <c r="QLM50" s="25"/>
      <c r="QLN50" s="25"/>
      <c r="QLO50" s="25"/>
      <c r="QLP50" s="25"/>
      <c r="QLQ50" s="25"/>
      <c r="QLR50" s="25"/>
      <c r="QLS50" s="25"/>
      <c r="QLT50" s="25"/>
      <c r="QLU50" s="25"/>
      <c r="QLV50" s="25"/>
      <c r="QLW50" s="25"/>
      <c r="QLX50" s="25"/>
      <c r="QLY50" s="25"/>
      <c r="QLZ50" s="25"/>
      <c r="QMA50" s="25"/>
      <c r="QMB50" s="25"/>
      <c r="QMC50" s="25"/>
      <c r="QMD50" s="25"/>
      <c r="QME50" s="25"/>
      <c r="QMF50" s="25"/>
      <c r="QMG50" s="25"/>
      <c r="QMH50" s="25"/>
      <c r="QMI50" s="25"/>
      <c r="QMJ50" s="25"/>
      <c r="QMK50" s="25"/>
      <c r="QML50" s="25"/>
      <c r="QMM50" s="25"/>
      <c r="QMN50" s="25"/>
      <c r="QMO50" s="25"/>
      <c r="QMP50" s="25"/>
      <c r="QMQ50" s="25"/>
      <c r="QMR50" s="25"/>
      <c r="QMS50" s="25"/>
      <c r="QMT50" s="25"/>
      <c r="QMU50" s="25"/>
      <c r="QMV50" s="25"/>
      <c r="QMW50" s="25"/>
      <c r="QMX50" s="25"/>
      <c r="QMY50" s="25"/>
      <c r="QMZ50" s="25"/>
      <c r="QNA50" s="25"/>
      <c r="QNB50" s="25"/>
      <c r="QNC50" s="25"/>
      <c r="QND50" s="25"/>
      <c r="QNE50" s="25"/>
      <c r="QNF50" s="25"/>
      <c r="QNG50" s="25"/>
      <c r="QNH50" s="25"/>
      <c r="QNI50" s="25"/>
      <c r="QNJ50" s="25"/>
      <c r="QNK50" s="25"/>
      <c r="QNL50" s="25"/>
      <c r="QNM50" s="25"/>
      <c r="QNN50" s="25"/>
      <c r="QNO50" s="25"/>
      <c r="QNP50" s="25"/>
      <c r="QNQ50" s="25"/>
      <c r="QNR50" s="25"/>
      <c r="QNS50" s="25"/>
      <c r="QNT50" s="25"/>
      <c r="QNU50" s="25"/>
      <c r="QNV50" s="25"/>
      <c r="QNW50" s="25"/>
      <c r="QNX50" s="25"/>
      <c r="QNY50" s="25"/>
      <c r="QNZ50" s="25"/>
      <c r="QOA50" s="25"/>
      <c r="QOB50" s="25"/>
      <c r="QOC50" s="25"/>
      <c r="QOD50" s="25"/>
      <c r="QOE50" s="25"/>
      <c r="QOF50" s="25"/>
      <c r="QOG50" s="25"/>
      <c r="QOH50" s="25"/>
      <c r="QOI50" s="25"/>
      <c r="QOJ50" s="25"/>
      <c r="QOK50" s="25"/>
      <c r="QOL50" s="25"/>
      <c r="QOM50" s="25"/>
      <c r="QON50" s="25"/>
      <c r="QOO50" s="25"/>
      <c r="QOP50" s="25"/>
      <c r="QOQ50" s="25"/>
      <c r="QOR50" s="25"/>
      <c r="QOS50" s="25"/>
      <c r="QOT50" s="25"/>
      <c r="QOU50" s="25"/>
      <c r="QOV50" s="25"/>
      <c r="QOW50" s="25"/>
      <c r="QOX50" s="25"/>
      <c r="QOY50" s="25"/>
      <c r="QOZ50" s="25"/>
      <c r="QPA50" s="25"/>
      <c r="QPB50" s="25"/>
      <c r="QPC50" s="25"/>
      <c r="QPD50" s="25"/>
      <c r="QPE50" s="25"/>
      <c r="QPF50" s="25"/>
      <c r="QPG50" s="25"/>
      <c r="QPH50" s="25"/>
      <c r="QPI50" s="25"/>
      <c r="QPJ50" s="25"/>
      <c r="QPK50" s="25"/>
      <c r="QPL50" s="25"/>
      <c r="QPM50" s="25"/>
      <c r="QPN50" s="25"/>
      <c r="QPO50" s="25"/>
      <c r="QPP50" s="25"/>
      <c r="QPQ50" s="25"/>
      <c r="QPR50" s="25"/>
      <c r="QPS50" s="25"/>
      <c r="QPT50" s="25"/>
      <c r="QPU50" s="25"/>
      <c r="QPV50" s="25"/>
      <c r="QPW50" s="25"/>
      <c r="QPX50" s="25"/>
      <c r="QPY50" s="25"/>
      <c r="QPZ50" s="25"/>
      <c r="QQA50" s="25"/>
      <c r="QQB50" s="25"/>
      <c r="QQC50" s="25"/>
      <c r="QQD50" s="25"/>
      <c r="QQE50" s="25"/>
      <c r="QQF50" s="25"/>
      <c r="QQG50" s="25"/>
      <c r="QQH50" s="25"/>
      <c r="QQI50" s="25"/>
      <c r="QQJ50" s="25"/>
      <c r="QQK50" s="25"/>
      <c r="QQL50" s="25"/>
      <c r="QQM50" s="25"/>
      <c r="QQN50" s="25"/>
      <c r="QQO50" s="25"/>
      <c r="QQP50" s="25"/>
      <c r="QQQ50" s="25"/>
      <c r="QQR50" s="25"/>
      <c r="QQS50" s="25"/>
      <c r="QQT50" s="25"/>
      <c r="QQU50" s="25"/>
      <c r="QQV50" s="25"/>
      <c r="QQW50" s="25"/>
      <c r="QQX50" s="25"/>
      <c r="QQY50" s="25"/>
      <c r="QQZ50" s="25"/>
      <c r="QRA50" s="25"/>
      <c r="QRB50" s="25"/>
      <c r="QRC50" s="25"/>
      <c r="QRD50" s="25"/>
      <c r="QRE50" s="25"/>
      <c r="QRF50" s="25"/>
      <c r="QRG50" s="25"/>
      <c r="QRH50" s="25"/>
      <c r="QRI50" s="25"/>
      <c r="QRJ50" s="25"/>
      <c r="QRK50" s="25"/>
      <c r="QRL50" s="25"/>
      <c r="QRM50" s="25"/>
      <c r="QRN50" s="25"/>
      <c r="QRO50" s="25"/>
      <c r="QRP50" s="25"/>
      <c r="QRQ50" s="25"/>
      <c r="QRR50" s="25"/>
      <c r="QRS50" s="25"/>
      <c r="QRT50" s="25"/>
      <c r="QRU50" s="25"/>
      <c r="QRV50" s="25"/>
      <c r="QRW50" s="25"/>
      <c r="QRX50" s="25"/>
      <c r="QRY50" s="25"/>
      <c r="QRZ50" s="25"/>
      <c r="QSA50" s="25"/>
      <c r="QSB50" s="25"/>
      <c r="QSC50" s="25"/>
      <c r="QSD50" s="25"/>
      <c r="QSE50" s="25"/>
      <c r="QSF50" s="25"/>
      <c r="QSG50" s="25"/>
      <c r="QSH50" s="25"/>
      <c r="QSI50" s="25"/>
      <c r="QSJ50" s="25"/>
      <c r="QSK50" s="25"/>
      <c r="QSL50" s="25"/>
      <c r="QSM50" s="25"/>
      <c r="QSN50" s="25"/>
      <c r="QSO50" s="25"/>
      <c r="QSP50" s="25"/>
      <c r="QSQ50" s="25"/>
      <c r="QSR50" s="25"/>
      <c r="QSS50" s="25"/>
      <c r="QST50" s="25"/>
      <c r="QSU50" s="25"/>
      <c r="QSV50" s="25"/>
      <c r="QSW50" s="25"/>
      <c r="QSX50" s="25"/>
      <c r="QSY50" s="25"/>
      <c r="QSZ50" s="25"/>
      <c r="QTA50" s="25"/>
      <c r="QTB50" s="25"/>
      <c r="QTC50" s="25"/>
      <c r="QTD50" s="25"/>
      <c r="QTE50" s="25"/>
      <c r="QTF50" s="25"/>
      <c r="QTG50" s="25"/>
      <c r="QTH50" s="25"/>
      <c r="QTI50" s="25"/>
      <c r="QTJ50" s="25"/>
      <c r="QTK50" s="25"/>
      <c r="QTL50" s="25"/>
      <c r="QTM50" s="25"/>
      <c r="QTN50" s="25"/>
      <c r="QTO50" s="25"/>
      <c r="QTP50" s="25"/>
      <c r="QTQ50" s="25"/>
      <c r="QTR50" s="25"/>
      <c r="QTS50" s="25"/>
      <c r="QTT50" s="25"/>
      <c r="QTU50" s="25"/>
      <c r="QTV50" s="25"/>
      <c r="QTW50" s="25"/>
      <c r="QTX50" s="25"/>
      <c r="QTY50" s="25"/>
      <c r="QTZ50" s="25"/>
      <c r="QUA50" s="25"/>
      <c r="QUB50" s="25"/>
      <c r="QUC50" s="25"/>
      <c r="QUD50" s="25"/>
      <c r="QUE50" s="25"/>
      <c r="QUF50" s="25"/>
      <c r="QUG50" s="25"/>
      <c r="QUH50" s="25"/>
      <c r="QUI50" s="25"/>
      <c r="QUJ50" s="25"/>
      <c r="QUK50" s="25"/>
      <c r="QUL50" s="25"/>
      <c r="QUM50" s="25"/>
      <c r="QUN50" s="25"/>
      <c r="QUO50" s="25"/>
      <c r="QUP50" s="25"/>
      <c r="QUQ50" s="25"/>
      <c r="QUR50" s="25"/>
      <c r="QUS50" s="25"/>
      <c r="QUT50" s="25"/>
      <c r="QUU50" s="25"/>
      <c r="QUV50" s="25"/>
      <c r="QUW50" s="25"/>
      <c r="QUX50" s="25"/>
      <c r="QUY50" s="25"/>
      <c r="QUZ50" s="25"/>
      <c r="QVA50" s="25"/>
      <c r="QVB50" s="25"/>
      <c r="QVC50" s="25"/>
      <c r="QVD50" s="25"/>
      <c r="QVE50" s="25"/>
      <c r="QVF50" s="25"/>
      <c r="QVG50" s="25"/>
      <c r="QVH50" s="25"/>
      <c r="QVI50" s="25"/>
      <c r="QVJ50" s="25"/>
      <c r="QVK50" s="25"/>
      <c r="QVL50" s="25"/>
      <c r="QVM50" s="25"/>
      <c r="QVN50" s="25"/>
      <c r="QVO50" s="25"/>
      <c r="QVP50" s="25"/>
      <c r="QVQ50" s="25"/>
      <c r="QVR50" s="25"/>
      <c r="QVS50" s="25"/>
      <c r="QVT50" s="25"/>
      <c r="QVU50" s="25"/>
      <c r="QVV50" s="25"/>
      <c r="QVW50" s="25"/>
      <c r="QVX50" s="25"/>
      <c r="QVY50" s="25"/>
      <c r="QVZ50" s="25"/>
      <c r="QWA50" s="25"/>
      <c r="QWB50" s="25"/>
      <c r="QWC50" s="25"/>
      <c r="QWD50" s="25"/>
      <c r="QWE50" s="25"/>
      <c r="QWF50" s="25"/>
      <c r="QWG50" s="25"/>
      <c r="QWH50" s="25"/>
      <c r="QWI50" s="25"/>
      <c r="QWJ50" s="25"/>
      <c r="QWK50" s="25"/>
      <c r="QWL50" s="25"/>
      <c r="QWM50" s="25"/>
      <c r="QWN50" s="25"/>
      <c r="QWO50" s="25"/>
      <c r="QWP50" s="25"/>
      <c r="QWQ50" s="25"/>
      <c r="QWR50" s="25"/>
      <c r="QWS50" s="25"/>
      <c r="QWT50" s="25"/>
      <c r="QWU50" s="25"/>
      <c r="QWV50" s="25"/>
      <c r="QWW50" s="25"/>
      <c r="QWX50" s="25"/>
      <c r="QWY50" s="25"/>
      <c r="QWZ50" s="25"/>
      <c r="QXA50" s="25"/>
      <c r="QXB50" s="25"/>
      <c r="QXC50" s="25"/>
      <c r="QXD50" s="25"/>
      <c r="QXE50" s="25"/>
      <c r="QXF50" s="25"/>
      <c r="QXG50" s="25"/>
      <c r="QXH50" s="25"/>
      <c r="QXI50" s="25"/>
      <c r="QXJ50" s="25"/>
      <c r="QXK50" s="25"/>
      <c r="QXL50" s="25"/>
      <c r="QXM50" s="25"/>
      <c r="QXN50" s="25"/>
      <c r="QXO50" s="25"/>
      <c r="QXP50" s="25"/>
      <c r="QXQ50" s="25"/>
      <c r="QXR50" s="25"/>
      <c r="QXS50" s="25"/>
      <c r="QXT50" s="25"/>
      <c r="QXU50" s="25"/>
      <c r="QXV50" s="25"/>
      <c r="QXW50" s="25"/>
      <c r="QXX50" s="25"/>
      <c r="QXY50" s="25"/>
      <c r="QXZ50" s="25"/>
      <c r="QYA50" s="25"/>
      <c r="QYB50" s="25"/>
      <c r="QYC50" s="25"/>
      <c r="QYD50" s="25"/>
      <c r="QYE50" s="25"/>
      <c r="QYF50" s="25"/>
      <c r="QYG50" s="25"/>
      <c r="QYH50" s="25"/>
      <c r="QYI50" s="25"/>
      <c r="QYJ50" s="25"/>
      <c r="QYK50" s="25"/>
      <c r="QYL50" s="25"/>
      <c r="QYM50" s="25"/>
      <c r="QYN50" s="25"/>
      <c r="QYO50" s="25"/>
      <c r="QYP50" s="25"/>
      <c r="QYQ50" s="25"/>
      <c r="QYR50" s="25"/>
      <c r="QYS50" s="25"/>
      <c r="QYT50" s="25"/>
      <c r="QYU50" s="25"/>
      <c r="QYV50" s="25"/>
      <c r="QYW50" s="25"/>
      <c r="QYX50" s="25"/>
      <c r="QYY50" s="25"/>
      <c r="QYZ50" s="25"/>
      <c r="QZA50" s="25"/>
      <c r="QZB50" s="25"/>
      <c r="QZC50" s="25"/>
      <c r="QZD50" s="25"/>
      <c r="QZE50" s="25"/>
      <c r="QZF50" s="25"/>
      <c r="QZG50" s="25"/>
      <c r="QZH50" s="25"/>
      <c r="QZI50" s="25"/>
      <c r="QZJ50" s="25"/>
      <c r="QZK50" s="25"/>
      <c r="QZL50" s="25"/>
      <c r="QZM50" s="25"/>
      <c r="QZN50" s="25"/>
      <c r="QZO50" s="25"/>
      <c r="QZP50" s="25"/>
      <c r="QZQ50" s="25"/>
      <c r="QZR50" s="25"/>
      <c r="QZS50" s="25"/>
      <c r="QZT50" s="25"/>
      <c r="QZU50" s="25"/>
      <c r="QZV50" s="25"/>
      <c r="QZW50" s="25"/>
      <c r="QZX50" s="25"/>
      <c r="QZY50" s="25"/>
      <c r="QZZ50" s="25"/>
      <c r="RAA50" s="25"/>
      <c r="RAB50" s="25"/>
      <c r="RAC50" s="25"/>
      <c r="RAD50" s="25"/>
      <c r="RAE50" s="25"/>
      <c r="RAF50" s="25"/>
      <c r="RAG50" s="25"/>
      <c r="RAH50" s="25"/>
      <c r="RAI50" s="25"/>
      <c r="RAJ50" s="25"/>
      <c r="RAK50" s="25"/>
      <c r="RAL50" s="25"/>
      <c r="RAM50" s="25"/>
      <c r="RAN50" s="25"/>
      <c r="RAO50" s="25"/>
      <c r="RAP50" s="25"/>
      <c r="RAQ50" s="25"/>
      <c r="RAR50" s="25"/>
      <c r="RAS50" s="25"/>
      <c r="RAT50" s="25"/>
      <c r="RAU50" s="25"/>
      <c r="RAV50" s="25"/>
      <c r="RAW50" s="25"/>
      <c r="RAX50" s="25"/>
      <c r="RAY50" s="25"/>
      <c r="RAZ50" s="25"/>
      <c r="RBA50" s="25"/>
      <c r="RBB50" s="25"/>
      <c r="RBC50" s="25"/>
      <c r="RBD50" s="25"/>
      <c r="RBE50" s="25"/>
      <c r="RBF50" s="25"/>
      <c r="RBG50" s="25"/>
      <c r="RBH50" s="25"/>
      <c r="RBI50" s="25"/>
      <c r="RBJ50" s="25"/>
      <c r="RBK50" s="25"/>
      <c r="RBL50" s="25"/>
      <c r="RBM50" s="25"/>
      <c r="RBN50" s="25"/>
      <c r="RBO50" s="25"/>
      <c r="RBP50" s="25"/>
      <c r="RBQ50" s="25"/>
      <c r="RBR50" s="25"/>
      <c r="RBS50" s="25"/>
      <c r="RBT50" s="25"/>
      <c r="RBU50" s="25"/>
      <c r="RBV50" s="25"/>
      <c r="RBW50" s="25"/>
      <c r="RBX50" s="25"/>
      <c r="RBY50" s="25"/>
      <c r="RBZ50" s="25"/>
      <c r="RCA50" s="25"/>
      <c r="RCB50" s="25"/>
      <c r="RCC50" s="25"/>
      <c r="RCD50" s="25"/>
      <c r="RCE50" s="25"/>
      <c r="RCF50" s="25"/>
      <c r="RCG50" s="25"/>
      <c r="RCH50" s="25"/>
      <c r="RCI50" s="25"/>
      <c r="RCJ50" s="25"/>
      <c r="RCK50" s="25"/>
      <c r="RCL50" s="25"/>
      <c r="RCM50" s="25"/>
      <c r="RCN50" s="25"/>
      <c r="RCO50" s="25"/>
      <c r="RCP50" s="25"/>
      <c r="RCQ50" s="25"/>
      <c r="RCR50" s="25"/>
      <c r="RCS50" s="25"/>
      <c r="RCT50" s="25"/>
      <c r="RCU50" s="25"/>
      <c r="RCV50" s="25"/>
      <c r="RCW50" s="25"/>
      <c r="RCX50" s="25"/>
      <c r="RCY50" s="25"/>
      <c r="RCZ50" s="25"/>
      <c r="RDA50" s="25"/>
      <c r="RDB50" s="25"/>
      <c r="RDC50" s="25"/>
      <c r="RDD50" s="25"/>
      <c r="RDE50" s="25"/>
      <c r="RDF50" s="25"/>
      <c r="RDG50" s="25"/>
      <c r="RDH50" s="25"/>
      <c r="RDI50" s="25"/>
      <c r="RDJ50" s="25"/>
      <c r="RDK50" s="25"/>
      <c r="RDL50" s="25"/>
      <c r="RDM50" s="25"/>
      <c r="RDN50" s="25"/>
      <c r="RDO50" s="25"/>
      <c r="RDP50" s="25"/>
      <c r="RDQ50" s="25"/>
      <c r="RDR50" s="25"/>
      <c r="RDS50" s="25"/>
      <c r="RDT50" s="25"/>
      <c r="RDU50" s="25"/>
      <c r="RDV50" s="25"/>
      <c r="RDW50" s="25"/>
      <c r="RDX50" s="25"/>
      <c r="RDY50" s="25"/>
      <c r="RDZ50" s="25"/>
      <c r="REA50" s="25"/>
      <c r="REB50" s="25"/>
      <c r="REC50" s="25"/>
      <c r="RED50" s="25"/>
      <c r="REE50" s="25"/>
      <c r="REF50" s="25"/>
      <c r="REG50" s="25"/>
      <c r="REH50" s="25"/>
      <c r="REI50" s="25"/>
      <c r="REJ50" s="25"/>
      <c r="REK50" s="25"/>
      <c r="REL50" s="25"/>
      <c r="REM50" s="25"/>
      <c r="REN50" s="25"/>
      <c r="REO50" s="25"/>
      <c r="REP50" s="25"/>
      <c r="REQ50" s="25"/>
      <c r="RER50" s="25"/>
      <c r="RES50" s="25"/>
      <c r="RET50" s="25"/>
      <c r="REU50" s="25"/>
      <c r="REV50" s="25"/>
      <c r="REW50" s="25"/>
      <c r="REX50" s="25"/>
      <c r="REY50" s="25"/>
      <c r="REZ50" s="25"/>
      <c r="RFA50" s="25"/>
      <c r="RFB50" s="25"/>
      <c r="RFC50" s="25"/>
      <c r="RFD50" s="25"/>
      <c r="RFE50" s="25"/>
      <c r="RFF50" s="25"/>
      <c r="RFG50" s="25"/>
      <c r="RFH50" s="25"/>
      <c r="RFI50" s="25"/>
      <c r="RFJ50" s="25"/>
      <c r="RFK50" s="25"/>
      <c r="RFL50" s="25"/>
      <c r="RFM50" s="25"/>
      <c r="RFN50" s="25"/>
      <c r="RFO50" s="25"/>
      <c r="RFP50" s="25"/>
      <c r="RFQ50" s="25"/>
      <c r="RFR50" s="25"/>
      <c r="RFS50" s="25"/>
      <c r="RFT50" s="25"/>
      <c r="RFU50" s="25"/>
      <c r="RFV50" s="25"/>
      <c r="RFW50" s="25"/>
      <c r="RFX50" s="25"/>
      <c r="RFY50" s="25"/>
      <c r="RFZ50" s="25"/>
      <c r="RGA50" s="25"/>
      <c r="RGB50" s="25"/>
      <c r="RGC50" s="25"/>
      <c r="RGD50" s="25"/>
      <c r="RGE50" s="25"/>
      <c r="RGF50" s="25"/>
      <c r="RGG50" s="25"/>
      <c r="RGH50" s="25"/>
      <c r="RGI50" s="25"/>
      <c r="RGJ50" s="25"/>
      <c r="RGK50" s="25"/>
      <c r="RGL50" s="25"/>
      <c r="RGM50" s="25"/>
      <c r="RGN50" s="25"/>
      <c r="RGO50" s="25"/>
      <c r="RGP50" s="25"/>
      <c r="RGQ50" s="25"/>
      <c r="RGR50" s="25"/>
      <c r="RGS50" s="25"/>
      <c r="RGT50" s="25"/>
      <c r="RGU50" s="25"/>
      <c r="RGV50" s="25"/>
      <c r="RGW50" s="25"/>
      <c r="RGX50" s="25"/>
      <c r="RGY50" s="25"/>
      <c r="RGZ50" s="25"/>
      <c r="RHA50" s="25"/>
      <c r="RHB50" s="25"/>
      <c r="RHC50" s="25"/>
      <c r="RHD50" s="25"/>
      <c r="RHE50" s="25"/>
      <c r="RHF50" s="25"/>
      <c r="RHG50" s="25"/>
      <c r="RHH50" s="25"/>
      <c r="RHI50" s="25"/>
      <c r="RHJ50" s="25"/>
      <c r="RHK50" s="25"/>
      <c r="RHL50" s="25"/>
      <c r="RHM50" s="25"/>
      <c r="RHN50" s="25"/>
      <c r="RHO50" s="25"/>
      <c r="RHP50" s="25"/>
      <c r="RHQ50" s="25"/>
      <c r="RHR50" s="25"/>
      <c r="RHS50" s="25"/>
      <c r="RHT50" s="25"/>
      <c r="RHU50" s="25"/>
      <c r="RHV50" s="25"/>
      <c r="RHW50" s="25"/>
      <c r="RHX50" s="25"/>
      <c r="RHY50" s="25"/>
      <c r="RHZ50" s="25"/>
      <c r="RIA50" s="25"/>
      <c r="RIB50" s="25"/>
      <c r="RIC50" s="25"/>
      <c r="RID50" s="25"/>
      <c r="RIE50" s="25"/>
      <c r="RIF50" s="25"/>
      <c r="RIG50" s="25"/>
      <c r="RIH50" s="25"/>
      <c r="RII50" s="25"/>
      <c r="RIJ50" s="25"/>
      <c r="RIK50" s="25"/>
      <c r="RIL50" s="25"/>
      <c r="RIM50" s="25"/>
      <c r="RIN50" s="25"/>
      <c r="RIO50" s="25"/>
      <c r="RIP50" s="25"/>
      <c r="RIQ50" s="25"/>
      <c r="RIR50" s="25"/>
      <c r="RIS50" s="25"/>
      <c r="RIT50" s="25"/>
      <c r="RIU50" s="25"/>
      <c r="RIV50" s="25"/>
      <c r="RIW50" s="25"/>
      <c r="RIX50" s="25"/>
      <c r="RIY50" s="25"/>
      <c r="RIZ50" s="25"/>
      <c r="RJA50" s="25"/>
      <c r="RJB50" s="25"/>
      <c r="RJC50" s="25"/>
      <c r="RJD50" s="25"/>
      <c r="RJE50" s="25"/>
      <c r="RJF50" s="25"/>
      <c r="RJG50" s="25"/>
      <c r="RJH50" s="25"/>
      <c r="RJI50" s="25"/>
      <c r="RJJ50" s="25"/>
      <c r="RJK50" s="25"/>
      <c r="RJL50" s="25"/>
      <c r="RJM50" s="25"/>
      <c r="RJN50" s="25"/>
      <c r="RJO50" s="25"/>
      <c r="RJP50" s="25"/>
      <c r="RJQ50" s="25"/>
      <c r="RJR50" s="25"/>
      <c r="RJS50" s="25"/>
      <c r="RJT50" s="25"/>
      <c r="RJU50" s="25"/>
      <c r="RJV50" s="25"/>
      <c r="RJW50" s="25"/>
      <c r="RJX50" s="25"/>
      <c r="RJY50" s="25"/>
      <c r="RJZ50" s="25"/>
      <c r="RKA50" s="25"/>
      <c r="RKB50" s="25"/>
      <c r="RKC50" s="25"/>
      <c r="RKD50" s="25"/>
      <c r="RKE50" s="25"/>
      <c r="RKF50" s="25"/>
      <c r="RKG50" s="25"/>
      <c r="RKH50" s="25"/>
      <c r="RKI50" s="25"/>
      <c r="RKJ50" s="25"/>
      <c r="RKK50" s="25"/>
      <c r="RKL50" s="25"/>
      <c r="RKM50" s="25"/>
      <c r="RKN50" s="25"/>
      <c r="RKO50" s="25"/>
      <c r="RKP50" s="25"/>
      <c r="RKQ50" s="25"/>
      <c r="RKR50" s="25"/>
      <c r="RKS50" s="25"/>
      <c r="RKT50" s="25"/>
      <c r="RKU50" s="25"/>
      <c r="RKV50" s="25"/>
      <c r="RKW50" s="25"/>
      <c r="RKX50" s="25"/>
      <c r="RKY50" s="25"/>
      <c r="RKZ50" s="25"/>
      <c r="RLA50" s="25"/>
      <c r="RLB50" s="25"/>
      <c r="RLC50" s="25"/>
      <c r="RLD50" s="25"/>
      <c r="RLE50" s="25"/>
      <c r="RLF50" s="25"/>
      <c r="RLG50" s="25"/>
      <c r="RLH50" s="25"/>
      <c r="RLI50" s="25"/>
      <c r="RLJ50" s="25"/>
      <c r="RLK50" s="25"/>
      <c r="RLL50" s="25"/>
      <c r="RLM50" s="25"/>
      <c r="RLN50" s="25"/>
      <c r="RLO50" s="25"/>
      <c r="RLP50" s="25"/>
      <c r="RLQ50" s="25"/>
      <c r="RLR50" s="25"/>
      <c r="RLS50" s="25"/>
      <c r="RLT50" s="25"/>
      <c r="RLU50" s="25"/>
      <c r="RLV50" s="25"/>
      <c r="RLW50" s="25"/>
      <c r="RLX50" s="25"/>
      <c r="RLY50" s="25"/>
      <c r="RLZ50" s="25"/>
      <c r="RMA50" s="25"/>
      <c r="RMB50" s="25"/>
      <c r="RMC50" s="25"/>
      <c r="RMD50" s="25"/>
      <c r="RME50" s="25"/>
      <c r="RMF50" s="25"/>
      <c r="RMG50" s="25"/>
      <c r="RMH50" s="25"/>
      <c r="RMI50" s="25"/>
      <c r="RMJ50" s="25"/>
      <c r="RMK50" s="25"/>
      <c r="RML50" s="25"/>
      <c r="RMM50" s="25"/>
      <c r="RMN50" s="25"/>
      <c r="RMO50" s="25"/>
      <c r="RMP50" s="25"/>
      <c r="RMQ50" s="25"/>
      <c r="RMR50" s="25"/>
      <c r="RMS50" s="25"/>
      <c r="RMT50" s="25"/>
      <c r="RMU50" s="25"/>
      <c r="RMV50" s="25"/>
      <c r="RMW50" s="25"/>
      <c r="RMX50" s="25"/>
      <c r="RMY50" s="25"/>
      <c r="RMZ50" s="25"/>
      <c r="RNA50" s="25"/>
      <c r="RNB50" s="25"/>
      <c r="RNC50" s="25"/>
      <c r="RND50" s="25"/>
      <c r="RNE50" s="25"/>
      <c r="RNF50" s="25"/>
      <c r="RNG50" s="25"/>
      <c r="RNH50" s="25"/>
      <c r="RNI50" s="25"/>
      <c r="RNJ50" s="25"/>
      <c r="RNK50" s="25"/>
      <c r="RNL50" s="25"/>
      <c r="RNM50" s="25"/>
      <c r="RNN50" s="25"/>
      <c r="RNO50" s="25"/>
      <c r="RNP50" s="25"/>
      <c r="RNQ50" s="25"/>
      <c r="RNR50" s="25"/>
      <c r="RNS50" s="25"/>
      <c r="RNT50" s="25"/>
      <c r="RNU50" s="25"/>
      <c r="RNV50" s="25"/>
      <c r="RNW50" s="25"/>
      <c r="RNX50" s="25"/>
      <c r="RNY50" s="25"/>
      <c r="RNZ50" s="25"/>
      <c r="ROA50" s="25"/>
      <c r="ROB50" s="25"/>
      <c r="ROC50" s="25"/>
      <c r="ROD50" s="25"/>
      <c r="ROE50" s="25"/>
      <c r="ROF50" s="25"/>
      <c r="ROG50" s="25"/>
      <c r="ROH50" s="25"/>
      <c r="ROI50" s="25"/>
      <c r="ROJ50" s="25"/>
      <c r="ROK50" s="25"/>
      <c r="ROL50" s="25"/>
      <c r="ROM50" s="25"/>
      <c r="RON50" s="25"/>
      <c r="ROO50" s="25"/>
      <c r="ROP50" s="25"/>
      <c r="ROQ50" s="25"/>
      <c r="ROR50" s="25"/>
      <c r="ROS50" s="25"/>
      <c r="ROT50" s="25"/>
      <c r="ROU50" s="25"/>
      <c r="ROV50" s="25"/>
      <c r="ROW50" s="25"/>
      <c r="ROX50" s="25"/>
      <c r="ROY50" s="25"/>
      <c r="ROZ50" s="25"/>
      <c r="RPA50" s="25"/>
      <c r="RPB50" s="25"/>
      <c r="RPC50" s="25"/>
      <c r="RPD50" s="25"/>
      <c r="RPE50" s="25"/>
      <c r="RPF50" s="25"/>
      <c r="RPG50" s="25"/>
      <c r="RPH50" s="25"/>
      <c r="RPI50" s="25"/>
      <c r="RPJ50" s="25"/>
      <c r="RPK50" s="25"/>
      <c r="RPL50" s="25"/>
      <c r="RPM50" s="25"/>
      <c r="RPN50" s="25"/>
      <c r="RPO50" s="25"/>
      <c r="RPP50" s="25"/>
      <c r="RPQ50" s="25"/>
      <c r="RPR50" s="25"/>
      <c r="RPS50" s="25"/>
      <c r="RPT50" s="25"/>
      <c r="RPU50" s="25"/>
      <c r="RPV50" s="25"/>
      <c r="RPW50" s="25"/>
      <c r="RPX50" s="25"/>
      <c r="RPY50" s="25"/>
      <c r="RPZ50" s="25"/>
      <c r="RQA50" s="25"/>
      <c r="RQB50" s="25"/>
      <c r="RQC50" s="25"/>
      <c r="RQD50" s="25"/>
      <c r="RQE50" s="25"/>
      <c r="RQF50" s="25"/>
      <c r="RQG50" s="25"/>
      <c r="RQH50" s="25"/>
      <c r="RQI50" s="25"/>
      <c r="RQJ50" s="25"/>
      <c r="RQK50" s="25"/>
      <c r="RQL50" s="25"/>
      <c r="RQM50" s="25"/>
      <c r="RQN50" s="25"/>
      <c r="RQO50" s="25"/>
      <c r="RQP50" s="25"/>
      <c r="RQQ50" s="25"/>
      <c r="RQR50" s="25"/>
      <c r="RQS50" s="25"/>
      <c r="RQT50" s="25"/>
      <c r="RQU50" s="25"/>
      <c r="RQV50" s="25"/>
      <c r="RQW50" s="25"/>
      <c r="RQX50" s="25"/>
      <c r="RQY50" s="25"/>
      <c r="RQZ50" s="25"/>
      <c r="RRA50" s="25"/>
      <c r="RRB50" s="25"/>
      <c r="RRC50" s="25"/>
      <c r="RRD50" s="25"/>
      <c r="RRE50" s="25"/>
      <c r="RRF50" s="25"/>
      <c r="RRG50" s="25"/>
      <c r="RRH50" s="25"/>
      <c r="RRI50" s="25"/>
      <c r="RRJ50" s="25"/>
      <c r="RRK50" s="25"/>
      <c r="RRL50" s="25"/>
      <c r="RRM50" s="25"/>
      <c r="RRN50" s="25"/>
      <c r="RRO50" s="25"/>
      <c r="RRP50" s="25"/>
      <c r="RRQ50" s="25"/>
      <c r="RRR50" s="25"/>
      <c r="RRS50" s="25"/>
      <c r="RRT50" s="25"/>
      <c r="RRU50" s="25"/>
      <c r="RRV50" s="25"/>
      <c r="RRW50" s="25"/>
      <c r="RRX50" s="25"/>
      <c r="RRY50" s="25"/>
      <c r="RRZ50" s="25"/>
      <c r="RSA50" s="25"/>
      <c r="RSB50" s="25"/>
      <c r="RSC50" s="25"/>
      <c r="RSD50" s="25"/>
      <c r="RSE50" s="25"/>
      <c r="RSF50" s="25"/>
      <c r="RSG50" s="25"/>
      <c r="RSH50" s="25"/>
      <c r="RSI50" s="25"/>
      <c r="RSJ50" s="25"/>
      <c r="RSK50" s="25"/>
      <c r="RSL50" s="25"/>
      <c r="RSM50" s="25"/>
      <c r="RSN50" s="25"/>
      <c r="RSO50" s="25"/>
      <c r="RSP50" s="25"/>
      <c r="RSQ50" s="25"/>
      <c r="RSR50" s="25"/>
      <c r="RSS50" s="25"/>
      <c r="RST50" s="25"/>
      <c r="RSU50" s="25"/>
      <c r="RSV50" s="25"/>
      <c r="RSW50" s="25"/>
      <c r="RSX50" s="25"/>
      <c r="RSY50" s="25"/>
      <c r="RSZ50" s="25"/>
      <c r="RTA50" s="25"/>
      <c r="RTB50" s="25"/>
      <c r="RTC50" s="25"/>
      <c r="RTD50" s="25"/>
      <c r="RTE50" s="25"/>
      <c r="RTF50" s="25"/>
      <c r="RTG50" s="25"/>
      <c r="RTH50" s="25"/>
      <c r="RTI50" s="25"/>
      <c r="RTJ50" s="25"/>
      <c r="RTK50" s="25"/>
      <c r="RTL50" s="25"/>
      <c r="RTM50" s="25"/>
      <c r="RTN50" s="25"/>
      <c r="RTO50" s="25"/>
      <c r="RTP50" s="25"/>
      <c r="RTQ50" s="25"/>
      <c r="RTR50" s="25"/>
      <c r="RTS50" s="25"/>
      <c r="RTT50" s="25"/>
      <c r="RTU50" s="25"/>
      <c r="RTV50" s="25"/>
      <c r="RTW50" s="25"/>
      <c r="RTX50" s="25"/>
      <c r="RTY50" s="25"/>
      <c r="RTZ50" s="25"/>
      <c r="RUA50" s="25"/>
      <c r="RUB50" s="25"/>
      <c r="RUC50" s="25"/>
      <c r="RUD50" s="25"/>
      <c r="RUE50" s="25"/>
      <c r="RUF50" s="25"/>
      <c r="RUG50" s="25"/>
      <c r="RUH50" s="25"/>
      <c r="RUI50" s="25"/>
      <c r="RUJ50" s="25"/>
      <c r="RUK50" s="25"/>
      <c r="RUL50" s="25"/>
      <c r="RUM50" s="25"/>
      <c r="RUN50" s="25"/>
      <c r="RUO50" s="25"/>
      <c r="RUP50" s="25"/>
      <c r="RUQ50" s="25"/>
      <c r="RUR50" s="25"/>
      <c r="RUS50" s="25"/>
      <c r="RUT50" s="25"/>
      <c r="RUU50" s="25"/>
      <c r="RUV50" s="25"/>
      <c r="RUW50" s="25"/>
      <c r="RUX50" s="25"/>
      <c r="RUY50" s="25"/>
      <c r="RUZ50" s="25"/>
      <c r="RVA50" s="25"/>
      <c r="RVB50" s="25"/>
      <c r="RVC50" s="25"/>
      <c r="RVD50" s="25"/>
      <c r="RVE50" s="25"/>
      <c r="RVF50" s="25"/>
      <c r="RVG50" s="25"/>
      <c r="RVH50" s="25"/>
      <c r="RVI50" s="25"/>
      <c r="RVJ50" s="25"/>
      <c r="RVK50" s="25"/>
      <c r="RVL50" s="25"/>
      <c r="RVM50" s="25"/>
      <c r="RVN50" s="25"/>
      <c r="RVO50" s="25"/>
      <c r="RVP50" s="25"/>
      <c r="RVQ50" s="25"/>
      <c r="RVR50" s="25"/>
      <c r="RVS50" s="25"/>
      <c r="RVT50" s="25"/>
      <c r="RVU50" s="25"/>
      <c r="RVV50" s="25"/>
      <c r="RVW50" s="25"/>
      <c r="RVX50" s="25"/>
      <c r="RVY50" s="25"/>
      <c r="RVZ50" s="25"/>
      <c r="RWA50" s="25"/>
      <c r="RWB50" s="25"/>
      <c r="RWC50" s="25"/>
      <c r="RWD50" s="25"/>
      <c r="RWE50" s="25"/>
      <c r="RWF50" s="25"/>
      <c r="RWG50" s="25"/>
      <c r="RWH50" s="25"/>
      <c r="RWI50" s="25"/>
      <c r="RWJ50" s="25"/>
      <c r="RWK50" s="25"/>
      <c r="RWL50" s="25"/>
      <c r="RWM50" s="25"/>
      <c r="RWN50" s="25"/>
      <c r="RWO50" s="25"/>
      <c r="RWP50" s="25"/>
      <c r="RWQ50" s="25"/>
      <c r="RWR50" s="25"/>
      <c r="RWS50" s="25"/>
      <c r="RWT50" s="25"/>
      <c r="RWU50" s="25"/>
      <c r="RWV50" s="25"/>
      <c r="RWW50" s="25"/>
      <c r="RWX50" s="25"/>
      <c r="RWY50" s="25"/>
      <c r="RWZ50" s="25"/>
      <c r="RXA50" s="25"/>
      <c r="RXB50" s="25"/>
      <c r="RXC50" s="25"/>
      <c r="RXD50" s="25"/>
      <c r="RXE50" s="25"/>
      <c r="RXF50" s="25"/>
      <c r="RXG50" s="25"/>
      <c r="RXH50" s="25"/>
      <c r="RXI50" s="25"/>
      <c r="RXJ50" s="25"/>
      <c r="RXK50" s="25"/>
      <c r="RXL50" s="25"/>
      <c r="RXM50" s="25"/>
      <c r="RXN50" s="25"/>
      <c r="RXO50" s="25"/>
      <c r="RXP50" s="25"/>
      <c r="RXQ50" s="25"/>
      <c r="RXR50" s="25"/>
      <c r="RXS50" s="25"/>
      <c r="RXT50" s="25"/>
      <c r="RXU50" s="25"/>
      <c r="RXV50" s="25"/>
      <c r="RXW50" s="25"/>
      <c r="RXX50" s="25"/>
      <c r="RXY50" s="25"/>
      <c r="RXZ50" s="25"/>
      <c r="RYA50" s="25"/>
      <c r="RYB50" s="25"/>
      <c r="RYC50" s="25"/>
      <c r="RYD50" s="25"/>
      <c r="RYE50" s="25"/>
      <c r="RYF50" s="25"/>
      <c r="RYG50" s="25"/>
      <c r="RYH50" s="25"/>
      <c r="RYI50" s="25"/>
      <c r="RYJ50" s="25"/>
      <c r="RYK50" s="25"/>
      <c r="RYL50" s="25"/>
      <c r="RYM50" s="25"/>
      <c r="RYN50" s="25"/>
      <c r="RYO50" s="25"/>
      <c r="RYP50" s="25"/>
      <c r="RYQ50" s="25"/>
      <c r="RYR50" s="25"/>
      <c r="RYS50" s="25"/>
      <c r="RYT50" s="25"/>
      <c r="RYU50" s="25"/>
      <c r="RYV50" s="25"/>
      <c r="RYW50" s="25"/>
      <c r="RYX50" s="25"/>
      <c r="RYY50" s="25"/>
      <c r="RYZ50" s="25"/>
      <c r="RZA50" s="25"/>
      <c r="RZB50" s="25"/>
      <c r="RZC50" s="25"/>
      <c r="RZD50" s="25"/>
      <c r="RZE50" s="25"/>
      <c r="RZF50" s="25"/>
      <c r="RZG50" s="25"/>
      <c r="RZH50" s="25"/>
      <c r="RZI50" s="25"/>
      <c r="RZJ50" s="25"/>
      <c r="RZK50" s="25"/>
      <c r="RZL50" s="25"/>
      <c r="RZM50" s="25"/>
      <c r="RZN50" s="25"/>
      <c r="RZO50" s="25"/>
      <c r="RZP50" s="25"/>
      <c r="RZQ50" s="25"/>
      <c r="RZR50" s="25"/>
      <c r="RZS50" s="25"/>
      <c r="RZT50" s="25"/>
      <c r="RZU50" s="25"/>
      <c r="RZV50" s="25"/>
      <c r="RZW50" s="25"/>
      <c r="RZX50" s="25"/>
      <c r="RZY50" s="25"/>
      <c r="RZZ50" s="25"/>
      <c r="SAA50" s="25"/>
      <c r="SAB50" s="25"/>
      <c r="SAC50" s="25"/>
      <c r="SAD50" s="25"/>
      <c r="SAE50" s="25"/>
      <c r="SAF50" s="25"/>
      <c r="SAG50" s="25"/>
      <c r="SAH50" s="25"/>
      <c r="SAI50" s="25"/>
      <c r="SAJ50" s="25"/>
      <c r="SAK50" s="25"/>
      <c r="SAL50" s="25"/>
      <c r="SAM50" s="25"/>
      <c r="SAN50" s="25"/>
      <c r="SAO50" s="25"/>
      <c r="SAP50" s="25"/>
      <c r="SAQ50" s="25"/>
      <c r="SAR50" s="25"/>
      <c r="SAS50" s="25"/>
      <c r="SAT50" s="25"/>
      <c r="SAU50" s="25"/>
      <c r="SAV50" s="25"/>
      <c r="SAW50" s="25"/>
      <c r="SAX50" s="25"/>
      <c r="SAY50" s="25"/>
      <c r="SAZ50" s="25"/>
      <c r="SBA50" s="25"/>
      <c r="SBB50" s="25"/>
      <c r="SBC50" s="25"/>
      <c r="SBD50" s="25"/>
      <c r="SBE50" s="25"/>
      <c r="SBF50" s="25"/>
      <c r="SBG50" s="25"/>
      <c r="SBH50" s="25"/>
      <c r="SBI50" s="25"/>
      <c r="SBJ50" s="25"/>
      <c r="SBK50" s="25"/>
      <c r="SBL50" s="25"/>
      <c r="SBM50" s="25"/>
      <c r="SBN50" s="25"/>
      <c r="SBO50" s="25"/>
      <c r="SBP50" s="25"/>
      <c r="SBQ50" s="25"/>
      <c r="SBR50" s="25"/>
      <c r="SBS50" s="25"/>
      <c r="SBT50" s="25"/>
      <c r="SBU50" s="25"/>
      <c r="SBV50" s="25"/>
      <c r="SBW50" s="25"/>
      <c r="SBX50" s="25"/>
      <c r="SBY50" s="25"/>
      <c r="SBZ50" s="25"/>
      <c r="SCA50" s="25"/>
      <c r="SCB50" s="25"/>
      <c r="SCC50" s="25"/>
      <c r="SCD50" s="25"/>
      <c r="SCE50" s="25"/>
      <c r="SCF50" s="25"/>
      <c r="SCG50" s="25"/>
      <c r="SCH50" s="25"/>
      <c r="SCI50" s="25"/>
      <c r="SCJ50" s="25"/>
      <c r="SCK50" s="25"/>
      <c r="SCL50" s="25"/>
      <c r="SCM50" s="25"/>
      <c r="SCN50" s="25"/>
      <c r="SCO50" s="25"/>
      <c r="SCP50" s="25"/>
      <c r="SCQ50" s="25"/>
      <c r="SCR50" s="25"/>
      <c r="SCS50" s="25"/>
      <c r="SCT50" s="25"/>
      <c r="SCU50" s="25"/>
      <c r="SCV50" s="25"/>
      <c r="SCW50" s="25"/>
      <c r="SCX50" s="25"/>
      <c r="SCY50" s="25"/>
      <c r="SCZ50" s="25"/>
      <c r="SDA50" s="25"/>
      <c r="SDB50" s="25"/>
      <c r="SDC50" s="25"/>
      <c r="SDD50" s="25"/>
      <c r="SDE50" s="25"/>
      <c r="SDF50" s="25"/>
      <c r="SDG50" s="25"/>
      <c r="SDH50" s="25"/>
      <c r="SDI50" s="25"/>
      <c r="SDJ50" s="25"/>
      <c r="SDK50" s="25"/>
      <c r="SDL50" s="25"/>
      <c r="SDM50" s="25"/>
      <c r="SDN50" s="25"/>
      <c r="SDO50" s="25"/>
      <c r="SDP50" s="25"/>
      <c r="SDQ50" s="25"/>
      <c r="SDR50" s="25"/>
      <c r="SDS50" s="25"/>
      <c r="SDT50" s="25"/>
      <c r="SDU50" s="25"/>
      <c r="SDV50" s="25"/>
      <c r="SDW50" s="25"/>
      <c r="SDX50" s="25"/>
      <c r="SDY50" s="25"/>
      <c r="SDZ50" s="25"/>
      <c r="SEA50" s="25"/>
      <c r="SEB50" s="25"/>
      <c r="SEC50" s="25"/>
      <c r="SED50" s="25"/>
      <c r="SEE50" s="25"/>
      <c r="SEF50" s="25"/>
      <c r="SEG50" s="25"/>
      <c r="SEH50" s="25"/>
      <c r="SEI50" s="25"/>
      <c r="SEJ50" s="25"/>
      <c r="SEK50" s="25"/>
      <c r="SEL50" s="25"/>
      <c r="SEM50" s="25"/>
      <c r="SEN50" s="25"/>
      <c r="SEO50" s="25"/>
      <c r="SEP50" s="25"/>
      <c r="SEQ50" s="25"/>
      <c r="SER50" s="25"/>
      <c r="SES50" s="25"/>
      <c r="SET50" s="25"/>
      <c r="SEU50" s="25"/>
      <c r="SEV50" s="25"/>
      <c r="SEW50" s="25"/>
      <c r="SEX50" s="25"/>
      <c r="SEY50" s="25"/>
      <c r="SEZ50" s="25"/>
      <c r="SFA50" s="25"/>
      <c r="SFB50" s="25"/>
      <c r="SFC50" s="25"/>
      <c r="SFD50" s="25"/>
      <c r="SFE50" s="25"/>
      <c r="SFF50" s="25"/>
      <c r="SFG50" s="25"/>
      <c r="SFH50" s="25"/>
      <c r="SFI50" s="25"/>
      <c r="SFJ50" s="25"/>
      <c r="SFK50" s="25"/>
      <c r="SFL50" s="25"/>
      <c r="SFM50" s="25"/>
      <c r="SFN50" s="25"/>
      <c r="SFO50" s="25"/>
      <c r="SFP50" s="25"/>
      <c r="SFQ50" s="25"/>
      <c r="SFR50" s="25"/>
      <c r="SFS50" s="25"/>
      <c r="SFT50" s="25"/>
      <c r="SFU50" s="25"/>
      <c r="SFV50" s="25"/>
      <c r="SFW50" s="25"/>
      <c r="SFX50" s="25"/>
      <c r="SFY50" s="25"/>
      <c r="SFZ50" s="25"/>
      <c r="SGA50" s="25"/>
      <c r="SGB50" s="25"/>
      <c r="SGC50" s="25"/>
      <c r="SGD50" s="25"/>
      <c r="SGE50" s="25"/>
      <c r="SGF50" s="25"/>
      <c r="SGG50" s="25"/>
      <c r="SGH50" s="25"/>
      <c r="SGI50" s="25"/>
      <c r="SGJ50" s="25"/>
      <c r="SGK50" s="25"/>
      <c r="SGL50" s="25"/>
      <c r="SGM50" s="25"/>
      <c r="SGN50" s="25"/>
      <c r="SGO50" s="25"/>
      <c r="SGP50" s="25"/>
      <c r="SGQ50" s="25"/>
      <c r="SGR50" s="25"/>
      <c r="SGS50" s="25"/>
      <c r="SGT50" s="25"/>
      <c r="SGU50" s="25"/>
      <c r="SGV50" s="25"/>
      <c r="SGW50" s="25"/>
      <c r="SGX50" s="25"/>
      <c r="SGY50" s="25"/>
      <c r="SGZ50" s="25"/>
      <c r="SHA50" s="25"/>
      <c r="SHB50" s="25"/>
      <c r="SHC50" s="25"/>
      <c r="SHD50" s="25"/>
      <c r="SHE50" s="25"/>
      <c r="SHF50" s="25"/>
      <c r="SHG50" s="25"/>
      <c r="SHH50" s="25"/>
      <c r="SHI50" s="25"/>
      <c r="SHJ50" s="25"/>
      <c r="SHK50" s="25"/>
      <c r="SHL50" s="25"/>
      <c r="SHM50" s="25"/>
      <c r="SHN50" s="25"/>
      <c r="SHO50" s="25"/>
      <c r="SHP50" s="25"/>
      <c r="SHQ50" s="25"/>
      <c r="SHR50" s="25"/>
      <c r="SHS50" s="25"/>
      <c r="SHT50" s="25"/>
      <c r="SHU50" s="25"/>
      <c r="SHV50" s="25"/>
      <c r="SHW50" s="25"/>
      <c r="SHX50" s="25"/>
      <c r="SHY50" s="25"/>
      <c r="SHZ50" s="25"/>
      <c r="SIA50" s="25"/>
      <c r="SIB50" s="25"/>
      <c r="SIC50" s="25"/>
      <c r="SID50" s="25"/>
      <c r="SIE50" s="25"/>
      <c r="SIF50" s="25"/>
      <c r="SIG50" s="25"/>
      <c r="SIH50" s="25"/>
      <c r="SII50" s="25"/>
      <c r="SIJ50" s="25"/>
      <c r="SIK50" s="25"/>
      <c r="SIL50" s="25"/>
      <c r="SIM50" s="25"/>
      <c r="SIN50" s="25"/>
      <c r="SIO50" s="25"/>
      <c r="SIP50" s="25"/>
      <c r="SIQ50" s="25"/>
      <c r="SIR50" s="25"/>
      <c r="SIS50" s="25"/>
      <c r="SIT50" s="25"/>
      <c r="SIU50" s="25"/>
      <c r="SIV50" s="25"/>
      <c r="SIW50" s="25"/>
      <c r="SIX50" s="25"/>
      <c r="SIY50" s="25"/>
      <c r="SIZ50" s="25"/>
      <c r="SJA50" s="25"/>
      <c r="SJB50" s="25"/>
      <c r="SJC50" s="25"/>
      <c r="SJD50" s="25"/>
      <c r="SJE50" s="25"/>
      <c r="SJF50" s="25"/>
      <c r="SJG50" s="25"/>
      <c r="SJH50" s="25"/>
      <c r="SJI50" s="25"/>
      <c r="SJJ50" s="25"/>
      <c r="SJK50" s="25"/>
      <c r="SJL50" s="25"/>
      <c r="SJM50" s="25"/>
      <c r="SJN50" s="25"/>
      <c r="SJO50" s="25"/>
      <c r="SJP50" s="25"/>
      <c r="SJQ50" s="25"/>
      <c r="SJR50" s="25"/>
      <c r="SJS50" s="25"/>
      <c r="SJT50" s="25"/>
      <c r="SJU50" s="25"/>
      <c r="SJV50" s="25"/>
      <c r="SJW50" s="25"/>
      <c r="SJX50" s="25"/>
      <c r="SJY50" s="25"/>
      <c r="SJZ50" s="25"/>
      <c r="SKA50" s="25"/>
      <c r="SKB50" s="25"/>
      <c r="SKC50" s="25"/>
      <c r="SKD50" s="25"/>
      <c r="SKE50" s="25"/>
      <c r="SKF50" s="25"/>
      <c r="SKG50" s="25"/>
      <c r="SKH50" s="25"/>
      <c r="SKI50" s="25"/>
      <c r="SKJ50" s="25"/>
      <c r="SKK50" s="25"/>
      <c r="SKL50" s="25"/>
      <c r="SKM50" s="25"/>
      <c r="SKN50" s="25"/>
      <c r="SKO50" s="25"/>
      <c r="SKP50" s="25"/>
      <c r="SKQ50" s="25"/>
      <c r="SKR50" s="25"/>
      <c r="SKS50" s="25"/>
      <c r="SKT50" s="25"/>
      <c r="SKU50" s="25"/>
      <c r="SKV50" s="25"/>
      <c r="SKW50" s="25"/>
      <c r="SKX50" s="25"/>
      <c r="SKY50" s="25"/>
      <c r="SKZ50" s="25"/>
      <c r="SLA50" s="25"/>
      <c r="SLB50" s="25"/>
      <c r="SLC50" s="25"/>
      <c r="SLD50" s="25"/>
      <c r="SLE50" s="25"/>
      <c r="SLF50" s="25"/>
      <c r="SLG50" s="25"/>
      <c r="SLH50" s="25"/>
      <c r="SLI50" s="25"/>
      <c r="SLJ50" s="25"/>
      <c r="SLK50" s="25"/>
      <c r="SLL50" s="25"/>
      <c r="SLM50" s="25"/>
      <c r="SLN50" s="25"/>
      <c r="SLO50" s="25"/>
      <c r="SLP50" s="25"/>
      <c r="SLQ50" s="25"/>
      <c r="SLR50" s="25"/>
      <c r="SLS50" s="25"/>
      <c r="SLT50" s="25"/>
      <c r="SLU50" s="25"/>
      <c r="SLV50" s="25"/>
      <c r="SLW50" s="25"/>
      <c r="SLX50" s="25"/>
      <c r="SLY50" s="25"/>
      <c r="SLZ50" s="25"/>
      <c r="SMA50" s="25"/>
      <c r="SMB50" s="25"/>
      <c r="SMC50" s="25"/>
      <c r="SMD50" s="25"/>
      <c r="SME50" s="25"/>
      <c r="SMF50" s="25"/>
      <c r="SMG50" s="25"/>
      <c r="SMH50" s="25"/>
      <c r="SMI50" s="25"/>
      <c r="SMJ50" s="25"/>
      <c r="SMK50" s="25"/>
      <c r="SML50" s="25"/>
      <c r="SMM50" s="25"/>
      <c r="SMN50" s="25"/>
      <c r="SMO50" s="25"/>
      <c r="SMP50" s="25"/>
      <c r="SMQ50" s="25"/>
      <c r="SMR50" s="25"/>
      <c r="SMS50" s="25"/>
      <c r="SMT50" s="25"/>
      <c r="SMU50" s="25"/>
      <c r="SMV50" s="25"/>
      <c r="SMW50" s="25"/>
      <c r="SMX50" s="25"/>
      <c r="SMY50" s="25"/>
      <c r="SMZ50" s="25"/>
      <c r="SNA50" s="25"/>
      <c r="SNB50" s="25"/>
      <c r="SNC50" s="25"/>
      <c r="SND50" s="25"/>
      <c r="SNE50" s="25"/>
      <c r="SNF50" s="25"/>
      <c r="SNG50" s="25"/>
      <c r="SNH50" s="25"/>
      <c r="SNI50" s="25"/>
      <c r="SNJ50" s="25"/>
      <c r="SNK50" s="25"/>
      <c r="SNL50" s="25"/>
      <c r="SNM50" s="25"/>
      <c r="SNN50" s="25"/>
      <c r="SNO50" s="25"/>
      <c r="SNP50" s="25"/>
      <c r="SNQ50" s="25"/>
      <c r="SNR50" s="25"/>
      <c r="SNS50" s="25"/>
      <c r="SNT50" s="25"/>
      <c r="SNU50" s="25"/>
      <c r="SNV50" s="25"/>
      <c r="SNW50" s="25"/>
      <c r="SNX50" s="25"/>
      <c r="SNY50" s="25"/>
      <c r="SNZ50" s="25"/>
      <c r="SOA50" s="25"/>
      <c r="SOB50" s="25"/>
      <c r="SOC50" s="25"/>
      <c r="SOD50" s="25"/>
      <c r="SOE50" s="25"/>
      <c r="SOF50" s="25"/>
      <c r="SOG50" s="25"/>
      <c r="SOH50" s="25"/>
      <c r="SOI50" s="25"/>
      <c r="SOJ50" s="25"/>
      <c r="SOK50" s="25"/>
      <c r="SOL50" s="25"/>
      <c r="SOM50" s="25"/>
      <c r="SON50" s="25"/>
      <c r="SOO50" s="25"/>
      <c r="SOP50" s="25"/>
      <c r="SOQ50" s="25"/>
      <c r="SOR50" s="25"/>
      <c r="SOS50" s="25"/>
      <c r="SOT50" s="25"/>
      <c r="SOU50" s="25"/>
      <c r="SOV50" s="25"/>
      <c r="SOW50" s="25"/>
      <c r="SOX50" s="25"/>
      <c r="SOY50" s="25"/>
      <c r="SOZ50" s="25"/>
      <c r="SPA50" s="25"/>
      <c r="SPB50" s="25"/>
      <c r="SPC50" s="25"/>
      <c r="SPD50" s="25"/>
      <c r="SPE50" s="25"/>
      <c r="SPF50" s="25"/>
      <c r="SPG50" s="25"/>
      <c r="SPH50" s="25"/>
      <c r="SPI50" s="25"/>
      <c r="SPJ50" s="25"/>
      <c r="SPK50" s="25"/>
      <c r="SPL50" s="25"/>
      <c r="SPM50" s="25"/>
      <c r="SPN50" s="25"/>
      <c r="SPO50" s="25"/>
      <c r="SPP50" s="25"/>
      <c r="SPQ50" s="25"/>
      <c r="SPR50" s="25"/>
      <c r="SPS50" s="25"/>
      <c r="SPT50" s="25"/>
      <c r="SPU50" s="25"/>
      <c r="SPV50" s="25"/>
      <c r="SPW50" s="25"/>
      <c r="SPX50" s="25"/>
      <c r="SPY50" s="25"/>
      <c r="SPZ50" s="25"/>
      <c r="SQA50" s="25"/>
      <c r="SQB50" s="25"/>
      <c r="SQC50" s="25"/>
      <c r="SQD50" s="25"/>
      <c r="SQE50" s="25"/>
      <c r="SQF50" s="25"/>
      <c r="SQG50" s="25"/>
      <c r="SQH50" s="25"/>
      <c r="SQI50" s="25"/>
      <c r="SQJ50" s="25"/>
      <c r="SQK50" s="25"/>
      <c r="SQL50" s="25"/>
      <c r="SQM50" s="25"/>
      <c r="SQN50" s="25"/>
      <c r="SQO50" s="25"/>
      <c r="SQP50" s="25"/>
      <c r="SQQ50" s="25"/>
      <c r="SQR50" s="25"/>
      <c r="SQS50" s="25"/>
      <c r="SQT50" s="25"/>
      <c r="SQU50" s="25"/>
      <c r="SQV50" s="25"/>
      <c r="SQW50" s="25"/>
      <c r="SQX50" s="25"/>
      <c r="SQY50" s="25"/>
      <c r="SQZ50" s="25"/>
      <c r="SRA50" s="25"/>
      <c r="SRB50" s="25"/>
      <c r="SRC50" s="25"/>
      <c r="SRD50" s="25"/>
      <c r="SRE50" s="25"/>
      <c r="SRF50" s="25"/>
      <c r="SRG50" s="25"/>
      <c r="SRH50" s="25"/>
      <c r="SRI50" s="25"/>
      <c r="SRJ50" s="25"/>
      <c r="SRK50" s="25"/>
      <c r="SRL50" s="25"/>
      <c r="SRM50" s="25"/>
      <c r="SRN50" s="25"/>
      <c r="SRO50" s="25"/>
      <c r="SRP50" s="25"/>
      <c r="SRQ50" s="25"/>
      <c r="SRR50" s="25"/>
      <c r="SRS50" s="25"/>
      <c r="SRT50" s="25"/>
      <c r="SRU50" s="25"/>
      <c r="SRV50" s="25"/>
      <c r="SRW50" s="25"/>
      <c r="SRX50" s="25"/>
      <c r="SRY50" s="25"/>
      <c r="SRZ50" s="25"/>
      <c r="SSA50" s="25"/>
      <c r="SSB50" s="25"/>
      <c r="SSC50" s="25"/>
      <c r="SSD50" s="25"/>
      <c r="SSE50" s="25"/>
      <c r="SSF50" s="25"/>
      <c r="SSG50" s="25"/>
      <c r="SSH50" s="25"/>
      <c r="SSI50" s="25"/>
      <c r="SSJ50" s="25"/>
      <c r="SSK50" s="25"/>
      <c r="SSL50" s="25"/>
      <c r="SSM50" s="25"/>
      <c r="SSN50" s="25"/>
      <c r="SSO50" s="25"/>
      <c r="SSP50" s="25"/>
      <c r="SSQ50" s="25"/>
      <c r="SSR50" s="25"/>
      <c r="SSS50" s="25"/>
      <c r="SST50" s="25"/>
      <c r="SSU50" s="25"/>
      <c r="SSV50" s="25"/>
      <c r="SSW50" s="25"/>
      <c r="SSX50" s="25"/>
      <c r="SSY50" s="25"/>
      <c r="SSZ50" s="25"/>
      <c r="STA50" s="25"/>
      <c r="STB50" s="25"/>
      <c r="STC50" s="25"/>
      <c r="STD50" s="25"/>
      <c r="STE50" s="25"/>
      <c r="STF50" s="25"/>
      <c r="STG50" s="25"/>
      <c r="STH50" s="25"/>
      <c r="STI50" s="25"/>
      <c r="STJ50" s="25"/>
      <c r="STK50" s="25"/>
      <c r="STL50" s="25"/>
      <c r="STM50" s="25"/>
      <c r="STN50" s="25"/>
      <c r="STO50" s="25"/>
      <c r="STP50" s="25"/>
      <c r="STQ50" s="25"/>
      <c r="STR50" s="25"/>
      <c r="STS50" s="25"/>
      <c r="STT50" s="25"/>
      <c r="STU50" s="25"/>
      <c r="STV50" s="25"/>
      <c r="STW50" s="25"/>
      <c r="STX50" s="25"/>
      <c r="STY50" s="25"/>
      <c r="STZ50" s="25"/>
      <c r="SUA50" s="25"/>
      <c r="SUB50" s="25"/>
      <c r="SUC50" s="25"/>
      <c r="SUD50" s="25"/>
      <c r="SUE50" s="25"/>
      <c r="SUF50" s="25"/>
      <c r="SUG50" s="25"/>
      <c r="SUH50" s="25"/>
      <c r="SUI50" s="25"/>
      <c r="SUJ50" s="25"/>
      <c r="SUK50" s="25"/>
      <c r="SUL50" s="25"/>
      <c r="SUM50" s="25"/>
      <c r="SUN50" s="25"/>
      <c r="SUO50" s="25"/>
      <c r="SUP50" s="25"/>
      <c r="SUQ50" s="25"/>
      <c r="SUR50" s="25"/>
      <c r="SUS50" s="25"/>
      <c r="SUT50" s="25"/>
      <c r="SUU50" s="25"/>
      <c r="SUV50" s="25"/>
      <c r="SUW50" s="25"/>
      <c r="SUX50" s="25"/>
      <c r="SUY50" s="25"/>
      <c r="SUZ50" s="25"/>
      <c r="SVA50" s="25"/>
      <c r="SVB50" s="25"/>
      <c r="SVC50" s="25"/>
      <c r="SVD50" s="25"/>
      <c r="SVE50" s="25"/>
      <c r="SVF50" s="25"/>
      <c r="SVG50" s="25"/>
      <c r="SVH50" s="25"/>
      <c r="SVI50" s="25"/>
      <c r="SVJ50" s="25"/>
      <c r="SVK50" s="25"/>
      <c r="SVL50" s="25"/>
      <c r="SVM50" s="25"/>
      <c r="SVN50" s="25"/>
      <c r="SVO50" s="25"/>
      <c r="SVP50" s="25"/>
      <c r="SVQ50" s="25"/>
      <c r="SVR50" s="25"/>
      <c r="SVS50" s="25"/>
      <c r="SVT50" s="25"/>
      <c r="SVU50" s="25"/>
      <c r="SVV50" s="25"/>
      <c r="SVW50" s="25"/>
      <c r="SVX50" s="25"/>
      <c r="SVY50" s="25"/>
      <c r="SVZ50" s="25"/>
      <c r="SWA50" s="25"/>
      <c r="SWB50" s="25"/>
      <c r="SWC50" s="25"/>
      <c r="SWD50" s="25"/>
      <c r="SWE50" s="25"/>
      <c r="SWF50" s="25"/>
      <c r="SWG50" s="25"/>
      <c r="SWH50" s="25"/>
      <c r="SWI50" s="25"/>
      <c r="SWJ50" s="25"/>
      <c r="SWK50" s="25"/>
      <c r="SWL50" s="25"/>
      <c r="SWM50" s="25"/>
      <c r="SWN50" s="25"/>
      <c r="SWO50" s="25"/>
      <c r="SWP50" s="25"/>
      <c r="SWQ50" s="25"/>
      <c r="SWR50" s="25"/>
      <c r="SWS50" s="25"/>
      <c r="SWT50" s="25"/>
      <c r="SWU50" s="25"/>
      <c r="SWV50" s="25"/>
      <c r="SWW50" s="25"/>
      <c r="SWX50" s="25"/>
      <c r="SWY50" s="25"/>
      <c r="SWZ50" s="25"/>
      <c r="SXA50" s="25"/>
      <c r="SXB50" s="25"/>
      <c r="SXC50" s="25"/>
      <c r="SXD50" s="25"/>
      <c r="SXE50" s="25"/>
      <c r="SXF50" s="25"/>
      <c r="SXG50" s="25"/>
      <c r="SXH50" s="25"/>
      <c r="SXI50" s="25"/>
      <c r="SXJ50" s="25"/>
      <c r="SXK50" s="25"/>
      <c r="SXL50" s="25"/>
      <c r="SXM50" s="25"/>
      <c r="SXN50" s="25"/>
      <c r="SXO50" s="25"/>
      <c r="SXP50" s="25"/>
      <c r="SXQ50" s="25"/>
      <c r="SXR50" s="25"/>
      <c r="SXS50" s="25"/>
      <c r="SXT50" s="25"/>
      <c r="SXU50" s="25"/>
      <c r="SXV50" s="25"/>
      <c r="SXW50" s="25"/>
      <c r="SXX50" s="25"/>
      <c r="SXY50" s="25"/>
      <c r="SXZ50" s="25"/>
      <c r="SYA50" s="25"/>
      <c r="SYB50" s="25"/>
      <c r="SYC50" s="25"/>
      <c r="SYD50" s="25"/>
      <c r="SYE50" s="25"/>
      <c r="SYF50" s="25"/>
      <c r="SYG50" s="25"/>
      <c r="SYH50" s="25"/>
      <c r="SYI50" s="25"/>
      <c r="SYJ50" s="25"/>
      <c r="SYK50" s="25"/>
      <c r="SYL50" s="25"/>
      <c r="SYM50" s="25"/>
      <c r="SYN50" s="25"/>
      <c r="SYO50" s="25"/>
      <c r="SYP50" s="25"/>
      <c r="SYQ50" s="25"/>
      <c r="SYR50" s="25"/>
      <c r="SYS50" s="25"/>
      <c r="SYT50" s="25"/>
      <c r="SYU50" s="25"/>
      <c r="SYV50" s="25"/>
      <c r="SYW50" s="25"/>
      <c r="SYX50" s="25"/>
      <c r="SYY50" s="25"/>
      <c r="SYZ50" s="25"/>
      <c r="SZA50" s="25"/>
      <c r="SZB50" s="25"/>
      <c r="SZC50" s="25"/>
      <c r="SZD50" s="25"/>
      <c r="SZE50" s="25"/>
      <c r="SZF50" s="25"/>
      <c r="SZG50" s="25"/>
      <c r="SZH50" s="25"/>
      <c r="SZI50" s="25"/>
      <c r="SZJ50" s="25"/>
      <c r="SZK50" s="25"/>
      <c r="SZL50" s="25"/>
      <c r="SZM50" s="25"/>
      <c r="SZN50" s="25"/>
      <c r="SZO50" s="25"/>
      <c r="SZP50" s="25"/>
      <c r="SZQ50" s="25"/>
      <c r="SZR50" s="25"/>
      <c r="SZS50" s="25"/>
      <c r="SZT50" s="25"/>
      <c r="SZU50" s="25"/>
      <c r="SZV50" s="25"/>
      <c r="SZW50" s="25"/>
      <c r="SZX50" s="25"/>
      <c r="SZY50" s="25"/>
      <c r="SZZ50" s="25"/>
      <c r="TAA50" s="25"/>
      <c r="TAB50" s="25"/>
      <c r="TAC50" s="25"/>
      <c r="TAD50" s="25"/>
      <c r="TAE50" s="25"/>
      <c r="TAF50" s="25"/>
      <c r="TAG50" s="25"/>
      <c r="TAH50" s="25"/>
      <c r="TAI50" s="25"/>
      <c r="TAJ50" s="25"/>
      <c r="TAK50" s="25"/>
      <c r="TAL50" s="25"/>
      <c r="TAM50" s="25"/>
      <c r="TAN50" s="25"/>
      <c r="TAO50" s="25"/>
      <c r="TAP50" s="25"/>
      <c r="TAQ50" s="25"/>
      <c r="TAR50" s="25"/>
      <c r="TAS50" s="25"/>
      <c r="TAT50" s="25"/>
      <c r="TAU50" s="25"/>
      <c r="TAV50" s="25"/>
      <c r="TAW50" s="25"/>
      <c r="TAX50" s="25"/>
      <c r="TAY50" s="25"/>
      <c r="TAZ50" s="25"/>
      <c r="TBA50" s="25"/>
      <c r="TBB50" s="25"/>
      <c r="TBC50" s="25"/>
      <c r="TBD50" s="25"/>
      <c r="TBE50" s="25"/>
      <c r="TBF50" s="25"/>
      <c r="TBG50" s="25"/>
      <c r="TBH50" s="25"/>
      <c r="TBI50" s="25"/>
      <c r="TBJ50" s="25"/>
      <c r="TBK50" s="25"/>
      <c r="TBL50" s="25"/>
      <c r="TBM50" s="25"/>
      <c r="TBN50" s="25"/>
      <c r="TBO50" s="25"/>
      <c r="TBP50" s="25"/>
      <c r="TBQ50" s="25"/>
      <c r="TBR50" s="25"/>
      <c r="TBS50" s="25"/>
      <c r="TBT50" s="25"/>
      <c r="TBU50" s="25"/>
      <c r="TBV50" s="25"/>
      <c r="TBW50" s="25"/>
      <c r="TBX50" s="25"/>
      <c r="TBY50" s="25"/>
      <c r="TBZ50" s="25"/>
      <c r="TCA50" s="25"/>
      <c r="TCB50" s="25"/>
      <c r="TCC50" s="25"/>
      <c r="TCD50" s="25"/>
      <c r="TCE50" s="25"/>
      <c r="TCF50" s="25"/>
      <c r="TCG50" s="25"/>
      <c r="TCH50" s="25"/>
      <c r="TCI50" s="25"/>
      <c r="TCJ50" s="25"/>
      <c r="TCK50" s="25"/>
      <c r="TCL50" s="25"/>
      <c r="TCM50" s="25"/>
      <c r="TCN50" s="25"/>
      <c r="TCO50" s="25"/>
      <c r="TCP50" s="25"/>
      <c r="TCQ50" s="25"/>
      <c r="TCR50" s="25"/>
      <c r="TCS50" s="25"/>
      <c r="TCT50" s="25"/>
      <c r="TCU50" s="25"/>
      <c r="TCV50" s="25"/>
      <c r="TCW50" s="25"/>
      <c r="TCX50" s="25"/>
      <c r="TCY50" s="25"/>
      <c r="TCZ50" s="25"/>
      <c r="TDA50" s="25"/>
      <c r="TDB50" s="25"/>
      <c r="TDC50" s="25"/>
      <c r="TDD50" s="25"/>
      <c r="TDE50" s="25"/>
      <c r="TDF50" s="25"/>
      <c r="TDG50" s="25"/>
      <c r="TDH50" s="25"/>
      <c r="TDI50" s="25"/>
      <c r="TDJ50" s="25"/>
      <c r="TDK50" s="25"/>
      <c r="TDL50" s="25"/>
      <c r="TDM50" s="25"/>
      <c r="TDN50" s="25"/>
      <c r="TDO50" s="25"/>
      <c r="TDP50" s="25"/>
      <c r="TDQ50" s="25"/>
      <c r="TDR50" s="25"/>
      <c r="TDS50" s="25"/>
      <c r="TDT50" s="25"/>
      <c r="TDU50" s="25"/>
      <c r="TDV50" s="25"/>
      <c r="TDW50" s="25"/>
      <c r="TDX50" s="25"/>
      <c r="TDY50" s="25"/>
      <c r="TDZ50" s="25"/>
      <c r="TEA50" s="25"/>
      <c r="TEB50" s="25"/>
      <c r="TEC50" s="25"/>
      <c r="TED50" s="25"/>
      <c r="TEE50" s="25"/>
      <c r="TEF50" s="25"/>
      <c r="TEG50" s="25"/>
      <c r="TEH50" s="25"/>
      <c r="TEI50" s="25"/>
      <c r="TEJ50" s="25"/>
      <c r="TEK50" s="25"/>
      <c r="TEL50" s="25"/>
      <c r="TEM50" s="25"/>
      <c r="TEN50" s="25"/>
      <c r="TEO50" s="25"/>
      <c r="TEP50" s="25"/>
      <c r="TEQ50" s="25"/>
      <c r="TER50" s="25"/>
      <c r="TES50" s="25"/>
      <c r="TET50" s="25"/>
      <c r="TEU50" s="25"/>
      <c r="TEV50" s="25"/>
      <c r="TEW50" s="25"/>
      <c r="TEX50" s="25"/>
      <c r="TEY50" s="25"/>
      <c r="TEZ50" s="25"/>
      <c r="TFA50" s="25"/>
      <c r="TFB50" s="25"/>
      <c r="TFC50" s="25"/>
      <c r="TFD50" s="25"/>
      <c r="TFE50" s="25"/>
      <c r="TFF50" s="25"/>
      <c r="TFG50" s="25"/>
      <c r="TFH50" s="25"/>
      <c r="TFI50" s="25"/>
      <c r="TFJ50" s="25"/>
      <c r="TFK50" s="25"/>
      <c r="TFL50" s="25"/>
      <c r="TFM50" s="25"/>
      <c r="TFN50" s="25"/>
      <c r="TFO50" s="25"/>
      <c r="TFP50" s="25"/>
      <c r="TFQ50" s="25"/>
      <c r="TFR50" s="25"/>
      <c r="TFS50" s="25"/>
      <c r="TFT50" s="25"/>
      <c r="TFU50" s="25"/>
      <c r="TFV50" s="25"/>
      <c r="TFW50" s="25"/>
      <c r="TFX50" s="25"/>
      <c r="TFY50" s="25"/>
      <c r="TFZ50" s="25"/>
      <c r="TGA50" s="25"/>
      <c r="TGB50" s="25"/>
      <c r="TGC50" s="25"/>
      <c r="TGD50" s="25"/>
      <c r="TGE50" s="25"/>
      <c r="TGF50" s="25"/>
      <c r="TGG50" s="25"/>
      <c r="TGH50" s="25"/>
      <c r="TGI50" s="25"/>
      <c r="TGJ50" s="25"/>
      <c r="TGK50" s="25"/>
      <c r="TGL50" s="25"/>
      <c r="TGM50" s="25"/>
      <c r="TGN50" s="25"/>
      <c r="TGO50" s="25"/>
      <c r="TGP50" s="25"/>
      <c r="TGQ50" s="25"/>
      <c r="TGR50" s="25"/>
      <c r="TGS50" s="25"/>
      <c r="TGT50" s="25"/>
      <c r="TGU50" s="25"/>
      <c r="TGV50" s="25"/>
      <c r="TGW50" s="25"/>
      <c r="TGX50" s="25"/>
      <c r="TGY50" s="25"/>
      <c r="TGZ50" s="25"/>
      <c r="THA50" s="25"/>
      <c r="THB50" s="25"/>
      <c r="THC50" s="25"/>
      <c r="THD50" s="25"/>
      <c r="THE50" s="25"/>
      <c r="THF50" s="25"/>
      <c r="THG50" s="25"/>
      <c r="THH50" s="25"/>
      <c r="THI50" s="25"/>
      <c r="THJ50" s="25"/>
      <c r="THK50" s="25"/>
      <c r="THL50" s="25"/>
      <c r="THM50" s="25"/>
      <c r="THN50" s="25"/>
      <c r="THO50" s="25"/>
      <c r="THP50" s="25"/>
      <c r="THQ50" s="25"/>
      <c r="THR50" s="25"/>
      <c r="THS50" s="25"/>
      <c r="THT50" s="25"/>
      <c r="THU50" s="25"/>
      <c r="THV50" s="25"/>
      <c r="THW50" s="25"/>
      <c r="THX50" s="25"/>
      <c r="THY50" s="25"/>
      <c r="THZ50" s="25"/>
      <c r="TIA50" s="25"/>
      <c r="TIB50" s="25"/>
      <c r="TIC50" s="25"/>
      <c r="TID50" s="25"/>
      <c r="TIE50" s="25"/>
      <c r="TIF50" s="25"/>
      <c r="TIG50" s="25"/>
      <c r="TIH50" s="25"/>
      <c r="TII50" s="25"/>
      <c r="TIJ50" s="25"/>
      <c r="TIK50" s="25"/>
      <c r="TIL50" s="25"/>
      <c r="TIM50" s="25"/>
      <c r="TIN50" s="25"/>
      <c r="TIO50" s="25"/>
      <c r="TIP50" s="25"/>
      <c r="TIQ50" s="25"/>
      <c r="TIR50" s="25"/>
      <c r="TIS50" s="25"/>
      <c r="TIT50" s="25"/>
      <c r="TIU50" s="25"/>
      <c r="TIV50" s="25"/>
      <c r="TIW50" s="25"/>
      <c r="TIX50" s="25"/>
      <c r="TIY50" s="25"/>
      <c r="TIZ50" s="25"/>
      <c r="TJA50" s="25"/>
      <c r="TJB50" s="25"/>
      <c r="TJC50" s="25"/>
      <c r="TJD50" s="25"/>
      <c r="TJE50" s="25"/>
      <c r="TJF50" s="25"/>
      <c r="TJG50" s="25"/>
      <c r="TJH50" s="25"/>
      <c r="TJI50" s="25"/>
      <c r="TJJ50" s="25"/>
      <c r="TJK50" s="25"/>
      <c r="TJL50" s="25"/>
      <c r="TJM50" s="25"/>
      <c r="TJN50" s="25"/>
      <c r="TJO50" s="25"/>
      <c r="TJP50" s="25"/>
      <c r="TJQ50" s="25"/>
      <c r="TJR50" s="25"/>
      <c r="TJS50" s="25"/>
      <c r="TJT50" s="25"/>
      <c r="TJU50" s="25"/>
      <c r="TJV50" s="25"/>
      <c r="TJW50" s="25"/>
      <c r="TJX50" s="25"/>
      <c r="TJY50" s="25"/>
      <c r="TJZ50" s="25"/>
      <c r="TKA50" s="25"/>
      <c r="TKB50" s="25"/>
      <c r="TKC50" s="25"/>
      <c r="TKD50" s="25"/>
      <c r="TKE50" s="25"/>
      <c r="TKF50" s="25"/>
      <c r="TKG50" s="25"/>
      <c r="TKH50" s="25"/>
      <c r="TKI50" s="25"/>
      <c r="TKJ50" s="25"/>
      <c r="TKK50" s="25"/>
      <c r="TKL50" s="25"/>
      <c r="TKM50" s="25"/>
      <c r="TKN50" s="25"/>
      <c r="TKO50" s="25"/>
      <c r="TKP50" s="25"/>
      <c r="TKQ50" s="25"/>
      <c r="TKR50" s="25"/>
      <c r="TKS50" s="25"/>
      <c r="TKT50" s="25"/>
      <c r="TKU50" s="25"/>
      <c r="TKV50" s="25"/>
      <c r="TKW50" s="25"/>
      <c r="TKX50" s="25"/>
      <c r="TKY50" s="25"/>
      <c r="TKZ50" s="25"/>
      <c r="TLA50" s="25"/>
      <c r="TLB50" s="25"/>
      <c r="TLC50" s="25"/>
      <c r="TLD50" s="25"/>
      <c r="TLE50" s="25"/>
      <c r="TLF50" s="25"/>
      <c r="TLG50" s="25"/>
      <c r="TLH50" s="25"/>
      <c r="TLI50" s="25"/>
      <c r="TLJ50" s="25"/>
      <c r="TLK50" s="25"/>
      <c r="TLL50" s="25"/>
      <c r="TLM50" s="25"/>
      <c r="TLN50" s="25"/>
      <c r="TLO50" s="25"/>
      <c r="TLP50" s="25"/>
      <c r="TLQ50" s="25"/>
      <c r="TLR50" s="25"/>
      <c r="TLS50" s="25"/>
      <c r="TLT50" s="25"/>
      <c r="TLU50" s="25"/>
      <c r="TLV50" s="25"/>
      <c r="TLW50" s="25"/>
      <c r="TLX50" s="25"/>
      <c r="TLY50" s="25"/>
      <c r="TLZ50" s="25"/>
      <c r="TMA50" s="25"/>
      <c r="TMB50" s="25"/>
      <c r="TMC50" s="25"/>
      <c r="TMD50" s="25"/>
      <c r="TME50" s="25"/>
      <c r="TMF50" s="25"/>
      <c r="TMG50" s="25"/>
      <c r="TMH50" s="25"/>
      <c r="TMI50" s="25"/>
      <c r="TMJ50" s="25"/>
      <c r="TMK50" s="25"/>
      <c r="TML50" s="25"/>
      <c r="TMM50" s="25"/>
      <c r="TMN50" s="25"/>
      <c r="TMO50" s="25"/>
      <c r="TMP50" s="25"/>
      <c r="TMQ50" s="25"/>
      <c r="TMR50" s="25"/>
      <c r="TMS50" s="25"/>
      <c r="TMT50" s="25"/>
      <c r="TMU50" s="25"/>
      <c r="TMV50" s="25"/>
      <c r="TMW50" s="25"/>
      <c r="TMX50" s="25"/>
      <c r="TMY50" s="25"/>
      <c r="TMZ50" s="25"/>
      <c r="TNA50" s="25"/>
      <c r="TNB50" s="25"/>
      <c r="TNC50" s="25"/>
      <c r="TND50" s="25"/>
      <c r="TNE50" s="25"/>
      <c r="TNF50" s="25"/>
      <c r="TNG50" s="25"/>
      <c r="TNH50" s="25"/>
      <c r="TNI50" s="25"/>
      <c r="TNJ50" s="25"/>
      <c r="TNK50" s="25"/>
      <c r="TNL50" s="25"/>
      <c r="TNM50" s="25"/>
      <c r="TNN50" s="25"/>
      <c r="TNO50" s="25"/>
      <c r="TNP50" s="25"/>
      <c r="TNQ50" s="25"/>
      <c r="TNR50" s="25"/>
      <c r="TNS50" s="25"/>
      <c r="TNT50" s="25"/>
      <c r="TNU50" s="25"/>
      <c r="TNV50" s="25"/>
      <c r="TNW50" s="25"/>
      <c r="TNX50" s="25"/>
      <c r="TNY50" s="25"/>
      <c r="TNZ50" s="25"/>
      <c r="TOA50" s="25"/>
      <c r="TOB50" s="25"/>
      <c r="TOC50" s="25"/>
      <c r="TOD50" s="25"/>
      <c r="TOE50" s="25"/>
      <c r="TOF50" s="25"/>
      <c r="TOG50" s="25"/>
      <c r="TOH50" s="25"/>
      <c r="TOI50" s="25"/>
      <c r="TOJ50" s="25"/>
      <c r="TOK50" s="25"/>
      <c r="TOL50" s="25"/>
      <c r="TOM50" s="25"/>
      <c r="TON50" s="25"/>
      <c r="TOO50" s="25"/>
      <c r="TOP50" s="25"/>
      <c r="TOQ50" s="25"/>
      <c r="TOR50" s="25"/>
      <c r="TOS50" s="25"/>
      <c r="TOT50" s="25"/>
      <c r="TOU50" s="25"/>
      <c r="TOV50" s="25"/>
      <c r="TOW50" s="25"/>
      <c r="TOX50" s="25"/>
      <c r="TOY50" s="25"/>
      <c r="TOZ50" s="25"/>
      <c r="TPA50" s="25"/>
      <c r="TPB50" s="25"/>
      <c r="TPC50" s="25"/>
      <c r="TPD50" s="25"/>
      <c r="TPE50" s="25"/>
      <c r="TPF50" s="25"/>
      <c r="TPG50" s="25"/>
      <c r="TPH50" s="25"/>
      <c r="TPI50" s="25"/>
      <c r="TPJ50" s="25"/>
      <c r="TPK50" s="25"/>
      <c r="TPL50" s="25"/>
      <c r="TPM50" s="25"/>
      <c r="TPN50" s="25"/>
      <c r="TPO50" s="25"/>
      <c r="TPP50" s="25"/>
      <c r="TPQ50" s="25"/>
      <c r="TPR50" s="25"/>
      <c r="TPS50" s="25"/>
      <c r="TPT50" s="25"/>
      <c r="TPU50" s="25"/>
      <c r="TPV50" s="25"/>
      <c r="TPW50" s="25"/>
      <c r="TPX50" s="25"/>
      <c r="TPY50" s="25"/>
      <c r="TPZ50" s="25"/>
      <c r="TQA50" s="25"/>
      <c r="TQB50" s="25"/>
      <c r="TQC50" s="25"/>
      <c r="TQD50" s="25"/>
      <c r="TQE50" s="25"/>
      <c r="TQF50" s="25"/>
      <c r="TQG50" s="25"/>
      <c r="TQH50" s="25"/>
      <c r="TQI50" s="25"/>
      <c r="TQJ50" s="25"/>
      <c r="TQK50" s="25"/>
      <c r="TQL50" s="25"/>
      <c r="TQM50" s="25"/>
      <c r="TQN50" s="25"/>
      <c r="TQO50" s="25"/>
      <c r="TQP50" s="25"/>
      <c r="TQQ50" s="25"/>
      <c r="TQR50" s="25"/>
      <c r="TQS50" s="25"/>
      <c r="TQT50" s="25"/>
      <c r="TQU50" s="25"/>
      <c r="TQV50" s="25"/>
      <c r="TQW50" s="25"/>
      <c r="TQX50" s="25"/>
      <c r="TQY50" s="25"/>
      <c r="TQZ50" s="25"/>
      <c r="TRA50" s="25"/>
      <c r="TRB50" s="25"/>
      <c r="TRC50" s="25"/>
      <c r="TRD50" s="25"/>
      <c r="TRE50" s="25"/>
      <c r="TRF50" s="25"/>
      <c r="TRG50" s="25"/>
      <c r="TRH50" s="25"/>
      <c r="TRI50" s="25"/>
      <c r="TRJ50" s="25"/>
      <c r="TRK50" s="25"/>
      <c r="TRL50" s="25"/>
      <c r="TRM50" s="25"/>
      <c r="TRN50" s="25"/>
      <c r="TRO50" s="25"/>
      <c r="TRP50" s="25"/>
      <c r="TRQ50" s="25"/>
      <c r="TRR50" s="25"/>
      <c r="TRS50" s="25"/>
      <c r="TRT50" s="25"/>
      <c r="TRU50" s="25"/>
      <c r="TRV50" s="25"/>
      <c r="TRW50" s="25"/>
      <c r="TRX50" s="25"/>
      <c r="TRY50" s="25"/>
      <c r="TRZ50" s="25"/>
      <c r="TSA50" s="25"/>
      <c r="TSB50" s="25"/>
      <c r="TSC50" s="25"/>
      <c r="TSD50" s="25"/>
      <c r="TSE50" s="25"/>
      <c r="TSF50" s="25"/>
      <c r="TSG50" s="25"/>
      <c r="TSH50" s="25"/>
      <c r="TSI50" s="25"/>
      <c r="TSJ50" s="25"/>
      <c r="TSK50" s="25"/>
      <c r="TSL50" s="25"/>
      <c r="TSM50" s="25"/>
      <c r="TSN50" s="25"/>
      <c r="TSO50" s="25"/>
      <c r="TSP50" s="25"/>
      <c r="TSQ50" s="25"/>
      <c r="TSR50" s="25"/>
      <c r="TSS50" s="25"/>
      <c r="TST50" s="25"/>
      <c r="TSU50" s="25"/>
      <c r="TSV50" s="25"/>
      <c r="TSW50" s="25"/>
      <c r="TSX50" s="25"/>
      <c r="TSY50" s="25"/>
      <c r="TSZ50" s="25"/>
      <c r="TTA50" s="25"/>
      <c r="TTB50" s="25"/>
      <c r="TTC50" s="25"/>
      <c r="TTD50" s="25"/>
      <c r="TTE50" s="25"/>
      <c r="TTF50" s="25"/>
      <c r="TTG50" s="25"/>
      <c r="TTH50" s="25"/>
      <c r="TTI50" s="25"/>
      <c r="TTJ50" s="25"/>
      <c r="TTK50" s="25"/>
      <c r="TTL50" s="25"/>
      <c r="TTM50" s="25"/>
      <c r="TTN50" s="25"/>
      <c r="TTO50" s="25"/>
      <c r="TTP50" s="25"/>
      <c r="TTQ50" s="25"/>
      <c r="TTR50" s="25"/>
      <c r="TTS50" s="25"/>
      <c r="TTT50" s="25"/>
      <c r="TTU50" s="25"/>
      <c r="TTV50" s="25"/>
      <c r="TTW50" s="25"/>
      <c r="TTX50" s="25"/>
      <c r="TTY50" s="25"/>
      <c r="TTZ50" s="25"/>
      <c r="TUA50" s="25"/>
      <c r="TUB50" s="25"/>
      <c r="TUC50" s="25"/>
      <c r="TUD50" s="25"/>
      <c r="TUE50" s="25"/>
      <c r="TUF50" s="25"/>
      <c r="TUG50" s="25"/>
      <c r="TUH50" s="25"/>
      <c r="TUI50" s="25"/>
      <c r="TUJ50" s="25"/>
      <c r="TUK50" s="25"/>
      <c r="TUL50" s="25"/>
      <c r="TUM50" s="25"/>
      <c r="TUN50" s="25"/>
      <c r="TUO50" s="25"/>
      <c r="TUP50" s="25"/>
      <c r="TUQ50" s="25"/>
      <c r="TUR50" s="25"/>
      <c r="TUS50" s="25"/>
      <c r="TUT50" s="25"/>
      <c r="TUU50" s="25"/>
      <c r="TUV50" s="25"/>
      <c r="TUW50" s="25"/>
      <c r="TUX50" s="25"/>
      <c r="TUY50" s="25"/>
      <c r="TUZ50" s="25"/>
      <c r="TVA50" s="25"/>
      <c r="TVB50" s="25"/>
      <c r="TVC50" s="25"/>
      <c r="TVD50" s="25"/>
      <c r="TVE50" s="25"/>
      <c r="TVF50" s="25"/>
      <c r="TVG50" s="25"/>
      <c r="TVH50" s="25"/>
      <c r="TVI50" s="25"/>
      <c r="TVJ50" s="25"/>
      <c r="TVK50" s="25"/>
      <c r="TVL50" s="25"/>
      <c r="TVM50" s="25"/>
      <c r="TVN50" s="25"/>
      <c r="TVO50" s="25"/>
      <c r="TVP50" s="25"/>
      <c r="TVQ50" s="25"/>
      <c r="TVR50" s="25"/>
      <c r="TVS50" s="25"/>
      <c r="TVT50" s="25"/>
      <c r="TVU50" s="25"/>
      <c r="TVV50" s="25"/>
      <c r="TVW50" s="25"/>
      <c r="TVX50" s="25"/>
      <c r="TVY50" s="25"/>
      <c r="TVZ50" s="25"/>
      <c r="TWA50" s="25"/>
      <c r="TWB50" s="25"/>
      <c r="TWC50" s="25"/>
      <c r="TWD50" s="25"/>
      <c r="TWE50" s="25"/>
      <c r="TWF50" s="25"/>
      <c r="TWG50" s="25"/>
      <c r="TWH50" s="25"/>
      <c r="TWI50" s="25"/>
      <c r="TWJ50" s="25"/>
      <c r="TWK50" s="25"/>
      <c r="TWL50" s="25"/>
      <c r="TWM50" s="25"/>
      <c r="TWN50" s="25"/>
      <c r="TWO50" s="25"/>
      <c r="TWP50" s="25"/>
      <c r="TWQ50" s="25"/>
      <c r="TWR50" s="25"/>
      <c r="TWS50" s="25"/>
      <c r="TWT50" s="25"/>
      <c r="TWU50" s="25"/>
      <c r="TWV50" s="25"/>
      <c r="TWW50" s="25"/>
      <c r="TWX50" s="25"/>
      <c r="TWY50" s="25"/>
      <c r="TWZ50" s="25"/>
      <c r="TXA50" s="25"/>
      <c r="TXB50" s="25"/>
      <c r="TXC50" s="25"/>
      <c r="TXD50" s="25"/>
      <c r="TXE50" s="25"/>
      <c r="TXF50" s="25"/>
      <c r="TXG50" s="25"/>
      <c r="TXH50" s="25"/>
      <c r="TXI50" s="25"/>
      <c r="TXJ50" s="25"/>
      <c r="TXK50" s="25"/>
      <c r="TXL50" s="25"/>
      <c r="TXM50" s="25"/>
      <c r="TXN50" s="25"/>
      <c r="TXO50" s="25"/>
      <c r="TXP50" s="25"/>
      <c r="TXQ50" s="25"/>
      <c r="TXR50" s="25"/>
      <c r="TXS50" s="25"/>
      <c r="TXT50" s="25"/>
      <c r="TXU50" s="25"/>
      <c r="TXV50" s="25"/>
      <c r="TXW50" s="25"/>
      <c r="TXX50" s="25"/>
      <c r="TXY50" s="25"/>
      <c r="TXZ50" s="25"/>
      <c r="TYA50" s="25"/>
      <c r="TYB50" s="25"/>
      <c r="TYC50" s="25"/>
      <c r="TYD50" s="25"/>
      <c r="TYE50" s="25"/>
      <c r="TYF50" s="25"/>
      <c r="TYG50" s="25"/>
      <c r="TYH50" s="25"/>
      <c r="TYI50" s="25"/>
      <c r="TYJ50" s="25"/>
      <c r="TYK50" s="25"/>
      <c r="TYL50" s="25"/>
      <c r="TYM50" s="25"/>
      <c r="TYN50" s="25"/>
      <c r="TYO50" s="25"/>
      <c r="TYP50" s="25"/>
      <c r="TYQ50" s="25"/>
      <c r="TYR50" s="25"/>
      <c r="TYS50" s="25"/>
      <c r="TYT50" s="25"/>
      <c r="TYU50" s="25"/>
      <c r="TYV50" s="25"/>
      <c r="TYW50" s="25"/>
      <c r="TYX50" s="25"/>
      <c r="TYY50" s="25"/>
      <c r="TYZ50" s="25"/>
      <c r="TZA50" s="25"/>
      <c r="TZB50" s="25"/>
      <c r="TZC50" s="25"/>
      <c r="TZD50" s="25"/>
      <c r="TZE50" s="25"/>
      <c r="TZF50" s="25"/>
      <c r="TZG50" s="25"/>
      <c r="TZH50" s="25"/>
      <c r="TZI50" s="25"/>
      <c r="TZJ50" s="25"/>
      <c r="TZK50" s="25"/>
      <c r="TZL50" s="25"/>
      <c r="TZM50" s="25"/>
      <c r="TZN50" s="25"/>
      <c r="TZO50" s="25"/>
      <c r="TZP50" s="25"/>
      <c r="TZQ50" s="25"/>
      <c r="TZR50" s="25"/>
      <c r="TZS50" s="25"/>
      <c r="TZT50" s="25"/>
      <c r="TZU50" s="25"/>
      <c r="TZV50" s="25"/>
      <c r="TZW50" s="25"/>
      <c r="TZX50" s="25"/>
      <c r="TZY50" s="25"/>
      <c r="TZZ50" s="25"/>
      <c r="UAA50" s="25"/>
      <c r="UAB50" s="25"/>
      <c r="UAC50" s="25"/>
      <c r="UAD50" s="25"/>
      <c r="UAE50" s="25"/>
      <c r="UAF50" s="25"/>
      <c r="UAG50" s="25"/>
      <c r="UAH50" s="25"/>
      <c r="UAI50" s="25"/>
      <c r="UAJ50" s="25"/>
      <c r="UAK50" s="25"/>
      <c r="UAL50" s="25"/>
      <c r="UAM50" s="25"/>
      <c r="UAN50" s="25"/>
      <c r="UAO50" s="25"/>
      <c r="UAP50" s="25"/>
      <c r="UAQ50" s="25"/>
      <c r="UAR50" s="25"/>
      <c r="UAS50" s="25"/>
      <c r="UAT50" s="25"/>
      <c r="UAU50" s="25"/>
      <c r="UAV50" s="25"/>
      <c r="UAW50" s="25"/>
      <c r="UAX50" s="25"/>
      <c r="UAY50" s="25"/>
      <c r="UAZ50" s="25"/>
      <c r="UBA50" s="25"/>
      <c r="UBB50" s="25"/>
      <c r="UBC50" s="25"/>
      <c r="UBD50" s="25"/>
      <c r="UBE50" s="25"/>
      <c r="UBF50" s="25"/>
      <c r="UBG50" s="25"/>
      <c r="UBH50" s="25"/>
      <c r="UBI50" s="25"/>
      <c r="UBJ50" s="25"/>
      <c r="UBK50" s="25"/>
      <c r="UBL50" s="25"/>
      <c r="UBM50" s="25"/>
      <c r="UBN50" s="25"/>
      <c r="UBO50" s="25"/>
      <c r="UBP50" s="25"/>
      <c r="UBQ50" s="25"/>
      <c r="UBR50" s="25"/>
      <c r="UBS50" s="25"/>
      <c r="UBT50" s="25"/>
      <c r="UBU50" s="25"/>
      <c r="UBV50" s="25"/>
      <c r="UBW50" s="25"/>
      <c r="UBX50" s="25"/>
      <c r="UBY50" s="25"/>
      <c r="UBZ50" s="25"/>
      <c r="UCA50" s="25"/>
      <c r="UCB50" s="25"/>
      <c r="UCC50" s="25"/>
      <c r="UCD50" s="25"/>
      <c r="UCE50" s="25"/>
      <c r="UCF50" s="25"/>
      <c r="UCG50" s="25"/>
      <c r="UCH50" s="25"/>
      <c r="UCI50" s="25"/>
      <c r="UCJ50" s="25"/>
      <c r="UCK50" s="25"/>
      <c r="UCL50" s="25"/>
      <c r="UCM50" s="25"/>
      <c r="UCN50" s="25"/>
      <c r="UCO50" s="25"/>
      <c r="UCP50" s="25"/>
      <c r="UCQ50" s="25"/>
      <c r="UCR50" s="25"/>
      <c r="UCS50" s="25"/>
      <c r="UCT50" s="25"/>
      <c r="UCU50" s="25"/>
      <c r="UCV50" s="25"/>
      <c r="UCW50" s="25"/>
      <c r="UCX50" s="25"/>
      <c r="UCY50" s="25"/>
      <c r="UCZ50" s="25"/>
      <c r="UDA50" s="25"/>
      <c r="UDB50" s="25"/>
      <c r="UDC50" s="25"/>
      <c r="UDD50" s="25"/>
      <c r="UDE50" s="25"/>
      <c r="UDF50" s="25"/>
      <c r="UDG50" s="25"/>
      <c r="UDH50" s="25"/>
      <c r="UDI50" s="25"/>
      <c r="UDJ50" s="25"/>
      <c r="UDK50" s="25"/>
      <c r="UDL50" s="25"/>
      <c r="UDM50" s="25"/>
      <c r="UDN50" s="25"/>
      <c r="UDO50" s="25"/>
      <c r="UDP50" s="25"/>
      <c r="UDQ50" s="25"/>
      <c r="UDR50" s="25"/>
      <c r="UDS50" s="25"/>
      <c r="UDT50" s="25"/>
      <c r="UDU50" s="25"/>
      <c r="UDV50" s="25"/>
      <c r="UDW50" s="25"/>
      <c r="UDX50" s="25"/>
      <c r="UDY50" s="25"/>
      <c r="UDZ50" s="25"/>
      <c r="UEA50" s="25"/>
      <c r="UEB50" s="25"/>
      <c r="UEC50" s="25"/>
      <c r="UED50" s="25"/>
      <c r="UEE50" s="25"/>
      <c r="UEF50" s="25"/>
      <c r="UEG50" s="25"/>
      <c r="UEH50" s="25"/>
      <c r="UEI50" s="25"/>
      <c r="UEJ50" s="25"/>
      <c r="UEK50" s="25"/>
      <c r="UEL50" s="25"/>
      <c r="UEM50" s="25"/>
      <c r="UEN50" s="25"/>
      <c r="UEO50" s="25"/>
      <c r="UEP50" s="25"/>
      <c r="UEQ50" s="25"/>
      <c r="UER50" s="25"/>
      <c r="UES50" s="25"/>
      <c r="UET50" s="25"/>
      <c r="UEU50" s="25"/>
      <c r="UEV50" s="25"/>
      <c r="UEW50" s="25"/>
      <c r="UEX50" s="25"/>
      <c r="UEY50" s="25"/>
      <c r="UEZ50" s="25"/>
      <c r="UFA50" s="25"/>
      <c r="UFB50" s="25"/>
      <c r="UFC50" s="25"/>
      <c r="UFD50" s="25"/>
      <c r="UFE50" s="25"/>
      <c r="UFF50" s="25"/>
      <c r="UFG50" s="25"/>
      <c r="UFH50" s="25"/>
      <c r="UFI50" s="25"/>
      <c r="UFJ50" s="25"/>
      <c r="UFK50" s="25"/>
      <c r="UFL50" s="25"/>
      <c r="UFM50" s="25"/>
      <c r="UFN50" s="25"/>
      <c r="UFO50" s="25"/>
      <c r="UFP50" s="25"/>
      <c r="UFQ50" s="25"/>
      <c r="UFR50" s="25"/>
      <c r="UFS50" s="25"/>
      <c r="UFT50" s="25"/>
      <c r="UFU50" s="25"/>
      <c r="UFV50" s="25"/>
      <c r="UFW50" s="25"/>
      <c r="UFX50" s="25"/>
      <c r="UFY50" s="25"/>
      <c r="UFZ50" s="25"/>
      <c r="UGA50" s="25"/>
      <c r="UGB50" s="25"/>
      <c r="UGC50" s="25"/>
      <c r="UGD50" s="25"/>
      <c r="UGE50" s="25"/>
      <c r="UGF50" s="25"/>
      <c r="UGG50" s="25"/>
      <c r="UGH50" s="25"/>
      <c r="UGI50" s="25"/>
      <c r="UGJ50" s="25"/>
      <c r="UGK50" s="25"/>
      <c r="UGL50" s="25"/>
      <c r="UGM50" s="25"/>
      <c r="UGN50" s="25"/>
      <c r="UGO50" s="25"/>
      <c r="UGP50" s="25"/>
      <c r="UGQ50" s="25"/>
      <c r="UGR50" s="25"/>
      <c r="UGS50" s="25"/>
      <c r="UGT50" s="25"/>
      <c r="UGU50" s="25"/>
      <c r="UGV50" s="25"/>
      <c r="UGW50" s="25"/>
      <c r="UGX50" s="25"/>
      <c r="UGY50" s="25"/>
      <c r="UGZ50" s="25"/>
      <c r="UHA50" s="25"/>
      <c r="UHB50" s="25"/>
      <c r="UHC50" s="25"/>
      <c r="UHD50" s="25"/>
      <c r="UHE50" s="25"/>
      <c r="UHF50" s="25"/>
      <c r="UHG50" s="25"/>
      <c r="UHH50" s="25"/>
      <c r="UHI50" s="25"/>
      <c r="UHJ50" s="25"/>
      <c r="UHK50" s="25"/>
      <c r="UHL50" s="25"/>
      <c r="UHM50" s="25"/>
      <c r="UHN50" s="25"/>
      <c r="UHO50" s="25"/>
      <c r="UHP50" s="25"/>
      <c r="UHQ50" s="25"/>
      <c r="UHR50" s="25"/>
      <c r="UHS50" s="25"/>
      <c r="UHT50" s="25"/>
      <c r="UHU50" s="25"/>
      <c r="UHV50" s="25"/>
      <c r="UHW50" s="25"/>
      <c r="UHX50" s="25"/>
      <c r="UHY50" s="25"/>
      <c r="UHZ50" s="25"/>
      <c r="UIA50" s="25"/>
      <c r="UIB50" s="25"/>
      <c r="UIC50" s="25"/>
      <c r="UID50" s="25"/>
      <c r="UIE50" s="25"/>
      <c r="UIF50" s="25"/>
      <c r="UIG50" s="25"/>
      <c r="UIH50" s="25"/>
      <c r="UII50" s="25"/>
      <c r="UIJ50" s="25"/>
      <c r="UIK50" s="25"/>
      <c r="UIL50" s="25"/>
      <c r="UIM50" s="25"/>
      <c r="UIN50" s="25"/>
      <c r="UIO50" s="25"/>
      <c r="UIP50" s="25"/>
      <c r="UIQ50" s="25"/>
      <c r="UIR50" s="25"/>
      <c r="UIS50" s="25"/>
      <c r="UIT50" s="25"/>
      <c r="UIU50" s="25"/>
      <c r="UIV50" s="25"/>
      <c r="UIW50" s="25"/>
      <c r="UIX50" s="25"/>
      <c r="UIY50" s="25"/>
      <c r="UIZ50" s="25"/>
      <c r="UJA50" s="25"/>
      <c r="UJB50" s="25"/>
      <c r="UJC50" s="25"/>
      <c r="UJD50" s="25"/>
      <c r="UJE50" s="25"/>
      <c r="UJF50" s="25"/>
      <c r="UJG50" s="25"/>
      <c r="UJH50" s="25"/>
      <c r="UJI50" s="25"/>
      <c r="UJJ50" s="25"/>
      <c r="UJK50" s="25"/>
      <c r="UJL50" s="25"/>
      <c r="UJM50" s="25"/>
      <c r="UJN50" s="25"/>
      <c r="UJO50" s="25"/>
      <c r="UJP50" s="25"/>
      <c r="UJQ50" s="25"/>
      <c r="UJR50" s="25"/>
      <c r="UJS50" s="25"/>
      <c r="UJT50" s="25"/>
      <c r="UJU50" s="25"/>
      <c r="UJV50" s="25"/>
      <c r="UJW50" s="25"/>
      <c r="UJX50" s="25"/>
      <c r="UJY50" s="25"/>
      <c r="UJZ50" s="25"/>
      <c r="UKA50" s="25"/>
      <c r="UKB50" s="25"/>
      <c r="UKC50" s="25"/>
      <c r="UKD50" s="25"/>
      <c r="UKE50" s="25"/>
      <c r="UKF50" s="25"/>
      <c r="UKG50" s="25"/>
      <c r="UKH50" s="25"/>
      <c r="UKI50" s="25"/>
      <c r="UKJ50" s="25"/>
      <c r="UKK50" s="25"/>
      <c r="UKL50" s="25"/>
      <c r="UKM50" s="25"/>
      <c r="UKN50" s="25"/>
      <c r="UKO50" s="25"/>
      <c r="UKP50" s="25"/>
      <c r="UKQ50" s="25"/>
      <c r="UKR50" s="25"/>
      <c r="UKS50" s="25"/>
      <c r="UKT50" s="25"/>
      <c r="UKU50" s="25"/>
      <c r="UKV50" s="25"/>
      <c r="UKW50" s="25"/>
      <c r="UKX50" s="25"/>
      <c r="UKY50" s="25"/>
      <c r="UKZ50" s="25"/>
      <c r="ULA50" s="25"/>
      <c r="ULB50" s="25"/>
      <c r="ULC50" s="25"/>
      <c r="ULD50" s="25"/>
      <c r="ULE50" s="25"/>
      <c r="ULF50" s="25"/>
      <c r="ULG50" s="25"/>
      <c r="ULH50" s="25"/>
      <c r="ULI50" s="25"/>
      <c r="ULJ50" s="25"/>
      <c r="ULK50" s="25"/>
      <c r="ULL50" s="25"/>
      <c r="ULM50" s="25"/>
      <c r="ULN50" s="25"/>
      <c r="ULO50" s="25"/>
      <c r="ULP50" s="25"/>
      <c r="ULQ50" s="25"/>
      <c r="ULR50" s="25"/>
      <c r="ULS50" s="25"/>
      <c r="ULT50" s="25"/>
      <c r="ULU50" s="25"/>
      <c r="ULV50" s="25"/>
      <c r="ULW50" s="25"/>
      <c r="ULX50" s="25"/>
      <c r="ULY50" s="25"/>
      <c r="ULZ50" s="25"/>
      <c r="UMA50" s="25"/>
      <c r="UMB50" s="25"/>
      <c r="UMC50" s="25"/>
      <c r="UMD50" s="25"/>
      <c r="UME50" s="25"/>
      <c r="UMF50" s="25"/>
      <c r="UMG50" s="25"/>
      <c r="UMH50" s="25"/>
      <c r="UMI50" s="25"/>
      <c r="UMJ50" s="25"/>
      <c r="UMK50" s="25"/>
      <c r="UML50" s="25"/>
      <c r="UMM50" s="25"/>
      <c r="UMN50" s="25"/>
      <c r="UMO50" s="25"/>
      <c r="UMP50" s="25"/>
      <c r="UMQ50" s="25"/>
      <c r="UMR50" s="25"/>
      <c r="UMS50" s="25"/>
      <c r="UMT50" s="25"/>
      <c r="UMU50" s="25"/>
      <c r="UMV50" s="25"/>
      <c r="UMW50" s="25"/>
      <c r="UMX50" s="25"/>
      <c r="UMY50" s="25"/>
      <c r="UMZ50" s="25"/>
      <c r="UNA50" s="25"/>
      <c r="UNB50" s="25"/>
      <c r="UNC50" s="25"/>
      <c r="UND50" s="25"/>
      <c r="UNE50" s="25"/>
      <c r="UNF50" s="25"/>
      <c r="UNG50" s="25"/>
      <c r="UNH50" s="25"/>
      <c r="UNI50" s="25"/>
      <c r="UNJ50" s="25"/>
      <c r="UNK50" s="25"/>
      <c r="UNL50" s="25"/>
      <c r="UNM50" s="25"/>
      <c r="UNN50" s="25"/>
      <c r="UNO50" s="25"/>
      <c r="UNP50" s="25"/>
      <c r="UNQ50" s="25"/>
      <c r="UNR50" s="25"/>
      <c r="UNS50" s="25"/>
      <c r="UNT50" s="25"/>
      <c r="UNU50" s="25"/>
      <c r="UNV50" s="25"/>
      <c r="UNW50" s="25"/>
      <c r="UNX50" s="25"/>
      <c r="UNY50" s="25"/>
      <c r="UNZ50" s="25"/>
      <c r="UOA50" s="25"/>
      <c r="UOB50" s="25"/>
      <c r="UOC50" s="25"/>
      <c r="UOD50" s="25"/>
      <c r="UOE50" s="25"/>
      <c r="UOF50" s="25"/>
      <c r="UOG50" s="25"/>
      <c r="UOH50" s="25"/>
      <c r="UOI50" s="25"/>
      <c r="UOJ50" s="25"/>
      <c r="UOK50" s="25"/>
      <c r="UOL50" s="25"/>
      <c r="UOM50" s="25"/>
      <c r="UON50" s="25"/>
      <c r="UOO50" s="25"/>
      <c r="UOP50" s="25"/>
      <c r="UOQ50" s="25"/>
      <c r="UOR50" s="25"/>
      <c r="UOS50" s="25"/>
      <c r="UOT50" s="25"/>
      <c r="UOU50" s="25"/>
      <c r="UOV50" s="25"/>
      <c r="UOW50" s="25"/>
      <c r="UOX50" s="25"/>
      <c r="UOY50" s="25"/>
      <c r="UOZ50" s="25"/>
      <c r="UPA50" s="25"/>
      <c r="UPB50" s="25"/>
      <c r="UPC50" s="25"/>
      <c r="UPD50" s="25"/>
      <c r="UPE50" s="25"/>
      <c r="UPF50" s="25"/>
      <c r="UPG50" s="25"/>
      <c r="UPH50" s="25"/>
      <c r="UPI50" s="25"/>
      <c r="UPJ50" s="25"/>
      <c r="UPK50" s="25"/>
      <c r="UPL50" s="25"/>
      <c r="UPM50" s="25"/>
      <c r="UPN50" s="25"/>
      <c r="UPO50" s="25"/>
      <c r="UPP50" s="25"/>
      <c r="UPQ50" s="25"/>
      <c r="UPR50" s="25"/>
      <c r="UPS50" s="25"/>
      <c r="UPT50" s="25"/>
      <c r="UPU50" s="25"/>
      <c r="UPV50" s="25"/>
      <c r="UPW50" s="25"/>
      <c r="UPX50" s="25"/>
      <c r="UPY50" s="25"/>
      <c r="UPZ50" s="25"/>
      <c r="UQA50" s="25"/>
      <c r="UQB50" s="25"/>
      <c r="UQC50" s="25"/>
      <c r="UQD50" s="25"/>
      <c r="UQE50" s="25"/>
      <c r="UQF50" s="25"/>
      <c r="UQG50" s="25"/>
      <c r="UQH50" s="25"/>
      <c r="UQI50" s="25"/>
      <c r="UQJ50" s="25"/>
      <c r="UQK50" s="25"/>
      <c r="UQL50" s="25"/>
      <c r="UQM50" s="25"/>
      <c r="UQN50" s="25"/>
      <c r="UQO50" s="25"/>
      <c r="UQP50" s="25"/>
      <c r="UQQ50" s="25"/>
      <c r="UQR50" s="25"/>
      <c r="UQS50" s="25"/>
      <c r="UQT50" s="25"/>
      <c r="UQU50" s="25"/>
      <c r="UQV50" s="25"/>
      <c r="UQW50" s="25"/>
      <c r="UQX50" s="25"/>
      <c r="UQY50" s="25"/>
      <c r="UQZ50" s="25"/>
      <c r="URA50" s="25"/>
      <c r="URB50" s="25"/>
      <c r="URC50" s="25"/>
      <c r="URD50" s="25"/>
      <c r="URE50" s="25"/>
      <c r="URF50" s="25"/>
      <c r="URG50" s="25"/>
      <c r="URH50" s="25"/>
      <c r="URI50" s="25"/>
      <c r="URJ50" s="25"/>
      <c r="URK50" s="25"/>
      <c r="URL50" s="25"/>
      <c r="URM50" s="25"/>
      <c r="URN50" s="25"/>
      <c r="URO50" s="25"/>
      <c r="URP50" s="25"/>
      <c r="URQ50" s="25"/>
      <c r="URR50" s="25"/>
      <c r="URS50" s="25"/>
      <c r="URT50" s="25"/>
      <c r="URU50" s="25"/>
      <c r="URV50" s="25"/>
      <c r="URW50" s="25"/>
      <c r="URX50" s="25"/>
      <c r="URY50" s="25"/>
      <c r="URZ50" s="25"/>
      <c r="USA50" s="25"/>
      <c r="USB50" s="25"/>
      <c r="USC50" s="25"/>
      <c r="USD50" s="25"/>
      <c r="USE50" s="25"/>
      <c r="USF50" s="25"/>
      <c r="USG50" s="25"/>
      <c r="USH50" s="25"/>
      <c r="USI50" s="25"/>
      <c r="USJ50" s="25"/>
      <c r="USK50" s="25"/>
      <c r="USL50" s="25"/>
      <c r="USM50" s="25"/>
      <c r="USN50" s="25"/>
      <c r="USO50" s="25"/>
      <c r="USP50" s="25"/>
      <c r="USQ50" s="25"/>
      <c r="USR50" s="25"/>
      <c r="USS50" s="25"/>
      <c r="UST50" s="25"/>
      <c r="USU50" s="25"/>
      <c r="USV50" s="25"/>
      <c r="USW50" s="25"/>
      <c r="USX50" s="25"/>
      <c r="USY50" s="25"/>
      <c r="USZ50" s="25"/>
      <c r="UTA50" s="25"/>
      <c r="UTB50" s="25"/>
      <c r="UTC50" s="25"/>
      <c r="UTD50" s="25"/>
      <c r="UTE50" s="25"/>
      <c r="UTF50" s="25"/>
      <c r="UTG50" s="25"/>
      <c r="UTH50" s="25"/>
      <c r="UTI50" s="25"/>
      <c r="UTJ50" s="25"/>
      <c r="UTK50" s="25"/>
      <c r="UTL50" s="25"/>
      <c r="UTM50" s="25"/>
      <c r="UTN50" s="25"/>
      <c r="UTO50" s="25"/>
      <c r="UTP50" s="25"/>
      <c r="UTQ50" s="25"/>
      <c r="UTR50" s="25"/>
      <c r="UTS50" s="25"/>
      <c r="UTT50" s="25"/>
      <c r="UTU50" s="25"/>
      <c r="UTV50" s="25"/>
      <c r="UTW50" s="25"/>
      <c r="UTX50" s="25"/>
      <c r="UTY50" s="25"/>
      <c r="UTZ50" s="25"/>
      <c r="UUA50" s="25"/>
      <c r="UUB50" s="25"/>
      <c r="UUC50" s="25"/>
      <c r="UUD50" s="25"/>
      <c r="UUE50" s="25"/>
      <c r="UUF50" s="25"/>
      <c r="UUG50" s="25"/>
      <c r="UUH50" s="25"/>
      <c r="UUI50" s="25"/>
      <c r="UUJ50" s="25"/>
      <c r="UUK50" s="25"/>
      <c r="UUL50" s="25"/>
      <c r="UUM50" s="25"/>
      <c r="UUN50" s="25"/>
      <c r="UUO50" s="25"/>
      <c r="UUP50" s="25"/>
      <c r="UUQ50" s="25"/>
      <c r="UUR50" s="25"/>
      <c r="UUS50" s="25"/>
      <c r="UUT50" s="25"/>
      <c r="UUU50" s="25"/>
      <c r="UUV50" s="25"/>
      <c r="UUW50" s="25"/>
      <c r="UUX50" s="25"/>
      <c r="UUY50" s="25"/>
      <c r="UUZ50" s="25"/>
      <c r="UVA50" s="25"/>
      <c r="UVB50" s="25"/>
      <c r="UVC50" s="25"/>
      <c r="UVD50" s="25"/>
      <c r="UVE50" s="25"/>
      <c r="UVF50" s="25"/>
      <c r="UVG50" s="25"/>
      <c r="UVH50" s="25"/>
      <c r="UVI50" s="25"/>
      <c r="UVJ50" s="25"/>
      <c r="UVK50" s="25"/>
      <c r="UVL50" s="25"/>
      <c r="UVM50" s="25"/>
      <c r="UVN50" s="25"/>
      <c r="UVO50" s="25"/>
      <c r="UVP50" s="25"/>
      <c r="UVQ50" s="25"/>
      <c r="UVR50" s="25"/>
      <c r="UVS50" s="25"/>
      <c r="UVT50" s="25"/>
      <c r="UVU50" s="25"/>
      <c r="UVV50" s="25"/>
      <c r="UVW50" s="25"/>
      <c r="UVX50" s="25"/>
      <c r="UVY50" s="25"/>
      <c r="UVZ50" s="25"/>
      <c r="UWA50" s="25"/>
      <c r="UWB50" s="25"/>
      <c r="UWC50" s="25"/>
      <c r="UWD50" s="25"/>
      <c r="UWE50" s="25"/>
      <c r="UWF50" s="25"/>
      <c r="UWG50" s="25"/>
      <c r="UWH50" s="25"/>
      <c r="UWI50" s="25"/>
      <c r="UWJ50" s="25"/>
      <c r="UWK50" s="25"/>
      <c r="UWL50" s="25"/>
      <c r="UWM50" s="25"/>
      <c r="UWN50" s="25"/>
      <c r="UWO50" s="25"/>
      <c r="UWP50" s="25"/>
      <c r="UWQ50" s="25"/>
      <c r="UWR50" s="25"/>
      <c r="UWS50" s="25"/>
      <c r="UWT50" s="25"/>
      <c r="UWU50" s="25"/>
      <c r="UWV50" s="25"/>
      <c r="UWW50" s="25"/>
      <c r="UWX50" s="25"/>
      <c r="UWY50" s="25"/>
      <c r="UWZ50" s="25"/>
      <c r="UXA50" s="25"/>
      <c r="UXB50" s="25"/>
      <c r="UXC50" s="25"/>
      <c r="UXD50" s="25"/>
      <c r="UXE50" s="25"/>
      <c r="UXF50" s="25"/>
      <c r="UXG50" s="25"/>
      <c r="UXH50" s="25"/>
      <c r="UXI50" s="25"/>
      <c r="UXJ50" s="25"/>
      <c r="UXK50" s="25"/>
      <c r="UXL50" s="25"/>
      <c r="UXM50" s="25"/>
      <c r="UXN50" s="25"/>
      <c r="UXO50" s="25"/>
      <c r="UXP50" s="25"/>
      <c r="UXQ50" s="25"/>
      <c r="UXR50" s="25"/>
      <c r="UXS50" s="25"/>
      <c r="UXT50" s="25"/>
      <c r="UXU50" s="25"/>
      <c r="UXV50" s="25"/>
      <c r="UXW50" s="25"/>
      <c r="UXX50" s="25"/>
      <c r="UXY50" s="25"/>
      <c r="UXZ50" s="25"/>
      <c r="UYA50" s="25"/>
      <c r="UYB50" s="25"/>
      <c r="UYC50" s="25"/>
      <c r="UYD50" s="25"/>
      <c r="UYE50" s="25"/>
      <c r="UYF50" s="25"/>
      <c r="UYG50" s="25"/>
      <c r="UYH50" s="25"/>
      <c r="UYI50" s="25"/>
      <c r="UYJ50" s="25"/>
      <c r="UYK50" s="25"/>
      <c r="UYL50" s="25"/>
      <c r="UYM50" s="25"/>
      <c r="UYN50" s="25"/>
      <c r="UYO50" s="25"/>
      <c r="UYP50" s="25"/>
      <c r="UYQ50" s="25"/>
      <c r="UYR50" s="25"/>
      <c r="UYS50" s="25"/>
      <c r="UYT50" s="25"/>
      <c r="UYU50" s="25"/>
      <c r="UYV50" s="25"/>
      <c r="UYW50" s="25"/>
      <c r="UYX50" s="25"/>
      <c r="UYY50" s="25"/>
      <c r="UYZ50" s="25"/>
      <c r="UZA50" s="25"/>
      <c r="UZB50" s="25"/>
      <c r="UZC50" s="25"/>
      <c r="UZD50" s="25"/>
      <c r="UZE50" s="25"/>
      <c r="UZF50" s="25"/>
      <c r="UZG50" s="25"/>
      <c r="UZH50" s="25"/>
      <c r="UZI50" s="25"/>
      <c r="UZJ50" s="25"/>
      <c r="UZK50" s="25"/>
      <c r="UZL50" s="25"/>
      <c r="UZM50" s="25"/>
      <c r="UZN50" s="25"/>
      <c r="UZO50" s="25"/>
      <c r="UZP50" s="25"/>
      <c r="UZQ50" s="25"/>
      <c r="UZR50" s="25"/>
      <c r="UZS50" s="25"/>
      <c r="UZT50" s="25"/>
      <c r="UZU50" s="25"/>
      <c r="UZV50" s="25"/>
      <c r="UZW50" s="25"/>
      <c r="UZX50" s="25"/>
      <c r="UZY50" s="25"/>
      <c r="UZZ50" s="25"/>
      <c r="VAA50" s="25"/>
      <c r="VAB50" s="25"/>
      <c r="VAC50" s="25"/>
      <c r="VAD50" s="25"/>
      <c r="VAE50" s="25"/>
      <c r="VAF50" s="25"/>
      <c r="VAG50" s="25"/>
      <c r="VAH50" s="25"/>
      <c r="VAI50" s="25"/>
      <c r="VAJ50" s="25"/>
      <c r="VAK50" s="25"/>
      <c r="VAL50" s="25"/>
      <c r="VAM50" s="25"/>
      <c r="VAN50" s="25"/>
      <c r="VAO50" s="25"/>
      <c r="VAP50" s="25"/>
      <c r="VAQ50" s="25"/>
      <c r="VAR50" s="25"/>
      <c r="VAS50" s="25"/>
      <c r="VAT50" s="25"/>
      <c r="VAU50" s="25"/>
      <c r="VAV50" s="25"/>
      <c r="VAW50" s="25"/>
      <c r="VAX50" s="25"/>
      <c r="VAY50" s="25"/>
      <c r="VAZ50" s="25"/>
      <c r="VBA50" s="25"/>
      <c r="VBB50" s="25"/>
      <c r="VBC50" s="25"/>
      <c r="VBD50" s="25"/>
      <c r="VBE50" s="25"/>
      <c r="VBF50" s="25"/>
      <c r="VBG50" s="25"/>
      <c r="VBH50" s="25"/>
      <c r="VBI50" s="25"/>
      <c r="VBJ50" s="25"/>
      <c r="VBK50" s="25"/>
      <c r="VBL50" s="25"/>
      <c r="VBM50" s="25"/>
      <c r="VBN50" s="25"/>
      <c r="VBO50" s="25"/>
      <c r="VBP50" s="25"/>
      <c r="VBQ50" s="25"/>
      <c r="VBR50" s="25"/>
      <c r="VBS50" s="25"/>
      <c r="VBT50" s="25"/>
      <c r="VBU50" s="25"/>
      <c r="VBV50" s="25"/>
      <c r="VBW50" s="25"/>
      <c r="VBX50" s="25"/>
      <c r="VBY50" s="25"/>
      <c r="VBZ50" s="25"/>
      <c r="VCA50" s="25"/>
      <c r="VCB50" s="25"/>
      <c r="VCC50" s="25"/>
      <c r="VCD50" s="25"/>
      <c r="VCE50" s="25"/>
      <c r="VCF50" s="25"/>
      <c r="VCG50" s="25"/>
      <c r="VCH50" s="25"/>
      <c r="VCI50" s="25"/>
      <c r="VCJ50" s="25"/>
      <c r="VCK50" s="25"/>
      <c r="VCL50" s="25"/>
      <c r="VCM50" s="25"/>
      <c r="VCN50" s="25"/>
      <c r="VCO50" s="25"/>
      <c r="VCP50" s="25"/>
      <c r="VCQ50" s="25"/>
      <c r="VCR50" s="25"/>
      <c r="VCS50" s="25"/>
      <c r="VCT50" s="25"/>
      <c r="VCU50" s="25"/>
      <c r="VCV50" s="25"/>
      <c r="VCW50" s="25"/>
      <c r="VCX50" s="25"/>
      <c r="VCY50" s="25"/>
      <c r="VCZ50" s="25"/>
      <c r="VDA50" s="25"/>
      <c r="VDB50" s="25"/>
      <c r="VDC50" s="25"/>
      <c r="VDD50" s="25"/>
      <c r="VDE50" s="25"/>
      <c r="VDF50" s="25"/>
      <c r="VDG50" s="25"/>
      <c r="VDH50" s="25"/>
      <c r="VDI50" s="25"/>
      <c r="VDJ50" s="25"/>
      <c r="VDK50" s="25"/>
      <c r="VDL50" s="25"/>
      <c r="VDM50" s="25"/>
      <c r="VDN50" s="25"/>
      <c r="VDO50" s="25"/>
      <c r="VDP50" s="25"/>
      <c r="VDQ50" s="25"/>
      <c r="VDR50" s="25"/>
      <c r="VDS50" s="25"/>
      <c r="VDT50" s="25"/>
      <c r="VDU50" s="25"/>
      <c r="VDV50" s="25"/>
      <c r="VDW50" s="25"/>
      <c r="VDX50" s="25"/>
      <c r="VDY50" s="25"/>
      <c r="VDZ50" s="25"/>
      <c r="VEA50" s="25"/>
      <c r="VEB50" s="25"/>
      <c r="VEC50" s="25"/>
      <c r="VED50" s="25"/>
      <c r="VEE50" s="25"/>
      <c r="VEF50" s="25"/>
      <c r="VEG50" s="25"/>
      <c r="VEH50" s="25"/>
      <c r="VEI50" s="25"/>
      <c r="VEJ50" s="25"/>
      <c r="VEK50" s="25"/>
      <c r="VEL50" s="25"/>
      <c r="VEM50" s="25"/>
      <c r="VEN50" s="25"/>
      <c r="VEO50" s="25"/>
      <c r="VEP50" s="25"/>
      <c r="VEQ50" s="25"/>
      <c r="VER50" s="25"/>
      <c r="VES50" s="25"/>
      <c r="VET50" s="25"/>
      <c r="VEU50" s="25"/>
      <c r="VEV50" s="25"/>
      <c r="VEW50" s="25"/>
      <c r="VEX50" s="25"/>
      <c r="VEY50" s="25"/>
      <c r="VEZ50" s="25"/>
      <c r="VFA50" s="25"/>
      <c r="VFB50" s="25"/>
      <c r="VFC50" s="25"/>
      <c r="VFD50" s="25"/>
      <c r="VFE50" s="25"/>
      <c r="VFF50" s="25"/>
      <c r="VFG50" s="25"/>
      <c r="VFH50" s="25"/>
      <c r="VFI50" s="25"/>
      <c r="VFJ50" s="25"/>
      <c r="VFK50" s="25"/>
      <c r="VFL50" s="25"/>
      <c r="VFM50" s="25"/>
      <c r="VFN50" s="25"/>
      <c r="VFO50" s="25"/>
      <c r="VFP50" s="25"/>
      <c r="VFQ50" s="25"/>
      <c r="VFR50" s="25"/>
      <c r="VFS50" s="25"/>
      <c r="VFT50" s="25"/>
      <c r="VFU50" s="25"/>
      <c r="VFV50" s="25"/>
      <c r="VFW50" s="25"/>
      <c r="VFX50" s="25"/>
      <c r="VFY50" s="25"/>
      <c r="VFZ50" s="25"/>
      <c r="VGA50" s="25"/>
      <c r="VGB50" s="25"/>
      <c r="VGC50" s="25"/>
      <c r="VGD50" s="25"/>
      <c r="VGE50" s="25"/>
      <c r="VGF50" s="25"/>
      <c r="VGG50" s="25"/>
      <c r="VGH50" s="25"/>
      <c r="VGI50" s="25"/>
      <c r="VGJ50" s="25"/>
      <c r="VGK50" s="25"/>
      <c r="VGL50" s="25"/>
      <c r="VGM50" s="25"/>
      <c r="VGN50" s="25"/>
      <c r="VGO50" s="25"/>
      <c r="VGP50" s="25"/>
      <c r="VGQ50" s="25"/>
      <c r="VGR50" s="25"/>
      <c r="VGS50" s="25"/>
      <c r="VGT50" s="25"/>
      <c r="VGU50" s="25"/>
      <c r="VGV50" s="25"/>
      <c r="VGW50" s="25"/>
      <c r="VGX50" s="25"/>
      <c r="VGY50" s="25"/>
      <c r="VGZ50" s="25"/>
      <c r="VHA50" s="25"/>
      <c r="VHB50" s="25"/>
      <c r="VHC50" s="25"/>
      <c r="VHD50" s="25"/>
      <c r="VHE50" s="25"/>
      <c r="VHF50" s="25"/>
      <c r="VHG50" s="25"/>
      <c r="VHH50" s="25"/>
      <c r="VHI50" s="25"/>
      <c r="VHJ50" s="25"/>
      <c r="VHK50" s="25"/>
      <c r="VHL50" s="25"/>
      <c r="VHM50" s="25"/>
      <c r="VHN50" s="25"/>
      <c r="VHO50" s="25"/>
      <c r="VHP50" s="25"/>
      <c r="VHQ50" s="25"/>
      <c r="VHR50" s="25"/>
      <c r="VHS50" s="25"/>
      <c r="VHT50" s="25"/>
      <c r="VHU50" s="25"/>
      <c r="VHV50" s="25"/>
      <c r="VHW50" s="25"/>
      <c r="VHX50" s="25"/>
      <c r="VHY50" s="25"/>
      <c r="VHZ50" s="25"/>
      <c r="VIA50" s="25"/>
      <c r="VIB50" s="25"/>
      <c r="VIC50" s="25"/>
      <c r="VID50" s="25"/>
      <c r="VIE50" s="25"/>
      <c r="VIF50" s="25"/>
      <c r="VIG50" s="25"/>
      <c r="VIH50" s="25"/>
      <c r="VII50" s="25"/>
      <c r="VIJ50" s="25"/>
      <c r="VIK50" s="25"/>
      <c r="VIL50" s="25"/>
      <c r="VIM50" s="25"/>
      <c r="VIN50" s="25"/>
      <c r="VIO50" s="25"/>
      <c r="VIP50" s="25"/>
      <c r="VIQ50" s="25"/>
      <c r="VIR50" s="25"/>
      <c r="VIS50" s="25"/>
      <c r="VIT50" s="25"/>
      <c r="VIU50" s="25"/>
      <c r="VIV50" s="25"/>
      <c r="VIW50" s="25"/>
      <c r="VIX50" s="25"/>
      <c r="VIY50" s="25"/>
      <c r="VIZ50" s="25"/>
      <c r="VJA50" s="25"/>
      <c r="VJB50" s="25"/>
      <c r="VJC50" s="25"/>
      <c r="VJD50" s="25"/>
      <c r="VJE50" s="25"/>
      <c r="VJF50" s="25"/>
      <c r="VJG50" s="25"/>
      <c r="VJH50" s="25"/>
      <c r="VJI50" s="25"/>
      <c r="VJJ50" s="25"/>
      <c r="VJK50" s="25"/>
      <c r="VJL50" s="25"/>
      <c r="VJM50" s="25"/>
      <c r="VJN50" s="25"/>
      <c r="VJO50" s="25"/>
      <c r="VJP50" s="25"/>
      <c r="VJQ50" s="25"/>
      <c r="VJR50" s="25"/>
      <c r="VJS50" s="25"/>
      <c r="VJT50" s="25"/>
      <c r="VJU50" s="25"/>
      <c r="VJV50" s="25"/>
      <c r="VJW50" s="25"/>
      <c r="VJX50" s="25"/>
      <c r="VJY50" s="25"/>
      <c r="VJZ50" s="25"/>
      <c r="VKA50" s="25"/>
      <c r="VKB50" s="25"/>
      <c r="VKC50" s="25"/>
      <c r="VKD50" s="25"/>
      <c r="VKE50" s="25"/>
      <c r="VKF50" s="25"/>
      <c r="VKG50" s="25"/>
      <c r="VKH50" s="25"/>
      <c r="VKI50" s="25"/>
      <c r="VKJ50" s="25"/>
      <c r="VKK50" s="25"/>
      <c r="VKL50" s="25"/>
      <c r="VKM50" s="25"/>
      <c r="VKN50" s="25"/>
      <c r="VKO50" s="25"/>
      <c r="VKP50" s="25"/>
      <c r="VKQ50" s="25"/>
      <c r="VKR50" s="25"/>
      <c r="VKS50" s="25"/>
      <c r="VKT50" s="25"/>
      <c r="VKU50" s="25"/>
      <c r="VKV50" s="25"/>
      <c r="VKW50" s="25"/>
      <c r="VKX50" s="25"/>
      <c r="VKY50" s="25"/>
      <c r="VKZ50" s="25"/>
      <c r="VLA50" s="25"/>
      <c r="VLB50" s="25"/>
      <c r="VLC50" s="25"/>
      <c r="VLD50" s="25"/>
      <c r="VLE50" s="25"/>
      <c r="VLF50" s="25"/>
      <c r="VLG50" s="25"/>
      <c r="VLH50" s="25"/>
      <c r="VLI50" s="25"/>
      <c r="VLJ50" s="25"/>
      <c r="VLK50" s="25"/>
      <c r="VLL50" s="25"/>
      <c r="VLM50" s="25"/>
      <c r="VLN50" s="25"/>
      <c r="VLO50" s="25"/>
      <c r="VLP50" s="25"/>
      <c r="VLQ50" s="25"/>
      <c r="VLR50" s="25"/>
      <c r="VLS50" s="25"/>
      <c r="VLT50" s="25"/>
      <c r="VLU50" s="25"/>
      <c r="VLV50" s="25"/>
      <c r="VLW50" s="25"/>
      <c r="VLX50" s="25"/>
      <c r="VLY50" s="25"/>
      <c r="VLZ50" s="25"/>
      <c r="VMA50" s="25"/>
      <c r="VMB50" s="25"/>
      <c r="VMC50" s="25"/>
      <c r="VMD50" s="25"/>
      <c r="VME50" s="25"/>
      <c r="VMF50" s="25"/>
      <c r="VMG50" s="25"/>
      <c r="VMH50" s="25"/>
      <c r="VMI50" s="25"/>
      <c r="VMJ50" s="25"/>
      <c r="VMK50" s="25"/>
      <c r="VML50" s="25"/>
      <c r="VMM50" s="25"/>
      <c r="VMN50" s="25"/>
      <c r="VMO50" s="25"/>
      <c r="VMP50" s="25"/>
      <c r="VMQ50" s="25"/>
      <c r="VMR50" s="25"/>
      <c r="VMS50" s="25"/>
      <c r="VMT50" s="25"/>
      <c r="VMU50" s="25"/>
      <c r="VMV50" s="25"/>
      <c r="VMW50" s="25"/>
      <c r="VMX50" s="25"/>
      <c r="VMY50" s="25"/>
      <c r="VMZ50" s="25"/>
      <c r="VNA50" s="25"/>
      <c r="VNB50" s="25"/>
      <c r="VNC50" s="25"/>
      <c r="VND50" s="25"/>
      <c r="VNE50" s="25"/>
      <c r="VNF50" s="25"/>
      <c r="VNG50" s="25"/>
      <c r="VNH50" s="25"/>
      <c r="VNI50" s="25"/>
      <c r="VNJ50" s="25"/>
      <c r="VNK50" s="25"/>
      <c r="VNL50" s="25"/>
      <c r="VNM50" s="25"/>
      <c r="VNN50" s="25"/>
      <c r="VNO50" s="25"/>
      <c r="VNP50" s="25"/>
      <c r="VNQ50" s="25"/>
      <c r="VNR50" s="25"/>
      <c r="VNS50" s="25"/>
      <c r="VNT50" s="25"/>
      <c r="VNU50" s="25"/>
      <c r="VNV50" s="25"/>
      <c r="VNW50" s="25"/>
      <c r="VNX50" s="25"/>
      <c r="VNY50" s="25"/>
      <c r="VNZ50" s="25"/>
      <c r="VOA50" s="25"/>
      <c r="VOB50" s="25"/>
      <c r="VOC50" s="25"/>
      <c r="VOD50" s="25"/>
      <c r="VOE50" s="25"/>
      <c r="VOF50" s="25"/>
      <c r="VOG50" s="25"/>
      <c r="VOH50" s="25"/>
      <c r="VOI50" s="25"/>
      <c r="VOJ50" s="25"/>
      <c r="VOK50" s="25"/>
      <c r="VOL50" s="25"/>
      <c r="VOM50" s="25"/>
      <c r="VON50" s="25"/>
      <c r="VOO50" s="25"/>
      <c r="VOP50" s="25"/>
      <c r="VOQ50" s="25"/>
      <c r="VOR50" s="25"/>
      <c r="VOS50" s="25"/>
      <c r="VOT50" s="25"/>
      <c r="VOU50" s="25"/>
      <c r="VOV50" s="25"/>
      <c r="VOW50" s="25"/>
      <c r="VOX50" s="25"/>
      <c r="VOY50" s="25"/>
      <c r="VOZ50" s="25"/>
      <c r="VPA50" s="25"/>
      <c r="VPB50" s="25"/>
      <c r="VPC50" s="25"/>
      <c r="VPD50" s="25"/>
      <c r="VPE50" s="25"/>
      <c r="VPF50" s="25"/>
      <c r="VPG50" s="25"/>
      <c r="VPH50" s="25"/>
      <c r="VPI50" s="25"/>
      <c r="VPJ50" s="25"/>
      <c r="VPK50" s="25"/>
      <c r="VPL50" s="25"/>
      <c r="VPM50" s="25"/>
      <c r="VPN50" s="25"/>
      <c r="VPO50" s="25"/>
      <c r="VPP50" s="25"/>
      <c r="VPQ50" s="25"/>
      <c r="VPR50" s="25"/>
      <c r="VPS50" s="25"/>
      <c r="VPT50" s="25"/>
      <c r="VPU50" s="25"/>
      <c r="VPV50" s="25"/>
      <c r="VPW50" s="25"/>
      <c r="VPX50" s="25"/>
      <c r="VPY50" s="25"/>
      <c r="VPZ50" s="25"/>
      <c r="VQA50" s="25"/>
      <c r="VQB50" s="25"/>
      <c r="VQC50" s="25"/>
      <c r="VQD50" s="25"/>
      <c r="VQE50" s="25"/>
      <c r="VQF50" s="25"/>
      <c r="VQG50" s="25"/>
      <c r="VQH50" s="25"/>
      <c r="VQI50" s="25"/>
      <c r="VQJ50" s="25"/>
      <c r="VQK50" s="25"/>
      <c r="VQL50" s="25"/>
      <c r="VQM50" s="25"/>
      <c r="VQN50" s="25"/>
      <c r="VQO50" s="25"/>
      <c r="VQP50" s="25"/>
      <c r="VQQ50" s="25"/>
      <c r="VQR50" s="25"/>
      <c r="VQS50" s="25"/>
      <c r="VQT50" s="25"/>
      <c r="VQU50" s="25"/>
      <c r="VQV50" s="25"/>
      <c r="VQW50" s="25"/>
      <c r="VQX50" s="25"/>
      <c r="VQY50" s="25"/>
      <c r="VQZ50" s="25"/>
      <c r="VRA50" s="25"/>
      <c r="VRB50" s="25"/>
      <c r="VRC50" s="25"/>
      <c r="VRD50" s="25"/>
      <c r="VRE50" s="25"/>
      <c r="VRF50" s="25"/>
      <c r="VRG50" s="25"/>
      <c r="VRH50" s="25"/>
      <c r="VRI50" s="25"/>
      <c r="VRJ50" s="25"/>
      <c r="VRK50" s="25"/>
      <c r="VRL50" s="25"/>
      <c r="VRM50" s="25"/>
      <c r="VRN50" s="25"/>
      <c r="VRO50" s="25"/>
      <c r="VRP50" s="25"/>
      <c r="VRQ50" s="25"/>
      <c r="VRR50" s="25"/>
      <c r="VRS50" s="25"/>
      <c r="VRT50" s="25"/>
      <c r="VRU50" s="25"/>
      <c r="VRV50" s="25"/>
      <c r="VRW50" s="25"/>
      <c r="VRX50" s="25"/>
      <c r="VRY50" s="25"/>
      <c r="VRZ50" s="25"/>
      <c r="VSA50" s="25"/>
      <c r="VSB50" s="25"/>
      <c r="VSC50" s="25"/>
      <c r="VSD50" s="25"/>
      <c r="VSE50" s="25"/>
      <c r="VSF50" s="25"/>
      <c r="VSG50" s="25"/>
      <c r="VSH50" s="25"/>
      <c r="VSI50" s="25"/>
      <c r="VSJ50" s="25"/>
      <c r="VSK50" s="25"/>
      <c r="VSL50" s="25"/>
      <c r="VSM50" s="25"/>
      <c r="VSN50" s="25"/>
      <c r="VSO50" s="25"/>
      <c r="VSP50" s="25"/>
      <c r="VSQ50" s="25"/>
      <c r="VSR50" s="25"/>
      <c r="VSS50" s="25"/>
      <c r="VST50" s="25"/>
      <c r="VSU50" s="25"/>
      <c r="VSV50" s="25"/>
      <c r="VSW50" s="25"/>
      <c r="VSX50" s="25"/>
      <c r="VSY50" s="25"/>
      <c r="VSZ50" s="25"/>
      <c r="VTA50" s="25"/>
      <c r="VTB50" s="25"/>
      <c r="VTC50" s="25"/>
      <c r="VTD50" s="25"/>
      <c r="VTE50" s="25"/>
      <c r="VTF50" s="25"/>
      <c r="VTG50" s="25"/>
      <c r="VTH50" s="25"/>
      <c r="VTI50" s="25"/>
      <c r="VTJ50" s="25"/>
      <c r="VTK50" s="25"/>
      <c r="VTL50" s="25"/>
      <c r="VTM50" s="25"/>
      <c r="VTN50" s="25"/>
      <c r="VTO50" s="25"/>
      <c r="VTP50" s="25"/>
      <c r="VTQ50" s="25"/>
      <c r="VTR50" s="25"/>
      <c r="VTS50" s="25"/>
      <c r="VTT50" s="25"/>
      <c r="VTU50" s="25"/>
      <c r="VTV50" s="25"/>
      <c r="VTW50" s="25"/>
      <c r="VTX50" s="25"/>
      <c r="VTY50" s="25"/>
      <c r="VTZ50" s="25"/>
      <c r="VUA50" s="25"/>
      <c r="VUB50" s="25"/>
      <c r="VUC50" s="25"/>
      <c r="VUD50" s="25"/>
      <c r="VUE50" s="25"/>
      <c r="VUF50" s="25"/>
      <c r="VUG50" s="25"/>
      <c r="VUH50" s="25"/>
      <c r="VUI50" s="25"/>
      <c r="VUJ50" s="25"/>
      <c r="VUK50" s="25"/>
      <c r="VUL50" s="25"/>
      <c r="VUM50" s="25"/>
      <c r="VUN50" s="25"/>
      <c r="VUO50" s="25"/>
      <c r="VUP50" s="25"/>
      <c r="VUQ50" s="25"/>
      <c r="VUR50" s="25"/>
      <c r="VUS50" s="25"/>
      <c r="VUT50" s="25"/>
      <c r="VUU50" s="25"/>
      <c r="VUV50" s="25"/>
      <c r="VUW50" s="25"/>
      <c r="VUX50" s="25"/>
      <c r="VUY50" s="25"/>
      <c r="VUZ50" s="25"/>
      <c r="VVA50" s="25"/>
      <c r="VVB50" s="25"/>
      <c r="VVC50" s="25"/>
      <c r="VVD50" s="25"/>
      <c r="VVE50" s="25"/>
      <c r="VVF50" s="25"/>
      <c r="VVG50" s="25"/>
      <c r="VVH50" s="25"/>
      <c r="VVI50" s="25"/>
      <c r="VVJ50" s="25"/>
      <c r="VVK50" s="25"/>
      <c r="VVL50" s="25"/>
      <c r="VVM50" s="25"/>
      <c r="VVN50" s="25"/>
      <c r="VVO50" s="25"/>
      <c r="VVP50" s="25"/>
      <c r="VVQ50" s="25"/>
      <c r="VVR50" s="25"/>
      <c r="VVS50" s="25"/>
      <c r="VVT50" s="25"/>
      <c r="VVU50" s="25"/>
      <c r="VVV50" s="25"/>
      <c r="VVW50" s="25"/>
      <c r="VVX50" s="25"/>
      <c r="VVY50" s="25"/>
      <c r="VVZ50" s="25"/>
      <c r="VWA50" s="25"/>
      <c r="VWB50" s="25"/>
      <c r="VWC50" s="25"/>
      <c r="VWD50" s="25"/>
      <c r="VWE50" s="25"/>
      <c r="VWF50" s="25"/>
      <c r="VWG50" s="25"/>
      <c r="VWH50" s="25"/>
      <c r="VWI50" s="25"/>
      <c r="VWJ50" s="25"/>
      <c r="VWK50" s="25"/>
      <c r="VWL50" s="25"/>
      <c r="VWM50" s="25"/>
      <c r="VWN50" s="25"/>
      <c r="VWO50" s="25"/>
      <c r="VWP50" s="25"/>
      <c r="VWQ50" s="25"/>
      <c r="VWR50" s="25"/>
      <c r="VWS50" s="25"/>
      <c r="VWT50" s="25"/>
      <c r="VWU50" s="25"/>
      <c r="VWV50" s="25"/>
      <c r="VWW50" s="25"/>
      <c r="VWX50" s="25"/>
      <c r="VWY50" s="25"/>
      <c r="VWZ50" s="25"/>
      <c r="VXA50" s="25"/>
      <c r="VXB50" s="25"/>
      <c r="VXC50" s="25"/>
      <c r="VXD50" s="25"/>
      <c r="VXE50" s="25"/>
      <c r="VXF50" s="25"/>
      <c r="VXG50" s="25"/>
      <c r="VXH50" s="25"/>
      <c r="VXI50" s="25"/>
      <c r="VXJ50" s="25"/>
      <c r="VXK50" s="25"/>
      <c r="VXL50" s="25"/>
      <c r="VXM50" s="25"/>
      <c r="VXN50" s="25"/>
      <c r="VXO50" s="25"/>
      <c r="VXP50" s="25"/>
      <c r="VXQ50" s="25"/>
      <c r="VXR50" s="25"/>
      <c r="VXS50" s="25"/>
      <c r="VXT50" s="25"/>
      <c r="VXU50" s="25"/>
      <c r="VXV50" s="25"/>
      <c r="VXW50" s="25"/>
      <c r="VXX50" s="25"/>
      <c r="VXY50" s="25"/>
      <c r="VXZ50" s="25"/>
      <c r="VYA50" s="25"/>
      <c r="VYB50" s="25"/>
      <c r="VYC50" s="25"/>
      <c r="VYD50" s="25"/>
      <c r="VYE50" s="25"/>
      <c r="VYF50" s="25"/>
      <c r="VYG50" s="25"/>
      <c r="VYH50" s="25"/>
      <c r="VYI50" s="25"/>
      <c r="VYJ50" s="25"/>
      <c r="VYK50" s="25"/>
      <c r="VYL50" s="25"/>
      <c r="VYM50" s="25"/>
      <c r="VYN50" s="25"/>
      <c r="VYO50" s="25"/>
      <c r="VYP50" s="25"/>
      <c r="VYQ50" s="25"/>
      <c r="VYR50" s="25"/>
      <c r="VYS50" s="25"/>
      <c r="VYT50" s="25"/>
      <c r="VYU50" s="25"/>
      <c r="VYV50" s="25"/>
      <c r="VYW50" s="25"/>
      <c r="VYX50" s="25"/>
      <c r="VYY50" s="25"/>
      <c r="VYZ50" s="25"/>
      <c r="VZA50" s="25"/>
      <c r="VZB50" s="25"/>
      <c r="VZC50" s="25"/>
      <c r="VZD50" s="25"/>
      <c r="VZE50" s="25"/>
      <c r="VZF50" s="25"/>
      <c r="VZG50" s="25"/>
      <c r="VZH50" s="25"/>
      <c r="VZI50" s="25"/>
      <c r="VZJ50" s="25"/>
      <c r="VZK50" s="25"/>
      <c r="VZL50" s="25"/>
      <c r="VZM50" s="25"/>
      <c r="VZN50" s="25"/>
      <c r="VZO50" s="25"/>
      <c r="VZP50" s="25"/>
      <c r="VZQ50" s="25"/>
      <c r="VZR50" s="25"/>
      <c r="VZS50" s="25"/>
      <c r="VZT50" s="25"/>
      <c r="VZU50" s="25"/>
      <c r="VZV50" s="25"/>
      <c r="VZW50" s="25"/>
      <c r="VZX50" s="25"/>
      <c r="VZY50" s="25"/>
      <c r="VZZ50" s="25"/>
      <c r="WAA50" s="25"/>
      <c r="WAB50" s="25"/>
      <c r="WAC50" s="25"/>
      <c r="WAD50" s="25"/>
      <c r="WAE50" s="25"/>
      <c r="WAF50" s="25"/>
      <c r="WAG50" s="25"/>
      <c r="WAH50" s="25"/>
      <c r="WAI50" s="25"/>
      <c r="WAJ50" s="25"/>
      <c r="WAK50" s="25"/>
      <c r="WAL50" s="25"/>
      <c r="WAM50" s="25"/>
      <c r="WAN50" s="25"/>
      <c r="WAO50" s="25"/>
      <c r="WAP50" s="25"/>
      <c r="WAQ50" s="25"/>
      <c r="WAR50" s="25"/>
      <c r="WAS50" s="25"/>
      <c r="WAT50" s="25"/>
      <c r="WAU50" s="25"/>
      <c r="WAV50" s="25"/>
      <c r="WAW50" s="25"/>
      <c r="WAX50" s="25"/>
      <c r="WAY50" s="25"/>
      <c r="WAZ50" s="25"/>
      <c r="WBA50" s="25"/>
      <c r="WBB50" s="25"/>
      <c r="WBC50" s="25"/>
      <c r="WBD50" s="25"/>
      <c r="WBE50" s="25"/>
      <c r="WBF50" s="25"/>
      <c r="WBG50" s="25"/>
      <c r="WBH50" s="25"/>
      <c r="WBI50" s="25"/>
      <c r="WBJ50" s="25"/>
      <c r="WBK50" s="25"/>
      <c r="WBL50" s="25"/>
      <c r="WBM50" s="25"/>
      <c r="WBN50" s="25"/>
      <c r="WBO50" s="25"/>
      <c r="WBP50" s="25"/>
      <c r="WBQ50" s="25"/>
      <c r="WBR50" s="25"/>
      <c r="WBS50" s="25"/>
      <c r="WBT50" s="25"/>
      <c r="WBU50" s="25"/>
      <c r="WBV50" s="25"/>
      <c r="WBW50" s="25"/>
      <c r="WBX50" s="25"/>
      <c r="WBY50" s="25"/>
      <c r="WBZ50" s="25"/>
      <c r="WCA50" s="25"/>
      <c r="WCB50" s="25"/>
      <c r="WCC50" s="25"/>
      <c r="WCD50" s="25"/>
      <c r="WCE50" s="25"/>
      <c r="WCF50" s="25"/>
      <c r="WCG50" s="25"/>
      <c r="WCH50" s="25"/>
      <c r="WCI50" s="25"/>
      <c r="WCJ50" s="25"/>
      <c r="WCK50" s="25"/>
      <c r="WCL50" s="25"/>
      <c r="WCM50" s="25"/>
      <c r="WCN50" s="25"/>
      <c r="WCO50" s="25"/>
      <c r="WCP50" s="25"/>
      <c r="WCQ50" s="25"/>
      <c r="WCR50" s="25"/>
      <c r="WCS50" s="25"/>
      <c r="WCT50" s="25"/>
      <c r="WCU50" s="25"/>
      <c r="WCV50" s="25"/>
      <c r="WCW50" s="25"/>
      <c r="WCX50" s="25"/>
      <c r="WCY50" s="25"/>
      <c r="WCZ50" s="25"/>
      <c r="WDA50" s="25"/>
      <c r="WDB50" s="25"/>
      <c r="WDC50" s="25"/>
      <c r="WDD50" s="25"/>
      <c r="WDE50" s="25"/>
      <c r="WDF50" s="25"/>
      <c r="WDG50" s="25"/>
      <c r="WDH50" s="25"/>
      <c r="WDI50" s="25"/>
      <c r="WDJ50" s="25"/>
      <c r="WDK50" s="25"/>
      <c r="WDL50" s="25"/>
      <c r="WDM50" s="25"/>
      <c r="WDN50" s="25"/>
      <c r="WDO50" s="25"/>
      <c r="WDP50" s="25"/>
      <c r="WDQ50" s="25"/>
      <c r="WDR50" s="25"/>
      <c r="WDS50" s="25"/>
      <c r="WDT50" s="25"/>
      <c r="WDU50" s="25"/>
      <c r="WDV50" s="25"/>
      <c r="WDW50" s="25"/>
      <c r="WDX50" s="25"/>
      <c r="WDY50" s="25"/>
      <c r="WDZ50" s="25"/>
      <c r="WEA50" s="25"/>
      <c r="WEB50" s="25"/>
      <c r="WEC50" s="25"/>
      <c r="WED50" s="25"/>
      <c r="WEE50" s="25"/>
      <c r="WEF50" s="25"/>
      <c r="WEG50" s="25"/>
      <c r="WEH50" s="25"/>
      <c r="WEI50" s="25"/>
      <c r="WEJ50" s="25"/>
      <c r="WEK50" s="25"/>
      <c r="WEL50" s="25"/>
      <c r="WEM50" s="25"/>
      <c r="WEN50" s="25"/>
      <c r="WEO50" s="25"/>
      <c r="WEP50" s="25"/>
      <c r="WEQ50" s="25"/>
      <c r="WER50" s="25"/>
      <c r="WES50" s="25"/>
      <c r="WET50" s="25"/>
      <c r="WEU50" s="25"/>
      <c r="WEV50" s="25"/>
      <c r="WEW50" s="25"/>
      <c r="WEX50" s="25"/>
      <c r="WEY50" s="25"/>
      <c r="WEZ50" s="25"/>
      <c r="WFA50" s="25"/>
      <c r="WFB50" s="25"/>
      <c r="WFC50" s="25"/>
      <c r="WFD50" s="25"/>
      <c r="WFE50" s="25"/>
      <c r="WFF50" s="25"/>
      <c r="WFG50" s="25"/>
      <c r="WFH50" s="25"/>
      <c r="WFI50" s="25"/>
      <c r="WFJ50" s="25"/>
      <c r="WFK50" s="25"/>
      <c r="WFL50" s="25"/>
      <c r="WFM50" s="25"/>
      <c r="WFN50" s="25"/>
      <c r="WFO50" s="25"/>
      <c r="WFP50" s="25"/>
      <c r="WFQ50" s="25"/>
      <c r="WFR50" s="25"/>
      <c r="WFS50" s="25"/>
      <c r="WFT50" s="25"/>
      <c r="WFU50" s="25"/>
      <c r="WFV50" s="25"/>
      <c r="WFW50" s="25"/>
      <c r="WFX50" s="25"/>
      <c r="WFY50" s="25"/>
      <c r="WFZ50" s="25"/>
      <c r="WGA50" s="25"/>
      <c r="WGB50" s="25"/>
      <c r="WGC50" s="25"/>
      <c r="WGD50" s="25"/>
      <c r="WGE50" s="25"/>
      <c r="WGF50" s="25"/>
      <c r="WGG50" s="25"/>
      <c r="WGH50" s="25"/>
      <c r="WGI50" s="25"/>
      <c r="WGJ50" s="25"/>
      <c r="WGK50" s="25"/>
      <c r="WGL50" s="25"/>
      <c r="WGM50" s="25"/>
      <c r="WGN50" s="25"/>
      <c r="WGO50" s="25"/>
      <c r="WGP50" s="25"/>
      <c r="WGQ50" s="25"/>
      <c r="WGR50" s="25"/>
      <c r="WGS50" s="25"/>
      <c r="WGT50" s="25"/>
      <c r="WGU50" s="25"/>
      <c r="WGV50" s="25"/>
      <c r="WGW50" s="25"/>
      <c r="WGX50" s="25"/>
      <c r="WGY50" s="25"/>
      <c r="WGZ50" s="25"/>
      <c r="WHA50" s="25"/>
      <c r="WHB50" s="25"/>
      <c r="WHC50" s="25"/>
      <c r="WHD50" s="25"/>
      <c r="WHE50" s="25"/>
      <c r="WHF50" s="25"/>
      <c r="WHG50" s="25"/>
      <c r="WHH50" s="25"/>
      <c r="WHI50" s="25"/>
      <c r="WHJ50" s="25"/>
      <c r="WHK50" s="25"/>
      <c r="WHL50" s="25"/>
      <c r="WHM50" s="25"/>
      <c r="WHN50" s="25"/>
      <c r="WHO50" s="25"/>
      <c r="WHP50" s="25"/>
      <c r="WHQ50" s="25"/>
      <c r="WHR50" s="25"/>
      <c r="WHS50" s="25"/>
      <c r="WHT50" s="25"/>
      <c r="WHU50" s="25"/>
      <c r="WHV50" s="25"/>
      <c r="WHW50" s="25"/>
      <c r="WHX50" s="25"/>
      <c r="WHY50" s="25"/>
      <c r="WHZ50" s="25"/>
      <c r="WIA50" s="25"/>
      <c r="WIB50" s="25"/>
      <c r="WIC50" s="25"/>
      <c r="WID50" s="25"/>
      <c r="WIE50" s="25"/>
      <c r="WIF50" s="25"/>
      <c r="WIG50" s="25"/>
      <c r="WIH50" s="25"/>
      <c r="WII50" s="25"/>
      <c r="WIJ50" s="25"/>
      <c r="WIK50" s="25"/>
      <c r="WIL50" s="25"/>
      <c r="WIM50" s="25"/>
      <c r="WIN50" s="25"/>
      <c r="WIO50" s="25"/>
      <c r="WIP50" s="25"/>
      <c r="WIQ50" s="25"/>
      <c r="WIR50" s="25"/>
      <c r="WIS50" s="25"/>
      <c r="WIT50" s="25"/>
      <c r="WIU50" s="25"/>
      <c r="WIV50" s="25"/>
      <c r="WIW50" s="25"/>
      <c r="WIX50" s="25"/>
      <c r="WIY50" s="25"/>
      <c r="WIZ50" s="25"/>
      <c r="WJA50" s="25"/>
      <c r="WJB50" s="25"/>
      <c r="WJC50" s="25"/>
      <c r="WJD50" s="25"/>
      <c r="WJE50" s="25"/>
      <c r="WJF50" s="25"/>
      <c r="WJG50" s="25"/>
      <c r="WJH50" s="25"/>
      <c r="WJI50" s="25"/>
      <c r="WJJ50" s="25"/>
      <c r="WJK50" s="25"/>
      <c r="WJL50" s="25"/>
      <c r="WJM50" s="25"/>
      <c r="WJN50" s="25"/>
      <c r="WJO50" s="25"/>
      <c r="WJP50" s="25"/>
      <c r="WJQ50" s="25"/>
      <c r="WJR50" s="25"/>
      <c r="WJS50" s="25"/>
      <c r="WJT50" s="25"/>
      <c r="WJU50" s="25"/>
      <c r="WJV50" s="25"/>
      <c r="WJW50" s="25"/>
      <c r="WJX50" s="25"/>
      <c r="WJY50" s="25"/>
      <c r="WJZ50" s="25"/>
      <c r="WKA50" s="25"/>
      <c r="WKB50" s="25"/>
      <c r="WKC50" s="25"/>
      <c r="WKD50" s="25"/>
      <c r="WKE50" s="25"/>
      <c r="WKF50" s="25"/>
      <c r="WKG50" s="25"/>
      <c r="WKH50" s="25"/>
      <c r="WKI50" s="25"/>
      <c r="WKJ50" s="25"/>
      <c r="WKK50" s="25"/>
      <c r="WKL50" s="25"/>
      <c r="WKM50" s="25"/>
      <c r="WKN50" s="25"/>
      <c r="WKO50" s="25"/>
      <c r="WKP50" s="25"/>
      <c r="WKQ50" s="25"/>
      <c r="WKR50" s="25"/>
      <c r="WKS50" s="25"/>
      <c r="WKT50" s="25"/>
      <c r="WKU50" s="25"/>
      <c r="WKV50" s="25"/>
      <c r="WKW50" s="25"/>
      <c r="WKX50" s="25"/>
      <c r="WKY50" s="25"/>
      <c r="WKZ50" s="25"/>
      <c r="WLA50" s="25"/>
      <c r="WLB50" s="25"/>
      <c r="WLC50" s="25"/>
      <c r="WLD50" s="25"/>
      <c r="WLE50" s="25"/>
      <c r="WLF50" s="25"/>
      <c r="WLG50" s="25"/>
      <c r="WLH50" s="25"/>
      <c r="WLI50" s="25"/>
      <c r="WLJ50" s="25"/>
      <c r="WLK50" s="25"/>
      <c r="WLL50" s="25"/>
      <c r="WLM50" s="25"/>
      <c r="WLN50" s="25"/>
      <c r="WLO50" s="25"/>
      <c r="WLP50" s="25"/>
      <c r="WLQ50" s="25"/>
      <c r="WLR50" s="25"/>
      <c r="WLS50" s="25"/>
      <c r="WLT50" s="25"/>
      <c r="WLU50" s="25"/>
      <c r="WLV50" s="25"/>
      <c r="WLW50" s="25"/>
      <c r="WLX50" s="25"/>
      <c r="WLY50" s="25"/>
      <c r="WLZ50" s="25"/>
      <c r="WMA50" s="25"/>
      <c r="WMB50" s="25"/>
      <c r="WMC50" s="25"/>
      <c r="WMD50" s="25"/>
      <c r="WME50" s="25"/>
      <c r="WMF50" s="25"/>
      <c r="WMG50" s="25"/>
      <c r="WMH50" s="25"/>
      <c r="WMI50" s="25"/>
      <c r="WMJ50" s="25"/>
      <c r="WMK50" s="25"/>
      <c r="WML50" s="25"/>
      <c r="WMM50" s="25"/>
      <c r="WMN50" s="25"/>
      <c r="WMO50" s="25"/>
      <c r="WMP50" s="25"/>
      <c r="WMQ50" s="25"/>
      <c r="WMR50" s="25"/>
      <c r="WMS50" s="25"/>
      <c r="WMT50" s="25"/>
      <c r="WMU50" s="25"/>
      <c r="WMV50" s="25"/>
      <c r="WMW50" s="25"/>
      <c r="WMX50" s="25"/>
      <c r="WMY50" s="25"/>
      <c r="WMZ50" s="25"/>
      <c r="WNA50" s="25"/>
      <c r="WNB50" s="25"/>
      <c r="WNC50" s="25"/>
      <c r="WND50" s="25"/>
      <c r="WNE50" s="25"/>
      <c r="WNF50" s="25"/>
      <c r="WNG50" s="25"/>
      <c r="WNH50" s="25"/>
      <c r="WNI50" s="25"/>
      <c r="WNJ50" s="25"/>
      <c r="WNK50" s="25"/>
      <c r="WNL50" s="25"/>
      <c r="WNM50" s="25"/>
      <c r="WNN50" s="25"/>
      <c r="WNO50" s="25"/>
      <c r="WNP50" s="25"/>
      <c r="WNQ50" s="25"/>
      <c r="WNR50" s="25"/>
      <c r="WNS50" s="25"/>
      <c r="WNT50" s="25"/>
      <c r="WNU50" s="25"/>
      <c r="WNV50" s="25"/>
      <c r="WNW50" s="25"/>
      <c r="WNX50" s="25"/>
      <c r="WNY50" s="25"/>
      <c r="WNZ50" s="25"/>
      <c r="WOA50" s="25"/>
      <c r="WOB50" s="25"/>
      <c r="WOC50" s="25"/>
      <c r="WOD50" s="25"/>
      <c r="WOE50" s="25"/>
      <c r="WOF50" s="25"/>
      <c r="WOG50" s="25"/>
      <c r="WOH50" s="25"/>
      <c r="WOI50" s="25"/>
      <c r="WOJ50" s="25"/>
      <c r="WOK50" s="25"/>
      <c r="WOL50" s="25"/>
      <c r="WOM50" s="25"/>
      <c r="WON50" s="25"/>
      <c r="WOO50" s="25"/>
      <c r="WOP50" s="25"/>
      <c r="WOQ50" s="25"/>
      <c r="WOR50" s="25"/>
      <c r="WOS50" s="25"/>
      <c r="WOT50" s="25"/>
      <c r="WOU50" s="25"/>
      <c r="WOV50" s="25"/>
      <c r="WOW50" s="25"/>
      <c r="WOX50" s="25"/>
      <c r="WOY50" s="25"/>
      <c r="WOZ50" s="25"/>
      <c r="WPA50" s="25"/>
      <c r="WPB50" s="25"/>
      <c r="WPC50" s="25"/>
      <c r="WPD50" s="25"/>
      <c r="WPE50" s="25"/>
      <c r="WPF50" s="25"/>
      <c r="WPG50" s="25"/>
      <c r="WPH50" s="25"/>
      <c r="WPI50" s="25"/>
      <c r="WPJ50" s="25"/>
      <c r="WPK50" s="25"/>
      <c r="WPL50" s="25"/>
      <c r="WPM50" s="25"/>
      <c r="WPN50" s="25"/>
      <c r="WPO50" s="25"/>
      <c r="WPP50" s="25"/>
      <c r="WPQ50" s="25"/>
      <c r="WPR50" s="25"/>
      <c r="WPS50" s="25"/>
      <c r="WPT50" s="25"/>
      <c r="WPU50" s="25"/>
      <c r="WPV50" s="25"/>
      <c r="WPW50" s="25"/>
      <c r="WPX50" s="25"/>
      <c r="WPY50" s="25"/>
      <c r="WPZ50" s="25"/>
      <c r="WQA50" s="25"/>
      <c r="WQB50" s="25"/>
      <c r="WQC50" s="25"/>
      <c r="WQD50" s="25"/>
      <c r="WQE50" s="25"/>
      <c r="WQF50" s="25"/>
      <c r="WQG50" s="25"/>
      <c r="WQH50" s="25"/>
      <c r="WQI50" s="25"/>
      <c r="WQJ50" s="25"/>
      <c r="WQK50" s="25"/>
      <c r="WQL50" s="25"/>
      <c r="WQM50" s="25"/>
      <c r="WQN50" s="25"/>
      <c r="WQO50" s="25"/>
      <c r="WQP50" s="25"/>
      <c r="WQQ50" s="25"/>
      <c r="WQR50" s="25"/>
      <c r="WQS50" s="25"/>
      <c r="WQT50" s="25"/>
      <c r="WQU50" s="25"/>
      <c r="WQV50" s="25"/>
      <c r="WQW50" s="25"/>
      <c r="WQX50" s="25"/>
      <c r="WQY50" s="25"/>
      <c r="WQZ50" s="25"/>
      <c r="WRA50" s="25"/>
      <c r="WRB50" s="25"/>
      <c r="WRC50" s="25"/>
      <c r="WRD50" s="25"/>
      <c r="WRE50" s="25"/>
      <c r="WRF50" s="25"/>
      <c r="WRG50" s="25"/>
      <c r="WRH50" s="25"/>
      <c r="WRI50" s="25"/>
      <c r="WRJ50" s="25"/>
      <c r="WRK50" s="25"/>
      <c r="WRL50" s="25"/>
      <c r="WRM50" s="25"/>
      <c r="WRN50" s="25"/>
      <c r="WRO50" s="25"/>
      <c r="WRP50" s="25"/>
      <c r="WRQ50" s="25"/>
      <c r="WRR50" s="25"/>
      <c r="WRS50" s="25"/>
      <c r="WRT50" s="25"/>
      <c r="WRU50" s="25"/>
      <c r="WRV50" s="25"/>
      <c r="WRW50" s="25"/>
      <c r="WRX50" s="25"/>
      <c r="WRY50" s="25"/>
      <c r="WRZ50" s="25"/>
      <c r="WSA50" s="25"/>
      <c r="WSB50" s="25"/>
      <c r="WSC50" s="25"/>
      <c r="WSD50" s="25"/>
      <c r="WSE50" s="25"/>
      <c r="WSF50" s="25"/>
      <c r="WSG50" s="25"/>
      <c r="WSH50" s="25"/>
      <c r="WSI50" s="25"/>
      <c r="WSJ50" s="25"/>
      <c r="WSK50" s="25"/>
      <c r="WSL50" s="25"/>
      <c r="WSM50" s="25"/>
      <c r="WSN50" s="25"/>
      <c r="WSO50" s="25"/>
      <c r="WSP50" s="25"/>
      <c r="WSQ50" s="25"/>
      <c r="WSR50" s="25"/>
      <c r="WSS50" s="25"/>
      <c r="WST50" s="25"/>
      <c r="WSU50" s="25"/>
      <c r="WSV50" s="25"/>
      <c r="WSW50" s="25"/>
      <c r="WSX50" s="25"/>
      <c r="WSY50" s="25"/>
      <c r="WSZ50" s="25"/>
      <c r="WTA50" s="25"/>
      <c r="WTB50" s="25"/>
      <c r="WTC50" s="25"/>
      <c r="WTD50" s="25"/>
      <c r="WTE50" s="25"/>
      <c r="WTF50" s="25"/>
      <c r="WTG50" s="25"/>
      <c r="WTH50" s="25"/>
      <c r="WTI50" s="25"/>
      <c r="WTJ50" s="25"/>
      <c r="WTK50" s="25"/>
      <c r="WTL50" s="25"/>
      <c r="WTM50" s="25"/>
      <c r="WTN50" s="25"/>
      <c r="WTO50" s="25"/>
      <c r="WTP50" s="25"/>
      <c r="WTQ50" s="25"/>
      <c r="WTR50" s="25"/>
      <c r="WTS50" s="25"/>
      <c r="WTT50" s="25"/>
      <c r="WTU50" s="25"/>
      <c r="WTV50" s="25"/>
      <c r="WTW50" s="25"/>
      <c r="WTX50" s="25"/>
      <c r="WTY50" s="25"/>
      <c r="WTZ50" s="25"/>
      <c r="WUA50" s="25"/>
      <c r="WUB50" s="25"/>
      <c r="WUC50" s="25"/>
      <c r="WUD50" s="25"/>
      <c r="WUE50" s="25"/>
      <c r="WUF50" s="25"/>
      <c r="WUG50" s="25"/>
      <c r="WUH50" s="25"/>
      <c r="WUI50" s="25"/>
      <c r="WUJ50" s="25"/>
      <c r="WUK50" s="25"/>
      <c r="WUL50" s="25"/>
      <c r="WUM50" s="25"/>
      <c r="WUN50" s="25"/>
      <c r="WUO50" s="25"/>
      <c r="WUP50" s="25"/>
      <c r="WUQ50" s="25"/>
      <c r="WUR50" s="25"/>
      <c r="WUS50" s="25"/>
      <c r="WUT50" s="25"/>
      <c r="WUU50" s="25"/>
      <c r="WUV50" s="25"/>
      <c r="WUW50" s="25"/>
      <c r="WUX50" s="25"/>
      <c r="WUY50" s="25"/>
      <c r="WUZ50" s="25"/>
      <c r="WVA50" s="25"/>
      <c r="WVB50" s="25"/>
      <c r="WVC50" s="25"/>
      <c r="WVD50" s="25"/>
      <c r="WVE50" s="25"/>
      <c r="WVF50" s="25"/>
      <c r="WVG50" s="25"/>
      <c r="WVH50" s="25"/>
      <c r="WVI50" s="25"/>
      <c r="WVJ50" s="25"/>
      <c r="WVK50" s="25"/>
      <c r="WVL50" s="25"/>
      <c r="WVM50" s="25"/>
      <c r="WVN50" s="25"/>
      <c r="WVO50" s="25"/>
      <c r="WVP50" s="25"/>
      <c r="WVQ50" s="25"/>
      <c r="WVR50" s="25"/>
      <c r="WVS50" s="25"/>
      <c r="WVT50" s="25"/>
      <c r="WVU50" s="25"/>
      <c r="WVV50" s="25"/>
      <c r="WVW50" s="25"/>
      <c r="WVX50" s="25"/>
      <c r="WVY50" s="25"/>
      <c r="WVZ50" s="25"/>
      <c r="WWA50" s="25"/>
      <c r="WWB50" s="25"/>
      <c r="WWC50" s="25"/>
      <c r="WWD50" s="25"/>
      <c r="WWE50" s="25"/>
      <c r="WWF50" s="25"/>
      <c r="WWG50" s="25"/>
      <c r="WWH50" s="25"/>
      <c r="WWI50" s="25"/>
      <c r="WWJ50" s="25"/>
      <c r="WWK50" s="25"/>
      <c r="WWL50" s="25"/>
      <c r="WWM50" s="25"/>
      <c r="WWN50" s="25"/>
      <c r="WWO50" s="25"/>
      <c r="WWP50" s="25"/>
      <c r="WWQ50" s="25"/>
      <c r="WWR50" s="25"/>
      <c r="WWS50" s="25"/>
      <c r="WWT50" s="25"/>
      <c r="WWU50" s="25"/>
      <c r="WWV50" s="25"/>
      <c r="WWW50" s="25"/>
      <c r="WWX50" s="25"/>
      <c r="WWY50" s="25"/>
      <c r="WWZ50" s="25"/>
      <c r="WXA50" s="25"/>
      <c r="WXB50" s="25"/>
      <c r="WXC50" s="25"/>
      <c r="WXD50" s="25"/>
      <c r="WXE50" s="25"/>
      <c r="WXF50" s="25"/>
      <c r="WXG50" s="25"/>
      <c r="WXH50" s="25"/>
      <c r="WXI50" s="25"/>
      <c r="WXJ50" s="25"/>
      <c r="WXK50" s="25"/>
      <c r="WXL50" s="25"/>
      <c r="WXM50" s="25"/>
      <c r="WXN50" s="25"/>
      <c r="WXO50" s="25"/>
      <c r="WXP50" s="25"/>
      <c r="WXQ50" s="25"/>
      <c r="WXR50" s="25"/>
      <c r="WXS50" s="25"/>
      <c r="WXT50" s="25"/>
      <c r="WXU50" s="25"/>
      <c r="WXV50" s="25"/>
      <c r="WXW50" s="25"/>
      <c r="WXX50" s="25"/>
      <c r="WXY50" s="25"/>
      <c r="WXZ50" s="25"/>
      <c r="WYA50" s="25"/>
      <c r="WYB50" s="25"/>
      <c r="WYC50" s="25"/>
      <c r="WYD50" s="25"/>
      <c r="WYE50" s="25"/>
      <c r="WYF50" s="25"/>
      <c r="WYG50" s="25"/>
      <c r="WYH50" s="25"/>
      <c r="WYI50" s="25"/>
      <c r="WYJ50" s="25"/>
      <c r="WYK50" s="25"/>
      <c r="WYL50" s="25"/>
      <c r="WYM50" s="25"/>
      <c r="WYN50" s="25"/>
      <c r="WYO50" s="25"/>
      <c r="WYP50" s="25"/>
      <c r="WYQ50" s="25"/>
      <c r="WYR50" s="25"/>
      <c r="WYS50" s="25"/>
      <c r="WYT50" s="25"/>
      <c r="WYU50" s="25"/>
      <c r="WYV50" s="25"/>
      <c r="WYW50" s="25"/>
      <c r="WYX50" s="25"/>
      <c r="WYY50" s="25"/>
      <c r="WYZ50" s="25"/>
      <c r="WZA50" s="25"/>
      <c r="WZB50" s="25"/>
      <c r="WZC50" s="25"/>
      <c r="WZD50" s="25"/>
      <c r="WZE50" s="25"/>
      <c r="WZF50" s="25"/>
      <c r="WZG50" s="25"/>
      <c r="WZH50" s="25"/>
      <c r="WZI50" s="25"/>
      <c r="WZJ50" s="25"/>
      <c r="WZK50" s="25"/>
      <c r="WZL50" s="25"/>
      <c r="WZM50" s="25"/>
      <c r="WZN50" s="25"/>
      <c r="WZO50" s="25"/>
      <c r="WZP50" s="25"/>
      <c r="WZQ50" s="25"/>
      <c r="WZR50" s="25"/>
      <c r="WZS50" s="25"/>
      <c r="WZT50" s="25"/>
      <c r="WZU50" s="25"/>
      <c r="WZV50" s="25"/>
      <c r="WZW50" s="25"/>
      <c r="WZX50" s="25"/>
      <c r="WZY50" s="25"/>
      <c r="WZZ50" s="25"/>
      <c r="XAA50" s="25"/>
      <c r="XAB50" s="25"/>
      <c r="XAC50" s="25"/>
      <c r="XAD50" s="25"/>
      <c r="XAE50" s="25"/>
      <c r="XAF50" s="25"/>
      <c r="XAG50" s="25"/>
      <c r="XAH50" s="25"/>
      <c r="XAI50" s="25"/>
      <c r="XAJ50" s="25"/>
      <c r="XAK50" s="25"/>
      <c r="XAL50" s="25"/>
      <c r="XAM50" s="25"/>
      <c r="XAN50" s="25"/>
      <c r="XAO50" s="25"/>
      <c r="XAP50" s="25"/>
      <c r="XAQ50" s="25"/>
      <c r="XAR50" s="25"/>
      <c r="XAS50" s="25"/>
      <c r="XAT50" s="25"/>
      <c r="XAU50" s="25"/>
      <c r="XAV50" s="25"/>
      <c r="XAW50" s="25"/>
      <c r="XAX50" s="25"/>
      <c r="XAY50" s="25"/>
      <c r="XAZ50" s="25"/>
      <c r="XBA50" s="25"/>
      <c r="XBB50" s="25"/>
      <c r="XBC50" s="25"/>
      <c r="XBD50" s="25"/>
      <c r="XBE50" s="25"/>
      <c r="XBF50" s="25"/>
      <c r="XBG50" s="25"/>
      <c r="XBH50" s="25"/>
      <c r="XBI50" s="25"/>
      <c r="XBJ50" s="25"/>
      <c r="XBK50" s="25"/>
      <c r="XBL50" s="25"/>
      <c r="XBM50" s="25"/>
      <c r="XBN50" s="25"/>
      <c r="XBO50" s="25"/>
      <c r="XBP50" s="25"/>
      <c r="XBQ50" s="25"/>
      <c r="XBR50" s="25"/>
      <c r="XBS50" s="25"/>
      <c r="XBT50" s="25"/>
      <c r="XBU50" s="25"/>
      <c r="XBV50" s="25"/>
      <c r="XBW50" s="25"/>
      <c r="XBX50" s="25"/>
      <c r="XBY50" s="25"/>
      <c r="XBZ50" s="25"/>
      <c r="XCA50" s="25"/>
      <c r="XCB50" s="25"/>
      <c r="XCC50" s="25"/>
      <c r="XCD50" s="25"/>
      <c r="XCE50" s="25"/>
      <c r="XCF50" s="25"/>
      <c r="XCG50" s="25"/>
      <c r="XCH50" s="25"/>
      <c r="XCI50" s="25"/>
      <c r="XCJ50" s="25"/>
      <c r="XCK50" s="25"/>
      <c r="XCL50" s="25"/>
      <c r="XCM50" s="25"/>
      <c r="XCN50" s="25"/>
      <c r="XCO50" s="25"/>
      <c r="XCP50" s="25"/>
      <c r="XCQ50" s="25"/>
      <c r="XCR50" s="25"/>
      <c r="XCS50" s="25"/>
      <c r="XCT50" s="25"/>
      <c r="XCU50" s="25"/>
      <c r="XCV50" s="25"/>
      <c r="XCW50" s="25"/>
      <c r="XCX50" s="25"/>
      <c r="XCY50" s="25"/>
      <c r="XCZ50" s="25"/>
      <c r="XDA50" s="25"/>
      <c r="XDB50" s="25"/>
      <c r="XDC50" s="25"/>
      <c r="XDD50" s="25"/>
      <c r="XDE50" s="25"/>
      <c r="XDF50" s="25"/>
      <c r="XDG50" s="25"/>
      <c r="XDH50" s="25"/>
      <c r="XDI50" s="25"/>
      <c r="XDJ50" s="25"/>
      <c r="XDK50" s="25"/>
      <c r="XDL50" s="25"/>
      <c r="XDM50" s="25"/>
      <c r="XDN50" s="25"/>
      <c r="XDO50" s="25"/>
      <c r="XDP50" s="25"/>
      <c r="XDQ50" s="25"/>
      <c r="XDR50" s="25"/>
      <c r="XDS50" s="25"/>
      <c r="XDT50" s="25"/>
      <c r="XDU50" s="25"/>
      <c r="XDV50" s="25"/>
      <c r="XDW50" s="25"/>
      <c r="XDX50" s="25"/>
      <c r="XDY50" s="25"/>
      <c r="XDZ50" s="25"/>
      <c r="XEA50" s="25"/>
      <c r="XEB50" s="25"/>
      <c r="XEC50" s="25"/>
      <c r="XED50" s="25"/>
      <c r="XEE50" s="25"/>
      <c r="XEF50" s="25"/>
      <c r="XEG50" s="25"/>
      <c r="XEH50" s="25"/>
      <c r="XEI50" s="25"/>
      <c r="XEJ50" s="25"/>
      <c r="XEK50" s="25"/>
      <c r="XEL50" s="25"/>
    </row>
    <row r="51" spans="1:16366" s="28" customFormat="1">
      <c r="A51" s="217"/>
      <c r="B51" s="273"/>
      <c r="C51" s="238"/>
      <c r="D51" s="377"/>
      <c r="G51" s="370"/>
      <c r="H51" s="370"/>
      <c r="J51" s="370"/>
      <c r="K51" s="370"/>
      <c r="M51" s="370"/>
      <c r="N51" s="370"/>
      <c r="P51" s="370"/>
      <c r="Q51" s="370"/>
      <c r="S51" s="370"/>
      <c r="T51" s="370"/>
      <c r="V51" s="370"/>
      <c r="W51" s="370"/>
      <c r="Y51" s="370"/>
      <c r="Z51" s="370"/>
      <c r="AB51" s="370"/>
      <c r="AC51" s="370"/>
      <c r="AE51" s="370"/>
      <c r="AF51" s="370"/>
      <c r="AH51" s="370"/>
      <c r="AI51" s="370"/>
      <c r="AJ51" s="25"/>
      <c r="AK51" s="370"/>
      <c r="AL51" s="370"/>
      <c r="AM51" s="370"/>
    </row>
    <row r="52" spans="1:16366" s="28" customFormat="1">
      <c r="A52" s="217"/>
      <c r="B52" s="28" t="s">
        <v>1105</v>
      </c>
      <c r="C52" s="238" t="s">
        <v>1152</v>
      </c>
      <c r="D52" s="378"/>
      <c r="E52" s="208"/>
      <c r="F52" s="208"/>
      <c r="G52" s="371"/>
      <c r="H52" s="393"/>
      <c r="I52" s="208"/>
      <c r="J52" s="393"/>
      <c r="K52" s="393"/>
      <c r="L52" s="208"/>
      <c r="M52" s="393"/>
      <c r="N52" s="393"/>
      <c r="O52" s="208"/>
      <c r="P52" s="393"/>
      <c r="Q52" s="393"/>
      <c r="R52" s="208"/>
      <c r="S52" s="393"/>
      <c r="T52" s="393"/>
      <c r="U52" s="208"/>
      <c r="V52" s="393"/>
      <c r="W52" s="393"/>
      <c r="X52" s="208"/>
      <c r="Y52" s="393"/>
      <c r="Z52" s="393"/>
      <c r="AA52" s="208"/>
      <c r="AB52" s="393">
        <v>10.4</v>
      </c>
      <c r="AC52" s="393"/>
      <c r="AD52" s="208"/>
      <c r="AE52" s="546">
        <v>12.2</v>
      </c>
      <c r="AF52" s="393">
        <v>13.1</v>
      </c>
      <c r="AG52" s="208"/>
      <c r="AH52" s="546">
        <v>13.959</v>
      </c>
      <c r="AI52" s="548">
        <f>+AVERAGE(AH52,AK52)</f>
        <v>15.354899999999999</v>
      </c>
      <c r="AJ52" s="565">
        <f>+AK52</f>
        <v>16.750799999999998</v>
      </c>
      <c r="AK52" s="371">
        <f>+AH52*(1+AK54)</f>
        <v>16.750799999999998</v>
      </c>
      <c r="AL52" s="371">
        <f t="shared" ref="AL52" si="92">+AK52*(1+AL54)</f>
        <v>19.682189999999999</v>
      </c>
      <c r="AM52" s="371">
        <f t="shared" ref="AM52" si="93">+AL52*(1+AM54)</f>
        <v>22.92975135</v>
      </c>
    </row>
    <row r="53" spans="1:16366" s="28" customFormat="1">
      <c r="A53" s="217"/>
      <c r="B53" s="437" t="s">
        <v>1101</v>
      </c>
      <c r="C53" s="271" t="s">
        <v>1104</v>
      </c>
      <c r="D53" s="379"/>
      <c r="E53" s="284"/>
      <c r="F53" s="221"/>
      <c r="G53" s="284"/>
      <c r="H53" s="284"/>
      <c r="I53" s="221"/>
      <c r="J53" s="284"/>
      <c r="K53" s="284"/>
      <c r="L53" s="221"/>
      <c r="M53" s="284"/>
      <c r="N53" s="284"/>
      <c r="O53" s="221"/>
      <c r="P53" s="284"/>
      <c r="Q53" s="284"/>
      <c r="R53" s="221"/>
      <c r="S53" s="284"/>
      <c r="T53" s="284"/>
      <c r="U53" s="221"/>
      <c r="V53" s="284"/>
      <c r="W53" s="284"/>
      <c r="X53" s="221"/>
      <c r="Y53" s="284"/>
      <c r="Z53" s="284"/>
      <c r="AA53" s="221"/>
      <c r="AB53" s="284"/>
      <c r="AC53" s="284"/>
      <c r="AD53" s="221"/>
      <c r="AE53" s="540">
        <f t="shared" ref="AE53" si="94">AE52/AB52-1</f>
        <v>0.17307692307692291</v>
      </c>
      <c r="AF53" s="284"/>
      <c r="AG53" s="221"/>
      <c r="AH53" s="540">
        <f t="shared" ref="AH53" si="95">AH52/AE52-1</f>
        <v>0.14418032786885249</v>
      </c>
      <c r="AI53" s="398"/>
      <c r="AJ53" s="221"/>
      <c r="AK53" s="398">
        <f>AK52/AH52-1</f>
        <v>0.19999999999999996</v>
      </c>
      <c r="AL53" s="398">
        <f t="shared" ref="AL53" si="96">AL52/AK52-1</f>
        <v>0.17500000000000004</v>
      </c>
      <c r="AM53" s="398">
        <f t="shared" ref="AM53" si="97">AM52/AL52-1</f>
        <v>0.16500000000000004</v>
      </c>
    </row>
    <row r="54" spans="1:16366" s="28" customFormat="1">
      <c r="A54" s="217"/>
      <c r="B54" s="437" t="s">
        <v>1102</v>
      </c>
      <c r="C54" s="271" t="s">
        <v>1104</v>
      </c>
      <c r="D54" s="379"/>
      <c r="E54" s="284"/>
      <c r="F54" s="221"/>
      <c r="G54" s="284"/>
      <c r="H54" s="284"/>
      <c r="I54" s="221"/>
      <c r="J54" s="284"/>
      <c r="K54" s="284"/>
      <c r="L54" s="221"/>
      <c r="M54" s="284"/>
      <c r="N54" s="284"/>
      <c r="O54" s="221"/>
      <c r="P54" s="284"/>
      <c r="Q54" s="284"/>
      <c r="R54" s="221"/>
      <c r="S54" s="284"/>
      <c r="T54" s="284"/>
      <c r="U54" s="221"/>
      <c r="V54" s="284"/>
      <c r="W54" s="284"/>
      <c r="X54" s="221"/>
      <c r="Y54" s="284"/>
      <c r="Z54" s="284"/>
      <c r="AA54" s="221"/>
      <c r="AB54" s="284"/>
      <c r="AC54" s="284"/>
      <c r="AD54" s="547"/>
      <c r="AE54" s="399">
        <f>+AE52/AB52-1</f>
        <v>0.17307692307692291</v>
      </c>
      <c r="AF54" s="284"/>
      <c r="AG54" s="547"/>
      <c r="AH54" s="399">
        <f>+AH52/AE52-1</f>
        <v>0.14418032786885249</v>
      </c>
      <c r="AI54" s="497">
        <f>+AI52/AH52-1</f>
        <v>9.9999999999999867E-2</v>
      </c>
      <c r="AJ54" s="550">
        <f>+AJ52/AI52-1</f>
        <v>9.0909090909090828E-2</v>
      </c>
      <c r="AK54" s="397">
        <v>0.2</v>
      </c>
      <c r="AL54" s="397">
        <v>0.17499999999999999</v>
      </c>
      <c r="AM54" s="521">
        <f>+MAX(AL54-1%,5%)</f>
        <v>0.16499999999999998</v>
      </c>
    </row>
    <row r="55" spans="1:16366" s="28" customFormat="1">
      <c r="A55" s="217"/>
      <c r="B55" s="273"/>
      <c r="C55" s="238"/>
      <c r="D55" s="377"/>
      <c r="G55" s="370"/>
      <c r="H55" s="370"/>
      <c r="J55" s="370"/>
      <c r="K55" s="370"/>
      <c r="M55" s="370"/>
      <c r="N55" s="370"/>
      <c r="P55" s="370"/>
      <c r="Q55" s="370"/>
      <c r="S55" s="370"/>
      <c r="T55" s="370"/>
      <c r="V55" s="370"/>
      <c r="W55" s="370"/>
      <c r="Y55" s="370"/>
      <c r="Z55" s="370"/>
      <c r="AB55" s="370"/>
      <c r="AC55" s="370"/>
      <c r="AE55" s="370"/>
      <c r="AF55" s="370"/>
      <c r="AH55" s="370"/>
      <c r="AI55" s="370"/>
      <c r="AJ55" s="25"/>
      <c r="AK55" s="370"/>
      <c r="AL55" s="370"/>
      <c r="AM55" s="370"/>
    </row>
    <row r="56" spans="1:16366" s="272" customFormat="1" outlineLevel="1">
      <c r="A56" s="551"/>
      <c r="B56" s="552" t="s">
        <v>1212</v>
      </c>
      <c r="C56" s="271"/>
      <c r="D56" s="379"/>
      <c r="G56" s="372"/>
      <c r="H56" s="372"/>
      <c r="J56" s="372"/>
      <c r="K56" s="372"/>
      <c r="M56" s="372"/>
      <c r="N56" s="372"/>
      <c r="P56" s="372"/>
      <c r="Q56" s="372"/>
      <c r="S56" s="372"/>
      <c r="T56" s="372"/>
      <c r="V56" s="372"/>
      <c r="W56" s="372"/>
      <c r="Y56" s="372"/>
      <c r="Z56" s="372"/>
      <c r="AB56" s="372"/>
      <c r="AC56" s="372"/>
      <c r="AE56" s="553">
        <f>+AE58-AE57</f>
        <v>10.631111111111114</v>
      </c>
      <c r="AF56" s="372"/>
      <c r="AH56" s="553">
        <f>+AH58-AH57</f>
        <v>12.627388535031844</v>
      </c>
      <c r="AI56" s="556">
        <f>+AK56*0.48</f>
        <v>6.9683327999999998</v>
      </c>
      <c r="AJ56" s="566">
        <f>+AK56-AI56</f>
        <v>7.5490272000000003</v>
      </c>
      <c r="AK56" s="553">
        <f>+AH52*AK$8</f>
        <v>14.51736</v>
      </c>
      <c r="AL56" s="553">
        <f t="shared" ref="AL56:AM56" si="98">+AK52*AL$8</f>
        <v>17.420831999999997</v>
      </c>
      <c r="AM56" s="553">
        <f t="shared" si="98"/>
        <v>20.469477599999998</v>
      </c>
    </row>
    <row r="57" spans="1:16366" s="272" customFormat="1" outlineLevel="1">
      <c r="A57" s="551"/>
      <c r="B57" s="552" t="s">
        <v>1211</v>
      </c>
      <c r="C57" s="271"/>
      <c r="D57" s="379"/>
      <c r="G57" s="372"/>
      <c r="H57" s="372"/>
      <c r="J57" s="372"/>
      <c r="K57" s="372"/>
      <c r="M57" s="372"/>
      <c r="N57" s="372"/>
      <c r="P57" s="372"/>
      <c r="Q57" s="372"/>
      <c r="S57" s="372"/>
      <c r="T57" s="372"/>
      <c r="V57" s="372"/>
      <c r="W57" s="372"/>
      <c r="Y57" s="372"/>
      <c r="Z57" s="372"/>
      <c r="AB57" s="372"/>
      <c r="AC57" s="372"/>
      <c r="AE57" s="553">
        <f>+AE58-(AB52*AE$8)</f>
        <v>1.0688888888888854</v>
      </c>
      <c r="AF57" s="372"/>
      <c r="AH57" s="553">
        <f>+AH58-(AE52*AH$8)</f>
        <v>-0.32438853503184362</v>
      </c>
      <c r="AI57" s="556">
        <f>+AK57*0.48</f>
        <v>-0.15570649681528492</v>
      </c>
      <c r="AJ57" s="566">
        <f>+AK57-AI57</f>
        <v>-0.16868203821655869</v>
      </c>
      <c r="AK57" s="553">
        <f>+AH57</f>
        <v>-0.32438853503184362</v>
      </c>
      <c r="AL57" s="553">
        <f t="shared" ref="AL57:AM57" si="99">+AK57</f>
        <v>-0.32438853503184362</v>
      </c>
      <c r="AM57" s="553">
        <f t="shared" si="99"/>
        <v>-0.32438853503184362</v>
      </c>
    </row>
    <row r="58" spans="1:16366" s="28" customFormat="1">
      <c r="A58" s="217"/>
      <c r="B58" s="28" t="s">
        <v>378</v>
      </c>
      <c r="C58" s="238" t="s">
        <v>1152</v>
      </c>
      <c r="D58" s="393">
        <v>0</v>
      </c>
      <c r="E58" s="393">
        <v>0</v>
      </c>
      <c r="F58" s="208">
        <f>+G58-E58</f>
        <v>0</v>
      </c>
      <c r="G58" s="393">
        <v>0</v>
      </c>
      <c r="H58" s="393">
        <v>0</v>
      </c>
      <c r="I58" s="208">
        <f>+J58-H58</f>
        <v>0.97</v>
      </c>
      <c r="J58" s="393">
        <v>0.97</v>
      </c>
      <c r="K58" s="393">
        <v>1.593</v>
      </c>
      <c r="L58" s="208">
        <f>+M58-K58</f>
        <v>1.2890000000000001</v>
      </c>
      <c r="M58" s="393">
        <v>2.8820000000000001</v>
      </c>
      <c r="N58" s="393">
        <v>1.2030000000000001</v>
      </c>
      <c r="O58" s="208">
        <f>+P58-N58</f>
        <v>1.236</v>
      </c>
      <c r="P58" s="393">
        <v>2.4390000000000001</v>
      </c>
      <c r="Q58" s="393">
        <v>1.415</v>
      </c>
      <c r="R58" s="208">
        <f>+S58-Q58</f>
        <v>1.972</v>
      </c>
      <c r="S58" s="393">
        <v>3.387</v>
      </c>
      <c r="T58" s="393">
        <v>3.4889999999999999</v>
      </c>
      <c r="U58" s="208">
        <f>+V58-T58</f>
        <v>4.5979999999999999</v>
      </c>
      <c r="V58" s="393">
        <v>8.0869999999999997</v>
      </c>
      <c r="W58" s="393">
        <v>5.2629999999999999</v>
      </c>
      <c r="X58" s="208">
        <f>+Y58-W58</f>
        <v>5.484</v>
      </c>
      <c r="Y58" s="393">
        <v>10.747</v>
      </c>
      <c r="Z58" s="393">
        <v>6.1189999999999998</v>
      </c>
      <c r="AA58" s="208">
        <f>+AB58-Z58</f>
        <v>5.66</v>
      </c>
      <c r="AB58" s="393">
        <v>11.779</v>
      </c>
      <c r="AC58" s="393">
        <v>5.9260000000000002</v>
      </c>
      <c r="AD58" s="208">
        <f>+AE58-AC58</f>
        <v>5.7739999999999991</v>
      </c>
      <c r="AE58" s="546">
        <v>11.7</v>
      </c>
      <c r="AF58" s="393">
        <v>6.1449999999999996</v>
      </c>
      <c r="AG58" s="208">
        <f>+AH58-AF58</f>
        <v>6.1580000000000013</v>
      </c>
      <c r="AH58" s="546">
        <v>12.303000000000001</v>
      </c>
      <c r="AI58" s="496">
        <f>+AI56+AI57</f>
        <v>6.8126263031847145</v>
      </c>
      <c r="AJ58" s="565">
        <f>+AJ56+AJ57</f>
        <v>7.3803451617834419</v>
      </c>
      <c r="AK58" s="371">
        <f t="shared" ref="AK58" si="100">+AK56+AK57</f>
        <v>14.192971464968156</v>
      </c>
      <c r="AL58" s="371">
        <f t="shared" ref="AL58" si="101">+AL56+AL57</f>
        <v>17.096443464968154</v>
      </c>
      <c r="AM58" s="371">
        <f t="shared" ref="AM58" si="102">+AM56+AM57</f>
        <v>20.145089064968154</v>
      </c>
    </row>
    <row r="59" spans="1:16366" s="28" customFormat="1">
      <c r="A59" s="217"/>
      <c r="B59" s="437" t="s">
        <v>1101</v>
      </c>
      <c r="C59" s="271" t="s">
        <v>1104</v>
      </c>
      <c r="D59" s="379"/>
      <c r="E59" s="272"/>
      <c r="F59" s="272"/>
      <c r="G59" s="372"/>
      <c r="H59" s="284"/>
      <c r="I59" s="221"/>
      <c r="J59" s="284"/>
      <c r="K59" s="284"/>
      <c r="L59" s="221">
        <f t="shared" ref="L59:M59" si="103">L58/I58-1</f>
        <v>0.32886597938144346</v>
      </c>
      <c r="M59" s="284">
        <f t="shared" si="103"/>
        <v>1.9711340206185568</v>
      </c>
      <c r="N59" s="284">
        <f t="shared" ref="N59" si="104">N58/K58-1</f>
        <v>-0.24482109227871929</v>
      </c>
      <c r="O59" s="221">
        <f t="shared" ref="O59" si="105">O58/L58-1</f>
        <v>-4.1117145073700678E-2</v>
      </c>
      <c r="P59" s="284">
        <f t="shared" ref="P59" si="106">P58/M58-1</f>
        <v>-0.15371269951422628</v>
      </c>
      <c r="Q59" s="284">
        <f t="shared" ref="Q59" si="107">Q58/N58-1</f>
        <v>0.17622610141313388</v>
      </c>
      <c r="R59" s="221">
        <f t="shared" ref="R59" si="108">R58/O58-1</f>
        <v>0.59546925566343045</v>
      </c>
      <c r="S59" s="284">
        <f t="shared" ref="S59" si="109">S58/P58-1</f>
        <v>0.38868388683886845</v>
      </c>
      <c r="T59" s="284">
        <f t="shared" ref="T59" si="110">T58/Q58-1</f>
        <v>1.4657243816254417</v>
      </c>
      <c r="U59" s="221">
        <f t="shared" ref="U59" si="111">U58/R58-1</f>
        <v>1.3316430020283976</v>
      </c>
      <c r="V59" s="284">
        <f t="shared" ref="V59" si="112">V58/S58-1</f>
        <v>1.3876586950103333</v>
      </c>
      <c r="W59" s="284">
        <f t="shared" ref="W59:AF59" si="113">W58/T58-1</f>
        <v>0.50845514474061337</v>
      </c>
      <c r="X59" s="221">
        <f t="shared" ref="X59" si="114">X58/U58-1</f>
        <v>0.19269247498912567</v>
      </c>
      <c r="Y59" s="284">
        <f t="shared" si="113"/>
        <v>0.32892296277977007</v>
      </c>
      <c r="Z59" s="284">
        <f t="shared" si="113"/>
        <v>0.16264487934638039</v>
      </c>
      <c r="AA59" s="221">
        <f t="shared" si="113"/>
        <v>3.209336250911754E-2</v>
      </c>
      <c r="AB59" s="284">
        <f t="shared" si="113"/>
        <v>9.6026798176235273E-2</v>
      </c>
      <c r="AC59" s="284">
        <f t="shared" si="113"/>
        <v>-3.1541101487171042E-2</v>
      </c>
      <c r="AD59" s="221">
        <f t="shared" si="113"/>
        <v>2.0141342756183622E-2</v>
      </c>
      <c r="AE59" s="540">
        <f t="shared" ref="AE59" si="115">AE58/AB58-1</f>
        <v>-6.7068511758214822E-3</v>
      </c>
      <c r="AF59" s="284">
        <f t="shared" si="113"/>
        <v>3.6955788052649208E-2</v>
      </c>
      <c r="AG59" s="221">
        <f t="shared" ref="AG59" si="116">AG58/AD58-1</f>
        <v>6.6505022514721457E-2</v>
      </c>
      <c r="AH59" s="540">
        <f t="shared" ref="AH59" si="117">AH58/AE58-1</f>
        <v>5.1538461538461755E-2</v>
      </c>
      <c r="AI59" s="284">
        <f t="shared" ref="AI59:AJ59" si="118">AI58/AF58-1</f>
        <v>0.10864545210491694</v>
      </c>
      <c r="AJ59" s="221">
        <f t="shared" si="118"/>
        <v>0.1984971032451186</v>
      </c>
      <c r="AK59" s="554">
        <f>AK58/AH58-1</f>
        <v>0.15361874867659564</v>
      </c>
      <c r="AL59" s="554">
        <f t="shared" ref="AL59" si="119">AL58/AK58-1</f>
        <v>0.20457111515840776</v>
      </c>
      <c r="AM59" s="554">
        <f t="shared" ref="AM59" si="120">AM58/AL58-1</f>
        <v>0.1783204563128522</v>
      </c>
    </row>
    <row r="60" spans="1:16366" s="28" customFormat="1">
      <c r="A60" s="217"/>
      <c r="B60" s="437" t="s">
        <v>1102</v>
      </c>
      <c r="C60" s="271" t="s">
        <v>1104</v>
      </c>
      <c r="D60" s="379"/>
      <c r="E60" s="272"/>
      <c r="F60" s="272"/>
      <c r="G60" s="372"/>
      <c r="H60" s="284"/>
      <c r="I60" s="221"/>
      <c r="J60" s="284"/>
      <c r="K60" s="284">
        <f>+K58/I58-1</f>
        <v>0.64226804123711334</v>
      </c>
      <c r="L60" s="221">
        <f>+L58/K58-1</f>
        <v>-0.19083490269930936</v>
      </c>
      <c r="M60" s="284">
        <f>+M58/J58-1</f>
        <v>1.9711340206185568</v>
      </c>
      <c r="N60" s="284">
        <f>+N58/L58-1</f>
        <v>-6.6718386346004688E-2</v>
      </c>
      <c r="O60" s="221">
        <f>+O58/N58-1</f>
        <v>2.7431421446383997E-2</v>
      </c>
      <c r="P60" s="284">
        <f>+P58/M58-1</f>
        <v>-0.15371269951422628</v>
      </c>
      <c r="Q60" s="284">
        <f>+Q58/O58-1</f>
        <v>0.14482200647249188</v>
      </c>
      <c r="R60" s="221">
        <f>+R58/Q58-1</f>
        <v>0.39363957597173149</v>
      </c>
      <c r="S60" s="284">
        <f>+S58/P58-1</f>
        <v>0.38868388683886845</v>
      </c>
      <c r="T60" s="284">
        <f>+T58/R58-1</f>
        <v>0.76926977687626774</v>
      </c>
      <c r="U60" s="221">
        <f>+U58/T58-1</f>
        <v>0.31785611923187163</v>
      </c>
      <c r="V60" s="284">
        <f>+V58/S58-1</f>
        <v>1.3876586950103333</v>
      </c>
      <c r="W60" s="284">
        <f>+W58/U58-1</f>
        <v>0.14462809917355379</v>
      </c>
      <c r="X60" s="221">
        <f>+X58/W58-1</f>
        <v>4.1991259737792053E-2</v>
      </c>
      <c r="Y60" s="284">
        <f>+Y58/V58-1</f>
        <v>0.32892296277977007</v>
      </c>
      <c r="Z60" s="284">
        <f>+Z58/X58-1</f>
        <v>0.11579139314369069</v>
      </c>
      <c r="AA60" s="221">
        <f>+AA58/Z58-1</f>
        <v>-7.5012256904722907E-2</v>
      </c>
      <c r="AB60" s="284">
        <f>+AB58/Y58-1</f>
        <v>9.6026798176235273E-2</v>
      </c>
      <c r="AC60" s="284">
        <f>+AC58/AA58-1</f>
        <v>4.6996466431095341E-2</v>
      </c>
      <c r="AD60" s="221">
        <f>+AD58/AC58-1</f>
        <v>-2.5649679379007972E-2</v>
      </c>
      <c r="AE60" s="399">
        <f>+AE58/AB58-1</f>
        <v>-6.7068511758214822E-3</v>
      </c>
      <c r="AF60" s="284">
        <f>+AF58/AD58-1</f>
        <v>6.4253550398337467E-2</v>
      </c>
      <c r="AG60" s="221">
        <f>+AG58/AF58-1</f>
        <v>2.1155410903175298E-3</v>
      </c>
      <c r="AH60" s="399">
        <f>+AH58/AE58-1</f>
        <v>5.1538461538461755E-2</v>
      </c>
      <c r="AI60" s="284">
        <f>+AI58/AG58-1</f>
        <v>0.10630501838010931</v>
      </c>
      <c r="AJ60" s="221">
        <f>+AJ58/AI58-1</f>
        <v>8.3333333333333481E-2</v>
      </c>
      <c r="AK60" s="497">
        <f>+AK59</f>
        <v>0.15361874867659564</v>
      </c>
      <c r="AL60" s="497">
        <f t="shared" ref="AL60" si="121">+AL59</f>
        <v>0.20457111515840776</v>
      </c>
      <c r="AM60" s="497">
        <f t="shared" ref="AM60" si="122">+AM59</f>
        <v>0.1783204563128522</v>
      </c>
    </row>
    <row r="61" spans="1:16366" s="28" customFormat="1">
      <c r="A61" s="217"/>
      <c r="B61" s="273"/>
      <c r="C61" s="238"/>
      <c r="D61" s="377"/>
      <c r="G61" s="370"/>
      <c r="H61" s="370"/>
      <c r="J61" s="370"/>
      <c r="K61" s="370"/>
      <c r="M61" s="370"/>
      <c r="N61" s="370"/>
      <c r="P61" s="370"/>
      <c r="Q61" s="370"/>
      <c r="S61" s="370"/>
      <c r="T61" s="370"/>
      <c r="V61" s="370"/>
      <c r="W61" s="370"/>
      <c r="Y61" s="370"/>
      <c r="Z61" s="370"/>
      <c r="AB61" s="370"/>
      <c r="AC61" s="370"/>
      <c r="AE61" s="370"/>
      <c r="AF61" s="370"/>
      <c r="AH61" s="370"/>
      <c r="AI61" s="370"/>
      <c r="AK61" s="370"/>
      <c r="AL61" s="370"/>
      <c r="AM61" s="370"/>
    </row>
    <row r="62" spans="1:16366">
      <c r="A62" s="217" t="s">
        <v>1111</v>
      </c>
      <c r="B62" s="491" t="s">
        <v>1100</v>
      </c>
      <c r="C62" s="492"/>
      <c r="D62" s="486"/>
      <c r="E62" s="487"/>
      <c r="F62" s="487"/>
      <c r="G62" s="356"/>
      <c r="H62" s="353"/>
      <c r="I62" s="487"/>
      <c r="J62" s="356"/>
      <c r="K62" s="353"/>
      <c r="L62" s="487"/>
      <c r="M62" s="356"/>
      <c r="N62" s="356"/>
      <c r="O62" s="487"/>
      <c r="P62" s="356"/>
      <c r="Q62" s="356"/>
      <c r="R62" s="487"/>
      <c r="S62" s="356"/>
      <c r="T62" s="356"/>
      <c r="U62" s="488"/>
      <c r="V62" s="356"/>
      <c r="W62" s="356"/>
      <c r="X62" s="488"/>
      <c r="Y62" s="356"/>
      <c r="Z62" s="356"/>
      <c r="AA62" s="488"/>
      <c r="AB62" s="356"/>
      <c r="AC62" s="356"/>
      <c r="AD62" s="488"/>
      <c r="AE62" s="356"/>
      <c r="AF62" s="356"/>
      <c r="AG62" s="488"/>
      <c r="AH62" s="356"/>
      <c r="AI62" s="356"/>
      <c r="AJ62" s="488"/>
      <c r="AK62" s="356"/>
      <c r="AL62" s="356"/>
      <c r="AM62" s="356"/>
    </row>
    <row r="63" spans="1:16366" s="490" customFormat="1">
      <c r="A63" s="429"/>
      <c r="B63" s="244"/>
      <c r="C63" s="248"/>
      <c r="D63" s="489"/>
      <c r="E63" s="38"/>
      <c r="F63" s="38"/>
      <c r="G63" s="303"/>
      <c r="H63" s="311"/>
      <c r="I63" s="38"/>
      <c r="J63" s="303"/>
      <c r="K63" s="311"/>
      <c r="L63" s="38"/>
      <c r="M63" s="303"/>
      <c r="N63" s="303"/>
      <c r="O63" s="38"/>
      <c r="P63" s="303"/>
      <c r="Q63" s="303"/>
      <c r="R63" s="38"/>
      <c r="S63" s="303"/>
      <c r="T63" s="303"/>
      <c r="U63" s="72"/>
      <c r="V63" s="303"/>
      <c r="W63" s="303"/>
      <c r="X63" s="72"/>
      <c r="Y63" s="303"/>
      <c r="Z63" s="303"/>
      <c r="AA63" s="72"/>
      <c r="AB63" s="305"/>
      <c r="AC63" s="303"/>
      <c r="AD63" s="72"/>
      <c r="AE63" s="305"/>
      <c r="AF63" s="305"/>
      <c r="AG63" s="72"/>
      <c r="AH63" s="305"/>
      <c r="AI63" s="305"/>
      <c r="AJ63" s="72"/>
      <c r="AK63" s="305"/>
      <c r="AL63" s="305"/>
      <c r="AM63" s="305"/>
    </row>
    <row r="64" spans="1:16366">
      <c r="B64" s="104" t="str">
        <f>+B26</f>
        <v>Content &amp; Processes</v>
      </c>
      <c r="C64" s="238" t="s">
        <v>1152</v>
      </c>
      <c r="D64" s="380">
        <f t="shared" ref="D64:AM64" si="123">+D34</f>
        <v>48.581000000000003</v>
      </c>
      <c r="E64" s="23">
        <f t="shared" si="123"/>
        <v>24.001999999999999</v>
      </c>
      <c r="F64" s="23">
        <f t="shared" si="123"/>
        <v>26.004999999999999</v>
      </c>
      <c r="G64" s="318">
        <f t="shared" si="123"/>
        <v>50.006999999999998</v>
      </c>
      <c r="H64" s="285">
        <f t="shared" si="123"/>
        <v>22.5</v>
      </c>
      <c r="I64" s="23">
        <f t="shared" si="123"/>
        <v>26.184999999999995</v>
      </c>
      <c r="J64" s="305">
        <f t="shared" si="123"/>
        <v>48.684999999999995</v>
      </c>
      <c r="K64" s="285">
        <f t="shared" si="123"/>
        <v>28.494999999999997</v>
      </c>
      <c r="L64" s="23">
        <f t="shared" si="123"/>
        <v>30.878</v>
      </c>
      <c r="M64" s="318">
        <f t="shared" si="123"/>
        <v>59.372999999999998</v>
      </c>
      <c r="N64" s="318">
        <f t="shared" si="123"/>
        <v>31.914999999999999</v>
      </c>
      <c r="O64" s="23">
        <f t="shared" si="123"/>
        <v>28.222000000000001</v>
      </c>
      <c r="P64" s="318">
        <f t="shared" si="123"/>
        <v>60.137</v>
      </c>
      <c r="Q64" s="318">
        <f t="shared" si="123"/>
        <v>27.474000000000004</v>
      </c>
      <c r="R64" s="23">
        <f t="shared" si="123"/>
        <v>30.685999999999993</v>
      </c>
      <c r="S64" s="318">
        <f t="shared" si="123"/>
        <v>58.16</v>
      </c>
      <c r="T64" s="318">
        <f t="shared" si="123"/>
        <v>29.484999999999999</v>
      </c>
      <c r="U64" s="69">
        <f t="shared" si="123"/>
        <v>32.058</v>
      </c>
      <c r="V64" s="318">
        <f t="shared" si="123"/>
        <v>61.542999999999999</v>
      </c>
      <c r="W64" s="318">
        <f t="shared" si="123"/>
        <v>33.435000000000002</v>
      </c>
      <c r="X64" s="69">
        <f t="shared" si="123"/>
        <v>35.480999999999995</v>
      </c>
      <c r="Y64" s="318">
        <f t="shared" si="123"/>
        <v>68.915999999999997</v>
      </c>
      <c r="Z64" s="318">
        <f t="shared" si="123"/>
        <v>36.667000000000002</v>
      </c>
      <c r="AA64" s="69">
        <f t="shared" si="123"/>
        <v>37.552999999999997</v>
      </c>
      <c r="AB64" s="318">
        <f t="shared" si="123"/>
        <v>74.22</v>
      </c>
      <c r="AC64" s="318">
        <f t="shared" si="123"/>
        <v>38.082000000000001</v>
      </c>
      <c r="AD64" s="69">
        <f t="shared" si="123"/>
        <v>38.017999999999994</v>
      </c>
      <c r="AE64" s="318">
        <f t="shared" si="123"/>
        <v>76.099999999999994</v>
      </c>
      <c r="AF64" s="318">
        <f t="shared" ref="AF64:AH64" si="124">+AF34</f>
        <v>39.506999999999998</v>
      </c>
      <c r="AG64" s="69">
        <f t="shared" si="124"/>
        <v>40.776000000000003</v>
      </c>
      <c r="AH64" s="318">
        <f t="shared" si="124"/>
        <v>80.283000000000001</v>
      </c>
      <c r="AI64" s="318">
        <f t="shared" ref="AI64:AJ64" si="125">+AI34</f>
        <v>43.133976048407646</v>
      </c>
      <c r="AJ64" s="69">
        <f t="shared" si="125"/>
        <v>44.894546499363059</v>
      </c>
      <c r="AK64" s="318">
        <f t="shared" si="123"/>
        <v>88.028522547770706</v>
      </c>
      <c r="AL64" s="318">
        <f t="shared" si="123"/>
        <v>95.153167347770719</v>
      </c>
      <c r="AM64" s="318">
        <f t="shared" si="123"/>
        <v>102.91903017977073</v>
      </c>
    </row>
    <row r="65" spans="1:39">
      <c r="B65" s="104" t="str">
        <f>+B38</f>
        <v>RegTech</v>
      </c>
      <c r="C65" s="238" t="s">
        <v>1152</v>
      </c>
      <c r="D65" s="380">
        <f t="shared" ref="D65:AM65" si="126">+D46</f>
        <v>0</v>
      </c>
      <c r="E65" s="23">
        <f t="shared" si="126"/>
        <v>0</v>
      </c>
      <c r="F65" s="23">
        <f t="shared" si="126"/>
        <v>0</v>
      </c>
      <c r="G65" s="318">
        <f t="shared" si="126"/>
        <v>0</v>
      </c>
      <c r="H65" s="285">
        <f t="shared" si="126"/>
        <v>0</v>
      </c>
      <c r="I65" s="23">
        <f t="shared" si="126"/>
        <v>0</v>
      </c>
      <c r="J65" s="318">
        <f t="shared" si="126"/>
        <v>0</v>
      </c>
      <c r="K65" s="285">
        <f t="shared" si="126"/>
        <v>0</v>
      </c>
      <c r="L65" s="23">
        <f t="shared" si="126"/>
        <v>0</v>
      </c>
      <c r="M65" s="318">
        <f t="shared" si="126"/>
        <v>0</v>
      </c>
      <c r="N65" s="318">
        <f t="shared" si="126"/>
        <v>0</v>
      </c>
      <c r="O65" s="23">
        <f t="shared" si="126"/>
        <v>0</v>
      </c>
      <c r="P65" s="318">
        <f t="shared" si="126"/>
        <v>0</v>
      </c>
      <c r="Q65" s="318">
        <f t="shared" si="126"/>
        <v>0</v>
      </c>
      <c r="R65" s="23">
        <f t="shared" si="126"/>
        <v>0</v>
      </c>
      <c r="S65" s="318">
        <f t="shared" si="126"/>
        <v>0</v>
      </c>
      <c r="T65" s="318">
        <f t="shared" si="126"/>
        <v>0</v>
      </c>
      <c r="U65" s="69">
        <f t="shared" si="126"/>
        <v>0</v>
      </c>
      <c r="V65" s="318">
        <f t="shared" si="126"/>
        <v>0</v>
      </c>
      <c r="W65" s="318">
        <f t="shared" si="126"/>
        <v>7.6459999999999999</v>
      </c>
      <c r="X65" s="69">
        <f t="shared" si="126"/>
        <v>7.6060000000000008</v>
      </c>
      <c r="Y65" s="318">
        <f t="shared" si="126"/>
        <v>15.252000000000001</v>
      </c>
      <c r="Z65" s="318">
        <f t="shared" si="126"/>
        <v>9.89</v>
      </c>
      <c r="AA65" s="69">
        <f t="shared" si="126"/>
        <v>10.477</v>
      </c>
      <c r="AB65" s="318">
        <f t="shared" si="126"/>
        <v>20.367000000000001</v>
      </c>
      <c r="AC65" s="318">
        <f t="shared" si="126"/>
        <v>10.369</v>
      </c>
      <c r="AD65" s="69">
        <f t="shared" si="126"/>
        <v>10.731000000000002</v>
      </c>
      <c r="AE65" s="318">
        <f t="shared" si="126"/>
        <v>21.1</v>
      </c>
      <c r="AF65" s="318">
        <f t="shared" ref="AF65:AH65" si="127">+AF46</f>
        <v>10.77</v>
      </c>
      <c r="AG65" s="69">
        <f t="shared" si="127"/>
        <v>11.448</v>
      </c>
      <c r="AH65" s="318">
        <f t="shared" si="127"/>
        <v>22.218</v>
      </c>
      <c r="AI65" s="318">
        <f t="shared" ref="AI65:AJ65" si="128">+AI46</f>
        <v>11.766950399999999</v>
      </c>
      <c r="AJ65" s="69">
        <f t="shared" si="128"/>
        <v>12.7475296</v>
      </c>
      <c r="AK65" s="318">
        <f t="shared" si="126"/>
        <v>24.514479999999999</v>
      </c>
      <c r="AL65" s="318">
        <f t="shared" si="126"/>
        <v>29.018824000000002</v>
      </c>
      <c r="AM65" s="318">
        <f t="shared" si="126"/>
        <v>33.898530000000001</v>
      </c>
    </row>
    <row r="66" spans="1:39">
      <c r="B66" s="104" t="str">
        <f>+B50</f>
        <v>Planning &amp; Building</v>
      </c>
      <c r="C66" s="238" t="s">
        <v>1152</v>
      </c>
      <c r="D66" s="380">
        <f t="shared" ref="D66:AM66" si="129">+D58</f>
        <v>0</v>
      </c>
      <c r="E66" s="23">
        <f t="shared" si="129"/>
        <v>0</v>
      </c>
      <c r="F66" s="23">
        <f t="shared" si="129"/>
        <v>0</v>
      </c>
      <c r="G66" s="318">
        <f t="shared" si="129"/>
        <v>0</v>
      </c>
      <c r="H66" s="285">
        <f t="shared" si="129"/>
        <v>0</v>
      </c>
      <c r="I66" s="23">
        <f t="shared" si="129"/>
        <v>0.97</v>
      </c>
      <c r="J66" s="318">
        <f t="shared" si="129"/>
        <v>0.97</v>
      </c>
      <c r="K66" s="285">
        <f t="shared" si="129"/>
        <v>1.593</v>
      </c>
      <c r="L66" s="23">
        <f t="shared" si="129"/>
        <v>1.2890000000000001</v>
      </c>
      <c r="M66" s="318">
        <f t="shared" si="129"/>
        <v>2.8820000000000001</v>
      </c>
      <c r="N66" s="318">
        <f t="shared" si="129"/>
        <v>1.2030000000000001</v>
      </c>
      <c r="O66" s="23">
        <f t="shared" si="129"/>
        <v>1.236</v>
      </c>
      <c r="P66" s="318">
        <f t="shared" si="129"/>
        <v>2.4390000000000001</v>
      </c>
      <c r="Q66" s="318">
        <f t="shared" si="129"/>
        <v>1.415</v>
      </c>
      <c r="R66" s="23">
        <f t="shared" si="129"/>
        <v>1.972</v>
      </c>
      <c r="S66" s="318">
        <f t="shared" si="129"/>
        <v>3.387</v>
      </c>
      <c r="T66" s="318">
        <f t="shared" si="129"/>
        <v>3.4889999999999999</v>
      </c>
      <c r="U66" s="69">
        <f t="shared" si="129"/>
        <v>4.5979999999999999</v>
      </c>
      <c r="V66" s="318">
        <f t="shared" si="129"/>
        <v>8.0869999999999997</v>
      </c>
      <c r="W66" s="318">
        <f t="shared" si="129"/>
        <v>5.2629999999999999</v>
      </c>
      <c r="X66" s="69">
        <f t="shared" si="129"/>
        <v>5.484</v>
      </c>
      <c r="Y66" s="318">
        <f t="shared" si="129"/>
        <v>10.747</v>
      </c>
      <c r="Z66" s="318">
        <f t="shared" si="129"/>
        <v>6.1189999999999998</v>
      </c>
      <c r="AA66" s="69">
        <f t="shared" si="129"/>
        <v>5.66</v>
      </c>
      <c r="AB66" s="318">
        <f t="shared" si="129"/>
        <v>11.779</v>
      </c>
      <c r="AC66" s="318">
        <f t="shared" si="129"/>
        <v>5.9260000000000002</v>
      </c>
      <c r="AD66" s="69">
        <f t="shared" si="129"/>
        <v>5.7739999999999991</v>
      </c>
      <c r="AE66" s="318">
        <f t="shared" si="129"/>
        <v>11.7</v>
      </c>
      <c r="AF66" s="318">
        <f t="shared" ref="AF66:AH66" si="130">+AF58</f>
        <v>6.1449999999999996</v>
      </c>
      <c r="AG66" s="69">
        <f t="shared" si="130"/>
        <v>6.1580000000000013</v>
      </c>
      <c r="AH66" s="318">
        <f t="shared" si="130"/>
        <v>12.303000000000001</v>
      </c>
      <c r="AI66" s="318">
        <f t="shared" ref="AI66:AJ66" si="131">+AI58</f>
        <v>6.8126263031847145</v>
      </c>
      <c r="AJ66" s="69">
        <f t="shared" si="131"/>
        <v>7.3803451617834419</v>
      </c>
      <c r="AK66" s="318">
        <f t="shared" si="129"/>
        <v>14.192971464968156</v>
      </c>
      <c r="AL66" s="318">
        <f t="shared" si="129"/>
        <v>17.096443464968154</v>
      </c>
      <c r="AM66" s="318">
        <f t="shared" si="129"/>
        <v>20.145089064968154</v>
      </c>
    </row>
    <row r="67" spans="1:39">
      <c r="B67" s="104" t="s">
        <v>1167</v>
      </c>
      <c r="C67" s="238"/>
      <c r="D67" s="380">
        <f t="shared" ref="D67:V67" si="132">+D68-SUM(D64:D66)</f>
        <v>0</v>
      </c>
      <c r="E67" s="23">
        <f t="shared" si="132"/>
        <v>0</v>
      </c>
      <c r="F67" s="23">
        <f t="shared" si="132"/>
        <v>0</v>
      </c>
      <c r="G67" s="318">
        <f t="shared" si="132"/>
        <v>0</v>
      </c>
      <c r="H67" s="285">
        <f t="shared" si="132"/>
        <v>0.28500000000000014</v>
      </c>
      <c r="I67" s="23">
        <f t="shared" si="132"/>
        <v>0.21000000000000441</v>
      </c>
      <c r="J67" s="318">
        <f t="shared" si="132"/>
        <v>0.49500000000000455</v>
      </c>
      <c r="K67" s="285">
        <f t="shared" si="132"/>
        <v>0.16700000000000159</v>
      </c>
      <c r="L67" s="23">
        <f t="shared" si="132"/>
        <v>0.1769999999999925</v>
      </c>
      <c r="M67" s="318">
        <f t="shared" si="132"/>
        <v>0.34400000000000119</v>
      </c>
      <c r="N67" s="318">
        <f t="shared" si="132"/>
        <v>0.21000000000000085</v>
      </c>
      <c r="O67" s="23">
        <f t="shared" si="132"/>
        <v>0.32399999999999451</v>
      </c>
      <c r="P67" s="318">
        <f t="shared" si="132"/>
        <v>0.53399999999999892</v>
      </c>
      <c r="Q67" s="318">
        <f t="shared" si="132"/>
        <v>0.27699999999999747</v>
      </c>
      <c r="R67" s="23">
        <f t="shared" si="132"/>
        <v>0.23600000000001131</v>
      </c>
      <c r="S67" s="318">
        <f t="shared" si="132"/>
        <v>0.51300000000000523</v>
      </c>
      <c r="T67" s="318">
        <f t="shared" si="132"/>
        <v>0.28300000000000125</v>
      </c>
      <c r="U67" s="69">
        <f t="shared" si="132"/>
        <v>0.12700000000000955</v>
      </c>
      <c r="V67" s="318">
        <f t="shared" si="132"/>
        <v>0.4100000000000108</v>
      </c>
      <c r="W67" s="318">
        <f>+W68-SUM(W64:W66)</f>
        <v>0.12100000000000222</v>
      </c>
      <c r="X67" s="69">
        <f t="shared" ref="X67:AE67" si="133">+X68-SUM(X64:X66)</f>
        <v>1.9999999999996021E-2</v>
      </c>
      <c r="Y67" s="318">
        <f t="shared" si="133"/>
        <v>0.14100000000000534</v>
      </c>
      <c r="Z67" s="318">
        <f t="shared" si="133"/>
        <v>-1.0000000000047748E-3</v>
      </c>
      <c r="AA67" s="69">
        <f t="shared" si="133"/>
        <v>0.14000000000000057</v>
      </c>
      <c r="AB67" s="318">
        <f t="shared" si="133"/>
        <v>0.13899999999999579</v>
      </c>
      <c r="AC67" s="318">
        <f t="shared" si="133"/>
        <v>0.65599999999999881</v>
      </c>
      <c r="AD67" s="69">
        <f t="shared" ref="AD67" si="134">+AD68-SUM(AD64:AD66)</f>
        <v>0.8440000000000083</v>
      </c>
      <c r="AE67" s="318">
        <f t="shared" si="133"/>
        <v>1.5000000000000142</v>
      </c>
      <c r="AF67" s="318">
        <f t="shared" ref="AF67:AH67" si="135">+AF68-SUM(AF64:AF66)</f>
        <v>1.3610000000000042</v>
      </c>
      <c r="AG67" s="69">
        <f t="shared" si="135"/>
        <v>1.3349999999999937</v>
      </c>
      <c r="AH67" s="318">
        <f t="shared" si="135"/>
        <v>2.695999999999998</v>
      </c>
      <c r="AI67" s="318"/>
      <c r="AJ67" s="69"/>
      <c r="AK67" s="318"/>
      <c r="AL67" s="318"/>
      <c r="AM67" s="318"/>
    </row>
    <row r="68" spans="1:39">
      <c r="B68" s="105" t="s">
        <v>361</v>
      </c>
      <c r="C68" s="240" t="s">
        <v>1152</v>
      </c>
      <c r="D68" s="391">
        <v>48.581000000000003</v>
      </c>
      <c r="E68" s="391">
        <v>24.001999999999999</v>
      </c>
      <c r="F68" s="27">
        <f>+G68-E68</f>
        <v>26.004999999999999</v>
      </c>
      <c r="G68" s="391">
        <v>50.006999999999998</v>
      </c>
      <c r="H68" s="391">
        <v>22.785</v>
      </c>
      <c r="I68" s="27">
        <f>+J68-H68</f>
        <v>27.364999999999998</v>
      </c>
      <c r="J68" s="391">
        <v>50.15</v>
      </c>
      <c r="K68" s="391">
        <v>30.254999999999999</v>
      </c>
      <c r="L68" s="27">
        <f>+M68-K68</f>
        <v>32.343999999999994</v>
      </c>
      <c r="M68" s="391">
        <v>62.598999999999997</v>
      </c>
      <c r="N68" s="391">
        <v>33.328000000000003</v>
      </c>
      <c r="O68" s="27">
        <f>+P68-N68</f>
        <v>29.781999999999996</v>
      </c>
      <c r="P68" s="391">
        <v>63.11</v>
      </c>
      <c r="Q68" s="468">
        <v>29.166</v>
      </c>
      <c r="R68" s="27">
        <f>+S68-Q68</f>
        <v>32.894000000000005</v>
      </c>
      <c r="S68" s="391">
        <v>62.06</v>
      </c>
      <c r="T68" s="468">
        <v>33.256999999999998</v>
      </c>
      <c r="U68" s="74">
        <f>+V68-T68</f>
        <v>36.783000000000008</v>
      </c>
      <c r="V68" s="358">
        <v>70.040000000000006</v>
      </c>
      <c r="W68" s="391">
        <v>46.465000000000003</v>
      </c>
      <c r="X68" s="74">
        <f>+Y68-W68</f>
        <v>48.590999999999994</v>
      </c>
      <c r="Y68" s="358">
        <v>95.055999999999997</v>
      </c>
      <c r="Z68" s="391">
        <v>52.674999999999997</v>
      </c>
      <c r="AA68" s="74">
        <f>+AB68-Z68</f>
        <v>53.83</v>
      </c>
      <c r="AB68" s="358">
        <v>106.505</v>
      </c>
      <c r="AC68" s="391">
        <v>55.033000000000001</v>
      </c>
      <c r="AD68" s="74">
        <f>+AE68-AC68</f>
        <v>55.367000000000004</v>
      </c>
      <c r="AE68" s="358">
        <v>110.4</v>
      </c>
      <c r="AF68" s="391">
        <v>57.783000000000001</v>
      </c>
      <c r="AG68" s="74">
        <f>+AH68-AF68</f>
        <v>59.716999999999999</v>
      </c>
      <c r="AH68" s="358">
        <v>117.5</v>
      </c>
      <c r="AI68" s="342">
        <f t="shared" ref="AI68:AJ68" si="136">SUM(AI64:AI67)</f>
        <v>61.71355275159236</v>
      </c>
      <c r="AJ68" s="74">
        <f t="shared" si="136"/>
        <v>65.022421261146505</v>
      </c>
      <c r="AK68" s="342">
        <f t="shared" ref="AK68:AM68" si="137">SUM(AK64:AK67)</f>
        <v>126.73597401273885</v>
      </c>
      <c r="AL68" s="342">
        <f t="shared" si="137"/>
        <v>141.26843481273889</v>
      </c>
      <c r="AM68" s="342">
        <f t="shared" si="137"/>
        <v>156.96264924473888</v>
      </c>
    </row>
    <row r="69" spans="1:39" s="28" customFormat="1">
      <c r="A69" s="217"/>
      <c r="B69" s="437" t="s">
        <v>1101</v>
      </c>
      <c r="C69" s="271" t="s">
        <v>1104</v>
      </c>
      <c r="D69" s="379"/>
      <c r="E69" s="284"/>
      <c r="F69" s="221"/>
      <c r="G69" s="284">
        <f t="shared" ref="G69" si="138">G68/D68-1</f>
        <v>2.9353039254029323E-2</v>
      </c>
      <c r="H69" s="284">
        <f t="shared" ref="H69" si="139">H68/E68-1</f>
        <v>-5.0704107991000669E-2</v>
      </c>
      <c r="I69" s="221">
        <f t="shared" ref="I69" si="140">I68/F68-1</f>
        <v>5.2297635070178705E-2</v>
      </c>
      <c r="J69" s="284">
        <f t="shared" ref="J69" si="141">J68/G68-1</f>
        <v>2.8595996560480952E-3</v>
      </c>
      <c r="K69" s="284">
        <f t="shared" ref="K69" si="142">K68/H68-1</f>
        <v>0.32784726793943375</v>
      </c>
      <c r="L69" s="221">
        <f t="shared" ref="L69" si="143">L68/I68-1</f>
        <v>0.1819477434679333</v>
      </c>
      <c r="M69" s="284">
        <f t="shared" ref="M69" si="144">M68/J68-1</f>
        <v>0.24823529411764711</v>
      </c>
      <c r="N69" s="284">
        <f t="shared" ref="N69" si="145">N68/K68-1</f>
        <v>0.10156998843166432</v>
      </c>
      <c r="O69" s="221">
        <f t="shared" ref="O69" si="146">O68/L68-1</f>
        <v>-7.9210981944100811E-2</v>
      </c>
      <c r="P69" s="284">
        <f t="shared" ref="P69" si="147">P68/M68-1</f>
        <v>8.1630696975989459E-3</v>
      </c>
      <c r="Q69" s="284">
        <f t="shared" ref="Q69" si="148">Q68/N68-1</f>
        <v>-0.12487998079692753</v>
      </c>
      <c r="R69" s="221">
        <f t="shared" ref="R69" si="149">R68/O68-1</f>
        <v>0.10449264656503954</v>
      </c>
      <c r="S69" s="284">
        <f t="shared" ref="S69" si="150">S68/P68-1</f>
        <v>-1.6637616859451754E-2</v>
      </c>
      <c r="T69" s="284">
        <f t="shared" ref="T69" si="151">T68/Q68-1</f>
        <v>0.14026606322430224</v>
      </c>
      <c r="U69" s="221">
        <f t="shared" ref="U69" si="152">U68/R68-1</f>
        <v>0.11822824831276235</v>
      </c>
      <c r="V69" s="284">
        <f t="shared" ref="V69" si="153">V68/S68-1</f>
        <v>0.12858524009023542</v>
      </c>
      <c r="W69" s="284">
        <f t="shared" ref="W69" si="154">W68/T68-1</f>
        <v>0.39714947229154784</v>
      </c>
      <c r="X69" s="221">
        <f t="shared" ref="X69" si="155">X68/U68-1</f>
        <v>0.32101786151211109</v>
      </c>
      <c r="Y69" s="284">
        <f t="shared" ref="Y69" si="156">Y68/V68-1</f>
        <v>0.35716733295259839</v>
      </c>
      <c r="Z69" s="284">
        <f t="shared" ref="Z69" si="157">Z68/W68-1</f>
        <v>0.13364898310556317</v>
      </c>
      <c r="AA69" s="221">
        <f t="shared" ref="AA69" si="158">AA68/X68-1</f>
        <v>0.10781832026506977</v>
      </c>
      <c r="AB69" s="284">
        <f t="shared" ref="AB69:AF69" si="159">AB68/Y68-1</f>
        <v>0.12044479043931999</v>
      </c>
      <c r="AC69" s="284">
        <f t="shared" si="159"/>
        <v>4.4765068818225062E-2</v>
      </c>
      <c r="AD69" s="221">
        <f t="shared" si="159"/>
        <v>2.8552851569756843E-2</v>
      </c>
      <c r="AE69" s="540">
        <f t="shared" ref="AE69" si="160">AE68/AB68-1</f>
        <v>3.6571053002206533E-2</v>
      </c>
      <c r="AF69" s="284">
        <f t="shared" si="159"/>
        <v>4.9970017989206417E-2</v>
      </c>
      <c r="AG69" s="221">
        <f t="shared" ref="AG69" si="161">AG68/AD68-1</f>
        <v>7.856665522784323E-2</v>
      </c>
      <c r="AH69" s="540">
        <f t="shared" ref="AH69" si="162">AH68/AE68-1</f>
        <v>6.4311594202898448E-2</v>
      </c>
      <c r="AI69" s="398">
        <f t="shared" ref="AI69" si="163">AI68/AF68-1</f>
        <v>6.8022649422708303E-2</v>
      </c>
      <c r="AJ69" s="221">
        <f t="shared" ref="AJ69" si="164">AJ68/AG68-1</f>
        <v>8.8842729225287798E-2</v>
      </c>
      <c r="AK69" s="398">
        <f>AK68/AH68-1</f>
        <v>7.8604034150968838E-2</v>
      </c>
      <c r="AL69" s="398">
        <f t="shared" ref="AL69" si="165">AL68/AK68-1</f>
        <v>0.11466721199885455</v>
      </c>
      <c r="AM69" s="398">
        <f t="shared" ref="AM69" si="166">AM68/AL68-1</f>
        <v>0.11109498348165148</v>
      </c>
    </row>
    <row r="70" spans="1:39" s="28" customFormat="1">
      <c r="A70" s="217"/>
      <c r="B70" s="437" t="s">
        <v>1102</v>
      </c>
      <c r="C70" s="271" t="s">
        <v>1104</v>
      </c>
      <c r="D70" s="379"/>
      <c r="E70" s="284"/>
      <c r="F70" s="221">
        <f>+F68/E68-1</f>
        <v>8.3451379051745711E-2</v>
      </c>
      <c r="G70" s="284">
        <f>+G69</f>
        <v>2.9353039254029323E-2</v>
      </c>
      <c r="H70" s="284">
        <f>+H68/F68-1</f>
        <v>-0.12382234185733509</v>
      </c>
      <c r="I70" s="221">
        <f>+I68/H68-1</f>
        <v>0.20100943603247745</v>
      </c>
      <c r="J70" s="284">
        <f>+J69</f>
        <v>2.8595996560480952E-3</v>
      </c>
      <c r="K70" s="284">
        <f>+K68/I68-1</f>
        <v>0.10560935501553081</v>
      </c>
      <c r="L70" s="221">
        <f>+L68/K68-1</f>
        <v>6.9046438605188998E-2</v>
      </c>
      <c r="M70" s="284">
        <f>+M69</f>
        <v>0.24823529411764711</v>
      </c>
      <c r="N70" s="284">
        <f>+N68/L68-1</f>
        <v>3.0422953252535523E-2</v>
      </c>
      <c r="O70" s="221">
        <f>+O68/N68-1</f>
        <v>-0.10639702352376401</v>
      </c>
      <c r="P70" s="284">
        <f>+P69</f>
        <v>8.1630696975989459E-3</v>
      </c>
      <c r="Q70" s="284">
        <f>+Q68/O68-1</f>
        <v>-2.068363441004617E-2</v>
      </c>
      <c r="R70" s="221">
        <f>+R68/Q68-1</f>
        <v>0.12782006445861627</v>
      </c>
      <c r="S70" s="284">
        <f>+S69</f>
        <v>-1.6637616859451754E-2</v>
      </c>
      <c r="T70" s="284">
        <f>+T68/R68-1</f>
        <v>1.1035447194016834E-2</v>
      </c>
      <c r="U70" s="221">
        <f>+U68/T68-1</f>
        <v>0.1060227921941248</v>
      </c>
      <c r="V70" s="284">
        <f>+V69</f>
        <v>0.12858524009023542</v>
      </c>
      <c r="W70" s="284">
        <f>+W68/U68-1</f>
        <v>0.26321942201560478</v>
      </c>
      <c r="X70" s="221">
        <f>+X68/W68-1</f>
        <v>4.5754869256429354E-2</v>
      </c>
      <c r="Y70" s="284">
        <f>+Y69</f>
        <v>0.35716733295259839</v>
      </c>
      <c r="Z70" s="284">
        <f>+Z68/X68-1</f>
        <v>8.4048486345208007E-2</v>
      </c>
      <c r="AA70" s="221">
        <f>+AA68/Z68-1</f>
        <v>2.1926910299003399E-2</v>
      </c>
      <c r="AB70" s="284">
        <f>+AB69</f>
        <v>0.12044479043931999</v>
      </c>
      <c r="AC70" s="284">
        <f>+AC68/AA68-1</f>
        <v>2.2348133011331983E-2</v>
      </c>
      <c r="AD70" s="221">
        <f>+AD68/AC68-1</f>
        <v>6.0690858212346654E-3</v>
      </c>
      <c r="AE70" s="284">
        <f>+AE69</f>
        <v>3.6571053002206533E-2</v>
      </c>
      <c r="AF70" s="284">
        <f>+AF68/AD68-1</f>
        <v>4.3636100926544685E-2</v>
      </c>
      <c r="AG70" s="221">
        <f>+AG68/AF68-1</f>
        <v>3.3470051745323026E-2</v>
      </c>
      <c r="AH70" s="284">
        <f>+AH69</f>
        <v>6.4311594202898448E-2</v>
      </c>
      <c r="AI70" s="284">
        <f>+AI68/AG68-1</f>
        <v>3.3433574218268758E-2</v>
      </c>
      <c r="AJ70" s="221">
        <f>+AJ68/AI68-1</f>
        <v>5.3616561711702371E-2</v>
      </c>
      <c r="AK70" s="497">
        <f t="shared" ref="AK70:AM70" si="167">+AK69</f>
        <v>7.8604034150968838E-2</v>
      </c>
      <c r="AL70" s="497">
        <f t="shared" si="167"/>
        <v>0.11466721199885455</v>
      </c>
      <c r="AM70" s="497">
        <f t="shared" si="167"/>
        <v>0.11109498348165148</v>
      </c>
    </row>
    <row r="71" spans="1:39">
      <c r="C71" s="241"/>
      <c r="D71" s="377"/>
      <c r="G71" s="370"/>
      <c r="H71" s="370"/>
      <c r="J71" s="370"/>
      <c r="K71" s="370"/>
      <c r="M71" s="370"/>
      <c r="N71" s="370"/>
      <c r="P71" s="370"/>
      <c r="Q71" s="370"/>
      <c r="S71" s="370"/>
      <c r="T71" s="370"/>
      <c r="V71" s="370"/>
      <c r="W71" s="370"/>
      <c r="Y71" s="370"/>
      <c r="Z71" s="370"/>
      <c r="AB71" s="370"/>
      <c r="AC71" s="370"/>
      <c r="AE71" s="370"/>
      <c r="AF71" s="370"/>
      <c r="AH71" s="370"/>
      <c r="AI71" s="370"/>
      <c r="AK71" s="370"/>
      <c r="AL71" s="370"/>
      <c r="AM71" s="370"/>
    </row>
    <row r="72" spans="1:39" s="28" customFormat="1">
      <c r="A72" s="217" t="s">
        <v>1111</v>
      </c>
      <c r="B72" s="215" t="s">
        <v>1158</v>
      </c>
      <c r="C72" s="242"/>
      <c r="D72" s="382"/>
      <c r="E72" s="216"/>
      <c r="F72" s="216"/>
      <c r="G72" s="374"/>
      <c r="H72" s="374"/>
      <c r="I72" s="216"/>
      <c r="J72" s="374"/>
      <c r="K72" s="374"/>
      <c r="L72" s="216"/>
      <c r="M72" s="374"/>
      <c r="N72" s="374"/>
      <c r="O72" s="216"/>
      <c r="P72" s="374"/>
      <c r="Q72" s="374"/>
      <c r="R72" s="216"/>
      <c r="S72" s="374"/>
      <c r="T72" s="374"/>
      <c r="U72" s="216"/>
      <c r="V72" s="374"/>
      <c r="W72" s="374"/>
      <c r="X72" s="216"/>
      <c r="Y72" s="374"/>
      <c r="Z72" s="374"/>
      <c r="AA72" s="216"/>
      <c r="AB72" s="374"/>
      <c r="AC72" s="374"/>
      <c r="AD72" s="216"/>
      <c r="AE72" s="374"/>
      <c r="AF72" s="374"/>
      <c r="AG72" s="216"/>
      <c r="AH72" s="374"/>
      <c r="AI72" s="374"/>
      <c r="AJ72" s="216"/>
      <c r="AK72" s="374"/>
      <c r="AL72" s="374"/>
      <c r="AM72" s="374"/>
    </row>
    <row r="73" spans="1:39" s="273" customFormat="1">
      <c r="A73" s="429"/>
      <c r="B73" s="436"/>
      <c r="C73" s="248"/>
      <c r="D73" s="493"/>
      <c r="G73" s="494"/>
      <c r="H73" s="494"/>
      <c r="J73" s="494"/>
      <c r="K73" s="494"/>
      <c r="M73" s="494"/>
      <c r="N73" s="494"/>
      <c r="P73" s="494"/>
      <c r="Q73" s="494"/>
      <c r="S73" s="494"/>
      <c r="T73" s="494"/>
      <c r="V73" s="494"/>
      <c r="W73" s="494"/>
      <c r="Y73" s="494"/>
      <c r="Z73" s="494"/>
      <c r="AB73" s="494"/>
      <c r="AC73" s="494"/>
      <c r="AE73" s="494"/>
      <c r="AF73" s="494"/>
      <c r="AH73" s="494"/>
      <c r="AI73" s="494"/>
      <c r="AK73" s="494"/>
      <c r="AL73" s="494"/>
      <c r="AM73" s="494"/>
    </row>
    <row r="74" spans="1:39" s="28" customFormat="1">
      <c r="A74" s="217"/>
      <c r="B74" s="28" t="str">
        <f>+B26</f>
        <v>Content &amp; Processes</v>
      </c>
      <c r="C74" s="238" t="s">
        <v>1104</v>
      </c>
      <c r="D74" s="343">
        <f t="shared" ref="D74:AM74" si="168">D64/D$68</f>
        <v>1</v>
      </c>
      <c r="E74" s="343">
        <f t="shared" si="168"/>
        <v>1</v>
      </c>
      <c r="F74" s="64">
        <f t="shared" si="168"/>
        <v>1</v>
      </c>
      <c r="G74" s="343">
        <f t="shared" si="168"/>
        <v>1</v>
      </c>
      <c r="H74" s="343">
        <f t="shared" si="168"/>
        <v>0.98749177090190909</v>
      </c>
      <c r="I74" s="64">
        <f t="shared" si="168"/>
        <v>0.95687922528777625</v>
      </c>
      <c r="J74" s="343">
        <f t="shared" si="168"/>
        <v>0.97078763708873372</v>
      </c>
      <c r="K74" s="343">
        <f t="shared" si="168"/>
        <v>0.94182779705833741</v>
      </c>
      <c r="L74" s="64">
        <f t="shared" si="168"/>
        <v>0.95467474647538975</v>
      </c>
      <c r="M74" s="343">
        <f t="shared" si="168"/>
        <v>0.94846563044138088</v>
      </c>
      <c r="N74" s="343">
        <f t="shared" si="168"/>
        <v>0.9576032165146422</v>
      </c>
      <c r="O74" s="64">
        <f t="shared" si="168"/>
        <v>0.94761936740312958</v>
      </c>
      <c r="P74" s="343">
        <f t="shared" si="168"/>
        <v>0.95289177626366661</v>
      </c>
      <c r="Q74" s="343">
        <f t="shared" si="168"/>
        <v>0.94198724542275258</v>
      </c>
      <c r="R74" s="64">
        <f t="shared" si="168"/>
        <v>0.93287529640663913</v>
      </c>
      <c r="S74" s="343">
        <f t="shared" si="168"/>
        <v>0.93715758942958416</v>
      </c>
      <c r="T74" s="343">
        <f t="shared" si="168"/>
        <v>0.88658026881558771</v>
      </c>
      <c r="U74" s="64">
        <f t="shared" si="168"/>
        <v>0.87154391974553447</v>
      </c>
      <c r="V74" s="343">
        <f t="shared" si="168"/>
        <v>0.87868360936607648</v>
      </c>
      <c r="W74" s="343">
        <f t="shared" si="168"/>
        <v>0.71957387280748952</v>
      </c>
      <c r="X74" s="64">
        <f t="shared" si="168"/>
        <v>0.73019695005247887</v>
      </c>
      <c r="Y74" s="343">
        <f t="shared" si="168"/>
        <v>0.72500420804578347</v>
      </c>
      <c r="Z74" s="343">
        <f t="shared" si="168"/>
        <v>0.69609871855719041</v>
      </c>
      <c r="AA74" s="64">
        <f t="shared" si="168"/>
        <v>0.69762214378599297</v>
      </c>
      <c r="AB74" s="343">
        <f t="shared" si="168"/>
        <v>0.69686869161072251</v>
      </c>
      <c r="AC74" s="343">
        <f t="shared" ref="AC74" si="169">AC64/AC$68</f>
        <v>0.69198480911453131</v>
      </c>
      <c r="AD74" s="64">
        <f t="shared" si="168"/>
        <v>0.68665450539129791</v>
      </c>
      <c r="AE74" s="343">
        <f t="shared" si="168"/>
        <v>0.68931159420289845</v>
      </c>
      <c r="AF74" s="343">
        <f t="shared" ref="AF74:AH74" si="170">AF64/AF$68</f>
        <v>0.68371320284512738</v>
      </c>
      <c r="AG74" s="64">
        <f t="shared" si="170"/>
        <v>0.6828206373394512</v>
      </c>
      <c r="AH74" s="343">
        <f t="shared" si="170"/>
        <v>0.68325957446808516</v>
      </c>
      <c r="AI74" s="343">
        <f t="shared" ref="AI74:AJ74" si="171">AI64/AI$68</f>
        <v>0.69893846854076447</v>
      </c>
      <c r="AJ74" s="64">
        <f t="shared" si="171"/>
        <v>0.69044716620218116</v>
      </c>
      <c r="AK74" s="343">
        <f t="shared" si="168"/>
        <v>0.69458197037979552</v>
      </c>
      <c r="AL74" s="343">
        <f t="shared" si="168"/>
        <v>0.67356283428709918</v>
      </c>
      <c r="AM74" s="343">
        <f t="shared" si="168"/>
        <v>0.65569121491634352</v>
      </c>
    </row>
    <row r="75" spans="1:39" s="28" customFormat="1">
      <c r="A75" s="217"/>
      <c r="B75" s="104" t="str">
        <f>+B38</f>
        <v>RegTech</v>
      </c>
      <c r="C75" s="238" t="s">
        <v>1104</v>
      </c>
      <c r="D75" s="343">
        <f>D66/D$68</f>
        <v>0</v>
      </c>
      <c r="E75" s="343">
        <f t="shared" ref="E75:F75" si="172">E65/E$68</f>
        <v>0</v>
      </c>
      <c r="F75" s="64">
        <f t="shared" si="172"/>
        <v>0</v>
      </c>
      <c r="G75" s="343">
        <f>G66/G$68</f>
        <v>0</v>
      </c>
      <c r="H75" s="343">
        <f t="shared" ref="H75:I75" si="173">H65/H$68</f>
        <v>0</v>
      </c>
      <c r="I75" s="64">
        <f t="shared" si="173"/>
        <v>0</v>
      </c>
      <c r="J75" s="343">
        <f>J66/J$68</f>
        <v>1.9341974077766701E-2</v>
      </c>
      <c r="K75" s="343">
        <f t="shared" ref="K75:L75" si="174">K65/K$68</f>
        <v>0</v>
      </c>
      <c r="L75" s="64">
        <f t="shared" si="174"/>
        <v>0</v>
      </c>
      <c r="M75" s="343">
        <f t="shared" ref="M75:AM75" si="175">M65/M$68</f>
        <v>0</v>
      </c>
      <c r="N75" s="343">
        <f t="shared" si="175"/>
        <v>0</v>
      </c>
      <c r="O75" s="64">
        <f t="shared" si="175"/>
        <v>0</v>
      </c>
      <c r="P75" s="343">
        <f t="shared" si="175"/>
        <v>0</v>
      </c>
      <c r="Q75" s="343">
        <f t="shared" si="175"/>
        <v>0</v>
      </c>
      <c r="R75" s="64">
        <f t="shared" si="175"/>
        <v>0</v>
      </c>
      <c r="S75" s="343">
        <f t="shared" si="175"/>
        <v>0</v>
      </c>
      <c r="T75" s="343">
        <f t="shared" si="175"/>
        <v>0</v>
      </c>
      <c r="U75" s="64">
        <f t="shared" si="175"/>
        <v>0</v>
      </c>
      <c r="V75" s="343">
        <f t="shared" si="175"/>
        <v>0</v>
      </c>
      <c r="W75" s="343">
        <f t="shared" si="175"/>
        <v>0.16455396535026362</v>
      </c>
      <c r="X75" s="64">
        <f t="shared" si="175"/>
        <v>0.15653104484369537</v>
      </c>
      <c r="Y75" s="343">
        <f t="shared" si="175"/>
        <v>0.16045278572630872</v>
      </c>
      <c r="Z75" s="343">
        <f t="shared" si="175"/>
        <v>0.18775510204081636</v>
      </c>
      <c r="AA75" s="64">
        <f t="shared" si="175"/>
        <v>0.19463124651681221</v>
      </c>
      <c r="AB75" s="343">
        <f t="shared" si="175"/>
        <v>0.1912304586639125</v>
      </c>
      <c r="AC75" s="343">
        <f t="shared" ref="AC75" si="176">AC65/AC$68</f>
        <v>0.18841422419275705</v>
      </c>
      <c r="AD75" s="64">
        <f t="shared" si="175"/>
        <v>0.19381581086206587</v>
      </c>
      <c r="AE75" s="343">
        <f t="shared" si="175"/>
        <v>0.19112318840579712</v>
      </c>
      <c r="AF75" s="343">
        <f t="shared" ref="AF75:AH75" si="177">AF65/AF$68</f>
        <v>0.18638699963657129</v>
      </c>
      <c r="AG75" s="64">
        <f t="shared" si="177"/>
        <v>0.19170420483279468</v>
      </c>
      <c r="AH75" s="343">
        <f t="shared" si="177"/>
        <v>0.18908936170212767</v>
      </c>
      <c r="AI75" s="343">
        <f t="shared" ref="AI75:AJ75" si="178">AI65/AI$68</f>
        <v>0.19067044231538563</v>
      </c>
      <c r="AJ75" s="64">
        <f t="shared" si="178"/>
        <v>0.19604821464280289</v>
      </c>
      <c r="AK75" s="343">
        <f t="shared" si="175"/>
        <v>0.19342953088864831</v>
      </c>
      <c r="AL75" s="343">
        <f t="shared" si="175"/>
        <v>0.20541619250235529</v>
      </c>
      <c r="AM75" s="343">
        <f t="shared" si="175"/>
        <v>0.21596558266001759</v>
      </c>
    </row>
    <row r="76" spans="1:39" s="28" customFormat="1">
      <c r="A76" s="217"/>
      <c r="B76" s="104" t="str">
        <f>+B50</f>
        <v>Planning &amp; Building</v>
      </c>
      <c r="C76" s="238" t="s">
        <v>1104</v>
      </c>
      <c r="D76" s="343">
        <f>D67/D$68</f>
        <v>0</v>
      </c>
      <c r="E76" s="343">
        <f t="shared" ref="E76:F76" si="179">E66/E$68</f>
        <v>0</v>
      </c>
      <c r="F76" s="64">
        <f t="shared" si="179"/>
        <v>0</v>
      </c>
      <c r="G76" s="343">
        <f>G67/G$68</f>
        <v>0</v>
      </c>
      <c r="H76" s="343">
        <f t="shared" ref="H76:I76" si="180">H66/H$68</f>
        <v>0</v>
      </c>
      <c r="I76" s="64">
        <f t="shared" si="180"/>
        <v>3.5446738534624524E-2</v>
      </c>
      <c r="J76" s="343">
        <f>J67/J$68</f>
        <v>9.870388833499593E-3</v>
      </c>
      <c r="K76" s="343">
        <f t="shared" ref="K76:L76" si="181">K66/K$68</f>
        <v>5.2652454139811601E-2</v>
      </c>
      <c r="L76" s="64">
        <f t="shared" si="181"/>
        <v>3.9852832055404415E-2</v>
      </c>
      <c r="M76" s="343">
        <f t="shared" ref="M76:AM76" si="182">M66/M$68</f>
        <v>4.6039074106615126E-2</v>
      </c>
      <c r="N76" s="343">
        <f t="shared" si="182"/>
        <v>3.6095775324051844E-2</v>
      </c>
      <c r="O76" s="64">
        <f t="shared" si="182"/>
        <v>4.1501578134443627E-2</v>
      </c>
      <c r="P76" s="343">
        <f t="shared" si="182"/>
        <v>3.8646807162097924E-2</v>
      </c>
      <c r="Q76" s="343">
        <f t="shared" si="182"/>
        <v>4.8515394637591719E-2</v>
      </c>
      <c r="R76" s="64">
        <f t="shared" si="182"/>
        <v>5.9950142883200573E-2</v>
      </c>
      <c r="S76" s="343">
        <f t="shared" si="182"/>
        <v>5.4576216564614886E-2</v>
      </c>
      <c r="T76" s="343">
        <f t="shared" si="182"/>
        <v>0.10491024445981298</v>
      </c>
      <c r="U76" s="64">
        <f t="shared" si="182"/>
        <v>0.1250033983090014</v>
      </c>
      <c r="V76" s="343">
        <f t="shared" si="182"/>
        <v>0.11546259280411192</v>
      </c>
      <c r="W76" s="343">
        <f t="shared" si="182"/>
        <v>0.11326805122134939</v>
      </c>
      <c r="X76" s="64">
        <f t="shared" si="182"/>
        <v>0.11286040624807064</v>
      </c>
      <c r="Y76" s="343">
        <f t="shared" si="182"/>
        <v>0.11305967008921057</v>
      </c>
      <c r="Z76" s="343">
        <f t="shared" si="182"/>
        <v>0.11616516373991458</v>
      </c>
      <c r="AA76" s="64">
        <f t="shared" si="182"/>
        <v>0.10514582946312466</v>
      </c>
      <c r="AB76" s="343">
        <f t="shared" si="182"/>
        <v>0.11059574667855969</v>
      </c>
      <c r="AC76" s="343">
        <f t="shared" ref="AC76" si="183">AC66/AC$68</f>
        <v>0.10768084603783185</v>
      </c>
      <c r="AD76" s="64">
        <f t="shared" si="182"/>
        <v>0.10428594650242923</v>
      </c>
      <c r="AE76" s="343">
        <f t="shared" si="182"/>
        <v>0.1059782608695652</v>
      </c>
      <c r="AF76" s="343">
        <f t="shared" ref="AF76:AH76" si="184">AF66/AF$68</f>
        <v>0.1063461571742554</v>
      </c>
      <c r="AG76" s="64">
        <f t="shared" si="184"/>
        <v>0.10311971465411862</v>
      </c>
      <c r="AH76" s="343">
        <f t="shared" si="184"/>
        <v>0.10470638297872341</v>
      </c>
      <c r="AI76" s="343">
        <f t="shared" ref="AI76:AJ76" si="185">AI66/AI$68</f>
        <v>0.11039108914384989</v>
      </c>
      <c r="AJ76" s="64">
        <f t="shared" si="185"/>
        <v>0.11350461915501589</v>
      </c>
      <c r="AK76" s="343">
        <f t="shared" si="182"/>
        <v>0.11198849873155629</v>
      </c>
      <c r="AL76" s="343">
        <f t="shared" si="182"/>
        <v>0.1210209732105454</v>
      </c>
      <c r="AM76" s="343">
        <f t="shared" si="182"/>
        <v>0.12834320242363889</v>
      </c>
    </row>
    <row r="77" spans="1:39" s="28" customFormat="1">
      <c r="A77" s="217"/>
      <c r="B77" s="104"/>
      <c r="C77" s="238"/>
      <c r="D77" s="377"/>
      <c r="G77" s="343"/>
      <c r="H77" s="343"/>
      <c r="I77" s="64"/>
      <c r="J77" s="343"/>
      <c r="K77" s="343"/>
      <c r="L77" s="64"/>
      <c r="M77" s="343"/>
      <c r="N77" s="343"/>
      <c r="O77" s="64"/>
      <c r="P77" s="343"/>
      <c r="Q77" s="343"/>
      <c r="R77" s="64"/>
      <c r="S77" s="343"/>
      <c r="T77" s="343"/>
      <c r="U77" s="64"/>
      <c r="V77" s="343"/>
      <c r="W77" s="343"/>
      <c r="X77" s="64"/>
      <c r="Y77" s="343"/>
      <c r="Z77" s="343"/>
      <c r="AA77" s="64"/>
      <c r="AB77" s="343"/>
      <c r="AC77" s="343"/>
      <c r="AD77" s="64"/>
      <c r="AE77" s="343"/>
      <c r="AF77" s="343"/>
      <c r="AG77" s="64"/>
      <c r="AH77" s="343"/>
      <c r="AI77" s="343"/>
      <c r="AJ77" s="64"/>
      <c r="AK77" s="343"/>
      <c r="AL77" s="343"/>
      <c r="AM77" s="343"/>
    </row>
    <row r="78" spans="1:39" s="54" customFormat="1">
      <c r="A78" s="217" t="s">
        <v>1111</v>
      </c>
      <c r="B78" s="243" t="s">
        <v>1045</v>
      </c>
      <c r="C78" s="200"/>
      <c r="D78" s="375"/>
      <c r="E78" s="201"/>
      <c r="F78" s="201"/>
      <c r="G78" s="280"/>
      <c r="H78" s="280"/>
      <c r="I78" s="201"/>
      <c r="J78" s="339"/>
      <c r="K78" s="339"/>
      <c r="L78" s="202"/>
      <c r="M78" s="339"/>
      <c r="N78" s="339"/>
      <c r="O78" s="202"/>
      <c r="P78" s="339"/>
      <c r="Q78" s="339"/>
      <c r="R78" s="202"/>
      <c r="S78" s="339"/>
      <c r="T78" s="339"/>
      <c r="U78" s="202"/>
      <c r="V78" s="339"/>
      <c r="W78" s="402"/>
      <c r="X78" s="202"/>
      <c r="Y78" s="280"/>
      <c r="Z78" s="402"/>
      <c r="AA78" s="202"/>
      <c r="AB78" s="280"/>
      <c r="AC78" s="402"/>
      <c r="AD78" s="202"/>
      <c r="AE78" s="280"/>
      <c r="AF78" s="339"/>
      <c r="AG78" s="202"/>
      <c r="AH78" s="280"/>
      <c r="AI78" s="339"/>
      <c r="AJ78" s="202"/>
      <c r="AK78" s="280"/>
      <c r="AL78" s="280"/>
      <c r="AM78" s="280"/>
    </row>
    <row r="79" spans="1:39">
      <c r="A79" s="217" t="s">
        <v>1111</v>
      </c>
      <c r="B79" s="212" t="s">
        <v>1107</v>
      </c>
      <c r="C79" s="239"/>
      <c r="D79" s="376"/>
      <c r="E79" s="213"/>
      <c r="F79" s="213"/>
      <c r="G79" s="387"/>
      <c r="H79" s="389"/>
      <c r="I79" s="213"/>
      <c r="J79" s="387"/>
      <c r="K79" s="389"/>
      <c r="L79" s="213"/>
      <c r="M79" s="387"/>
      <c r="N79" s="387"/>
      <c r="O79" s="213"/>
      <c r="P79" s="387"/>
      <c r="Q79" s="387"/>
      <c r="R79" s="213"/>
      <c r="S79" s="387"/>
      <c r="T79" s="387"/>
      <c r="U79" s="214"/>
      <c r="V79" s="387"/>
      <c r="W79" s="387"/>
      <c r="X79" s="214"/>
      <c r="Y79" s="387"/>
      <c r="Z79" s="387"/>
      <c r="AA79" s="214"/>
      <c r="AB79" s="396"/>
      <c r="AC79" s="387"/>
      <c r="AD79" s="214"/>
      <c r="AE79" s="396"/>
      <c r="AF79" s="396"/>
      <c r="AG79" s="214"/>
      <c r="AH79" s="396"/>
      <c r="AI79" s="396"/>
      <c r="AJ79" s="214"/>
      <c r="AK79" s="396"/>
      <c r="AL79" s="396"/>
      <c r="AM79" s="396"/>
    </row>
    <row r="80" spans="1:39">
      <c r="B80" s="104" t="s">
        <v>1159</v>
      </c>
      <c r="C80" s="238" t="s">
        <v>1152</v>
      </c>
      <c r="D80" s="380">
        <f>+D68</f>
        <v>48.581000000000003</v>
      </c>
      <c r="E80" s="23">
        <f t="shared" ref="E80:AM80" si="186">+E68</f>
        <v>24.001999999999999</v>
      </c>
      <c r="F80" s="23">
        <f t="shared" ref="F80" si="187">+F68</f>
        <v>26.004999999999999</v>
      </c>
      <c r="G80" s="357">
        <f t="shared" si="186"/>
        <v>50.006999999999998</v>
      </c>
      <c r="H80" s="355">
        <f t="shared" si="186"/>
        <v>22.785</v>
      </c>
      <c r="I80" s="23">
        <f t="shared" ref="I80" si="188">+I68</f>
        <v>27.364999999999998</v>
      </c>
      <c r="J80" s="318">
        <f t="shared" si="186"/>
        <v>50.15</v>
      </c>
      <c r="K80" s="355">
        <f t="shared" si="186"/>
        <v>30.254999999999999</v>
      </c>
      <c r="L80" s="23">
        <f t="shared" si="186"/>
        <v>32.343999999999994</v>
      </c>
      <c r="M80" s="318">
        <f t="shared" si="186"/>
        <v>62.598999999999997</v>
      </c>
      <c r="N80" s="318">
        <f t="shared" si="186"/>
        <v>33.328000000000003</v>
      </c>
      <c r="O80" s="69">
        <f t="shared" si="186"/>
        <v>29.781999999999996</v>
      </c>
      <c r="P80" s="318">
        <f t="shared" si="186"/>
        <v>63.11</v>
      </c>
      <c r="Q80" s="318">
        <f t="shared" si="186"/>
        <v>29.166</v>
      </c>
      <c r="R80" s="69">
        <f t="shared" ref="R80" si="189">+R68</f>
        <v>32.894000000000005</v>
      </c>
      <c r="S80" s="318">
        <f t="shared" si="186"/>
        <v>62.06</v>
      </c>
      <c r="T80" s="318">
        <f t="shared" si="186"/>
        <v>33.256999999999998</v>
      </c>
      <c r="U80" s="69">
        <f t="shared" ref="U80" si="190">+U68</f>
        <v>36.783000000000008</v>
      </c>
      <c r="V80" s="318">
        <f t="shared" si="186"/>
        <v>70.040000000000006</v>
      </c>
      <c r="W80" s="318">
        <f t="shared" si="186"/>
        <v>46.465000000000003</v>
      </c>
      <c r="X80" s="69">
        <f t="shared" si="186"/>
        <v>48.590999999999994</v>
      </c>
      <c r="Y80" s="318">
        <f t="shared" si="186"/>
        <v>95.055999999999997</v>
      </c>
      <c r="Z80" s="318">
        <f t="shared" si="186"/>
        <v>52.674999999999997</v>
      </c>
      <c r="AA80" s="69">
        <f t="shared" ref="AA80:AC80" si="191">+AA68</f>
        <v>53.83</v>
      </c>
      <c r="AB80" s="318">
        <f t="shared" si="191"/>
        <v>106.505</v>
      </c>
      <c r="AC80" s="318">
        <f t="shared" si="191"/>
        <v>55.033000000000001</v>
      </c>
      <c r="AD80" s="69">
        <f t="shared" ref="AD80" si="192">+AD68</f>
        <v>55.367000000000004</v>
      </c>
      <c r="AE80" s="318">
        <f t="shared" si="186"/>
        <v>110.4</v>
      </c>
      <c r="AF80" s="318">
        <f t="shared" si="186"/>
        <v>57.783000000000001</v>
      </c>
      <c r="AG80" s="69">
        <f t="shared" si="186"/>
        <v>59.716999999999999</v>
      </c>
      <c r="AH80" s="318">
        <f t="shared" ref="AH80" si="193">+AH68</f>
        <v>117.5</v>
      </c>
      <c r="AI80" s="318">
        <f t="shared" ref="AI80:AK80" si="194">+AI68</f>
        <v>61.71355275159236</v>
      </c>
      <c r="AJ80" s="69">
        <f t="shared" si="194"/>
        <v>65.022421261146505</v>
      </c>
      <c r="AK80" s="318">
        <f t="shared" si="194"/>
        <v>126.73597401273885</v>
      </c>
      <c r="AL80" s="318">
        <f t="shared" si="186"/>
        <v>141.26843481273889</v>
      </c>
      <c r="AM80" s="318">
        <f t="shared" si="186"/>
        <v>156.96264924473888</v>
      </c>
    </row>
    <row r="81" spans="1:39">
      <c r="B81" s="104" t="s">
        <v>1160</v>
      </c>
      <c r="C81" s="238" t="s">
        <v>1152</v>
      </c>
      <c r="D81" s="318">
        <f t="shared" ref="D81:AM81" si="195">+D82-D80</f>
        <v>-1.1240000000000023</v>
      </c>
      <c r="E81" s="265">
        <f>+E82-E80</f>
        <v>-0.21899999999999764</v>
      </c>
      <c r="F81" s="23">
        <f t="shared" si="195"/>
        <v>-1.1310000000000038</v>
      </c>
      <c r="G81" s="318">
        <f t="shared" si="195"/>
        <v>-1.3500000000000014</v>
      </c>
      <c r="H81" s="285">
        <f t="shared" si="195"/>
        <v>-0.18499999999999872</v>
      </c>
      <c r="I81" s="23">
        <f t="shared" si="195"/>
        <v>-1.218</v>
      </c>
      <c r="J81" s="318">
        <f t="shared" si="195"/>
        <v>-1.4029999999999987</v>
      </c>
      <c r="K81" s="285">
        <f t="shared" si="195"/>
        <v>-0.93900000000000006</v>
      </c>
      <c r="L81" s="23">
        <f t="shared" si="195"/>
        <v>-1.085999999999995</v>
      </c>
      <c r="M81" s="318">
        <f t="shared" si="195"/>
        <v>-2.0249999999999986</v>
      </c>
      <c r="N81" s="318">
        <f t="shared" si="195"/>
        <v>-1.0380000000000038</v>
      </c>
      <c r="O81" s="69">
        <f t="shared" si="195"/>
        <v>-1.0059999999999931</v>
      </c>
      <c r="P81" s="318">
        <f t="shared" si="195"/>
        <v>-2.0439999999999969</v>
      </c>
      <c r="Q81" s="318">
        <f t="shared" si="195"/>
        <v>-1.1700000000000017</v>
      </c>
      <c r="R81" s="69">
        <f t="shared" si="195"/>
        <v>-1.2430000000000057</v>
      </c>
      <c r="S81" s="318">
        <f t="shared" si="195"/>
        <v>-2.4130000000000038</v>
      </c>
      <c r="T81" s="318">
        <f t="shared" si="195"/>
        <v>-1.4339999999999975</v>
      </c>
      <c r="U81" s="69">
        <f t="shared" si="195"/>
        <v>-1.7340000000000089</v>
      </c>
      <c r="V81" s="318">
        <f t="shared" si="195"/>
        <v>-3.1680000000000064</v>
      </c>
      <c r="W81" s="318">
        <f t="shared" si="195"/>
        <v>-2.3730000000000047</v>
      </c>
      <c r="X81" s="69">
        <f t="shared" si="195"/>
        <v>-2.9539999999999935</v>
      </c>
      <c r="Y81" s="318">
        <f t="shared" si="195"/>
        <v>-5.3269999999999982</v>
      </c>
      <c r="Z81" s="318">
        <f t="shared" si="195"/>
        <v>-2.6499999999999986</v>
      </c>
      <c r="AA81" s="69">
        <f t="shared" ref="AA81:AC81" si="196">+AA82-AA80</f>
        <v>-2.9709999999999965</v>
      </c>
      <c r="AB81" s="318">
        <f t="shared" si="196"/>
        <v>-5.6209999999999951</v>
      </c>
      <c r="AC81" s="318">
        <f t="shared" si="196"/>
        <v>-3.5300000000000011</v>
      </c>
      <c r="AD81" s="69">
        <f t="shared" ref="AD81" si="197">+AD82-AD80</f>
        <v>-3.7010000000000076</v>
      </c>
      <c r="AE81" s="318">
        <f t="shared" si="195"/>
        <v>-7.2310000000000088</v>
      </c>
      <c r="AF81" s="318">
        <f t="shared" si="195"/>
        <v>-3.8019999999999996</v>
      </c>
      <c r="AG81" s="69">
        <f t="shared" si="195"/>
        <v>-3.7949999999999946</v>
      </c>
      <c r="AH81" s="318">
        <f t="shared" ref="AH81" si="198">+AH82-AH80</f>
        <v>-7.5969999999999942</v>
      </c>
      <c r="AI81" s="318">
        <f t="shared" ref="AI81:AK81" si="199">+AI82-AI80</f>
        <v>-4.6285164563694252</v>
      </c>
      <c r="AJ81" s="69">
        <f t="shared" si="199"/>
        <v>-4.8766815945859818</v>
      </c>
      <c r="AK81" s="318">
        <f t="shared" si="199"/>
        <v>-9.5051980509553999</v>
      </c>
      <c r="AL81" s="318">
        <f t="shared" si="195"/>
        <v>-11.30147478501911</v>
      </c>
      <c r="AM81" s="318">
        <f t="shared" si="195"/>
        <v>-12.557011939579098</v>
      </c>
    </row>
    <row r="82" spans="1:39" s="503" customFormat="1">
      <c r="A82" s="502"/>
      <c r="B82" s="105" t="s">
        <v>1108</v>
      </c>
      <c r="C82" s="240" t="s">
        <v>1152</v>
      </c>
      <c r="D82" s="391">
        <v>47.457000000000001</v>
      </c>
      <c r="E82" s="391">
        <v>23.783000000000001</v>
      </c>
      <c r="F82" s="74">
        <f t="shared" ref="F82" si="200">+G82-E82</f>
        <v>24.873999999999995</v>
      </c>
      <c r="G82" s="391">
        <v>48.656999999999996</v>
      </c>
      <c r="H82" s="391">
        <v>22.6</v>
      </c>
      <c r="I82" s="74">
        <f t="shared" ref="I82" si="201">+J82-H82</f>
        <v>26.146999999999998</v>
      </c>
      <c r="J82" s="391">
        <v>48.747</v>
      </c>
      <c r="K82" s="391">
        <v>29.315999999999999</v>
      </c>
      <c r="L82" s="74">
        <f t="shared" ref="L82" si="202">+M82-K82</f>
        <v>31.257999999999999</v>
      </c>
      <c r="M82" s="391">
        <v>60.573999999999998</v>
      </c>
      <c r="N82" s="391">
        <v>32.29</v>
      </c>
      <c r="O82" s="74">
        <f t="shared" ref="O82" si="203">+P82-N82</f>
        <v>28.776000000000003</v>
      </c>
      <c r="P82" s="391">
        <v>61.066000000000003</v>
      </c>
      <c r="Q82" s="391">
        <v>27.995999999999999</v>
      </c>
      <c r="R82" s="74">
        <f t="shared" ref="R82" si="204">+S82-Q82</f>
        <v>31.651</v>
      </c>
      <c r="S82" s="391">
        <v>59.646999999999998</v>
      </c>
      <c r="T82" s="391">
        <v>31.823</v>
      </c>
      <c r="U82" s="74">
        <f t="shared" ref="U82" si="205">+V82-T82</f>
        <v>35.048999999999999</v>
      </c>
      <c r="V82" s="391">
        <v>66.872</v>
      </c>
      <c r="W82" s="391">
        <v>44.091999999999999</v>
      </c>
      <c r="X82" s="74">
        <f t="shared" ref="X82" si="206">+Y82-W82</f>
        <v>45.637</v>
      </c>
      <c r="Y82" s="391">
        <v>89.728999999999999</v>
      </c>
      <c r="Z82" s="391">
        <v>50.024999999999999</v>
      </c>
      <c r="AA82" s="74">
        <f t="shared" ref="AA82" si="207">+AB82-Z82</f>
        <v>50.859000000000002</v>
      </c>
      <c r="AB82" s="391">
        <v>100.884</v>
      </c>
      <c r="AC82" s="391">
        <v>51.503</v>
      </c>
      <c r="AD82" s="74">
        <f t="shared" ref="AD82" si="208">+AE82-AC82</f>
        <v>51.665999999999997</v>
      </c>
      <c r="AE82" s="391">
        <v>103.169</v>
      </c>
      <c r="AF82" s="391">
        <v>53.981000000000002</v>
      </c>
      <c r="AG82" s="74">
        <f t="shared" ref="AG82" si="209">+AH82-AF82</f>
        <v>55.922000000000004</v>
      </c>
      <c r="AH82" s="391">
        <v>109.90300000000001</v>
      </c>
      <c r="AI82" s="342">
        <f>+AI83*AI68</f>
        <v>57.085036295222935</v>
      </c>
      <c r="AJ82" s="74">
        <f>+AJ83*AJ68</f>
        <v>60.145739666560523</v>
      </c>
      <c r="AK82" s="342">
        <f>+AI82+AJ82</f>
        <v>117.23077596178345</v>
      </c>
      <c r="AL82" s="342">
        <f t="shared" ref="AL82:AM82" si="210">+AL68*AL83</f>
        <v>129.96696002771978</v>
      </c>
      <c r="AM82" s="342">
        <f t="shared" si="210"/>
        <v>144.40563730515979</v>
      </c>
    </row>
    <row r="83" spans="1:39" s="32" customFormat="1">
      <c r="A83" s="217"/>
      <c r="B83" s="495" t="str">
        <f>B82&amp;" - margin"</f>
        <v>Total Gross Profit - margin</v>
      </c>
      <c r="C83" s="271" t="s">
        <v>1104</v>
      </c>
      <c r="D83" s="332">
        <f t="shared" ref="D83:AG83" si="211">+D82/D68</f>
        <v>0.97686338280397678</v>
      </c>
      <c r="E83" s="332">
        <f t="shared" si="211"/>
        <v>0.99087576035330394</v>
      </c>
      <c r="F83" s="223">
        <f t="shared" si="211"/>
        <v>0.95650836377619675</v>
      </c>
      <c r="G83" s="332">
        <f t="shared" si="211"/>
        <v>0.97300377947087402</v>
      </c>
      <c r="H83" s="332">
        <f t="shared" si="211"/>
        <v>0.99188062321702886</v>
      </c>
      <c r="I83" s="223">
        <f t="shared" si="211"/>
        <v>0.9554905901699251</v>
      </c>
      <c r="J83" s="332">
        <f t="shared" si="211"/>
        <v>0.97202392821535399</v>
      </c>
      <c r="K83" s="332">
        <f t="shared" si="211"/>
        <v>0.96896380763510159</v>
      </c>
      <c r="L83" s="223">
        <f t="shared" si="211"/>
        <v>0.96642344793470214</v>
      </c>
      <c r="M83" s="332">
        <f t="shared" si="211"/>
        <v>0.96765124043515072</v>
      </c>
      <c r="N83" s="332">
        <f t="shared" si="211"/>
        <v>0.96885501680268837</v>
      </c>
      <c r="O83" s="223">
        <f t="shared" si="211"/>
        <v>0.96622120744073625</v>
      </c>
      <c r="P83" s="332">
        <f t="shared" si="211"/>
        <v>0.96761210584693402</v>
      </c>
      <c r="Q83" s="332">
        <f t="shared" si="211"/>
        <v>0.95988479736679688</v>
      </c>
      <c r="R83" s="223">
        <f t="shared" si="211"/>
        <v>0.96221195354775935</v>
      </c>
      <c r="S83" s="332">
        <f t="shared" si="211"/>
        <v>0.96111827263938121</v>
      </c>
      <c r="T83" s="332">
        <f t="shared" si="211"/>
        <v>0.95688125808100555</v>
      </c>
      <c r="U83" s="223">
        <f t="shared" si="211"/>
        <v>0.95285865753201182</v>
      </c>
      <c r="V83" s="332">
        <f t="shared" si="211"/>
        <v>0.95476870359794397</v>
      </c>
      <c r="W83" s="332">
        <f t="shared" si="211"/>
        <v>0.94892930162487887</v>
      </c>
      <c r="X83" s="223">
        <f t="shared" si="211"/>
        <v>0.93920684900495988</v>
      </c>
      <c r="Y83" s="332">
        <f t="shared" si="211"/>
        <v>0.94395935027773104</v>
      </c>
      <c r="Z83" s="332">
        <f t="shared" si="211"/>
        <v>0.94969150450878026</v>
      </c>
      <c r="AA83" s="223">
        <f t="shared" ref="AA83" si="212">+AA82/AA68</f>
        <v>0.94480772803269564</v>
      </c>
      <c r="AB83" s="332">
        <f t="shared" si="211"/>
        <v>0.94722313506408151</v>
      </c>
      <c r="AC83" s="332">
        <f t="shared" ref="AC83:AD83" si="213">+AC82/AC68</f>
        <v>0.93585666781749133</v>
      </c>
      <c r="AD83" s="223">
        <f t="shared" si="213"/>
        <v>0.93315512850614979</v>
      </c>
      <c r="AE83" s="332">
        <f t="shared" si="211"/>
        <v>0.93450181159420287</v>
      </c>
      <c r="AF83" s="332">
        <f t="shared" si="211"/>
        <v>0.9342021009639514</v>
      </c>
      <c r="AG83" s="223">
        <f t="shared" si="211"/>
        <v>0.93645025704573248</v>
      </c>
      <c r="AH83" s="332">
        <f t="shared" ref="AH83" si="214">+AH82/AH68</f>
        <v>0.93534468085106393</v>
      </c>
      <c r="AI83" s="537">
        <v>0.92500000000000004</v>
      </c>
      <c r="AJ83" s="538">
        <v>0.92500000000000004</v>
      </c>
      <c r="AK83" s="332">
        <f t="shared" ref="AK83" si="215">+AK82/AK68</f>
        <v>0.92500000000000016</v>
      </c>
      <c r="AL83" s="537">
        <v>0.92</v>
      </c>
      <c r="AM83" s="537">
        <f t="shared" ref="AM83" si="216">+AL83</f>
        <v>0.92</v>
      </c>
    </row>
    <row r="84" spans="1:39">
      <c r="C84" s="241"/>
      <c r="D84" s="377"/>
      <c r="G84" s="370"/>
      <c r="H84" s="370"/>
      <c r="J84" s="370"/>
      <c r="K84" s="370"/>
      <c r="M84" s="370"/>
      <c r="N84" s="370"/>
      <c r="P84" s="370"/>
      <c r="Q84" s="370"/>
      <c r="S84" s="370"/>
      <c r="T84" s="370"/>
      <c r="V84" s="370"/>
      <c r="W84" s="370"/>
      <c r="Y84" s="370"/>
      <c r="Z84" s="370"/>
      <c r="AB84" s="370"/>
      <c r="AC84" s="370"/>
      <c r="AE84" s="370"/>
      <c r="AF84" s="370"/>
      <c r="AH84" s="370"/>
      <c r="AI84" s="370"/>
      <c r="AK84" s="370"/>
      <c r="AL84" s="370"/>
      <c r="AM84" s="370"/>
    </row>
    <row r="85" spans="1:39" s="54" customFormat="1">
      <c r="A85" s="217" t="s">
        <v>1111</v>
      </c>
      <c r="B85" s="243" t="s">
        <v>1169</v>
      </c>
      <c r="C85" s="200"/>
      <c r="D85" s="375"/>
      <c r="E85" s="201"/>
      <c r="F85" s="201"/>
      <c r="G85" s="280"/>
      <c r="H85" s="280"/>
      <c r="I85" s="201"/>
      <c r="J85" s="339"/>
      <c r="K85" s="339"/>
      <c r="L85" s="202"/>
      <c r="M85" s="339"/>
      <c r="N85" s="339"/>
      <c r="O85" s="202"/>
      <c r="P85" s="339"/>
      <c r="Q85" s="339"/>
      <c r="R85" s="202"/>
      <c r="S85" s="339"/>
      <c r="T85" s="339"/>
      <c r="U85" s="202"/>
      <c r="V85" s="339"/>
      <c r="W85" s="402"/>
      <c r="X85" s="202"/>
      <c r="Y85" s="280"/>
      <c r="Z85" s="402"/>
      <c r="AA85" s="202"/>
      <c r="AB85" s="280"/>
      <c r="AC85" s="402"/>
      <c r="AD85" s="202"/>
      <c r="AE85" s="280"/>
      <c r="AF85" s="402"/>
      <c r="AG85" s="202"/>
      <c r="AH85" s="280"/>
      <c r="AI85" s="339"/>
      <c r="AJ85" s="202"/>
      <c r="AK85" s="280"/>
      <c r="AL85" s="280"/>
      <c r="AM85" s="280"/>
    </row>
    <row r="86" spans="1:39" s="54" customFormat="1">
      <c r="A86" s="429"/>
      <c r="B86" s="471"/>
      <c r="C86" s="471"/>
      <c r="D86" s="472"/>
      <c r="E86" s="473"/>
      <c r="F86" s="473"/>
      <c r="G86" s="474"/>
      <c r="H86" s="474"/>
      <c r="I86" s="473"/>
      <c r="J86" s="475"/>
      <c r="K86" s="475"/>
      <c r="L86" s="476"/>
      <c r="M86" s="475"/>
      <c r="N86" s="475"/>
      <c r="O86" s="476"/>
      <c r="P86" s="475"/>
      <c r="Q86" s="475"/>
      <c r="R86" s="476"/>
      <c r="S86" s="475"/>
      <c r="T86" s="475"/>
      <c r="U86" s="476"/>
      <c r="V86" s="475"/>
      <c r="W86" s="475"/>
      <c r="X86" s="476"/>
      <c r="Y86" s="474"/>
      <c r="Z86" s="475"/>
      <c r="AA86" s="476"/>
      <c r="AB86" s="474"/>
      <c r="AC86" s="475"/>
      <c r="AD86" s="476"/>
      <c r="AE86" s="474"/>
      <c r="AF86" s="475"/>
      <c r="AG86" s="476"/>
      <c r="AH86" s="474"/>
      <c r="AI86" s="475"/>
      <c r="AJ86" s="476"/>
      <c r="AK86" s="474"/>
      <c r="AL86" s="474"/>
      <c r="AM86" s="474"/>
    </row>
    <row r="87" spans="1:39">
      <c r="B87" s="104" t="s">
        <v>1170</v>
      </c>
      <c r="C87" s="238" t="s">
        <v>1104</v>
      </c>
      <c r="D87" s="400"/>
      <c r="E87" s="64"/>
      <c r="F87" s="64"/>
      <c r="G87" s="498"/>
      <c r="H87" s="500"/>
      <c r="I87" s="64"/>
      <c r="J87" s="498"/>
      <c r="K87" s="500"/>
      <c r="L87" s="64"/>
      <c r="M87" s="498"/>
      <c r="N87" s="498"/>
      <c r="O87" s="64"/>
      <c r="P87" s="498">
        <v>0.36</v>
      </c>
      <c r="Q87" s="498"/>
      <c r="R87" s="64"/>
      <c r="S87" s="498">
        <v>0.23</v>
      </c>
      <c r="T87" s="498"/>
      <c r="U87" s="64"/>
      <c r="V87" s="498">
        <v>1.01</v>
      </c>
      <c r="W87" s="498">
        <v>1</v>
      </c>
      <c r="X87" s="64"/>
      <c r="Y87" s="498">
        <v>0.73</v>
      </c>
      <c r="Z87" s="498">
        <v>0.57999999999999996</v>
      </c>
      <c r="AA87" s="69"/>
      <c r="AB87" s="498">
        <v>0.61</v>
      </c>
      <c r="AC87" s="498">
        <v>0.84</v>
      </c>
      <c r="AD87" s="69"/>
      <c r="AE87" s="498">
        <v>0.62</v>
      </c>
      <c r="AF87" s="500">
        <v>0.23</v>
      </c>
      <c r="AG87" s="69"/>
      <c r="AH87" s="498"/>
      <c r="AI87" s="318"/>
      <c r="AJ87" s="69"/>
      <c r="AK87" s="318"/>
      <c r="AL87" s="318"/>
      <c r="AM87" s="318"/>
    </row>
    <row r="88" spans="1:39">
      <c r="B88" s="104" t="s">
        <v>1171</v>
      </c>
      <c r="C88" s="238" t="s">
        <v>1104</v>
      </c>
      <c r="D88" s="400"/>
      <c r="E88" s="64"/>
      <c r="F88" s="64"/>
      <c r="G88" s="498"/>
      <c r="H88" s="500"/>
      <c r="I88" s="64"/>
      <c r="J88" s="498"/>
      <c r="K88" s="500"/>
      <c r="L88" s="64"/>
      <c r="M88" s="498"/>
      <c r="N88" s="498"/>
      <c r="O88" s="64"/>
      <c r="P88" s="498">
        <v>0.48</v>
      </c>
      <c r="Q88" s="498"/>
      <c r="R88" s="64"/>
      <c r="S88" s="498">
        <v>0.27</v>
      </c>
      <c r="T88" s="498"/>
      <c r="U88" s="64"/>
      <c r="V88" s="498">
        <v>0.34</v>
      </c>
      <c r="W88" s="498">
        <v>0.31</v>
      </c>
      <c r="X88" s="64"/>
      <c r="Y88" s="498">
        <v>0.3</v>
      </c>
      <c r="Z88" s="498">
        <v>0.21</v>
      </c>
      <c r="AA88" s="69"/>
      <c r="AB88" s="498">
        <v>0.2</v>
      </c>
      <c r="AC88" s="498">
        <v>0.12</v>
      </c>
      <c r="AD88" s="69"/>
      <c r="AE88" s="498">
        <v>0.12</v>
      </c>
      <c r="AF88" s="500">
        <v>0.18</v>
      </c>
      <c r="AG88" s="69"/>
      <c r="AH88" s="498"/>
      <c r="AI88" s="318"/>
      <c r="AJ88" s="69"/>
      <c r="AK88" s="318"/>
      <c r="AL88" s="318"/>
      <c r="AM88" s="318"/>
    </row>
    <row r="89" spans="1:39">
      <c r="B89" s="104" t="s">
        <v>1172</v>
      </c>
      <c r="C89" s="238" t="s">
        <v>1104</v>
      </c>
      <c r="D89" s="400"/>
      <c r="E89" s="64"/>
      <c r="F89" s="64"/>
      <c r="G89" s="498"/>
      <c r="H89" s="500"/>
      <c r="I89" s="64"/>
      <c r="J89" s="498"/>
      <c r="K89" s="500"/>
      <c r="L89" s="64"/>
      <c r="M89" s="498"/>
      <c r="N89" s="498"/>
      <c r="O89" s="64"/>
      <c r="P89" s="498"/>
      <c r="Q89" s="498"/>
      <c r="R89" s="64"/>
      <c r="S89" s="498">
        <v>0.2</v>
      </c>
      <c r="T89" s="498"/>
      <c r="U89" s="64"/>
      <c r="V89" s="498">
        <v>0.51</v>
      </c>
      <c r="W89" s="498">
        <v>0.45</v>
      </c>
      <c r="X89" s="64"/>
      <c r="Y89" s="498">
        <v>0.34</v>
      </c>
      <c r="Z89" s="498">
        <v>0.25</v>
      </c>
      <c r="AA89" s="69"/>
      <c r="AB89" s="498">
        <v>0.25</v>
      </c>
      <c r="AC89" s="498">
        <v>0.18</v>
      </c>
      <c r="AD89" s="69"/>
      <c r="AE89" s="498">
        <v>0.18</v>
      </c>
      <c r="AF89" s="500">
        <v>0.18</v>
      </c>
      <c r="AG89" s="69"/>
      <c r="AH89" s="498"/>
      <c r="AI89" s="318"/>
      <c r="AJ89" s="69"/>
      <c r="AK89" s="318"/>
      <c r="AL89" s="318"/>
      <c r="AM89" s="318"/>
    </row>
    <row r="90" spans="1:39">
      <c r="B90" s="104" t="s">
        <v>1173</v>
      </c>
      <c r="C90" s="238" t="s">
        <v>1104</v>
      </c>
      <c r="D90" s="400"/>
      <c r="E90" s="64"/>
      <c r="F90" s="64"/>
      <c r="G90" s="498"/>
      <c r="H90" s="500"/>
      <c r="I90" s="64"/>
      <c r="J90" s="498"/>
      <c r="K90" s="500"/>
      <c r="L90" s="64"/>
      <c r="M90" s="498"/>
      <c r="N90" s="498"/>
      <c r="O90" s="64"/>
      <c r="P90" s="498"/>
      <c r="Q90" s="498"/>
      <c r="R90" s="64"/>
      <c r="S90" s="498"/>
      <c r="T90" s="498"/>
      <c r="U90" s="64"/>
      <c r="V90" s="498"/>
      <c r="W90" s="498"/>
      <c r="X90" s="64"/>
      <c r="Y90" s="498">
        <v>0.33</v>
      </c>
      <c r="Z90" s="498">
        <v>0.44</v>
      </c>
      <c r="AA90" s="69"/>
      <c r="AB90" s="498">
        <v>0.45</v>
      </c>
      <c r="AC90" s="498">
        <v>0.46</v>
      </c>
      <c r="AD90" s="69"/>
      <c r="AE90" s="498">
        <v>0.62</v>
      </c>
      <c r="AF90" s="500">
        <v>0.25</v>
      </c>
      <c r="AG90" s="69"/>
      <c r="AH90" s="498"/>
      <c r="AI90" s="318"/>
      <c r="AJ90" s="69"/>
      <c r="AK90" s="318"/>
      <c r="AL90" s="318"/>
      <c r="AM90" s="318"/>
    </row>
    <row r="91" spans="1:39">
      <c r="B91" s="104"/>
      <c r="C91" s="238"/>
      <c r="D91" s="380"/>
      <c r="E91" s="23"/>
      <c r="F91" s="23"/>
      <c r="G91" s="357"/>
      <c r="H91" s="355"/>
      <c r="I91" s="23"/>
      <c r="J91" s="357"/>
      <c r="K91" s="355"/>
      <c r="L91" s="23"/>
      <c r="M91" s="357"/>
      <c r="N91" s="357"/>
      <c r="O91" s="69"/>
      <c r="P91" s="357"/>
      <c r="Q91" s="357"/>
      <c r="R91" s="69"/>
      <c r="S91" s="357"/>
      <c r="T91" s="357"/>
      <c r="U91" s="69"/>
      <c r="V91" s="357"/>
      <c r="W91" s="393"/>
      <c r="X91" s="69"/>
      <c r="Y91" s="357"/>
      <c r="Z91" s="393"/>
      <c r="AA91" s="69"/>
      <c r="AB91" s="318"/>
      <c r="AC91" s="393"/>
      <c r="AD91" s="69"/>
      <c r="AE91" s="318"/>
      <c r="AF91" s="546"/>
      <c r="AG91" s="69"/>
      <c r="AH91" s="318"/>
      <c r="AI91" s="318"/>
      <c r="AJ91" s="69"/>
      <c r="AK91" s="318"/>
      <c r="AL91" s="318"/>
      <c r="AM91" s="318"/>
    </row>
    <row r="92" spans="1:39" s="54" customFormat="1">
      <c r="A92" s="217" t="s">
        <v>1111</v>
      </c>
      <c r="B92" s="243" t="s">
        <v>1139</v>
      </c>
      <c r="C92" s="200"/>
      <c r="D92" s="375"/>
      <c r="E92" s="201"/>
      <c r="F92" s="201"/>
      <c r="G92" s="280"/>
      <c r="H92" s="280"/>
      <c r="I92" s="201"/>
      <c r="J92" s="339"/>
      <c r="K92" s="339"/>
      <c r="L92" s="202"/>
      <c r="M92" s="339"/>
      <c r="N92" s="339"/>
      <c r="O92" s="202"/>
      <c r="P92" s="339"/>
      <c r="Q92" s="339"/>
      <c r="R92" s="202"/>
      <c r="S92" s="339"/>
      <c r="T92" s="339"/>
      <c r="U92" s="202"/>
      <c r="V92" s="339"/>
      <c r="W92" s="402"/>
      <c r="X92" s="202"/>
      <c r="Y92" s="280"/>
      <c r="Z92" s="402"/>
      <c r="AA92" s="202"/>
      <c r="AB92" s="280"/>
      <c r="AC92" s="402"/>
      <c r="AD92" s="202"/>
      <c r="AE92" s="280"/>
      <c r="AF92" s="402"/>
      <c r="AG92" s="202"/>
      <c r="AH92" s="280"/>
      <c r="AI92" s="339"/>
      <c r="AJ92" s="202"/>
      <c r="AK92" s="280"/>
      <c r="AL92" s="280"/>
      <c r="AM92" s="280"/>
    </row>
    <row r="93" spans="1:39" s="54" customFormat="1">
      <c r="A93" s="429"/>
      <c r="B93" s="471"/>
      <c r="C93" s="471"/>
      <c r="D93" s="472"/>
      <c r="E93" s="473"/>
      <c r="F93" s="473"/>
      <c r="G93" s="474"/>
      <c r="H93" s="474"/>
      <c r="I93" s="473"/>
      <c r="J93" s="475"/>
      <c r="K93" s="475"/>
      <c r="L93" s="476"/>
      <c r="M93" s="475"/>
      <c r="N93" s="475"/>
      <c r="O93" s="476"/>
      <c r="P93" s="475"/>
      <c r="Q93" s="475"/>
      <c r="R93" s="476"/>
      <c r="S93" s="475"/>
      <c r="T93" s="475"/>
      <c r="U93" s="476"/>
      <c r="V93" s="475"/>
      <c r="W93" s="475"/>
      <c r="X93" s="476"/>
      <c r="Y93" s="474"/>
      <c r="Z93" s="475"/>
      <c r="AA93" s="476"/>
      <c r="AB93" s="474"/>
      <c r="AC93" s="475"/>
      <c r="AD93" s="476"/>
      <c r="AE93" s="474"/>
      <c r="AF93" s="475"/>
      <c r="AG93" s="476"/>
      <c r="AH93" s="474"/>
      <c r="AI93" s="475"/>
      <c r="AJ93" s="476"/>
      <c r="AK93" s="474"/>
      <c r="AL93" s="474"/>
      <c r="AM93" s="474"/>
    </row>
    <row r="94" spans="1:39">
      <c r="B94" s="104" t="s">
        <v>1161</v>
      </c>
      <c r="C94" s="238" t="s">
        <v>1152</v>
      </c>
      <c r="D94" s="380"/>
      <c r="E94" s="23"/>
      <c r="F94" s="23"/>
      <c r="G94" s="357"/>
      <c r="H94" s="355"/>
      <c r="I94" s="23"/>
      <c r="J94" s="357">
        <v>39.161000000000001</v>
      </c>
      <c r="K94" s="357">
        <v>23.901</v>
      </c>
      <c r="L94" s="69">
        <f>+M94-K94</f>
        <v>25.849999999999998</v>
      </c>
      <c r="M94" s="357">
        <v>49.750999999999998</v>
      </c>
      <c r="N94" s="357">
        <v>26.815999999999999</v>
      </c>
      <c r="O94" s="69">
        <f>+P94-N94</f>
        <v>23.656000000000002</v>
      </c>
      <c r="P94" s="357">
        <v>50.472000000000001</v>
      </c>
      <c r="Q94" s="357">
        <v>22.777000000000001</v>
      </c>
      <c r="R94" s="69">
        <f>+S94-Q94</f>
        <v>25.85</v>
      </c>
      <c r="S94" s="357">
        <v>48.627000000000002</v>
      </c>
      <c r="T94" s="357">
        <v>25.271000000000001</v>
      </c>
      <c r="U94" s="69">
        <f>+V94-T94</f>
        <v>27.42</v>
      </c>
      <c r="V94" s="357">
        <v>52.691000000000003</v>
      </c>
      <c r="W94" s="393">
        <v>37.375</v>
      </c>
      <c r="X94" s="69">
        <f>+Y94-W94</f>
        <v>35.822999999999993</v>
      </c>
      <c r="Y94" s="357">
        <v>73.197999999999993</v>
      </c>
      <c r="Z94" s="393">
        <v>40.524999999999999</v>
      </c>
      <c r="AA94" s="69">
        <f>+AB94-Z94</f>
        <v>40.276000000000003</v>
      </c>
      <c r="AB94" s="357">
        <v>80.801000000000002</v>
      </c>
      <c r="AC94" s="393">
        <v>40.591999999999999</v>
      </c>
      <c r="AD94" s="69">
        <f>+AE94-AC94</f>
        <v>40.129000000000005</v>
      </c>
      <c r="AE94" s="357">
        <v>80.721000000000004</v>
      </c>
      <c r="AF94" s="393">
        <v>44.731999999999999</v>
      </c>
      <c r="AG94" s="69">
        <f>+AH94-AF94</f>
        <v>45.935000000000002</v>
      </c>
      <c r="AH94" s="357">
        <v>90.667000000000002</v>
      </c>
      <c r="AI94" s="318"/>
      <c r="AJ94" s="69"/>
      <c r="AK94" s="318"/>
      <c r="AL94" s="318"/>
      <c r="AM94" s="318"/>
    </row>
    <row r="95" spans="1:39">
      <c r="B95" s="104" t="s">
        <v>1162</v>
      </c>
      <c r="C95" s="238" t="s">
        <v>1152</v>
      </c>
      <c r="D95" s="380"/>
      <c r="E95" s="23"/>
      <c r="F95" s="23"/>
      <c r="G95" s="357"/>
      <c r="H95" s="355"/>
      <c r="I95" s="23"/>
      <c r="J95" s="357">
        <v>8.0530000000000008</v>
      </c>
      <c r="K95" s="357">
        <v>3.7130000000000001</v>
      </c>
      <c r="L95" s="69">
        <f t="shared" ref="L95:L97" si="217">+M95-K95</f>
        <v>4.0659999999999998</v>
      </c>
      <c r="M95" s="357">
        <v>7.7789999999999999</v>
      </c>
      <c r="N95" s="357">
        <v>4.306</v>
      </c>
      <c r="O95" s="69">
        <f t="shared" ref="O95:O96" si="218">+P95-N95</f>
        <v>4.0140000000000002</v>
      </c>
      <c r="P95" s="357">
        <v>8.32</v>
      </c>
      <c r="Q95" s="357">
        <v>4.1390000000000002</v>
      </c>
      <c r="R95" s="69">
        <f t="shared" ref="R95:R96" si="219">+S95-Q95</f>
        <v>4.2670000000000003</v>
      </c>
      <c r="S95" s="357">
        <v>8.4060000000000006</v>
      </c>
      <c r="T95" s="357">
        <v>4.1680000000000001</v>
      </c>
      <c r="U95" s="69">
        <f t="shared" ref="U95:U96" si="220">+V95-T95</f>
        <v>5.0100000000000007</v>
      </c>
      <c r="V95" s="357">
        <v>9.1780000000000008</v>
      </c>
      <c r="W95" s="393">
        <v>4.4409999999999998</v>
      </c>
      <c r="X95" s="69">
        <f t="shared" ref="X95:X96" si="221">+Y95-W95</f>
        <v>5.0420000000000007</v>
      </c>
      <c r="Y95" s="357">
        <v>9.4830000000000005</v>
      </c>
      <c r="Z95" s="393">
        <v>5.2</v>
      </c>
      <c r="AA95" s="69">
        <f t="shared" ref="AA95:AA97" si="222">+AB95-Z95</f>
        <v>6.0659999999999998</v>
      </c>
      <c r="AB95" s="357">
        <v>11.266</v>
      </c>
      <c r="AC95" s="393">
        <v>5.0579999999999998</v>
      </c>
      <c r="AD95" s="69">
        <f t="shared" ref="AD95:AD97" si="223">+AE95-AC95</f>
        <v>5.9969999999999999</v>
      </c>
      <c r="AE95" s="357">
        <v>11.055</v>
      </c>
      <c r="AF95" s="393">
        <v>5.6310000000000002</v>
      </c>
      <c r="AG95" s="69">
        <f t="shared" ref="AG95:AG97" si="224">+AH95-AF95</f>
        <v>6.4749999999999996</v>
      </c>
      <c r="AH95" s="357">
        <v>12.106</v>
      </c>
      <c r="AI95" s="318"/>
      <c r="AJ95" s="69"/>
      <c r="AK95" s="318"/>
      <c r="AL95" s="318"/>
      <c r="AM95" s="318"/>
    </row>
    <row r="96" spans="1:39">
      <c r="B96" s="104" t="s">
        <v>1163</v>
      </c>
      <c r="C96" s="238" t="s">
        <v>1152</v>
      </c>
      <c r="D96" s="380"/>
      <c r="E96" s="23"/>
      <c r="F96" s="23"/>
      <c r="G96" s="357"/>
      <c r="H96" s="355"/>
      <c r="I96" s="23"/>
      <c r="J96" s="357">
        <v>2.8929999999999998</v>
      </c>
      <c r="K96" s="357">
        <v>2.6240000000000001</v>
      </c>
      <c r="L96" s="69">
        <f t="shared" si="217"/>
        <v>2.4129999999999998</v>
      </c>
      <c r="M96" s="357">
        <v>5.0369999999999999</v>
      </c>
      <c r="N96" s="357">
        <v>2.1779999999999999</v>
      </c>
      <c r="O96" s="69">
        <f t="shared" si="218"/>
        <v>2.1059999999999999</v>
      </c>
      <c r="P96" s="357">
        <v>4.2839999999999998</v>
      </c>
      <c r="Q96" s="357">
        <v>2.23</v>
      </c>
      <c r="R96" s="69">
        <f t="shared" si="219"/>
        <v>2.7600000000000002</v>
      </c>
      <c r="S96" s="357">
        <v>4.99</v>
      </c>
      <c r="T96" s="357">
        <v>3.8130000000000002</v>
      </c>
      <c r="U96" s="69">
        <f t="shared" si="220"/>
        <v>4.3419999999999987</v>
      </c>
      <c r="V96" s="357">
        <v>8.1549999999999994</v>
      </c>
      <c r="W96" s="393">
        <v>4.6280000000000001</v>
      </c>
      <c r="X96" s="69">
        <f t="shared" si="221"/>
        <v>7.7149999999999999</v>
      </c>
      <c r="Y96" s="357">
        <v>12.343</v>
      </c>
      <c r="Z96" s="393">
        <v>6.9379999999999997</v>
      </c>
      <c r="AA96" s="69">
        <f t="shared" si="222"/>
        <v>6.8880000000000008</v>
      </c>
      <c r="AB96" s="357">
        <v>13.826000000000001</v>
      </c>
      <c r="AC96" s="393">
        <v>8.4890000000000008</v>
      </c>
      <c r="AD96" s="69">
        <f t="shared" si="223"/>
        <v>8.320999999999998</v>
      </c>
      <c r="AE96" s="357">
        <v>16.809999999999999</v>
      </c>
      <c r="AF96" s="393">
        <v>6.6840000000000002</v>
      </c>
      <c r="AG96" s="69">
        <f t="shared" si="224"/>
        <v>6.5409999999999995</v>
      </c>
      <c r="AH96" s="357">
        <v>13.225</v>
      </c>
      <c r="AI96" s="318"/>
      <c r="AJ96" s="69"/>
      <c r="AK96" s="318"/>
      <c r="AL96" s="318"/>
      <c r="AM96" s="318"/>
    </row>
    <row r="97" spans="1:39">
      <c r="B97" s="104" t="s">
        <v>1164</v>
      </c>
      <c r="C97" s="238" t="s">
        <v>1152</v>
      </c>
      <c r="D97" s="380"/>
      <c r="E97" s="23"/>
      <c r="F97" s="23"/>
      <c r="G97" s="357"/>
      <c r="H97" s="355"/>
      <c r="I97" s="23"/>
      <c r="J97" s="357">
        <v>4.2999999999999997E-2</v>
      </c>
      <c r="K97" s="357">
        <v>1.7000000000000001E-2</v>
      </c>
      <c r="L97" s="69">
        <f t="shared" si="217"/>
        <v>1.4999999999999999E-2</v>
      </c>
      <c r="M97" s="357">
        <v>3.2000000000000001E-2</v>
      </c>
      <c r="N97" s="357">
        <v>1.7999999999999999E-2</v>
      </c>
      <c r="O97" s="69">
        <f t="shared" ref="O97" si="225">+P97-N97</f>
        <v>1.6000000000000004E-2</v>
      </c>
      <c r="P97" s="357">
        <v>3.4000000000000002E-2</v>
      </c>
      <c r="Q97" s="357">
        <v>0.02</v>
      </c>
      <c r="R97" s="69">
        <f t="shared" ref="R97" si="226">+S97-Q97</f>
        <v>1.6999999999999998E-2</v>
      </c>
      <c r="S97" s="357">
        <v>3.6999999999999998E-2</v>
      </c>
      <c r="T97" s="357">
        <v>5.0000000000000001E-3</v>
      </c>
      <c r="U97" s="69">
        <f t="shared" ref="U97" si="227">+V97-T97</f>
        <v>1.0999999999999999E-2</v>
      </c>
      <c r="V97" s="357">
        <v>1.6E-2</v>
      </c>
      <c r="W97" s="393">
        <v>2.1000000000000001E-2</v>
      </c>
      <c r="X97" s="69">
        <f t="shared" ref="X97" si="228">+Y97-W97</f>
        <v>1.0999999999999999E-2</v>
      </c>
      <c r="Y97" s="357">
        <v>3.2000000000000001E-2</v>
      </c>
      <c r="Z97" s="393">
        <v>1.2E-2</v>
      </c>
      <c r="AA97" s="69">
        <f t="shared" si="222"/>
        <v>0.6</v>
      </c>
      <c r="AB97" s="357">
        <v>0.61199999999999999</v>
      </c>
      <c r="AC97" s="393">
        <v>0.89400000000000002</v>
      </c>
      <c r="AD97" s="69">
        <f t="shared" si="223"/>
        <v>0.88400000000000001</v>
      </c>
      <c r="AE97" s="357">
        <v>1.778</v>
      </c>
      <c r="AF97" s="393">
        <v>0.76300000000000001</v>
      </c>
      <c r="AG97" s="69">
        <f t="shared" si="224"/>
        <v>0.73899999999999999</v>
      </c>
      <c r="AH97" s="357">
        <v>1.502</v>
      </c>
      <c r="AI97" s="318"/>
      <c r="AJ97" s="69"/>
      <c r="AK97" s="318"/>
      <c r="AL97" s="318"/>
      <c r="AM97" s="318"/>
    </row>
    <row r="98" spans="1:39">
      <c r="B98" s="105" t="s">
        <v>361</v>
      </c>
      <c r="C98" s="240" t="s">
        <v>1152</v>
      </c>
      <c r="D98" s="381"/>
      <c r="E98" s="74"/>
      <c r="F98" s="74"/>
      <c r="G98" s="342"/>
      <c r="H98" s="342"/>
      <c r="I98" s="27"/>
      <c r="J98" s="381">
        <f t="shared" ref="J98" si="229">SUM(J94:J96)</f>
        <v>50.106999999999999</v>
      </c>
      <c r="K98" s="342">
        <f t="shared" ref="K98:Y98" si="230">SUM(K94:K97)</f>
        <v>30.254999999999999</v>
      </c>
      <c r="L98" s="479">
        <f t="shared" si="230"/>
        <v>32.343999999999994</v>
      </c>
      <c r="M98" s="381">
        <f t="shared" si="230"/>
        <v>62.598999999999997</v>
      </c>
      <c r="N98" s="342">
        <f t="shared" si="230"/>
        <v>33.317999999999998</v>
      </c>
      <c r="O98" s="479">
        <f t="shared" si="230"/>
        <v>29.792000000000002</v>
      </c>
      <c r="P98" s="381">
        <f t="shared" si="230"/>
        <v>63.11</v>
      </c>
      <c r="Q98" s="342">
        <f t="shared" si="230"/>
        <v>29.166</v>
      </c>
      <c r="R98" s="479">
        <f t="shared" si="230"/>
        <v>32.894000000000005</v>
      </c>
      <c r="S98" s="381">
        <f t="shared" si="230"/>
        <v>62.06</v>
      </c>
      <c r="T98" s="342">
        <f t="shared" si="230"/>
        <v>33.257000000000005</v>
      </c>
      <c r="U98" s="479">
        <f t="shared" si="230"/>
        <v>36.783000000000001</v>
      </c>
      <c r="V98" s="381">
        <f t="shared" si="230"/>
        <v>70.040000000000006</v>
      </c>
      <c r="W98" s="342">
        <f t="shared" si="230"/>
        <v>46.465000000000003</v>
      </c>
      <c r="X98" s="479">
        <f t="shared" si="230"/>
        <v>48.591000000000001</v>
      </c>
      <c r="Y98" s="342">
        <f t="shared" si="230"/>
        <v>95.055999999999997</v>
      </c>
      <c r="Z98" s="342">
        <f>SUM(Z94:Z97)</f>
        <v>52.675000000000004</v>
      </c>
      <c r="AA98" s="479">
        <f t="shared" ref="AA98" si="231">SUM(AA94:AA97)</f>
        <v>53.830000000000005</v>
      </c>
      <c r="AB98" s="342">
        <f t="shared" ref="AB98" si="232">SUM(AB94:AB97)</f>
        <v>106.505</v>
      </c>
      <c r="AC98" s="342">
        <f>SUM(AC94:AC97)</f>
        <v>55.032999999999994</v>
      </c>
      <c r="AD98" s="479">
        <f t="shared" ref="AD98" si="233">SUM(AD94:AD97)</f>
        <v>55.331000000000003</v>
      </c>
      <c r="AE98" s="342">
        <f t="shared" ref="AE98" si="234">SUM(AE94:AE97)</f>
        <v>110.36400000000002</v>
      </c>
      <c r="AF98" s="342">
        <f>SUM(AF94:AF97)</f>
        <v>57.809999999999995</v>
      </c>
      <c r="AG98" s="479">
        <f t="shared" ref="AG98:AH98" si="235">SUM(AG94:AG97)</f>
        <v>59.69</v>
      </c>
      <c r="AH98" s="342">
        <f t="shared" si="235"/>
        <v>117.49999999999999</v>
      </c>
      <c r="AI98" s="342"/>
      <c r="AJ98" s="74"/>
      <c r="AK98" s="342"/>
      <c r="AL98" s="342"/>
      <c r="AM98" s="342"/>
    </row>
    <row r="99" spans="1:39">
      <c r="B99" s="25" t="s">
        <v>390</v>
      </c>
      <c r="C99" s="241"/>
      <c r="D99" s="377"/>
      <c r="G99" s="370"/>
      <c r="H99" s="370"/>
      <c r="J99" s="378">
        <f t="shared" ref="J99:Z99" si="236">+J98-J68</f>
        <v>-4.2999999999999261E-2</v>
      </c>
      <c r="K99" s="477">
        <f t="shared" si="236"/>
        <v>0</v>
      </c>
      <c r="L99" s="478">
        <f t="shared" si="236"/>
        <v>0</v>
      </c>
      <c r="M99" s="378">
        <f t="shared" si="236"/>
        <v>0</v>
      </c>
      <c r="N99" s="477">
        <f t="shared" si="236"/>
        <v>-1.0000000000005116E-2</v>
      </c>
      <c r="O99" s="478">
        <f t="shared" si="236"/>
        <v>1.0000000000005116E-2</v>
      </c>
      <c r="P99" s="378">
        <f t="shared" si="236"/>
        <v>0</v>
      </c>
      <c r="Q99" s="477">
        <f t="shared" si="236"/>
        <v>0</v>
      </c>
      <c r="R99" s="478">
        <f t="shared" si="236"/>
        <v>0</v>
      </c>
      <c r="S99" s="378">
        <f t="shared" si="236"/>
        <v>0</v>
      </c>
      <c r="T99" s="477">
        <f t="shared" si="236"/>
        <v>0</v>
      </c>
      <c r="U99" s="478">
        <f t="shared" si="236"/>
        <v>0</v>
      </c>
      <c r="V99" s="378">
        <f t="shared" si="236"/>
        <v>0</v>
      </c>
      <c r="W99" s="477">
        <f t="shared" si="236"/>
        <v>0</v>
      </c>
      <c r="X99" s="478">
        <f t="shared" si="236"/>
        <v>0</v>
      </c>
      <c r="Y99" s="208">
        <f t="shared" si="236"/>
        <v>0</v>
      </c>
      <c r="Z99" s="477">
        <f t="shared" si="236"/>
        <v>0</v>
      </c>
      <c r="AA99" s="478">
        <f t="shared" ref="AA99" si="237">+AA98-AA68</f>
        <v>0</v>
      </c>
      <c r="AB99" s="208">
        <f t="shared" ref="AB99:AD99" si="238">+AB98-AB68</f>
        <v>0</v>
      </c>
      <c r="AC99" s="477">
        <f t="shared" si="238"/>
        <v>0</v>
      </c>
      <c r="AD99" s="478">
        <f t="shared" si="238"/>
        <v>-3.6000000000001364E-2</v>
      </c>
      <c r="AE99" s="378">
        <f t="shared" ref="AE99:AG99" si="239">+AE98-AE68</f>
        <v>-3.5999999999987153E-2</v>
      </c>
      <c r="AF99" s="477">
        <f t="shared" si="239"/>
        <v>2.6999999999993918E-2</v>
      </c>
      <c r="AG99" s="478">
        <f t="shared" si="239"/>
        <v>-2.7000000000001023E-2</v>
      </c>
      <c r="AH99" s="378">
        <f t="shared" ref="AH99" si="240">+AH98-AH68</f>
        <v>0</v>
      </c>
      <c r="AI99" s="370"/>
      <c r="AK99" s="370"/>
      <c r="AL99" s="370"/>
      <c r="AM99" s="370"/>
    </row>
    <row r="100" spans="1:39" s="28" customFormat="1">
      <c r="A100" s="217"/>
      <c r="C100" s="238"/>
      <c r="D100" s="377"/>
      <c r="E100" s="25"/>
      <c r="F100" s="25"/>
      <c r="G100" s="370"/>
      <c r="H100" s="370"/>
      <c r="I100" s="25"/>
      <c r="J100" s="377"/>
      <c r="M100" s="377"/>
      <c r="P100" s="377"/>
      <c r="S100" s="377"/>
      <c r="V100" s="377"/>
      <c r="Y100" s="377"/>
      <c r="AB100" s="377"/>
      <c r="AE100" s="377"/>
      <c r="AH100" s="377"/>
    </row>
    <row r="101" spans="1:39" s="28" customFormat="1">
      <c r="A101" s="217"/>
      <c r="B101" s="28" t="str">
        <f>+B94</f>
        <v>Australia</v>
      </c>
      <c r="C101" s="238" t="s">
        <v>1104</v>
      </c>
      <c r="D101" s="377"/>
      <c r="E101" s="25"/>
      <c r="F101" s="25"/>
      <c r="G101" s="370"/>
      <c r="H101" s="370"/>
      <c r="I101" s="25"/>
      <c r="J101" s="400">
        <f>+J94/J$98</f>
        <v>0.78154748837487775</v>
      </c>
      <c r="K101" s="64">
        <f>+K94/K$98</f>
        <v>0.78998512642538421</v>
      </c>
      <c r="L101" s="64">
        <f t="shared" ref="L101" si="241">+L94/L$98</f>
        <v>0.79922087558743515</v>
      </c>
      <c r="M101" s="400">
        <f>+M94/M$98</f>
        <v>0.79475710474608219</v>
      </c>
      <c r="N101" s="64">
        <f>+N94/N$98</f>
        <v>0.80485023110630893</v>
      </c>
      <c r="O101" s="64">
        <f t="shared" ref="O101" si="242">+O94/O$98</f>
        <v>0.79403866809881851</v>
      </c>
      <c r="P101" s="400">
        <f>+P94/P$98</f>
        <v>0.79974647440976077</v>
      </c>
      <c r="Q101" s="64">
        <f>+Q94/Q$98</f>
        <v>0.78094356442432977</v>
      </c>
      <c r="R101" s="64">
        <f t="shared" ref="R101" si="243">+R94/R$98</f>
        <v>0.78585760321031184</v>
      </c>
      <c r="S101" s="400">
        <f t="shared" ref="S101:T105" si="244">+S94/S$98</f>
        <v>0.78354817918143738</v>
      </c>
      <c r="T101" s="64">
        <f t="shared" si="244"/>
        <v>0.75987010253480458</v>
      </c>
      <c r="U101" s="64">
        <f t="shared" ref="U101:X101" si="245">+U94/U$98</f>
        <v>0.74545306255607213</v>
      </c>
      <c r="V101" s="400">
        <f>+V94/V$98</f>
        <v>0.75229868646487719</v>
      </c>
      <c r="W101" s="64">
        <f t="shared" si="245"/>
        <v>0.80436887980200145</v>
      </c>
      <c r="X101" s="64">
        <f t="shared" si="245"/>
        <v>0.73723529048589231</v>
      </c>
      <c r="Y101" s="400">
        <f>+Y94/Y$98</f>
        <v>0.77005133815855908</v>
      </c>
      <c r="Z101" s="64">
        <f t="shared" ref="Z101:AA101" si="246">+Z94/Z$98</f>
        <v>0.76934029425723771</v>
      </c>
      <c r="AA101" s="64">
        <f t="shared" si="246"/>
        <v>0.74820731933865869</v>
      </c>
      <c r="AB101" s="400">
        <f>+AB94/AB$98</f>
        <v>0.758659217877095</v>
      </c>
      <c r="AC101" s="64">
        <f t="shared" ref="AC101:AD101" si="247">+AC94/AC$98</f>
        <v>0.73759380735195257</v>
      </c>
      <c r="AD101" s="64">
        <f t="shared" si="247"/>
        <v>0.72525347454410738</v>
      </c>
      <c r="AE101" s="400">
        <f>+AE94/AE$98</f>
        <v>0.7314069805371316</v>
      </c>
      <c r="AF101" s="64">
        <f t="shared" ref="AF101:AG101" si="248">+AF94/AF$98</f>
        <v>0.77377616329354793</v>
      </c>
      <c r="AG101" s="64">
        <f t="shared" si="248"/>
        <v>0.76955939018261021</v>
      </c>
      <c r="AH101" s="400">
        <f>+AH94/AH$98</f>
        <v>0.77163404255319157</v>
      </c>
    </row>
    <row r="102" spans="1:39" s="28" customFormat="1">
      <c r="A102" s="217"/>
      <c r="B102" s="28" t="str">
        <f t="shared" ref="B102:B104" si="249">+B95</f>
        <v>United Kingdom</v>
      </c>
      <c r="C102" s="238" t="s">
        <v>1104</v>
      </c>
      <c r="D102" s="377"/>
      <c r="E102" s="25"/>
      <c r="F102" s="25"/>
      <c r="G102" s="370"/>
      <c r="H102" s="370"/>
      <c r="I102" s="25"/>
      <c r="J102" s="400">
        <f t="shared" ref="J102" si="250">+J95/J$98</f>
        <v>0.16071606761530327</v>
      </c>
      <c r="K102" s="64">
        <f>+K95/K$98</f>
        <v>0.12272351677408694</v>
      </c>
      <c r="L102" s="64">
        <f>+L95/L$98</f>
        <v>0.1257111056146426</v>
      </c>
      <c r="M102" s="400">
        <f>+M95/M$98</f>
        <v>0.12426716081726545</v>
      </c>
      <c r="N102" s="64">
        <f>+N95/N$98</f>
        <v>0.12923945014706767</v>
      </c>
      <c r="O102" s="64">
        <f>+O95/O$98</f>
        <v>0.13473415682062298</v>
      </c>
      <c r="P102" s="400">
        <f>+P95/P$98</f>
        <v>0.13183330692441769</v>
      </c>
      <c r="Q102" s="64">
        <f>+Q95/Q$98</f>
        <v>0.14191181512720291</v>
      </c>
      <c r="R102" s="64">
        <f>+R95/R$98</f>
        <v>0.12971970572140815</v>
      </c>
      <c r="S102" s="400">
        <f t="shared" si="244"/>
        <v>0.1354495649371576</v>
      </c>
      <c r="T102" s="64">
        <f t="shared" si="244"/>
        <v>0.12532699882731455</v>
      </c>
      <c r="U102" s="64">
        <f>+U95/U$98</f>
        <v>0.1362042247777506</v>
      </c>
      <c r="V102" s="400">
        <f>+V95/V$98</f>
        <v>0.13103940605368361</v>
      </c>
      <c r="W102" s="64">
        <f t="shared" ref="W102:X105" si="251">+W95/W$98</f>
        <v>9.5577316259550182E-2</v>
      </c>
      <c r="X102" s="64">
        <f t="shared" si="251"/>
        <v>0.10376407153588114</v>
      </c>
      <c r="Y102" s="400">
        <f>+Y95/Y$98</f>
        <v>9.9762245413230102E-2</v>
      </c>
      <c r="Z102" s="64">
        <f t="shared" ref="Z102:AA102" si="252">+Z95/Z$98</f>
        <v>9.8718557190317982E-2</v>
      </c>
      <c r="AA102" s="64">
        <f t="shared" si="252"/>
        <v>0.11268809214192828</v>
      </c>
      <c r="AB102" s="400">
        <f>+AB95/AB$98</f>
        <v>0.10577907140509836</v>
      </c>
      <c r="AC102" s="64">
        <f t="shared" ref="AC102:AD102" si="253">+AC95/AC$98</f>
        <v>9.1908491268875042E-2</v>
      </c>
      <c r="AD102" s="64">
        <f t="shared" si="253"/>
        <v>0.10838408848565903</v>
      </c>
      <c r="AE102" s="400">
        <f>+AE95/AE$98</f>
        <v>0.10016853321735346</v>
      </c>
      <c r="AF102" s="64">
        <f t="shared" ref="AF102:AG102" si="254">+AF95/AF$98</f>
        <v>9.7405293201868207E-2</v>
      </c>
      <c r="AG102" s="64">
        <f t="shared" si="254"/>
        <v>0.10847713184788071</v>
      </c>
      <c r="AH102" s="400">
        <f>+AH95/AH$98</f>
        <v>0.10302978723404256</v>
      </c>
    </row>
    <row r="103" spans="1:39" s="28" customFormat="1">
      <c r="A103" s="217"/>
      <c r="B103" s="28" t="str">
        <f t="shared" si="249"/>
        <v>New Zealand</v>
      </c>
      <c r="C103" s="238" t="s">
        <v>1104</v>
      </c>
      <c r="D103" s="377"/>
      <c r="E103" s="25"/>
      <c r="F103" s="25"/>
      <c r="G103" s="370"/>
      <c r="H103" s="370"/>
      <c r="I103" s="25"/>
      <c r="J103" s="400">
        <f t="shared" ref="J103:K104" si="255">+J96/J$98</f>
        <v>5.7736444009818984E-2</v>
      </c>
      <c r="K103" s="64">
        <f t="shared" si="255"/>
        <v>8.6729466203933236E-2</v>
      </c>
      <c r="L103" s="64">
        <f t="shared" ref="L103" si="256">+L96/L$98</f>
        <v>7.4604254266633696E-2</v>
      </c>
      <c r="M103" s="400">
        <f>+M96/M$98</f>
        <v>8.0464544162047319E-2</v>
      </c>
      <c r="N103" s="64">
        <f t="shared" ref="N103:O104" si="257">+N96/N$98</f>
        <v>6.5370070232306857E-2</v>
      </c>
      <c r="O103" s="64">
        <f t="shared" si="257"/>
        <v>7.0690118152524156E-2</v>
      </c>
      <c r="P103" s="400">
        <f>+P96/P$98</f>
        <v>6.7881476786563144E-2</v>
      </c>
      <c r="Q103" s="64">
        <f t="shared" ref="Q103:R104" si="258">+Q96/Q$98</f>
        <v>7.6458890488925457E-2</v>
      </c>
      <c r="R103" s="64">
        <f t="shared" si="258"/>
        <v>8.3905879491700613E-2</v>
      </c>
      <c r="S103" s="400">
        <f t="shared" si="244"/>
        <v>8.0406058652916529E-2</v>
      </c>
      <c r="T103" s="64">
        <f t="shared" si="244"/>
        <v>0.11465255434946026</v>
      </c>
      <c r="U103" s="64">
        <f>+U96/U$98</f>
        <v>0.11804366147405047</v>
      </c>
      <c r="V103" s="400">
        <f>+V96/V$98</f>
        <v>0.11643346659051969</v>
      </c>
      <c r="W103" s="64">
        <f t="shared" si="251"/>
        <v>9.9601850855482621E-2</v>
      </c>
      <c r="X103" s="64">
        <f t="shared" si="251"/>
        <v>0.15877425860756106</v>
      </c>
      <c r="Y103" s="400">
        <f>+Y96/Y$98</f>
        <v>0.1298497727655277</v>
      </c>
      <c r="Z103" s="64">
        <f t="shared" ref="Z103:AA104" si="259">+Z96/Z$98</f>
        <v>0.13171333649738964</v>
      </c>
      <c r="AA103" s="64">
        <f t="shared" si="259"/>
        <v>0.12795838751625488</v>
      </c>
      <c r="AB103" s="400">
        <f>+AB96/AB$98</f>
        <v>0.12981550161964228</v>
      </c>
      <c r="AC103" s="64">
        <f t="shared" ref="AC103:AD103" si="260">+AC96/AC$98</f>
        <v>0.15425290280377232</v>
      </c>
      <c r="AD103" s="64">
        <f t="shared" si="260"/>
        <v>0.15038585964468376</v>
      </c>
      <c r="AE103" s="400">
        <f>+AE96/AE$98</f>
        <v>0.15231416041462792</v>
      </c>
      <c r="AF103" s="64">
        <f t="shared" ref="AF103:AG103" si="261">+AF96/AF$98</f>
        <v>0.11562013492475351</v>
      </c>
      <c r="AG103" s="64">
        <f t="shared" si="261"/>
        <v>0.10958284469760428</v>
      </c>
      <c r="AH103" s="400">
        <f>+AH96/AH$98</f>
        <v>0.11255319148936171</v>
      </c>
    </row>
    <row r="104" spans="1:39" s="28" customFormat="1">
      <c r="A104" s="217"/>
      <c r="B104" s="28" t="str">
        <f t="shared" si="249"/>
        <v>Rest of the world</v>
      </c>
      <c r="C104" s="238" t="s">
        <v>1104</v>
      </c>
      <c r="D104" s="377"/>
      <c r="E104" s="25"/>
      <c r="F104" s="25"/>
      <c r="G104" s="370"/>
      <c r="H104" s="370"/>
      <c r="I104" s="25"/>
      <c r="J104" s="400">
        <f t="shared" si="255"/>
        <v>8.581635300457021E-4</v>
      </c>
      <c r="K104" s="64">
        <f t="shared" si="255"/>
        <v>5.6189059659560408E-4</v>
      </c>
      <c r="L104" s="64">
        <f t="shared" ref="L104" si="262">+L97/L$98</f>
        <v>4.6376453128864711E-4</v>
      </c>
      <c r="M104" s="400">
        <f>+M97/M$98</f>
        <v>5.1119027460502569E-4</v>
      </c>
      <c r="N104" s="64">
        <f t="shared" si="257"/>
        <v>5.4024851431658564E-4</v>
      </c>
      <c r="O104" s="64">
        <f t="shared" si="257"/>
        <v>5.3705692803437174E-4</v>
      </c>
      <c r="P104" s="400">
        <f>+P97/P$98</f>
        <v>5.3874187925843768E-4</v>
      </c>
      <c r="Q104" s="64">
        <f t="shared" si="258"/>
        <v>6.8572995954193239E-4</v>
      </c>
      <c r="R104" s="64">
        <f t="shared" si="258"/>
        <v>5.1681157657931527E-4</v>
      </c>
      <c r="S104" s="400">
        <f t="shared" si="244"/>
        <v>5.9619722848855937E-4</v>
      </c>
      <c r="T104" s="64">
        <f t="shared" si="244"/>
        <v>1.5034428842048287E-4</v>
      </c>
      <c r="U104" s="64">
        <f>+U97/U$98</f>
        <v>2.990511921267977E-4</v>
      </c>
      <c r="V104" s="400">
        <f>+V97/V$98</f>
        <v>2.2844089091947456E-4</v>
      </c>
      <c r="W104" s="64">
        <f t="shared" si="251"/>
        <v>4.5195308296567307E-4</v>
      </c>
      <c r="X104" s="64">
        <f t="shared" si="251"/>
        <v>2.2637937066534954E-4</v>
      </c>
      <c r="Y104" s="400">
        <f>+Y97/Y$98</f>
        <v>3.3664366268305E-4</v>
      </c>
      <c r="Z104" s="64">
        <f t="shared" si="259"/>
        <v>2.2781205505457996E-4</v>
      </c>
      <c r="AA104" s="64">
        <f t="shared" si="259"/>
        <v>1.1146201003158088E-2</v>
      </c>
      <c r="AB104" s="400">
        <f>+AB97/AB$98</f>
        <v>5.7462090981644058E-3</v>
      </c>
      <c r="AC104" s="64">
        <f t="shared" ref="AC104:AD104" si="263">+AC97/AC$98</f>
        <v>1.6244798575400215E-2</v>
      </c>
      <c r="AD104" s="64">
        <f t="shared" si="263"/>
        <v>1.5976577325549871E-2</v>
      </c>
      <c r="AE104" s="400">
        <f>+AE97/AE$98</f>
        <v>1.6110325830886882E-2</v>
      </c>
      <c r="AF104" s="64">
        <f t="shared" ref="AF104:AG104" si="264">+AF97/AF$98</f>
        <v>1.3198408579830481E-2</v>
      </c>
      <c r="AG104" s="64">
        <f t="shared" si="264"/>
        <v>1.2380633271904843E-2</v>
      </c>
      <c r="AH104" s="400">
        <f>+AH97/AH$98</f>
        <v>1.2782978723404257E-2</v>
      </c>
    </row>
    <row r="105" spans="1:39" s="28" customFormat="1">
      <c r="A105" s="217"/>
      <c r="B105" s="32" t="s">
        <v>361</v>
      </c>
      <c r="C105" s="240" t="s">
        <v>1104</v>
      </c>
      <c r="D105" s="377"/>
      <c r="E105" s="25"/>
      <c r="F105" s="25"/>
      <c r="G105" s="370"/>
      <c r="H105" s="370"/>
      <c r="I105" s="25"/>
      <c r="J105" s="401">
        <f t="shared" ref="J105:K105" si="265">+J98/J$98</f>
        <v>1</v>
      </c>
      <c r="K105" s="66">
        <f t="shared" si="265"/>
        <v>1</v>
      </c>
      <c r="L105" s="66">
        <f t="shared" ref="L105" si="266">+L98/L$98</f>
        <v>1</v>
      </c>
      <c r="M105" s="401">
        <f>+M98/M$98</f>
        <v>1</v>
      </c>
      <c r="N105" s="66">
        <f t="shared" ref="N105:O105" si="267">+N98/N$98</f>
        <v>1</v>
      </c>
      <c r="O105" s="66">
        <f t="shared" si="267"/>
        <v>1</v>
      </c>
      <c r="P105" s="401">
        <f>+P98/P$98</f>
        <v>1</v>
      </c>
      <c r="Q105" s="66">
        <f t="shared" ref="Q105:R105" si="268">+Q98/Q$98</f>
        <v>1</v>
      </c>
      <c r="R105" s="66">
        <f t="shared" si="268"/>
        <v>1</v>
      </c>
      <c r="S105" s="401">
        <f t="shared" si="244"/>
        <v>1</v>
      </c>
      <c r="T105" s="66">
        <f t="shared" si="244"/>
        <v>1</v>
      </c>
      <c r="U105" s="66">
        <f>+U98/U$98</f>
        <v>1</v>
      </c>
      <c r="V105" s="401">
        <f>+V98/V$98</f>
        <v>1</v>
      </c>
      <c r="W105" s="66">
        <f t="shared" si="251"/>
        <v>1</v>
      </c>
      <c r="X105" s="66">
        <f t="shared" si="251"/>
        <v>1</v>
      </c>
      <c r="Y105" s="401">
        <f>+Y98/Y$98</f>
        <v>1</v>
      </c>
      <c r="Z105" s="66">
        <f t="shared" ref="Z105:AA105" si="269">+Z98/Z$98</f>
        <v>1</v>
      </c>
      <c r="AA105" s="66">
        <f t="shared" si="269"/>
        <v>1</v>
      </c>
      <c r="AB105" s="401">
        <f>+AB98/AB$98</f>
        <v>1</v>
      </c>
      <c r="AC105" s="66">
        <f t="shared" ref="AC105:AD105" si="270">+AC98/AC$98</f>
        <v>1</v>
      </c>
      <c r="AD105" s="66">
        <f t="shared" si="270"/>
        <v>1</v>
      </c>
      <c r="AE105" s="401">
        <f>+AE98/AE$98</f>
        <v>1</v>
      </c>
      <c r="AF105" s="66">
        <f t="shared" ref="AF105:AG105" si="271">+AF98/AF$98</f>
        <v>1</v>
      </c>
      <c r="AG105" s="66">
        <f t="shared" si="271"/>
        <v>1</v>
      </c>
      <c r="AH105" s="401">
        <f>+AH98/AH$98</f>
        <v>1</v>
      </c>
    </row>
    <row r="106" spans="1:39" s="28" customFormat="1">
      <c r="A106" s="217"/>
      <c r="C106" s="238"/>
    </row>
    <row r="107" spans="1:39" s="28" customFormat="1">
      <c r="A107" s="217"/>
      <c r="C107" s="238"/>
    </row>
    <row r="108" spans="1:39" s="28" customFormat="1">
      <c r="A108" s="217"/>
      <c r="C108" s="238"/>
    </row>
    <row r="109" spans="1:39" s="28" customFormat="1">
      <c r="A109" s="217"/>
      <c r="C109" s="238"/>
    </row>
    <row r="110" spans="1:39" s="28" customFormat="1">
      <c r="A110" s="217"/>
      <c r="C110" s="238"/>
    </row>
    <row r="111" spans="1:39" s="28" customFormat="1">
      <c r="A111" s="217"/>
      <c r="C111" s="238"/>
    </row>
    <row r="112" spans="1:39" s="28" customFormat="1">
      <c r="A112" s="217"/>
      <c r="C112" s="238"/>
    </row>
    <row r="113" spans="1:3" s="28" customFormat="1">
      <c r="A113" s="217"/>
      <c r="C113" s="238"/>
    </row>
    <row r="114" spans="1:3" s="28" customFormat="1">
      <c r="A114" s="217"/>
      <c r="C114" s="238"/>
    </row>
    <row r="115" spans="1:3" s="28" customFormat="1">
      <c r="A115" s="217"/>
      <c r="C115" s="238"/>
    </row>
    <row r="116" spans="1:3" s="28" customFormat="1">
      <c r="A116" s="217"/>
      <c r="C116" s="238"/>
    </row>
    <row r="117" spans="1:3" s="28" customFormat="1">
      <c r="A117" s="217"/>
      <c r="C117" s="238"/>
    </row>
    <row r="118" spans="1:3" s="28" customFormat="1">
      <c r="A118" s="217"/>
      <c r="C118" s="238"/>
    </row>
    <row r="119" spans="1:3" s="28" customFormat="1">
      <c r="A119" s="217"/>
      <c r="C119" s="238"/>
    </row>
    <row r="120" spans="1:3" s="28" customFormat="1">
      <c r="A120" s="217"/>
      <c r="C120" s="238"/>
    </row>
    <row r="121" spans="1:3" s="28" customFormat="1">
      <c r="A121" s="217"/>
      <c r="C121" s="238"/>
    </row>
    <row r="122" spans="1:3" s="28" customFormat="1">
      <c r="A122" s="217"/>
    </row>
    <row r="123" spans="1:3" s="28" customFormat="1">
      <c r="A123" s="217"/>
    </row>
    <row r="124" spans="1:3" s="28" customFormat="1">
      <c r="A124" s="217"/>
    </row>
    <row r="125" spans="1:3" s="28" customFormat="1">
      <c r="A125" s="217"/>
    </row>
    <row r="126" spans="1:3" s="28" customFormat="1">
      <c r="A126" s="217"/>
    </row>
    <row r="127" spans="1:3" s="28" customFormat="1">
      <c r="A127" s="217"/>
    </row>
    <row r="128" spans="1:3" s="28" customFormat="1">
      <c r="A128" s="217"/>
    </row>
    <row r="129" spans="1:1" s="28" customFormat="1">
      <c r="A129" s="217"/>
    </row>
    <row r="130" spans="1:1" s="28" customFormat="1">
      <c r="A130" s="217"/>
    </row>
    <row r="131" spans="1:1" s="28" customFormat="1">
      <c r="A131" s="217"/>
    </row>
    <row r="132" spans="1:1" s="28" customFormat="1">
      <c r="A132" s="217"/>
    </row>
    <row r="133" spans="1:1" s="28" customFormat="1">
      <c r="A133" s="217"/>
    </row>
    <row r="134" spans="1:1" s="28" customFormat="1">
      <c r="A134" s="217"/>
    </row>
    <row r="135" spans="1:1" s="28" customFormat="1">
      <c r="A135" s="217"/>
    </row>
    <row r="136" spans="1:1" s="28" customFormat="1">
      <c r="A136" s="217"/>
    </row>
    <row r="137" spans="1:1" s="28" customFormat="1">
      <c r="A137" s="217"/>
    </row>
    <row r="138" spans="1:1" s="28" customFormat="1">
      <c r="A138" s="217"/>
    </row>
    <row r="139" spans="1:1" s="28" customFormat="1">
      <c r="A139" s="217"/>
    </row>
    <row r="140" spans="1:1" s="28" customFormat="1">
      <c r="A140" s="217"/>
    </row>
    <row r="141" spans="1:1" s="28" customFormat="1">
      <c r="A141" s="217"/>
    </row>
    <row r="142" spans="1:1" s="28" customFormat="1">
      <c r="A142" s="217"/>
    </row>
    <row r="143" spans="1:1" s="28" customFormat="1">
      <c r="A143" s="217"/>
    </row>
    <row r="144" spans="1:1" s="28" customFormat="1">
      <c r="A144" s="217"/>
    </row>
    <row r="145" spans="1:1" s="28" customFormat="1">
      <c r="A145" s="217"/>
    </row>
    <row r="146" spans="1:1" s="28" customFormat="1">
      <c r="A146" s="217"/>
    </row>
    <row r="147" spans="1:1" s="28" customFormat="1">
      <c r="A147" s="217"/>
    </row>
    <row r="148" spans="1:1" s="28" customFormat="1">
      <c r="A148" s="217"/>
    </row>
    <row r="149" spans="1:1" s="28" customFormat="1">
      <c r="A149" s="217"/>
    </row>
    <row r="150" spans="1:1" s="28" customFormat="1">
      <c r="A150" s="217"/>
    </row>
    <row r="151" spans="1:1" s="28" customFormat="1">
      <c r="A151" s="217"/>
    </row>
    <row r="152" spans="1:1" s="28" customFormat="1">
      <c r="A152" s="217"/>
    </row>
  </sheetData>
  <phoneticPr fontId="0" type="noConversion"/>
  <pageMargins left="0.74803149606299202" right="0.74803149606299202" top="0.39370078740157499" bottom="0.98425196850393704" header="0.35433070866141703" footer="0.511811023622047"/>
  <pageSetup paperSize="187" scale="10" orientation="landscape" r:id="rId1"/>
  <headerFooter alignWithMargins="0">
    <oddFooter>&amp;L&amp;"Verdana,Bold"Goldman Sachs
CME Research&amp;R&amp;"Verdana,Bold"Christian Guerra
+613-9679-1302
christian.guerra@gs.com
Page &amp;P of &amp;N</oddFooter>
  </headerFooter>
  <customProperties>
    <customPr name="Qube.Worksheet.Visibility" r:id="rId2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5">
    <pageSetUpPr fitToPage="1"/>
  </sheetPr>
  <dimension ref="A1:M50"/>
  <sheetViews>
    <sheetView showGridLines="0" zoomScaleNormal="100" workbookViewId="0"/>
  </sheetViews>
  <sheetFormatPr defaultColWidth="9.140625" defaultRowHeight="12.75"/>
  <cols>
    <col min="1" max="1" width="2.7109375" style="109" customWidth="1"/>
    <col min="2" max="2" width="27.42578125" style="109" customWidth="1"/>
    <col min="3" max="3" width="15.140625" style="111" customWidth="1"/>
    <col min="4" max="4" width="12.42578125" style="111" customWidth="1"/>
    <col min="5" max="5" width="9.140625" style="111" customWidth="1"/>
    <col min="6" max="6" width="9.140625" style="109" customWidth="1"/>
    <col min="7" max="7" width="27.42578125" style="109" customWidth="1"/>
    <col min="8" max="8" width="15.140625" style="109" customWidth="1"/>
    <col min="9" max="9" width="12.42578125" style="109" customWidth="1"/>
    <col min="10" max="10" width="9.140625" style="109" customWidth="1"/>
    <col min="11" max="16384" width="9.140625" style="109"/>
  </cols>
  <sheetData>
    <row r="1" spans="1:13" s="117" customFormat="1">
      <c r="A1" s="109"/>
      <c r="B1" s="112"/>
      <c r="C1" s="113"/>
      <c r="D1" s="114"/>
      <c r="E1" s="115"/>
      <c r="F1" s="116"/>
    </row>
    <row r="2" spans="1:13" s="117" customFormat="1" ht="21.75" customHeight="1">
      <c r="A2" s="109"/>
      <c r="B2" s="453" t="s">
        <v>1149</v>
      </c>
      <c r="C2" s="124"/>
      <c r="D2" s="124"/>
      <c r="E2" s="125"/>
      <c r="F2" s="125"/>
      <c r="G2" s="125"/>
      <c r="H2" s="125"/>
      <c r="I2" s="125"/>
      <c r="J2" s="125"/>
    </row>
    <row r="3" spans="1:13" s="128" customFormat="1" ht="6.75" customHeight="1">
      <c r="A3" s="126"/>
      <c r="B3" s="127"/>
      <c r="C3" s="131"/>
      <c r="D3" s="121"/>
      <c r="E3" s="132"/>
      <c r="F3" s="129"/>
    </row>
    <row r="4" spans="1:13" s="120" customFormat="1" ht="15" customHeight="1">
      <c r="A4" s="118"/>
      <c r="B4" s="579" t="s">
        <v>1193</v>
      </c>
      <c r="C4" s="171" t="s">
        <v>2058</v>
      </c>
      <c r="D4" s="172" t="s">
        <v>1002</v>
      </c>
      <c r="E4" s="171" t="s">
        <v>896</v>
      </c>
      <c r="F4" s="119"/>
      <c r="G4"/>
      <c r="H4"/>
      <c r="I4"/>
      <c r="J4"/>
      <c r="K4"/>
      <c r="L4"/>
      <c r="M4"/>
    </row>
    <row r="5" spans="1:13" s="120" customFormat="1" ht="15" customHeight="1">
      <c r="A5" s="118"/>
      <c r="B5" s="579"/>
      <c r="C5" s="173" t="s">
        <v>1153</v>
      </c>
      <c r="D5" s="174" t="s">
        <v>1003</v>
      </c>
      <c r="E5" s="173" t="s">
        <v>1153</v>
      </c>
      <c r="F5" s="119"/>
      <c r="G5"/>
      <c r="H5"/>
      <c r="I5"/>
      <c r="J5"/>
      <c r="K5"/>
      <c r="L5"/>
      <c r="M5"/>
    </row>
    <row r="6" spans="1:13" s="126" customFormat="1" ht="18" customHeight="1">
      <c r="B6" s="441" t="s">
        <v>1148</v>
      </c>
      <c r="C6" s="585">
        <f>+MODEL!AT23</f>
        <v>55.154420032438225</v>
      </c>
      <c r="D6" s="564">
        <v>22</v>
      </c>
      <c r="E6" s="531">
        <f>+C6*D6</f>
        <v>1213.3972407136409</v>
      </c>
      <c r="F6" s="130"/>
      <c r="G6"/>
      <c r="H6"/>
      <c r="I6"/>
      <c r="J6"/>
      <c r="K6"/>
      <c r="L6"/>
      <c r="M6"/>
    </row>
    <row r="7" spans="1:13" s="126" customFormat="1" ht="18" customHeight="1">
      <c r="B7" s="443" t="s">
        <v>2059</v>
      </c>
      <c r="C7" s="444"/>
      <c r="D7" s="442"/>
      <c r="E7" s="522">
        <f>-MODEL!AP218</f>
        <v>95.978999999999999</v>
      </c>
      <c r="F7" s="127"/>
      <c r="G7"/>
      <c r="H7"/>
      <c r="I7"/>
      <c r="J7"/>
      <c r="K7"/>
      <c r="L7"/>
    </row>
    <row r="8" spans="1:13" s="126" customFormat="1" ht="18" customHeight="1">
      <c r="B8" s="443" t="s">
        <v>1001</v>
      </c>
      <c r="C8" s="442"/>
      <c r="D8" s="442"/>
      <c r="E8" s="523">
        <f>E6+SUM(E7:E7)</f>
        <v>1309.376240713641</v>
      </c>
      <c r="F8" s="127"/>
      <c r="G8"/>
      <c r="H8"/>
      <c r="I8"/>
      <c r="J8"/>
      <c r="K8"/>
      <c r="L8"/>
      <c r="M8"/>
    </row>
    <row r="9" spans="1:13" s="122" customFormat="1" ht="18" customHeight="1">
      <c r="B9" s="443" t="s">
        <v>1146</v>
      </c>
      <c r="C9" s="442"/>
      <c r="D9" s="442"/>
      <c r="E9" s="524">
        <f>MODEL!AP257+MODEL!AP261</f>
        <v>95.090245999999993</v>
      </c>
      <c r="F9" s="123"/>
      <c r="G9"/>
      <c r="H9"/>
      <c r="I9"/>
      <c r="J9"/>
      <c r="K9"/>
      <c r="L9"/>
      <c r="M9"/>
    </row>
    <row r="10" spans="1:13" ht="18" customHeight="1">
      <c r="B10" s="445" t="s">
        <v>1184</v>
      </c>
      <c r="C10" s="446"/>
      <c r="D10" s="446"/>
      <c r="E10" s="448">
        <f>+MROUND(E8/E9,0.05)</f>
        <v>13.75</v>
      </c>
      <c r="G10"/>
      <c r="H10"/>
      <c r="I10"/>
      <c r="J10"/>
      <c r="K10"/>
      <c r="L10"/>
      <c r="M10"/>
    </row>
    <row r="11" spans="1:13" ht="7.5" customHeight="1">
      <c r="B11" s="118"/>
      <c r="C11" s="447"/>
      <c r="D11" s="447"/>
      <c r="E11" s="447"/>
      <c r="G11"/>
      <c r="H11"/>
      <c r="I11"/>
      <c r="J11"/>
      <c r="K11"/>
      <c r="L11"/>
      <c r="M11"/>
    </row>
    <row r="12" spans="1:13" ht="18" customHeight="1">
      <c r="B12" s="450" t="s">
        <v>1141</v>
      </c>
      <c r="C12" s="449"/>
      <c r="D12" s="449"/>
      <c r="E12" s="451">
        <f>+E10</f>
        <v>13.75</v>
      </c>
      <c r="F12" s="110"/>
      <c r="G12"/>
      <c r="H12"/>
      <c r="I12"/>
      <c r="J12"/>
      <c r="K12"/>
      <c r="L12"/>
      <c r="M12"/>
    </row>
    <row r="13" spans="1:13" ht="18" customHeight="1">
      <c r="B13" s="118" t="s">
        <v>1120</v>
      </c>
      <c r="C13" s="447"/>
      <c r="D13" s="447"/>
      <c r="E13" s="452" cm="1">
        <f t="array" ref="E13">_xll.FDS("OCL-AU","FG_PRICE(NOW)")</f>
        <v>12.97</v>
      </c>
      <c r="G13"/>
      <c r="H13"/>
      <c r="I13"/>
      <c r="J13"/>
      <c r="K13"/>
      <c r="L13"/>
      <c r="M13" t="s">
        <v>1179</v>
      </c>
    </row>
    <row r="14" spans="1:13" ht="18" customHeight="1">
      <c r="B14" s="454" t="s">
        <v>1121</v>
      </c>
      <c r="C14" s="455"/>
      <c r="D14" s="456"/>
      <c r="E14" s="530">
        <f>+E12/E13-1</f>
        <v>6.0138781804163433E-2</v>
      </c>
      <c r="G14"/>
      <c r="H14"/>
      <c r="I14"/>
      <c r="J14"/>
      <c r="K14"/>
      <c r="L14"/>
      <c r="M14" s="440">
        <v>1</v>
      </c>
    </row>
    <row r="15" spans="1:13" ht="18" customHeight="1">
      <c r="B15"/>
      <c r="C15"/>
      <c r="D15"/>
      <c r="E15"/>
      <c r="F15"/>
      <c r="G15"/>
      <c r="H15"/>
      <c r="I15"/>
      <c r="J15"/>
      <c r="K15"/>
      <c r="L15"/>
      <c r="M15" t="s">
        <v>1179</v>
      </c>
    </row>
    <row r="16" spans="1:13">
      <c r="B16"/>
      <c r="C16"/>
      <c r="D16"/>
      <c r="E16"/>
      <c r="F16"/>
      <c r="G16"/>
      <c r="H16"/>
      <c r="I16"/>
      <c r="J16"/>
      <c r="K16"/>
      <c r="L16"/>
    </row>
    <row r="17" spans="2:12">
      <c r="B17"/>
      <c r="C17"/>
      <c r="D17"/>
      <c r="E17"/>
      <c r="F17"/>
      <c r="G17"/>
      <c r="H17"/>
      <c r="I17"/>
      <c r="J17"/>
      <c r="K17"/>
      <c r="L17"/>
    </row>
    <row r="18" spans="2:12">
      <c r="B18"/>
      <c r="C18"/>
      <c r="D18"/>
      <c r="E18"/>
      <c r="F18"/>
      <c r="G18"/>
      <c r="H18"/>
      <c r="I18"/>
      <c r="J18"/>
      <c r="K18"/>
      <c r="L18"/>
    </row>
    <row r="19" spans="2:12">
      <c r="B19"/>
      <c r="C19"/>
      <c r="D19"/>
      <c r="E19"/>
      <c r="G19"/>
      <c r="H19"/>
      <c r="I19"/>
      <c r="J19"/>
      <c r="K19"/>
      <c r="L19"/>
    </row>
    <row r="20" spans="2:12">
      <c r="B20"/>
      <c r="C20"/>
      <c r="D20"/>
      <c r="E20"/>
      <c r="G20"/>
      <c r="H20"/>
      <c r="I20"/>
      <c r="J20"/>
      <c r="K20"/>
      <c r="L20"/>
    </row>
    <row r="21" spans="2:12">
      <c r="B21"/>
      <c r="C21"/>
      <c r="D21"/>
      <c r="E21"/>
      <c r="G21"/>
      <c r="H21"/>
      <c r="I21"/>
      <c r="J21"/>
      <c r="K21"/>
      <c r="L21"/>
    </row>
    <row r="22" spans="2:12">
      <c r="B22"/>
      <c r="C22"/>
      <c r="D22"/>
      <c r="E22"/>
      <c r="G22"/>
      <c r="H22"/>
      <c r="I22"/>
      <c r="J22"/>
      <c r="K22"/>
      <c r="L22"/>
    </row>
    <row r="23" spans="2:12">
      <c r="B23"/>
      <c r="C23"/>
      <c r="D23"/>
      <c r="E23"/>
      <c r="G23"/>
      <c r="H23"/>
      <c r="I23"/>
      <c r="J23"/>
      <c r="K23"/>
      <c r="L23"/>
    </row>
    <row r="24" spans="2:12">
      <c r="B24"/>
      <c r="C24"/>
      <c r="D24"/>
      <c r="E24"/>
      <c r="G24"/>
      <c r="H24"/>
      <c r="I24"/>
      <c r="J24"/>
      <c r="K24"/>
      <c r="L24"/>
    </row>
    <row r="25" spans="2:12">
      <c r="B25"/>
      <c r="C25"/>
      <c r="D25"/>
      <c r="E25"/>
      <c r="G25"/>
      <c r="H25"/>
      <c r="I25"/>
      <c r="J25"/>
      <c r="K25"/>
      <c r="L25"/>
    </row>
    <row r="26" spans="2:12">
      <c r="B26"/>
      <c r="C26"/>
      <c r="D26"/>
      <c r="E26"/>
      <c r="G26"/>
      <c r="H26"/>
      <c r="I26"/>
      <c r="J26"/>
      <c r="K26"/>
      <c r="L26"/>
    </row>
    <row r="27" spans="2:12" customFormat="1" ht="12.75" customHeight="1"/>
    <row r="28" spans="2:12" customFormat="1"/>
    <row r="29" spans="2:12" customFormat="1"/>
    <row r="30" spans="2:12" customFormat="1"/>
    <row r="31" spans="2:12">
      <c r="B31"/>
      <c r="C31"/>
      <c r="D31"/>
      <c r="E31"/>
      <c r="G31"/>
      <c r="H31"/>
      <c r="I31"/>
      <c r="J31"/>
      <c r="K31"/>
      <c r="L31"/>
    </row>
    <row r="32" spans="2:12">
      <c r="B32"/>
      <c r="C32"/>
      <c r="D32"/>
      <c r="E32"/>
      <c r="G32"/>
      <c r="H32"/>
      <c r="I32"/>
      <c r="J32"/>
      <c r="K32"/>
      <c r="L32"/>
    </row>
    <row r="33" spans="2:12">
      <c r="B33"/>
      <c r="C33"/>
      <c r="D33"/>
      <c r="E33"/>
      <c r="G33"/>
      <c r="H33"/>
      <c r="I33"/>
      <c r="J33"/>
      <c r="K33"/>
      <c r="L33"/>
    </row>
    <row r="34" spans="2:12">
      <c r="B34"/>
      <c r="C34"/>
      <c r="D34"/>
      <c r="E34"/>
      <c r="G34"/>
      <c r="H34"/>
      <c r="I34"/>
      <c r="J34"/>
      <c r="K34"/>
      <c r="L34"/>
    </row>
    <row r="35" spans="2:12">
      <c r="B35"/>
      <c r="C35"/>
      <c r="D35"/>
      <c r="E35"/>
      <c r="G35"/>
      <c r="H35"/>
      <c r="I35"/>
      <c r="J35"/>
      <c r="K35"/>
      <c r="L35"/>
    </row>
    <row r="36" spans="2:12">
      <c r="B36"/>
      <c r="C36"/>
      <c r="D36"/>
      <c r="E36"/>
      <c r="G36"/>
      <c r="H36"/>
      <c r="I36"/>
      <c r="J36"/>
      <c r="K36"/>
      <c r="L36"/>
    </row>
    <row r="37" spans="2:12">
      <c r="B37"/>
      <c r="C37"/>
      <c r="D37"/>
      <c r="E37"/>
      <c r="G37"/>
      <c r="H37"/>
      <c r="I37"/>
      <c r="J37"/>
      <c r="K37"/>
      <c r="L37"/>
    </row>
    <row r="38" spans="2:12">
      <c r="B38"/>
      <c r="C38"/>
      <c r="D38"/>
      <c r="E38"/>
      <c r="G38"/>
      <c r="H38"/>
      <c r="I38"/>
      <c r="J38"/>
      <c r="K38"/>
      <c r="L38"/>
    </row>
    <row r="39" spans="2:12">
      <c r="B39"/>
      <c r="C39"/>
      <c r="D39"/>
      <c r="E39"/>
      <c r="G39"/>
      <c r="H39"/>
      <c r="I39"/>
      <c r="J39"/>
      <c r="K39"/>
      <c r="L39"/>
    </row>
    <row r="40" spans="2:12">
      <c r="B40"/>
      <c r="C40"/>
      <c r="D40"/>
      <c r="E40"/>
      <c r="G40"/>
      <c r="H40"/>
      <c r="I40"/>
      <c r="J40"/>
      <c r="K40"/>
      <c r="L40"/>
    </row>
    <row r="41" spans="2:12">
      <c r="B41"/>
      <c r="C41"/>
      <c r="D41"/>
      <c r="E41"/>
      <c r="G41"/>
      <c r="H41"/>
      <c r="I41"/>
      <c r="J41"/>
      <c r="K41"/>
      <c r="L41"/>
    </row>
    <row r="42" spans="2:12">
      <c r="B42"/>
      <c r="C42"/>
      <c r="D42"/>
      <c r="E42"/>
      <c r="G42"/>
      <c r="H42"/>
      <c r="I42"/>
      <c r="J42"/>
      <c r="K42"/>
      <c r="L42"/>
    </row>
    <row r="43" spans="2:12">
      <c r="B43"/>
      <c r="C43"/>
      <c r="D43"/>
      <c r="E43"/>
      <c r="G43"/>
      <c r="H43"/>
      <c r="I43"/>
      <c r="J43"/>
      <c r="K43"/>
      <c r="L43"/>
    </row>
    <row r="44" spans="2:12">
      <c r="B44"/>
      <c r="C44"/>
      <c r="D44"/>
      <c r="E44"/>
    </row>
    <row r="45" spans="2:12">
      <c r="B45"/>
      <c r="C45"/>
      <c r="D45"/>
      <c r="E45"/>
    </row>
    <row r="46" spans="2:12">
      <c r="B46"/>
      <c r="C46"/>
      <c r="D46"/>
      <c r="E46"/>
    </row>
    <row r="47" spans="2:12">
      <c r="B47"/>
      <c r="C47"/>
      <c r="D47"/>
      <c r="E47"/>
    </row>
    <row r="48" spans="2:12">
      <c r="B48"/>
      <c r="C48"/>
      <c r="D48"/>
      <c r="E48"/>
    </row>
    <row r="49" spans="2:5">
      <c r="B49"/>
      <c r="C49"/>
      <c r="D49"/>
      <c r="E49"/>
    </row>
    <row r="50" spans="2:5">
      <c r="B50"/>
      <c r="C50"/>
      <c r="D50"/>
      <c r="E50"/>
    </row>
  </sheetData>
  <mergeCells count="1">
    <mergeCell ref="B4:B5"/>
  </mergeCells>
  <printOptions horizontalCentered="1" verticalCentered="1"/>
  <pageMargins left="0" right="0" top="0.51181102362204722" bottom="0" header="0.51181102362204722" footer="0.51181102362204722"/>
  <pageSetup paperSize="9" scale="48" orientation="portrait" r:id="rId1"/>
  <headerFooter alignWithMargins="0"/>
  <customProperties>
    <customPr name="Qube.Worksheet.ID" r:id="rId2"/>
    <customPr name="Qube.Worksheet.Visibility" r:id="rId3"/>
    <customPr name="QXL_SHEET_ID" r:id="rId4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>
    <pageSetUpPr fitToPage="1"/>
  </sheetPr>
  <dimension ref="C2:AH39"/>
  <sheetViews>
    <sheetView showGridLines="0" zoomScaleNormal="100" workbookViewId="0">
      <selection activeCell="C9" sqref="C9"/>
    </sheetView>
  </sheetViews>
  <sheetFormatPr defaultColWidth="9.140625" defaultRowHeight="12.75" outlineLevelCol="1"/>
  <cols>
    <col min="1" max="1" width="3" style="81" customWidth="1"/>
    <col min="2" max="2" width="0.7109375" style="81" customWidth="1"/>
    <col min="3" max="3" width="20.85546875" style="81" bestFit="1" customWidth="1"/>
    <col min="4" max="5" width="6.42578125" style="82" hidden="1" customWidth="1" outlineLevel="1"/>
    <col min="6" max="6" width="7.7109375" style="82" hidden="1" customWidth="1" outlineLevel="1"/>
    <col min="7" max="7" width="6.42578125" style="82" customWidth="1" collapsed="1"/>
    <col min="8" max="8" width="6.42578125" style="82" customWidth="1"/>
    <col min="9" max="9" width="8.42578125" style="82" bestFit="1" customWidth="1"/>
    <col min="10" max="11" width="6.42578125" style="82" customWidth="1"/>
    <col min="12" max="12" width="10.42578125" style="82" bestFit="1" customWidth="1"/>
    <col min="13" max="21" width="7.7109375" style="82" customWidth="1"/>
    <col min="22" max="23" width="9.28515625" style="81" customWidth="1"/>
    <col min="24" max="24" width="9.140625" style="81"/>
    <col min="25" max="25" width="12.5703125" style="81" bestFit="1" customWidth="1"/>
    <col min="26" max="16384" width="9.140625" style="81"/>
  </cols>
  <sheetData>
    <row r="2" spans="3:34" ht="15" customHeight="1">
      <c r="C2" s="135"/>
      <c r="D2" s="582" t="s">
        <v>906</v>
      </c>
      <c r="E2" s="583"/>
      <c r="F2" s="584"/>
      <c r="G2" s="583" t="s">
        <v>907</v>
      </c>
      <c r="H2" s="583"/>
      <c r="I2" s="584"/>
      <c r="J2" s="583" t="s">
        <v>995</v>
      </c>
      <c r="K2" s="583"/>
      <c r="L2" s="584"/>
      <c r="M2" s="583" t="s">
        <v>1031</v>
      </c>
      <c r="N2" s="583"/>
      <c r="O2" s="584"/>
      <c r="P2" s="583" t="s">
        <v>1035</v>
      </c>
      <c r="Q2" s="583"/>
      <c r="R2" s="584"/>
      <c r="S2" s="583" t="s">
        <v>1036</v>
      </c>
      <c r="T2" s="583"/>
      <c r="U2" s="584"/>
      <c r="V2" s="580" t="s">
        <v>1032</v>
      </c>
      <c r="W2" s="581"/>
      <c r="X2" s="87"/>
    </row>
    <row r="3" spans="3:34" ht="15" customHeight="1">
      <c r="C3" s="136"/>
      <c r="D3" s="137" t="s">
        <v>903</v>
      </c>
      <c r="E3" s="138" t="s">
        <v>904</v>
      </c>
      <c r="F3" s="139" t="s">
        <v>905</v>
      </c>
      <c r="G3" s="138" t="s">
        <v>903</v>
      </c>
      <c r="H3" s="138" t="s">
        <v>904</v>
      </c>
      <c r="I3" s="139" t="s">
        <v>905</v>
      </c>
      <c r="J3" s="138" t="s">
        <v>903</v>
      </c>
      <c r="K3" s="138" t="s">
        <v>904</v>
      </c>
      <c r="L3" s="139" t="s">
        <v>905</v>
      </c>
      <c r="M3" s="138" t="s">
        <v>903</v>
      </c>
      <c r="N3" s="138" t="s">
        <v>904</v>
      </c>
      <c r="O3" s="139" t="s">
        <v>905</v>
      </c>
      <c r="P3" s="138" t="s">
        <v>903</v>
      </c>
      <c r="Q3" s="138" t="s">
        <v>904</v>
      </c>
      <c r="R3" s="139" t="s">
        <v>905</v>
      </c>
      <c r="S3" s="138" t="s">
        <v>903</v>
      </c>
      <c r="T3" s="138" t="s">
        <v>904</v>
      </c>
      <c r="U3" s="139" t="s">
        <v>905</v>
      </c>
      <c r="V3" s="137" t="s">
        <v>903</v>
      </c>
      <c r="W3" s="139" t="s">
        <v>904</v>
      </c>
      <c r="X3" s="87"/>
    </row>
    <row r="4" spans="3:34" ht="9.9499999999999993" customHeight="1">
      <c r="C4" s="140"/>
      <c r="D4" s="141"/>
      <c r="E4" s="142"/>
      <c r="F4" s="143"/>
      <c r="G4" s="142"/>
      <c r="H4" s="142"/>
      <c r="I4" s="143"/>
      <c r="J4" s="142"/>
      <c r="K4" s="142"/>
      <c r="L4" s="143"/>
      <c r="M4" s="142"/>
      <c r="N4" s="142"/>
      <c r="O4" s="143"/>
      <c r="P4" s="142"/>
      <c r="Q4" s="142"/>
      <c r="R4" s="143"/>
      <c r="S4" s="142"/>
      <c r="T4" s="142"/>
      <c r="U4" s="143"/>
      <c r="V4" s="144"/>
      <c r="W4" s="145"/>
      <c r="X4" s="87"/>
    </row>
    <row r="5" spans="3:34" ht="15" customHeight="1">
      <c r="C5" s="146" t="s">
        <v>1135</v>
      </c>
      <c r="D5" s="147">
        <f>AC16</f>
        <v>0</v>
      </c>
      <c r="E5" s="148">
        <f>AC22</f>
        <v>63.11</v>
      </c>
      <c r="F5" s="149" t="e">
        <f>AC28</f>
        <v>#DIV/0!</v>
      </c>
      <c r="G5" s="148">
        <f>AD16</f>
        <v>0</v>
      </c>
      <c r="H5" s="148">
        <f>AD22</f>
        <v>62.06</v>
      </c>
      <c r="I5" s="203" t="e">
        <f>AD28</f>
        <v>#DIV/0!</v>
      </c>
      <c r="J5" s="148">
        <f>AE16</f>
        <v>0</v>
      </c>
      <c r="K5" s="148">
        <f>AE22</f>
        <v>70.040000000000006</v>
      </c>
      <c r="L5" s="149" t="e">
        <f>AE28</f>
        <v>#DIV/0!</v>
      </c>
      <c r="M5" s="148">
        <f>AF16</f>
        <v>0</v>
      </c>
      <c r="N5" s="148">
        <f>AF22</f>
        <v>95.055999999999997</v>
      </c>
      <c r="O5" s="203" t="e">
        <f>AF28</f>
        <v>#DIV/0!</v>
      </c>
      <c r="P5" s="148">
        <f>AG16</f>
        <v>0</v>
      </c>
      <c r="Q5" s="148">
        <f>AG22</f>
        <v>106.505</v>
      </c>
      <c r="R5" s="203" t="e">
        <f>AG28</f>
        <v>#DIV/0!</v>
      </c>
      <c r="S5" s="148">
        <f>AH16</f>
        <v>0</v>
      </c>
      <c r="T5" s="148">
        <f>AH22</f>
        <v>110.4</v>
      </c>
      <c r="U5" s="203" t="e">
        <f>AH28</f>
        <v>#DIV/0!</v>
      </c>
      <c r="V5" s="150" t="e">
        <f>(M5/D5)^(1/3)-1</f>
        <v>#DIV/0!</v>
      </c>
      <c r="W5" s="151">
        <f>(N5/E5)^(1/3)-1</f>
        <v>0.14628810284358829</v>
      </c>
      <c r="X5" s="87"/>
    </row>
    <row r="6" spans="3:34" ht="8.25" customHeight="1">
      <c r="C6" s="152"/>
      <c r="D6" s="153"/>
      <c r="E6" s="154"/>
      <c r="F6" s="155"/>
      <c r="G6" s="154"/>
      <c r="H6" s="154"/>
      <c r="I6" s="204"/>
      <c r="J6" s="154"/>
      <c r="K6" s="154"/>
      <c r="L6" s="155"/>
      <c r="M6" s="154"/>
      <c r="N6" s="154"/>
      <c r="O6" s="206"/>
      <c r="P6" s="154"/>
      <c r="Q6" s="154"/>
      <c r="R6" s="206"/>
      <c r="S6" s="154"/>
      <c r="T6" s="154"/>
      <c r="U6" s="206"/>
      <c r="V6" s="150"/>
      <c r="W6" s="151"/>
      <c r="X6" s="87"/>
    </row>
    <row r="7" spans="3:34" ht="15" customHeight="1">
      <c r="C7" s="146" t="s">
        <v>1136</v>
      </c>
      <c r="D7" s="147">
        <f>AC17</f>
        <v>0</v>
      </c>
      <c r="E7" s="148">
        <f>AC23</f>
        <v>17.519000000000005</v>
      </c>
      <c r="F7" s="149" t="e">
        <f>AC29</f>
        <v>#DIV/0!</v>
      </c>
      <c r="G7" s="148">
        <f>AD17</f>
        <v>0</v>
      </c>
      <c r="H7" s="148">
        <f>AD23</f>
        <v>20.750499999999999</v>
      </c>
      <c r="I7" s="203" t="e">
        <f>AD29</f>
        <v>#DIV/0!</v>
      </c>
      <c r="J7" s="148">
        <f>AE17</f>
        <v>0</v>
      </c>
      <c r="K7" s="148">
        <f>AE23</f>
        <v>25.104500000000002</v>
      </c>
      <c r="L7" s="149" t="e">
        <f>AE29</f>
        <v>#DIV/0!</v>
      </c>
      <c r="M7" s="148">
        <f>AF17</f>
        <v>0</v>
      </c>
      <c r="N7" s="148">
        <f>AF23</f>
        <v>37.182000000000002</v>
      </c>
      <c r="O7" s="149" t="e">
        <f>AF29</f>
        <v>#DIV/0!</v>
      </c>
      <c r="P7" s="148">
        <f>AG17</f>
        <v>0</v>
      </c>
      <c r="Q7" s="148">
        <f>AG23</f>
        <v>43.209499999999998</v>
      </c>
      <c r="R7" s="149" t="e">
        <f>AG29</f>
        <v>#DIV/0!</v>
      </c>
      <c r="S7" s="148">
        <f>AH17</f>
        <v>0</v>
      </c>
      <c r="T7" s="148">
        <f>AH23</f>
        <v>40.704000000000001</v>
      </c>
      <c r="U7" s="149" t="e">
        <f>AH29</f>
        <v>#DIV/0!</v>
      </c>
      <c r="V7" s="150" t="e">
        <f>(M7/D7)^(1/3)-1</f>
        <v>#DIV/0!</v>
      </c>
      <c r="W7" s="151">
        <f>(N7/E7)^(1/3)-1</f>
        <v>0.28511249035945818</v>
      </c>
      <c r="X7" s="96"/>
    </row>
    <row r="8" spans="3:34" ht="8.25" customHeight="1">
      <c r="C8" s="152"/>
      <c r="D8" s="153"/>
      <c r="E8" s="154"/>
      <c r="F8" s="155"/>
      <c r="G8" s="154"/>
      <c r="H8" s="154"/>
      <c r="I8" s="204"/>
      <c r="J8" s="154"/>
      <c r="K8" s="154"/>
      <c r="L8" s="155"/>
      <c r="M8" s="154"/>
      <c r="N8" s="154"/>
      <c r="O8" s="155"/>
      <c r="P8" s="154"/>
      <c r="Q8" s="154"/>
      <c r="R8" s="155"/>
      <c r="S8" s="154"/>
      <c r="T8" s="154"/>
      <c r="U8" s="155"/>
      <c r="V8" s="150"/>
      <c r="W8" s="151"/>
      <c r="X8" s="87"/>
    </row>
    <row r="9" spans="3:34" ht="15" customHeight="1">
      <c r="C9" s="146" t="s">
        <v>1137</v>
      </c>
      <c r="D9" s="147">
        <f>AC19</f>
        <v>0</v>
      </c>
      <c r="E9" s="148">
        <f>AC25</f>
        <v>7.3800000000000008</v>
      </c>
      <c r="F9" s="149" t="e">
        <f>AC31</f>
        <v>#DIV/0!</v>
      </c>
      <c r="G9" s="148">
        <f>AD19</f>
        <v>0</v>
      </c>
      <c r="H9" s="148">
        <f>AD25</f>
        <v>9.0500000000000007</v>
      </c>
      <c r="I9" s="203" t="e">
        <f>AD31</f>
        <v>#DIV/0!</v>
      </c>
      <c r="J9" s="148">
        <f>AE19</f>
        <v>0</v>
      </c>
      <c r="K9" s="148">
        <f>AE25</f>
        <v>11.024999999999999</v>
      </c>
      <c r="L9" s="149" t="e">
        <f>AE31</f>
        <v>#DIV/0!</v>
      </c>
      <c r="M9" s="148">
        <f>AF19</f>
        <v>0</v>
      </c>
      <c r="N9" s="148">
        <f>AF25</f>
        <v>16.085999999999999</v>
      </c>
      <c r="O9" s="149" t="e">
        <f>AF31</f>
        <v>#DIV/0!</v>
      </c>
      <c r="P9" s="148">
        <f>AG19</f>
        <v>0</v>
      </c>
      <c r="Q9" s="148">
        <f>AG25</f>
        <v>19.479999999999997</v>
      </c>
      <c r="R9" s="149" t="e">
        <f>AG31</f>
        <v>#DIV/0!</v>
      </c>
      <c r="S9" s="148">
        <f>AH19</f>
        <v>0</v>
      </c>
      <c r="T9" s="148">
        <f>AH25</f>
        <v>21.087</v>
      </c>
      <c r="U9" s="149" t="e">
        <f>AH31</f>
        <v>#DIV/0!</v>
      </c>
      <c r="V9" s="150" t="e">
        <f>(M9/D9)^(1/3)-1</f>
        <v>#DIV/0!</v>
      </c>
      <c r="W9" s="151">
        <f>(N9/E9)^(1/3)-1</f>
        <v>0.29657377808314456</v>
      </c>
      <c r="X9" s="87"/>
    </row>
    <row r="10" spans="3:34" ht="8.25" customHeight="1">
      <c r="C10" s="152"/>
      <c r="D10" s="153"/>
      <c r="E10" s="154"/>
      <c r="F10" s="155"/>
      <c r="G10" s="154"/>
      <c r="H10" s="154"/>
      <c r="I10" s="204"/>
      <c r="J10" s="154"/>
      <c r="K10" s="154"/>
      <c r="L10" s="155"/>
      <c r="M10" s="154"/>
      <c r="N10" s="154"/>
      <c r="O10" s="155"/>
      <c r="P10" s="154"/>
      <c r="Q10" s="154"/>
      <c r="R10" s="155"/>
      <c r="S10" s="154"/>
      <c r="T10" s="154"/>
      <c r="U10" s="155"/>
      <c r="V10" s="150"/>
      <c r="W10" s="151"/>
      <c r="X10" s="87"/>
    </row>
    <row r="11" spans="3:34" ht="15" customHeight="1">
      <c r="C11" s="156" t="s">
        <v>1093</v>
      </c>
      <c r="D11" s="157">
        <f>AC20*100</f>
        <v>0</v>
      </c>
      <c r="E11" s="158">
        <f>AC26*100</f>
        <v>8</v>
      </c>
      <c r="F11" s="159" t="e">
        <f>AC32</f>
        <v>#DIV/0!</v>
      </c>
      <c r="G11" s="158">
        <f>AD20*100</f>
        <v>0</v>
      </c>
      <c r="H11" s="158">
        <f>AD26*100</f>
        <v>9.8000000000000007</v>
      </c>
      <c r="I11" s="205" t="e">
        <f>AD32</f>
        <v>#DIV/0!</v>
      </c>
      <c r="J11" s="158">
        <f>AE20*100</f>
        <v>0</v>
      </c>
      <c r="K11" s="158">
        <f>AE26*100</f>
        <v>11.8</v>
      </c>
      <c r="L11" s="159" t="e">
        <f>AE32</f>
        <v>#DIV/0!</v>
      </c>
      <c r="M11" s="158">
        <f>AF20*100</f>
        <v>0</v>
      </c>
      <c r="N11" s="158">
        <f>AF26*100</f>
        <v>17.2</v>
      </c>
      <c r="O11" s="159" t="e">
        <f>AF32</f>
        <v>#DIV/0!</v>
      </c>
      <c r="P11" s="158">
        <f>AG20*100</f>
        <v>0</v>
      </c>
      <c r="Q11" s="158">
        <f>AG26*100</f>
        <v>20.633053212803112</v>
      </c>
      <c r="R11" s="159" t="e">
        <f>AG32</f>
        <v>#DIV/0!</v>
      </c>
      <c r="S11" s="158">
        <f>AH20*100</f>
        <v>0</v>
      </c>
      <c r="T11" s="158">
        <f>AH26*100</f>
        <v>22.200070346018894</v>
      </c>
      <c r="U11" s="159" t="e">
        <f>AH32</f>
        <v>#DIV/0!</v>
      </c>
      <c r="V11" s="160" t="e">
        <f>(M11/D11)^(1/3)-1</f>
        <v>#DIV/0!</v>
      </c>
      <c r="W11" s="161">
        <f>(N11/E11)^(1/3)-1</f>
        <v>0.29066288067403279</v>
      </c>
      <c r="X11" s="87"/>
    </row>
    <row r="12" spans="3:34" ht="15">
      <c r="C12" s="162"/>
      <c r="D12" s="163"/>
      <c r="E12" s="163"/>
      <c r="F12" s="163"/>
      <c r="G12" s="163"/>
      <c r="H12" s="163"/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4"/>
      <c r="W12" s="164"/>
      <c r="X12" s="87"/>
    </row>
    <row r="13" spans="3:34" ht="15" customHeight="1">
      <c r="C13" s="165" t="s">
        <v>996</v>
      </c>
      <c r="G13" s="166" t="s">
        <v>903</v>
      </c>
      <c r="H13" s="166" t="s">
        <v>904</v>
      </c>
      <c r="I13" s="167" t="s">
        <v>905</v>
      </c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8"/>
      <c r="W13" s="168"/>
    </row>
    <row r="14" spans="3:34" ht="6.95" customHeight="1">
      <c r="C14" s="140"/>
      <c r="G14" s="142"/>
      <c r="H14" s="142"/>
      <c r="I14" s="14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8"/>
      <c r="W14" s="168"/>
    </row>
    <row r="15" spans="3:34" ht="15" customHeight="1">
      <c r="C15" s="169"/>
      <c r="G15" s="178">
        <f>+_xll.QueryTool.Functions.GQ("DHG.AX","TARGET_PRICE")</f>
        <v>0</v>
      </c>
      <c r="H15" s="178">
        <f>VALUATION!E10</f>
        <v>13.75</v>
      </c>
      <c r="I15" s="159" t="e">
        <f>H15/G15-1</f>
        <v>#DIV/0!</v>
      </c>
      <c r="J15" s="177"/>
      <c r="K15" s="163"/>
      <c r="L15" s="163"/>
      <c r="M15" s="163"/>
      <c r="N15" s="198"/>
      <c r="O15" s="163"/>
      <c r="P15" s="163"/>
      <c r="Q15" s="163"/>
      <c r="R15" s="163"/>
      <c r="S15" s="163"/>
      <c r="T15" s="163"/>
      <c r="U15" s="163"/>
      <c r="V15" s="168"/>
      <c r="W15" s="168"/>
      <c r="Y15" s="84" t="s">
        <v>1004</v>
      </c>
      <c r="Z15" s="83">
        <v>2015</v>
      </c>
      <c r="AA15" s="83">
        <v>2016</v>
      </c>
      <c r="AB15" s="83">
        <v>2017</v>
      </c>
      <c r="AC15" s="83">
        <v>2018</v>
      </c>
      <c r="AD15" s="83">
        <v>2019</v>
      </c>
      <c r="AE15" s="83">
        <v>2020</v>
      </c>
      <c r="AF15" s="83">
        <v>2021</v>
      </c>
      <c r="AG15" s="83">
        <v>2022</v>
      </c>
      <c r="AH15" s="81">
        <v>2023</v>
      </c>
    </row>
    <row r="16" spans="3:34">
      <c r="N16" s="199"/>
      <c r="X16" s="81" t="s">
        <v>903</v>
      </c>
      <c r="Y16" s="81" t="s">
        <v>512</v>
      </c>
      <c r="Z16" s="95">
        <f>_xll.QueryTool.Functions.GQ($Y$15,$Y16,Z$15)</f>
        <v>0</v>
      </c>
      <c r="AA16" s="95">
        <f>_xll.QueryTool.Functions.GQ($Y$15,$Y16,AA$15)</f>
        <v>0</v>
      </c>
      <c r="AB16" s="95">
        <f>_xll.QueryTool.Functions.GQ($Y$15,$Y16,AB$15)</f>
        <v>0</v>
      </c>
      <c r="AC16" s="95">
        <f>_xll.QueryTool.Functions.GQ($Y$15,$Y16,AC$15)</f>
        <v>0</v>
      </c>
      <c r="AD16" s="95">
        <f>_xll.QueryTool.Functions.GQ($Y$15,$Y16,AD$15)</f>
        <v>0</v>
      </c>
      <c r="AE16" s="95">
        <f>_xll.QueryTool.Functions.GQ($Y$15,$Y16,AE$15)</f>
        <v>0</v>
      </c>
      <c r="AF16" s="95">
        <f>_xll.QueryTool.Functions.GQ($Y$15,$Y16,AF$15)</f>
        <v>0</v>
      </c>
      <c r="AG16" s="95">
        <f>_xll.QueryTool.Functions.GQ($Y$15,$Y16,AG$15)</f>
        <v>0</v>
      </c>
      <c r="AH16" s="95">
        <f>_xll.QueryTool.Functions.GQ($Y$15,$Y16,AH$15)</f>
        <v>0</v>
      </c>
    </row>
    <row r="17" spans="6:34">
      <c r="X17" s="85" t="s">
        <v>908</v>
      </c>
      <c r="Y17" s="81" t="s">
        <v>498</v>
      </c>
      <c r="Z17" s="95">
        <f>_xll.QueryTool.Functions.GQ($Y$15,$Y17,Z$15)</f>
        <v>0</v>
      </c>
      <c r="AA17" s="95">
        <f>_xll.QueryTool.Functions.GQ($Y$15,$Y17,AA$15)</f>
        <v>0</v>
      </c>
      <c r="AB17" s="95">
        <f>_xll.QueryTool.Functions.GQ($Y$15,$Y17,AB$15)</f>
        <v>0</v>
      </c>
      <c r="AC17" s="95">
        <f>_xll.QueryTool.Functions.GQ($Y$15,$Y17,AC$15)</f>
        <v>0</v>
      </c>
      <c r="AD17" s="95">
        <f>_xll.QueryTool.Functions.GQ($Y$15,$Y17,AD$15)</f>
        <v>0</v>
      </c>
      <c r="AE17" s="95">
        <f>_xll.QueryTool.Functions.GQ($Y$15,$Y17,AE$15)</f>
        <v>0</v>
      </c>
      <c r="AF17" s="95">
        <f>_xll.QueryTool.Functions.GQ($Y$15,$Y17,AF$15)</f>
        <v>0</v>
      </c>
      <c r="AG17" s="95">
        <f>_xll.QueryTool.Functions.GQ($Y$15,$Y17,AG$15)</f>
        <v>0</v>
      </c>
      <c r="AH17" s="95">
        <f>_xll.QueryTool.Functions.GQ($Y$15,$Y17,AH$15)</f>
        <v>0</v>
      </c>
    </row>
    <row r="18" spans="6:34">
      <c r="Y18" s="81" t="s">
        <v>508</v>
      </c>
      <c r="Z18" s="95">
        <f>_xll.QueryTool.Functions.GQ($Y$15,$Y18,Z$15)</f>
        <v>0</v>
      </c>
      <c r="AA18" s="95">
        <f>_xll.QueryTool.Functions.GQ($Y$15,$Y18,AA$15)</f>
        <v>0</v>
      </c>
      <c r="AB18" s="95">
        <f>_xll.QueryTool.Functions.GQ($Y$15,$Y18,AB$15)</f>
        <v>0</v>
      </c>
      <c r="AC18" s="95">
        <f>_xll.QueryTool.Functions.GQ($Y$15,$Y18,AC$15)</f>
        <v>0</v>
      </c>
      <c r="AD18" s="95">
        <f>_xll.QueryTool.Functions.GQ($Y$15,$Y18,AD$15)</f>
        <v>0</v>
      </c>
      <c r="AE18" s="95">
        <f>_xll.QueryTool.Functions.GQ($Y$15,$Y18,AE$15)</f>
        <v>0</v>
      </c>
      <c r="AF18" s="95">
        <f>_xll.QueryTool.Functions.GQ($Y$15,$Y18,AF$15)</f>
        <v>0</v>
      </c>
      <c r="AG18" s="95">
        <f>_xll.QueryTool.Functions.GQ($Y$15,$Y18,AG$15)</f>
        <v>0</v>
      </c>
      <c r="AH18" s="95">
        <f>_xll.QueryTool.Functions.GQ($Y$15,$Y18,AH$15)</f>
        <v>0</v>
      </c>
    </row>
    <row r="19" spans="6:34">
      <c r="Y19" s="81" t="s">
        <v>506</v>
      </c>
      <c r="Z19" s="95">
        <f>_xll.QueryTool.Functions.GQ($Y$15,$Y19,Z$15)</f>
        <v>0</v>
      </c>
      <c r="AA19" s="95">
        <f>_xll.QueryTool.Functions.GQ($Y$15,$Y19,AA$15)</f>
        <v>0</v>
      </c>
      <c r="AB19" s="95">
        <f>_xll.QueryTool.Functions.GQ($Y$15,$Y19,AB$15)</f>
        <v>0</v>
      </c>
      <c r="AC19" s="95">
        <f>_xll.QueryTool.Functions.GQ($Y$15,$Y19,AC$15)</f>
        <v>0</v>
      </c>
      <c r="AD19" s="95">
        <f>_xll.QueryTool.Functions.GQ($Y$15,$Y19,AD$15)</f>
        <v>0</v>
      </c>
      <c r="AE19" s="95">
        <f>_xll.QueryTool.Functions.GQ($Y$15,$Y19,AE$15)</f>
        <v>0</v>
      </c>
      <c r="AF19" s="95">
        <f>_xll.QueryTool.Functions.GQ($Y$15,$Y19,AF$15)</f>
        <v>0</v>
      </c>
      <c r="AG19" s="95">
        <f>_xll.QueryTool.Functions.GQ($Y$15,$Y19,AG$15)</f>
        <v>0</v>
      </c>
      <c r="AH19" s="95">
        <f>_xll.QueryTool.Functions.GQ($Y$15,$Y19,AH$15)</f>
        <v>0</v>
      </c>
    </row>
    <row r="20" spans="6:34">
      <c r="Y20" s="81" t="s">
        <v>500</v>
      </c>
      <c r="Z20" s="95">
        <f>_xll.QueryTool.Functions.GQ($Y$15,$Y20,Z$15)</f>
        <v>0</v>
      </c>
      <c r="AA20" s="95">
        <f>_xll.QueryTool.Functions.GQ($Y$15,$Y20,AA$15)</f>
        <v>0</v>
      </c>
      <c r="AB20" s="95">
        <f>_xll.QueryTool.Functions.GQ($Y$15,$Y20,AB$15)</f>
        <v>0</v>
      </c>
      <c r="AC20" s="133">
        <f>_xll.QueryTool.Functions.GQ($Y$15,$Y20,AC$15)</f>
        <v>0</v>
      </c>
      <c r="AD20" s="134">
        <f>_xll.QueryTool.Functions.GQ($Y$15,$Y20,AD$15)</f>
        <v>0</v>
      </c>
      <c r="AE20" s="95">
        <f>_xll.QueryTool.Functions.GQ($Y$15,$Y20,AE$15)</f>
        <v>0</v>
      </c>
      <c r="AF20" s="95">
        <f>_xll.QueryTool.Functions.GQ($Y$15,$Y20,AF$15)</f>
        <v>0</v>
      </c>
      <c r="AG20" s="95">
        <f>_xll.QueryTool.Functions.GQ($Y$15,$Y20,AG$15)</f>
        <v>0</v>
      </c>
      <c r="AH20" s="95">
        <f>_xll.QueryTool.Functions.GQ($Y$15,$Y20,AH$15)</f>
        <v>0</v>
      </c>
    </row>
    <row r="21" spans="6:34">
      <c r="Z21" s="82"/>
      <c r="AA21" s="82"/>
      <c r="AB21" s="82"/>
      <c r="AC21" s="82"/>
      <c r="AD21" s="82"/>
    </row>
    <row r="22" spans="6:34">
      <c r="X22" s="81" t="s">
        <v>904</v>
      </c>
      <c r="Y22" s="81" t="s">
        <v>512</v>
      </c>
      <c r="Z22" s="86">
        <f>MODEL!O9</f>
        <v>50.006999999999998</v>
      </c>
      <c r="AA22" s="86">
        <f>MODEL!R9</f>
        <v>50.15</v>
      </c>
      <c r="AB22" s="86">
        <f>MODEL!U9</f>
        <v>62.598999999999997</v>
      </c>
      <c r="AC22" s="86">
        <f>MODEL!X9</f>
        <v>63.11</v>
      </c>
      <c r="AD22" s="86">
        <f>MODEL!AA9</f>
        <v>62.06</v>
      </c>
      <c r="AE22" s="86">
        <f>MODEL!AD9</f>
        <v>70.040000000000006</v>
      </c>
      <c r="AF22" s="86">
        <f>MODEL!AG9</f>
        <v>95.055999999999997</v>
      </c>
      <c r="AG22" s="86">
        <f>MODEL!AJ9</f>
        <v>106.505</v>
      </c>
      <c r="AH22" s="86">
        <f>MODEL!AM9</f>
        <v>110.4</v>
      </c>
    </row>
    <row r="23" spans="6:34">
      <c r="H23" s="183">
        <f>+H7</f>
        <v>20.750499999999999</v>
      </c>
      <c r="I23" s="183">
        <f>+H23-2.7</f>
        <v>18.0505</v>
      </c>
      <c r="K23" s="181">
        <f>+H5</f>
        <v>62.06</v>
      </c>
      <c r="L23" s="181">
        <f>+K23-4.6</f>
        <v>57.46</v>
      </c>
      <c r="X23" s="85" t="s">
        <v>909</v>
      </c>
      <c r="Y23" s="81" t="s">
        <v>498</v>
      </c>
      <c r="Z23" s="86">
        <f>MODEL!O23</f>
        <v>10.8795</v>
      </c>
      <c r="AA23" s="86">
        <f>MODEL!R23</f>
        <v>12.407499999999999</v>
      </c>
      <c r="AB23" s="86">
        <f>MODEL!U23</f>
        <v>17.149000000000001</v>
      </c>
      <c r="AC23" s="86">
        <f>MODEL!X23</f>
        <v>17.519000000000005</v>
      </c>
      <c r="AD23" s="86">
        <f>MODEL!AA23</f>
        <v>20.750499999999999</v>
      </c>
      <c r="AE23" s="86">
        <f>MODEL!AD23</f>
        <v>25.104500000000002</v>
      </c>
      <c r="AF23" s="86">
        <f>MODEL!AG23</f>
        <v>37.182000000000002</v>
      </c>
      <c r="AG23" s="86">
        <f>MODEL!AJ23</f>
        <v>43.209499999999998</v>
      </c>
      <c r="AH23" s="86">
        <f>MODEL!AM23</f>
        <v>40.704000000000001</v>
      </c>
    </row>
    <row r="24" spans="6:34">
      <c r="Y24" s="81" t="s">
        <v>508</v>
      </c>
      <c r="Z24" s="86">
        <f>MODEL!O44</f>
        <v>5.3870000000000005</v>
      </c>
      <c r="AA24" s="86">
        <f>MODEL!R44</f>
        <v>5.8620000000000001</v>
      </c>
      <c r="AB24" s="86">
        <f>MODEL!U44</f>
        <v>10.069000000000001</v>
      </c>
      <c r="AC24" s="86">
        <f>MODEL!X44</f>
        <v>9.4440000000000008</v>
      </c>
      <c r="AD24" s="86">
        <f>MODEL!AA44</f>
        <v>11.292999999999999</v>
      </c>
      <c r="AE24" s="86">
        <f>MODEL!AD44</f>
        <v>14.133999999999999</v>
      </c>
      <c r="AF24" s="86">
        <f>MODEL!AG44</f>
        <v>20.839000000000002</v>
      </c>
      <c r="AG24" s="86">
        <f>MODEL!AJ44</f>
        <v>23.735999999999997</v>
      </c>
      <c r="AH24" s="86">
        <f>MODEL!AM44</f>
        <v>22.586000000000002</v>
      </c>
    </row>
    <row r="25" spans="6:34">
      <c r="H25" s="183">
        <f>+K7</f>
        <v>25.104500000000002</v>
      </c>
      <c r="I25" s="183">
        <f>+H25</f>
        <v>25.104500000000002</v>
      </c>
      <c r="K25" s="181">
        <f>+K5</f>
        <v>70.040000000000006</v>
      </c>
      <c r="L25" s="181">
        <f>+K25</f>
        <v>70.040000000000006</v>
      </c>
      <c r="Y25" s="81" t="s">
        <v>506</v>
      </c>
      <c r="Z25" s="86">
        <f>MODEL!O55</f>
        <v>4.4700000000000006</v>
      </c>
      <c r="AA25" s="86">
        <f>MODEL!R55</f>
        <v>5.2629999999999999</v>
      </c>
      <c r="AB25" s="86">
        <f>MODEL!U55</f>
        <v>8.202</v>
      </c>
      <c r="AC25" s="86">
        <f>MODEL!X55</f>
        <v>7.3800000000000008</v>
      </c>
      <c r="AD25" s="86">
        <f>MODEL!AA55</f>
        <v>9.0500000000000007</v>
      </c>
      <c r="AE25" s="86">
        <f>MODEL!AD55</f>
        <v>11.024999999999999</v>
      </c>
      <c r="AF25" s="86">
        <f>MODEL!AG55</f>
        <v>16.085999999999999</v>
      </c>
      <c r="AG25" s="86">
        <f>MODEL!AJ55</f>
        <v>19.479999999999997</v>
      </c>
      <c r="AH25" s="86">
        <f>MODEL!AM55</f>
        <v>21.087</v>
      </c>
    </row>
    <row r="26" spans="6:34">
      <c r="Y26" s="81" t="s">
        <v>500</v>
      </c>
      <c r="Z26" s="86">
        <f>MODEL!O62/100</f>
        <v>0.05</v>
      </c>
      <c r="AA26" s="86">
        <f>MODEL!R62/100</f>
        <v>5.7999999999999996E-2</v>
      </c>
      <c r="AB26" s="86">
        <f>MODEL!U62/100</f>
        <v>0.09</v>
      </c>
      <c r="AC26" s="86">
        <f>MODEL!X62/100</f>
        <v>0.08</v>
      </c>
      <c r="AD26" s="86">
        <f>MODEL!AA62/100</f>
        <v>9.8000000000000004E-2</v>
      </c>
      <c r="AE26" s="86">
        <f>MODEL!AD62/100</f>
        <v>0.11800000000000001</v>
      </c>
      <c r="AF26" s="86">
        <f>MODEL!AG62/100</f>
        <v>0.17199999999999999</v>
      </c>
      <c r="AG26" s="86">
        <f>MODEL!AJ62/100</f>
        <v>0.20633053212803112</v>
      </c>
      <c r="AH26" s="86">
        <f>MODEL!AM62/100</f>
        <v>0.22200070346018894</v>
      </c>
    </row>
    <row r="27" spans="6:34">
      <c r="H27" s="182">
        <f>+H25/H23-1</f>
        <v>0.20982626924652426</v>
      </c>
      <c r="I27" s="182">
        <f>+I25/I23-1</f>
        <v>0.39079249882274736</v>
      </c>
      <c r="K27" s="182">
        <f>+K25/K23-1</f>
        <v>0.12858524009023542</v>
      </c>
      <c r="L27" s="182">
        <f>+L25/L23-1</f>
        <v>0.21893491124260356</v>
      </c>
      <c r="Z27" s="82"/>
      <c r="AA27" s="82"/>
      <c r="AB27" s="82"/>
      <c r="AC27" s="82"/>
      <c r="AD27" s="82"/>
    </row>
    <row r="28" spans="6:34">
      <c r="F28" s="103"/>
      <c r="X28" s="81" t="s">
        <v>905</v>
      </c>
      <c r="Y28" s="81" t="s">
        <v>512</v>
      </c>
      <c r="Z28" s="176" t="e">
        <f t="shared" ref="Z28:AG32" si="0">Z22/Z16-1</f>
        <v>#DIV/0!</v>
      </c>
      <c r="AA28" s="176" t="e">
        <f t="shared" si="0"/>
        <v>#DIV/0!</v>
      </c>
      <c r="AB28" s="176" t="e">
        <f t="shared" si="0"/>
        <v>#DIV/0!</v>
      </c>
      <c r="AC28" s="176" t="e">
        <f t="shared" si="0"/>
        <v>#DIV/0!</v>
      </c>
      <c r="AD28" s="176" t="e">
        <f t="shared" si="0"/>
        <v>#DIV/0!</v>
      </c>
      <c r="AE28" s="176" t="e">
        <f t="shared" si="0"/>
        <v>#DIV/0!</v>
      </c>
      <c r="AF28" s="176" t="e">
        <f t="shared" si="0"/>
        <v>#DIV/0!</v>
      </c>
      <c r="AG28" s="176" t="e">
        <f t="shared" si="0"/>
        <v>#DIV/0!</v>
      </c>
      <c r="AH28" s="176" t="e">
        <f t="shared" ref="AH28" si="1">AH22/AH16-1</f>
        <v>#DIV/0!</v>
      </c>
    </row>
    <row r="29" spans="6:34">
      <c r="Y29" s="81" t="s">
        <v>498</v>
      </c>
      <c r="Z29" s="176" t="e">
        <f t="shared" si="0"/>
        <v>#DIV/0!</v>
      </c>
      <c r="AA29" s="176" t="e">
        <f t="shared" si="0"/>
        <v>#DIV/0!</v>
      </c>
      <c r="AB29" s="176" t="e">
        <f t="shared" si="0"/>
        <v>#DIV/0!</v>
      </c>
      <c r="AC29" s="176" t="e">
        <f t="shared" si="0"/>
        <v>#DIV/0!</v>
      </c>
      <c r="AD29" s="175" t="e">
        <f t="shared" si="0"/>
        <v>#DIV/0!</v>
      </c>
      <c r="AE29" s="175" t="e">
        <f t="shared" si="0"/>
        <v>#DIV/0!</v>
      </c>
      <c r="AF29" s="175" t="e">
        <f t="shared" si="0"/>
        <v>#DIV/0!</v>
      </c>
      <c r="AG29" s="175" t="e">
        <f t="shared" si="0"/>
        <v>#DIV/0!</v>
      </c>
      <c r="AH29" s="175" t="e">
        <f t="shared" ref="AH29" si="2">AH23/AH17-1</f>
        <v>#DIV/0!</v>
      </c>
    </row>
    <row r="30" spans="6:34">
      <c r="Y30" s="81" t="s">
        <v>508</v>
      </c>
      <c r="Z30" s="176" t="e">
        <f t="shared" si="0"/>
        <v>#DIV/0!</v>
      </c>
      <c r="AA30" s="176" t="e">
        <f t="shared" si="0"/>
        <v>#DIV/0!</v>
      </c>
      <c r="AB30" s="176" t="e">
        <f t="shared" si="0"/>
        <v>#DIV/0!</v>
      </c>
      <c r="AC30" s="176" t="e">
        <f t="shared" si="0"/>
        <v>#DIV/0!</v>
      </c>
      <c r="AD30" s="175" t="e">
        <f t="shared" si="0"/>
        <v>#DIV/0!</v>
      </c>
      <c r="AE30" s="175" t="e">
        <f t="shared" si="0"/>
        <v>#DIV/0!</v>
      </c>
      <c r="AF30" s="175" t="e">
        <f t="shared" si="0"/>
        <v>#DIV/0!</v>
      </c>
      <c r="AG30" s="175" t="e">
        <f t="shared" si="0"/>
        <v>#DIV/0!</v>
      </c>
      <c r="AH30" s="175" t="e">
        <f t="shared" ref="AH30" si="3">AH24/AH18-1</f>
        <v>#DIV/0!</v>
      </c>
    </row>
    <row r="31" spans="6:34">
      <c r="Y31" s="81" t="s">
        <v>506</v>
      </c>
      <c r="Z31" s="176" t="e">
        <f t="shared" si="0"/>
        <v>#DIV/0!</v>
      </c>
      <c r="AA31" s="176" t="e">
        <f t="shared" si="0"/>
        <v>#DIV/0!</v>
      </c>
      <c r="AB31" s="176" t="e">
        <f t="shared" si="0"/>
        <v>#DIV/0!</v>
      </c>
      <c r="AC31" s="176" t="e">
        <f t="shared" si="0"/>
        <v>#DIV/0!</v>
      </c>
      <c r="AD31" s="175" t="e">
        <f t="shared" si="0"/>
        <v>#DIV/0!</v>
      </c>
      <c r="AE31" s="175" t="e">
        <f t="shared" si="0"/>
        <v>#DIV/0!</v>
      </c>
      <c r="AF31" s="175" t="e">
        <f t="shared" si="0"/>
        <v>#DIV/0!</v>
      </c>
      <c r="AG31" s="175" t="e">
        <f t="shared" si="0"/>
        <v>#DIV/0!</v>
      </c>
      <c r="AH31" s="175" t="e">
        <f t="shared" ref="AH31" si="4">AH25/AH19-1</f>
        <v>#DIV/0!</v>
      </c>
    </row>
    <row r="32" spans="6:34">
      <c r="Y32" s="81" t="s">
        <v>500</v>
      </c>
      <c r="Z32" s="176" t="e">
        <f t="shared" si="0"/>
        <v>#DIV/0!</v>
      </c>
      <c r="AA32" s="176" t="e">
        <f t="shared" si="0"/>
        <v>#DIV/0!</v>
      </c>
      <c r="AB32" s="176" t="e">
        <f t="shared" si="0"/>
        <v>#DIV/0!</v>
      </c>
      <c r="AC32" s="176" t="e">
        <f t="shared" si="0"/>
        <v>#DIV/0!</v>
      </c>
      <c r="AD32" s="175" t="e">
        <f t="shared" si="0"/>
        <v>#DIV/0!</v>
      </c>
      <c r="AE32" s="175" t="e">
        <f t="shared" si="0"/>
        <v>#DIV/0!</v>
      </c>
      <c r="AF32" s="175" t="e">
        <f t="shared" si="0"/>
        <v>#DIV/0!</v>
      </c>
      <c r="AG32" s="175" t="e">
        <f t="shared" si="0"/>
        <v>#DIV/0!</v>
      </c>
      <c r="AH32" s="175" t="e">
        <f t="shared" ref="AH32" si="5">AH26/AH20-1</f>
        <v>#DIV/0!</v>
      </c>
    </row>
    <row r="39" spans="13:13">
      <c r="M39" s="82" t="s">
        <v>1040</v>
      </c>
    </row>
  </sheetData>
  <mergeCells count="7">
    <mergeCell ref="V2:W2"/>
    <mergeCell ref="D2:F2"/>
    <mergeCell ref="G2:I2"/>
    <mergeCell ref="J2:L2"/>
    <mergeCell ref="M2:O2"/>
    <mergeCell ref="P2:R2"/>
    <mergeCell ref="S2:U2"/>
  </mergeCells>
  <printOptions horizontalCentered="1" verticalCentered="1"/>
  <pageMargins left="0.7" right="0.7" top="0.75" bottom="0.75" header="0.3" footer="0.3"/>
  <pageSetup paperSize="123" scale="31" orientation="portrait" r:id="rId1"/>
  <customProperties>
    <customPr name="Qube.Worksheet.ID" r:id="rId2"/>
    <customPr name="Qube.Worksheet.Visibility" r:id="rId3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/>
  <dimension ref="B1:D32"/>
  <sheetViews>
    <sheetView showGridLines="0" tabSelected="1" workbookViewId="0"/>
  </sheetViews>
  <sheetFormatPr defaultColWidth="9.140625" defaultRowHeight="12"/>
  <cols>
    <col min="1" max="1" width="11.140625" style="186" bestFit="1" customWidth="1"/>
    <col min="2" max="2" width="12" style="186" bestFit="1" customWidth="1"/>
    <col min="3" max="16384" width="9.140625" style="186"/>
  </cols>
  <sheetData>
    <row r="1" spans="2:4">
      <c r="B1" s="184"/>
      <c r="C1" s="185"/>
    </row>
    <row r="3" spans="2:4" s="187" customFormat="1"/>
    <row r="4" spans="2:4" s="187" customFormat="1" ht="27.75">
      <c r="D4" s="188" t="s">
        <v>1151</v>
      </c>
    </row>
    <row r="5" spans="2:4" s="187" customFormat="1" ht="18">
      <c r="D5" s="189" t="s">
        <v>1044</v>
      </c>
    </row>
    <row r="6" spans="2:4" s="187" customFormat="1"/>
    <row r="7" spans="2:4" s="187" customFormat="1"/>
    <row r="8" spans="2:4" s="187" customFormat="1"/>
    <row r="9" spans="2:4" s="187" customFormat="1"/>
    <row r="10" spans="2:4" s="187" customFormat="1"/>
    <row r="11" spans="2:4" s="190" customFormat="1"/>
    <row r="13" spans="2:4">
      <c r="B13" s="191"/>
    </row>
    <row r="14" spans="2:4">
      <c r="B14" s="192"/>
    </row>
    <row r="16" spans="2:4">
      <c r="B16" s="192" t="s">
        <v>1091</v>
      </c>
    </row>
    <row r="17" spans="2:2" ht="12.75">
      <c r="B17" s="218" t="s">
        <v>1092</v>
      </c>
    </row>
    <row r="18" spans="2:2">
      <c r="B18" s="193" t="s">
        <v>2053</v>
      </c>
    </row>
    <row r="20" spans="2:2">
      <c r="B20" s="192" t="s">
        <v>2061</v>
      </c>
    </row>
    <row r="21" spans="2:2" ht="12.75">
      <c r="B21" s="218" t="s">
        <v>2062</v>
      </c>
    </row>
    <row r="22" spans="2:2">
      <c r="B22" s="193" t="s">
        <v>2063</v>
      </c>
    </row>
    <row r="23" spans="2:2">
      <c r="B23" s="194"/>
    </row>
    <row r="24" spans="2:2">
      <c r="B24" s="192" t="s">
        <v>2050</v>
      </c>
    </row>
    <row r="25" spans="2:2" ht="12.75">
      <c r="B25" s="218" t="s">
        <v>2051</v>
      </c>
    </row>
    <row r="26" spans="2:2">
      <c r="B26" s="193" t="s">
        <v>2052</v>
      </c>
    </row>
    <row r="27" spans="2:2">
      <c r="B27" s="194"/>
    </row>
    <row r="29" spans="2:2">
      <c r="B29" s="192"/>
    </row>
    <row r="30" spans="2:2">
      <c r="B30" s="195"/>
    </row>
    <row r="31" spans="2:2">
      <c r="B31" s="196"/>
    </row>
    <row r="32" spans="2:2">
      <c r="B32" s="194"/>
    </row>
  </sheetData>
  <hyperlinks>
    <hyperlink ref="B17" r:id="rId1" xr:uid="{18545EA6-17F4-4A4B-B10D-E8B2B2C2CFD4}"/>
    <hyperlink ref="B21" r:id="rId2" xr:uid="{51825050-ED61-4554-90DE-60C67A82079E}"/>
    <hyperlink ref="B25" r:id="rId3" xr:uid="{8EDD9D0F-75A7-4919-9DEB-4934D009389B}"/>
  </hyperlinks>
  <pageMargins left="0.7" right="0.7" top="0.75" bottom="0.75" header="0.3" footer="0.3"/>
  <pageSetup paperSize="9" orientation="portrait" r:id="rId4"/>
  <customProperties>
    <customPr name="Qube.Worksheet.ID" r:id="rId5"/>
    <customPr name="Qube.Worksheet.Visibility" r:id="rId6"/>
  </customProperties>
  <drawing r:id="rId7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FdsFormulaCache xmlns="urn:fdsformulacache" version="2" timestamp="1724394852"><![CDATA[{"RDY-AU^P_DATE(43647,44649,W,\"DATEJ\")":[43651,43658,43665,43672,43679,43686,43693,43700,43707,43714,43721,43728,43735,43742,43749,43756,43763,43770,43777,43784,43791,43798,43805,43812,43819,43826,43833,43840,43847,43854,43861,43868,43875,43882,43889,43896,43903,43910,43917,43924,43930,43938,43945,43952,43959,43966,43973,43980,43987,43994,44001,44008,44015,44022,44029,44036,44043,44050,44057,44064,44071,44078,44085,44092,44099,44106,44113,44120,44127,44134,44141,44148,44155,44162,44169,44176,44183,44189,44196,44204,44211,44218,44225,44232,44239,44246,44253,44260,44267,44274,44281,44287,44295,44302,44309,44316,44323,44330,44337,44344,44351,44358,44365,44372,44379,44386,44393,44400,44407,44414,44421,44428,44435,44442,44449,44456,44463,44470,44477,44484,44491,44498,44505,44512,44519,44526,44533,44540,44547,44554,44561,44568,44575,44582,44589,44596,44603,44610,44617,44624,44631,44638,44645],"OCL-AU^FREF_SHARES_COMPANY(44732,,,,0,\"LEGACY\")":94.8071136474609,"OCL-AU^FG_PRICE(44732)":12.67,"OCL-AU^P_DATE(36756,44732,M,\"DATEJ\")":[36769,36798,36830,36860,36889,36922,36950,36980,37011,37042,37071,37103,37134,37162,37195,37225,37256,37287,37315,37343,37376,37407,37435,37468,37498,37529,37560,37589,37621,37652,37680,37711,37741,37771,37802,37833,37862,37894,37925,37953,37986,38016,38044,38077,38107,38138,38168,38198,38230,38260,38289,38321,38352,38383,38411,38442,38471,38503,38533,38562,38595,38625,38656,38686,38716,38748,38776,38807,38835,38868,38898,38929,38960,38989,39021,39051,39080,39113,39141,39171,39202,39233,39262,39294,39325,39353,39386,39416,39447,39478,39507,39538,39568,39598,39629,39660,39689,39721,39752,39780,39813,39843,39871,39903,39933,39962,39994,40025,40056,40086,40116,40147,40178,40207,40235,40268,40298,40329,40359,40389,40421,40451,40480,40512,40543,40574,40602,40633,40662,40694,40724,40753,40786,40816,40847,40877,40907,40939,40968,40998,41029,41060,41089,41121,41152,41180,41213,41243,41274,41305,41333,41361,41394,41425,41453,41486,41516,41547,41578,41607,41639,41670,41698,41729,41759,41789,41820,41851,41880,41912,41943,41971,42004,42034,42062,42094,42124,42153,42185,42216,42247,42277,42307,42338,42369,42398,42429,42460,42489,42521,42551,42580,42613,42643,42674,42704,42734,42766,42794,42825,42853,42886,42916,42947,42978,43007,43039,43069,43098,43131,43159,43188,43220,43251,43280,43312,43343,43371,43404,43434,43465,43496,43524,43553,43585,43616,43644,43677,43707,43738,43769,43798,43830,43861,43889,43921,43951,43980,44012,44043,44074,44104,44134,44165,44196,44225,44253,44286,44316,44347,44377,44407,44439,44469,44498,44530,44561,44592,44620,44651,44680,44712],"OCL-AU^FG_PRICE(NOW)":12.97,"OCL-AU^FE_ESTIMATE(NET_DEBT,MEAN,ANN_ROLL,2026,NOW,,,'CURRENCY=AUD')":-93.070526,"OCL-AU^FE_ESTIMATE(NET_DEBT,MEAN,ANN_ROLL,2025,NOW,,,'CURRENCY=AUD')":-76.78781,"OCL-AU^FE_ESTIMATE(NET_DEBT,MEAN,ANN_ROLL,2024,NOW,,,'CURRENCY=AUD')":-68.69556,"OCL-AU^FE_ESTIMATE(NET_DEBT,MEAN,ANN_ROLL,2023,NOW,,,'CURRENCY=AUD')":-64.55575,"OCL-AU^FE_ESTIMATE(NET_DEBT,MEAN,ANN_ROLL,2022,NOW,,,'CURRENCY=AUD')":-54.577,"OCL-AU^FE_ESTIMATE(FCF,MEAN,ANN_ROLL,2026,NOW,,,'CURRENCY=AUD')":35.5,"OCL-AU^FE_ESTIMATE(FCF,MEAN,ANN_ROLL,2025,NOW,,,'CURRENCY=AUD')":26.7,"OCL-AU^FE_ESTIMATE(FCF,MEAN,ANN_ROLL,2024,NOW,,,'CURRENCY=AUD')":23.8,"OCL-AU^FE_ESTIMATE(FCF,MEAN,ANN_ROLL,2023,NOW,,,'CURRENCY=AUD')":19.6475,"OCL-AU^FE_ESTIMATE(FCF,MEAN,ANN_ROLL,2022,NOW,,,'CURRENCY=AUD')":26.35,"OCL-AU^FE_ESTIMATE(CF_OP,MEAN,ANN_ROLL,2026,NOW,,,'CURRENCY=AUD')":52.45,"OCL-AU^FE_ESTIMATE(CF_OP,MEAN,ANN_ROLL,2025,NOW,,,'CURRENCY=AUD')":43.8,"OCL-AU^FE_ESTIMATE(CF_OP,MEAN,ANN_ROLL,2024,NOW,,,'CURRENCY=AUD')":34.4,"OCL-AU^FE_ESTIMATE(CF_OP,MEAN,ANN_ROLL,2023,NOW,,,'CURRENCY=AUD')":23.475666,"OCL-AU^FE_ESTIMATE(CF_OP,MEAN,ANN_ROLL,2022,NOW,,,'CURRENCY=AUD')":30.5,"OCL-AU^FE_ESTIMATE(EPS,MEAN,ANN_ROLL,2026,NOW,,,'CURRENCY=AUD')":0.45273674,"OCL-AU^FE_ESTIMATE(EPS,MEAN,ANN_ROLL,2025,NOW,,,'CURRENCY=AUD')":0.3893775,"OCL-AU^FE_ESTIMATE(EPS,MEAN,ANN_ROLL,2024,NOW,,,'CURRENCY=AUD')":0.329,"OCL-AU^FE_ESTIMATE(EPS,MEAN,ANN_ROLL,2023,NOW,,,'CURRENCY=AUD')":0.222,"OCL-AU^FE_ESTIMATE(EPS,MEAN,ANN_ROLL,2022,NOW,,,'CURRENCY=AUD')":0.222,"OCL-AU^FE_ESTIMATE(EBITDA,MEAN,ANN_ROLL,2026,NOW,,,'CURRENCY=AUD')":59.89102,"OCL-AU^FE_ESTIMATE(EBITDA,MEAN,ANN_ROLL,2025,NOW,,,'CURRENCY=AUD')":51.221302,"OCL-AU^FE_ESTIMATE(EBITDA,MEAN,ANN_ROLL,2024,NOW,,,'CURRENCY=AUD')":45.00768,"OCL-AU^FE_ESTIMATE(EBITDA,MEAN,ANN_ROLL,2023,NOW,,,'CURRENCY=AUD')":26.026,"OCL-AU^FE_ESTIMATE(EBITDA,MEAN,ANN_ROLL,2022,NOW,,,'CURRENCY=AUD')":30.35725,"OCL-AU^FE_ESTIMATE(GROSS_INC,MEAN,ANN_ROLL,2026,NOW,,,'CURRENCY=AUD')":135.55,"OCL-AU^FE_ESTIMATE(GROSS_INC,MEAN,ANN_ROLL,2025,NOW,,,'CURRENCY=AUD')":121.9,"OCL-AU^FE_ESTIMATE(GROSS_INC,MEAN,ANN_ROLL,2024,NOW,,,'CURRENCY=AUD')":109.65,"OCL-AU^FE_ESTIMATE(GROSS_INC,MEAN,ANN_ROLL,2023,NOW,,,'CURRENCY=AUD')":101.708,"OCL-AU^FE_ESTIMATE(GROSS_INC,MEAN,ANN_ROLL,2022,NOW,,,'CURRENCY=AUD')":100.7,"OCL-AU^FE_ESTIMATE(SALES,MEAN,ANN_ROLL,2026,NOW,,,'CURRENCY=AUD')":143.94986,"OCL-AU^FE_ESTIMATE(SALES,MEAN,ANN_ROLL,2025,NOW,,,'CURRENCY=AUD')":128.93088,"OCL-AU^FE_ESTIMATE(SALES,MEAN,ANN_ROLL,2024,NOW,,,'CURRENCY=AUD')":118.0,"OCL-AU^FE_ESTIMATE(SALES,MEAN,ANN_ROLL,2023,NOW,,,'CURRENCY=AUD')":110.4,"OCL-AU^FE_ESTIMATE(SALES,MEAN,ANN_ROLL,2022,NOW,,,'CURRENCY=AUD')":107.0,"^P_EXCH_RATE(AUD,AUD,0)":1.0,"OCL-AU^FE_ESTIMATE(NET_DEBT,MEAN,ANN_ROLL,2021,NOW,,,'CURRENCY=AUD')":null,"OCL-AU^FE_ESTIMATE(FCF,MEAN,ANN_ROLL,2021,NOW,,,'CURRENCY=AUD')":21.1,"OCL-AU^FE_ESTIMATE(CF_OP,MEAN,ANN_ROLL,2021,NOW,,,'CURRENCY=AUD')":24.7,"OCL-AU^FE_ESTIMATE(EPS,MEAN,ANN_ROLL,2021,NOW,,,'CURRENCY=AUD')":0.168,"OCL-AU^FE_ESTIMATE(EBITDA,MEAN,ANN_ROLL,2021,NOW,,,'CURRENCY=AUD')":33.0,"OCL-AU^FE_ESTIMATE(GROSS_INC,MEAN,ANN_ROLL,2021,NOW,,,'CURRENCY=AUD')":null,"OCL-AU^FE_ESTIMATE(SALES,MEAN,ANN_ROLL,2021,NOW,,,'CURRENCY=AUD')":95.056,"OCL-AU^FG_PRICE(36769)":0.87,"OCL-AU^FREF_SHARES_COMPANY(36769,,,,0,\"LEGACY\")":134.834503173828,"OCL-AU^FG_PRICE(36798)":0.69,"OCL-AU^FREF_SHARES_COMPANY(36798,,,,0,\"LEGACY\")":134.834503173828,"OCL-AU^FG_PRICE(36830)":0.74,"OCL-AU^FREF_SHARES_COMPANY(36830,,,,0,\"LEGACY\")":134.834503173828,"OCL-AU^FG_PRICE(36860)":0.6,"OCL-AU^FREF_SHARES_COMPANY(36860,,,,0,\"LEGACY\")":134.834503173828,"OCL-AU^FG_PRICE(36889)":0.57,"OCL-AU^FREF_SHARES_COMPANY(36889,,,,0,\"LEGACY\")":134.834503173828,"OCL-AU^FG_PRICE(36922)":0.54,"OCL-AU^FREF_SHARES_COMPANY(36922,,,,0,\"LEGACY\")":134.834503173828,"OCL-AU^FG_PRICE(36950)":0.5,"OCL-AU^FREF_SHARES_COMPANY(36950,,,,0,\"LEGACY\")":134.834503173828,"OCL-AU^FG_PRICE(36980)":0.49,"OCL-AU^FREF_SHARES_COMPANY(36980,,,,0,\"LEGACY\")":134.834503173828,"OCL-AU^FG_PRICE(37011)":0.46,"OCL-AU^FREF_SHARES_COMPANY(37011,,,,0,\"LEGACY\")":134.834503173828,"OCL-AU^FG_PRICE(37042)":0.28,"OCL-AU^FREF_SHARES_COMPANY(37042,,,,0,\"LEGACY\")":134.834503173828,"OCL-AU^FG_PRICE(37071)":0.315,"OCL-AU^FREF_SHARES_COMPANY(37071,,,,0,\"LEGACY\")":134.834503173828,"OCL-AU^FG_PRICE(37103)":0.46,"OCL-AU^FREF_SHARES_COMPANY(37103,,,,0,\"LEGACY\")":134.834503173828,"OCL-AU^FG_PRICE(37134)":0.34,"OCL-AU^FREF_SHARES_COMPANY(37134,,,,0,\"LEGACY\")":134.834503173828,"OCL-AU^FG_PRICE(37162)":0.3,"OCL-AU^FREF_SHARES_COMPANY(37162,,,,0,\"LEGACY\")":134.834503173828,"OCL-AU^FG_PRICE(37195)":0.22,"OCL-AU^FREF_SHARES_COMPANY(37195,,,,0,\"LEGACY\")":134.834503173828,"OCL-AU^FG_PRICE(37225)":0.27,"OCL-AU^FREF_SHARES_COMPANY(37225,,,,0,\"LEGACY\")":134.834503173828,"OCL-AU^FG_PRICE(37256)":0.27,"OCL-AU^FREF_SHARES_COMPANY(37256,,,,0,\"LEGACY\")":134.834503173828,"OCL-AU^FG_PRICE(37287)":0.3,"OCL-AU^FREF_SHARES_COMPANY(37287,,,,0,\"LEGACY\")":134.834503173828,"OCL-AU^FG_PRICE(37315)":0.28,"OCL-AU^FREF_SHARES_COMPANY(37315,,,,0,\"LEGACY\")":134.834503173828,"OCL-AU^FG_PRICE(37343)":0.31,"OCL-AU^FREF_SHARES_COMPANY(37343,,,,0,\"LEGACY\")":134.834503173828,"OCL-AU^FG_PRICE(37376)":0.29,"OCL-AU^FREF_SHARES_COMPANY(37376,,,,0,\"LEGACY\")":134.834503173828,"OCL-AU^FG_PRICE(37407)":0.24,"OCL-AU^FREF_SHARES_COMPANY(37407,,,,0,\"LEGACY\")":134.834503173828,"OCL-AU^FG_PRICE(37435)":0.21,"OCL-AU^FREF_SHARES_COMPANY(37435,,,,0,\"LEGACY\")":134.834503173828,"OCL-AU^FG_PRICE(37468)":0.2,"OCL-AU^FREF_SHARES_COMPANY(37468,,,,0,\"LEGACY\")":134.834503173828,"OCL-AU^FG_PRICE(37498)":0.2,"OCL-AU^FREF_SHARES_COMPANY(37498,,,,0,\"LEGACY\")":134.834503173828,"OCL-AU^FG_PRICE(37529)":0.2,"OCL-AU^FREF_SHARES_COMPANY(37529,,,,0,\"LEGACY\")":134.834503173828,"OCL-AU^FG_PRICE(37560)":0.165,"OCL-AU^FREF_SHARES_COMPANY(37560,,,,0,\"LEGACY\")":134.834503173828,"OCL-AU^FG_PRICE(37589)":0.185,"OCL-AU^FREF_SHARES_COMPANY(37589,,,,0,\"LEGACY\")":134.834503173828,"OCL-AU^FG_PRICE(37621)":0.2,"OCL-AU^FREF_SHARES_COMPANY(37621,,,,0,\"LEGACY\")":134.834503173828,"OCL-AU^FG_PRICE(37652)":0.185,"OCL-AU^FREF_SHARES_COMPANY(37652,,,,0,\"LEGACY\")":134.834503173828,"OCL-AU^FG_PRICE(37680)":0.18,"OCL-AU^FREF_SHARES_COMPANY(37680,,,,0,\"LEGACY\")":134.834503173828,"OCL-AU^FG_PRICE(37711)":0.21,"OCL-AU^FREF_SHARES_COMPANY(37711,,,,0,\"LEGACY\")":134.834503173828,"OCL-AU^FG_PRICE(37741)":0.23,"OCL-AU^FREF_SHARES_COMPANY(37741,,,,0,\"LEGACY\")":134.834503173828,"OCL-AU^FG_PRICE(37771)":0.25,"OCL-AU^FREF_SHARES_COMPANY(37771,,,,0,\"LEGACY\")":134.834503173828,"OCL-AU^FG_PRICE(37802)":0.22,"OCL-AU^FREF_SHARES_COMPANY(37802,,,,0,\"LEGACY\")":134.834503173828,"OCL-AU^FG_PRICE(37833)":0.25,"OCL-AU^FREF_SHARES_COMPANY(37833,,,,0,\"LEGACY\")":134.834503173828,"OCL-AU^FG_PRICE(37862)":0.275,"OCL-AU^FREF_SHARES_COMPANY(37862,,,,0,\"LEGACY\")":134.834503173828,"OCL-AU^FG_PRICE(37894)":0.29,"OCL-AU^FREF_SHARES_COMPANY(37894,,,,0,\"LEGACY\")":134.834503173828,"OCL-AU^FG_PRICE(37925)":0.27,"OCL-AU^FREF_SHARES_COMPANY(37925,,,,0,\"LEGACY\")":134.834503173828,"OCL-AU^FG_PRICE(37953)":0.27,"OCL-AU^FREF_SHARES_COMPANY(37953,,,,0,\"LEGACY\")":134.834503173828,"OCL-AU^FG_PRICE(37986)":0.3,"OCL-AU^FREF_SHARES_COMPANY(37986,,,,0,\"LEGACY\")":134.834503173828,"OCL-AU^FG_PRICE(38016)":0.34,"OCL-AU^FREF_SHARES_COMPANY(38016,,,,0,\"LEGACY\")":134.834503173828,"OCL-AU^FG_PRICE(38044)":0.465,"OCL-AU^FREF_SHARES_COMPANY(38044,,,,0,\"LEGACY\")":134.834503173828,"OCL-AU^FG_PRICE(38077)":0.56,"OCL-AU^FREF_SHARES_COMPANY(38077,,,,0,\"LEGACY\")":134.834503173828,"OCL-AU^FG_PRICE(38107)":0.52,"OCL-AU^FREF_SHARES_COMPANY(38107,,,,0,\"LEGACY\")":134.834503173828,"OCL-AU^FG_PRICE(38138)":0.61,"OCL-AU^FREF_SHARES_COMPANY(38138,,,,0,\"LEGACY\")":134.834503173828,"OCL-AU^FG_PRICE(38168)":0.55,"OCL-AU^FREF_SHARES_COMPANY(38168,,,,0,\"LEGACY\")":134.834503173828,"OCL-AU^FG_PRICE(38198)":0.68,"OCL-AU^FREF_SHARES_COMPANY(38198,,,,0,\"LEGACY\")":134.834503173828,"OCL-AU^FG_PRICE(38230)":0.9,"OCL-AU^FREF_SHARES_COMPANY(38230,,,,0,\"LEGACY\")":134.834503173828,"OCL-AU^FG_PRICE(38260)":0.9,"OCL-AU^FREF_SHARES_COMPANY(38260,,,,0,\"LEGACY\")":135.03450012207,"OCL-AU^FG_PRICE(38289)":0.96,"OCL-AU^FREF_SHARES_COMPANY(38289,,,,0,\"LEGACY\")":135.058502197266,"OCL-AU^FG_PRICE(38321)":0.93,"OCL-AU^FREF_SHARES_COMPANY(38321,,,,0,\"LEGACY\")":135.174499511719,"OCL-AU^FG_PRICE(38352)":0.89,"OCL-AU^FREF_SHARES_COMPANY(38352,,,,0,\"LEGACY\")":135.300506591797,"OCL-AU^FG_PRICE(38383)":0.8,"OCL-AU^FREF_SHARES_COMPANY(38383,,,,0,\"LEGACY\")":135.300506591797,"OCL-AU^FG_PRICE(38411)":0.9,"OCL-AU^FREF_SHARES_COMPANY(38411,,,,0,\"LEGACY\")":135.326507568359,"OCL-AU^FG_PRICE(38442)":0.9,"OCL-AU^FREF_SHARES_COMPANY(38442,,,,0,\"LEGACY\")":135.326507568359,"OCL-AU^FG_PRICE(38471)":0.93,"OCL-AU^FREF_SHARES_COMPANY(38471,,,,0,\"LEGACY\")":135.446502685547,"OCL-AU^FG_PRICE(38503)":0.975,"OCL-AU^FREF_SHARES_COMPANY(38503,,,,0,\"LEGACY\")":135.449020385742,"OCL-AU^FG_PRICE(38533)":0.99,"OCL-AU^FREF_SHARES_COMPANY(38533,,,,0,\"LEGACY\")":135.449020385742,"OCL-AU^FG_PRICE(38562)":1.17,"OCL-AU^FREF_SHARES_COMPANY(38562,,,,0,\"LEGACY\")":135.449020385742,"OCL-AU^FG_PRICE(38595)":1.4300001,"OCL-AU^FREF_SHARES_COMPANY(38595,,,,0,\"LEGACY\")":135.473999023438,"OCL-AU^FG_PRICE(38625)":1.6800001,"OCL-AU^FREF_SHARES_COMPANY(38625,,,,0,\"LEGACY\")":135.473999023438,"OCL-AU^FG_PRICE(38656)":1.72,"OCL-AU^FREF_SHARES_COMPANY(38656,,,,0,\"LEGACY\")":135.571502685547,"OCL-AU^FG_PRICE(38686)":1.6,"OCL-AU^FREF_SHARES_COMPANY(38686,,,,0,\"LEGACY\")":135.571502685547,"OCL-AU^FG_PRICE(38716)":1.6,"OCL-AU^FREF_SHARES_COMPANY(38716,,,,0,\"LEGACY\")":135.595504760742,"OCL-AU^FG_PRICE(38748)":1.8000001,"OCL-AU^FREF_SHARES_COMPANY(38748,,,,0,\"LEGACY\")":135.595504760742,"OCL-AU^FG_PRICE(38776)":1.6,"OCL-AU^FREF_SHARES_COMPANY(38776,,,,0,\"LEGACY\")":135.595504760742,"OCL-AU^FG_PRICE(38807)":1.5,"OCL-AU^FREF_SHARES_COMPANY(38807,,,,0,\"LEGACY\")":135.595504760742,"OCL-AU^FG_PRICE(38835)":1.375,"OCL-AU^FREF_SHARES_COMPANY(38835,,,,0,\"LEGACY\")":135.595504760742,"OCL-AU^FG_PRICE(38868)":1.3000001,"OCL-AU^FREF_SHARES_COMPANY(38868,,,,0,\"LEGACY\")":135.615493774414,"OCL-AU^FG_PRICE(38898)":1.4,"OCL-AU^FREF_SHARES_COMPANY(38898,,,,0,\"LEGACY\")":135.615493774414,"OCL-AU^FG_PRICE(38929)":1.05,"OCL-AU^FREF_SHARES_COMPANY(38929,,,,0,\"LEGACY\")":135.615493774414,"OCL-AU^FG_PRICE(38960)":1.15,"OCL-AU^FREF_SHARES_COMPANY(38960,,,,0,\"LEGACY\")":135.710494995117,"OCL-AU^FG_PRICE(38989)":0.995,"OCL-AU^FREF_SHARES_COMPANY(38989,,,,0,\"LEGACY\")":135.710494995117,"OCL-AU^FG_PRICE(39021)":0.965,"OCL-AU^FREF_SHARES_COMPANY(39021,,,,0,\"LEGACY\")":135.723022460938,"OCL-AU^FG_PRICE(39051)":0.955,"OCL-AU^FREF_SHARES_COMPANY(39051,,,,0,\"LEGACY\")":135.733016967773,"OCL-AU^FG_PRICE(39080)":0.81,"OCL-AU^FREF_SHARES_COMPANY(39080,,,,0,\"LEGACY\")":135.733016967773,"OCL-AU^FG_PRICE(39113)":0.65,"OCL-AU^FREF_SHARES_COMPANY(39113,,,,0,\"LEGACY\")":135.733016967773,"OCL-AU^FG_PRICE(39141)":0.63,"OCL-AU^FREF_SHARES_COMPANY(39141,,,,0,\"LEGACY\")":135.733016967773,"OCL-AU^FG_PRICE(39171)":0.525,"OCL-AU^FREF_SHARES_COMPANY(39171,,,,0,\"LEGACY\")":135.733016967773,"OCL-AU^FG_PRICE(39202)":0.525,"OCL-AU^FREF_SHARES_COMPANY(39202,,,,0,\"LEGACY\")":135.733016967773,"OCL-AU^FG_PRICE(39233)":0.61,"OCL-AU^FREF_SHARES_COMPANY(39233,,,,0,\"LEGACY\")":135.733016967773,"OCL-AU^FG_PRICE(39262)":0.76,"OCL-AU^FREF_SHARES_COMPANY(39262,,,,0,\"LEGACY\")":135.733016967773,"OCL-AU^FG_PRICE(39294)":0.69,"OCL-AU^FREF_SHARES_COMPANY(39294,,,,0,\"LEGACY\")":135.733016967773,"OCL-AU^FG_PRICE(39325)":0.55,"OCL-AU^FREF_SHARES_COMPANY(39325,,,,0,\"LEGACY\")":135.732986450195,"OCL-AU^FG_PRICE(39353)":0.6,"OCL-AU^FREF_SHARES_COMPANY(39353,,,,0,\"LEGACY\")":135.732986450195,"OCL-AU^FG_PRICE(39386)":0.5,"OCL-AU^FREF_SHARES_COMPANY(39386,,,,0,\"LEGACY\")":135.732986450195,"OCL-AU^FG_PRICE(39416)":0.42,"OCL-AU^FREF_SHARES_COMPANY(39416,,,,0,\"LEGACY\")":135.732986450195,"OCL-AU^FG_PRICE(39447)":0.39,"OCL-AU^FREF_SHARES_COMPANY(39447,,,,0,\"LEGACY\")":135.983016967773,"OCL-AU^FG_PRICE(39478)":0.38,"OCL-AU^FREF_SHARES_COMPANY(39478,,,,0,\"LEGACY\")":135.983016967773,"OCL-AU^FG_PRICE(39507)":0.28,"OCL-AU^FREF_SHARES_COMPANY(39507,,,,0,\"LEGACY\")":135.983016967773,"OCL-AU^FG_PRICE(39538)":0.33,"OCL-AU^FREF_SHARES_COMPANY(39538,,,,0,\"LEGACY\")":135.732986450195,"OCL-AU^FG_PRICE(39568)":0.35,"OCL-AU^FREF_SHARES_COMPANY(39568,,,,0,\"LEGACY\")":135.732986450195,"OCL-AU^FG_PRICE(39598)":0.375,"OCL-AU^FREF_SHARES_COMPANY(39598,,,,0,\"LEGACY\")":135.732986450195,"OCL-AU^FG_PRICE(39629)":0.365,"OCL-AU^FREF_SHARES_COMPANY(39629,,,,0,\"LEGACY\")":135.732986450195,"OCL-AU^FG_PRICE(39660)":0.3,"OCL-AU^FREF_SHARES_COMPANY(39660,,,,0,\"LEGACY\")":135.732986450195,"OCL-AU^FG_PRICE(39689)":0.35,"OCL-AU^FREF_SHARES_COMPANY(39689,,,,0,\"LEGACY\")":135.732986450195,"OCL-AU^FG_PRICE(39721)":0.3,"OCL-AU^FREF_SHARES_COMPANY(39721,,,,0,\"LEGACY\")":135.732986450195,"OCL-AU^FG_PRICE(39752)":0.2,"OCL-AU^FREF_SHARES_COMPANY(39752,,,,0,\"LEGACY\")":135.732986450195,"OCL-AU^FG_PRICE(39780)":0.2,"OCL-AU^FREF_SHARES_COMPANY(39780,,,,0,\"LEGACY\")":134.455123901367,"OCL-AU^FG_PRICE(39813)":0.205,"OCL-AU^FREF_SHARES_COMPANY(39813,,,,0,\"LEGACY\")":134.330139160156,"OCL-AU^FG_PRICE(39843)":0.2,"OCL-AU^FREF_SHARES_COMPANY(39843,,,,0,\"LEGACY\")":134.330139160156,"OCL-AU^FG_PRICE(39871)":0.2,"OCL-AU^FREF_SHARES_COMPANY(39871,,,,0,\"LEGACY\")":134.330139160156,"OCL-AU^FG_PRICE(39903)":0.205,"OCL-AU^FREF_SHARES_COMPANY(39903,,,,0,\"LEGACY\")":134.330139160156,"OCL-AU^FG_PRICE(39933)":0.25,"OCL-AU^FREF_SHARES_COMPANY(39933,,,,0,\"LEGACY\")":125.753280639648,"OCL-AU^FG_PRICE(39962)":0.3,"OCL-AU^FREF_SHARES_COMPANY(39962,,,,0,\"LEGACY\")":125.753280639648,"OCL-AU^FG_PRICE(39994)":0.27,"OCL-AU^FREF_SHARES_COMPANY(39994,,,,0,\"LEGACY\")":125.753280639648,"OCL-AU^FG_PRICE(40025)":0.36,"OCL-AU^FREF_SHARES_COMPANY(40025,,,,0,\"LEGACY\")":125.753280639648,"OCL-AU^FG_PRICE(40056)":0.39,"OCL-AU^FREF_SHARES_COMPANY(40056,,,,0,\"LEGACY\")":120.753280639648,"OCL-AU^FG_PRICE(40086)":0.39,"OCL-AU^FREF_SHARES_COMPANY(40086,,,,0,\"LEGACY\")":120.753280639648,"OCL-AU^FG_PRICE(40116)":0.42,"OCL-AU^FREF_SHARES_COMPANY(40116,,,,0,\"LEGACY\")":120.753280639648,"OCL-AU^FG_PRICE(40147)":0.38,"OCL-AU^FREF_SHARES_COMPANY(40147,,,,0,\"LEGACY\")":120.753280639648,"OCL-AU^FG_PRICE(40178)":0.395,"OCL-AU^FREF_SHARES_COMPANY(40178,,,,0,\"LEGACY\")":120.753280639648,"OCL-AU^FG_PRICE(40207)":0.38,"OCL-AU^FREF_SHARES_COMPANY(40207,,,,0,\"LEGACY\")":120.753280639648,"OCL-AU^FG_PRICE(40235)":0.32,"OCL-AU^FREF_SHARES_COMPANY(40235,,,,0,\"LEGACY\")":120.753280639648,"OCL-AU^FG_PRICE(40268)":0.315,"OCL-AU^FREF_SHARES_COMPANY(40268,,,,0,\"LEGACY\")":120.753280639648,"OCL-AU^FG_PRICE(40298)":0.29,"OCL-AU^FREF_SHARES_COMPANY(40298,,,,0,\"LEGACY\")":120.753280639648,"OCL-AU^FG_PRICE(40329)":0.32,"OCL-AU^FREF_SHARES_COMPANY(40329,,,,0,\"LEGACY\")":120.753280639648,"OCL-AU^FG_PRICE(40359)":0.285,"OCL-AU^FREF_SHARES_COMPANY(40359,,,,0,\"LEGACY\")":120.753280639648,"OCL-AU^FG_PRICE(40389)":0.35,"OCL-AU^FREF_SHARES_COMPANY(40389,,,,0,\"LEGACY\")":120.753280639648,"OCL-AU^FG_PRICE(40421)":0.25,"OCL-AU^FREF_SHARES_COMPANY(40421,,,,0,\"LEGACY\")":120.753280639648,"OCL-AU^FG_PRICE(40451)":0.24,"OCL-AU^FREF_SHARES_COMPANY(40451,,,,0,\"LEGACY\")":120.753280639648,"OCL-AU^FG_PRICE(40480)":0.225,"OCL-AU^FREF_SHARES_COMPANY(40480,,,,0,\"LEGACY\")":120.753280639648,"OCL-AU^FG_PRICE(40512)":0.245,"OCL-AU^FREF_SHARES_COMPANY(40512,,,,0,\"LEGACY\")":120.753280639648,"OCL-AU^FG_PRICE(40543)":0.24,"OCL-AU^FREF_SHARES_COMPANY(40543,,,,0,\"LEGACY\")":120.753280639648,"OCL-AU^FG_PRICE(40574)":0.25,"OCL-AU^FREF_SHARES_COMPANY(40574,,,,0,\"LEGACY\")":120.753280639648,"OCL-AU^FG_PRICE(40602)":0.25,"OCL-AU^FREF_SHARES_COMPANY(40602,,,,0,\"LEGACY\")":120.753280639648,"OCL-AU^FG_PRICE(40633)":0.24,"OCL-AU^FREF_SHARES_COMPANY(40633,,,,0,\"LEGACY\")":120.753280639648,"OCL-AU^FG_PRICE(40662)":0.23,"OCL-AU^FREF_SHARES_COMPANY(40662,,,,0,\"LEGACY\")":120.753280639648,"OCL-AU^FG_PRICE(40694)":0.22,"OCL-AU^FREF_SHARES_COMPANY(40694,,,,0,\"LEGACY\")":120.753280639648,"OCL-AU^FG_PRICE(40724)":0.2,"OCL-AU^FREF_SHARES_COMPANY(40724,,,,0,\"LEGACY\")":120.753280639648,"OCL-AU^FG_PRICE(40753)":0.21,"OCL-AU^FREF_SHARES_COMPANY(40753,,,,0,\"LEGACY\")":120.753280639648,"OCL-AU^FG_PRICE(40786)":0.19,"OCL-AU^FREF_SHARES_COMPANY(40786,,,,0,\"LEGACY\")":120.753280639648,"OCL-AU^FG_PRICE(40816)":0.205,"OCL-AU^FREF_SHARES_COMPANY(40816,,,,0,\"LEGACY\")":120.753280639648,"OCL-AU^FG_PRICE(40847)":0.21,"OCL-AU^FREF_SHARES_COMPANY(40847,,,,0,\"LEGACY\")":120.753280639648,"OCL-AU^FG_PRICE(40877)":0.24,"OCL-AU^FREF_SHARES_COMPANY(40877,,,,0,\"LEGACY\")":120.753280639648,"OCL-AU^FG_PRICE(40907)":0.22,"OCL-AU^FREF_SHARES_COMPANY(40907,,,,0,\"LEGACY\")":100.753280639648,"OCL-AU^FG_PRICE(40939)":0.22,"OCL-AU^FREF_SHARES_COMPANY(40939,,,,0,\"LEGACY\")":100.753280639648,"OCL-AU^FG_PRICE(40968)":0.3,"OCL-AU^FREF_SHARES_COMPANY(40968,,,,0,\"LEGACY\")":100.753280639648,"OCL-AU^FG_PRICE(40998)":0.33,"OCL-AU^FREF_SHARES_COMPANY(40998,,,,0,\"LEGACY\")":100.753280639648,"OCL-AU^FG_PRICE(41029)":0.35,"OCL-AU^FREF_SHARES_COMPANY(41029,,,,0,\"LEGACY\")":100.753280639648,"OCL-AU^FG_PRICE(41060)":0.325,"OCL-AU^FREF_SHARES_COMPANY(41060,,,,0,\"LEGACY\")":100.753280639648,"OCL-AU^FG_PRICE(41089)":0.36,"OCL-AU^FREF_SHARES_COMPANY(41089,,,,0,\"LEGACY\")":100.753280639648,"OCL-AU^FG_PRICE(41121)":0.38,"OCL-AU^FREF_SHARES_COMPANY(41121,,,,0,\"LEGACY\")":100.753280639648,"OCL-AU^FG_PRICE(41152)":0.42,"OCL-AU^FREF_SHARES_COMPANY(41152,,,,0,\"LEGACY\")":100.753280639648,"OCL-AU^FG_PRICE(41180)":0.5,"OCL-AU^FREF_SHARES_COMPANY(41180,,,,0,\"LEGACY\")":100.753280639648,"OCL-AU^FG_PRICE(41213)":0.55,"OCL-AU^FREF_SHARES_COMPANY(41213,,,,0,\"LEGACY\")":100.753280639648,"OCL-AU^FG_PRICE(41243)":0.525,"OCL-AU^FREF_SHARES_COMPANY(41243,,,,0,\"LEGACY\")":100.753280639648,"OCL-AU^FG_PRICE(41274)":0.65,"OCL-AU^FREF_SHARES_COMPANY(41274,,,,0,\"LEGACY\")":100.753280639648,"OCL-AU^FG_PRICE(41305)":0.57,"OCL-AU^FREF_SHARES_COMPANY(41305,,,,0,\"LEGACY\")":100.753280639648,"OCL-AU^FG_PRICE(41333)":0.55,"OCL-AU^FREF_SHARES_COMPANY(41333,,,,0,\"LEGACY\")":100.753280639648,"OCL-AU^FG_PRICE(41361)":0.58,"OCL-AU^FREF_SHARES_COMPANY(41361,,,,0,\"LEGACY\")":100.753280639648,"OCL-AU^FG_PRICE(41394)":0.53,"OCL-AU^FREF_SHARES_COMPANY(41394,,,,0,\"LEGACY\")":100.753280639648,"OCL-AU^FG_PRICE(41425)":0.39,"OCL-AU^FREF_SHARES_COMPANY(41425,,,,0,\"LEGACY\")":100.753280639648,"OCL-AU^FG_PRICE(41453)":0.39,"OCL-AU^FREF_SHARES_COMPANY(41453,,,,0,\"LEGACY\")":100.753280639648,"OCL-AU^FG_PRICE(41486)":0.5,"OCL-AU^FREF_SHARES_COMPANY(41486,,,,0,\"LEGACY\")":100.753280639648,"OCL-AU^FG_PRICE(41516)":0.525,"OCL-AU^FREF_SHARES_COMPANY(41516,,,,0,\"LEGACY\")":100.753280639648,"OCL-AU^FG_PRICE(41547)":0.525,"OCL-AU^FREF_SHARES_COMPANY(41547,,,,0,\"LEGACY\")":100.753280639648,"OCL-AU^FG_PRICE(41578)":0.56,"OCL-AU^FREF_SHARES_COMPANY(41578,,,,0,\"LEGACY\")":100.753280639648,"OCL-AU^FG_PRICE(41607)":0.54,"OCL-AU^FREF_SHARES_COMPANY(41607,,,,0,\"LEGACY\")":100.753280639648,"OCL-AU^FG_PRICE(41639)":0.58,"OCL-AU^FREF_SHARES_COMPANY(41639,,,,0,\"LEGACY\")":88.2532806396484,"OCL-AU^FG_PRICE(41670)":0.68,"OCL-AU^FREF_SHARES_COMPANY(41670,,,,0,\"LEGACY\")":88.2532806396484,"OCL-AU^FG_PRICE(41698)":0.75,"OCL-AU^FREF_SHARES_COMPANY(41698,,,,0,\"LEGACY\")":88.2532806396484,"OCL-AU^FG_PRICE(41729)":0.8,"OCL-AU^FREF_SHARES_COMPANY(41729,,,,0,\"LEGACY\")":88.2532806396484,"OCL-AU^FG_PRICE(41759)":0.86,"OCL-AU^FREF_SHARES_COMPANY(41759,,,,0,\"LEGACY\")":88.2532806396484,"OCL-AU^FG_PRICE(41789)":1.11,"OCL-AU^FREF_SHARES_COMPANY(41789,,,,0,\"LEGACY\")":88.2532806396484,"OCL-AU^FG_PRICE(41820)":1.21,"OCL-AU^FREF_SHARES_COMPANY(41820,,,,0,\"LEGACY\")":88.2532806396484,"OCL-AU^FG_PRICE(41851)":1.54,"OCL-AU^FREF_SHARES_COMPANY(41851,,,,0,\"LEGACY\")":88.2532806396484,"OCL-AU^FG_PRICE(41880)":1.49,"OCL-AU^FREF_SHARES_COMPANY(41880,,,,0,\"LEGACY\")":88.2532806396484,"OCL-AU^FG_PRICE(41912)":1.3,"OCL-AU^FREF_SHARES_COMPANY(41912,,,,0,\"LEGACY\")":88.3532791137695,"OCL-AU^FG_PRICE(41943)":1.34,"OCL-AU^FREF_SHARES_COMPANY(41943,,,,0,\"LEGACY\")":90.2032775878906,"OCL-AU^FG_PRICE(41971)":1.36,"OCL-AU^FREF_SHARES_COMPANY(41971,,,,0,\"LEGACY\")":90.2032775878906,"OCL-AU^FG_PRICE(42004)":1.37,"OCL-AU^FREF_SHARES_COMPANY(42004,,,,0,\"LEGACY\")":90.2752838134766,"OCL-AU^FG_PRICE(42034)":1.5,"OCL-AU^FREF_SHARES_COMPANY(42034,,,,0,\"LEGACY\")":90.2752838134766,"OCL-AU^FG_PRICE(42062)":1.3,"OCL-AU^FREF_SHARES_COMPANY(42062,,,,0,\"LEGACY\")":90.2752838134766,"OCL-AU^FG_PRICE(42094)":1.63,"OCL-AU^FREF_SHARES_COMPANY(42094,,,,0,\"LEGACY\")":90.4972839355469,"OCL-AU^FG_PRICE(42124)":1.63,"OCL-AU^FREF_SHARES_COMPANY(42124,,,,0,\"LEGACY\")":90.4972839355469,"OCL-AU^FG_PRICE(42153)":1.88,"OCL-AU^FREF_SHARES_COMPANY(42153,,,,0,\"LEGACY\")":90.7972793579102,"OCL-AU^FG_PRICE(42185)":2.08,"OCL-AU^FREF_SHARES_COMPANY(42185,,,,0,\"LEGACY\")":90.7972793579102,"OCL-AU^FG_PRICE(42216)":1.9200001,"OCL-AU^FREF_SHARES_COMPANY(42216,,,,0,\"LEGACY\")":90.7972793579102,"OCL-AU^FG_PRICE(42247)":1.61,"OCL-AU^FREF_SHARES_COMPANY(42247,,,,0,\"LEGACY\")":90.9072799682617,"OCL-AU^FG_PRICE(42277)":1.8,"OCL-AU^FREF_SHARES_COMPANY(42277,,,,0,\"LEGACY\")":90.9072799682617,"OCL-AU^FG_PRICE(42307)":1.6,"OCL-AU^FREF_SHARES_COMPANY(42307,,,,0,\"LEGACY\")":91.0272827148438,"OCL-AU^FG_PRICE(42338)":1.85,"OCL-AU^FREF_SHARES_COMPANY(42338,,,,0,\"LEGACY\")":91.0272827148438,"OCL-AU^FG_PRICE(42369)":1.9,"OCL-AU^FREF_SHARES_COMPANY(42369,,,,0,\"LEGACY\")":91.0272827148438,"OCL-AU^FG_PRICE(42398)":1.845,"OCL-AU^FREF_SHARES_COMPANY(42398,,,,0,\"LEGACY\")":91.1272811889648,"OCL-AU^FG_PRICE(42429)":1.4,"OCL-AU^FREF_SHARES_COMPANY(42429,,,,0,\"LEGACY\")":91.1272811889648,"OCL-AU^FG_PRICE(42460)":1.6700001,"OCL-AU^FREF_SHARES_COMPANY(42460,,,,0,\"LEGACY\")":91.327278137207,"OCL-AU^FG_PRICE(42489)":1.86,"OCL-AU^FREF_SHARES_COMPANY(42489,,,,0,\"LEGACY\")":91.327278137207,"OCL-AU^FG_PRICE(42521)":1.89,"OCL-AU^FREF_SHARES_COMPANY(42521,,,,0,\"LEGACY\")":91.327278137207,"OCL-AU^FG_PRICE(42551)":1.79,"OCL-AU^FREF_SHARES_COMPANY(42551,,,,0,\"LEGACY\")":91.327278137207,"OCL-AU^FG_PRICE(42580)":1.5550001,"OCL-AU^FREF_SHARES_COMPANY(42580,,,,0,\"LEGACY\")":91.327278137207,"OCL-AU^FG_PRICE(42613)":1.9,"OCL-AU^FREF_SHARES_COMPANY(42613,,,,0,\"LEGACY\")":91.327278137207,"OCL-AU^FG_PRICE(42643)":1.7950001,"OCL-AU^FREF_SHARES_COMPANY(42643,,,,0,\"LEGACY\")":91.8691711425781,"OCL-AU^FG_PRICE(42674)":1.71,"OCL-AU^FREF_SHARES_COMPANY(42674,,,,0,\"LEGACY\")":91.8691711425781,"OCL-AU^FG_PRICE(42704)":1.79,"OCL-AU^FREF_SHARES_COMPANY(42704,,,,0,\"LEGACY\")":91.8691711425781,"OCL-AU^FG_PRICE(42734)":1.8,"OCL-AU^FREF_SHARES_COMPANY(42734,,,,0,\"LEGACY\")":91.8691711425781,"OCL-AU^FG_PRICE(42766)":2.33,"OCL-AU^FREF_SHARES_COMPANY(42766,,,,0,\"LEGACY\")":91.2180404663086,"OCL-AU^FG_PRICE(42794)":2.25,"OCL-AU^FREF_SHARES_COMPANY(42794,,,,0,\"LEGACY\")":91.6430358886719,"OCL-AU^FG_PRICE(42825)":2.18,"OCL-AU^FREF_SHARES_COMPANY(42825,,,,0,\"LEGACY\")":91.6430358886719,"OCL-AU^FG_PRICE(42853)":2.215,"OCL-AU^FREF_SHARES_COMPANY(42853,,,,0,\"LEGACY\")":91.6430358886719,"OCL-AU^FG_PRICE(42886)":2.17,"OCL-AU^FREF_SHARES_COMPANY(42886,,,,0,\"LEGACY\")":91.6430358886719,"OCL-AU^FG_PRICE(42916)":2.21,"OCL-AU^FREF_SHARES_COMPANY(42916,,,,0,\"LEGACY\")":91.6430358886719,"OCL-AU^FG_PRICE(42947)":2.3600001,"OCL-AU^FREF_SHARES_COMPANY(42947,,,,0,\"LEGACY\")":91.7680358886719,"OCL-AU^FG_PRICE(42978)":2.22,"OCL-AU^FREF_SHARES_COMPANY(42978,,,,0,\"LEGACY\")":91.7680358886719,"OCL-AU^FG_PRICE(43007)":2.5,"OCL-AU^FREF_SHARES_COMPANY(43007,,,,0,\"LEGACY\")":91.7680358886719,"OCL-AU^FG_PRICE(43039)":2.75,"OCL-AU^FREF_SHARES_COMPANY(43039,,,,0,\"LEGACY\")":91.8680419921875,"OCL-AU^FG_PRICE(43069)":2.91,"OCL-AU^FREF_SHARES_COMPANY(43069,,,,0,\"LEGACY\")":91.8680419921875,"OCL-AU^FG_PRICE(43098)":3.3,"OCL-AU^FREF_SHARES_COMPANY(43098,,,,0,\"LEGACY\")":91.8680419921875,"OCL-AU^FG_PRICE(43131)":3.34,"OCL-AU^FREF_SHARES_COMPANY(43131,,,,0,\"LEGACY\")":92.3430404663086,"OCL-AU^FG_PRICE(43159)":2.8899999,"OCL-AU^FREF_SHARES_COMPANY(43159,,,,0,\"LEGACY\")":92.3430404663086,"OCL-AU^FG_PRICE(43188)":3.1,"OCL-AU^FREF_SHARES_COMPANY(43188,,,,0,\"LEGACY\")":92.3430404663086,"OCL-AU^FG_PRICE(43220)":3.05,"OCL-AU^FREF_SHARES_COMPANY(43220,,,,0,\"LEGACY\")":92.3430404663086,"OCL-AU^FG_PRICE(43251)":3.26,"OCL-AU^FREF_SHARES_COMPANY(43251,,,,0,\"LEGACY\")":92.3430404663086,"OCL-AU^FG_PRICE(43280)":3.5,"OCL-AU^FREF_SHARES_COMPANY(43280,,,,0,\"LEGACY\")":92.4430389404297,"OCL-AU^FG_PRICE(43312)":2.9,"OCL-AU^FREF_SHARES_COMPANY(43312,,,,0,\"LEGACY\")":92.6930389404297,"OCL-AU^FG_PRICE(43343)":3.12,"OCL-AU^FREF_SHARES_COMPANY(43343,,,,0,\"LEGACY\")":92.6930389404297,"OCL-AU^FG_PRICE(43371)":2.81,"OCL-AU^FREF_SHARES_COMPANY(43371,,,,0,\"LEGACY\")":92.6930389404297,"OCL-AU^FG_PRICE(43404)":2.79,"OCL-AU^FREF_SHARES_COMPANY(43404,,,,0,\"LEGACY\")":92.6930389404297,"OCL-AU^FG_PRICE(43434)":2.5,"OCL-AU^FREF_SHARES_COMPANY(43434,,,,0,\"LEGACY\")":92.6930389404297,"OCL-AU^FG_PRICE(43465)":2.6,"OCL-AU^FREF_SHARES_COMPANY(43465,,,,0,\"LEGACY\")":92.6930389404297,"OCL-AU^FG_PRICE(43496)":2.59,"OCL-AU^FREF_SHARES_COMPANY(43496,,,,0,\"LEGACY\")":92.6930389404297,"OCL-AU^FG_PRICE(43524)":2.76,"OCL-AU^FREF_SHARES_COMPANY(43524,,,,0,\"LEGACY\")":92.6930389404297,"OCL-AU^FG_PRICE(43553)":2.8,"OCL-AU^FREF_SHARES_COMPANY(43553,,,,0,\"LEGACY\")":92.6930389404297,"OCL-AU^FG_PRICE(43585)":2.85,"OCL-AU^FREF_SHARES_COMPANY(43585,,,,0,\"LEGACY\")":92.6791076660156,"OCL-AU^FG_PRICE(43616)":2.8,"OCL-AU^FREF_SHARES_COMPANY(43616,,,,0,\"LEGACY\")":92.8791122436523,"OCL-AU^FG_PRICE(43644)":2.8,"OCL-AU^FREF_SHARES_COMPANY(43644,,,,0,\"LEGACY\")":92.8791122436523,"OCL-AU^FG_PRICE(43677)":3.56,"OCL-AU^FREF_SHARES_COMPANY(43677,,,,0,\"LEGACY\")":92.8791122436523,"OCL-AU^FG_PRICE(43707)":3.8,"OCL-AU^FREF_SHARES_COMPANY(43707,,,,0,\"LEGACY\")":92.7778778076172,"OCL-AU^FG_PRICE(43738)":4.18,"OCL-AU^FREF_SHARES_COMPANY(43738,,,,0,\"LEGACY\")":92.7778778076172,"OCL-AU^FG_PRICE(43769)":4.5,"OCL-AU^FREF_SHARES_COMPANY(43769,,,,0,\"LEGACY\")":92.7778778076172,"OCL-AU^FG_PRICE(43798)":5.96,"OCL-AU^FREF_SHARES_COMPANY(43798,,,,0,\"LEGACY\")":92.7778778076172,"OCL-AU^FG_PRICE(43830)":5.99,"OCL-AU^FREF_SHARES_COMPANY(43830,,,,0,\"LEGACY\")":92.7778778076172,"OCL-AU^FG_PRICE(43861)":6.5,"OCL-AU^FREF_SHARES_COMPANY(43861,,,,0,\"LEGACY\")":93.1653671264648,"OCL-AU^FG_PRICE(43889)":5.45,"OCL-AU^FREF_SHARES_COMPANY(43889,,,,0,\"LEGACY\")":93.1653671264648,"OCL-AU^FG_PRICE(43921)":5.31,"OCL-AU^FREF_SHARES_COMPANY(43921,,,,0,\"LEGACY\")":93.1653671264648,"OCL-AU^FG_PRICE(43951)":6.1,"OCL-AU^FREF_SHARES_COMPANY(43951,,,,0,\"LEGACY\")":93.3278732299805,"OCL-AU^FG_PRICE(43980)":7.19,"OCL-AU^FREF_SHARES_COMPANY(43980,,,,0,\"LEGACY\")":93.3278732299805,"OCL-AU^FG_PRICE(44012)":7.38,"OCL-AU^FREF_SHARES_COMPANY(44012,,,,0,\"LEGACY\")":93.3278732299805,"OCL-AU^FG_PRICE(44043)":10.6,"OCL-AU^FREF_SHARES_COMPANY(44043,,,,0,\"LEGACY\")":93.5803680419922,"OCL-AU^FG_PRICE(44074)":12.01,"OCL-AU^FREF_SHARES_COMPANY(44074,,,,0,\"LEGACY\")":93.5803680419922,"OCL-AU^FG_PRICE(44104)":12.51,"OCL-AU^FREF_SHARES_COMPANY(44104,,,,0,\"LEGACY\")":93.5803680419922,"OCL-AU^FG_PRICE(44134)":13.01,"OCL-AU^FREF_SHARES_COMPANY(44134,,,,0,\"LEGACY\")":93.6253662109375,"OCL-AU^FG_PRICE(44165)":12.9,"OCL-AU^FREF_SHARES_COMPANY(44165,,,,0,\"LEGACY\")":93.6253662109375,"OCL-AU^FG_PRICE(44196)":11.86,"OCL-AU^FREF_SHARES_COMPANY(44196,,,,0,\"LEGACY\")":93.6253662109375,"OCL-AU^FG_PRICE(44225)":13.65,"OCL-AU^FREF_SHARES_COMPANY(44225,,,,0,\"LEGACY\")":93.7378692626953,"OCL-AU^FG_PRICE(44253)":13.0,"OCL-AU^FREF_SHARES_COMPANY(44253,,,,0,\"LEGACY\")":93.8628692626953,"OCL-AU^FG_PRICE(44286)":12.75,"OCL-AU^FREF_SHARES_COMPANY(44286,,,,0,\"LEGACY\")":93.9128646850586,"OCL-AU^FG_PRICE(44316)":13.19,"OCL-AU^FREF_SHARES_COMPANY(44316,,,,0,\"LEGACY\")":93.9128646850586,"OCL-AU^FG_PRICE(44347)":15.18,"OCL-AU^FREF_SHARES_COMPANY(44347,,,,0,\"LEGACY\")":93.9128646850586,"OCL-AU^FG_PRICE(44377)":17.47,"OCL-AU^FREF_SHARES_COMPANY(44377,,,,0,\"LEGACY\")":94.010368347168,"OCL-AU^FG_PRICE(44407)":16.88,"OCL-AU^FREF_SHARES_COMPANY(44407,,,,0,\"LEGACY\")":94.1578674316406,"OCL-AU^FG_PRICE(44439)":19.95,"OCL-AU^FREF_SHARES_COMPANY(44439,,,,0,\"LEGACY\")":94.2541198730469,"OCL-AU^FG_PRICE(44469)":18.44,"OCL-AU^FREF_SHARES_COMPANY(44469,,,,0,\"LEGACY\")":94.4176177978516,"OCL-AU^FG_PRICE(44498)":20.9,"OCL-AU^FREF_SHARES_COMPANY(44498,,,,0,\"LEGACY\")":94.4176177978516,"OCL-AU^FG_PRICE(44530)":20.21,"OCL-AU^FREF_SHARES_COMPANY(44530,,,,0,\"LEGACY\")":94.4926147460938,"OCL-AU^FG_PRICE(44561)":19.9,"OCL-AU^FREF_SHARES_COMPANY(44561,,,,0,\"LEGACY\")":94.5026168823242,"OCL-AU^FG_PRICE(44592)":16.0,"OCL-AU^FREF_SHARES_COMPANY(44592,,,,0,\"LEGACY\")":94.5026168823242,"OCL-AU^FG_PRICE(44620)":15.89,"OCL-AU^FREF_SHARES_COMPANY(44620,,,,0,\"LEGACY\")":94.562614440918,"OCL-AU^FG_PRICE(44651)":19.0,"OCL-AU^FREF_SHARES_COMPANY(44651,,,,0,\"LEGACY\")":94.7946166992188,"OCL-AU^FG_PRICE(44680)":16.98,"OCL-AU^FREF_SHARES_COMPANY(44680,,,,0,\"LEGACY\")":94.7946166992188,"OCL-AU^FG_PRICE(44712)":15.77,"OCL-AU^FREF_SHARES_COMPANY(44712,,,,0,\"LEGACY\")":94.8071136474609,"RDY-AU^FG_PRICE(43651)":1.5699999,"RDY-AU^FG_PRICE(43658)":1.6,"RDY-AU^FG_PRICE(43665)":1.595,"RDY-AU^FG_PRICE(43672)":1.615,"RDY-AU^FG_PRICE(43679)":1.585,"RDY-AU^FG_PRICE(43686)":1.75,"RDY-AU^FG_PRICE(43693)":1.615,"RDY-AU^FG_PRICE(43700)":1.74,"RDY-AU^FG_PRICE(43707)":1.665,"RDY-AU^FG_PRICE(43714)":1.6600001,"RDY-AU^FG_PRICE(43721)":1.71,"RDY-AU^FG_PRICE(43728)":1.76,"RDY-AU^FG_PRICE(43735)":1.8199999,"RDY-AU^FG_PRICE(43742)":1.78,"RDY-AU^FG_PRICE(43749)":1.9300001,"RDY-AU^FG_PRICE(43756)":1.935,"RDY-AU^FG_PRICE(43763)":1.9449999,"RDY-AU^FG_PRICE(43770)":1.8399999,"RDY-AU^FG_PRICE(43777)":1.8299999,"RDY-AU^FG_PRICE(43784)":1.81,"RDY-AU^FG_PRICE(43791)":1.65,"RDY-AU^FG_PRICE(43798)":1.735,"RDY-AU^FG_PRICE(43805)":1.6700001,"RDY-AU^FG_PRICE(43812)":1.73,"RDY-AU^FG_PRICE(43819)":1.6949999,"RDY-AU^FG_PRICE(43826)":1.7,"RDY-AU^FG_PRICE(43833)":1.79,"RDY-AU^FG_PRICE(43840)":1.74,"RDY-AU^FG_PRICE(43847)":1.95,"RDY-AU^FG_PRICE(43854)":2.25,"RDY-AU^FG_PRICE(43861)":2.16,"RDY-AU^FG_PRICE(43868)":2.15,"RDY-AU^FG_PRICE(43875)":2.0,"RDY-AU^FG_PRICE(43882)":2.16,"RDY-AU^FG_PRICE(43889)":1.7049999,"RDY-AU^FG_PRICE(43896)":1.75,"RDY-AU^FG_PRICE(43903)":1.3,"RDY-AU^FG_PRICE(43910)":1.24,"RDY-AU^FG_PRICE(43917)":1.03,"RDY-AU^FG_PRICE(43924)":0.985,"RDY-AU^FG_PRICE(43930)":1.3,"RDY-AU^FG_PRICE(43938)":1.405,"RDY-AU^FG_PRICE(43945)":1.41,"RDY-AU^FG_PRICE(43952)":1.455,"RDY-AU^FG_PRICE(43959)":1.53,"RDY-AU^FG_PRICE(43966)":1.36,"RDY-AU^FG_PRICE(43973)":1.405,"RDY-AU^FG_PRICE(43980)":1.54,"RDY-AU^FG_PRICE(43987)":1.465,"RDY-AU^FG_PRICE(43994)":1.465,"RDY-AU^FG_PRICE(44001)":1.42,"RDY-AU^FG_PRICE(44008)":1.395,"RDY-AU^FG_PRICE(44015)":1.4449999,"RDY-AU^FG_PRICE(44022)":1.365,"RDY-AU^FG_PRICE(44029)":1.42,"RDY-AU^FG_PRICE(44036)":1.405,"RDY-AU^FG_PRICE(44043)":1.5550001,"RDY-AU^FG_PRICE(44050)":1.495,"RDY-AU^FG_PRICE(44057)":1.64,"RDY-AU^FG_PRICE(44064)":1.6424999,"RDY-AU^FG_PRICE(44071)":1.8,"RDY-AU^FG_PRICE(44078)":1.9,"RDY-AU^FG_PRICE(44085)":1.885,"RDY-AU^FG_PRICE(44092)":1.8,"RDY-AU^FG_PRICE(44099)":1.8199999,"RDY-AU^FG_PRICE(44106)":1.885,"RDY-AU^FG_PRICE(44113)":2.05,"RDY-AU^FG_PRICE(44120)":2.03,"RDY-AU^FG_PRICE(44127)":2.01,"RDY-AU^FG_PRICE(44134)":2.08,"RDY-AU^FG_PRICE(44141)":2.0,"RDY-AU^FG_PRICE(44148)":1.855,"RDY-AU^FG_PRICE(44155)":1.865,"RDY-AU^FG_PRICE(44162)":2.04,"RDY-AU^FG_PRICE(44169)":2.15,"RDY-AU^FG_PRICE(44176)":2.04,"RDY-AU^FG_PRICE(44183)":2.05,"RDY-AU^FG_PRICE(44189)":2.03,"RDY-AU^FG_PRICE(44196)":2.09,"RDY-AU^FG_PRICE(44204)":2.0,"RDY-AU^FG_PRICE(44211)":2.05,"RDY-AU^FG_PRICE(44218)":2.08,"RDY-AU^FG_PRICE(44225)":2.08,"RDY-AU^FG_PRICE(44232)":2.07,"RDY-AU^FG_PRICE(44239)":2.0,"RDY-AU^FG_PRICE(44246)":1.86,"RDY-AU^FG_PRICE(44253)":1.8199999,"RDY-AU^FG_PRICE(44260)":1.765,"RDY-AU^FG_PRICE(44267)":1.72,"RDY-AU^FG_PRICE(44274)":1.745,"RDY-AU^FG_PRICE(44281)":1.85,"RDY-AU^FG_PRICE(44287)":1.895,"RDY-AU^FG_PRICE(44295)":2.01,"RDY-AU^FG_PRICE(44302)":1.97,"RDY-AU^FG_PRICE(44309)":1.9,"RDY-AU^FG_PRICE(44316)":2.08,"RDY-AU^FG_PRICE(44323)":2.08,"RDY-AU^FG_PRICE(44330)":2.06,"RDY-AU^FG_PRICE(44337)":1.98,"RDY-AU^FG_PRICE(44344)":2.04,"RDY-AU^FG_PRICE(44351)":2.08,"RDY-AU^FG_PRICE(44358)":2.14,"RDY-AU^FG_PRICE(44365)":2.15,"RDY-AU^FG_PRICE(44372)":2.47,"RDY-AU^FG_PRICE(44379)":2.3600001,"RDY-AU^FG_PRICE(44386)":2.3600001,"RDY-AU^FG_PRICE(44393)":2.5,"RDY-AU^FG_PRICE(44400)":2.37,"RDY-AU^FG_PRICE(44407)":2.33,"RDY-AU^FG_PRICE(44414)":2.73,"RDY-AU^FG_PRICE(44421)":2.6,"RDY-AU^FG_PRICE(44428)":2.53,"RDY-AU^FG_PRICE(44435)":3.07,"RDY-AU^FG_PRICE(44442)":3.13,"RDY-AU^FG_PRICE(44449)":3.08,"RDY-AU^FG_PRICE(44456)":3.18,"RDY-AU^FG_PRICE(44463)":3.3899999,"RDY-AU^FG_PRICE(44470)":3.55,"RDY-AU^FG_PRICE(44477)":3.45,"RDY-AU^FG_PRICE(44484)":3.77,"RDY-AU^FG_PRICE(44491)":3.75,"RDY-AU^FG_PRICE(44498)":3.78,"RDY-AU^FG_PRICE(44505)":4.08,"RDY-AU^FG_PRICE(44512)":3.88,"RDY-AU^FG_PRICE(44519)":3.93,"RDY-AU^FG_PRICE(44526)":3.6,"RDY-AU^FG_PRICE(44533)":3.72,"RDY-AU^FG_PRICE(44540)":3.62,"RDY-AU^FG_PRICE(44547)":3.96,"RDY-AU^FG_PRICE(44554)":3.82,"RDY-AU^FG_PRICE(44561)":3.9,"RDY-AU^FG_PRICE(44568)":3.6,"RDY-AU^FG_PRICE(44575)":3.2,"RDY-AU^FG_PRICE(44582)":3.12,"RDY-AU^FG_PRICE(44589)":3.24,"RDY-AU^FG_PRICE(44596)":3.31,"RDY-AU^FG_PRICE(44603)":3.25,"RDY-AU^FG_PRICE(44610)":3.25,"RDY-AU^FG_PRICE(44617)":3.09,"RDY-AU^FG_PRICE(44624)":3.03,"RDY-AU^FG_PRICE(44631)":2.9,"RDY-AU^FG_PRICE(44638)":3.03,"RDY-AU^FG_PRICE(44645)":3.13,"RDY-AU^FE_ESTIMATE(EPS,MEAN,NTMA,,43651,,,'')":0.07070548,"RDY-AU^FE_ESTIMATE(EPS,MEAN,NTMA,,43658,,,'')":0.07099315,"RDY-AU^FE_ESTIMATE(EPS,MEAN,NTMA,,43665,,,'')":0.07128082,"RDY-AU^FE_ESTIMATE(EPS,MEAN,NTMA,,43672,,,'')":0.0715685,"RDY-AU^FE_ESTIMATE(EPS,MEAN,NTMA,,43679,,,'')":0.07185616,"RDY-AU^FE_ESTIMATE(EPS,MEAN,NTMA,,43686,,,'')":0.07214384,"RDY-AU^FE_ESTIMATE(EPS,MEAN,NTMA,,43693,,,'')":0.072431505,"RDY-AU^FE_ESTIMATE(EPS,MEAN,NTMA,,43700,,,'')":0.09394109,"RDY-AU^FE_ESTIMATE(EPS,MEAN,NTMA,,43707,,,'')":0.09425753,"RDY-AU^FE_ESTIMATE(EPS,MEAN,NTMA,,43714,,,'')":0.094573975,"RDY-AU^FE_ESTIMATE(EPS,MEAN,NTMA,,43721,,,'')":0.09489041,"RDY-AU^FE_ESTIMATE(EPS,MEAN,NTMA,,43728,,,'')":0.09520685,"RDY-AU^FE_ESTIMATE(EPS,MEAN,NTMA,,43735,,,'')":0.09552329,"RDY-AU^FE_ESTIMATE(EPS,MEAN,NTMA,,43742,,,'')":0.095839724,"RDY-AU^FE_ESTIMATE(EPS,MEAN,NTMA,,43749,,,'')":0.1054137,"RDY-AU^FE_ESTIMATE(EPS,MEAN,NTMA,,43756,,,'')":0.10588356,"RDY-AU^FE_ESTIMATE(EPS,MEAN,NTMA,,43763,,,'')":0.106353424,"RDY-AU^FE_ESTIMATE(EPS,MEAN,NTMA,,43770,,,'')":0.10682329,"RDY-AU^FE_ESTIMATE(EPS,MEAN,NTMA,,43777,,,'')":0.10729315,"RDY-AU^FE_ESTIMATE(EPS,MEAN,NTMA,,43784,,,'')":0.107763015,"RDY-AU^FE_ESTIMATE(EPS,MEAN,NTMA,,43791,,,'')":0.10823288,"RDY-AU^FE_ESTIMATE(EPS,MEAN,NTMA,,43798,,,'')":0.10870274,"RDY-AU^FE_ESTIMATE(EPS,MEAN,NTMA,,43805,,,'')":0.109172605,"RDY-AU^FE_ESTIMATE(EPS,MEAN,NTMA,,43812,,,'')":0.10964247,"RDY-AU^FE_ESTIMATE(EPS,MEAN,NTMA,,43819,,,'')":0.11011233,"RDY-AU^FE_ESTIMATE(EPS,MEAN,NTMA,,43826,,,'')":0.110582195,"RDY-AU^FE_ESTIMATE(EPS,MEAN,NTMA,,43833,,,'')":0.11105205,"RDY-AU^FE_ESTIMATE(EPS,MEAN,NTMA,,43840,,,'')":0.111521915,"RDY-AU^FE_ESTIMATE(EPS,MEAN,NTMA,,43847,,,'')":0.11309315,"RDY-AU^FE_ESTIMATE(EPS,MEAN,NTMA,,43854,,,'')":0.11445616,"RDY-AU^FE_ESTIMATE(EPS,MEAN,NTMA,,43861,,,'')":0.11499315,"RDY-AU^FE_ESTIMATE(EPS,MEAN,NTMA,,43868,,,'')":0.11553014,"RDY-AU^FE_ESTIMATE(EPS,MEAN,NTMA,,43875,,,'')":0.11606713,"RDY-AU^FE_ESTIMATE(EPS,MEAN,NTMA,,43882,,,'')":0.11810411,"RDY-AU^FE_ESTIMATE(EPS,MEAN,NTMA,,43889,,,'')":0.11864109,"RDY-AU^FE_ESTIMATE(EPS,MEAN,NTMA,,43896,,,'')":0.11744247,"RDY-AU^FE_ESTIMATE(EPS,MEAN,NTMA,,43903,,,'')":0.11798904,"RDY-AU^FE_ESTIMATE(EPS,MEAN,NTMA,,43910,,,'')":0.118535616,"RDY-AU^FE_ESTIMATE(EPS,MEAN,NTMA,,43917,,,'')":0.11908219,"RDY-AU^FE_ESTIMATE(EPS,MEAN,NTMA,,43924,,,'')":0.119628765,"RDY-AU^FE_ESTIMATE(EPS,MEAN,NTMA,,43930,,,'')":0.113832876,"RDY-AU^FE_ESTIMATE(EPS,MEAN,NTMA,,43938,,,'')":0.11433699,"RDY-AU^FE_ESTIMATE(EPS,MEAN,NTMA,,43945,,,'')":0.11477808,"RDY-AU^FE_ESTIMATE(EPS,MEAN,NTMA,,43952,,,'')":0.115219176,"RDY-AU^FE_ESTIMATE(EPS,MEAN,NTMA,,43959,,,'')":0.11566027,"RDY-AU^FE_ESTIMATE(EPS,MEAN,NTMA,,43966,,,'')":0.11610137,"RDY-AU^FE_ESTIMATE(EPS,MEAN,NTMA,,43973,,,'')":0.116542466,"RDY-AU^FE_ESTIMATE(EPS,MEAN,NTMA,,43980,,,'')":0.11698356,"RDY-AU^FE_ESTIMATE(EPS,MEAN,NTMA,,43987,,,'')":0.11742466,"RDY-AU^FE_ESTIMATE(EPS,MEAN,NTMA,,43994,,,'')":0.117865756,"RDY-AU^FE_ESTIMATE(EPS,MEAN,NTMA,,44001,,,'')":0.11830685,"RDY-AU^FE_ESTIMATE(EPS,MEAN,NTMA,,44008,,,'')":0.11874794,"RDY-AU^FE_ESTIMATE(EPS,MEAN,NTMA,,44015,,,'')":0.11915617,"RDY-AU^FE_ESTIMATE(EPS,MEAN,NTMA,,44022,,,'')":0.119520545,"RDY-AU^FE_ESTIMATE(EPS,MEAN,NTMA,,44029,,,'')":0.11188493,"RDY-AU^FE_ESTIMATE(EPS,MEAN,NTMA,,44036,,,'')":0.112249315,"RDY-AU^FE_ESTIMATE(EPS,MEAN,NTMA,,44043,,,'')":0.1126137,"RDY-AU^FE_ESTIMATE(EPS,MEAN,NTMA,,44050,,,'')":0.112978086,"RDY-AU^FE_ESTIMATE(EPS,MEAN,NTMA,,44057,,,'')":0.113342464,"RDY-AU^FE_ESTIMATE(EPS,MEAN,NTMA,,44064,,,'')":null,"RDY-AU^FE_ESTIMATE(EPS,MEAN,NTMA,,44071,,,'')":0.10592466,"RDY-AU^FE_ESTIMATE(EPS,MEAN,NTMA,,44078,,,'')":0.106212325,"RDY-AU^FE_ESTIMATE(EPS,MEAN,NTMA,,44085,,,'')":0.1065,"RDY-AU^FE_ESTIMATE(EPS,MEAN,NTMA,,44092,,,'')":0.106787674,"RDY-AU^FE_ESTIMATE(EPS,MEAN,NTMA,,44099,,,'')":0.10707534,"RDY-AU^FE_ESTIMATE(EPS,MEAN,NTMA,,44106,,,'')":0.107363015,"RDY-AU^FE_ESTIMATE(EPS,MEAN,NTMA,,44113,,,'')":0.10765068,"RDY-AU^FE_ESTIMATE(EPS,MEAN,NTMA,,44120,,,'')":0.10793836,"RDY-AU^FE_ESTIMATE(EPS,MEAN,NTMA,,44127,,,'')":0.10822603,"RDY-AU^FE_ESTIMATE(EPS,MEAN,NTMA,,44134,,,'')":0.1085137,"RDY-AU^FE_ESTIMATE(EPS,MEAN,NTMA,,44141,,,'')":0.10880137,"RDY-AU^FE_ESTIMATE(EPS,MEAN,NTMA,,44148,,,'')":0.11000137,"RDY-AU^FE_ESTIMATE(EPS,MEAN,NTMA,,44155,,,'')":0.11049041,"RDY-AU^FE_ESTIMATE(EPS,MEAN,NTMA,,44162,,,'')":0.11097945,"RDY-AU^FE_ESTIMATE(EPS,MEAN,NTMA,,44169,,,'')":0.111468494,"RDY-AU^FE_ESTIMATE(EPS,MEAN,NTMA,,44176,,,'')":0.111957535,"RDY-AU^FE_ESTIMATE(EPS,MEAN,NTMA,,44183,,,'')":0.11244658,"RDY-AU^FE_ESTIMATE(EPS,MEAN,NTMA,,44189,,,'')":0.11286575,"RDY-AU^FE_ESTIMATE(EPS,MEAN,NTMA,,44196,,,'')":0.113354795,"RDY-AU^FE_ESTIMATE(EPS,MEAN,NTMA,,44204,,,'')":0.1139137,"RDY-AU^FE_ESTIMATE(EPS,MEAN,NTMA,,44211,,,'')":0.116673976,"RDY-AU^FE_ESTIMATE(EPS,MEAN,NTMA,,44218,,,'')":0.117278084,"RDY-AU^FE_ESTIMATE(EPS,MEAN,NTMA,,44225,,,'')":0.11663288,"RDY-AU^FE_ESTIMATE(EPS,MEAN,NTMA,,44232,,,'')":0.104034245,"RDY-AU^FE_ESTIMATE(EPS,MEAN,NTMA,,44239,,,'')":0.104273975,"RDY-AU^FE_ESTIMATE(EPS,MEAN,NTMA,,44246,,,'')":0.120476715,"RDY-AU^FE_ESTIMATE(EPS,MEAN,NTMA,,44253,,,'')":0.12111918,"RDY-AU^FE_ESTIMATE(EPS,MEAN,NTMA,,44260,,,'')":0.12176164,"RDY-AU^FE_ESTIMATE(EPS,MEAN,NTMA,,44267,,,'')":0.122404106,"RDY-AU^FE_ESTIMATE(EPS,MEAN,NTMA,,44274,,,'')":0.12304658,"RDY-AU^FE_ESTIMATE(EPS,MEAN,NTMA,,44281,,,'')":0.1177193,"RDY-AU^FE_ESTIMATE(EPS,MEAN,NTMA,,44287,,,'')":0.118265346,"RDY-AU^FE_ESTIMATE(EPS,MEAN,NTMA,,44295,,,'')":0.1189934,"RDY-AU^FE_ESTIMATE(EPS,MEAN,NTMA,,44302,,,'')":0.11963045,"RDY-AU^FE_ESTIMATE(EPS,MEAN,NTMA,,44309,,,'')":0.1202675,"RDY-AU^FE_ESTIMATE(EPS,MEAN,NTMA,,44316,,,'')":0.12090456,"RDY-AU^FE_ESTIMATE(EPS,MEAN,NTMA,,44323,,,'')":0.121541604,"RDY-AU^FE_ESTIMATE(EPS,MEAN,NTMA,,44330,,,'')":0.12217866,"RDY-AU^FE_ESTIMATE(EPS,MEAN,NTMA,,44337,,,'')":0.122815706,"RDY-AU^FE_ESTIMATE(EPS,MEAN,NTMA,,44344,,,'')":0.12345276,"RDY-AU^FE_ESTIMATE(EPS,MEAN,NTMA,,44351,,,'')":0.12406074,"RDY-AU^FE_ESTIMATE(EPS,MEAN,NTMA,,44358,,,'')":0.12537618,"RDY-AU^FE_ESTIMATE(EPS,MEAN,NTMA,,44365,,,'')":0.12601963,"RDY-AU^FE_ESTIMATE(EPS,MEAN,NTMA,,44372,,,'')":0.12666306,"RDY-AU^FE_ESTIMATE(EPS,MEAN,NTMA,,44379,,,'')":0.1271963,"RDY-AU^FE_ESTIMATE(EPS,MEAN,NTMA,,44386,,,'')":0.12745403,"RDY-AU^FE_ESTIMATE(EPS,MEAN,NTMA,,44393,,,'')":0.11551394,"RDY-AU^FE_ESTIMATE(EPS,MEAN,NTMA,,44400,,,'')":0.11580792,"RDY-AU^FE_ESTIMATE(EPS,MEAN,NTMA,,44407,,,'')":0.1161019,"RDY-AU^FE_ESTIMATE(EPS,MEAN,NTMA,,44414,,,'')":0.11618669,"RDY-AU^FE_ESTIMATE(EPS,MEAN,NTMA,,44421,,,'')":0.116471455,"RDY-AU^FE_ESTIMATE(EPS,MEAN,NTMA,,44428,,,'')":0.13050622,"RDY-AU^FE_ESTIMATE(EPS,MEAN,NTMA,,44435,,,'')":0.13841087,"RDY-AU^FE_ESTIMATE(EPS,MEAN,NTMA,,44442,,,'')":0.13884129,"RDY-AU^FE_ESTIMATE(EPS,MEAN,NTMA,,44449,,,'')":0.1392717,"RDY-AU^FE_ESTIMATE(EPS,MEAN,NTMA,,44456,,,'')":0.13970214,"RDY-AU^FE_ESTIMATE(EPS,MEAN,NTMA,,44463,,,'')":0.14049247,"RDY-AU^FE_ESTIMATE(EPS,MEAN,NTMA,,44470,,,'')":0.14123288,"RDY-AU^FE_ESTIMATE(EPS,MEAN,NTMA,,44477,,,'')":0.14166439,"RDY-AU^FE_ESTIMATE(EPS,MEAN,NTMA,,44484,,,'')":0.1420959,"RDY-AU^FE_ESTIMATE(EPS,MEAN,NTMA,,44491,,,'')":0.1425274,"RDY-AU^FE_ESTIMATE(EPS,MEAN,NTMA,,44498,,,'')":0.14295891,"RDY-AU^FE_ESTIMATE(EPS,MEAN,NTMA,,44505,,,'')":0.14339042,"RDY-AU^FE_ESTIMATE(EPS,MEAN,NTMA,,44512,,,'')":0.14382192,"RDY-AU^FE_ESTIMATE(EPS,MEAN,NTMA,,44519,,,'')":0.14371452,"RDY-AU^FE_ESTIMATE(EPS,MEAN,NTMA,,44526,,,'')":0.1441441,"RDY-AU^FE_ESTIMATE(EPS,MEAN,NTMA,,44533,,,'')":0.14208218,"RDY-AU^FE_ESTIMATE(EPS,MEAN,NTMA,,44540,,,'')":0.14248973,"RDY-AU^FE_ESTIMATE(EPS,MEAN,NTMA,,44547,,,'')":0.14374657,"RDY-AU^FE_ESTIMATE(EPS,MEAN,NTMA,,44554,,,'')":0.14466096,"RDY-AU^FE_ESTIMATE(EPS,MEAN,NTMA,,44561,,,'')":0.14509247,"RDY-AU^FE_ESTIMATE(EPS,MEAN,NTMA,,44568,,,'')":0.14552397,"RDY-AU^FE_ESTIMATE(EPS,MEAN,NTMA,,44575,,,'')":0.14595547,"RDY-AU^FE_ESTIMATE(EPS,MEAN,NTMA,,44582,,,'')":0.14638698,"RDY-AU^FE_ESTIMATE(EPS,MEAN,NTMA,,44589,,,'')":0.14919123,"RDY-AU^FE_ESTIMATE(EPS,MEAN,NTMA,,44596,,,'')":0.14964,"RDY-AU^FE_ESTIMATE(EPS,MEAN,NTMA,,44603,,,'')":0.15008877,"RDY-AU^FE_ESTIMATE(EPS,MEAN,NTMA,,44610,,,'')":0.14607112,"RDY-AU^FE_ESTIMATE(EPS,MEAN,NTMA,,44617,,,'')":0.14664084,"RDY-AU^FE_ESTIMATE(EPS,MEAN,NTMA,,44624,,,'')":0.14721055,"RDY-AU^FE_ESTIMATE(EPS,MEAN,NTMA,,44631,,,'')":0.14778028,"RDY-AU^FE_ESTIMATE(EPS,MEAN,NTMA,,44638,,,'')":0.14979857,"RDY-AU^FE_ESTIMATE(EPS,MEAN,NTMA,,44645,,,'')":0.1503607}]]></FdsFormulaCache>
</file>

<file path=customXml/itemProps1.xml><?xml version="1.0" encoding="utf-8"?>
<ds:datastoreItem xmlns:ds="http://schemas.openxmlformats.org/officeDocument/2006/customXml" ds:itemID="{1D4CEA6A-C7FD-4D8C-8FDC-2B48AF0286D9}">
  <ds:schemaRefs>
    <ds:schemaRef ds:uri="http://www.w3.org/2001/XMLSchema"/>
    <ds:schemaRef ds:uri="Exchange-SubmissionSheetWrapper"/>
  </ds:schemaRefs>
</ds:datastoreItem>
</file>

<file path=customXml/itemProps2.xml><?xml version="1.0" encoding="utf-8"?>
<ds:datastoreItem xmlns:ds="http://schemas.openxmlformats.org/officeDocument/2006/customXml" ds:itemID="{4B738D2B-A35D-4204-825F-149A76978840}">
  <ds:schemaRefs>
    <ds:schemaRef ds:uri="urn:fdsformulacach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1753</vt:i4>
      </vt:variant>
    </vt:vector>
  </HeadingPairs>
  <TitlesOfParts>
    <vt:vector size="1761" baseType="lpstr">
      <vt:lpstr>OCL.AX_Live_Sheet</vt:lpstr>
      <vt:lpstr>OCL.AX_Validation_Sheet</vt:lpstr>
      <vt:lpstr>OCL.AX_Annotation_Sheet</vt:lpstr>
      <vt:lpstr>MODEL</vt:lpstr>
      <vt:lpstr>REVENUE + GM</vt:lpstr>
      <vt:lpstr>VALUATION</vt:lpstr>
      <vt:lpstr>Earnings changes</vt:lpstr>
      <vt:lpstr>OCL.AX</vt:lpstr>
      <vt:lpstr>_2012</vt:lpstr>
      <vt:lpstr>_2012H1</vt:lpstr>
      <vt:lpstr>_2012H2</vt:lpstr>
      <vt:lpstr>_2013</vt:lpstr>
      <vt:lpstr>_2013H1</vt:lpstr>
      <vt:lpstr>_2013h2</vt:lpstr>
      <vt:lpstr>_2014</vt:lpstr>
      <vt:lpstr>_2014H1</vt:lpstr>
      <vt:lpstr>_2014H2</vt:lpstr>
      <vt:lpstr>_2015</vt:lpstr>
      <vt:lpstr>_2015H1</vt:lpstr>
      <vt:lpstr>_2015H2</vt:lpstr>
      <vt:lpstr>_2016</vt:lpstr>
      <vt:lpstr>_2016H1</vt:lpstr>
      <vt:lpstr>_2016H2</vt:lpstr>
      <vt:lpstr>_2017</vt:lpstr>
      <vt:lpstr>_2017H1</vt:lpstr>
      <vt:lpstr>_2017H2</vt:lpstr>
      <vt:lpstr>_2018</vt:lpstr>
      <vt:lpstr>_2018H1</vt:lpstr>
      <vt:lpstr>_2018H2</vt:lpstr>
      <vt:lpstr>_2019</vt:lpstr>
      <vt:lpstr>_2019H1</vt:lpstr>
      <vt:lpstr>_2019H2</vt:lpstr>
      <vt:lpstr>_2020</vt:lpstr>
      <vt:lpstr>_2020H1</vt:lpstr>
      <vt:lpstr>_2020H2</vt:lpstr>
      <vt:lpstr>_2021</vt:lpstr>
      <vt:lpstr>_2021H1</vt:lpstr>
      <vt:lpstr>_2021H2</vt:lpstr>
      <vt:lpstr>_2022</vt:lpstr>
      <vt:lpstr>_2022H1</vt:lpstr>
      <vt:lpstr>_2022H2</vt:lpstr>
      <vt:lpstr>_2023</vt:lpstr>
      <vt:lpstr>_2024</vt:lpstr>
      <vt:lpstr>_2025</vt:lpstr>
      <vt:lpstr>_2026</vt:lpstr>
      <vt:lpstr>_2027</vt:lpstr>
      <vt:lpstr>OCL.AX_Annotation_Sheet!A_ALL_KEYWORDS_TYPE_ScalarContributed_EQTY_200019506</vt:lpstr>
      <vt:lpstr>OCL.AX_Annotation_Sheet!A_ALL_KEYWORDS_TYPE_ScalarContributed_ISSR_208017981</vt:lpstr>
      <vt:lpstr>OCL.AX_Annotation_Sheet!A_ALL_KEYWORDS_TYPE_ScalarReference_EQTY_200019506</vt:lpstr>
      <vt:lpstr>OCL.AX_Annotation_Sheet!A_ALL_KEYWORDS_TYPE_ScalarReference_ISSR_208017981</vt:lpstr>
      <vt:lpstr>OCL.AX_Annotation_Sheet!A_ALL_KEYWORDS_TYPE_Vector_EQTY_200019506</vt:lpstr>
      <vt:lpstr>OCL.AX_Annotation_Sheet!A_ALL_KEYWORDS_TYPE_Vector_ISSR_208017981</vt:lpstr>
      <vt:lpstr>A_ALL_OCL.AX</vt:lpstr>
      <vt:lpstr>OCL.AX_Annotation_Sheet!A_ALL_PERIODS_OCL.AX</vt:lpstr>
      <vt:lpstr>OCL.AX_Annotation_Sheet!A_ALL_SECTION_KEYWORDS_EQTY_200019506_1314</vt:lpstr>
      <vt:lpstr>OCL.AX_Annotation_Sheet!A_ALL_SECTION_KEYWORDS_EQTY_200019506_1316A</vt:lpstr>
      <vt:lpstr>OCL.AX_Annotation_Sheet!A_ALL_SECTION_KEYWORDS_EQTY_200019506_1316B</vt:lpstr>
      <vt:lpstr>OCL.AX_Annotation_Sheet!A_ALL_SECTION_KEYWORDS_EQTY_200019506_1316C</vt:lpstr>
      <vt:lpstr>OCL.AX_Annotation_Sheet!A_ALL_SECTION_KEYWORDS_EQTY_200019506_1316D</vt:lpstr>
      <vt:lpstr>OCL.AX_Annotation_Sheet!A_ALL_SECTION_KEYWORDS_EQTY_200019506_1316E</vt:lpstr>
      <vt:lpstr>OCL.AX_Annotation_Sheet!A_ALL_SECTION_KEYWORDS_EQTY_200019506_131E</vt:lpstr>
      <vt:lpstr>OCL.AX_Annotation_Sheet!A_ALL_SECTION_KEYWORDS_EQTY_200019506_131J</vt:lpstr>
      <vt:lpstr>OCL.AX_Annotation_Sheet!A_ALL_SECTION_KEYWORDS_EQTY_200019506_131O</vt:lpstr>
      <vt:lpstr>OCL.AX_Annotation_Sheet!A_ALL_SECTION_KEYWORDS_EQTY_200019506_13A</vt:lpstr>
      <vt:lpstr>OCL.AX_Annotation_Sheet!A_ALL_SECTION_KEYWORDS_EQTY_200019506_13K</vt:lpstr>
      <vt:lpstr>OCL.AX_Annotation_Sheet!A_ALL_SECTION_KEYWORDS_EQTY_200019506_13U</vt:lpstr>
      <vt:lpstr>OCL.AX_Annotation_Sheet!A_ALL_SECTION_KEYWORDS_EQTY_200019506_13V</vt:lpstr>
      <vt:lpstr>OCL.AX_Annotation_Sheet!A_ALL_SECTION_KEYWORDS_EQTY_200019506_Reference_Data</vt:lpstr>
      <vt:lpstr>OCL.AX_Annotation_Sheet!A_ALL_SECTION_KEYWORDS_ISSR_208017981_1314</vt:lpstr>
      <vt:lpstr>OCL.AX_Annotation_Sheet!A_ALL_SECTION_KEYWORDS_ISSR_208017981_13168</vt:lpstr>
      <vt:lpstr>OCL.AX_Annotation_Sheet!A_ALL_SECTION_KEYWORDS_ISSR_208017981_1316B</vt:lpstr>
      <vt:lpstr>OCL.AX_Annotation_Sheet!A_ALL_SECTION_KEYWORDS_ISSR_208017981_1316C</vt:lpstr>
      <vt:lpstr>OCL.AX_Annotation_Sheet!A_ALL_SECTION_KEYWORDS_ISSR_208017981_1316D</vt:lpstr>
      <vt:lpstr>OCL.AX_Annotation_Sheet!A_ALL_SECTION_KEYWORDS_ISSR_208017981_1316E</vt:lpstr>
      <vt:lpstr>OCL.AX_Annotation_Sheet!A_ALL_SECTION_KEYWORDS_ISSR_208017981_1316T</vt:lpstr>
      <vt:lpstr>OCL.AX_Annotation_Sheet!A_ALL_SECTION_KEYWORDS_ISSR_208017981_1316U</vt:lpstr>
      <vt:lpstr>OCL.AX_Annotation_Sheet!A_ALL_SECTION_KEYWORDS_ISSR_208017981_1319</vt:lpstr>
      <vt:lpstr>OCL.AX_Annotation_Sheet!A_ALL_SECTION_KEYWORDS_ISSR_208017981_131E</vt:lpstr>
      <vt:lpstr>OCL.AX_Annotation_Sheet!A_ALL_SECTION_KEYWORDS_ISSR_208017981_131J</vt:lpstr>
      <vt:lpstr>OCL.AX_Annotation_Sheet!A_ALL_SECTION_KEYWORDS_ISSR_208017981_131O</vt:lpstr>
      <vt:lpstr>OCL.AX_Annotation_Sheet!A_ALL_SECTION_KEYWORDS_ISSR_208017981_136E</vt:lpstr>
      <vt:lpstr>OCL.AX_Annotation_Sheet!A_ALL_SECTION_KEYWORDS_ISSR_208017981_136J</vt:lpstr>
      <vt:lpstr>OCL.AX_Annotation_Sheet!A_ALL_SECTION_KEYWORDS_ISSR_208017981_13A</vt:lpstr>
      <vt:lpstr>OCL.AX_Annotation_Sheet!A_ALL_SECTION_KEYWORDS_ISSR_208017981_13U</vt:lpstr>
      <vt:lpstr>OCL.AX_Annotation_Sheet!A_ALL_SECTION_KEYWORDS_ISSR_208017981_13V</vt:lpstr>
      <vt:lpstr>OCL.AX_Annotation_Sheet!A_ALL_SECTION_KEYWORDS_ISSR_208017981_Reference_Data</vt:lpstr>
      <vt:lpstr>OCL.AX_Annotation_Sheet!A_ALL_SECTIONS_EQTY_200019506</vt:lpstr>
      <vt:lpstr>OCL.AX_Annotation_Sheet!A_ALL_SECTIONS_ISSR_208017981</vt:lpstr>
      <vt:lpstr>OCL.AX_Annotation_Sheet!A_CURRENCY_EQTY_200019506_PRI</vt:lpstr>
      <vt:lpstr>OCL.AX_Annotation_Sheet!A_CURRENCY_EQTY_200019506_PUB</vt:lpstr>
      <vt:lpstr>OCL.AX_Annotation_Sheet!A_CURRENCY_EQTY_200019506_REP</vt:lpstr>
      <vt:lpstr>OCL.AX_Annotation_Sheet!A_CURRENCY_ISSR_208017981_REP</vt:lpstr>
      <vt:lpstr>OCL.AX_Annotation_Sheet!A_ENTITY_DATA_EQTY_200019506</vt:lpstr>
      <vt:lpstr>OCL.AX_Annotation_Sheet!A_ENTITY_DATA_ISSR_208017981</vt:lpstr>
      <vt:lpstr>OCL.AX_Annotation_Sheet!A_KEYWORD_EQTY_200019506_ANZ_LIST</vt:lpstr>
      <vt:lpstr>OCL.AX_Annotation_Sheet!A_KEYWORD_EQTY_200019506_ASSET_SALES_GAIN_LOSS</vt:lpstr>
      <vt:lpstr>OCL.AX_Annotation_Sheet!A_KEYWORD_EQTY_200019506_BASE_CASE_VAL_DCF</vt:lpstr>
      <vt:lpstr>OCL.AX_Annotation_Sheet!A_KEYWORD_EQTY_200019506_BENEFITS_TAX_LOSSES</vt:lpstr>
      <vt:lpstr>OCL.AX_Annotation_Sheet!A_KEYWORD_EQTY_200019506_BETA_ANALYST</vt:lpstr>
      <vt:lpstr>OCL.AX_Annotation_Sheet!A_KEYWORD_EQTY_200019506_BVPS</vt:lpstr>
      <vt:lpstr>OCL.AX_Annotation_Sheet!A_KEYWORD_EQTY_200019506_BVPS_PUB</vt:lpstr>
      <vt:lpstr>OCL.AX_Annotation_Sheet!A_KEYWORD_EQTY_200019506_CATALYST1_DATE</vt:lpstr>
      <vt:lpstr>OCL.AX_Annotation_Sheet!A_KEYWORD_EQTY_200019506_CATALYST1_EVENT</vt:lpstr>
      <vt:lpstr>OCL.AX_Annotation_Sheet!A_KEYWORD_EQTY_200019506_CATALYST2_DATE</vt:lpstr>
      <vt:lpstr>OCL.AX_Annotation_Sheet!A_KEYWORD_EQTY_200019506_CATALYST2_EVENT</vt:lpstr>
      <vt:lpstr>OCL.AX_Annotation_Sheet!A_KEYWORD_EQTY_200019506_CATALYST3_DATE</vt:lpstr>
      <vt:lpstr>OCL.AX_Annotation_Sheet!A_KEYWORD_EQTY_200019506_CATALYST3_EVENT</vt:lpstr>
      <vt:lpstr>OCL.AX_Annotation_Sheet!A_KEYWORD_EQTY_200019506_CATALYST4_DATE</vt:lpstr>
      <vt:lpstr>OCL.AX_Annotation_Sheet!A_KEYWORD_EQTY_200019506_CATALYST4_EVENT</vt:lpstr>
      <vt:lpstr>OCL.AX_Annotation_Sheet!A_KEYWORD_EQTY_200019506_CATALYST5_DATE</vt:lpstr>
      <vt:lpstr>OCL.AX_Annotation_Sheet!A_KEYWORD_EQTY_200019506_CATALYST5_EVENT</vt:lpstr>
      <vt:lpstr>OCL.AX_Annotation_Sheet!A_KEYWORD_EQTY_200019506_CEEE_NDEBT</vt:lpstr>
      <vt:lpstr>OCL.AX_Annotation_Sheet!A_KEYWORD_EQTY_200019506_CF_NI_PRE_PREF</vt:lpstr>
      <vt:lpstr>OCL.AX_Annotation_Sheet!A_KEYWORD_EQTY_200019506_CF_OPS_SHARE_NZ</vt:lpstr>
      <vt:lpstr>OCL.AX_Annotation_Sheet!A_KEYWORD_EQTY_200019506_COMMON_DIV_PAID</vt:lpstr>
      <vt:lpstr>OCL.AX_Annotation_Sheet!A_KEYWORD_EQTY_200019506_CONVERTIBLE_NOTES</vt:lpstr>
      <vt:lpstr>OCL.AX_Annotation_Sheet!A_KEYWORD_EQTY_200019506_COST_OF_EQUITY_DCF</vt:lpstr>
      <vt:lpstr>OCL.AX_Annotation_Sheet!A_KEYWORD_EQTY_200019506_CUM_PRESENT_VAL_CASH_FLOWS_DCF</vt:lpstr>
      <vt:lpstr>OCL.AX_Annotation_Sheet!A_KEYWORD_EQTY_200019506_CURRENCY_ISO</vt:lpstr>
      <vt:lpstr>OCL.AX_Annotation_Sheet!A_KEYWORD_EQTY_200019506_DCF_CASH_FLOW</vt:lpstr>
      <vt:lpstr>OCL.AX_Annotation_Sheet!A_KEYWORD_EQTY_200019506_DEBT_EQUITY</vt:lpstr>
      <vt:lpstr>OCL.AX_Annotation_Sheet!A_KEYWORD_EQTY_200019506_DEBT_RISK_MARGIN_DCF</vt:lpstr>
      <vt:lpstr>OCL.AX_Annotation_Sheet!A_KEYWORD_EQTY_200019506_DILUTE_SHARES</vt:lpstr>
      <vt:lpstr>OCL.AX_Annotation_Sheet!A_KEYWORD_EQTY_200019506_DISCOUNT_FACTOR_DCF</vt:lpstr>
      <vt:lpstr>OCL.AX_Annotation_Sheet!A_KEYWORD_EQTY_200019506_DPS</vt:lpstr>
      <vt:lpstr>OCL.AX_Annotation_Sheet!A_KEYWORD_EQTY_200019506_DPS_PUB</vt:lpstr>
      <vt:lpstr>OCL.AX_Annotation_Sheet!A_KEYWORD_EQTY_200019506_DPS_SPECIAL_PUB</vt:lpstr>
      <vt:lpstr>OCL.AX_Annotation_Sheet!A_KEYWORD_EQTY_200019506_EBIT_PUB</vt:lpstr>
      <vt:lpstr>OCL.AX_Annotation_Sheet!A_KEYWORD_EQTY_200019506_EBITDA_PUB</vt:lpstr>
      <vt:lpstr>OCL.AX_Annotation_Sheet!A_KEYWORD_EQTY_200019506_EBITDAF</vt:lpstr>
      <vt:lpstr>OCL.AX_Annotation_Sheet!A_KEYWORD_EQTY_200019506_EFPO</vt:lpstr>
      <vt:lpstr>OCL.AX_Annotation_Sheet!A_KEYWORD_EQTY_200019506_EFPOWA</vt:lpstr>
      <vt:lpstr>OCL.AX_Annotation_Sheet!A_KEYWORD_EQTY_200019506_EPS</vt:lpstr>
      <vt:lpstr>OCL.AX_Annotation_Sheet!A_KEYWORD_EQTY_200019506_EPS_CONS_PUB</vt:lpstr>
      <vt:lpstr>OCL.AX_Annotation_Sheet!A_KEYWORD_EQTY_200019506_EPS_FUL_DIL</vt:lpstr>
      <vt:lpstr>OCL.AX_Annotation_Sheet!A_KEYWORD_EQTY_200019506_EPS_POST_BASIC</vt:lpstr>
      <vt:lpstr>OCL.AX_Annotation_Sheet!A_KEYWORD_EQTY_200019506_EPS_PRE_GWILL</vt:lpstr>
      <vt:lpstr>OCL.AX_Annotation_Sheet!A_KEYWORD_EQTY_200019506_EPS_PUB</vt:lpstr>
      <vt:lpstr>OCL.AX_Annotation_Sheet!A_KEYWORD_EQTY_200019506_EPS_REPORTED</vt:lpstr>
      <vt:lpstr>OCL.AX_Annotation_Sheet!A_KEYWORD_EQTY_200019506_EQ_PUB</vt:lpstr>
      <vt:lpstr>OCL.AX_Annotation_Sheet!A_KEYWORD_EQTY_200019506_EQUITY_VALUE_DCF</vt:lpstr>
      <vt:lpstr>OCL.AX_Annotation_Sheet!A_KEYWORD_EQTY_200019506_EV_ADJ_PUB</vt:lpstr>
      <vt:lpstr>OCL.AX_Annotation_Sheet!A_KEYWORD_EQTY_200019506_FIN_INSTRUMENT_HEDGE_POST_TAX</vt:lpstr>
      <vt:lpstr>OCL.AX_Annotation_Sheet!A_KEYWORD_EQTY_200019506_FINAL_DIV_AMOUNT</vt:lpstr>
      <vt:lpstr>OCL.AX_Annotation_Sheet!A_KEYWORD_EQTY_200019506_FINAL_DIV_EXDATE</vt:lpstr>
      <vt:lpstr>OCL.AX_Annotation_Sheet!A_KEYWORD_EQTY_200019506_FINAL_DIV_FRANK</vt:lpstr>
      <vt:lpstr>OCL.AX_Annotation_Sheet!A_KEYWORD_EQTY_200019506_FINAL_DIV_TAXRATE</vt:lpstr>
      <vt:lpstr>OCL.AX_Annotation_Sheet!A_KEYWORD_EQTY_200019506_FOREIGN_EXCHANGE_GAIN_LOSS</vt:lpstr>
      <vt:lpstr>OCL.AX_Annotation_Sheet!A_KEYWORD_EQTY_200019506_FOREIGN_HOLDNG</vt:lpstr>
      <vt:lpstr>OCL.AX_Annotation_Sheet!A_KEYWORD_EQTY_200019506_FRANK_TAX_RATE</vt:lpstr>
      <vt:lpstr>OCL.AX_Annotation_Sheet!A_KEYWORD_EQTY_200019506_FRANKING</vt:lpstr>
      <vt:lpstr>OCL.AX_Annotation_Sheet!A_KEYWORD_EQTY_200019506_FRANKING_ANZPUB</vt:lpstr>
      <vt:lpstr>OCL.AX_Annotation_Sheet!A_KEYWORD_EQTY_200019506_FRANKING_SPECIAL_ANZPUB</vt:lpstr>
      <vt:lpstr>OCL.AX_Annotation_Sheet!A_KEYWORD_EQTY_200019506_FREE_FLOAT</vt:lpstr>
      <vt:lpstr>OCL.AX_Annotation_Sheet!A_KEYWORD_EQTY_200019506_FULLY_DIL_EPS</vt:lpstr>
      <vt:lpstr>OCL.AX_Annotation_Sheet!A_KEYWORD_EQTY_200019506_GWILL_ASSET_IMP_CHG_POST_TAX</vt:lpstr>
      <vt:lpstr>OCL.AX_Annotation_Sheet!A_KEYWORD_EQTY_200019506_IMP_CREDITS_PER_SHARE_DCF</vt:lpstr>
      <vt:lpstr>OCL.AX_Annotation_Sheet!A_KEYWORD_EQTY_200019506_INC_MINORITY</vt:lpstr>
      <vt:lpstr>OCL.AX_Annotation_Sheet!A_KEYWORD_EQTY_200019506_INCTAX_PL_ON_AB</vt:lpstr>
      <vt:lpstr>OCL.AX_Annotation_Sheet!A_KEYWORD_EQTY_200019506_INCTAX_PL_POST_AB</vt:lpstr>
      <vt:lpstr>OCL.AX_Annotation_Sheet!A_KEYWORD_EQTY_200019506_INT_DIV_AMOUNT</vt:lpstr>
      <vt:lpstr>OCL.AX_Annotation_Sheet!A_KEYWORD_EQTY_200019506_INT_DIV_EXDATE</vt:lpstr>
      <vt:lpstr>OCL.AX_Annotation_Sheet!A_KEYWORD_EQTY_200019506_INT_DIV_FRANK</vt:lpstr>
      <vt:lpstr>OCL.AX_Annotation_Sheet!A_KEYWORD_EQTY_200019506_INT_DIV_TAXRATE</vt:lpstr>
      <vt:lpstr>OCL.AX_Annotation_Sheet!A_KEYWORD_EQTY_200019506_Interim_Type</vt:lpstr>
      <vt:lpstr>OCL.AX_Annotation_Sheet!A_KEYWORD_EQTY_200019506_INTRINSIC_PER_SHARE_VALUE_DCF</vt:lpstr>
      <vt:lpstr>OCL.AX_Annotation_Sheet!A_KEYWORD_EQTY_200019506_LEGAL_RATING</vt:lpstr>
      <vt:lpstr>OCL.AX_Annotation_Sheet!A_KEYWORD_EQTY_200019506_MARGIN_TAX_RATE</vt:lpstr>
      <vt:lpstr>OCL.AX_Annotation_Sheet!A_KEYWORD_EQTY_200019506_MARKET_VALUE_OF_INVESTMENTS_DCF</vt:lpstr>
      <vt:lpstr>OCL.AX_Annotation_Sheet!A_KEYWORD_EQTY_200019506_MKT_EQ_RISK_PREM</vt:lpstr>
      <vt:lpstr>OCL.AX_Annotation_Sheet!A_KEYWORD_EQTY_200019506_NET_DEBT_EX_LEASES_PUB</vt:lpstr>
      <vt:lpstr>OCL.AX_Annotation_Sheet!A_KEYWORD_EQTY_200019506_NET_DEBT_NET_CASH_DCF</vt:lpstr>
      <vt:lpstr>OCL.AX_Annotation_Sheet!A_KEYWORD_EQTY_200019506_NET_DEBT_PUB</vt:lpstr>
      <vt:lpstr>OCL.AX_Annotation_Sheet!A_KEYWORD_EQTY_200019506_NET_EARNING</vt:lpstr>
      <vt:lpstr>OCL.AX_Annotation_Sheet!A_KEYWORD_EQTY_200019506_NET_INC</vt:lpstr>
      <vt:lpstr>OCL.AX_Annotation_Sheet!A_KEYWORD_EQTY_200019506_NET_PROFIT</vt:lpstr>
      <vt:lpstr>OCL.AX_Annotation_Sheet!A_KEYWORD_EQTY_200019506_NET_TANGIBLE_ASSETS_ADJUSTED_NZ</vt:lpstr>
      <vt:lpstr>OCL.AX_Annotation_Sheet!A_KEYWORD_EQTY_200019506_NI_CONS</vt:lpstr>
      <vt:lpstr>OCL.AX_Annotation_Sheet!A_KEYWORD_EQTY_200019506_NI_PRE_PREF</vt:lpstr>
      <vt:lpstr>OCL.AX_Annotation_Sheet!A_KEYWORD_EQTY_200019506_NI_PUB</vt:lpstr>
      <vt:lpstr>OCL.AX_Annotation_Sheet!A_KEYWORD_EQTY_200019506_NI_REPT_PUB</vt:lpstr>
      <vt:lpstr>OCL.AX_Annotation_Sheet!A_KEYWORD_EQTY_200019506_NON_OP_ADD</vt:lpstr>
      <vt:lpstr>OCL.AX_Annotation_Sheet!A_KEYWORD_EQTY_200019506_NOPAT</vt:lpstr>
      <vt:lpstr>OCL.AX_Annotation_Sheet!A_KEYWORD_EQTY_200019506_NOT_IN_USE</vt:lpstr>
      <vt:lpstr>OCL.AX_Annotation_Sheet!A_KEYWORD_EQTY_200019506_NTA_PER_SHARE</vt:lpstr>
      <vt:lpstr>OCL.AX_Annotation_Sheet!A_KEYWORD_EQTY_200019506_NUM_SH</vt:lpstr>
      <vt:lpstr>OCL.AX_Annotation_Sheet!A_KEYWORD_EQTY_200019506_NZ_FRANKING</vt:lpstr>
      <vt:lpstr>OCL.AX_Annotation_Sheet!A_KEYWORD_EQTY_200019506_OPPL_ATAX_POST_AB</vt:lpstr>
      <vt:lpstr>OCL.AX_Annotation_Sheet!A_KEYWORD_EQTY_200019506_OPPL_ATAX_PRE_AB</vt:lpstr>
      <vt:lpstr>OCL.AX_Annotation_Sheet!A_KEYWORD_EQTY_200019506_OPTIONS</vt:lpstr>
      <vt:lpstr>OCL.AX_Annotation_Sheet!A_KEYWORD_EQTY_200019506_OTH_ASSET_IMPAIR_CHG_POST_TAX</vt:lpstr>
      <vt:lpstr>OCL.AX_Annotation_Sheet!A_KEYWORD_EQTY_200019506_OTHER_ABNORMAL_ITEMS</vt:lpstr>
      <vt:lpstr>OCL.AX_Annotation_Sheet!A_KEYWORD_EQTY_200019506_OTHER_CAPITAL</vt:lpstr>
      <vt:lpstr>OCL.AX_Annotation_Sheet!A_KEYWORD_EQTY_200019506_OTHER_IFRS_ADJUST_POST_TAX</vt:lpstr>
      <vt:lpstr>OCL.AX_Annotation_Sheet!A_KEYWORD_EQTY_200019506_PARTLY_PAID_SHARES</vt:lpstr>
      <vt:lpstr>OCL.AX_Annotation_Sheet!A_KEYWORD_EQTY_200019506_PERPETUITY_GROWTH_RATE_DCF</vt:lpstr>
      <vt:lpstr>OCL.AX_Annotation_Sheet!A_KEYWORD_EQTY_200019506_PREF_DIV</vt:lpstr>
      <vt:lpstr>OCL.AX_Annotation_Sheet!A_KEYWORD_EQTY_200019506_PREFERENCE_SHARES</vt:lpstr>
      <vt:lpstr>OCL.AX_Annotation_Sheet!A_KEYWORD_EQTY_200019506_PRESENT_VALUE_OF_CASH_FLOW_DCF</vt:lpstr>
      <vt:lpstr>OCL.AX_Annotation_Sheet!A_KEYWORD_EQTY_200019506_PRI_TARG_METH</vt:lpstr>
      <vt:lpstr>OCL.AX_Annotation_Sheet!A_KEYWORD_EQTY_200019506_PRI_TARG_MULT</vt:lpstr>
      <vt:lpstr>OCL.AX_Annotation_Sheet!A_KEYWORD_EQTY_200019506_PRICE_CURRENCY_ISO</vt:lpstr>
      <vt:lpstr>OCL.AX_Annotation_Sheet!A_KEYWORD_EQTY_200019506_PROF_ADJUST_EPS</vt:lpstr>
      <vt:lpstr>OCL.AX_Annotation_Sheet!A_KEYWORD_EQTY_200019506_PROV_INC_TAX</vt:lpstr>
      <vt:lpstr>OCL.AX_Annotation_Sheet!A_KEYWORD_EQTY_200019506_PTP_PUB</vt:lpstr>
      <vt:lpstr>OCL.AX_Annotation_Sheet!A_KEYWORD_EQTY_200019506_PUB_CURRENCY_ISO</vt:lpstr>
      <vt:lpstr>OCL.AX_Annotation_Sheet!A_KEYWORD_EQTY_200019506_RESTRUC_COSTS</vt:lpstr>
      <vt:lpstr>OCL.AX_Annotation_Sheet!A_KEYWORD_EQTY_200019506_REVS_PUB</vt:lpstr>
      <vt:lpstr>OCL.AX_Annotation_Sheet!A_KEYWORD_EQTY_200019506_RISK_ADJ_OPTION_VALUE_DCF</vt:lpstr>
      <vt:lpstr>OCL.AX_Annotation_Sheet!A_KEYWORD_EQTY_200019506_RISK_FR_RATE</vt:lpstr>
      <vt:lpstr>OCL.AX_Annotation_Sheet!A_KEYWORD_EQTY_200019506_RISK_TO_EARNINGS</vt:lpstr>
      <vt:lpstr>OCL.AX_Annotation_Sheet!A_KEYWORD_EQTY_200019506_ROCE_ANZ</vt:lpstr>
      <vt:lpstr>OCL.AX_Annotation_Sheet!A_KEYWORD_EQTY_200019506_Security_Name</vt:lpstr>
      <vt:lpstr>OCL.AX_Annotation_Sheet!A_KEYWORD_EQTY_200019506_SH</vt:lpstr>
      <vt:lpstr>OCL.AX_Annotation_Sheet!A_KEYWORD_EQTY_200019506_SHOLDERS_EQUITY_MBRS</vt:lpstr>
      <vt:lpstr>OCL.AX_Annotation_Sheet!A_KEYWORD_EQTY_200019506_STD_FREE_OP_CASH_FLOW_DCF</vt:lpstr>
      <vt:lpstr>OCL.AX_Annotation_Sheet!A_KEYWORD_EQTY_200019506_TARGET_PRICE</vt:lpstr>
      <vt:lpstr>OCL.AX_Annotation_Sheet!A_KEYWORD_EQTY_200019506_TARGET_PRICE_FUNDAMENTAL</vt:lpstr>
      <vt:lpstr>OCL.AX_Annotation_Sheet!A_KEYWORD_EQTY_200019506_TARGET_PRICE_MA</vt:lpstr>
      <vt:lpstr>OCL.AX_Annotation_Sheet!A_KEYWORD_EQTY_200019506_TAX_EXC</vt:lpstr>
      <vt:lpstr>OCL.AX_Annotation_Sheet!A_KEYWORD_EQTY_200019506_TAX_RATE_DCF</vt:lpstr>
      <vt:lpstr>OCL.AX_Annotation_Sheet!A_KEYWORD_EQTY_200019506_TERMINAL_YEAR_DCF</vt:lpstr>
      <vt:lpstr>OCL.AX_Annotation_Sheet!A_KEYWORD_EQTY_200019506_Ticker</vt:lpstr>
      <vt:lpstr>OCL.AX_Annotation_Sheet!A_KEYWORD_EQTY_200019506_TOTAL_CAPITAL</vt:lpstr>
      <vt:lpstr>OCL.AX_Annotation_Sheet!A_KEYWORD_EQTY_200019506_TOTAL_IFRS_ADJUST_POST_TAX</vt:lpstr>
      <vt:lpstr>OCL.AX_Annotation_Sheet!A_KEYWORD_EQTY_200019506_TP_PERIOD</vt:lpstr>
      <vt:lpstr>OCL.AX_Annotation_Sheet!A_KEYWORD_EQTY_200019506_WACC_DCF</vt:lpstr>
      <vt:lpstr>OCL.AX_Annotation_Sheet!A_KEYWORD_EQTY_200019506_YEAR_END_CAPITAL_EVA</vt:lpstr>
      <vt:lpstr>OCL.AX_Annotation_Sheet!A_KEYWORD_ISSR_208017981_ACC_AMORT</vt:lpstr>
      <vt:lpstr>OCL.AX_Annotation_Sheet!A_KEYWORD_ISSR_208017981_ACC_DDA</vt:lpstr>
      <vt:lpstr>OCL.AX_Annotation_Sheet!A_KEYWORD_ISSR_208017981_ACC_END_DATE</vt:lpstr>
      <vt:lpstr>OCL.AX_Annotation_Sheet!A_KEYWORD_ISSR_208017981_ACC_PAY_GQ</vt:lpstr>
      <vt:lpstr>OCL.AX_Annotation_Sheet!A_KEYWORD_ISSR_208017981_ACCESS_CONNECTION</vt:lpstr>
      <vt:lpstr>OCL.AX_Annotation_Sheet!A_KEYWORD_ISSR_208017981_ACQ</vt:lpstr>
      <vt:lpstr>OCL.AX_Annotation_Sheet!A_KEYWORD_ISSR_208017981_ADJ_UNF_PENS_GOOD</vt:lpstr>
      <vt:lpstr>OCL.AX_Annotation_Sheet!A_KEYWORD_ISSR_208017981_AMORT_OF_INTANGIBLES</vt:lpstr>
      <vt:lpstr>OCL.AX_Annotation_Sheet!A_KEYWORD_ISSR_208017981_AMORT_OF_INTANGIBLES_ADJ</vt:lpstr>
      <vt:lpstr>OCL.AX_Annotation_Sheet!A_KEYWORD_ISSR_208017981_ASSOC_JV_ADDBK</vt:lpstr>
      <vt:lpstr>OCL.AX_Annotation_Sheet!A_KEYWORD_ISSR_208017981_ASSOCIATE</vt:lpstr>
      <vt:lpstr>OCL.AX_Annotation_Sheet!A_KEYWORD_ISSR_208017981_ASSOCIATE_OP</vt:lpstr>
      <vt:lpstr>OCL.AX_Annotation_Sheet!A_KEYWORD_ISSR_208017981_AVG_CAPITAL_EMPLOYED_ADJ</vt:lpstr>
      <vt:lpstr>OCL.AX_Annotation_Sheet!A_KEYWORD_ISSR_208017981_BAL_MINO_INT</vt:lpstr>
      <vt:lpstr>OCL.AX_Annotation_Sheet!A_KEYWORD_ISSR_208017981_BAL_OF_FRANK_CREDITS</vt:lpstr>
      <vt:lpstr>OCL.AX_Annotation_Sheet!A_KEYWORD_ISSR_208017981_BANK_ODRAFT</vt:lpstr>
      <vt:lpstr>OCL.AX_Annotation_Sheet!A_KEYWORD_ISSR_208017981_BORROWINGS</vt:lpstr>
      <vt:lpstr>OCL.AX_Annotation_Sheet!A_KEYWORD_ISSR_208017981_CAP_LEASES</vt:lpstr>
      <vt:lpstr>OCL.AX_Annotation_Sheet!A_KEYWORD_ISSR_208017981_CAPEX</vt:lpstr>
      <vt:lpstr>OCL.AX_Annotation_Sheet!A_KEYWORD_ISSR_208017981_CAPEX_EXPANSION</vt:lpstr>
      <vt:lpstr>OCL.AX_Annotation_Sheet!A_KEYWORD_ISSR_208017981_CAPEX_MAINTENANCE</vt:lpstr>
      <vt:lpstr>OCL.AX_Annotation_Sheet!A_KEYWORD_ISSR_208017981_CASH_EQ</vt:lpstr>
      <vt:lpstr>OCL.AX_Annotation_Sheet!A_KEYWORD_ISSR_208017981_CASH_INT_EXP</vt:lpstr>
      <vt:lpstr>OCL.AX_Annotation_Sheet!A_KEYWORD_ISSR_208017981_CASH_TAX_EXP</vt:lpstr>
      <vt:lpstr>OCL.AX_Annotation_Sheet!A_KEYWORD_ISSR_208017981_CF_FIN</vt:lpstr>
      <vt:lpstr>OCL.AX_Annotation_Sheet!A_KEYWORD_ISSR_208017981_CF_FX</vt:lpstr>
      <vt:lpstr>OCL.AX_Annotation_Sheet!A_KEYWORD_ISSR_208017981_CF_INC_MINORITY</vt:lpstr>
      <vt:lpstr>OCL.AX_Annotation_Sheet!A_KEYWORD_ISSR_208017981_CF_INV</vt:lpstr>
      <vt:lpstr>OCL.AX_Annotation_Sheet!A_KEYWORD_ISSR_208017981_CF_INV_MISC</vt:lpstr>
      <vt:lpstr>OCL.AX_Annotation_Sheet!A_KEYWORD_ISSR_208017981_CF_OPS</vt:lpstr>
      <vt:lpstr>OCL.AX_Annotation_Sheet!A_KEYWORD_ISSR_208017981_CF_OPS_MISC</vt:lpstr>
      <vt:lpstr>OCL.AX_Annotation_Sheet!A_KEYWORD_ISSR_208017981_CHG_LT_DEBT</vt:lpstr>
      <vt:lpstr>OCL.AX_Annotation_Sheet!A_KEYWORD_ISSR_208017981_CO_BOR_MARGIN</vt:lpstr>
      <vt:lpstr>OCL.AX_Annotation_Sheet!A_KEYWORD_ISSR_208017981_COGS_PCT_ROW</vt:lpstr>
      <vt:lpstr>OCL.AX_Annotation_Sheet!A_KEYWORD_ISSR_208017981_COGS_PCT_US</vt:lpstr>
      <vt:lpstr>OCL.AX_Annotation_Sheet!A_KEYWORD_ISSR_208017981_COST_GD_SD</vt:lpstr>
      <vt:lpstr>OCL.AX_Annotation_Sheet!A_KEYWORD_ISSR_208017981_COST_OF_DEBT_DCF</vt:lpstr>
      <vt:lpstr>OCL.AX_Annotation_Sheet!A_KEYWORD_ISSR_208017981_CUR_ASS</vt:lpstr>
      <vt:lpstr>OCL.AX_Annotation_Sheet!A_KEYWORD_ISSR_208017981_CUR_ASS_MISC</vt:lpstr>
      <vt:lpstr>OCL.AX_Annotation_Sheet!A_KEYWORD_ISSR_208017981_CUR_LIABS_MISC</vt:lpstr>
      <vt:lpstr>OCL.AX_Annotation_Sheet!A_KEYWORD_ISSR_208017981_CURRENCY_ISO</vt:lpstr>
      <vt:lpstr>OCL.AX_Annotation_Sheet!A_KEYWORD_ISSR_208017981_CUSTOMER_RECEIPTS</vt:lpstr>
      <vt:lpstr>OCL.AX_Annotation_Sheet!A_KEYWORD_ISSR_208017981_DEBT_TO_EQUITY_MKT_VALUES_DCF</vt:lpstr>
      <vt:lpstr>OCL.AX_Annotation_Sheet!A_KEYWORD_ISSR_208017981_DEBTORS</vt:lpstr>
      <vt:lpstr>OCL.AX_Annotation_Sheet!A_KEYWORD_ISSR_208017981_DEF_INC_TAX</vt:lpstr>
      <vt:lpstr>OCL.AX_Annotation_Sheet!A_KEYWORD_ISSR_208017981_DEFINED_BENEFIT_OBLIGATION</vt:lpstr>
      <vt:lpstr>OCL.AX_Annotation_Sheet!A_KEYWORD_ISSR_208017981_DEFINED_BENEFIT_SURPLUS</vt:lpstr>
      <vt:lpstr>OCL.AX_Annotation_Sheet!A_KEYWORD_ISSR_208017981_DEPR_AMORT</vt:lpstr>
      <vt:lpstr>OCL.AX_Annotation_Sheet!A_KEYWORD_ISSR_208017981_DEPR_ROU_ASSETS</vt:lpstr>
      <vt:lpstr>OCL.AX_Annotation_Sheet!A_KEYWORD_ISSR_208017981_DEPREC</vt:lpstr>
      <vt:lpstr>OCL.AX_Annotation_Sheet!A_KEYWORD_ISSR_208017981_DIV_PAID</vt:lpstr>
      <vt:lpstr>OCL.AX_Annotation_Sheet!A_KEYWORD_ISSR_208017981_DIVDS_ASSOC_JV</vt:lpstr>
      <vt:lpstr>OCL.AX_Annotation_Sheet!A_KEYWORD_ISSR_208017981_DIVDS_PD_MINORITIES</vt:lpstr>
      <vt:lpstr>OCL.AX_Annotation_Sheet!A_KEYWORD_ISSR_208017981_DIVEST</vt:lpstr>
      <vt:lpstr>OCL.AX_Annotation_Sheet!A_KEYWORD_ISSR_208017981_DIVIDENDS_RECEIVED</vt:lpstr>
      <vt:lpstr>OCL.AX_Annotation_Sheet!A_KEYWORD_ISSR_208017981_EBIT</vt:lpstr>
      <vt:lpstr>OCL.AX_Annotation_Sheet!A_KEYWORD_ISSR_208017981_EBIT_CONSOLIDATED</vt:lpstr>
      <vt:lpstr>OCL.AX_Annotation_Sheet!A_KEYWORD_ISSR_208017981_EBIT_CONSOLIDATED_PRE_ASSOC</vt:lpstr>
      <vt:lpstr>OCL.AX_Annotation_Sheet!A_KEYWORD_ISSR_208017981_EBITDA_CALC</vt:lpstr>
      <vt:lpstr>OCL.AX_Annotation_Sheet!A_KEYWORD_ISSR_208017981_EBITDA_CONSOLIDATED</vt:lpstr>
      <vt:lpstr>OCL.AX_Annotation_Sheet!A_KEYWORD_ISSR_208017981_EMPLOYEES</vt:lpstr>
      <vt:lpstr>OCL.AX_Annotation_Sheet!A_KEYWORD_ISSR_208017981_EQ</vt:lpstr>
      <vt:lpstr>OCL.AX_Annotation_Sheet!A_KEYWORD_ISSR_208017981_EXP_OIL_DERIV_NGLS_PLASTICS</vt:lpstr>
      <vt:lpstr>OCL.AX_Annotation_Sheet!A_KEYWORD_ISSR_208017981_EXP_OIL_PETRO_FUEL</vt:lpstr>
      <vt:lpstr>OCL.AX_Annotation_Sheet!A_KEYWORD_ISSR_208017981_FIN_INSTR_HEDGE_CURR_LIABILITY</vt:lpstr>
      <vt:lpstr>OCL.AX_Annotation_Sheet!A_KEYWORD_ISSR_208017981_FIN_INSTR_HEDGE_CURRENT</vt:lpstr>
      <vt:lpstr>OCL.AX_Annotation_Sheet!A_KEYWORD_ISSR_208017981_FIN_INSTR_HEDGE_NON_CURR_LIAB</vt:lpstr>
      <vt:lpstr>OCL.AX_Annotation_Sheet!A_KEYWORD_ISSR_208017981_FIN_INSTR_HEDGE_NON_CURRENT</vt:lpstr>
      <vt:lpstr>OCL.AX_Annotation_Sheet!A_KEYWORD_ISSR_208017981_FIN_INSTRUMENT_HEDGE_PRE_TAX</vt:lpstr>
      <vt:lpstr>OCL.AX_Annotation_Sheet!A_KEYWORD_ISSR_208017981_FIX_ASS_INV</vt:lpstr>
      <vt:lpstr>OCL.AX_Annotation_Sheet!A_KEYWORD_ISSR_208017981_FLOATING_PCT_LOCAL_DEBT</vt:lpstr>
      <vt:lpstr>OCL.AX_Annotation_Sheet!A_KEYWORD_ISSR_208017981_FLOATING_PCT_LOCAL_DEBT_HEDGED</vt:lpstr>
      <vt:lpstr>OCL.AX_Annotation_Sheet!A_KEYWORD_ISSR_208017981_FX_AUD_ASSUMPTION</vt:lpstr>
      <vt:lpstr>OCL.AX_Annotation_Sheet!A_KEYWORD_ISSR_208017981_FX_AUD_NI_SENSITIVITY</vt:lpstr>
      <vt:lpstr>OCL.AX_Annotation_Sheet!A_KEYWORD_ISSR_208017981_FX_EUR_ASSUMPTION</vt:lpstr>
      <vt:lpstr>OCL.AX_Annotation_Sheet!A_KEYWORD_ISSR_208017981_FX_EUR_NI_SENSITIVITY</vt:lpstr>
      <vt:lpstr>OCL.AX_Annotation_Sheet!A_KEYWORD_ISSR_208017981_FX_USD_ASSUMPTION</vt:lpstr>
      <vt:lpstr>OCL.AX_Annotation_Sheet!A_KEYWORD_ISSR_208017981_FX_USD_NI_SENSITIVITY</vt:lpstr>
      <vt:lpstr>OCL.AX_Annotation_Sheet!A_KEYWORD_ISSR_208017981_GCI_INFL</vt:lpstr>
      <vt:lpstr>OCL.AX_Annotation_Sheet!A_KEYWORD_ISSR_208017981_GOODWILL_AMORT</vt:lpstr>
      <vt:lpstr>OCL.AX_Annotation_Sheet!A_KEYWORD_ISSR_208017981_GOODWILL_NET_AMNT</vt:lpstr>
      <vt:lpstr>OCL.AX_Annotation_Sheet!A_KEYWORD_ISSR_208017981_GR_FIX_ASS</vt:lpstr>
      <vt:lpstr>OCL.AX_Annotation_Sheet!A_KEYWORD_ISSR_208017981_GR_INTANG</vt:lpstr>
      <vt:lpstr>OCL.AX_Annotation_Sheet!A_KEYWORD_ISSR_208017981_GWILL_ASSET_IMPAIR_CHG_PRE_TAX</vt:lpstr>
      <vt:lpstr>OCL.AX_Annotation_Sheet!A_KEYWORD_ISSR_208017981_INT_EXP_IND</vt:lpstr>
      <vt:lpstr>OCL.AX_Annotation_Sheet!A_KEYWORD_ISSR_208017981_INT_INC_IND</vt:lpstr>
      <vt:lpstr>OCL.AX_Annotation_Sheet!A_KEYWORD_ISSR_208017981_INT_OTHERS_RECEIVED</vt:lpstr>
      <vt:lpstr>OCL.AX_Annotation_Sheet!A_KEYWORD_ISSR_208017981_INV_SECUR</vt:lpstr>
      <vt:lpstr>OCL.AX_Annotation_Sheet!A_KEYWORD_ISSR_208017981_INVESTMENTS</vt:lpstr>
      <vt:lpstr>OCL.AX_Annotation_Sheet!A_KEYWORD_ISSR_208017981_Issuer_Name</vt:lpstr>
      <vt:lpstr>OCL.AX_Annotation_Sheet!A_KEYWORD_ISSR_208017981_LABOUR</vt:lpstr>
      <vt:lpstr>OCL.AX_Annotation_Sheet!A_KEYWORD_ISSR_208017981_LAND_BUILDINGS</vt:lpstr>
      <vt:lpstr>OCL.AX_Annotation_Sheet!A_KEYWORD_ISSR_208017981_LEASE_ADOPT</vt:lpstr>
      <vt:lpstr>OCL.AX_Annotation_Sheet!A_KEYWORD_ISSR_208017981_LEASE_DEEM_DEPR</vt:lpstr>
      <vt:lpstr>OCL.AX_Annotation_Sheet!A_KEYWORD_ISSR_208017981_LEASE_DEEM_INT</vt:lpstr>
      <vt:lpstr>OCL.AX_Annotation_Sheet!A_KEYWORD_ISSR_208017981_LEASE_INT_CHG</vt:lpstr>
      <vt:lpstr>OCL.AX_Annotation_Sheet!A_KEYWORD_ISSR_208017981_LEASE_PAY</vt:lpstr>
      <vt:lpstr>OCL.AX_Annotation_Sheet!A_KEYWORD_ISSR_208017981_LEASE_PRINCIPAL_CASH</vt:lpstr>
      <vt:lpstr>OCL.AX_Annotation_Sheet!A_KEYWORD_ISSR_208017981_LOAN_REPAID_OTHER_ENTS</vt:lpstr>
      <vt:lpstr>OCL.AX_Annotation_Sheet!A_KEYWORD_ISSR_208017981_LOANS_OTHER_ENTITIES</vt:lpstr>
      <vt:lpstr>OCL.AX_Annotation_Sheet!A_KEYWORD_ISSR_208017981_LT_DEBT</vt:lpstr>
      <vt:lpstr>OCL.AX_Annotation_Sheet!A_KEYWORD_ISSR_208017981_LT_LEASE_LIAB</vt:lpstr>
      <vt:lpstr>OCL.AX_Annotation_Sheet!A_KEYWORD_ISSR_208017981_MA_PROB</vt:lpstr>
      <vt:lpstr>OCL.AX_Annotation_Sheet!A_KEYWORD_ISSR_208017981_MARKETING_ADVERTISNIG</vt:lpstr>
      <vt:lpstr>OCL.AX_Annotation_Sheet!A_KEYWORD_ISSR_208017981_MINORITIES</vt:lpstr>
      <vt:lpstr>OCL.AX_Annotation_Sheet!A_KEYWORD_ISSR_208017981_MV_ASSOCIATES</vt:lpstr>
      <vt:lpstr>OCL.AX_Annotation_Sheet!A_KEYWORD_ISSR_208017981_MV_CONVERTIBLE_NOTES</vt:lpstr>
      <vt:lpstr>OCL.AX_Annotation_Sheet!A_KEYWORD_ISSR_208017981_MV_NET_OTHER_STAKEHOLDERS</vt:lpstr>
      <vt:lpstr>OCL.AX_Annotation_Sheet!A_KEYWORD_ISSR_208017981_NCASSET_INVENTORIES</vt:lpstr>
      <vt:lpstr>OCL.AX_Annotation_Sheet!A_KEYWORD_ISSR_208017981_NCASSET_INVESTMENT</vt:lpstr>
      <vt:lpstr>OCL.AX_Annotation_Sheet!A_KEYWORD_ISSR_208017981_NCASSET_MISC</vt:lpstr>
      <vt:lpstr>OCL.AX_Annotation_Sheet!A_KEYWORD_ISSR_208017981_NCASSET_RECEIVABLES</vt:lpstr>
      <vt:lpstr>OCL.AX_Annotation_Sheet!A_KEYWORD_ISSR_208017981_NCASSET_TRADE_DEBTORS</vt:lpstr>
      <vt:lpstr>OCL.AX_Annotation_Sheet!A_KEYWORD_ISSR_208017981_NCLIAB_MISC</vt:lpstr>
      <vt:lpstr>OCL.AX_Annotation_Sheet!A_KEYWORD_ISSR_208017981_NCLIAB_OTHER_CREDITORS</vt:lpstr>
      <vt:lpstr>OCL.AX_Annotation_Sheet!A_KEYWORD_ISSR_208017981_NCLIAB_PROVISIONS</vt:lpstr>
      <vt:lpstr>OCL.AX_Annotation_Sheet!A_KEYWORD_ISSR_208017981_NCLIAB_TRADE_CREDITORS</vt:lpstr>
      <vt:lpstr>OCL.AX_Annotation_Sheet!A_KEYWORD_ISSR_208017981_NET_ASSETS</vt:lpstr>
      <vt:lpstr>OCL.AX_Annotation_Sheet!A_KEYWORD_ISSR_208017981_NET_DEBT</vt:lpstr>
      <vt:lpstr>OCL.AX_Annotation_Sheet!A_KEYWORD_ISSR_208017981_NET_DEBT_ADJ</vt:lpstr>
      <vt:lpstr>OCL.AX_Annotation_Sheet!A_KEYWORD_ISSR_208017981_NET_FIX_ASS</vt:lpstr>
      <vt:lpstr>OCL.AX_Annotation_Sheet!A_KEYWORD_ISSR_208017981_NET_INT_CH</vt:lpstr>
      <vt:lpstr>OCL.AX_Annotation_Sheet!A_KEYWORD_ISSR_208017981_NET_INT_EXP</vt:lpstr>
      <vt:lpstr>OCL.AX_Annotation_Sheet!A_KEYWORD_ISSR_208017981_NET_INTANG</vt:lpstr>
      <vt:lpstr>OCL.AX_Annotation_Sheet!A_KEYWORD_ISSR_208017981_NET_TANGIBLE_ASSETS</vt:lpstr>
      <vt:lpstr>OCL.AX_Annotation_Sheet!A_KEYWORD_ISSR_208017981_NONPPE_CAPEX</vt:lpstr>
      <vt:lpstr>OCL.AX_Annotation_Sheet!A_KEYWORD_ISSR_208017981_OP_COST</vt:lpstr>
      <vt:lpstr>OCL.AX_Annotation_Sheet!A_KEYWORD_ISSR_208017981_OPPL_BTAX_EX_ASSOC</vt:lpstr>
      <vt:lpstr>OCL.AX_Annotation_Sheet!A_KEYWORD_ISSR_208017981_OPPL_BTAX_POST_AB</vt:lpstr>
      <vt:lpstr>OCL.AX_Annotation_Sheet!A_KEYWORD_ISSR_208017981_ORD_SH_FUND</vt:lpstr>
      <vt:lpstr>OCL.AX_Annotation_Sheet!A_KEYWORD_ISSR_208017981_ORD_SHARE_CAPITAL</vt:lpstr>
      <vt:lpstr>OCL.AX_Annotation_Sheet!A_KEYWORD_ISSR_208017981_OTH_COST_INC</vt:lpstr>
      <vt:lpstr>OCL.AX_Annotation_Sheet!A_KEYWORD_ISSR_208017981_OTH_CUR_ASS</vt:lpstr>
      <vt:lpstr>OCL.AX_Annotation_Sheet!A_KEYWORD_ISSR_208017981_OTH_CUR_LIABS</vt:lpstr>
      <vt:lpstr>OCL.AX_Annotation_Sheet!A_KEYWORD_ISSR_208017981_OTH_DACF_ADJ</vt:lpstr>
      <vt:lpstr>OCL.AX_Annotation_Sheet!A_KEYWORD_ISSR_208017981_OTH_FIN_CF</vt:lpstr>
      <vt:lpstr>OCL.AX_Annotation_Sheet!A_KEYWORD_ISSR_208017981_OTH_GCI_ADJ</vt:lpstr>
      <vt:lpstr>OCL.AX_Annotation_Sheet!A_KEYWORD_ISSR_208017981_OTH_INV_CF</vt:lpstr>
      <vt:lpstr>OCL.AX_Annotation_Sheet!A_KEYWORD_ISSR_208017981_OTH_LT_ASS</vt:lpstr>
      <vt:lpstr>OCL.AX_Annotation_Sheet!A_KEYWORD_ISSR_208017981_OTH_LT_CRED_GQ</vt:lpstr>
      <vt:lpstr>OCL.AX_Annotation_Sheet!A_KEYWORD_ISSR_208017981_OTH_NONCASH_ADJ</vt:lpstr>
      <vt:lpstr>OCL.AX_Annotation_Sheet!A_KEYWORD_ISSR_208017981_OTH_OP_CF</vt:lpstr>
      <vt:lpstr>OCL.AX_Annotation_Sheet!A_KEYWORD_ISSR_208017981_OTH_OP_INC_EXP</vt:lpstr>
      <vt:lpstr>OCL.AX_Annotation_Sheet!A_KEYWORD_ISSR_208017981_OTHER_ASSET_IMPAIR_CHG_PRE_TAX</vt:lpstr>
      <vt:lpstr>OCL.AX_Annotation_Sheet!A_KEYWORD_ISSR_208017981_OTHER_CREDITORS</vt:lpstr>
      <vt:lpstr>OCL.AX_Annotation_Sheet!A_KEYWORD_ISSR_208017981_OTHER_IFRS_ADJUST_PRE_TAX</vt:lpstr>
      <vt:lpstr>OCL.AX_Annotation_Sheet!A_KEYWORD_ISSR_208017981_OTHER_INTANGIBLES_DEPREC</vt:lpstr>
      <vt:lpstr>OCL.AX_Annotation_Sheet!A_KEYWORD_ISSR_208017981_OTHER_INTANGIBLES_NON_DEPREC</vt:lpstr>
      <vt:lpstr>OCL.AX_Annotation_Sheet!A_KEYWORD_ISSR_208017981_OTHER_RECEIVABLES</vt:lpstr>
      <vt:lpstr>OCL.AX_Annotation_Sheet!A_KEYWORD_ISSR_208017981_OTHER_REVENUE</vt:lpstr>
      <vt:lpstr>OCL.AX_Annotation_Sheet!A_KEYWORD_ISSR_208017981_PERIOD_MILESTONE</vt:lpstr>
      <vt:lpstr>OCL.AX_Annotation_Sheet!A_KEYWORD_ISSR_208017981_PERSONNEL</vt:lpstr>
      <vt:lpstr>OCL.AX_Annotation_Sheet!A_KEYWORD_ISSR_208017981_PL_BTAX_ON_AB</vt:lpstr>
      <vt:lpstr>OCL.AX_Annotation_Sheet!A_KEYWORD_ISSR_208017981_PL_SALE_ASSETS</vt:lpstr>
      <vt:lpstr>OCL.AX_Annotation_Sheet!A_KEYWORD_ISSR_208017981_PLANT_EQUIP</vt:lpstr>
      <vt:lpstr>OCL.AX_Annotation_Sheet!A_KEYWORD_ISSR_208017981_PREF_SH</vt:lpstr>
      <vt:lpstr>OCL.AX_Annotation_Sheet!A_KEYWORD_ISSR_208017981_PROCEEDS_BORROWINGS</vt:lpstr>
      <vt:lpstr>OCL.AX_Annotation_Sheet!A_KEYWORD_ISSR_208017981_PROCEEDS_NCASSET</vt:lpstr>
      <vt:lpstr>OCL.AX_Annotation_Sheet!A_KEYWORD_ISSR_208017981_PROCEEDS_PURCH_OPER_BUS</vt:lpstr>
      <vt:lpstr>OCL.AX_Annotation_Sheet!A_KEYWORD_ISSR_208017981_PROCEEDS_SALE_EQUITY_INV</vt:lpstr>
      <vt:lpstr>OCL.AX_Annotation_Sheet!A_KEYWORD_ISSR_208017981_PROCEEDS_SALE_OPER_BUS</vt:lpstr>
      <vt:lpstr>OCL.AX_Annotation_Sheet!A_KEYWORD_ISSR_208017981_PROFIT_DEFBEN_PLAN_POST_TAX</vt:lpstr>
      <vt:lpstr>OCL.AX_Annotation_Sheet!A_KEYWORD_ISSR_208017981_PROFIT_DEFBEN_PLAN_PRE_TAX</vt:lpstr>
      <vt:lpstr>OCL.AX_Annotation_Sheet!A_KEYWORD_ISSR_208017981_PROFIT_ON_DISP</vt:lpstr>
      <vt:lpstr>OCL.AX_Annotation_Sheet!A_KEYWORD_ISSR_208017981_PROVISIONS</vt:lpstr>
      <vt:lpstr>OCL.AX_Annotation_Sheet!A_KEYWORD_ISSR_208017981_PT_PROF</vt:lpstr>
      <vt:lpstr>OCL.AX_Annotation_Sheet!A_KEYWORD_ISSR_208017981_PURCH_EQUITY_INVESTS</vt:lpstr>
      <vt:lpstr>OCL.AX_Annotation_Sheet!A_KEYWORD_ISSR_208017981_R_AND_D_CAP</vt:lpstr>
      <vt:lpstr>OCL.AX_Annotation_Sheet!A_KEYWORD_ISSR_208017981_RD_EXP</vt:lpstr>
      <vt:lpstr>OCL.AX_Annotation_Sheet!A_KEYWORD_ISSR_208017981_REPAY_BORROWINGS</vt:lpstr>
      <vt:lpstr>OCL.AX_Annotation_Sheet!A_KEYWORD_ISSR_208017981_RESERVES</vt:lpstr>
      <vt:lpstr>OCL.AX_Annotation_Sheet!A_KEYWORD_ISSR_208017981_RETAIN_PROFIT_LOSS</vt:lpstr>
      <vt:lpstr>OCL.AX_Annotation_Sheet!A_KEYWORD_ISSR_208017981_ROU_ASSET</vt:lpstr>
      <vt:lpstr>OCL.AX_Annotation_Sheet!A_KEYWORD_ISSR_208017981_SALE_PROP_PLANT_EQUIP</vt:lpstr>
      <vt:lpstr>OCL.AX_Annotation_Sheet!A_KEYWORD_ISSR_208017981_SALES</vt:lpstr>
      <vt:lpstr>OCL.AX_Annotation_Sheet!A_KEYWORD_ISSR_208017981_SALES_ARGENTINA</vt:lpstr>
      <vt:lpstr>OCL.AX_Annotation_Sheet!A_KEYWORD_ISSR_208017981_SALES_AUSTRA</vt:lpstr>
      <vt:lpstr>OCL.AX_Annotation_Sheet!A_KEYWORD_ISSR_208017981_SALES_AUSTRIA</vt:lpstr>
      <vt:lpstr>OCL.AX_Annotation_Sheet!A_KEYWORD_ISSR_208017981_SALES_BEL</vt:lpstr>
      <vt:lpstr>OCL.AX_Annotation_Sheet!A_KEYWORD_ISSR_208017981_SALES_BRAZIL</vt:lpstr>
      <vt:lpstr>OCL.AX_Annotation_Sheet!A_KEYWORD_ISSR_208017981_SALES_CANADA</vt:lpstr>
      <vt:lpstr>OCL.AX_Annotation_Sheet!A_KEYWORD_ISSR_208017981_SALES_CEE</vt:lpstr>
      <vt:lpstr>OCL.AX_Annotation_Sheet!A_KEYWORD_ISSR_208017981_SALES_CHILE</vt:lpstr>
      <vt:lpstr>OCL.AX_Annotation_Sheet!A_KEYWORD_ISSR_208017981_SALES_CHINA</vt:lpstr>
      <vt:lpstr>OCL.AX_Annotation_Sheet!A_KEYWORD_ISSR_208017981_SALES_COLOMBIA</vt:lpstr>
      <vt:lpstr>OCL.AX_Annotation_Sheet!A_KEYWORD_ISSR_208017981_SALES_CONS</vt:lpstr>
      <vt:lpstr>OCL.AX_Annotation_Sheet!A_KEYWORD_ISSR_208017981_SALES_EU_EX_UK</vt:lpstr>
      <vt:lpstr>OCL.AX_Annotation_Sheet!A_KEYWORD_ISSR_208017981_SALES_FINAN</vt:lpstr>
      <vt:lpstr>OCL.AX_Annotation_Sheet!A_KEYWORD_ISSR_208017981_SALES_FRA</vt:lpstr>
      <vt:lpstr>OCL.AX_Annotation_Sheet!A_KEYWORD_ISSR_208017981_SALES_FX</vt:lpstr>
      <vt:lpstr>OCL.AX_Annotation_Sheet!A_KEYWORD_ISSR_208017981_SALES_FX_AUD</vt:lpstr>
      <vt:lpstr>OCL.AX_Annotation_Sheet!A_KEYWORD_ISSR_208017981_SALES_FX_BRL</vt:lpstr>
      <vt:lpstr>OCL.AX_Annotation_Sheet!A_KEYWORD_ISSR_208017981_SALES_FX_CNY</vt:lpstr>
      <vt:lpstr>OCL.AX_Annotation_Sheet!A_KEYWORD_ISSR_208017981_SALES_FX_EUR</vt:lpstr>
      <vt:lpstr>OCL.AX_Annotation_Sheet!A_KEYWORD_ISSR_208017981_SALES_FX_GPB</vt:lpstr>
      <vt:lpstr>OCL.AX_Annotation_Sheet!A_KEYWORD_ISSR_208017981_SALES_FX_INR</vt:lpstr>
      <vt:lpstr>OCL.AX_Annotation_Sheet!A_KEYWORD_ISSR_208017981_SALES_FX_NZD</vt:lpstr>
      <vt:lpstr>OCL.AX_Annotation_Sheet!A_KEYWORD_ISSR_208017981_SALES_FX_OTH</vt:lpstr>
      <vt:lpstr>OCL.AX_Annotation_Sheet!A_KEYWORD_ISSR_208017981_SALES_FX_RUB</vt:lpstr>
      <vt:lpstr>OCL.AX_Annotation_Sheet!A_KEYWORD_ISSR_208017981_SALES_FX_USD</vt:lpstr>
      <vt:lpstr>OCL.AX_Annotation_Sheet!A_KEYWORD_ISSR_208017981_SALES_FX_YEN</vt:lpstr>
      <vt:lpstr>OCL.AX_Annotation_Sheet!A_KEYWORD_ISSR_208017981_SALES_GER</vt:lpstr>
      <vt:lpstr>OCL.AX_Annotation_Sheet!A_KEYWORD_ISSR_208017981_SALES_GOV</vt:lpstr>
      <vt:lpstr>OCL.AX_Annotation_Sheet!A_KEYWORD_ISSR_208017981_SALES_GRE</vt:lpstr>
      <vt:lpstr>OCL.AX_Annotation_Sheet!A_KEYWORD_ISSR_208017981_SALES_HONG_KONG</vt:lpstr>
      <vt:lpstr>OCL.AX_Annotation_Sheet!A_KEYWORD_ISSR_208017981_SALES_IND</vt:lpstr>
      <vt:lpstr>OCL.AX_Annotation_Sheet!A_KEYWORD_ISSR_208017981_SALES_INDIA</vt:lpstr>
      <vt:lpstr>OCL.AX_Annotation_Sheet!A_KEYWORD_ISSR_208017981_SALES_INDONESIA</vt:lpstr>
      <vt:lpstr>OCL.AX_Annotation_Sheet!A_KEYWORD_ISSR_208017981_SALES_INORGANIC</vt:lpstr>
      <vt:lpstr>OCL.AX_Annotation_Sheet!A_KEYWORD_ISSR_208017981_SALES_IRE</vt:lpstr>
      <vt:lpstr>OCL.AX_Annotation_Sheet!A_KEYWORD_ISSR_208017981_SALES_ITA</vt:lpstr>
      <vt:lpstr>OCL.AX_Annotation_Sheet!A_KEYWORD_ISSR_208017981_SALES_JAPAN</vt:lpstr>
      <vt:lpstr>OCL.AX_Annotation_Sheet!A_KEYWORD_ISSR_208017981_SALES_ME</vt:lpstr>
      <vt:lpstr>OCL.AX_Annotation_Sheet!A_KEYWORD_ISSR_208017981_SALES_MEXICO</vt:lpstr>
      <vt:lpstr>OCL.AX_Annotation_Sheet!A_KEYWORD_ISSR_208017981_SALES_NETH</vt:lpstr>
      <vt:lpstr>OCL.AX_Annotation_Sheet!A_KEYWORD_ISSR_208017981_SALES_NIGERIA</vt:lpstr>
      <vt:lpstr>OCL.AX_Annotation_Sheet!A_KEYWORD_ISSR_208017981_SALES_NOR</vt:lpstr>
      <vt:lpstr>OCL.AX_Annotation_Sheet!A_KEYWORD_ISSR_208017981_SALES_NZ</vt:lpstr>
      <vt:lpstr>OCL.AX_Annotation_Sheet!A_KEYWORD_ISSR_208017981_SALES_OIL_GAS</vt:lpstr>
      <vt:lpstr>OCL.AX_Annotation_Sheet!A_KEYWORD_ISSR_208017981_SALES_OTH_AEJ</vt:lpstr>
      <vt:lpstr>OCL.AX_Annotation_Sheet!A_KEYWORD_ISSR_208017981_SALES_OTH_AFRICA</vt:lpstr>
      <vt:lpstr>OCL.AX_Annotation_Sheet!A_KEYWORD_ISSR_208017981_SALES_OTH_AM</vt:lpstr>
      <vt:lpstr>OCL.AX_Annotation_Sheet!A_KEYWORD_ISSR_208017981_SALES_OTH_CEE</vt:lpstr>
      <vt:lpstr>OCL.AX_Annotation_Sheet!A_KEYWORD_ISSR_208017981_SALES_OTH_DEV_ASIA</vt:lpstr>
      <vt:lpstr>OCL.AX_Annotation_Sheet!A_KEYWORD_ISSR_208017981_SALES_OTH_EMEA</vt:lpstr>
      <vt:lpstr>OCL.AX_Annotation_Sheet!A_KEYWORD_ISSR_208017981_SALES_OTH_EMERG_ASIA</vt:lpstr>
      <vt:lpstr>OCL.AX_Annotation_Sheet!A_KEYWORD_ISSR_208017981_SALES_OTH_LATAM</vt:lpstr>
      <vt:lpstr>OCL.AX_Annotation_Sheet!A_KEYWORD_ISSR_208017981_SALES_OTH_ME</vt:lpstr>
      <vt:lpstr>OCL.AX_Annotation_Sheet!A_KEYWORD_ISSR_208017981_SALES_OTH_NO_AMER</vt:lpstr>
      <vt:lpstr>OCL.AX_Annotation_Sheet!A_KEYWORD_ISSR_208017981_SALES_OTH_WEST_EURO</vt:lpstr>
      <vt:lpstr>OCL.AX_Annotation_Sheet!A_KEYWORD_ISSR_208017981_SALES_OTHER</vt:lpstr>
      <vt:lpstr>OCL.AX_Annotation_Sheet!A_KEYWORD_ISSR_208017981_SALES_POLAND</vt:lpstr>
      <vt:lpstr>OCL.AX_Annotation_Sheet!A_KEYWORD_ISSR_208017981_SALES_POR</vt:lpstr>
      <vt:lpstr>OCL.AX_Annotation_Sheet!A_KEYWORD_ISSR_208017981_SALES_PRICE</vt:lpstr>
      <vt:lpstr>OCL.AX_Annotation_Sheet!A_KEYWORD_ISSR_208017981_SALES_RUSSIA</vt:lpstr>
      <vt:lpstr>OCL.AX_Annotation_Sheet!A_KEYWORD_ISSR_208017981_SALES_SAUDI_ARABIA</vt:lpstr>
      <vt:lpstr>OCL.AX_Annotation_Sheet!A_KEYWORD_ISSR_208017981_SALES_SINGAPORE</vt:lpstr>
      <vt:lpstr>OCL.AX_Annotation_Sheet!A_KEYWORD_ISSR_208017981_SALES_SK</vt:lpstr>
      <vt:lpstr>OCL.AX_Annotation_Sheet!A_KEYWORD_ISSR_208017981_SALES_SO_AFRICA</vt:lpstr>
      <vt:lpstr>OCL.AX_Annotation_Sheet!A_KEYWORD_ISSR_208017981_SALES_SPA</vt:lpstr>
      <vt:lpstr>OCL.AX_Annotation_Sheet!A_KEYWORD_ISSR_208017981_SALES_SWE</vt:lpstr>
      <vt:lpstr>OCL.AX_Annotation_Sheet!A_KEYWORD_ISSR_208017981_SALES_SWIT</vt:lpstr>
      <vt:lpstr>OCL.AX_Annotation_Sheet!A_KEYWORD_ISSR_208017981_SALES_TAIWAN</vt:lpstr>
      <vt:lpstr>OCL.AX_Annotation_Sheet!A_KEYWORD_ISSR_208017981_SALES_THAILAND</vt:lpstr>
      <vt:lpstr>OCL.AX_Annotation_Sheet!A_KEYWORD_ISSR_208017981_SALES_TOT_AFRICA</vt:lpstr>
      <vt:lpstr>OCL.AX_Annotation_Sheet!A_KEYWORD_ISSR_208017981_SALES_TOT_AM</vt:lpstr>
      <vt:lpstr>OCL.AX_Annotation_Sheet!A_KEYWORD_ISSR_208017981_SALES_TOT_ASIA</vt:lpstr>
      <vt:lpstr>OCL.AX_Annotation_Sheet!A_KEYWORD_ISSR_208017981_SALES_TOT_EMEA</vt:lpstr>
      <vt:lpstr>OCL.AX_Annotation_Sheet!A_KEYWORD_ISSR_208017981_SALES_TURKEY</vt:lpstr>
      <vt:lpstr>OCL.AX_Annotation_Sheet!A_KEYWORD_ISSR_208017981_SALES_UAE</vt:lpstr>
      <vt:lpstr>OCL.AX_Annotation_Sheet!A_KEYWORD_ISSR_208017981_SALES_UK</vt:lpstr>
      <vt:lpstr>OCL.AX_Annotation_Sheet!A_KEYWORD_ISSR_208017981_SALES_US</vt:lpstr>
      <vt:lpstr>OCL.AX_Annotation_Sheet!A_KEYWORD_ISSR_208017981_SALES_VENEZUELA</vt:lpstr>
      <vt:lpstr>OCL.AX_Annotation_Sheet!A_KEYWORD_ISSR_208017981_SALES_VOLUME</vt:lpstr>
      <vt:lpstr>OCL.AX_Annotation_Sheet!A_KEYWORD_ISSR_208017981_SEL_GL_AD</vt:lpstr>
      <vt:lpstr>OCL.AX_Annotation_Sheet!A_KEYWORD_ISSR_208017981_SEL_GL_AD_OTHER</vt:lpstr>
      <vt:lpstr>OCL.AX_Annotation_Sheet!A_KEYWORD_ISSR_208017981_SGA_PCT_ROW</vt:lpstr>
      <vt:lpstr>OCL.AX_Annotation_Sheet!A_KEYWORD_ISSR_208017981_SGA_PCT_US</vt:lpstr>
      <vt:lpstr>OCL.AX_Annotation_Sheet!A_KEYWORD_ISSR_208017981_SH_REPUR</vt:lpstr>
      <vt:lpstr>OCL.AX_Annotation_Sheet!A_KEYWORD_ISSR_208017981_SHARE_BASED_PAYMENTS</vt:lpstr>
      <vt:lpstr>OCL.AX_Annotation_Sheet!A_KEYWORD_ISSR_208017981_SHORT_T_DEBT</vt:lpstr>
      <vt:lpstr>OCL.AX_Annotation_Sheet!A_KEYWORD_ISSR_208017981_SHORT_TERM_LIABS</vt:lpstr>
      <vt:lpstr>OCL.AX_Annotation_Sheet!A_KEYWORD_ISSR_208017981_ST_LEASE_LIAB</vt:lpstr>
      <vt:lpstr>OCL.AX_Annotation_Sheet!A_KEYWORD_ISSR_208017981_STOCKS</vt:lpstr>
      <vt:lpstr>OCL.AX_Annotation_Sheet!A_KEYWORD_ISSR_208017981_SUPPLIER_EMPLOYEE_PAYS</vt:lpstr>
      <vt:lpstr>OCL.AX_Annotation_Sheet!A_KEYWORD_ISSR_208017981_TOT_ASSET</vt:lpstr>
      <vt:lpstr>OCL.AX_Annotation_Sheet!A_KEYWORD_ISSR_208017981_TOT_CF</vt:lpstr>
      <vt:lpstr>OCL.AX_Annotation_Sheet!A_KEYWORD_ISSR_208017981_TOT_LIAB</vt:lpstr>
      <vt:lpstr>OCL.AX_Annotation_Sheet!A_KEYWORD_ISSR_208017981_TOT_LIAB_EQ</vt:lpstr>
      <vt:lpstr>OCL.AX_Annotation_Sheet!A_KEYWORD_ISSR_208017981_TOT_LT_LIAB</vt:lpstr>
      <vt:lpstr>OCL.AX_Annotation_Sheet!A_KEYWORD_ISSR_208017981_TOT_OPS_EXP</vt:lpstr>
      <vt:lpstr>OCL.AX_Annotation_Sheet!A_KEYWORD_ISSR_208017981_TOT_OPS_EXP_DDA</vt:lpstr>
      <vt:lpstr>OCL.AX_Annotation_Sheet!A_KEYWORD_ISSR_208017981_TOT_PCT_USD_DEBT_HEDGED</vt:lpstr>
      <vt:lpstr>OCL.AX_Annotation_Sheet!A_KEYWORD_ISSR_208017981_TOT_USD_DEBT</vt:lpstr>
      <vt:lpstr>OCL.AX_Annotation_Sheet!A_KEYWORD_ISSR_208017981_TOTAL_CAPITAL_EMPLOYED_ADJ</vt:lpstr>
      <vt:lpstr>OCL.AX_Annotation_Sheet!A_KEYWORD_ISSR_208017981_TOTAL_DEPREC_AMORT</vt:lpstr>
      <vt:lpstr>OCL.AX_Annotation_Sheet!A_KEYWORD_ISSR_208017981_TOTAL_IFRS_ADJUST_PRE_TAX</vt:lpstr>
      <vt:lpstr>OCL.AX_Annotation_Sheet!A_KEYWORD_ISSR_208017981_TOTAL_NONCURR_ASSETS</vt:lpstr>
      <vt:lpstr>OCL.AX_Annotation_Sheet!A_KEYWORD_ISSR_208017981_TOTAL_OPR_REVENUE</vt:lpstr>
      <vt:lpstr>OCL.AX_Annotation_Sheet!A_KEYWORD_ISSR_208017981_TV_LICENCES_MASTERHEADS</vt:lpstr>
      <vt:lpstr>OCL.AX_Annotation_Sheet!A_KEYWORD_ISSR_208017981_UNF_PENS</vt:lpstr>
      <vt:lpstr>OCL.AX_Annotation_Sheet!A_KEYWORD_ISSR_208017981_UNF_PENS_LIAB_OTH</vt:lpstr>
      <vt:lpstr>OCL.AX_Annotation_Sheet!A_KEYWORD_ISSR_208017981_UNF_PENS_OFF</vt:lpstr>
      <vt:lpstr>OCL.AX_Annotation_Sheet!A_KEYWORD_ISSR_208017981_WORK_CAP</vt:lpstr>
      <vt:lpstr>OCL.AX_Annotation_Sheet!A_LIVEDATA_EQTY_200019506</vt:lpstr>
      <vt:lpstr>OCL.AX_Annotation_Sheet!A_LIVEDATA_ISSR_208017981</vt:lpstr>
      <vt:lpstr>OCL.AX_Annotation_Sheet!A_PERIOD_2014</vt:lpstr>
      <vt:lpstr>OCL.AX_Annotation_Sheet!A_PERIOD_2015</vt:lpstr>
      <vt:lpstr>OCL.AX_Annotation_Sheet!A_PERIOD_2015_H1</vt:lpstr>
      <vt:lpstr>OCL.AX_Annotation_Sheet!A_PERIOD_2015_H2</vt:lpstr>
      <vt:lpstr>OCL.AX_Annotation_Sheet!A_PERIOD_2016</vt:lpstr>
      <vt:lpstr>OCL.AX_Annotation_Sheet!A_PERIOD_2016_H1</vt:lpstr>
      <vt:lpstr>OCL.AX_Annotation_Sheet!A_PERIOD_2016_H2</vt:lpstr>
      <vt:lpstr>OCL.AX_Annotation_Sheet!A_PERIOD_2017</vt:lpstr>
      <vt:lpstr>OCL.AX_Annotation_Sheet!A_PERIOD_2017_H1</vt:lpstr>
      <vt:lpstr>OCL.AX_Annotation_Sheet!A_PERIOD_2017_H2</vt:lpstr>
      <vt:lpstr>OCL.AX_Annotation_Sheet!A_PERIOD_2018</vt:lpstr>
      <vt:lpstr>OCL.AX_Annotation_Sheet!A_PERIOD_2018_H1</vt:lpstr>
      <vt:lpstr>OCL.AX_Annotation_Sheet!A_PERIOD_2018_H2</vt:lpstr>
      <vt:lpstr>OCL.AX_Annotation_Sheet!A_PERIOD_2019</vt:lpstr>
      <vt:lpstr>OCL.AX_Annotation_Sheet!A_PERIOD_2019_H1</vt:lpstr>
      <vt:lpstr>OCL.AX_Annotation_Sheet!A_PERIOD_2019_H2</vt:lpstr>
      <vt:lpstr>OCL.AX_Annotation_Sheet!A_PERIOD_2020</vt:lpstr>
      <vt:lpstr>OCL.AX_Annotation_Sheet!A_PERIOD_2020_H1</vt:lpstr>
      <vt:lpstr>OCL.AX_Annotation_Sheet!A_PERIOD_2020_H2</vt:lpstr>
      <vt:lpstr>OCL.AX_Annotation_Sheet!A_PERIOD_2021</vt:lpstr>
      <vt:lpstr>OCL.AX_Annotation_Sheet!A_PERIOD_2021_H1</vt:lpstr>
      <vt:lpstr>OCL.AX_Annotation_Sheet!A_PERIOD_2021_H2</vt:lpstr>
      <vt:lpstr>OCL.AX_Annotation_Sheet!A_PERIOD_2022</vt:lpstr>
      <vt:lpstr>OCL.AX_Annotation_Sheet!A_PERIOD_2022_H1</vt:lpstr>
      <vt:lpstr>OCL.AX_Annotation_Sheet!A_PERIOD_2022_H2</vt:lpstr>
      <vt:lpstr>OCL.AX_Annotation_Sheet!A_PERIOD_2023</vt:lpstr>
      <vt:lpstr>OCL.AX_Annotation_Sheet!A_PERIOD_2023_H1</vt:lpstr>
      <vt:lpstr>OCL.AX_Annotation_Sheet!A_PERIOD_2023_H2</vt:lpstr>
      <vt:lpstr>OCL.AX_Annotation_Sheet!A_PERIOD_2024</vt:lpstr>
      <vt:lpstr>OCL.AX_Annotation_Sheet!A_PERIOD_2024_H1</vt:lpstr>
      <vt:lpstr>OCL.AX_Annotation_Sheet!A_PERIOD_2024_H2</vt:lpstr>
      <vt:lpstr>OCL.AX_Annotation_Sheet!A_PERIOD_2025</vt:lpstr>
      <vt:lpstr>OCL.AX_Annotation_Sheet!A_PERIOD_2025_H1</vt:lpstr>
      <vt:lpstr>OCL.AX_Annotation_Sheet!A_PERIOD_2025_H2</vt:lpstr>
      <vt:lpstr>OCL.AX_Annotation_Sheet!A_PERIOD_2026</vt:lpstr>
      <vt:lpstr>OCL.AX_Annotation_Sheet!A_PERIOD_2027</vt:lpstr>
      <vt:lpstr>OCL.AX_Annotation_Sheet!A_SECTION_EQTY_200019506_1314</vt:lpstr>
      <vt:lpstr>OCL.AX_Annotation_Sheet!A_SECTION_EQTY_200019506_1316A</vt:lpstr>
      <vt:lpstr>OCL.AX_Annotation_Sheet!A_SECTION_EQTY_200019506_1316B</vt:lpstr>
      <vt:lpstr>OCL.AX_Annotation_Sheet!A_SECTION_EQTY_200019506_1316C</vt:lpstr>
      <vt:lpstr>OCL.AX_Annotation_Sheet!A_SECTION_EQTY_200019506_1316D</vt:lpstr>
      <vt:lpstr>OCL.AX_Annotation_Sheet!A_SECTION_EQTY_200019506_1316E</vt:lpstr>
      <vt:lpstr>OCL.AX_Annotation_Sheet!A_SECTION_EQTY_200019506_131E</vt:lpstr>
      <vt:lpstr>OCL.AX_Annotation_Sheet!A_SECTION_EQTY_200019506_131J</vt:lpstr>
      <vt:lpstr>OCL.AX_Annotation_Sheet!A_SECTION_EQTY_200019506_131O</vt:lpstr>
      <vt:lpstr>OCL.AX_Annotation_Sheet!A_SECTION_EQTY_200019506_13A</vt:lpstr>
      <vt:lpstr>OCL.AX_Annotation_Sheet!A_SECTION_EQTY_200019506_13K</vt:lpstr>
      <vt:lpstr>OCL.AX_Annotation_Sheet!A_SECTION_EQTY_200019506_13U</vt:lpstr>
      <vt:lpstr>OCL.AX_Annotation_Sheet!A_SECTION_EQTY_200019506_13V</vt:lpstr>
      <vt:lpstr>OCL.AX_Annotation_Sheet!A_SECTION_EQTY_200019506_Reference_Data</vt:lpstr>
      <vt:lpstr>OCL.AX_Annotation_Sheet!A_SECTION_ISSR_208017981_1314</vt:lpstr>
      <vt:lpstr>OCL.AX_Annotation_Sheet!A_SECTION_ISSR_208017981_13168</vt:lpstr>
      <vt:lpstr>OCL.AX_Annotation_Sheet!A_SECTION_ISSR_208017981_1316B</vt:lpstr>
      <vt:lpstr>OCL.AX_Annotation_Sheet!A_SECTION_ISSR_208017981_1316C</vt:lpstr>
      <vt:lpstr>OCL.AX_Annotation_Sheet!A_SECTION_ISSR_208017981_1316D</vt:lpstr>
      <vt:lpstr>OCL.AX_Annotation_Sheet!A_SECTION_ISSR_208017981_1316E</vt:lpstr>
      <vt:lpstr>OCL.AX_Annotation_Sheet!A_SECTION_ISSR_208017981_1316T</vt:lpstr>
      <vt:lpstr>OCL.AX_Annotation_Sheet!A_SECTION_ISSR_208017981_1316U</vt:lpstr>
      <vt:lpstr>OCL.AX_Annotation_Sheet!A_SECTION_ISSR_208017981_1319</vt:lpstr>
      <vt:lpstr>OCL.AX_Annotation_Sheet!A_SECTION_ISSR_208017981_131E</vt:lpstr>
      <vt:lpstr>OCL.AX_Annotation_Sheet!A_SECTION_ISSR_208017981_131J</vt:lpstr>
      <vt:lpstr>OCL.AX_Annotation_Sheet!A_SECTION_ISSR_208017981_131O</vt:lpstr>
      <vt:lpstr>OCL.AX_Annotation_Sheet!A_SECTION_ISSR_208017981_136E</vt:lpstr>
      <vt:lpstr>OCL.AX_Annotation_Sheet!A_SECTION_ISSR_208017981_136J</vt:lpstr>
      <vt:lpstr>OCL.AX_Annotation_Sheet!A_SECTION_ISSR_208017981_13A</vt:lpstr>
      <vt:lpstr>OCL.AX_Annotation_Sheet!A_SECTION_ISSR_208017981_13U</vt:lpstr>
      <vt:lpstr>OCL.AX_Annotation_Sheet!A_SECTION_ISSR_208017981_13V</vt:lpstr>
      <vt:lpstr>OCL.AX_Annotation_Sheet!A_SECTION_ISSR_208017981_Reference_Data</vt:lpstr>
      <vt:lpstr>OCL.AX_Annotation_Sheet!A_TEMPLATEHASH</vt:lpstr>
      <vt:lpstr>Abnormal_items_after_tax</vt:lpstr>
      <vt:lpstr>Accumulated_amortisation_goodwill</vt:lpstr>
      <vt:lpstr>Accumulated_amortisation_other</vt:lpstr>
      <vt:lpstr>Accumulated_depreciation_ppe</vt:lpstr>
      <vt:lpstr>Acquisitions</vt:lpstr>
      <vt:lpstr>Acquisitions_equity</vt:lpstr>
      <vt:lpstr>Acquisitions_op_bus</vt:lpstr>
      <vt:lpstr>Amortisation</vt:lpstr>
      <vt:lpstr>Asset_sales</vt:lpstr>
      <vt:lpstr>Asset_sales_equity</vt:lpstr>
      <vt:lpstr>Asset_sales_op_bus</vt:lpstr>
      <vt:lpstr>Asset_sales_ppe</vt:lpstr>
      <vt:lpstr>Average_net_debt</vt:lpstr>
      <vt:lpstr>Borrowings_incurred</vt:lpstr>
      <vt:lpstr>Cash</vt:lpstr>
      <vt:lpstr>CBIT</vt:lpstr>
      <vt:lpstr>Change_in_working_capital</vt:lpstr>
      <vt:lpstr>Closing_issued_shares</vt:lpstr>
      <vt:lpstr>Converting_preference_dividends</vt:lpstr>
      <vt:lpstr>Current_borrowings</vt:lpstr>
      <vt:lpstr>Current_investments</vt:lpstr>
      <vt:lpstr>Current_provisions</vt:lpstr>
      <vt:lpstr>Depreciation</vt:lpstr>
      <vt:lpstr>Dividend_payout</vt:lpstr>
      <vt:lpstr>Dividends_paid</vt:lpstr>
      <vt:lpstr>Dividends_received_from_associates</vt:lpstr>
      <vt:lpstr>Dividends_received_from_other_investments</vt:lpstr>
      <vt:lpstr>DPS</vt:lpstr>
      <vt:lpstr>EFPO</vt:lpstr>
      <vt:lpstr>EPS</vt:lpstr>
      <vt:lpstr>EPS_Basic_Post_ab</vt:lpstr>
      <vt:lpstr>EPS_Diluted_Post_ab</vt:lpstr>
      <vt:lpstr>EPS_post_abs</vt:lpstr>
      <vt:lpstr>EPS_pre_ga</vt:lpstr>
      <vt:lpstr>EPS_pre_goodwill_amortisation</vt:lpstr>
      <vt:lpstr>Equity_profits</vt:lpstr>
      <vt:lpstr>Expansionary_capex</vt:lpstr>
      <vt:lpstr>FCFPS</vt:lpstr>
      <vt:lpstr>Final_dividend</vt:lpstr>
      <vt:lpstr>FITB</vt:lpstr>
      <vt:lpstr>Franking</vt:lpstr>
      <vt:lpstr>Goodwill</vt:lpstr>
      <vt:lpstr>Gross_ppe</vt:lpstr>
      <vt:lpstr>int_copy</vt:lpstr>
      <vt:lpstr>int_paste</vt:lpstr>
      <vt:lpstr>Interest_Expense</vt:lpstr>
      <vt:lpstr>Interest_Income</vt:lpstr>
      <vt:lpstr>Interim_dividend</vt:lpstr>
      <vt:lpstr>Inventories</vt:lpstr>
      <vt:lpstr>Investments</vt:lpstr>
      <vt:lpstr>Investments_associates</vt:lpstr>
      <vt:lpstr>Investments_Other</vt:lpstr>
      <vt:lpstr>OCL.AX_Live_Sheet!L_ALL_KEYWORDS_TYPE_ScalarContributed_EQTY_200019506</vt:lpstr>
      <vt:lpstr>OCL.AX_Live_Sheet!L_ALL_KEYWORDS_TYPE_ScalarContributed_ISSR_208017981</vt:lpstr>
      <vt:lpstr>OCL.AX_Live_Sheet!L_ALL_KEYWORDS_TYPE_ScalarReference_EQTY_200019506</vt:lpstr>
      <vt:lpstr>OCL.AX_Live_Sheet!L_ALL_KEYWORDS_TYPE_ScalarReference_ISSR_208017981</vt:lpstr>
      <vt:lpstr>OCL.AX_Live_Sheet!L_ALL_KEYWORDS_TYPE_Vector_EQTY_200019506</vt:lpstr>
      <vt:lpstr>OCL.AX_Live_Sheet!L_ALL_KEYWORDS_TYPE_Vector_ISSR_208017981</vt:lpstr>
      <vt:lpstr>L_ALL_OCL.AX</vt:lpstr>
      <vt:lpstr>OCL.AX_Live_Sheet!L_ALL_PERIODS_OCL.AX</vt:lpstr>
      <vt:lpstr>OCL.AX_Live_Sheet!L_ALL_SECTION_KEYWORDS_EQTY_200019506_1314</vt:lpstr>
      <vt:lpstr>OCL.AX_Live_Sheet!L_ALL_SECTION_KEYWORDS_EQTY_200019506_1316A</vt:lpstr>
      <vt:lpstr>OCL.AX_Live_Sheet!L_ALL_SECTION_KEYWORDS_EQTY_200019506_1316B</vt:lpstr>
      <vt:lpstr>OCL.AX_Live_Sheet!L_ALL_SECTION_KEYWORDS_EQTY_200019506_1316C</vt:lpstr>
      <vt:lpstr>OCL.AX_Live_Sheet!L_ALL_SECTION_KEYWORDS_EQTY_200019506_1316D</vt:lpstr>
      <vt:lpstr>OCL.AX_Live_Sheet!L_ALL_SECTION_KEYWORDS_EQTY_200019506_1316E</vt:lpstr>
      <vt:lpstr>OCL.AX_Live_Sheet!L_ALL_SECTION_KEYWORDS_EQTY_200019506_131E</vt:lpstr>
      <vt:lpstr>OCL.AX_Live_Sheet!L_ALL_SECTION_KEYWORDS_EQTY_200019506_131J</vt:lpstr>
      <vt:lpstr>OCL.AX_Live_Sheet!L_ALL_SECTION_KEYWORDS_EQTY_200019506_131O</vt:lpstr>
      <vt:lpstr>OCL.AX_Live_Sheet!L_ALL_SECTION_KEYWORDS_EQTY_200019506_13A</vt:lpstr>
      <vt:lpstr>OCL.AX_Live_Sheet!L_ALL_SECTION_KEYWORDS_EQTY_200019506_13K</vt:lpstr>
      <vt:lpstr>OCL.AX_Live_Sheet!L_ALL_SECTION_KEYWORDS_EQTY_200019506_13U</vt:lpstr>
      <vt:lpstr>OCL.AX_Live_Sheet!L_ALL_SECTION_KEYWORDS_EQTY_200019506_13V</vt:lpstr>
      <vt:lpstr>OCL.AX_Live_Sheet!L_ALL_SECTION_KEYWORDS_EQTY_200019506_Reference_Data</vt:lpstr>
      <vt:lpstr>OCL.AX_Live_Sheet!L_ALL_SECTION_KEYWORDS_ISSR_208017981_1314</vt:lpstr>
      <vt:lpstr>OCL.AX_Live_Sheet!L_ALL_SECTION_KEYWORDS_ISSR_208017981_13168</vt:lpstr>
      <vt:lpstr>OCL.AX_Live_Sheet!L_ALL_SECTION_KEYWORDS_ISSR_208017981_1316B</vt:lpstr>
      <vt:lpstr>OCL.AX_Live_Sheet!L_ALL_SECTION_KEYWORDS_ISSR_208017981_1316C</vt:lpstr>
      <vt:lpstr>OCL.AX_Live_Sheet!L_ALL_SECTION_KEYWORDS_ISSR_208017981_1316D</vt:lpstr>
      <vt:lpstr>OCL.AX_Live_Sheet!L_ALL_SECTION_KEYWORDS_ISSR_208017981_1316E</vt:lpstr>
      <vt:lpstr>OCL.AX_Live_Sheet!L_ALL_SECTION_KEYWORDS_ISSR_208017981_1316T</vt:lpstr>
      <vt:lpstr>OCL.AX_Live_Sheet!L_ALL_SECTION_KEYWORDS_ISSR_208017981_1316U</vt:lpstr>
      <vt:lpstr>OCL.AX_Live_Sheet!L_ALL_SECTION_KEYWORDS_ISSR_208017981_1319</vt:lpstr>
      <vt:lpstr>OCL.AX_Live_Sheet!L_ALL_SECTION_KEYWORDS_ISSR_208017981_131E</vt:lpstr>
      <vt:lpstr>OCL.AX_Live_Sheet!L_ALL_SECTION_KEYWORDS_ISSR_208017981_131J</vt:lpstr>
      <vt:lpstr>OCL.AX_Live_Sheet!L_ALL_SECTION_KEYWORDS_ISSR_208017981_131O</vt:lpstr>
      <vt:lpstr>OCL.AX_Live_Sheet!L_ALL_SECTION_KEYWORDS_ISSR_208017981_136E</vt:lpstr>
      <vt:lpstr>OCL.AX_Live_Sheet!L_ALL_SECTION_KEYWORDS_ISSR_208017981_136J</vt:lpstr>
      <vt:lpstr>OCL.AX_Live_Sheet!L_ALL_SECTION_KEYWORDS_ISSR_208017981_13A</vt:lpstr>
      <vt:lpstr>OCL.AX_Live_Sheet!L_ALL_SECTION_KEYWORDS_ISSR_208017981_13U</vt:lpstr>
      <vt:lpstr>OCL.AX_Live_Sheet!L_ALL_SECTION_KEYWORDS_ISSR_208017981_13V</vt:lpstr>
      <vt:lpstr>OCL.AX_Live_Sheet!L_ALL_SECTION_KEYWORDS_ISSR_208017981_Reference_Data</vt:lpstr>
      <vt:lpstr>OCL.AX_Live_Sheet!L_ALL_SECTIONS_EQTY_200019506</vt:lpstr>
      <vt:lpstr>OCL.AX_Live_Sheet!L_ALL_SECTIONS_ISSR_208017981</vt:lpstr>
      <vt:lpstr>OCL.AX_Live_Sheet!L_CURRENCY_EQTY_200019506_PRI</vt:lpstr>
      <vt:lpstr>OCL.AX_Live_Sheet!L_CURRENCY_EQTY_200019506_PUB</vt:lpstr>
      <vt:lpstr>OCL.AX_Live_Sheet!L_CURRENCY_EQTY_200019506_REP</vt:lpstr>
      <vt:lpstr>OCL.AX_Live_Sheet!L_CURRENCY_ISSR_208017981_REP</vt:lpstr>
      <vt:lpstr>OCL.AX_Live_Sheet!L_ENTITY_DATA_EQTY_200019506</vt:lpstr>
      <vt:lpstr>OCL.AX_Live_Sheet!L_ENTITY_DATA_ISSR_208017981</vt:lpstr>
      <vt:lpstr>OCL.AX_Live_Sheet!L_KEYWORD_EQTY_200019506_ANZ_LIST</vt:lpstr>
      <vt:lpstr>OCL.AX_Live_Sheet!L_KEYWORD_EQTY_200019506_ASSET_SALES_GAIN_LOSS</vt:lpstr>
      <vt:lpstr>OCL.AX_Live_Sheet!L_KEYWORD_EQTY_200019506_BASE_CASE_VAL_DCF</vt:lpstr>
      <vt:lpstr>OCL.AX_Live_Sheet!L_KEYWORD_EQTY_200019506_BENEFITS_TAX_LOSSES</vt:lpstr>
      <vt:lpstr>OCL.AX_Live_Sheet!L_KEYWORD_EQTY_200019506_BETA_ANALYST</vt:lpstr>
      <vt:lpstr>OCL.AX_Live_Sheet!L_KEYWORD_EQTY_200019506_BVPS</vt:lpstr>
      <vt:lpstr>OCL.AX_Live_Sheet!L_KEYWORD_EQTY_200019506_BVPS_PUB</vt:lpstr>
      <vt:lpstr>OCL.AX_Live_Sheet!L_KEYWORD_EQTY_200019506_CATALYST1_DATE</vt:lpstr>
      <vt:lpstr>OCL.AX_Live_Sheet!L_KEYWORD_EQTY_200019506_CATALYST1_EVENT</vt:lpstr>
      <vt:lpstr>OCL.AX_Live_Sheet!L_KEYWORD_EQTY_200019506_CATALYST2_DATE</vt:lpstr>
      <vt:lpstr>OCL.AX_Live_Sheet!L_KEYWORD_EQTY_200019506_CATALYST2_EVENT</vt:lpstr>
      <vt:lpstr>OCL.AX_Live_Sheet!L_KEYWORD_EQTY_200019506_CATALYST3_DATE</vt:lpstr>
      <vt:lpstr>OCL.AX_Live_Sheet!L_KEYWORD_EQTY_200019506_CATALYST3_EVENT</vt:lpstr>
      <vt:lpstr>OCL.AX_Live_Sheet!L_KEYWORD_EQTY_200019506_CATALYST4_DATE</vt:lpstr>
      <vt:lpstr>OCL.AX_Live_Sheet!L_KEYWORD_EQTY_200019506_CATALYST4_EVENT</vt:lpstr>
      <vt:lpstr>OCL.AX_Live_Sheet!L_KEYWORD_EQTY_200019506_CATALYST5_DATE</vt:lpstr>
      <vt:lpstr>OCL.AX_Live_Sheet!L_KEYWORD_EQTY_200019506_CATALYST5_EVENT</vt:lpstr>
      <vt:lpstr>OCL.AX_Live_Sheet!L_KEYWORD_EQTY_200019506_CEEE_NDEBT</vt:lpstr>
      <vt:lpstr>OCL.AX_Live_Sheet!L_KEYWORD_EQTY_200019506_CF_NI_PRE_PREF</vt:lpstr>
      <vt:lpstr>OCL.AX_Live_Sheet!L_KEYWORD_EQTY_200019506_CF_OPS_SHARE_NZ</vt:lpstr>
      <vt:lpstr>OCL.AX_Live_Sheet!L_KEYWORD_EQTY_200019506_COMMON_DIV_PAID</vt:lpstr>
      <vt:lpstr>OCL.AX_Live_Sheet!L_KEYWORD_EQTY_200019506_CONVERTIBLE_NOTES</vt:lpstr>
      <vt:lpstr>OCL.AX_Live_Sheet!L_KEYWORD_EQTY_200019506_COST_OF_EQUITY_DCF</vt:lpstr>
      <vt:lpstr>OCL.AX_Live_Sheet!L_KEYWORD_EQTY_200019506_CUM_PRESENT_VAL_CASH_FLOWS_DCF</vt:lpstr>
      <vt:lpstr>OCL.AX_Live_Sheet!L_KEYWORD_EQTY_200019506_CURRENCY_ISO</vt:lpstr>
      <vt:lpstr>OCL.AX_Live_Sheet!L_KEYWORD_EQTY_200019506_DCF_CASH_FLOW</vt:lpstr>
      <vt:lpstr>OCL.AX_Live_Sheet!L_KEYWORD_EQTY_200019506_DEBT_EQUITY</vt:lpstr>
      <vt:lpstr>OCL.AX_Live_Sheet!L_KEYWORD_EQTY_200019506_DEBT_RISK_MARGIN_DCF</vt:lpstr>
      <vt:lpstr>OCL.AX_Live_Sheet!L_KEYWORD_EQTY_200019506_DILUTE_SHARES</vt:lpstr>
      <vt:lpstr>OCL.AX_Live_Sheet!L_KEYWORD_EQTY_200019506_DISCOUNT_FACTOR_DCF</vt:lpstr>
      <vt:lpstr>OCL.AX_Live_Sheet!L_KEYWORD_EQTY_200019506_DPS</vt:lpstr>
      <vt:lpstr>OCL.AX_Live_Sheet!L_KEYWORD_EQTY_200019506_DPS_PUB</vt:lpstr>
      <vt:lpstr>OCL.AX_Live_Sheet!L_KEYWORD_EQTY_200019506_DPS_SPECIAL_PUB</vt:lpstr>
      <vt:lpstr>OCL.AX_Live_Sheet!L_KEYWORD_EQTY_200019506_EBIT_PUB</vt:lpstr>
      <vt:lpstr>OCL.AX_Live_Sheet!L_KEYWORD_EQTY_200019506_EBITDA_PUB</vt:lpstr>
      <vt:lpstr>OCL.AX_Live_Sheet!L_KEYWORD_EQTY_200019506_EBITDAF</vt:lpstr>
      <vt:lpstr>OCL.AX_Live_Sheet!L_KEYWORD_EQTY_200019506_EFPO</vt:lpstr>
      <vt:lpstr>OCL.AX_Live_Sheet!L_KEYWORD_EQTY_200019506_EFPOWA</vt:lpstr>
      <vt:lpstr>OCL.AX_Live_Sheet!L_KEYWORD_EQTY_200019506_EPS</vt:lpstr>
      <vt:lpstr>OCL.AX_Live_Sheet!L_KEYWORD_EQTY_200019506_EPS_CONS_PUB</vt:lpstr>
      <vt:lpstr>OCL.AX_Live_Sheet!L_KEYWORD_EQTY_200019506_EPS_FUL_DIL</vt:lpstr>
      <vt:lpstr>OCL.AX_Live_Sheet!L_KEYWORD_EQTY_200019506_EPS_POST_BASIC</vt:lpstr>
      <vt:lpstr>OCL.AX_Live_Sheet!L_KEYWORD_EQTY_200019506_EPS_PRE_GWILL</vt:lpstr>
      <vt:lpstr>OCL.AX_Live_Sheet!L_KEYWORD_EQTY_200019506_EPS_PUB</vt:lpstr>
      <vt:lpstr>OCL.AX_Live_Sheet!L_KEYWORD_EQTY_200019506_EPS_REPORTED</vt:lpstr>
      <vt:lpstr>OCL.AX_Live_Sheet!L_KEYWORD_EQTY_200019506_EQ_PUB</vt:lpstr>
      <vt:lpstr>OCL.AX_Live_Sheet!L_KEYWORD_EQTY_200019506_EQUITY_VALUE_DCF</vt:lpstr>
      <vt:lpstr>OCL.AX_Live_Sheet!L_KEYWORD_EQTY_200019506_EV_ADJ_PUB</vt:lpstr>
      <vt:lpstr>OCL.AX_Live_Sheet!L_KEYWORD_EQTY_200019506_FIN_INSTRUMENT_HEDGE_POST_TAX</vt:lpstr>
      <vt:lpstr>OCL.AX_Live_Sheet!L_KEYWORD_EQTY_200019506_FINAL_DIV_AMOUNT</vt:lpstr>
      <vt:lpstr>OCL.AX_Live_Sheet!L_KEYWORD_EQTY_200019506_FINAL_DIV_EXDATE</vt:lpstr>
      <vt:lpstr>OCL.AX_Live_Sheet!L_KEYWORD_EQTY_200019506_FINAL_DIV_FRANK</vt:lpstr>
      <vt:lpstr>OCL.AX_Live_Sheet!L_KEYWORD_EQTY_200019506_FINAL_DIV_TAXRATE</vt:lpstr>
      <vt:lpstr>OCL.AX_Live_Sheet!L_KEYWORD_EQTY_200019506_FOREIGN_EXCHANGE_GAIN_LOSS</vt:lpstr>
      <vt:lpstr>OCL.AX_Live_Sheet!L_KEYWORD_EQTY_200019506_FOREIGN_HOLDNG</vt:lpstr>
      <vt:lpstr>OCL.AX_Live_Sheet!L_KEYWORD_EQTY_200019506_FRANK_TAX_RATE</vt:lpstr>
      <vt:lpstr>OCL.AX_Live_Sheet!L_KEYWORD_EQTY_200019506_FRANKING</vt:lpstr>
      <vt:lpstr>OCL.AX_Live_Sheet!L_KEYWORD_EQTY_200019506_FRANKING_ANZPUB</vt:lpstr>
      <vt:lpstr>OCL.AX_Live_Sheet!L_KEYWORD_EQTY_200019506_FRANKING_SPECIAL_ANZPUB</vt:lpstr>
      <vt:lpstr>OCL.AX_Live_Sheet!L_KEYWORD_EQTY_200019506_FREE_FLOAT</vt:lpstr>
      <vt:lpstr>OCL.AX_Live_Sheet!L_KEYWORD_EQTY_200019506_FULLY_DIL_EPS</vt:lpstr>
      <vt:lpstr>OCL.AX_Live_Sheet!L_KEYWORD_EQTY_200019506_GWILL_ASSET_IMP_CHG_POST_TAX</vt:lpstr>
      <vt:lpstr>OCL.AX_Live_Sheet!L_KEYWORD_EQTY_200019506_IMP_CREDITS_PER_SHARE_DCF</vt:lpstr>
      <vt:lpstr>OCL.AX_Live_Sheet!L_KEYWORD_EQTY_200019506_INC_MINORITY</vt:lpstr>
      <vt:lpstr>OCL.AX_Live_Sheet!L_KEYWORD_EQTY_200019506_INCTAX_PL_ON_AB</vt:lpstr>
      <vt:lpstr>OCL.AX_Live_Sheet!L_KEYWORD_EQTY_200019506_INCTAX_PL_POST_AB</vt:lpstr>
      <vt:lpstr>OCL.AX_Live_Sheet!L_KEYWORD_EQTY_200019506_INT_DIV_AMOUNT</vt:lpstr>
      <vt:lpstr>OCL.AX_Live_Sheet!L_KEYWORD_EQTY_200019506_INT_DIV_EXDATE</vt:lpstr>
      <vt:lpstr>OCL.AX_Live_Sheet!L_KEYWORD_EQTY_200019506_INT_DIV_FRANK</vt:lpstr>
      <vt:lpstr>OCL.AX_Live_Sheet!L_KEYWORD_EQTY_200019506_INT_DIV_TAXRATE</vt:lpstr>
      <vt:lpstr>OCL.AX_Live_Sheet!L_KEYWORD_EQTY_200019506_Interim_Type</vt:lpstr>
      <vt:lpstr>OCL.AX_Live_Sheet!L_KEYWORD_EQTY_200019506_INTRINSIC_PER_SHARE_VALUE_DCF</vt:lpstr>
      <vt:lpstr>OCL.AX_Live_Sheet!L_KEYWORD_EQTY_200019506_LEGAL_RATING</vt:lpstr>
      <vt:lpstr>OCL.AX_Live_Sheet!L_KEYWORD_EQTY_200019506_MARGIN_TAX_RATE</vt:lpstr>
      <vt:lpstr>OCL.AX_Live_Sheet!L_KEYWORD_EQTY_200019506_MARKET_VALUE_OF_INVESTMENTS_DCF</vt:lpstr>
      <vt:lpstr>OCL.AX_Live_Sheet!L_KEYWORD_EQTY_200019506_MKT_EQ_RISK_PREM</vt:lpstr>
      <vt:lpstr>OCL.AX_Live_Sheet!L_KEYWORD_EQTY_200019506_NET_DEBT_EX_LEASES_PUB</vt:lpstr>
      <vt:lpstr>OCL.AX_Live_Sheet!L_KEYWORD_EQTY_200019506_NET_DEBT_NET_CASH_DCF</vt:lpstr>
      <vt:lpstr>OCL.AX_Live_Sheet!L_KEYWORD_EQTY_200019506_NET_DEBT_PUB</vt:lpstr>
      <vt:lpstr>OCL.AX_Live_Sheet!L_KEYWORD_EQTY_200019506_NET_EARNING</vt:lpstr>
      <vt:lpstr>OCL.AX_Live_Sheet!L_KEYWORD_EQTY_200019506_NET_INC</vt:lpstr>
      <vt:lpstr>OCL.AX_Live_Sheet!L_KEYWORD_EQTY_200019506_NET_PROFIT</vt:lpstr>
      <vt:lpstr>OCL.AX_Live_Sheet!L_KEYWORD_EQTY_200019506_NET_TANGIBLE_ASSETS_ADJUSTED_NZ</vt:lpstr>
      <vt:lpstr>OCL.AX_Live_Sheet!L_KEYWORD_EQTY_200019506_NI_CONS</vt:lpstr>
      <vt:lpstr>OCL.AX_Live_Sheet!L_KEYWORD_EQTY_200019506_NI_PRE_PREF</vt:lpstr>
      <vt:lpstr>OCL.AX_Live_Sheet!L_KEYWORD_EQTY_200019506_NI_PUB</vt:lpstr>
      <vt:lpstr>OCL.AX_Live_Sheet!L_KEYWORD_EQTY_200019506_NI_REPT_PUB</vt:lpstr>
      <vt:lpstr>OCL.AX_Live_Sheet!L_KEYWORD_EQTY_200019506_NON_OP_ADD</vt:lpstr>
      <vt:lpstr>OCL.AX_Live_Sheet!L_KEYWORD_EQTY_200019506_NOPAT</vt:lpstr>
      <vt:lpstr>OCL.AX_Live_Sheet!L_KEYWORD_EQTY_200019506_NOT_IN_USE</vt:lpstr>
      <vt:lpstr>OCL.AX_Live_Sheet!L_KEYWORD_EQTY_200019506_NTA_PER_SHARE</vt:lpstr>
      <vt:lpstr>OCL.AX_Live_Sheet!L_KEYWORD_EQTY_200019506_NUM_SH</vt:lpstr>
      <vt:lpstr>OCL.AX_Live_Sheet!L_KEYWORD_EQTY_200019506_NZ_FRANKING</vt:lpstr>
      <vt:lpstr>OCL.AX_Live_Sheet!L_KEYWORD_EQTY_200019506_OPPL_ATAX_POST_AB</vt:lpstr>
      <vt:lpstr>OCL.AX_Live_Sheet!L_KEYWORD_EQTY_200019506_OPPL_ATAX_PRE_AB</vt:lpstr>
      <vt:lpstr>OCL.AX_Live_Sheet!L_KEYWORD_EQTY_200019506_OPTIONS</vt:lpstr>
      <vt:lpstr>OCL.AX_Live_Sheet!L_KEYWORD_EQTY_200019506_OTH_ASSET_IMPAIR_CHG_POST_TAX</vt:lpstr>
      <vt:lpstr>OCL.AX_Live_Sheet!L_KEYWORD_EQTY_200019506_OTHER_ABNORMAL_ITEMS</vt:lpstr>
      <vt:lpstr>OCL.AX_Live_Sheet!L_KEYWORD_EQTY_200019506_OTHER_CAPITAL</vt:lpstr>
      <vt:lpstr>OCL.AX_Live_Sheet!L_KEYWORD_EQTY_200019506_OTHER_IFRS_ADJUST_POST_TAX</vt:lpstr>
      <vt:lpstr>OCL.AX_Live_Sheet!L_KEYWORD_EQTY_200019506_PARTLY_PAID_SHARES</vt:lpstr>
      <vt:lpstr>OCL.AX_Live_Sheet!L_KEYWORD_EQTY_200019506_PERPETUITY_GROWTH_RATE_DCF</vt:lpstr>
      <vt:lpstr>OCL.AX_Live_Sheet!L_KEYWORD_EQTY_200019506_PREF_DIV</vt:lpstr>
      <vt:lpstr>OCL.AX_Live_Sheet!L_KEYWORD_EQTY_200019506_PREFERENCE_SHARES</vt:lpstr>
      <vt:lpstr>OCL.AX_Live_Sheet!L_KEYWORD_EQTY_200019506_PRESENT_VALUE_OF_CASH_FLOW_DCF</vt:lpstr>
      <vt:lpstr>OCL.AX_Live_Sheet!L_KEYWORD_EQTY_200019506_PRI_TARG_METH</vt:lpstr>
      <vt:lpstr>OCL.AX_Live_Sheet!L_KEYWORD_EQTY_200019506_PRI_TARG_MULT</vt:lpstr>
      <vt:lpstr>OCL.AX_Live_Sheet!L_KEYWORD_EQTY_200019506_PRICE_CURRENCY_ISO</vt:lpstr>
      <vt:lpstr>OCL.AX_Live_Sheet!L_KEYWORD_EQTY_200019506_PROF_ADJUST_EPS</vt:lpstr>
      <vt:lpstr>OCL.AX_Live_Sheet!L_KEYWORD_EQTY_200019506_PROV_INC_TAX</vt:lpstr>
      <vt:lpstr>OCL.AX_Live_Sheet!L_KEYWORD_EQTY_200019506_PTP_PUB</vt:lpstr>
      <vt:lpstr>OCL.AX_Live_Sheet!L_KEYWORD_EQTY_200019506_PUB_CURRENCY_ISO</vt:lpstr>
      <vt:lpstr>OCL.AX_Live_Sheet!L_KEYWORD_EQTY_200019506_RESTRUC_COSTS</vt:lpstr>
      <vt:lpstr>OCL.AX_Live_Sheet!L_KEYWORD_EQTY_200019506_REVS_PUB</vt:lpstr>
      <vt:lpstr>OCL.AX_Live_Sheet!L_KEYWORD_EQTY_200019506_RISK_ADJ_OPTION_VALUE_DCF</vt:lpstr>
      <vt:lpstr>OCL.AX_Live_Sheet!L_KEYWORD_EQTY_200019506_RISK_FR_RATE</vt:lpstr>
      <vt:lpstr>OCL.AX_Live_Sheet!L_KEYWORD_EQTY_200019506_RISK_TO_EARNINGS</vt:lpstr>
      <vt:lpstr>OCL.AX_Live_Sheet!L_KEYWORD_EQTY_200019506_ROCE_ANZ</vt:lpstr>
      <vt:lpstr>OCL.AX_Live_Sheet!L_KEYWORD_EQTY_200019506_Security_Name</vt:lpstr>
      <vt:lpstr>OCL.AX_Live_Sheet!L_KEYWORD_EQTY_200019506_SH</vt:lpstr>
      <vt:lpstr>OCL.AX_Live_Sheet!L_KEYWORD_EQTY_200019506_SHOLDERS_EQUITY_MBRS</vt:lpstr>
      <vt:lpstr>OCL.AX_Live_Sheet!L_KEYWORD_EQTY_200019506_STD_FREE_OP_CASH_FLOW_DCF</vt:lpstr>
      <vt:lpstr>OCL.AX_Live_Sheet!L_KEYWORD_EQTY_200019506_TARGET_PRICE</vt:lpstr>
      <vt:lpstr>OCL.AX_Live_Sheet!L_KEYWORD_EQTY_200019506_TARGET_PRICE_FUNDAMENTAL</vt:lpstr>
      <vt:lpstr>OCL.AX_Live_Sheet!L_KEYWORD_EQTY_200019506_TARGET_PRICE_MA</vt:lpstr>
      <vt:lpstr>OCL.AX_Live_Sheet!L_KEYWORD_EQTY_200019506_TAX_EXC</vt:lpstr>
      <vt:lpstr>OCL.AX_Live_Sheet!L_KEYWORD_EQTY_200019506_TAX_RATE_DCF</vt:lpstr>
      <vt:lpstr>OCL.AX_Live_Sheet!L_KEYWORD_EQTY_200019506_TERMINAL_YEAR_DCF</vt:lpstr>
      <vt:lpstr>OCL.AX_Live_Sheet!L_KEYWORD_EQTY_200019506_Ticker</vt:lpstr>
      <vt:lpstr>OCL.AX_Live_Sheet!L_KEYWORD_EQTY_200019506_TOTAL_CAPITAL</vt:lpstr>
      <vt:lpstr>OCL.AX_Live_Sheet!L_KEYWORD_EQTY_200019506_TOTAL_IFRS_ADJUST_POST_TAX</vt:lpstr>
      <vt:lpstr>OCL.AX_Live_Sheet!L_KEYWORD_EQTY_200019506_TP_PERIOD</vt:lpstr>
      <vt:lpstr>OCL.AX_Live_Sheet!L_KEYWORD_EQTY_200019506_WACC_DCF</vt:lpstr>
      <vt:lpstr>OCL.AX_Live_Sheet!L_KEYWORD_EQTY_200019506_YEAR_END_CAPITAL_EVA</vt:lpstr>
      <vt:lpstr>OCL.AX_Live_Sheet!L_KEYWORD_ISSR_208017981_ACC_AMORT</vt:lpstr>
      <vt:lpstr>OCL.AX_Live_Sheet!L_KEYWORD_ISSR_208017981_ACC_DDA</vt:lpstr>
      <vt:lpstr>OCL.AX_Live_Sheet!L_KEYWORD_ISSR_208017981_ACC_END_DATE</vt:lpstr>
      <vt:lpstr>OCL.AX_Live_Sheet!L_KEYWORD_ISSR_208017981_ACC_PAY_GQ</vt:lpstr>
      <vt:lpstr>OCL.AX_Live_Sheet!L_KEYWORD_ISSR_208017981_ACCESS_CONNECTION</vt:lpstr>
      <vt:lpstr>OCL.AX_Live_Sheet!L_KEYWORD_ISSR_208017981_ACQ</vt:lpstr>
      <vt:lpstr>OCL.AX_Live_Sheet!L_KEYWORD_ISSR_208017981_ADJ_UNF_PENS_GOOD</vt:lpstr>
      <vt:lpstr>OCL.AX_Live_Sheet!L_KEYWORD_ISSR_208017981_AMORT_OF_INTANGIBLES</vt:lpstr>
      <vt:lpstr>OCL.AX_Live_Sheet!L_KEYWORD_ISSR_208017981_AMORT_OF_INTANGIBLES_ADJ</vt:lpstr>
      <vt:lpstr>OCL.AX_Live_Sheet!L_KEYWORD_ISSR_208017981_ASSOC_JV_ADDBK</vt:lpstr>
      <vt:lpstr>OCL.AX_Live_Sheet!L_KEYWORD_ISSR_208017981_ASSOCIATE</vt:lpstr>
      <vt:lpstr>OCL.AX_Live_Sheet!L_KEYWORD_ISSR_208017981_ASSOCIATE_OP</vt:lpstr>
      <vt:lpstr>OCL.AX_Live_Sheet!L_KEYWORD_ISSR_208017981_AVG_CAPITAL_EMPLOYED_ADJ</vt:lpstr>
      <vt:lpstr>OCL.AX_Live_Sheet!L_KEYWORD_ISSR_208017981_BAL_MINO_INT</vt:lpstr>
      <vt:lpstr>OCL.AX_Live_Sheet!L_KEYWORD_ISSR_208017981_BAL_OF_FRANK_CREDITS</vt:lpstr>
      <vt:lpstr>OCL.AX_Live_Sheet!L_KEYWORD_ISSR_208017981_BANK_ODRAFT</vt:lpstr>
      <vt:lpstr>OCL.AX_Live_Sheet!L_KEYWORD_ISSR_208017981_BORROWINGS</vt:lpstr>
      <vt:lpstr>OCL.AX_Live_Sheet!L_KEYWORD_ISSR_208017981_CAP_LEASES</vt:lpstr>
      <vt:lpstr>OCL.AX_Live_Sheet!L_KEYWORD_ISSR_208017981_CAPEX</vt:lpstr>
      <vt:lpstr>OCL.AX_Live_Sheet!L_KEYWORD_ISSR_208017981_CAPEX_EXPANSION</vt:lpstr>
      <vt:lpstr>OCL.AX_Live_Sheet!L_KEYWORD_ISSR_208017981_CAPEX_MAINTENANCE</vt:lpstr>
      <vt:lpstr>OCL.AX_Live_Sheet!L_KEYWORD_ISSR_208017981_CASH_EQ</vt:lpstr>
      <vt:lpstr>OCL.AX_Live_Sheet!L_KEYWORD_ISSR_208017981_CASH_INT_EXP</vt:lpstr>
      <vt:lpstr>OCL.AX_Live_Sheet!L_KEYWORD_ISSR_208017981_CASH_TAX_EXP</vt:lpstr>
      <vt:lpstr>OCL.AX_Live_Sheet!L_KEYWORD_ISSR_208017981_CF_FIN</vt:lpstr>
      <vt:lpstr>OCL.AX_Live_Sheet!L_KEYWORD_ISSR_208017981_CF_FX</vt:lpstr>
      <vt:lpstr>OCL.AX_Live_Sheet!L_KEYWORD_ISSR_208017981_CF_INC_MINORITY</vt:lpstr>
      <vt:lpstr>OCL.AX_Live_Sheet!L_KEYWORD_ISSR_208017981_CF_INV</vt:lpstr>
      <vt:lpstr>OCL.AX_Live_Sheet!L_KEYWORD_ISSR_208017981_CF_INV_MISC</vt:lpstr>
      <vt:lpstr>OCL.AX_Live_Sheet!L_KEYWORD_ISSR_208017981_CF_OPS</vt:lpstr>
      <vt:lpstr>OCL.AX_Live_Sheet!L_KEYWORD_ISSR_208017981_CF_OPS_MISC</vt:lpstr>
      <vt:lpstr>OCL.AX_Live_Sheet!L_KEYWORD_ISSR_208017981_CHG_LT_DEBT</vt:lpstr>
      <vt:lpstr>OCL.AX_Live_Sheet!L_KEYWORD_ISSR_208017981_CO_BOR_MARGIN</vt:lpstr>
      <vt:lpstr>OCL.AX_Live_Sheet!L_KEYWORD_ISSR_208017981_COGS_PCT_ROW</vt:lpstr>
      <vt:lpstr>OCL.AX_Live_Sheet!L_KEYWORD_ISSR_208017981_COGS_PCT_US</vt:lpstr>
      <vt:lpstr>OCL.AX_Live_Sheet!L_KEYWORD_ISSR_208017981_COST_GD_SD</vt:lpstr>
      <vt:lpstr>OCL.AX_Live_Sheet!L_KEYWORD_ISSR_208017981_COST_OF_DEBT_DCF</vt:lpstr>
      <vt:lpstr>OCL.AX_Live_Sheet!L_KEYWORD_ISSR_208017981_CUR_ASS</vt:lpstr>
      <vt:lpstr>OCL.AX_Live_Sheet!L_KEYWORD_ISSR_208017981_CUR_ASS_MISC</vt:lpstr>
      <vt:lpstr>OCL.AX_Live_Sheet!L_KEYWORD_ISSR_208017981_CUR_LIABS_MISC</vt:lpstr>
      <vt:lpstr>OCL.AX_Live_Sheet!L_KEYWORD_ISSR_208017981_CURRENCY_ISO</vt:lpstr>
      <vt:lpstr>OCL.AX_Live_Sheet!L_KEYWORD_ISSR_208017981_CUSTOMER_RECEIPTS</vt:lpstr>
      <vt:lpstr>OCL.AX_Live_Sheet!L_KEYWORD_ISSR_208017981_DEBT_TO_EQUITY_MKT_VALUES_DCF</vt:lpstr>
      <vt:lpstr>OCL.AX_Live_Sheet!L_KEYWORD_ISSR_208017981_DEBTORS</vt:lpstr>
      <vt:lpstr>OCL.AX_Live_Sheet!L_KEYWORD_ISSR_208017981_DEF_INC_TAX</vt:lpstr>
      <vt:lpstr>OCL.AX_Live_Sheet!L_KEYWORD_ISSR_208017981_DEFINED_BENEFIT_OBLIGATION</vt:lpstr>
      <vt:lpstr>OCL.AX_Live_Sheet!L_KEYWORD_ISSR_208017981_DEFINED_BENEFIT_SURPLUS</vt:lpstr>
      <vt:lpstr>OCL.AX_Live_Sheet!L_KEYWORD_ISSR_208017981_DEPR_AMORT</vt:lpstr>
      <vt:lpstr>OCL.AX_Live_Sheet!L_KEYWORD_ISSR_208017981_DEPR_ROU_ASSETS</vt:lpstr>
      <vt:lpstr>OCL.AX_Live_Sheet!L_KEYWORD_ISSR_208017981_DEPREC</vt:lpstr>
      <vt:lpstr>OCL.AX_Live_Sheet!L_KEYWORD_ISSR_208017981_DIV_PAID</vt:lpstr>
      <vt:lpstr>OCL.AX_Live_Sheet!L_KEYWORD_ISSR_208017981_DIVDS_ASSOC_JV</vt:lpstr>
      <vt:lpstr>OCL.AX_Live_Sheet!L_KEYWORD_ISSR_208017981_DIVDS_PD_MINORITIES</vt:lpstr>
      <vt:lpstr>OCL.AX_Live_Sheet!L_KEYWORD_ISSR_208017981_DIVEST</vt:lpstr>
      <vt:lpstr>OCL.AX_Live_Sheet!L_KEYWORD_ISSR_208017981_DIVIDENDS_RECEIVED</vt:lpstr>
      <vt:lpstr>OCL.AX_Live_Sheet!L_KEYWORD_ISSR_208017981_EBIT</vt:lpstr>
      <vt:lpstr>OCL.AX_Live_Sheet!L_KEYWORD_ISSR_208017981_EBIT_CONSOLIDATED</vt:lpstr>
      <vt:lpstr>OCL.AX_Live_Sheet!L_KEYWORD_ISSR_208017981_EBIT_CONSOLIDATED_PRE_ASSOC</vt:lpstr>
      <vt:lpstr>OCL.AX_Live_Sheet!L_KEYWORD_ISSR_208017981_EBITDA_CALC</vt:lpstr>
      <vt:lpstr>OCL.AX_Live_Sheet!L_KEYWORD_ISSR_208017981_EBITDA_CONSOLIDATED</vt:lpstr>
      <vt:lpstr>OCL.AX_Live_Sheet!L_KEYWORD_ISSR_208017981_EMPLOYEES</vt:lpstr>
      <vt:lpstr>OCL.AX_Live_Sheet!L_KEYWORD_ISSR_208017981_EQ</vt:lpstr>
      <vt:lpstr>OCL.AX_Live_Sheet!L_KEYWORD_ISSR_208017981_EXP_OIL_DERIV_NGLS_PLASTICS</vt:lpstr>
      <vt:lpstr>OCL.AX_Live_Sheet!L_KEYWORD_ISSR_208017981_EXP_OIL_PETRO_FUEL</vt:lpstr>
      <vt:lpstr>OCL.AX_Live_Sheet!L_KEYWORD_ISSR_208017981_FIN_INSTR_HEDGE_CURR_LIABILITY</vt:lpstr>
      <vt:lpstr>OCL.AX_Live_Sheet!L_KEYWORD_ISSR_208017981_FIN_INSTR_HEDGE_CURRENT</vt:lpstr>
      <vt:lpstr>OCL.AX_Live_Sheet!L_KEYWORD_ISSR_208017981_FIN_INSTR_HEDGE_NON_CURR_LIAB</vt:lpstr>
      <vt:lpstr>OCL.AX_Live_Sheet!L_KEYWORD_ISSR_208017981_FIN_INSTR_HEDGE_NON_CURRENT</vt:lpstr>
      <vt:lpstr>OCL.AX_Live_Sheet!L_KEYWORD_ISSR_208017981_FIN_INSTRUMENT_HEDGE_PRE_TAX</vt:lpstr>
      <vt:lpstr>OCL.AX_Live_Sheet!L_KEYWORD_ISSR_208017981_FIX_ASS_INV</vt:lpstr>
      <vt:lpstr>OCL.AX_Live_Sheet!L_KEYWORD_ISSR_208017981_FLOATING_PCT_LOCAL_DEBT</vt:lpstr>
      <vt:lpstr>OCL.AX_Live_Sheet!L_KEYWORD_ISSR_208017981_FLOATING_PCT_LOCAL_DEBT_HEDGED</vt:lpstr>
      <vt:lpstr>OCL.AX_Live_Sheet!L_KEYWORD_ISSR_208017981_FX_AUD_ASSUMPTION</vt:lpstr>
      <vt:lpstr>OCL.AX_Live_Sheet!L_KEYWORD_ISSR_208017981_FX_AUD_NI_SENSITIVITY</vt:lpstr>
      <vt:lpstr>OCL.AX_Live_Sheet!L_KEYWORD_ISSR_208017981_FX_EUR_ASSUMPTION</vt:lpstr>
      <vt:lpstr>OCL.AX_Live_Sheet!L_KEYWORD_ISSR_208017981_FX_EUR_NI_SENSITIVITY</vt:lpstr>
      <vt:lpstr>OCL.AX_Live_Sheet!L_KEYWORD_ISSR_208017981_FX_USD_ASSUMPTION</vt:lpstr>
      <vt:lpstr>OCL.AX_Live_Sheet!L_KEYWORD_ISSR_208017981_FX_USD_NI_SENSITIVITY</vt:lpstr>
      <vt:lpstr>OCL.AX_Live_Sheet!L_KEYWORD_ISSR_208017981_GCI_INFL</vt:lpstr>
      <vt:lpstr>OCL.AX_Live_Sheet!L_KEYWORD_ISSR_208017981_GOODWILL_AMORT</vt:lpstr>
      <vt:lpstr>OCL.AX_Live_Sheet!L_KEYWORD_ISSR_208017981_GOODWILL_NET_AMNT</vt:lpstr>
      <vt:lpstr>OCL.AX_Live_Sheet!L_KEYWORD_ISSR_208017981_GR_FIX_ASS</vt:lpstr>
      <vt:lpstr>OCL.AX_Live_Sheet!L_KEYWORD_ISSR_208017981_GR_INTANG</vt:lpstr>
      <vt:lpstr>OCL.AX_Live_Sheet!L_KEYWORD_ISSR_208017981_GWILL_ASSET_IMPAIR_CHG_PRE_TAX</vt:lpstr>
      <vt:lpstr>OCL.AX_Live_Sheet!L_KEYWORD_ISSR_208017981_INT_EXP_IND</vt:lpstr>
      <vt:lpstr>OCL.AX_Live_Sheet!L_KEYWORD_ISSR_208017981_INT_INC_IND</vt:lpstr>
      <vt:lpstr>OCL.AX_Live_Sheet!L_KEYWORD_ISSR_208017981_INT_OTHERS_RECEIVED</vt:lpstr>
      <vt:lpstr>OCL.AX_Live_Sheet!L_KEYWORD_ISSR_208017981_INV_SECUR</vt:lpstr>
      <vt:lpstr>OCL.AX_Live_Sheet!L_KEYWORD_ISSR_208017981_INVESTMENTS</vt:lpstr>
      <vt:lpstr>OCL.AX_Live_Sheet!L_KEYWORD_ISSR_208017981_Issuer_Name</vt:lpstr>
      <vt:lpstr>OCL.AX_Live_Sheet!L_KEYWORD_ISSR_208017981_LABOUR</vt:lpstr>
      <vt:lpstr>OCL.AX_Live_Sheet!L_KEYWORD_ISSR_208017981_LAND_BUILDINGS</vt:lpstr>
      <vt:lpstr>OCL.AX_Live_Sheet!L_KEYWORD_ISSR_208017981_LEASE_ADOPT</vt:lpstr>
      <vt:lpstr>OCL.AX_Live_Sheet!L_KEYWORD_ISSR_208017981_LEASE_DEEM_DEPR</vt:lpstr>
      <vt:lpstr>OCL.AX_Live_Sheet!L_KEYWORD_ISSR_208017981_LEASE_DEEM_INT</vt:lpstr>
      <vt:lpstr>OCL.AX_Live_Sheet!L_KEYWORD_ISSR_208017981_LEASE_INT_CHG</vt:lpstr>
      <vt:lpstr>OCL.AX_Live_Sheet!L_KEYWORD_ISSR_208017981_LEASE_PAY</vt:lpstr>
      <vt:lpstr>OCL.AX_Live_Sheet!L_KEYWORD_ISSR_208017981_LEASE_PRINCIPAL_CASH</vt:lpstr>
      <vt:lpstr>OCL.AX_Live_Sheet!L_KEYWORD_ISSR_208017981_LOAN_REPAID_OTHER_ENTS</vt:lpstr>
      <vt:lpstr>OCL.AX_Live_Sheet!L_KEYWORD_ISSR_208017981_LOANS_OTHER_ENTITIES</vt:lpstr>
      <vt:lpstr>OCL.AX_Live_Sheet!L_KEYWORD_ISSR_208017981_LT_DEBT</vt:lpstr>
      <vt:lpstr>OCL.AX_Live_Sheet!L_KEYWORD_ISSR_208017981_LT_LEASE_LIAB</vt:lpstr>
      <vt:lpstr>OCL.AX_Live_Sheet!L_KEYWORD_ISSR_208017981_MA_PROB</vt:lpstr>
      <vt:lpstr>OCL.AX_Live_Sheet!L_KEYWORD_ISSR_208017981_MARKETING_ADVERTISNIG</vt:lpstr>
      <vt:lpstr>OCL.AX_Live_Sheet!L_KEYWORD_ISSR_208017981_MINORITIES</vt:lpstr>
      <vt:lpstr>OCL.AX_Live_Sheet!L_KEYWORD_ISSR_208017981_MV_ASSOCIATES</vt:lpstr>
      <vt:lpstr>OCL.AX_Live_Sheet!L_KEYWORD_ISSR_208017981_MV_CONVERTIBLE_NOTES</vt:lpstr>
      <vt:lpstr>OCL.AX_Live_Sheet!L_KEYWORD_ISSR_208017981_MV_NET_OTHER_STAKEHOLDERS</vt:lpstr>
      <vt:lpstr>OCL.AX_Live_Sheet!L_KEYWORD_ISSR_208017981_NCASSET_INVENTORIES</vt:lpstr>
      <vt:lpstr>OCL.AX_Live_Sheet!L_KEYWORD_ISSR_208017981_NCASSET_INVESTMENT</vt:lpstr>
      <vt:lpstr>OCL.AX_Live_Sheet!L_KEYWORD_ISSR_208017981_NCASSET_MISC</vt:lpstr>
      <vt:lpstr>OCL.AX_Live_Sheet!L_KEYWORD_ISSR_208017981_NCASSET_RECEIVABLES</vt:lpstr>
      <vt:lpstr>OCL.AX_Live_Sheet!L_KEYWORD_ISSR_208017981_NCASSET_TRADE_DEBTORS</vt:lpstr>
      <vt:lpstr>OCL.AX_Live_Sheet!L_KEYWORD_ISSR_208017981_NCLIAB_MISC</vt:lpstr>
      <vt:lpstr>OCL.AX_Live_Sheet!L_KEYWORD_ISSR_208017981_NCLIAB_OTHER_CREDITORS</vt:lpstr>
      <vt:lpstr>OCL.AX_Live_Sheet!L_KEYWORD_ISSR_208017981_NCLIAB_PROVISIONS</vt:lpstr>
      <vt:lpstr>OCL.AX_Live_Sheet!L_KEYWORD_ISSR_208017981_NCLIAB_TRADE_CREDITORS</vt:lpstr>
      <vt:lpstr>OCL.AX_Live_Sheet!L_KEYWORD_ISSR_208017981_NET_ASSETS</vt:lpstr>
      <vt:lpstr>OCL.AX_Live_Sheet!L_KEYWORD_ISSR_208017981_NET_DEBT</vt:lpstr>
      <vt:lpstr>OCL.AX_Live_Sheet!L_KEYWORD_ISSR_208017981_NET_DEBT_ADJ</vt:lpstr>
      <vt:lpstr>OCL.AX_Live_Sheet!L_KEYWORD_ISSR_208017981_NET_FIX_ASS</vt:lpstr>
      <vt:lpstr>OCL.AX_Live_Sheet!L_KEYWORD_ISSR_208017981_NET_INT_CH</vt:lpstr>
      <vt:lpstr>OCL.AX_Live_Sheet!L_KEYWORD_ISSR_208017981_NET_INT_EXP</vt:lpstr>
      <vt:lpstr>OCL.AX_Live_Sheet!L_KEYWORD_ISSR_208017981_NET_INTANG</vt:lpstr>
      <vt:lpstr>OCL.AX_Live_Sheet!L_KEYWORD_ISSR_208017981_NET_TANGIBLE_ASSETS</vt:lpstr>
      <vt:lpstr>OCL.AX_Live_Sheet!L_KEYWORD_ISSR_208017981_NONPPE_CAPEX</vt:lpstr>
      <vt:lpstr>OCL.AX_Live_Sheet!L_KEYWORD_ISSR_208017981_OP_COST</vt:lpstr>
      <vt:lpstr>OCL.AX_Live_Sheet!L_KEYWORD_ISSR_208017981_OPPL_BTAX_EX_ASSOC</vt:lpstr>
      <vt:lpstr>OCL.AX_Live_Sheet!L_KEYWORD_ISSR_208017981_OPPL_BTAX_POST_AB</vt:lpstr>
      <vt:lpstr>OCL.AX_Live_Sheet!L_KEYWORD_ISSR_208017981_ORD_SH_FUND</vt:lpstr>
      <vt:lpstr>OCL.AX_Live_Sheet!L_KEYWORD_ISSR_208017981_ORD_SHARE_CAPITAL</vt:lpstr>
      <vt:lpstr>OCL.AX_Live_Sheet!L_KEYWORD_ISSR_208017981_OTH_COST_INC</vt:lpstr>
      <vt:lpstr>OCL.AX_Live_Sheet!L_KEYWORD_ISSR_208017981_OTH_CUR_ASS</vt:lpstr>
      <vt:lpstr>OCL.AX_Live_Sheet!L_KEYWORD_ISSR_208017981_OTH_CUR_LIABS</vt:lpstr>
      <vt:lpstr>OCL.AX_Live_Sheet!L_KEYWORD_ISSR_208017981_OTH_DACF_ADJ</vt:lpstr>
      <vt:lpstr>OCL.AX_Live_Sheet!L_KEYWORD_ISSR_208017981_OTH_FIN_CF</vt:lpstr>
      <vt:lpstr>OCL.AX_Live_Sheet!L_KEYWORD_ISSR_208017981_OTH_GCI_ADJ</vt:lpstr>
      <vt:lpstr>OCL.AX_Live_Sheet!L_KEYWORD_ISSR_208017981_OTH_INV_CF</vt:lpstr>
      <vt:lpstr>OCL.AX_Live_Sheet!L_KEYWORD_ISSR_208017981_OTH_LT_ASS</vt:lpstr>
      <vt:lpstr>OCL.AX_Live_Sheet!L_KEYWORD_ISSR_208017981_OTH_LT_CRED_GQ</vt:lpstr>
      <vt:lpstr>OCL.AX_Live_Sheet!L_KEYWORD_ISSR_208017981_OTH_NONCASH_ADJ</vt:lpstr>
      <vt:lpstr>OCL.AX_Live_Sheet!L_KEYWORD_ISSR_208017981_OTH_OP_CF</vt:lpstr>
      <vt:lpstr>OCL.AX_Live_Sheet!L_KEYWORD_ISSR_208017981_OTH_OP_INC_EXP</vt:lpstr>
      <vt:lpstr>OCL.AX_Live_Sheet!L_KEYWORD_ISSR_208017981_OTHER_ASSET_IMPAIR_CHG_PRE_TAX</vt:lpstr>
      <vt:lpstr>OCL.AX_Live_Sheet!L_KEYWORD_ISSR_208017981_OTHER_CREDITORS</vt:lpstr>
      <vt:lpstr>OCL.AX_Live_Sheet!L_KEYWORD_ISSR_208017981_OTHER_IFRS_ADJUST_PRE_TAX</vt:lpstr>
      <vt:lpstr>OCL.AX_Live_Sheet!L_KEYWORD_ISSR_208017981_OTHER_INTANGIBLES_DEPREC</vt:lpstr>
      <vt:lpstr>OCL.AX_Live_Sheet!L_KEYWORD_ISSR_208017981_OTHER_INTANGIBLES_NON_DEPREC</vt:lpstr>
      <vt:lpstr>OCL.AX_Live_Sheet!L_KEYWORD_ISSR_208017981_OTHER_RECEIVABLES</vt:lpstr>
      <vt:lpstr>OCL.AX_Live_Sheet!L_KEYWORD_ISSR_208017981_OTHER_REVENUE</vt:lpstr>
      <vt:lpstr>OCL.AX_Live_Sheet!L_KEYWORD_ISSR_208017981_PERIOD_MILESTONE</vt:lpstr>
      <vt:lpstr>OCL.AX_Live_Sheet!L_KEYWORD_ISSR_208017981_PERSONNEL</vt:lpstr>
      <vt:lpstr>OCL.AX_Live_Sheet!L_KEYWORD_ISSR_208017981_PL_BTAX_ON_AB</vt:lpstr>
      <vt:lpstr>OCL.AX_Live_Sheet!L_KEYWORD_ISSR_208017981_PL_SALE_ASSETS</vt:lpstr>
      <vt:lpstr>OCL.AX_Live_Sheet!L_KEYWORD_ISSR_208017981_PLANT_EQUIP</vt:lpstr>
      <vt:lpstr>OCL.AX_Live_Sheet!L_KEYWORD_ISSR_208017981_PREF_SH</vt:lpstr>
      <vt:lpstr>OCL.AX_Live_Sheet!L_KEYWORD_ISSR_208017981_PROCEEDS_BORROWINGS</vt:lpstr>
      <vt:lpstr>OCL.AX_Live_Sheet!L_KEYWORD_ISSR_208017981_PROCEEDS_NCASSET</vt:lpstr>
      <vt:lpstr>OCL.AX_Live_Sheet!L_KEYWORD_ISSR_208017981_PROCEEDS_PURCH_OPER_BUS</vt:lpstr>
      <vt:lpstr>OCL.AX_Live_Sheet!L_KEYWORD_ISSR_208017981_PROCEEDS_SALE_EQUITY_INV</vt:lpstr>
      <vt:lpstr>OCL.AX_Live_Sheet!L_KEYWORD_ISSR_208017981_PROCEEDS_SALE_OPER_BUS</vt:lpstr>
      <vt:lpstr>OCL.AX_Live_Sheet!L_KEYWORD_ISSR_208017981_PROFIT_DEFBEN_PLAN_POST_TAX</vt:lpstr>
      <vt:lpstr>OCL.AX_Live_Sheet!L_KEYWORD_ISSR_208017981_PROFIT_DEFBEN_PLAN_PRE_TAX</vt:lpstr>
      <vt:lpstr>OCL.AX_Live_Sheet!L_KEYWORD_ISSR_208017981_PROFIT_ON_DISP</vt:lpstr>
      <vt:lpstr>OCL.AX_Live_Sheet!L_KEYWORD_ISSR_208017981_PROVISIONS</vt:lpstr>
      <vt:lpstr>OCL.AX_Live_Sheet!L_KEYWORD_ISSR_208017981_PT_PROF</vt:lpstr>
      <vt:lpstr>OCL.AX_Live_Sheet!L_KEYWORD_ISSR_208017981_PURCH_EQUITY_INVESTS</vt:lpstr>
      <vt:lpstr>OCL.AX_Live_Sheet!L_KEYWORD_ISSR_208017981_R_AND_D_CAP</vt:lpstr>
      <vt:lpstr>OCL.AX_Live_Sheet!L_KEYWORD_ISSR_208017981_RD_EXP</vt:lpstr>
      <vt:lpstr>OCL.AX_Live_Sheet!L_KEYWORD_ISSR_208017981_REPAY_BORROWINGS</vt:lpstr>
      <vt:lpstr>OCL.AX_Live_Sheet!L_KEYWORD_ISSR_208017981_RESERVES</vt:lpstr>
      <vt:lpstr>OCL.AX_Live_Sheet!L_KEYWORD_ISSR_208017981_RETAIN_PROFIT_LOSS</vt:lpstr>
      <vt:lpstr>OCL.AX_Live_Sheet!L_KEYWORD_ISSR_208017981_ROU_ASSET</vt:lpstr>
      <vt:lpstr>OCL.AX_Live_Sheet!L_KEYWORD_ISSR_208017981_SALE_PROP_PLANT_EQUIP</vt:lpstr>
      <vt:lpstr>OCL.AX_Live_Sheet!L_KEYWORD_ISSR_208017981_SALES</vt:lpstr>
      <vt:lpstr>OCL.AX_Live_Sheet!L_KEYWORD_ISSR_208017981_SALES_ARGENTINA</vt:lpstr>
      <vt:lpstr>OCL.AX_Live_Sheet!L_KEYWORD_ISSR_208017981_SALES_AUSTRA</vt:lpstr>
      <vt:lpstr>OCL.AX_Live_Sheet!L_KEYWORD_ISSR_208017981_SALES_AUSTRIA</vt:lpstr>
      <vt:lpstr>OCL.AX_Live_Sheet!L_KEYWORD_ISSR_208017981_SALES_BEL</vt:lpstr>
      <vt:lpstr>OCL.AX_Live_Sheet!L_KEYWORD_ISSR_208017981_SALES_BRAZIL</vt:lpstr>
      <vt:lpstr>OCL.AX_Live_Sheet!L_KEYWORD_ISSR_208017981_SALES_CANADA</vt:lpstr>
      <vt:lpstr>OCL.AX_Live_Sheet!L_KEYWORD_ISSR_208017981_SALES_CEE</vt:lpstr>
      <vt:lpstr>OCL.AX_Live_Sheet!L_KEYWORD_ISSR_208017981_SALES_CHILE</vt:lpstr>
      <vt:lpstr>OCL.AX_Live_Sheet!L_KEYWORD_ISSR_208017981_SALES_CHINA</vt:lpstr>
      <vt:lpstr>OCL.AX_Live_Sheet!L_KEYWORD_ISSR_208017981_SALES_COLOMBIA</vt:lpstr>
      <vt:lpstr>OCL.AX_Live_Sheet!L_KEYWORD_ISSR_208017981_SALES_CONS</vt:lpstr>
      <vt:lpstr>OCL.AX_Live_Sheet!L_KEYWORD_ISSR_208017981_SALES_EU_EX_UK</vt:lpstr>
      <vt:lpstr>OCL.AX_Live_Sheet!L_KEYWORD_ISSR_208017981_SALES_FINAN</vt:lpstr>
      <vt:lpstr>OCL.AX_Live_Sheet!L_KEYWORD_ISSR_208017981_SALES_FRA</vt:lpstr>
      <vt:lpstr>OCL.AX_Live_Sheet!L_KEYWORD_ISSR_208017981_SALES_FX</vt:lpstr>
      <vt:lpstr>OCL.AX_Live_Sheet!L_KEYWORD_ISSR_208017981_SALES_FX_AUD</vt:lpstr>
      <vt:lpstr>OCL.AX_Live_Sheet!L_KEYWORD_ISSR_208017981_SALES_FX_BRL</vt:lpstr>
      <vt:lpstr>OCL.AX_Live_Sheet!L_KEYWORD_ISSR_208017981_SALES_FX_CNY</vt:lpstr>
      <vt:lpstr>OCL.AX_Live_Sheet!L_KEYWORD_ISSR_208017981_SALES_FX_EUR</vt:lpstr>
      <vt:lpstr>OCL.AX_Live_Sheet!L_KEYWORD_ISSR_208017981_SALES_FX_GPB</vt:lpstr>
      <vt:lpstr>OCL.AX_Live_Sheet!L_KEYWORD_ISSR_208017981_SALES_FX_INR</vt:lpstr>
      <vt:lpstr>OCL.AX_Live_Sheet!L_KEYWORD_ISSR_208017981_SALES_FX_NZD</vt:lpstr>
      <vt:lpstr>OCL.AX_Live_Sheet!L_KEYWORD_ISSR_208017981_SALES_FX_OTH</vt:lpstr>
      <vt:lpstr>OCL.AX_Live_Sheet!L_KEYWORD_ISSR_208017981_SALES_FX_RUB</vt:lpstr>
      <vt:lpstr>OCL.AX_Live_Sheet!L_KEYWORD_ISSR_208017981_SALES_FX_USD</vt:lpstr>
      <vt:lpstr>OCL.AX_Live_Sheet!L_KEYWORD_ISSR_208017981_SALES_FX_YEN</vt:lpstr>
      <vt:lpstr>OCL.AX_Live_Sheet!L_KEYWORD_ISSR_208017981_SALES_GER</vt:lpstr>
      <vt:lpstr>OCL.AX_Live_Sheet!L_KEYWORD_ISSR_208017981_SALES_GOV</vt:lpstr>
      <vt:lpstr>OCL.AX_Live_Sheet!L_KEYWORD_ISSR_208017981_SALES_GRE</vt:lpstr>
      <vt:lpstr>OCL.AX_Live_Sheet!L_KEYWORD_ISSR_208017981_SALES_HONG_KONG</vt:lpstr>
      <vt:lpstr>OCL.AX_Live_Sheet!L_KEYWORD_ISSR_208017981_SALES_IND</vt:lpstr>
      <vt:lpstr>OCL.AX_Live_Sheet!L_KEYWORD_ISSR_208017981_SALES_INDIA</vt:lpstr>
      <vt:lpstr>OCL.AX_Live_Sheet!L_KEYWORD_ISSR_208017981_SALES_INDONESIA</vt:lpstr>
      <vt:lpstr>OCL.AX_Live_Sheet!L_KEYWORD_ISSR_208017981_SALES_INORGANIC</vt:lpstr>
      <vt:lpstr>OCL.AX_Live_Sheet!L_KEYWORD_ISSR_208017981_SALES_IRE</vt:lpstr>
      <vt:lpstr>OCL.AX_Live_Sheet!L_KEYWORD_ISSR_208017981_SALES_ITA</vt:lpstr>
      <vt:lpstr>OCL.AX_Live_Sheet!L_KEYWORD_ISSR_208017981_SALES_JAPAN</vt:lpstr>
      <vt:lpstr>OCL.AX_Live_Sheet!L_KEYWORD_ISSR_208017981_SALES_ME</vt:lpstr>
      <vt:lpstr>OCL.AX_Live_Sheet!L_KEYWORD_ISSR_208017981_SALES_MEXICO</vt:lpstr>
      <vt:lpstr>OCL.AX_Live_Sheet!L_KEYWORD_ISSR_208017981_SALES_NETH</vt:lpstr>
      <vt:lpstr>OCL.AX_Live_Sheet!L_KEYWORD_ISSR_208017981_SALES_NIGERIA</vt:lpstr>
      <vt:lpstr>OCL.AX_Live_Sheet!L_KEYWORD_ISSR_208017981_SALES_NOR</vt:lpstr>
      <vt:lpstr>OCL.AX_Live_Sheet!L_KEYWORD_ISSR_208017981_SALES_NZ</vt:lpstr>
      <vt:lpstr>OCL.AX_Live_Sheet!L_KEYWORD_ISSR_208017981_SALES_OIL_GAS</vt:lpstr>
      <vt:lpstr>OCL.AX_Live_Sheet!L_KEYWORD_ISSR_208017981_SALES_OTH_AEJ</vt:lpstr>
      <vt:lpstr>OCL.AX_Live_Sheet!L_KEYWORD_ISSR_208017981_SALES_OTH_AFRICA</vt:lpstr>
      <vt:lpstr>OCL.AX_Live_Sheet!L_KEYWORD_ISSR_208017981_SALES_OTH_AM</vt:lpstr>
      <vt:lpstr>OCL.AX_Live_Sheet!L_KEYWORD_ISSR_208017981_SALES_OTH_CEE</vt:lpstr>
      <vt:lpstr>OCL.AX_Live_Sheet!L_KEYWORD_ISSR_208017981_SALES_OTH_DEV_ASIA</vt:lpstr>
      <vt:lpstr>OCL.AX_Live_Sheet!L_KEYWORD_ISSR_208017981_SALES_OTH_EMEA</vt:lpstr>
      <vt:lpstr>OCL.AX_Live_Sheet!L_KEYWORD_ISSR_208017981_SALES_OTH_EMERG_ASIA</vt:lpstr>
      <vt:lpstr>OCL.AX_Live_Sheet!L_KEYWORD_ISSR_208017981_SALES_OTH_LATAM</vt:lpstr>
      <vt:lpstr>OCL.AX_Live_Sheet!L_KEYWORD_ISSR_208017981_SALES_OTH_ME</vt:lpstr>
      <vt:lpstr>OCL.AX_Live_Sheet!L_KEYWORD_ISSR_208017981_SALES_OTH_NO_AMER</vt:lpstr>
      <vt:lpstr>OCL.AX_Live_Sheet!L_KEYWORD_ISSR_208017981_SALES_OTH_WEST_EURO</vt:lpstr>
      <vt:lpstr>OCL.AX_Live_Sheet!L_KEYWORD_ISSR_208017981_SALES_OTHER</vt:lpstr>
      <vt:lpstr>OCL.AX_Live_Sheet!L_KEYWORD_ISSR_208017981_SALES_POLAND</vt:lpstr>
      <vt:lpstr>OCL.AX_Live_Sheet!L_KEYWORD_ISSR_208017981_SALES_POR</vt:lpstr>
      <vt:lpstr>OCL.AX_Live_Sheet!L_KEYWORD_ISSR_208017981_SALES_PRICE</vt:lpstr>
      <vt:lpstr>OCL.AX_Live_Sheet!L_KEYWORD_ISSR_208017981_SALES_RUSSIA</vt:lpstr>
      <vt:lpstr>OCL.AX_Live_Sheet!L_KEYWORD_ISSR_208017981_SALES_SAUDI_ARABIA</vt:lpstr>
      <vt:lpstr>OCL.AX_Live_Sheet!L_KEYWORD_ISSR_208017981_SALES_SINGAPORE</vt:lpstr>
      <vt:lpstr>OCL.AX_Live_Sheet!L_KEYWORD_ISSR_208017981_SALES_SK</vt:lpstr>
      <vt:lpstr>OCL.AX_Live_Sheet!L_KEYWORD_ISSR_208017981_SALES_SO_AFRICA</vt:lpstr>
      <vt:lpstr>OCL.AX_Live_Sheet!L_KEYWORD_ISSR_208017981_SALES_SPA</vt:lpstr>
      <vt:lpstr>OCL.AX_Live_Sheet!L_KEYWORD_ISSR_208017981_SALES_SWE</vt:lpstr>
      <vt:lpstr>OCL.AX_Live_Sheet!L_KEYWORD_ISSR_208017981_SALES_SWIT</vt:lpstr>
      <vt:lpstr>OCL.AX_Live_Sheet!L_KEYWORD_ISSR_208017981_SALES_TAIWAN</vt:lpstr>
      <vt:lpstr>OCL.AX_Live_Sheet!L_KEYWORD_ISSR_208017981_SALES_THAILAND</vt:lpstr>
      <vt:lpstr>OCL.AX_Live_Sheet!L_KEYWORD_ISSR_208017981_SALES_TOT_AFRICA</vt:lpstr>
      <vt:lpstr>OCL.AX_Live_Sheet!L_KEYWORD_ISSR_208017981_SALES_TOT_AM</vt:lpstr>
      <vt:lpstr>OCL.AX_Live_Sheet!L_KEYWORD_ISSR_208017981_SALES_TOT_ASIA</vt:lpstr>
      <vt:lpstr>OCL.AX_Live_Sheet!L_KEYWORD_ISSR_208017981_SALES_TOT_EMEA</vt:lpstr>
      <vt:lpstr>OCL.AX_Live_Sheet!L_KEYWORD_ISSR_208017981_SALES_TURKEY</vt:lpstr>
      <vt:lpstr>OCL.AX_Live_Sheet!L_KEYWORD_ISSR_208017981_SALES_UAE</vt:lpstr>
      <vt:lpstr>OCL.AX_Live_Sheet!L_KEYWORD_ISSR_208017981_SALES_UK</vt:lpstr>
      <vt:lpstr>OCL.AX_Live_Sheet!L_KEYWORD_ISSR_208017981_SALES_US</vt:lpstr>
      <vt:lpstr>OCL.AX_Live_Sheet!L_KEYWORD_ISSR_208017981_SALES_VENEZUELA</vt:lpstr>
      <vt:lpstr>OCL.AX_Live_Sheet!L_KEYWORD_ISSR_208017981_SALES_VOLUME</vt:lpstr>
      <vt:lpstr>OCL.AX_Live_Sheet!L_KEYWORD_ISSR_208017981_SEL_GL_AD</vt:lpstr>
      <vt:lpstr>OCL.AX_Live_Sheet!L_KEYWORD_ISSR_208017981_SEL_GL_AD_OTHER</vt:lpstr>
      <vt:lpstr>OCL.AX_Live_Sheet!L_KEYWORD_ISSR_208017981_SGA_PCT_ROW</vt:lpstr>
      <vt:lpstr>OCL.AX_Live_Sheet!L_KEYWORD_ISSR_208017981_SGA_PCT_US</vt:lpstr>
      <vt:lpstr>OCL.AX_Live_Sheet!L_KEYWORD_ISSR_208017981_SH_REPUR</vt:lpstr>
      <vt:lpstr>OCL.AX_Live_Sheet!L_KEYWORD_ISSR_208017981_SHARE_BASED_PAYMENTS</vt:lpstr>
      <vt:lpstr>OCL.AX_Live_Sheet!L_KEYWORD_ISSR_208017981_SHORT_T_DEBT</vt:lpstr>
      <vt:lpstr>OCL.AX_Live_Sheet!L_KEYWORD_ISSR_208017981_SHORT_TERM_LIABS</vt:lpstr>
      <vt:lpstr>OCL.AX_Live_Sheet!L_KEYWORD_ISSR_208017981_ST_LEASE_LIAB</vt:lpstr>
      <vt:lpstr>OCL.AX_Live_Sheet!L_KEYWORD_ISSR_208017981_STOCKS</vt:lpstr>
      <vt:lpstr>OCL.AX_Live_Sheet!L_KEYWORD_ISSR_208017981_SUPPLIER_EMPLOYEE_PAYS</vt:lpstr>
      <vt:lpstr>OCL.AX_Live_Sheet!L_KEYWORD_ISSR_208017981_TOT_ASSET</vt:lpstr>
      <vt:lpstr>OCL.AX_Live_Sheet!L_KEYWORD_ISSR_208017981_TOT_CF</vt:lpstr>
      <vt:lpstr>OCL.AX_Live_Sheet!L_KEYWORD_ISSR_208017981_TOT_LIAB</vt:lpstr>
      <vt:lpstr>OCL.AX_Live_Sheet!L_KEYWORD_ISSR_208017981_TOT_LIAB_EQ</vt:lpstr>
      <vt:lpstr>OCL.AX_Live_Sheet!L_KEYWORD_ISSR_208017981_TOT_LT_LIAB</vt:lpstr>
      <vt:lpstr>OCL.AX_Live_Sheet!L_KEYWORD_ISSR_208017981_TOT_OPS_EXP</vt:lpstr>
      <vt:lpstr>OCL.AX_Live_Sheet!L_KEYWORD_ISSR_208017981_TOT_OPS_EXP_DDA</vt:lpstr>
      <vt:lpstr>OCL.AX_Live_Sheet!L_KEYWORD_ISSR_208017981_TOT_PCT_USD_DEBT_HEDGED</vt:lpstr>
      <vt:lpstr>OCL.AX_Live_Sheet!L_KEYWORD_ISSR_208017981_TOT_USD_DEBT</vt:lpstr>
      <vt:lpstr>OCL.AX_Live_Sheet!L_KEYWORD_ISSR_208017981_TOTAL_CAPITAL_EMPLOYED_ADJ</vt:lpstr>
      <vt:lpstr>OCL.AX_Live_Sheet!L_KEYWORD_ISSR_208017981_TOTAL_DEPREC_AMORT</vt:lpstr>
      <vt:lpstr>OCL.AX_Live_Sheet!L_KEYWORD_ISSR_208017981_TOTAL_IFRS_ADJUST_PRE_TAX</vt:lpstr>
      <vt:lpstr>OCL.AX_Live_Sheet!L_KEYWORD_ISSR_208017981_TOTAL_NONCURR_ASSETS</vt:lpstr>
      <vt:lpstr>OCL.AX_Live_Sheet!L_KEYWORD_ISSR_208017981_TOTAL_OPR_REVENUE</vt:lpstr>
      <vt:lpstr>OCL.AX_Live_Sheet!L_KEYWORD_ISSR_208017981_TV_LICENCES_MASTERHEADS</vt:lpstr>
      <vt:lpstr>OCL.AX_Live_Sheet!L_KEYWORD_ISSR_208017981_UNF_PENS</vt:lpstr>
      <vt:lpstr>OCL.AX_Live_Sheet!L_KEYWORD_ISSR_208017981_UNF_PENS_LIAB_OTH</vt:lpstr>
      <vt:lpstr>OCL.AX_Live_Sheet!L_KEYWORD_ISSR_208017981_UNF_PENS_OFF</vt:lpstr>
      <vt:lpstr>OCL.AX_Live_Sheet!L_KEYWORD_ISSR_208017981_WORK_CAP</vt:lpstr>
      <vt:lpstr>OCL.AX_Live_Sheet!L_LIVEDATA_EQTY_200019506</vt:lpstr>
      <vt:lpstr>OCL.AX_Live_Sheet!L_LIVEDATA_ISSR_208017981</vt:lpstr>
      <vt:lpstr>OCL.AX_Live_Sheet!L_PERIOD_2014</vt:lpstr>
      <vt:lpstr>OCL.AX_Live_Sheet!L_PERIOD_2015</vt:lpstr>
      <vt:lpstr>OCL.AX_Live_Sheet!L_PERIOD_2015_H1</vt:lpstr>
      <vt:lpstr>OCL.AX_Live_Sheet!L_PERIOD_2015_H2</vt:lpstr>
      <vt:lpstr>OCL.AX_Live_Sheet!L_PERIOD_2016</vt:lpstr>
      <vt:lpstr>OCL.AX_Live_Sheet!L_PERIOD_2016_H1</vt:lpstr>
      <vt:lpstr>OCL.AX_Live_Sheet!L_PERIOD_2016_H2</vt:lpstr>
      <vt:lpstr>OCL.AX_Live_Sheet!L_PERIOD_2017</vt:lpstr>
      <vt:lpstr>OCL.AX_Live_Sheet!L_PERIOD_2017_H1</vt:lpstr>
      <vt:lpstr>OCL.AX_Live_Sheet!L_PERIOD_2017_H2</vt:lpstr>
      <vt:lpstr>OCL.AX_Live_Sheet!L_PERIOD_2018</vt:lpstr>
      <vt:lpstr>OCL.AX_Live_Sheet!L_PERIOD_2018_H1</vt:lpstr>
      <vt:lpstr>OCL.AX_Live_Sheet!L_PERIOD_2018_H2</vt:lpstr>
      <vt:lpstr>OCL.AX_Live_Sheet!L_PERIOD_2019</vt:lpstr>
      <vt:lpstr>OCL.AX_Live_Sheet!L_PERIOD_2019_H1</vt:lpstr>
      <vt:lpstr>OCL.AX_Live_Sheet!L_PERIOD_2019_H2</vt:lpstr>
      <vt:lpstr>OCL.AX_Live_Sheet!L_PERIOD_2020</vt:lpstr>
      <vt:lpstr>OCL.AX_Live_Sheet!L_PERIOD_2020_H1</vt:lpstr>
      <vt:lpstr>OCL.AX_Live_Sheet!L_PERIOD_2020_H2</vt:lpstr>
      <vt:lpstr>OCL.AX_Live_Sheet!L_PERIOD_2021</vt:lpstr>
      <vt:lpstr>OCL.AX_Live_Sheet!L_PERIOD_2021_H1</vt:lpstr>
      <vt:lpstr>OCL.AX_Live_Sheet!L_PERIOD_2021_H2</vt:lpstr>
      <vt:lpstr>OCL.AX_Live_Sheet!L_PERIOD_2022</vt:lpstr>
      <vt:lpstr>OCL.AX_Live_Sheet!L_PERIOD_2022_H1</vt:lpstr>
      <vt:lpstr>OCL.AX_Live_Sheet!L_PERIOD_2022_H2</vt:lpstr>
      <vt:lpstr>OCL.AX_Live_Sheet!L_PERIOD_2023</vt:lpstr>
      <vt:lpstr>OCL.AX_Live_Sheet!L_PERIOD_2023_H1</vt:lpstr>
      <vt:lpstr>OCL.AX_Live_Sheet!L_PERIOD_2023_H2</vt:lpstr>
      <vt:lpstr>OCL.AX_Live_Sheet!L_PERIOD_2024</vt:lpstr>
      <vt:lpstr>OCL.AX_Live_Sheet!L_PERIOD_2024_H1</vt:lpstr>
      <vt:lpstr>OCL.AX_Live_Sheet!L_PERIOD_2024_H2</vt:lpstr>
      <vt:lpstr>OCL.AX_Live_Sheet!L_PERIOD_2025</vt:lpstr>
      <vt:lpstr>OCL.AX_Live_Sheet!L_PERIOD_2025_H1</vt:lpstr>
      <vt:lpstr>OCL.AX_Live_Sheet!L_PERIOD_2025_H2</vt:lpstr>
      <vt:lpstr>OCL.AX_Live_Sheet!L_PERIOD_2026</vt:lpstr>
      <vt:lpstr>OCL.AX_Live_Sheet!L_PERIOD_2027</vt:lpstr>
      <vt:lpstr>OCL.AX_Live_Sheet!L_SECTION_EQTY_200019506_1314</vt:lpstr>
      <vt:lpstr>OCL.AX_Live_Sheet!L_SECTION_EQTY_200019506_1316A</vt:lpstr>
      <vt:lpstr>OCL.AX_Live_Sheet!L_SECTION_EQTY_200019506_1316B</vt:lpstr>
      <vt:lpstr>OCL.AX_Live_Sheet!L_SECTION_EQTY_200019506_1316C</vt:lpstr>
      <vt:lpstr>OCL.AX_Live_Sheet!L_SECTION_EQTY_200019506_1316D</vt:lpstr>
      <vt:lpstr>OCL.AX_Live_Sheet!L_SECTION_EQTY_200019506_1316E</vt:lpstr>
      <vt:lpstr>OCL.AX_Live_Sheet!L_SECTION_EQTY_200019506_131E</vt:lpstr>
      <vt:lpstr>OCL.AX_Live_Sheet!L_SECTION_EQTY_200019506_131J</vt:lpstr>
      <vt:lpstr>OCL.AX_Live_Sheet!L_SECTION_EQTY_200019506_131O</vt:lpstr>
      <vt:lpstr>OCL.AX_Live_Sheet!L_SECTION_EQTY_200019506_13A</vt:lpstr>
      <vt:lpstr>OCL.AX_Live_Sheet!L_SECTION_EQTY_200019506_13K</vt:lpstr>
      <vt:lpstr>OCL.AX_Live_Sheet!L_SECTION_EQTY_200019506_13U</vt:lpstr>
      <vt:lpstr>OCL.AX_Live_Sheet!L_SECTION_EQTY_200019506_13V</vt:lpstr>
      <vt:lpstr>OCL.AX_Live_Sheet!L_SECTION_EQTY_200019506_Reference_Data</vt:lpstr>
      <vt:lpstr>OCL.AX_Live_Sheet!L_SECTION_ISSR_208017981_1314</vt:lpstr>
      <vt:lpstr>OCL.AX_Live_Sheet!L_SECTION_ISSR_208017981_13168</vt:lpstr>
      <vt:lpstr>OCL.AX_Live_Sheet!L_SECTION_ISSR_208017981_1316B</vt:lpstr>
      <vt:lpstr>OCL.AX_Live_Sheet!L_SECTION_ISSR_208017981_1316C</vt:lpstr>
      <vt:lpstr>OCL.AX_Live_Sheet!L_SECTION_ISSR_208017981_1316D</vt:lpstr>
      <vt:lpstr>OCL.AX_Live_Sheet!L_SECTION_ISSR_208017981_1316E</vt:lpstr>
      <vt:lpstr>OCL.AX_Live_Sheet!L_SECTION_ISSR_208017981_1316T</vt:lpstr>
      <vt:lpstr>OCL.AX_Live_Sheet!L_SECTION_ISSR_208017981_1316U</vt:lpstr>
      <vt:lpstr>OCL.AX_Live_Sheet!L_SECTION_ISSR_208017981_1319</vt:lpstr>
      <vt:lpstr>OCL.AX_Live_Sheet!L_SECTION_ISSR_208017981_131E</vt:lpstr>
      <vt:lpstr>OCL.AX_Live_Sheet!L_SECTION_ISSR_208017981_131J</vt:lpstr>
      <vt:lpstr>OCL.AX_Live_Sheet!L_SECTION_ISSR_208017981_131O</vt:lpstr>
      <vt:lpstr>OCL.AX_Live_Sheet!L_SECTION_ISSR_208017981_136E</vt:lpstr>
      <vt:lpstr>OCL.AX_Live_Sheet!L_SECTION_ISSR_208017981_136J</vt:lpstr>
      <vt:lpstr>OCL.AX_Live_Sheet!L_SECTION_ISSR_208017981_13A</vt:lpstr>
      <vt:lpstr>OCL.AX_Live_Sheet!L_SECTION_ISSR_208017981_13U</vt:lpstr>
      <vt:lpstr>OCL.AX_Live_Sheet!L_SECTION_ISSR_208017981_13V</vt:lpstr>
      <vt:lpstr>OCL.AX_Live_Sheet!L_SECTION_ISSR_208017981_Reference_Data</vt:lpstr>
      <vt:lpstr>OCL.AX_Live_Sheet!L_TEMPLATEHASH</vt:lpstr>
      <vt:lpstr>LAST_UPDATED</vt:lpstr>
      <vt:lpstr>Maintenance_capex</vt:lpstr>
      <vt:lpstr>Minorities_profit</vt:lpstr>
      <vt:lpstr>Minority_interests</vt:lpstr>
      <vt:lpstr>Net_debt</vt:lpstr>
      <vt:lpstr>Net_goodwill</vt:lpstr>
      <vt:lpstr>Net_interest_expense</vt:lpstr>
      <vt:lpstr>Net_interest_paid</vt:lpstr>
      <vt:lpstr>Net_other_intangibles</vt:lpstr>
      <vt:lpstr>Net_ppe</vt:lpstr>
      <vt:lpstr>Net_Profit_Post_ab</vt:lpstr>
      <vt:lpstr>Non_Current_Assets</vt:lpstr>
      <vt:lpstr>Non_current_borrowings</vt:lpstr>
      <vt:lpstr>Non_current_inventories</vt:lpstr>
      <vt:lpstr>Non_current_provisions</vt:lpstr>
      <vt:lpstr>Non_current_receivables</vt:lpstr>
      <vt:lpstr>NPAT_pre_ab</vt:lpstr>
      <vt:lpstr>Options_in_the_money</vt:lpstr>
      <vt:lpstr>Other_creditors</vt:lpstr>
      <vt:lpstr>Other_current_assets</vt:lpstr>
      <vt:lpstr>Other_current_liabilities</vt:lpstr>
      <vt:lpstr>Other_inflows</vt:lpstr>
      <vt:lpstr>Other_intangibles</vt:lpstr>
      <vt:lpstr>Other_investing_cashflows</vt:lpstr>
      <vt:lpstr>Other_non_current_assets</vt:lpstr>
      <vt:lpstr>Other_non_current_liabilities</vt:lpstr>
      <vt:lpstr>Other_operating</vt:lpstr>
      <vt:lpstr>Other_receivables</vt:lpstr>
      <vt:lpstr>PDIT</vt:lpstr>
      <vt:lpstr>Pre_tax_profit</vt:lpstr>
      <vt:lpstr>MODEL!Print_Area</vt:lpstr>
      <vt:lpstr>MODEL!Print_Titles</vt:lpstr>
      <vt:lpstr>Reserves</vt:lpstr>
      <vt:lpstr>Retained_profits</vt:lpstr>
      <vt:lpstr>Sales_classified</vt:lpstr>
      <vt:lpstr>Share_capital</vt:lpstr>
      <vt:lpstr>Shares_issued</vt:lpstr>
      <vt:lpstr>Tax_expense</vt:lpstr>
      <vt:lpstr>Tax_paid</vt:lpstr>
      <vt:lpstr>Television_licences_mastheads</vt:lpstr>
      <vt:lpstr>total_assets</vt:lpstr>
      <vt:lpstr>Total_current_assets</vt:lpstr>
      <vt:lpstr>Total_current_liabilities</vt:lpstr>
      <vt:lpstr>Total_equity</vt:lpstr>
      <vt:lpstr>total_liabilities</vt:lpstr>
      <vt:lpstr>Total_Non_Current_Assets</vt:lpstr>
      <vt:lpstr>Total_operating_costs</vt:lpstr>
      <vt:lpstr>Total_operating_EBIT</vt:lpstr>
      <vt:lpstr>Total_operating_EBITDA</vt:lpstr>
      <vt:lpstr>Total_sales</vt:lpstr>
      <vt:lpstr>Trade_creditors</vt:lpstr>
      <vt:lpstr>Trade_debtors</vt:lpstr>
      <vt:lpstr>OCL.AX_Validation_Sheet!V_ALL_KEYWORDS_TYPE_ScalarContributed_EQTY_200019506</vt:lpstr>
      <vt:lpstr>OCL.AX_Validation_Sheet!V_ALL_KEYWORDS_TYPE_ScalarContributed_ISSR_208017981</vt:lpstr>
      <vt:lpstr>OCL.AX_Validation_Sheet!V_ALL_KEYWORDS_TYPE_ScalarReference_EQTY_200019506</vt:lpstr>
      <vt:lpstr>OCL.AX_Validation_Sheet!V_ALL_KEYWORDS_TYPE_ScalarReference_ISSR_208017981</vt:lpstr>
      <vt:lpstr>OCL.AX_Validation_Sheet!V_ALL_KEYWORDS_TYPE_Vector_EQTY_200019506</vt:lpstr>
      <vt:lpstr>OCL.AX_Validation_Sheet!V_ALL_KEYWORDS_TYPE_Vector_ISSR_208017981</vt:lpstr>
      <vt:lpstr>V_ALL_OCL.AX</vt:lpstr>
      <vt:lpstr>OCL.AX_Validation_Sheet!V_ALL_PERIODS_OCL.AX</vt:lpstr>
      <vt:lpstr>OCL.AX_Validation_Sheet!V_ALL_SECTION_KEYWORDS_EQTY_200019506_1314</vt:lpstr>
      <vt:lpstr>OCL.AX_Validation_Sheet!V_ALL_SECTION_KEYWORDS_EQTY_200019506_1316A</vt:lpstr>
      <vt:lpstr>OCL.AX_Validation_Sheet!V_ALL_SECTION_KEYWORDS_EQTY_200019506_1316B</vt:lpstr>
      <vt:lpstr>OCL.AX_Validation_Sheet!V_ALL_SECTION_KEYWORDS_EQTY_200019506_1316C</vt:lpstr>
      <vt:lpstr>OCL.AX_Validation_Sheet!V_ALL_SECTION_KEYWORDS_EQTY_200019506_1316D</vt:lpstr>
      <vt:lpstr>OCL.AX_Validation_Sheet!V_ALL_SECTION_KEYWORDS_EQTY_200019506_1316E</vt:lpstr>
      <vt:lpstr>OCL.AX_Validation_Sheet!V_ALL_SECTION_KEYWORDS_EQTY_200019506_131E</vt:lpstr>
      <vt:lpstr>OCL.AX_Validation_Sheet!V_ALL_SECTION_KEYWORDS_EQTY_200019506_131J</vt:lpstr>
      <vt:lpstr>OCL.AX_Validation_Sheet!V_ALL_SECTION_KEYWORDS_EQTY_200019506_131O</vt:lpstr>
      <vt:lpstr>OCL.AX_Validation_Sheet!V_ALL_SECTION_KEYWORDS_EQTY_200019506_13A</vt:lpstr>
      <vt:lpstr>OCL.AX_Validation_Sheet!V_ALL_SECTION_KEYWORDS_EQTY_200019506_13K</vt:lpstr>
      <vt:lpstr>OCL.AX_Validation_Sheet!V_ALL_SECTION_KEYWORDS_EQTY_200019506_13U</vt:lpstr>
      <vt:lpstr>OCL.AX_Validation_Sheet!V_ALL_SECTION_KEYWORDS_EQTY_200019506_13V</vt:lpstr>
      <vt:lpstr>OCL.AX_Validation_Sheet!V_ALL_SECTION_KEYWORDS_EQTY_200019506_Reference_Data</vt:lpstr>
      <vt:lpstr>OCL.AX_Validation_Sheet!V_ALL_SECTION_KEYWORDS_ISSR_208017981_1314</vt:lpstr>
      <vt:lpstr>OCL.AX_Validation_Sheet!V_ALL_SECTION_KEYWORDS_ISSR_208017981_13168</vt:lpstr>
      <vt:lpstr>OCL.AX_Validation_Sheet!V_ALL_SECTION_KEYWORDS_ISSR_208017981_1316B</vt:lpstr>
      <vt:lpstr>OCL.AX_Validation_Sheet!V_ALL_SECTION_KEYWORDS_ISSR_208017981_1316C</vt:lpstr>
      <vt:lpstr>OCL.AX_Validation_Sheet!V_ALL_SECTION_KEYWORDS_ISSR_208017981_1316D</vt:lpstr>
      <vt:lpstr>OCL.AX_Validation_Sheet!V_ALL_SECTION_KEYWORDS_ISSR_208017981_1316E</vt:lpstr>
      <vt:lpstr>OCL.AX_Validation_Sheet!V_ALL_SECTION_KEYWORDS_ISSR_208017981_1316T</vt:lpstr>
      <vt:lpstr>OCL.AX_Validation_Sheet!V_ALL_SECTION_KEYWORDS_ISSR_208017981_1316U</vt:lpstr>
      <vt:lpstr>OCL.AX_Validation_Sheet!V_ALL_SECTION_KEYWORDS_ISSR_208017981_1319</vt:lpstr>
      <vt:lpstr>OCL.AX_Validation_Sheet!V_ALL_SECTION_KEYWORDS_ISSR_208017981_131E</vt:lpstr>
      <vt:lpstr>OCL.AX_Validation_Sheet!V_ALL_SECTION_KEYWORDS_ISSR_208017981_131J</vt:lpstr>
      <vt:lpstr>OCL.AX_Validation_Sheet!V_ALL_SECTION_KEYWORDS_ISSR_208017981_131O</vt:lpstr>
      <vt:lpstr>OCL.AX_Validation_Sheet!V_ALL_SECTION_KEYWORDS_ISSR_208017981_136E</vt:lpstr>
      <vt:lpstr>OCL.AX_Validation_Sheet!V_ALL_SECTION_KEYWORDS_ISSR_208017981_136J</vt:lpstr>
      <vt:lpstr>OCL.AX_Validation_Sheet!V_ALL_SECTION_KEYWORDS_ISSR_208017981_13A</vt:lpstr>
      <vt:lpstr>OCL.AX_Validation_Sheet!V_ALL_SECTION_KEYWORDS_ISSR_208017981_13U</vt:lpstr>
      <vt:lpstr>OCL.AX_Validation_Sheet!V_ALL_SECTION_KEYWORDS_ISSR_208017981_13V</vt:lpstr>
      <vt:lpstr>OCL.AX_Validation_Sheet!V_ALL_SECTION_KEYWORDS_ISSR_208017981_Reference_Data</vt:lpstr>
      <vt:lpstr>OCL.AX_Validation_Sheet!V_ALL_SECTIONS_EQTY_200019506</vt:lpstr>
      <vt:lpstr>OCL.AX_Validation_Sheet!V_ALL_SECTIONS_ISSR_208017981</vt:lpstr>
      <vt:lpstr>OCL.AX_Validation_Sheet!V_CURRENCY_EQTY_200019506_PRI</vt:lpstr>
      <vt:lpstr>OCL.AX_Validation_Sheet!V_CURRENCY_EQTY_200019506_PUB</vt:lpstr>
      <vt:lpstr>OCL.AX_Validation_Sheet!V_CURRENCY_EQTY_200019506_REP</vt:lpstr>
      <vt:lpstr>OCL.AX_Validation_Sheet!V_CURRENCY_ISSR_208017981_REP</vt:lpstr>
      <vt:lpstr>OCL.AX_Validation_Sheet!V_ENTITY_DATA_EQTY_200019506</vt:lpstr>
      <vt:lpstr>OCL.AX_Validation_Sheet!V_ENTITY_DATA_ISSR_208017981</vt:lpstr>
      <vt:lpstr>OCL.AX_Validation_Sheet!V_KEYWORD_EQTY_200019506_ANZ_LIST</vt:lpstr>
      <vt:lpstr>OCL.AX_Validation_Sheet!V_KEYWORD_EQTY_200019506_ASSET_SALES_GAIN_LOSS</vt:lpstr>
      <vt:lpstr>OCL.AX_Validation_Sheet!V_KEYWORD_EQTY_200019506_BASE_CASE_VAL_DCF</vt:lpstr>
      <vt:lpstr>OCL.AX_Validation_Sheet!V_KEYWORD_EQTY_200019506_BENEFITS_TAX_LOSSES</vt:lpstr>
      <vt:lpstr>OCL.AX_Validation_Sheet!V_KEYWORD_EQTY_200019506_BETA_ANALYST</vt:lpstr>
      <vt:lpstr>OCL.AX_Validation_Sheet!V_KEYWORD_EQTY_200019506_BVPS</vt:lpstr>
      <vt:lpstr>OCL.AX_Validation_Sheet!V_KEYWORD_EQTY_200019506_BVPS_PUB</vt:lpstr>
      <vt:lpstr>OCL.AX_Validation_Sheet!V_KEYWORD_EQTY_200019506_CATALYST1_DATE</vt:lpstr>
      <vt:lpstr>OCL.AX_Validation_Sheet!V_KEYWORD_EQTY_200019506_CATALYST1_EVENT</vt:lpstr>
      <vt:lpstr>OCL.AX_Validation_Sheet!V_KEYWORD_EQTY_200019506_CATALYST2_DATE</vt:lpstr>
      <vt:lpstr>OCL.AX_Validation_Sheet!V_KEYWORD_EQTY_200019506_CATALYST2_EVENT</vt:lpstr>
      <vt:lpstr>OCL.AX_Validation_Sheet!V_KEYWORD_EQTY_200019506_CATALYST3_DATE</vt:lpstr>
      <vt:lpstr>OCL.AX_Validation_Sheet!V_KEYWORD_EQTY_200019506_CATALYST3_EVENT</vt:lpstr>
      <vt:lpstr>OCL.AX_Validation_Sheet!V_KEYWORD_EQTY_200019506_CATALYST4_DATE</vt:lpstr>
      <vt:lpstr>OCL.AX_Validation_Sheet!V_KEYWORD_EQTY_200019506_CATALYST4_EVENT</vt:lpstr>
      <vt:lpstr>OCL.AX_Validation_Sheet!V_KEYWORD_EQTY_200019506_CATALYST5_DATE</vt:lpstr>
      <vt:lpstr>OCL.AX_Validation_Sheet!V_KEYWORD_EQTY_200019506_CATALYST5_EVENT</vt:lpstr>
      <vt:lpstr>OCL.AX_Validation_Sheet!V_KEYWORD_EQTY_200019506_CEEE_NDEBT</vt:lpstr>
      <vt:lpstr>OCL.AX_Validation_Sheet!V_KEYWORD_EQTY_200019506_CF_NI_PRE_PREF</vt:lpstr>
      <vt:lpstr>OCL.AX_Validation_Sheet!V_KEYWORD_EQTY_200019506_CF_OPS_SHARE_NZ</vt:lpstr>
      <vt:lpstr>OCL.AX_Validation_Sheet!V_KEYWORD_EQTY_200019506_COMMON_DIV_PAID</vt:lpstr>
      <vt:lpstr>OCL.AX_Validation_Sheet!V_KEYWORD_EQTY_200019506_CONVERTIBLE_NOTES</vt:lpstr>
      <vt:lpstr>OCL.AX_Validation_Sheet!V_KEYWORD_EQTY_200019506_COST_OF_EQUITY_DCF</vt:lpstr>
      <vt:lpstr>OCL.AX_Validation_Sheet!V_KEYWORD_EQTY_200019506_CUM_PRESENT_VAL_CASH_FLOWS_DCF</vt:lpstr>
      <vt:lpstr>OCL.AX_Validation_Sheet!V_KEYWORD_EQTY_200019506_CURRENCY_ISO</vt:lpstr>
      <vt:lpstr>OCL.AX_Validation_Sheet!V_KEYWORD_EQTY_200019506_DCF_CASH_FLOW</vt:lpstr>
      <vt:lpstr>OCL.AX_Validation_Sheet!V_KEYWORD_EQTY_200019506_DEBT_EQUITY</vt:lpstr>
      <vt:lpstr>OCL.AX_Validation_Sheet!V_KEYWORD_EQTY_200019506_DEBT_RISK_MARGIN_DCF</vt:lpstr>
      <vt:lpstr>OCL.AX_Validation_Sheet!V_KEYWORD_EQTY_200019506_DILUTE_SHARES</vt:lpstr>
      <vt:lpstr>OCL.AX_Validation_Sheet!V_KEYWORD_EQTY_200019506_DISCOUNT_FACTOR_DCF</vt:lpstr>
      <vt:lpstr>OCL.AX_Validation_Sheet!V_KEYWORD_EQTY_200019506_DPS</vt:lpstr>
      <vt:lpstr>OCL.AX_Validation_Sheet!V_KEYWORD_EQTY_200019506_DPS_PUB</vt:lpstr>
      <vt:lpstr>OCL.AX_Validation_Sheet!V_KEYWORD_EQTY_200019506_DPS_SPECIAL_PUB</vt:lpstr>
      <vt:lpstr>OCL.AX_Validation_Sheet!V_KEYWORD_EQTY_200019506_EBIT_PUB</vt:lpstr>
      <vt:lpstr>OCL.AX_Validation_Sheet!V_KEYWORD_EQTY_200019506_EBITDA_PUB</vt:lpstr>
      <vt:lpstr>OCL.AX_Validation_Sheet!V_KEYWORD_EQTY_200019506_EBITDAF</vt:lpstr>
      <vt:lpstr>OCL.AX_Validation_Sheet!V_KEYWORD_EQTY_200019506_EFPO</vt:lpstr>
      <vt:lpstr>OCL.AX_Validation_Sheet!V_KEYWORD_EQTY_200019506_EFPOWA</vt:lpstr>
      <vt:lpstr>OCL.AX_Validation_Sheet!V_KEYWORD_EQTY_200019506_EPS</vt:lpstr>
      <vt:lpstr>OCL.AX_Validation_Sheet!V_KEYWORD_EQTY_200019506_EPS_CONS_PUB</vt:lpstr>
      <vt:lpstr>OCL.AX_Validation_Sheet!V_KEYWORD_EQTY_200019506_EPS_FUL_DIL</vt:lpstr>
      <vt:lpstr>OCL.AX_Validation_Sheet!V_KEYWORD_EQTY_200019506_EPS_POST_BASIC</vt:lpstr>
      <vt:lpstr>OCL.AX_Validation_Sheet!V_KEYWORD_EQTY_200019506_EPS_PRE_GWILL</vt:lpstr>
      <vt:lpstr>OCL.AX_Validation_Sheet!V_KEYWORD_EQTY_200019506_EPS_PUB</vt:lpstr>
      <vt:lpstr>OCL.AX_Validation_Sheet!V_KEYWORD_EQTY_200019506_EPS_REPORTED</vt:lpstr>
      <vt:lpstr>OCL.AX_Validation_Sheet!V_KEYWORD_EQTY_200019506_EQ_PUB</vt:lpstr>
      <vt:lpstr>OCL.AX_Validation_Sheet!V_KEYWORD_EQTY_200019506_EQUITY_VALUE_DCF</vt:lpstr>
      <vt:lpstr>OCL.AX_Validation_Sheet!V_KEYWORD_EQTY_200019506_EV_ADJ_PUB</vt:lpstr>
      <vt:lpstr>OCL.AX_Validation_Sheet!V_KEYWORD_EQTY_200019506_FIN_INSTRUMENT_HEDGE_POST_TAX</vt:lpstr>
      <vt:lpstr>OCL.AX_Validation_Sheet!V_KEYWORD_EQTY_200019506_FINAL_DIV_AMOUNT</vt:lpstr>
      <vt:lpstr>OCL.AX_Validation_Sheet!V_KEYWORD_EQTY_200019506_FINAL_DIV_EXDATE</vt:lpstr>
      <vt:lpstr>OCL.AX_Validation_Sheet!V_KEYWORD_EQTY_200019506_FINAL_DIV_FRANK</vt:lpstr>
      <vt:lpstr>OCL.AX_Validation_Sheet!V_KEYWORD_EQTY_200019506_FINAL_DIV_TAXRATE</vt:lpstr>
      <vt:lpstr>OCL.AX_Validation_Sheet!V_KEYWORD_EQTY_200019506_FOREIGN_EXCHANGE_GAIN_LOSS</vt:lpstr>
      <vt:lpstr>OCL.AX_Validation_Sheet!V_KEYWORD_EQTY_200019506_FOREIGN_HOLDNG</vt:lpstr>
      <vt:lpstr>OCL.AX_Validation_Sheet!V_KEYWORD_EQTY_200019506_FRANK_TAX_RATE</vt:lpstr>
      <vt:lpstr>OCL.AX_Validation_Sheet!V_KEYWORD_EQTY_200019506_FRANKING</vt:lpstr>
      <vt:lpstr>OCL.AX_Validation_Sheet!V_KEYWORD_EQTY_200019506_FRANKING_ANZPUB</vt:lpstr>
      <vt:lpstr>OCL.AX_Validation_Sheet!V_KEYWORD_EQTY_200019506_FRANKING_SPECIAL_ANZPUB</vt:lpstr>
      <vt:lpstr>OCL.AX_Validation_Sheet!V_KEYWORD_EQTY_200019506_FREE_FLOAT</vt:lpstr>
      <vt:lpstr>OCL.AX_Validation_Sheet!V_KEYWORD_EQTY_200019506_FULLY_DIL_EPS</vt:lpstr>
      <vt:lpstr>OCL.AX_Validation_Sheet!V_KEYWORD_EQTY_200019506_GWILL_ASSET_IMP_CHG_POST_TAX</vt:lpstr>
      <vt:lpstr>OCL.AX_Validation_Sheet!V_KEYWORD_EQTY_200019506_IMP_CREDITS_PER_SHARE_DCF</vt:lpstr>
      <vt:lpstr>OCL.AX_Validation_Sheet!V_KEYWORD_EQTY_200019506_INC_MINORITY</vt:lpstr>
      <vt:lpstr>OCL.AX_Validation_Sheet!V_KEYWORD_EQTY_200019506_INCTAX_PL_ON_AB</vt:lpstr>
      <vt:lpstr>OCL.AX_Validation_Sheet!V_KEYWORD_EQTY_200019506_INCTAX_PL_POST_AB</vt:lpstr>
      <vt:lpstr>OCL.AX_Validation_Sheet!V_KEYWORD_EQTY_200019506_INT_DIV_AMOUNT</vt:lpstr>
      <vt:lpstr>OCL.AX_Validation_Sheet!V_KEYWORD_EQTY_200019506_INT_DIV_EXDATE</vt:lpstr>
      <vt:lpstr>OCL.AX_Validation_Sheet!V_KEYWORD_EQTY_200019506_INT_DIV_FRANK</vt:lpstr>
      <vt:lpstr>OCL.AX_Validation_Sheet!V_KEYWORD_EQTY_200019506_INT_DIV_TAXRATE</vt:lpstr>
      <vt:lpstr>OCL.AX_Validation_Sheet!V_KEYWORD_EQTY_200019506_Interim_Type</vt:lpstr>
      <vt:lpstr>OCL.AX_Validation_Sheet!V_KEYWORD_EQTY_200019506_INTRINSIC_PER_SHARE_VALUE_DCF</vt:lpstr>
      <vt:lpstr>OCL.AX_Validation_Sheet!V_KEYWORD_EQTY_200019506_LEGAL_RATING</vt:lpstr>
      <vt:lpstr>OCL.AX_Validation_Sheet!V_KEYWORD_EQTY_200019506_MARGIN_TAX_RATE</vt:lpstr>
      <vt:lpstr>OCL.AX_Validation_Sheet!V_KEYWORD_EQTY_200019506_MARKET_VALUE_OF_INVESTMENTS_DCF</vt:lpstr>
      <vt:lpstr>OCL.AX_Validation_Sheet!V_KEYWORD_EQTY_200019506_MKT_EQ_RISK_PREM</vt:lpstr>
      <vt:lpstr>OCL.AX_Validation_Sheet!V_KEYWORD_EQTY_200019506_NET_DEBT_EX_LEASES_PUB</vt:lpstr>
      <vt:lpstr>OCL.AX_Validation_Sheet!V_KEYWORD_EQTY_200019506_NET_DEBT_NET_CASH_DCF</vt:lpstr>
      <vt:lpstr>OCL.AX_Validation_Sheet!V_KEYWORD_EQTY_200019506_NET_DEBT_PUB</vt:lpstr>
      <vt:lpstr>OCL.AX_Validation_Sheet!V_KEYWORD_EQTY_200019506_NET_EARNING</vt:lpstr>
      <vt:lpstr>OCL.AX_Validation_Sheet!V_KEYWORD_EQTY_200019506_NET_INC</vt:lpstr>
      <vt:lpstr>OCL.AX_Validation_Sheet!V_KEYWORD_EQTY_200019506_NET_PROFIT</vt:lpstr>
      <vt:lpstr>OCL.AX_Validation_Sheet!V_KEYWORD_EQTY_200019506_NET_TANGIBLE_ASSETS_ADJUSTED_NZ</vt:lpstr>
      <vt:lpstr>OCL.AX_Validation_Sheet!V_KEYWORD_EQTY_200019506_NI_CONS</vt:lpstr>
      <vt:lpstr>OCL.AX_Validation_Sheet!V_KEYWORD_EQTY_200019506_NI_PRE_PREF</vt:lpstr>
      <vt:lpstr>OCL.AX_Validation_Sheet!V_KEYWORD_EQTY_200019506_NI_PUB</vt:lpstr>
      <vt:lpstr>OCL.AX_Validation_Sheet!V_KEYWORD_EQTY_200019506_NI_REPT_PUB</vt:lpstr>
      <vt:lpstr>OCL.AX_Validation_Sheet!V_KEYWORD_EQTY_200019506_NON_OP_ADD</vt:lpstr>
      <vt:lpstr>OCL.AX_Validation_Sheet!V_KEYWORD_EQTY_200019506_NOPAT</vt:lpstr>
      <vt:lpstr>OCL.AX_Validation_Sheet!V_KEYWORD_EQTY_200019506_NOT_IN_USE</vt:lpstr>
      <vt:lpstr>OCL.AX_Validation_Sheet!V_KEYWORD_EQTY_200019506_NTA_PER_SHARE</vt:lpstr>
      <vt:lpstr>OCL.AX_Validation_Sheet!V_KEYWORD_EQTY_200019506_NUM_SH</vt:lpstr>
      <vt:lpstr>OCL.AX_Validation_Sheet!V_KEYWORD_EQTY_200019506_NZ_FRANKING</vt:lpstr>
      <vt:lpstr>OCL.AX_Validation_Sheet!V_KEYWORD_EQTY_200019506_OPPL_ATAX_POST_AB</vt:lpstr>
      <vt:lpstr>OCL.AX_Validation_Sheet!V_KEYWORD_EQTY_200019506_OPPL_ATAX_PRE_AB</vt:lpstr>
      <vt:lpstr>OCL.AX_Validation_Sheet!V_KEYWORD_EQTY_200019506_OPTIONS</vt:lpstr>
      <vt:lpstr>OCL.AX_Validation_Sheet!V_KEYWORD_EQTY_200019506_OTH_ASSET_IMPAIR_CHG_POST_TAX</vt:lpstr>
      <vt:lpstr>OCL.AX_Validation_Sheet!V_KEYWORD_EQTY_200019506_OTHER_ABNORMAL_ITEMS</vt:lpstr>
      <vt:lpstr>OCL.AX_Validation_Sheet!V_KEYWORD_EQTY_200019506_OTHER_CAPITAL</vt:lpstr>
      <vt:lpstr>OCL.AX_Validation_Sheet!V_KEYWORD_EQTY_200019506_OTHER_IFRS_ADJUST_POST_TAX</vt:lpstr>
      <vt:lpstr>OCL.AX_Validation_Sheet!V_KEYWORD_EQTY_200019506_PARTLY_PAID_SHARES</vt:lpstr>
      <vt:lpstr>OCL.AX_Validation_Sheet!V_KEYWORD_EQTY_200019506_PERPETUITY_GROWTH_RATE_DCF</vt:lpstr>
      <vt:lpstr>OCL.AX_Validation_Sheet!V_KEYWORD_EQTY_200019506_PREF_DIV</vt:lpstr>
      <vt:lpstr>OCL.AX_Validation_Sheet!V_KEYWORD_EQTY_200019506_PREFERENCE_SHARES</vt:lpstr>
      <vt:lpstr>OCL.AX_Validation_Sheet!V_KEYWORD_EQTY_200019506_PRESENT_VALUE_OF_CASH_FLOW_DCF</vt:lpstr>
      <vt:lpstr>OCL.AX_Validation_Sheet!V_KEYWORD_EQTY_200019506_PRI_TARG_METH</vt:lpstr>
      <vt:lpstr>OCL.AX_Validation_Sheet!V_KEYWORD_EQTY_200019506_PRI_TARG_MULT</vt:lpstr>
      <vt:lpstr>OCL.AX_Validation_Sheet!V_KEYWORD_EQTY_200019506_PRICE_CURRENCY_ISO</vt:lpstr>
      <vt:lpstr>OCL.AX_Validation_Sheet!V_KEYWORD_EQTY_200019506_PROF_ADJUST_EPS</vt:lpstr>
      <vt:lpstr>OCL.AX_Validation_Sheet!V_KEYWORD_EQTY_200019506_PROV_INC_TAX</vt:lpstr>
      <vt:lpstr>OCL.AX_Validation_Sheet!V_KEYWORD_EQTY_200019506_PTP_PUB</vt:lpstr>
      <vt:lpstr>OCL.AX_Validation_Sheet!V_KEYWORD_EQTY_200019506_PUB_CURRENCY_ISO</vt:lpstr>
      <vt:lpstr>OCL.AX_Validation_Sheet!V_KEYWORD_EQTY_200019506_RESTRUC_COSTS</vt:lpstr>
      <vt:lpstr>OCL.AX_Validation_Sheet!V_KEYWORD_EQTY_200019506_REVS_PUB</vt:lpstr>
      <vt:lpstr>OCL.AX_Validation_Sheet!V_KEYWORD_EQTY_200019506_RISK_ADJ_OPTION_VALUE_DCF</vt:lpstr>
      <vt:lpstr>OCL.AX_Validation_Sheet!V_KEYWORD_EQTY_200019506_RISK_FR_RATE</vt:lpstr>
      <vt:lpstr>OCL.AX_Validation_Sheet!V_KEYWORD_EQTY_200019506_RISK_TO_EARNINGS</vt:lpstr>
      <vt:lpstr>OCL.AX_Validation_Sheet!V_KEYWORD_EQTY_200019506_ROCE_ANZ</vt:lpstr>
      <vt:lpstr>OCL.AX_Validation_Sheet!V_KEYWORD_EQTY_200019506_Security_Name</vt:lpstr>
      <vt:lpstr>OCL.AX_Validation_Sheet!V_KEYWORD_EQTY_200019506_SH</vt:lpstr>
      <vt:lpstr>OCL.AX_Validation_Sheet!V_KEYWORD_EQTY_200019506_SHOLDERS_EQUITY_MBRS</vt:lpstr>
      <vt:lpstr>OCL.AX_Validation_Sheet!V_KEYWORD_EQTY_200019506_STD_FREE_OP_CASH_FLOW_DCF</vt:lpstr>
      <vt:lpstr>OCL.AX_Validation_Sheet!V_KEYWORD_EQTY_200019506_TARGET_PRICE</vt:lpstr>
      <vt:lpstr>OCL.AX_Validation_Sheet!V_KEYWORD_EQTY_200019506_TARGET_PRICE_FUNDAMENTAL</vt:lpstr>
      <vt:lpstr>OCL.AX_Validation_Sheet!V_KEYWORD_EQTY_200019506_TARGET_PRICE_MA</vt:lpstr>
      <vt:lpstr>OCL.AX_Validation_Sheet!V_KEYWORD_EQTY_200019506_TAX_EXC</vt:lpstr>
      <vt:lpstr>OCL.AX_Validation_Sheet!V_KEYWORD_EQTY_200019506_TAX_RATE_DCF</vt:lpstr>
      <vt:lpstr>OCL.AX_Validation_Sheet!V_KEYWORD_EQTY_200019506_TERMINAL_YEAR_DCF</vt:lpstr>
      <vt:lpstr>OCL.AX_Validation_Sheet!V_KEYWORD_EQTY_200019506_Ticker</vt:lpstr>
      <vt:lpstr>OCL.AX_Validation_Sheet!V_KEYWORD_EQTY_200019506_TOTAL_CAPITAL</vt:lpstr>
      <vt:lpstr>OCL.AX_Validation_Sheet!V_KEYWORD_EQTY_200019506_TOTAL_IFRS_ADJUST_POST_TAX</vt:lpstr>
      <vt:lpstr>OCL.AX_Validation_Sheet!V_KEYWORD_EQTY_200019506_TP_PERIOD</vt:lpstr>
      <vt:lpstr>OCL.AX_Validation_Sheet!V_KEYWORD_EQTY_200019506_WACC_DCF</vt:lpstr>
      <vt:lpstr>OCL.AX_Validation_Sheet!V_KEYWORD_EQTY_200019506_YEAR_END_CAPITAL_EVA</vt:lpstr>
      <vt:lpstr>OCL.AX_Validation_Sheet!V_KEYWORD_ISSR_208017981_ACC_AMORT</vt:lpstr>
      <vt:lpstr>OCL.AX_Validation_Sheet!V_KEYWORD_ISSR_208017981_ACC_DDA</vt:lpstr>
      <vt:lpstr>OCL.AX_Validation_Sheet!V_KEYWORD_ISSR_208017981_ACC_END_DATE</vt:lpstr>
      <vt:lpstr>OCL.AX_Validation_Sheet!V_KEYWORD_ISSR_208017981_ACC_PAY_GQ</vt:lpstr>
      <vt:lpstr>OCL.AX_Validation_Sheet!V_KEYWORD_ISSR_208017981_ACCESS_CONNECTION</vt:lpstr>
      <vt:lpstr>OCL.AX_Validation_Sheet!V_KEYWORD_ISSR_208017981_ACQ</vt:lpstr>
      <vt:lpstr>OCL.AX_Validation_Sheet!V_KEYWORD_ISSR_208017981_ADJ_UNF_PENS_GOOD</vt:lpstr>
      <vt:lpstr>OCL.AX_Validation_Sheet!V_KEYWORD_ISSR_208017981_AMORT_OF_INTANGIBLES</vt:lpstr>
      <vt:lpstr>OCL.AX_Validation_Sheet!V_KEYWORD_ISSR_208017981_AMORT_OF_INTANGIBLES_ADJ</vt:lpstr>
      <vt:lpstr>OCL.AX_Validation_Sheet!V_KEYWORD_ISSR_208017981_ASSOC_JV_ADDBK</vt:lpstr>
      <vt:lpstr>OCL.AX_Validation_Sheet!V_KEYWORD_ISSR_208017981_ASSOCIATE</vt:lpstr>
      <vt:lpstr>OCL.AX_Validation_Sheet!V_KEYWORD_ISSR_208017981_ASSOCIATE_OP</vt:lpstr>
      <vt:lpstr>OCL.AX_Validation_Sheet!V_KEYWORD_ISSR_208017981_AVG_CAPITAL_EMPLOYED_ADJ</vt:lpstr>
      <vt:lpstr>OCL.AX_Validation_Sheet!V_KEYWORD_ISSR_208017981_BAL_MINO_INT</vt:lpstr>
      <vt:lpstr>OCL.AX_Validation_Sheet!V_KEYWORD_ISSR_208017981_BAL_OF_FRANK_CREDITS</vt:lpstr>
      <vt:lpstr>OCL.AX_Validation_Sheet!V_KEYWORD_ISSR_208017981_BANK_ODRAFT</vt:lpstr>
      <vt:lpstr>OCL.AX_Validation_Sheet!V_KEYWORD_ISSR_208017981_BORROWINGS</vt:lpstr>
      <vt:lpstr>OCL.AX_Validation_Sheet!V_KEYWORD_ISSR_208017981_CAP_LEASES</vt:lpstr>
      <vt:lpstr>OCL.AX_Validation_Sheet!V_KEYWORD_ISSR_208017981_CAPEX</vt:lpstr>
      <vt:lpstr>OCL.AX_Validation_Sheet!V_KEYWORD_ISSR_208017981_CAPEX_EXPANSION</vt:lpstr>
      <vt:lpstr>OCL.AX_Validation_Sheet!V_KEYWORD_ISSR_208017981_CAPEX_MAINTENANCE</vt:lpstr>
      <vt:lpstr>OCL.AX_Validation_Sheet!V_KEYWORD_ISSR_208017981_CASH_EQ</vt:lpstr>
      <vt:lpstr>OCL.AX_Validation_Sheet!V_KEYWORD_ISSR_208017981_CASH_INT_EXP</vt:lpstr>
      <vt:lpstr>OCL.AX_Validation_Sheet!V_KEYWORD_ISSR_208017981_CASH_TAX_EXP</vt:lpstr>
      <vt:lpstr>OCL.AX_Validation_Sheet!V_KEYWORD_ISSR_208017981_CF_FIN</vt:lpstr>
      <vt:lpstr>OCL.AX_Validation_Sheet!V_KEYWORD_ISSR_208017981_CF_FX</vt:lpstr>
      <vt:lpstr>OCL.AX_Validation_Sheet!V_KEYWORD_ISSR_208017981_CF_INC_MINORITY</vt:lpstr>
      <vt:lpstr>OCL.AX_Validation_Sheet!V_KEYWORD_ISSR_208017981_CF_INV</vt:lpstr>
      <vt:lpstr>OCL.AX_Validation_Sheet!V_KEYWORD_ISSR_208017981_CF_INV_MISC</vt:lpstr>
      <vt:lpstr>OCL.AX_Validation_Sheet!V_KEYWORD_ISSR_208017981_CF_OPS</vt:lpstr>
      <vt:lpstr>OCL.AX_Validation_Sheet!V_KEYWORD_ISSR_208017981_CF_OPS_MISC</vt:lpstr>
      <vt:lpstr>OCL.AX_Validation_Sheet!V_KEYWORD_ISSR_208017981_CHG_LT_DEBT</vt:lpstr>
      <vt:lpstr>OCL.AX_Validation_Sheet!V_KEYWORD_ISSR_208017981_CO_BOR_MARGIN</vt:lpstr>
      <vt:lpstr>OCL.AX_Validation_Sheet!V_KEYWORD_ISSR_208017981_COGS_PCT_ROW</vt:lpstr>
      <vt:lpstr>OCL.AX_Validation_Sheet!V_KEYWORD_ISSR_208017981_COGS_PCT_US</vt:lpstr>
      <vt:lpstr>OCL.AX_Validation_Sheet!V_KEYWORD_ISSR_208017981_COST_GD_SD</vt:lpstr>
      <vt:lpstr>OCL.AX_Validation_Sheet!V_KEYWORD_ISSR_208017981_COST_OF_DEBT_DCF</vt:lpstr>
      <vt:lpstr>OCL.AX_Validation_Sheet!V_KEYWORD_ISSR_208017981_CUR_ASS</vt:lpstr>
      <vt:lpstr>OCL.AX_Validation_Sheet!V_KEYWORD_ISSR_208017981_CUR_ASS_MISC</vt:lpstr>
      <vt:lpstr>OCL.AX_Validation_Sheet!V_KEYWORD_ISSR_208017981_CUR_LIABS_MISC</vt:lpstr>
      <vt:lpstr>OCL.AX_Validation_Sheet!V_KEYWORD_ISSR_208017981_CURRENCY_ISO</vt:lpstr>
      <vt:lpstr>OCL.AX_Validation_Sheet!V_KEYWORD_ISSR_208017981_CUSTOMER_RECEIPTS</vt:lpstr>
      <vt:lpstr>OCL.AX_Validation_Sheet!V_KEYWORD_ISSR_208017981_DEBT_TO_EQUITY_MKT_VALUES_DCF</vt:lpstr>
      <vt:lpstr>OCL.AX_Validation_Sheet!V_KEYWORD_ISSR_208017981_DEBTORS</vt:lpstr>
      <vt:lpstr>OCL.AX_Validation_Sheet!V_KEYWORD_ISSR_208017981_DEF_INC_TAX</vt:lpstr>
      <vt:lpstr>OCL.AX_Validation_Sheet!V_KEYWORD_ISSR_208017981_DEFINED_BENEFIT_OBLIGATION</vt:lpstr>
      <vt:lpstr>OCL.AX_Validation_Sheet!V_KEYWORD_ISSR_208017981_DEFINED_BENEFIT_SURPLUS</vt:lpstr>
      <vt:lpstr>OCL.AX_Validation_Sheet!V_KEYWORD_ISSR_208017981_DEPR_AMORT</vt:lpstr>
      <vt:lpstr>OCL.AX_Validation_Sheet!V_KEYWORD_ISSR_208017981_DEPR_ROU_ASSETS</vt:lpstr>
      <vt:lpstr>OCL.AX_Validation_Sheet!V_KEYWORD_ISSR_208017981_DEPREC</vt:lpstr>
      <vt:lpstr>OCL.AX_Validation_Sheet!V_KEYWORD_ISSR_208017981_DIV_PAID</vt:lpstr>
      <vt:lpstr>OCL.AX_Validation_Sheet!V_KEYWORD_ISSR_208017981_DIVDS_ASSOC_JV</vt:lpstr>
      <vt:lpstr>OCL.AX_Validation_Sheet!V_KEYWORD_ISSR_208017981_DIVDS_PD_MINORITIES</vt:lpstr>
      <vt:lpstr>OCL.AX_Validation_Sheet!V_KEYWORD_ISSR_208017981_DIVEST</vt:lpstr>
      <vt:lpstr>OCL.AX_Validation_Sheet!V_KEYWORD_ISSR_208017981_DIVIDENDS_RECEIVED</vt:lpstr>
      <vt:lpstr>OCL.AX_Validation_Sheet!V_KEYWORD_ISSR_208017981_EBIT</vt:lpstr>
      <vt:lpstr>OCL.AX_Validation_Sheet!V_KEYWORD_ISSR_208017981_EBIT_CONSOLIDATED</vt:lpstr>
      <vt:lpstr>OCL.AX_Validation_Sheet!V_KEYWORD_ISSR_208017981_EBIT_CONSOLIDATED_PRE_ASSOC</vt:lpstr>
      <vt:lpstr>OCL.AX_Validation_Sheet!V_KEYWORD_ISSR_208017981_EBITDA_CALC</vt:lpstr>
      <vt:lpstr>OCL.AX_Validation_Sheet!V_KEYWORD_ISSR_208017981_EBITDA_CONSOLIDATED</vt:lpstr>
      <vt:lpstr>OCL.AX_Validation_Sheet!V_KEYWORD_ISSR_208017981_EMPLOYEES</vt:lpstr>
      <vt:lpstr>OCL.AX_Validation_Sheet!V_KEYWORD_ISSR_208017981_EQ</vt:lpstr>
      <vt:lpstr>OCL.AX_Validation_Sheet!V_KEYWORD_ISSR_208017981_EXP_OIL_DERIV_NGLS_PLASTICS</vt:lpstr>
      <vt:lpstr>OCL.AX_Validation_Sheet!V_KEYWORD_ISSR_208017981_EXP_OIL_PETRO_FUEL</vt:lpstr>
      <vt:lpstr>OCL.AX_Validation_Sheet!V_KEYWORD_ISSR_208017981_FIN_INSTR_HEDGE_CURR_LIABILITY</vt:lpstr>
      <vt:lpstr>OCL.AX_Validation_Sheet!V_KEYWORD_ISSR_208017981_FIN_INSTR_HEDGE_CURRENT</vt:lpstr>
      <vt:lpstr>OCL.AX_Validation_Sheet!V_KEYWORD_ISSR_208017981_FIN_INSTR_HEDGE_NON_CURR_LIAB</vt:lpstr>
      <vt:lpstr>OCL.AX_Validation_Sheet!V_KEYWORD_ISSR_208017981_FIN_INSTR_HEDGE_NON_CURRENT</vt:lpstr>
      <vt:lpstr>OCL.AX_Validation_Sheet!V_KEYWORD_ISSR_208017981_FIN_INSTRUMENT_HEDGE_PRE_TAX</vt:lpstr>
      <vt:lpstr>OCL.AX_Validation_Sheet!V_KEYWORD_ISSR_208017981_FIX_ASS_INV</vt:lpstr>
      <vt:lpstr>OCL.AX_Validation_Sheet!V_KEYWORD_ISSR_208017981_FLOATING_PCT_LOCAL_DEBT</vt:lpstr>
      <vt:lpstr>OCL.AX_Validation_Sheet!V_KEYWORD_ISSR_208017981_FLOATING_PCT_LOCAL_DEBT_HEDGED</vt:lpstr>
      <vt:lpstr>OCL.AX_Validation_Sheet!V_KEYWORD_ISSR_208017981_FX_AUD_ASSUMPTION</vt:lpstr>
      <vt:lpstr>OCL.AX_Validation_Sheet!V_KEYWORD_ISSR_208017981_FX_AUD_NI_SENSITIVITY</vt:lpstr>
      <vt:lpstr>OCL.AX_Validation_Sheet!V_KEYWORD_ISSR_208017981_FX_EUR_ASSUMPTION</vt:lpstr>
      <vt:lpstr>OCL.AX_Validation_Sheet!V_KEYWORD_ISSR_208017981_FX_EUR_NI_SENSITIVITY</vt:lpstr>
      <vt:lpstr>OCL.AX_Validation_Sheet!V_KEYWORD_ISSR_208017981_FX_USD_ASSUMPTION</vt:lpstr>
      <vt:lpstr>OCL.AX_Validation_Sheet!V_KEYWORD_ISSR_208017981_FX_USD_NI_SENSITIVITY</vt:lpstr>
      <vt:lpstr>OCL.AX_Validation_Sheet!V_KEYWORD_ISSR_208017981_GCI_INFL</vt:lpstr>
      <vt:lpstr>OCL.AX_Validation_Sheet!V_KEYWORD_ISSR_208017981_GOODWILL_AMORT</vt:lpstr>
      <vt:lpstr>OCL.AX_Validation_Sheet!V_KEYWORD_ISSR_208017981_GOODWILL_NET_AMNT</vt:lpstr>
      <vt:lpstr>OCL.AX_Validation_Sheet!V_KEYWORD_ISSR_208017981_GR_FIX_ASS</vt:lpstr>
      <vt:lpstr>OCL.AX_Validation_Sheet!V_KEYWORD_ISSR_208017981_GR_INTANG</vt:lpstr>
      <vt:lpstr>OCL.AX_Validation_Sheet!V_KEYWORD_ISSR_208017981_GWILL_ASSET_IMPAIR_CHG_PRE_TAX</vt:lpstr>
      <vt:lpstr>OCL.AX_Validation_Sheet!V_KEYWORD_ISSR_208017981_INT_EXP_IND</vt:lpstr>
      <vt:lpstr>OCL.AX_Validation_Sheet!V_KEYWORD_ISSR_208017981_INT_INC_IND</vt:lpstr>
      <vt:lpstr>OCL.AX_Validation_Sheet!V_KEYWORD_ISSR_208017981_INT_OTHERS_RECEIVED</vt:lpstr>
      <vt:lpstr>OCL.AX_Validation_Sheet!V_KEYWORD_ISSR_208017981_INV_SECUR</vt:lpstr>
      <vt:lpstr>OCL.AX_Validation_Sheet!V_KEYWORD_ISSR_208017981_INVESTMENTS</vt:lpstr>
      <vt:lpstr>OCL.AX_Validation_Sheet!V_KEYWORD_ISSR_208017981_Issuer_Name</vt:lpstr>
      <vt:lpstr>OCL.AX_Validation_Sheet!V_KEYWORD_ISSR_208017981_LABOUR</vt:lpstr>
      <vt:lpstr>OCL.AX_Validation_Sheet!V_KEYWORD_ISSR_208017981_LAND_BUILDINGS</vt:lpstr>
      <vt:lpstr>OCL.AX_Validation_Sheet!V_KEYWORD_ISSR_208017981_LEASE_ADOPT</vt:lpstr>
      <vt:lpstr>OCL.AX_Validation_Sheet!V_KEYWORD_ISSR_208017981_LEASE_DEEM_DEPR</vt:lpstr>
      <vt:lpstr>OCL.AX_Validation_Sheet!V_KEYWORD_ISSR_208017981_LEASE_DEEM_INT</vt:lpstr>
      <vt:lpstr>OCL.AX_Validation_Sheet!V_KEYWORD_ISSR_208017981_LEASE_INT_CHG</vt:lpstr>
      <vt:lpstr>OCL.AX_Validation_Sheet!V_KEYWORD_ISSR_208017981_LEASE_PAY</vt:lpstr>
      <vt:lpstr>OCL.AX_Validation_Sheet!V_KEYWORD_ISSR_208017981_LEASE_PRINCIPAL_CASH</vt:lpstr>
      <vt:lpstr>OCL.AX_Validation_Sheet!V_KEYWORD_ISSR_208017981_LOAN_REPAID_OTHER_ENTS</vt:lpstr>
      <vt:lpstr>OCL.AX_Validation_Sheet!V_KEYWORD_ISSR_208017981_LOANS_OTHER_ENTITIES</vt:lpstr>
      <vt:lpstr>OCL.AX_Validation_Sheet!V_KEYWORD_ISSR_208017981_LT_DEBT</vt:lpstr>
      <vt:lpstr>OCL.AX_Validation_Sheet!V_KEYWORD_ISSR_208017981_LT_LEASE_LIAB</vt:lpstr>
      <vt:lpstr>OCL.AX_Validation_Sheet!V_KEYWORD_ISSR_208017981_MA_PROB</vt:lpstr>
      <vt:lpstr>OCL.AX_Validation_Sheet!V_KEYWORD_ISSR_208017981_MARKETING_ADVERTISNIG</vt:lpstr>
      <vt:lpstr>OCL.AX_Validation_Sheet!V_KEYWORD_ISSR_208017981_MINORITIES</vt:lpstr>
      <vt:lpstr>OCL.AX_Validation_Sheet!V_KEYWORD_ISSR_208017981_MV_ASSOCIATES</vt:lpstr>
      <vt:lpstr>OCL.AX_Validation_Sheet!V_KEYWORD_ISSR_208017981_MV_CONVERTIBLE_NOTES</vt:lpstr>
      <vt:lpstr>OCL.AX_Validation_Sheet!V_KEYWORD_ISSR_208017981_MV_NET_OTHER_STAKEHOLDERS</vt:lpstr>
      <vt:lpstr>OCL.AX_Validation_Sheet!V_KEYWORD_ISSR_208017981_NCASSET_INVENTORIES</vt:lpstr>
      <vt:lpstr>OCL.AX_Validation_Sheet!V_KEYWORD_ISSR_208017981_NCASSET_INVESTMENT</vt:lpstr>
      <vt:lpstr>OCL.AX_Validation_Sheet!V_KEYWORD_ISSR_208017981_NCASSET_MISC</vt:lpstr>
      <vt:lpstr>OCL.AX_Validation_Sheet!V_KEYWORD_ISSR_208017981_NCASSET_RECEIVABLES</vt:lpstr>
      <vt:lpstr>OCL.AX_Validation_Sheet!V_KEYWORD_ISSR_208017981_NCASSET_TRADE_DEBTORS</vt:lpstr>
      <vt:lpstr>OCL.AX_Validation_Sheet!V_KEYWORD_ISSR_208017981_NCLIAB_MISC</vt:lpstr>
      <vt:lpstr>OCL.AX_Validation_Sheet!V_KEYWORD_ISSR_208017981_NCLIAB_OTHER_CREDITORS</vt:lpstr>
      <vt:lpstr>OCL.AX_Validation_Sheet!V_KEYWORD_ISSR_208017981_NCLIAB_PROVISIONS</vt:lpstr>
      <vt:lpstr>OCL.AX_Validation_Sheet!V_KEYWORD_ISSR_208017981_NCLIAB_TRADE_CREDITORS</vt:lpstr>
      <vt:lpstr>OCL.AX_Validation_Sheet!V_KEYWORD_ISSR_208017981_NET_ASSETS</vt:lpstr>
      <vt:lpstr>OCL.AX_Validation_Sheet!V_KEYWORD_ISSR_208017981_NET_DEBT</vt:lpstr>
      <vt:lpstr>OCL.AX_Validation_Sheet!V_KEYWORD_ISSR_208017981_NET_DEBT_ADJ</vt:lpstr>
      <vt:lpstr>OCL.AX_Validation_Sheet!V_KEYWORD_ISSR_208017981_NET_FIX_ASS</vt:lpstr>
      <vt:lpstr>OCL.AX_Validation_Sheet!V_KEYWORD_ISSR_208017981_NET_INT_CH</vt:lpstr>
      <vt:lpstr>OCL.AX_Validation_Sheet!V_KEYWORD_ISSR_208017981_NET_INT_EXP</vt:lpstr>
      <vt:lpstr>OCL.AX_Validation_Sheet!V_KEYWORD_ISSR_208017981_NET_INTANG</vt:lpstr>
      <vt:lpstr>OCL.AX_Validation_Sheet!V_KEYWORD_ISSR_208017981_NET_TANGIBLE_ASSETS</vt:lpstr>
      <vt:lpstr>OCL.AX_Validation_Sheet!V_KEYWORD_ISSR_208017981_NONPPE_CAPEX</vt:lpstr>
      <vt:lpstr>OCL.AX_Validation_Sheet!V_KEYWORD_ISSR_208017981_OP_COST</vt:lpstr>
      <vt:lpstr>OCL.AX_Validation_Sheet!V_KEYWORD_ISSR_208017981_OPPL_BTAX_EX_ASSOC</vt:lpstr>
      <vt:lpstr>OCL.AX_Validation_Sheet!V_KEYWORD_ISSR_208017981_OPPL_BTAX_POST_AB</vt:lpstr>
      <vt:lpstr>OCL.AX_Validation_Sheet!V_KEYWORD_ISSR_208017981_ORD_SH_FUND</vt:lpstr>
      <vt:lpstr>OCL.AX_Validation_Sheet!V_KEYWORD_ISSR_208017981_ORD_SHARE_CAPITAL</vt:lpstr>
      <vt:lpstr>OCL.AX_Validation_Sheet!V_KEYWORD_ISSR_208017981_OTH_COST_INC</vt:lpstr>
      <vt:lpstr>OCL.AX_Validation_Sheet!V_KEYWORD_ISSR_208017981_OTH_CUR_ASS</vt:lpstr>
      <vt:lpstr>OCL.AX_Validation_Sheet!V_KEYWORD_ISSR_208017981_OTH_CUR_LIABS</vt:lpstr>
      <vt:lpstr>OCL.AX_Validation_Sheet!V_KEYWORD_ISSR_208017981_OTH_DACF_ADJ</vt:lpstr>
      <vt:lpstr>OCL.AX_Validation_Sheet!V_KEYWORD_ISSR_208017981_OTH_FIN_CF</vt:lpstr>
      <vt:lpstr>OCL.AX_Validation_Sheet!V_KEYWORD_ISSR_208017981_OTH_GCI_ADJ</vt:lpstr>
      <vt:lpstr>OCL.AX_Validation_Sheet!V_KEYWORD_ISSR_208017981_OTH_INV_CF</vt:lpstr>
      <vt:lpstr>OCL.AX_Validation_Sheet!V_KEYWORD_ISSR_208017981_OTH_LT_ASS</vt:lpstr>
      <vt:lpstr>OCL.AX_Validation_Sheet!V_KEYWORD_ISSR_208017981_OTH_LT_CRED_GQ</vt:lpstr>
      <vt:lpstr>OCL.AX_Validation_Sheet!V_KEYWORD_ISSR_208017981_OTH_NONCASH_ADJ</vt:lpstr>
      <vt:lpstr>OCL.AX_Validation_Sheet!V_KEYWORD_ISSR_208017981_OTH_OP_CF</vt:lpstr>
      <vt:lpstr>OCL.AX_Validation_Sheet!V_KEYWORD_ISSR_208017981_OTH_OP_INC_EXP</vt:lpstr>
      <vt:lpstr>OCL.AX_Validation_Sheet!V_KEYWORD_ISSR_208017981_OTHER_ASSET_IMPAIR_CHG_PRE_TAX</vt:lpstr>
      <vt:lpstr>OCL.AX_Validation_Sheet!V_KEYWORD_ISSR_208017981_OTHER_CREDITORS</vt:lpstr>
      <vt:lpstr>OCL.AX_Validation_Sheet!V_KEYWORD_ISSR_208017981_OTHER_IFRS_ADJUST_PRE_TAX</vt:lpstr>
      <vt:lpstr>OCL.AX_Validation_Sheet!V_KEYWORD_ISSR_208017981_OTHER_INTANGIBLES_DEPREC</vt:lpstr>
      <vt:lpstr>OCL.AX_Validation_Sheet!V_KEYWORD_ISSR_208017981_OTHER_INTANGIBLES_NON_DEPREC</vt:lpstr>
      <vt:lpstr>OCL.AX_Validation_Sheet!V_KEYWORD_ISSR_208017981_OTHER_RECEIVABLES</vt:lpstr>
      <vt:lpstr>OCL.AX_Validation_Sheet!V_KEYWORD_ISSR_208017981_OTHER_REVENUE</vt:lpstr>
      <vt:lpstr>OCL.AX_Validation_Sheet!V_KEYWORD_ISSR_208017981_PERIOD_MILESTONE</vt:lpstr>
      <vt:lpstr>OCL.AX_Validation_Sheet!V_KEYWORD_ISSR_208017981_PERSONNEL</vt:lpstr>
      <vt:lpstr>OCL.AX_Validation_Sheet!V_KEYWORD_ISSR_208017981_PL_BTAX_ON_AB</vt:lpstr>
      <vt:lpstr>OCL.AX_Validation_Sheet!V_KEYWORD_ISSR_208017981_PL_SALE_ASSETS</vt:lpstr>
      <vt:lpstr>OCL.AX_Validation_Sheet!V_KEYWORD_ISSR_208017981_PLANT_EQUIP</vt:lpstr>
      <vt:lpstr>OCL.AX_Validation_Sheet!V_KEYWORD_ISSR_208017981_PREF_SH</vt:lpstr>
      <vt:lpstr>OCL.AX_Validation_Sheet!V_KEYWORD_ISSR_208017981_PROCEEDS_BORROWINGS</vt:lpstr>
      <vt:lpstr>OCL.AX_Validation_Sheet!V_KEYWORD_ISSR_208017981_PROCEEDS_NCASSET</vt:lpstr>
      <vt:lpstr>OCL.AX_Validation_Sheet!V_KEYWORD_ISSR_208017981_PROCEEDS_PURCH_OPER_BUS</vt:lpstr>
      <vt:lpstr>OCL.AX_Validation_Sheet!V_KEYWORD_ISSR_208017981_PROCEEDS_SALE_EQUITY_INV</vt:lpstr>
      <vt:lpstr>OCL.AX_Validation_Sheet!V_KEYWORD_ISSR_208017981_PROCEEDS_SALE_OPER_BUS</vt:lpstr>
      <vt:lpstr>OCL.AX_Validation_Sheet!V_KEYWORD_ISSR_208017981_PROFIT_DEFBEN_PLAN_POST_TAX</vt:lpstr>
      <vt:lpstr>OCL.AX_Validation_Sheet!V_KEYWORD_ISSR_208017981_PROFIT_DEFBEN_PLAN_PRE_TAX</vt:lpstr>
      <vt:lpstr>OCL.AX_Validation_Sheet!V_KEYWORD_ISSR_208017981_PROFIT_ON_DISP</vt:lpstr>
      <vt:lpstr>OCL.AX_Validation_Sheet!V_KEYWORD_ISSR_208017981_PROVISIONS</vt:lpstr>
      <vt:lpstr>OCL.AX_Validation_Sheet!V_KEYWORD_ISSR_208017981_PT_PROF</vt:lpstr>
      <vt:lpstr>OCL.AX_Validation_Sheet!V_KEYWORD_ISSR_208017981_PURCH_EQUITY_INVESTS</vt:lpstr>
      <vt:lpstr>OCL.AX_Validation_Sheet!V_KEYWORD_ISSR_208017981_R_AND_D_CAP</vt:lpstr>
      <vt:lpstr>OCL.AX_Validation_Sheet!V_KEYWORD_ISSR_208017981_RD_EXP</vt:lpstr>
      <vt:lpstr>OCL.AX_Validation_Sheet!V_KEYWORD_ISSR_208017981_REPAY_BORROWINGS</vt:lpstr>
      <vt:lpstr>OCL.AX_Validation_Sheet!V_KEYWORD_ISSR_208017981_RESERVES</vt:lpstr>
      <vt:lpstr>OCL.AX_Validation_Sheet!V_KEYWORD_ISSR_208017981_RETAIN_PROFIT_LOSS</vt:lpstr>
      <vt:lpstr>OCL.AX_Validation_Sheet!V_KEYWORD_ISSR_208017981_ROU_ASSET</vt:lpstr>
      <vt:lpstr>OCL.AX_Validation_Sheet!V_KEYWORD_ISSR_208017981_SALE_PROP_PLANT_EQUIP</vt:lpstr>
      <vt:lpstr>OCL.AX_Validation_Sheet!V_KEYWORD_ISSR_208017981_SALES</vt:lpstr>
      <vt:lpstr>OCL.AX_Validation_Sheet!V_KEYWORD_ISSR_208017981_SALES_ARGENTINA</vt:lpstr>
      <vt:lpstr>OCL.AX_Validation_Sheet!V_KEYWORD_ISSR_208017981_SALES_AUSTRA</vt:lpstr>
      <vt:lpstr>OCL.AX_Validation_Sheet!V_KEYWORD_ISSR_208017981_SALES_AUSTRIA</vt:lpstr>
      <vt:lpstr>OCL.AX_Validation_Sheet!V_KEYWORD_ISSR_208017981_SALES_BEL</vt:lpstr>
      <vt:lpstr>OCL.AX_Validation_Sheet!V_KEYWORD_ISSR_208017981_SALES_BRAZIL</vt:lpstr>
      <vt:lpstr>OCL.AX_Validation_Sheet!V_KEYWORD_ISSR_208017981_SALES_CANADA</vt:lpstr>
      <vt:lpstr>OCL.AX_Validation_Sheet!V_KEYWORD_ISSR_208017981_SALES_CEE</vt:lpstr>
      <vt:lpstr>OCL.AX_Validation_Sheet!V_KEYWORD_ISSR_208017981_SALES_CHILE</vt:lpstr>
      <vt:lpstr>OCL.AX_Validation_Sheet!V_KEYWORD_ISSR_208017981_SALES_CHINA</vt:lpstr>
      <vt:lpstr>OCL.AX_Validation_Sheet!V_KEYWORD_ISSR_208017981_SALES_COLOMBIA</vt:lpstr>
      <vt:lpstr>OCL.AX_Validation_Sheet!V_KEYWORD_ISSR_208017981_SALES_CONS</vt:lpstr>
      <vt:lpstr>OCL.AX_Validation_Sheet!V_KEYWORD_ISSR_208017981_SALES_EU_EX_UK</vt:lpstr>
      <vt:lpstr>OCL.AX_Validation_Sheet!V_KEYWORD_ISSR_208017981_SALES_FINAN</vt:lpstr>
      <vt:lpstr>OCL.AX_Validation_Sheet!V_KEYWORD_ISSR_208017981_SALES_FRA</vt:lpstr>
      <vt:lpstr>OCL.AX_Validation_Sheet!V_KEYWORD_ISSR_208017981_SALES_FX</vt:lpstr>
      <vt:lpstr>OCL.AX_Validation_Sheet!V_KEYWORD_ISSR_208017981_SALES_FX_AUD</vt:lpstr>
      <vt:lpstr>OCL.AX_Validation_Sheet!V_KEYWORD_ISSR_208017981_SALES_FX_BRL</vt:lpstr>
      <vt:lpstr>OCL.AX_Validation_Sheet!V_KEYWORD_ISSR_208017981_SALES_FX_CNY</vt:lpstr>
      <vt:lpstr>OCL.AX_Validation_Sheet!V_KEYWORD_ISSR_208017981_SALES_FX_EUR</vt:lpstr>
      <vt:lpstr>OCL.AX_Validation_Sheet!V_KEYWORD_ISSR_208017981_SALES_FX_GPB</vt:lpstr>
      <vt:lpstr>OCL.AX_Validation_Sheet!V_KEYWORD_ISSR_208017981_SALES_FX_INR</vt:lpstr>
      <vt:lpstr>OCL.AX_Validation_Sheet!V_KEYWORD_ISSR_208017981_SALES_FX_NZD</vt:lpstr>
      <vt:lpstr>OCL.AX_Validation_Sheet!V_KEYWORD_ISSR_208017981_SALES_FX_OTH</vt:lpstr>
      <vt:lpstr>OCL.AX_Validation_Sheet!V_KEYWORD_ISSR_208017981_SALES_FX_RUB</vt:lpstr>
      <vt:lpstr>OCL.AX_Validation_Sheet!V_KEYWORD_ISSR_208017981_SALES_FX_USD</vt:lpstr>
      <vt:lpstr>OCL.AX_Validation_Sheet!V_KEYWORD_ISSR_208017981_SALES_FX_YEN</vt:lpstr>
      <vt:lpstr>OCL.AX_Validation_Sheet!V_KEYWORD_ISSR_208017981_SALES_GER</vt:lpstr>
      <vt:lpstr>OCL.AX_Validation_Sheet!V_KEYWORD_ISSR_208017981_SALES_GOV</vt:lpstr>
      <vt:lpstr>OCL.AX_Validation_Sheet!V_KEYWORD_ISSR_208017981_SALES_GRE</vt:lpstr>
      <vt:lpstr>OCL.AX_Validation_Sheet!V_KEYWORD_ISSR_208017981_SALES_HONG_KONG</vt:lpstr>
      <vt:lpstr>OCL.AX_Validation_Sheet!V_KEYWORD_ISSR_208017981_SALES_IND</vt:lpstr>
      <vt:lpstr>OCL.AX_Validation_Sheet!V_KEYWORD_ISSR_208017981_SALES_INDIA</vt:lpstr>
      <vt:lpstr>OCL.AX_Validation_Sheet!V_KEYWORD_ISSR_208017981_SALES_INDONESIA</vt:lpstr>
      <vt:lpstr>OCL.AX_Validation_Sheet!V_KEYWORD_ISSR_208017981_SALES_INORGANIC</vt:lpstr>
      <vt:lpstr>OCL.AX_Validation_Sheet!V_KEYWORD_ISSR_208017981_SALES_IRE</vt:lpstr>
      <vt:lpstr>OCL.AX_Validation_Sheet!V_KEYWORD_ISSR_208017981_SALES_ITA</vt:lpstr>
      <vt:lpstr>OCL.AX_Validation_Sheet!V_KEYWORD_ISSR_208017981_SALES_JAPAN</vt:lpstr>
      <vt:lpstr>OCL.AX_Validation_Sheet!V_KEYWORD_ISSR_208017981_SALES_ME</vt:lpstr>
      <vt:lpstr>OCL.AX_Validation_Sheet!V_KEYWORD_ISSR_208017981_SALES_MEXICO</vt:lpstr>
      <vt:lpstr>OCL.AX_Validation_Sheet!V_KEYWORD_ISSR_208017981_SALES_NETH</vt:lpstr>
      <vt:lpstr>OCL.AX_Validation_Sheet!V_KEYWORD_ISSR_208017981_SALES_NIGERIA</vt:lpstr>
      <vt:lpstr>OCL.AX_Validation_Sheet!V_KEYWORD_ISSR_208017981_SALES_NOR</vt:lpstr>
      <vt:lpstr>OCL.AX_Validation_Sheet!V_KEYWORD_ISSR_208017981_SALES_NZ</vt:lpstr>
      <vt:lpstr>OCL.AX_Validation_Sheet!V_KEYWORD_ISSR_208017981_SALES_OIL_GAS</vt:lpstr>
      <vt:lpstr>OCL.AX_Validation_Sheet!V_KEYWORD_ISSR_208017981_SALES_OTH_AEJ</vt:lpstr>
      <vt:lpstr>OCL.AX_Validation_Sheet!V_KEYWORD_ISSR_208017981_SALES_OTH_AFRICA</vt:lpstr>
      <vt:lpstr>OCL.AX_Validation_Sheet!V_KEYWORD_ISSR_208017981_SALES_OTH_AM</vt:lpstr>
      <vt:lpstr>OCL.AX_Validation_Sheet!V_KEYWORD_ISSR_208017981_SALES_OTH_CEE</vt:lpstr>
      <vt:lpstr>OCL.AX_Validation_Sheet!V_KEYWORD_ISSR_208017981_SALES_OTH_DEV_ASIA</vt:lpstr>
      <vt:lpstr>OCL.AX_Validation_Sheet!V_KEYWORD_ISSR_208017981_SALES_OTH_EMEA</vt:lpstr>
      <vt:lpstr>OCL.AX_Validation_Sheet!V_KEYWORD_ISSR_208017981_SALES_OTH_EMERG_ASIA</vt:lpstr>
      <vt:lpstr>OCL.AX_Validation_Sheet!V_KEYWORD_ISSR_208017981_SALES_OTH_LATAM</vt:lpstr>
      <vt:lpstr>OCL.AX_Validation_Sheet!V_KEYWORD_ISSR_208017981_SALES_OTH_ME</vt:lpstr>
      <vt:lpstr>OCL.AX_Validation_Sheet!V_KEYWORD_ISSR_208017981_SALES_OTH_NO_AMER</vt:lpstr>
      <vt:lpstr>OCL.AX_Validation_Sheet!V_KEYWORD_ISSR_208017981_SALES_OTH_WEST_EURO</vt:lpstr>
      <vt:lpstr>OCL.AX_Validation_Sheet!V_KEYWORD_ISSR_208017981_SALES_OTHER</vt:lpstr>
      <vt:lpstr>OCL.AX_Validation_Sheet!V_KEYWORD_ISSR_208017981_SALES_POLAND</vt:lpstr>
      <vt:lpstr>OCL.AX_Validation_Sheet!V_KEYWORD_ISSR_208017981_SALES_POR</vt:lpstr>
      <vt:lpstr>OCL.AX_Validation_Sheet!V_KEYWORD_ISSR_208017981_SALES_PRICE</vt:lpstr>
      <vt:lpstr>OCL.AX_Validation_Sheet!V_KEYWORD_ISSR_208017981_SALES_RUSSIA</vt:lpstr>
      <vt:lpstr>OCL.AX_Validation_Sheet!V_KEYWORD_ISSR_208017981_SALES_SAUDI_ARABIA</vt:lpstr>
      <vt:lpstr>OCL.AX_Validation_Sheet!V_KEYWORD_ISSR_208017981_SALES_SINGAPORE</vt:lpstr>
      <vt:lpstr>OCL.AX_Validation_Sheet!V_KEYWORD_ISSR_208017981_SALES_SK</vt:lpstr>
      <vt:lpstr>OCL.AX_Validation_Sheet!V_KEYWORD_ISSR_208017981_SALES_SO_AFRICA</vt:lpstr>
      <vt:lpstr>OCL.AX_Validation_Sheet!V_KEYWORD_ISSR_208017981_SALES_SPA</vt:lpstr>
      <vt:lpstr>OCL.AX_Validation_Sheet!V_KEYWORD_ISSR_208017981_SALES_SWE</vt:lpstr>
      <vt:lpstr>OCL.AX_Validation_Sheet!V_KEYWORD_ISSR_208017981_SALES_SWIT</vt:lpstr>
      <vt:lpstr>OCL.AX_Validation_Sheet!V_KEYWORD_ISSR_208017981_SALES_TAIWAN</vt:lpstr>
      <vt:lpstr>OCL.AX_Validation_Sheet!V_KEYWORD_ISSR_208017981_SALES_THAILAND</vt:lpstr>
      <vt:lpstr>OCL.AX_Validation_Sheet!V_KEYWORD_ISSR_208017981_SALES_TOT_AFRICA</vt:lpstr>
      <vt:lpstr>OCL.AX_Validation_Sheet!V_KEYWORD_ISSR_208017981_SALES_TOT_AM</vt:lpstr>
      <vt:lpstr>OCL.AX_Validation_Sheet!V_KEYWORD_ISSR_208017981_SALES_TOT_ASIA</vt:lpstr>
      <vt:lpstr>OCL.AX_Validation_Sheet!V_KEYWORD_ISSR_208017981_SALES_TOT_EMEA</vt:lpstr>
      <vt:lpstr>OCL.AX_Validation_Sheet!V_KEYWORD_ISSR_208017981_SALES_TURKEY</vt:lpstr>
      <vt:lpstr>OCL.AX_Validation_Sheet!V_KEYWORD_ISSR_208017981_SALES_UAE</vt:lpstr>
      <vt:lpstr>OCL.AX_Validation_Sheet!V_KEYWORD_ISSR_208017981_SALES_UK</vt:lpstr>
      <vt:lpstr>OCL.AX_Validation_Sheet!V_KEYWORD_ISSR_208017981_SALES_US</vt:lpstr>
      <vt:lpstr>OCL.AX_Validation_Sheet!V_KEYWORD_ISSR_208017981_SALES_VENEZUELA</vt:lpstr>
      <vt:lpstr>OCL.AX_Validation_Sheet!V_KEYWORD_ISSR_208017981_SALES_VOLUME</vt:lpstr>
      <vt:lpstr>OCL.AX_Validation_Sheet!V_KEYWORD_ISSR_208017981_SEL_GL_AD</vt:lpstr>
      <vt:lpstr>OCL.AX_Validation_Sheet!V_KEYWORD_ISSR_208017981_SEL_GL_AD_OTHER</vt:lpstr>
      <vt:lpstr>OCL.AX_Validation_Sheet!V_KEYWORD_ISSR_208017981_SGA_PCT_ROW</vt:lpstr>
      <vt:lpstr>OCL.AX_Validation_Sheet!V_KEYWORD_ISSR_208017981_SGA_PCT_US</vt:lpstr>
      <vt:lpstr>OCL.AX_Validation_Sheet!V_KEYWORD_ISSR_208017981_SH_REPUR</vt:lpstr>
      <vt:lpstr>OCL.AX_Validation_Sheet!V_KEYWORD_ISSR_208017981_SHARE_BASED_PAYMENTS</vt:lpstr>
      <vt:lpstr>OCL.AX_Validation_Sheet!V_KEYWORD_ISSR_208017981_SHORT_T_DEBT</vt:lpstr>
      <vt:lpstr>OCL.AX_Validation_Sheet!V_KEYWORD_ISSR_208017981_SHORT_TERM_LIABS</vt:lpstr>
      <vt:lpstr>OCL.AX_Validation_Sheet!V_KEYWORD_ISSR_208017981_ST_LEASE_LIAB</vt:lpstr>
      <vt:lpstr>OCL.AX_Validation_Sheet!V_KEYWORD_ISSR_208017981_STOCKS</vt:lpstr>
      <vt:lpstr>OCL.AX_Validation_Sheet!V_KEYWORD_ISSR_208017981_SUPPLIER_EMPLOYEE_PAYS</vt:lpstr>
      <vt:lpstr>OCL.AX_Validation_Sheet!V_KEYWORD_ISSR_208017981_TOT_ASSET</vt:lpstr>
      <vt:lpstr>OCL.AX_Validation_Sheet!V_KEYWORD_ISSR_208017981_TOT_CF</vt:lpstr>
      <vt:lpstr>OCL.AX_Validation_Sheet!V_KEYWORD_ISSR_208017981_TOT_LIAB</vt:lpstr>
      <vt:lpstr>OCL.AX_Validation_Sheet!V_KEYWORD_ISSR_208017981_TOT_LIAB_EQ</vt:lpstr>
      <vt:lpstr>OCL.AX_Validation_Sheet!V_KEYWORD_ISSR_208017981_TOT_LT_LIAB</vt:lpstr>
      <vt:lpstr>OCL.AX_Validation_Sheet!V_KEYWORD_ISSR_208017981_TOT_OPS_EXP</vt:lpstr>
      <vt:lpstr>OCL.AX_Validation_Sheet!V_KEYWORD_ISSR_208017981_TOT_OPS_EXP_DDA</vt:lpstr>
      <vt:lpstr>OCL.AX_Validation_Sheet!V_KEYWORD_ISSR_208017981_TOT_PCT_USD_DEBT_HEDGED</vt:lpstr>
      <vt:lpstr>OCL.AX_Validation_Sheet!V_KEYWORD_ISSR_208017981_TOT_USD_DEBT</vt:lpstr>
      <vt:lpstr>OCL.AX_Validation_Sheet!V_KEYWORD_ISSR_208017981_TOTAL_CAPITAL_EMPLOYED_ADJ</vt:lpstr>
      <vt:lpstr>OCL.AX_Validation_Sheet!V_KEYWORD_ISSR_208017981_TOTAL_DEPREC_AMORT</vt:lpstr>
      <vt:lpstr>OCL.AX_Validation_Sheet!V_KEYWORD_ISSR_208017981_TOTAL_IFRS_ADJUST_PRE_TAX</vt:lpstr>
      <vt:lpstr>OCL.AX_Validation_Sheet!V_KEYWORD_ISSR_208017981_TOTAL_NONCURR_ASSETS</vt:lpstr>
      <vt:lpstr>OCL.AX_Validation_Sheet!V_KEYWORD_ISSR_208017981_TOTAL_OPR_REVENUE</vt:lpstr>
      <vt:lpstr>OCL.AX_Validation_Sheet!V_KEYWORD_ISSR_208017981_TV_LICENCES_MASTERHEADS</vt:lpstr>
      <vt:lpstr>OCL.AX_Validation_Sheet!V_KEYWORD_ISSR_208017981_UNF_PENS</vt:lpstr>
      <vt:lpstr>OCL.AX_Validation_Sheet!V_KEYWORD_ISSR_208017981_UNF_PENS_LIAB_OTH</vt:lpstr>
      <vt:lpstr>OCL.AX_Validation_Sheet!V_KEYWORD_ISSR_208017981_UNF_PENS_OFF</vt:lpstr>
      <vt:lpstr>OCL.AX_Validation_Sheet!V_KEYWORD_ISSR_208017981_WORK_CAP</vt:lpstr>
      <vt:lpstr>OCL.AX_Validation_Sheet!V_LIVEDATA_EQTY_200019506</vt:lpstr>
      <vt:lpstr>OCL.AX_Validation_Sheet!V_LIVEDATA_ISSR_208017981</vt:lpstr>
      <vt:lpstr>OCL.AX_Validation_Sheet!V_PERIOD_2014</vt:lpstr>
      <vt:lpstr>OCL.AX_Validation_Sheet!V_PERIOD_2015</vt:lpstr>
      <vt:lpstr>OCL.AX_Validation_Sheet!V_PERIOD_2015_H1</vt:lpstr>
      <vt:lpstr>OCL.AX_Validation_Sheet!V_PERIOD_2015_H2</vt:lpstr>
      <vt:lpstr>OCL.AX_Validation_Sheet!V_PERIOD_2016</vt:lpstr>
      <vt:lpstr>OCL.AX_Validation_Sheet!V_PERIOD_2016_H1</vt:lpstr>
      <vt:lpstr>OCL.AX_Validation_Sheet!V_PERIOD_2016_H2</vt:lpstr>
      <vt:lpstr>OCL.AX_Validation_Sheet!V_PERIOD_2017</vt:lpstr>
      <vt:lpstr>OCL.AX_Validation_Sheet!V_PERIOD_2017_H1</vt:lpstr>
      <vt:lpstr>OCL.AX_Validation_Sheet!V_PERIOD_2017_H2</vt:lpstr>
      <vt:lpstr>OCL.AX_Validation_Sheet!V_PERIOD_2018</vt:lpstr>
      <vt:lpstr>OCL.AX_Validation_Sheet!V_PERIOD_2018_H1</vt:lpstr>
      <vt:lpstr>OCL.AX_Validation_Sheet!V_PERIOD_2018_H2</vt:lpstr>
      <vt:lpstr>OCL.AX_Validation_Sheet!V_PERIOD_2019</vt:lpstr>
      <vt:lpstr>OCL.AX_Validation_Sheet!V_PERIOD_2019_H1</vt:lpstr>
      <vt:lpstr>OCL.AX_Validation_Sheet!V_PERIOD_2019_H2</vt:lpstr>
      <vt:lpstr>OCL.AX_Validation_Sheet!V_PERIOD_2020</vt:lpstr>
      <vt:lpstr>OCL.AX_Validation_Sheet!V_PERIOD_2020_H1</vt:lpstr>
      <vt:lpstr>OCL.AX_Validation_Sheet!V_PERIOD_2020_H2</vt:lpstr>
      <vt:lpstr>OCL.AX_Validation_Sheet!V_PERIOD_2021</vt:lpstr>
      <vt:lpstr>OCL.AX_Validation_Sheet!V_PERIOD_2021_H1</vt:lpstr>
      <vt:lpstr>OCL.AX_Validation_Sheet!V_PERIOD_2021_H2</vt:lpstr>
      <vt:lpstr>OCL.AX_Validation_Sheet!V_PERIOD_2022</vt:lpstr>
      <vt:lpstr>OCL.AX_Validation_Sheet!V_PERIOD_2022_H1</vt:lpstr>
      <vt:lpstr>OCL.AX_Validation_Sheet!V_PERIOD_2022_H2</vt:lpstr>
      <vt:lpstr>OCL.AX_Validation_Sheet!V_PERIOD_2023</vt:lpstr>
      <vt:lpstr>OCL.AX_Validation_Sheet!V_PERIOD_2023_H1</vt:lpstr>
      <vt:lpstr>OCL.AX_Validation_Sheet!V_PERIOD_2023_H2</vt:lpstr>
      <vt:lpstr>OCL.AX_Validation_Sheet!V_PERIOD_2024</vt:lpstr>
      <vt:lpstr>OCL.AX_Validation_Sheet!V_PERIOD_2024_H1</vt:lpstr>
      <vt:lpstr>OCL.AX_Validation_Sheet!V_PERIOD_2024_H2</vt:lpstr>
      <vt:lpstr>OCL.AX_Validation_Sheet!V_PERIOD_2025</vt:lpstr>
      <vt:lpstr>OCL.AX_Validation_Sheet!V_PERIOD_2025_H1</vt:lpstr>
      <vt:lpstr>OCL.AX_Validation_Sheet!V_PERIOD_2025_H2</vt:lpstr>
      <vt:lpstr>OCL.AX_Validation_Sheet!V_PERIOD_2026</vt:lpstr>
      <vt:lpstr>OCL.AX_Validation_Sheet!V_PERIOD_2027</vt:lpstr>
      <vt:lpstr>OCL.AX_Validation_Sheet!V_SECTION_EQTY_200019506_1314</vt:lpstr>
      <vt:lpstr>OCL.AX_Validation_Sheet!V_SECTION_EQTY_200019506_1316A</vt:lpstr>
      <vt:lpstr>OCL.AX_Validation_Sheet!V_SECTION_EQTY_200019506_1316B</vt:lpstr>
      <vt:lpstr>OCL.AX_Validation_Sheet!V_SECTION_EQTY_200019506_1316C</vt:lpstr>
      <vt:lpstr>OCL.AX_Validation_Sheet!V_SECTION_EQTY_200019506_1316D</vt:lpstr>
      <vt:lpstr>OCL.AX_Validation_Sheet!V_SECTION_EQTY_200019506_1316E</vt:lpstr>
      <vt:lpstr>OCL.AX_Validation_Sheet!V_SECTION_EQTY_200019506_131E</vt:lpstr>
      <vt:lpstr>OCL.AX_Validation_Sheet!V_SECTION_EQTY_200019506_131J</vt:lpstr>
      <vt:lpstr>OCL.AX_Validation_Sheet!V_SECTION_EQTY_200019506_131O</vt:lpstr>
      <vt:lpstr>OCL.AX_Validation_Sheet!V_SECTION_EQTY_200019506_13A</vt:lpstr>
      <vt:lpstr>OCL.AX_Validation_Sheet!V_SECTION_EQTY_200019506_13K</vt:lpstr>
      <vt:lpstr>OCL.AX_Validation_Sheet!V_SECTION_EQTY_200019506_13U</vt:lpstr>
      <vt:lpstr>OCL.AX_Validation_Sheet!V_SECTION_EQTY_200019506_13V</vt:lpstr>
      <vt:lpstr>OCL.AX_Validation_Sheet!V_SECTION_EQTY_200019506_Reference_Data</vt:lpstr>
      <vt:lpstr>OCL.AX_Validation_Sheet!V_SECTION_ISSR_208017981_1314</vt:lpstr>
      <vt:lpstr>OCL.AX_Validation_Sheet!V_SECTION_ISSR_208017981_13168</vt:lpstr>
      <vt:lpstr>OCL.AX_Validation_Sheet!V_SECTION_ISSR_208017981_1316B</vt:lpstr>
      <vt:lpstr>OCL.AX_Validation_Sheet!V_SECTION_ISSR_208017981_1316C</vt:lpstr>
      <vt:lpstr>OCL.AX_Validation_Sheet!V_SECTION_ISSR_208017981_1316D</vt:lpstr>
      <vt:lpstr>OCL.AX_Validation_Sheet!V_SECTION_ISSR_208017981_1316E</vt:lpstr>
      <vt:lpstr>OCL.AX_Validation_Sheet!V_SECTION_ISSR_208017981_1316T</vt:lpstr>
      <vt:lpstr>OCL.AX_Validation_Sheet!V_SECTION_ISSR_208017981_1316U</vt:lpstr>
      <vt:lpstr>OCL.AX_Validation_Sheet!V_SECTION_ISSR_208017981_1319</vt:lpstr>
      <vt:lpstr>OCL.AX_Validation_Sheet!V_SECTION_ISSR_208017981_131E</vt:lpstr>
      <vt:lpstr>OCL.AX_Validation_Sheet!V_SECTION_ISSR_208017981_131J</vt:lpstr>
      <vt:lpstr>OCL.AX_Validation_Sheet!V_SECTION_ISSR_208017981_131O</vt:lpstr>
      <vt:lpstr>OCL.AX_Validation_Sheet!V_SECTION_ISSR_208017981_136E</vt:lpstr>
      <vt:lpstr>OCL.AX_Validation_Sheet!V_SECTION_ISSR_208017981_136J</vt:lpstr>
      <vt:lpstr>OCL.AX_Validation_Sheet!V_SECTION_ISSR_208017981_13A</vt:lpstr>
      <vt:lpstr>OCL.AX_Validation_Sheet!V_SECTION_ISSR_208017981_13U</vt:lpstr>
      <vt:lpstr>OCL.AX_Validation_Sheet!V_SECTION_ISSR_208017981_13V</vt:lpstr>
      <vt:lpstr>OCL.AX_Validation_Sheet!V_SECTION_ISSR_208017981_Reference_Data</vt:lpstr>
      <vt:lpstr>OCL.AX_Validation_Sheet!V_TEMPLATEHASH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SI: The Contrarian</dc:title>
  <dc:creator>Thai, Jacqueline [GIR]</dc:creator>
  <cp:lastModifiedBy>Bailey, Elise K [GIR]</cp:lastModifiedBy>
  <cp:lastPrinted>2024-08-22T04:48:20Z</cp:lastPrinted>
  <dcterms:created xsi:type="dcterms:W3CDTF">1996-12-30T00:08:36Z</dcterms:created>
  <dcterms:modified xsi:type="dcterms:W3CDTF">2024-08-23T06:34:12Z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49ec76dc-be9a-4dea-98ff-11be7d0eac6a</vt:lpwstr>
  </property>
  <property fmtid="{D5CDD505-2E9C-101B-9397-08002B2CF9AE}" pid="3" name="Classification">
    <vt:lpwstr>I</vt:lpwstr>
  </property>
  <property fmtid="{D5CDD505-2E9C-101B-9397-08002B2CF9AE}" pid="4" name="=fdsSearchOrder">
    <vt:i4>0</vt:i4>
  </property>
</Properties>
</file>