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cd5168fc8d63cfa0/Documents/Mixue/"/>
    </mc:Choice>
  </mc:AlternateContent>
  <xr:revisionPtr revIDLastSave="25" documentId="13_ncr:1_{F378C7D6-E9F7-479D-909B-74F5AC15CF6D}" xr6:coauthVersionLast="47" xr6:coauthVersionMax="47" xr10:uidLastSave="{855B87E4-5FCC-4A52-8BF0-8382CA9B776E}"/>
  <bookViews>
    <workbookView xWindow="-23148" yWindow="-108" windowWidth="23256" windowHeight="12456" activeTab="3" xr2:uid="{A5155273-4AB4-498E-B124-6B099413EA40}"/>
  </bookViews>
  <sheets>
    <sheet name="VA-Disclaimer" sheetId="40" r:id="rId1"/>
    <sheet name="DCF" sheetId="31" r:id="rId2"/>
    <sheet name="FS" sheetId="22" r:id="rId3"/>
    <sheet name="Assumption" sheetId="26" r:id="rId4"/>
  </sheets>
  <definedNames>
    <definedName name="_Model_Path">"Z:\CONSUMER_STAPLES\Mixuebingcheng\model\Mixue Group final-2025 Oct.xlsx"</definedName>
    <definedName name="add_factors" localSheetId="1">DCF!$D$118:$H$118</definedName>
    <definedName name="AddToExplicitPeriods" localSheetId="1">DCF!$H$133</definedName>
    <definedName name="Calculate" localSheetId="1">DCF!$D$130</definedName>
    <definedName name="changes_in_e">#REF!</definedName>
    <definedName name="chk_1">#REF!</definedName>
    <definedName name="CoE" localSheetId="1">DCF!$H$119</definedName>
    <definedName name="Company_IMPLICATION">#REF!</definedName>
    <definedName name="cu102.ShareScalingFactor" hidden="1">1000000</definedName>
    <definedName name="cu103.EmployeeScalingFactor" hidden="1">1000</definedName>
    <definedName name="cu107.DPSSymbol">"Rmb"</definedName>
    <definedName name="cu107.EPSSymbol" hidden="1">"Rmb"</definedName>
    <definedName name="cu71.ScalingFactor" hidden="1">1000000</definedName>
    <definedName name="CUSTransactionID" hidden="1">1128945073.97</definedName>
    <definedName name="Dashboard" localSheetId="1">DCF!#REF!</definedName>
    <definedName name="DB" localSheetId="1">"WIREUK"</definedName>
    <definedName name="DB">"WIREJPPROD"</definedName>
    <definedName name="dcf_mixue">DCF!$B$37:$O$58</definedName>
    <definedName name="DCFTitle" localSheetId="1">DCF!$B$3</definedName>
    <definedName name="Discount_rates" localSheetId="1">DCF!$B$38</definedName>
    <definedName name="end_date">#REF!</definedName>
    <definedName name="End_of_period_assumptions" localSheetId="1">DCF!$D$139</definedName>
    <definedName name="End_of_period_diluted_shares" localSheetId="1">DCF!$C$50</definedName>
    <definedName name="EntireDCF" localSheetId="1">DCF!$B$6:$AD$56</definedName>
    <definedName name="ExplicitPeriodChk" localSheetId="1">DCF!$D$133</definedName>
    <definedName name="F.2014.12">#REF!</definedName>
    <definedName name="F.2015.12">#REF!</definedName>
    <definedName name="F.2016.12">#REF!</definedName>
    <definedName name="F.2017.12">#REF!</definedName>
    <definedName name="F.2018.12">#REF!</definedName>
    <definedName name="F.2019.12">#REF!</definedName>
    <definedName name="F.2020.12">#REF!</definedName>
    <definedName name="F.2021.12">#REF!</definedName>
    <definedName name="F.2022.12">#REF!</definedName>
    <definedName name="F.2023.12">#REF!</definedName>
    <definedName name="FadeToTerminalPeriod" localSheetId="1">DCF!$H$137</definedName>
    <definedName name="FCFF" localSheetId="1">DCF!$B$33</definedName>
    <definedName name="financial_forecast">#REF!</definedName>
    <definedName name="financials">#REF!</definedName>
    <definedName name="forecastchanges">#REF!</definedName>
    <definedName name="FY5Period" localSheetId="1">DCF!$R$6</definedName>
    <definedName name="I1.2014.06">#REF!</definedName>
    <definedName name="I1.2015.06">#REF!</definedName>
    <definedName name="I1.2016.06">#REF!</definedName>
    <definedName name="I1.2017.06">#REF!</definedName>
    <definedName name="I1.2018.06">#REF!</definedName>
    <definedName name="I1.2019.06">#REF!</definedName>
    <definedName name="I1.2020.06">#REF!</definedName>
    <definedName name="I1.2021.06">#REF!</definedName>
    <definedName name="I1.2022.06">#REF!</definedName>
    <definedName name="I1.2023.06">#REF!</definedName>
    <definedName name="I2.2014.12">#REF!</definedName>
    <definedName name="I2.2015.12">#REF!</definedName>
    <definedName name="I2.2016.12">#REF!</definedName>
    <definedName name="I2.2017.12">#REF!</definedName>
    <definedName name="I2.2018.12">#REF!</definedName>
    <definedName name="I2.2019.12">#REF!</definedName>
    <definedName name="I2.2020.12">#REF!</definedName>
    <definedName name="I2.2021.12">#REF!</definedName>
    <definedName name="I2.2022.12">#REF!</definedName>
    <definedName name="I2.2023.12">#REF!</definedName>
    <definedName name="Inputs___Assumptions" localSheetId="1">DCF!$B$105</definedName>
    <definedName name="Japan_stock_MSCI">#REF!</definedName>
    <definedName name="Key_items" localSheetId="1">DCF!$B$150</definedName>
    <definedName name="KeyitemsFY5" localSheetId="1">DCF!$R$149</definedName>
    <definedName name="Last_row" localSheetId="1">DCF!$B$269</definedName>
    <definedName name="Lastforecast" localSheetId="1">DCF!$AC$6</definedName>
    <definedName name="MarkersFCF" localSheetId="1">DCF!$AL$11:$AL$33</definedName>
    <definedName name="MarkersKeyItems" localSheetId="1">DCF!$AL$5:$AL$104</definedName>
    <definedName name="mixue_changes">#REF!</definedName>
    <definedName name="mixue_dcf">DCF!$B$36:$O$58</definedName>
    <definedName name="modelForecasts" localSheetId="1">DCF!$B$148</definedName>
    <definedName name="ModelParameters" localSheetId="1">DCF!$C$106</definedName>
    <definedName name="Net_acquisitions" localSheetId="1">DCF!$C$28</definedName>
    <definedName name="newvsold">#REF!</definedName>
    <definedName name="NPVYr5" localSheetId="1">DCF!$R$39</definedName>
    <definedName name="OneYr_Fwd_Value" localSheetId="1">DCF!$H$56</definedName>
    <definedName name="Operating_model" localSheetId="1">DCF!$B$9</definedName>
    <definedName name="OptionalGrowthPeriod" localSheetId="1">DCF!$H$135</definedName>
    <definedName name="OptPeriodChk" localSheetId="1">DCF!$D$135</definedName>
    <definedName name="Other_non_EBIT_PL_items" localSheetId="1">DCF!$C$31</definedName>
    <definedName name="Output___Implied_valuations" localSheetId="1">DCF!$B$105</definedName>
    <definedName name="PenCap_Sales" localSheetId="1">DCF!$AC$25</definedName>
    <definedName name="PenCapDepr" localSheetId="1">DCF!$AC$23</definedName>
    <definedName name="PenCWC" localSheetId="1">DCF!$AC$26</definedName>
    <definedName name="PenEBITDAMargin" localSheetId="1">DCF!$AC$13</definedName>
    <definedName name="PenGR" localSheetId="1">DCF!$AC$11</definedName>
    <definedName name="PenOtherItems" localSheetId="1">DCF!$AC$31</definedName>
    <definedName name="PenOtherItemsGR" localSheetId="1">DCF!$AC$32</definedName>
    <definedName name="PenRevenue" localSheetId="1">DCF!$AC$10</definedName>
    <definedName name="PenTaxRate" localSheetId="1">DCF!$AC$17</definedName>
    <definedName name="PenWC" localSheetId="1">DCF!$AC$27</definedName>
    <definedName name="_xlnm.Print_Area" localSheetId="1">DCF!$A$105:$R$145</definedName>
    <definedName name="PT" localSheetId="1">DCF!$H$57</definedName>
    <definedName name="rngDetails">#REF!</definedName>
    <definedName name="rngJV">#REF!</definedName>
    <definedName name="rngStage2">#REF!</definedName>
    <definedName name="St1CapexCAGR" localSheetId="1">DCF!$AH$24</definedName>
    <definedName name="St1DACAGR" localSheetId="1">DCF!$AH$21</definedName>
    <definedName name="St1EBITCAGR" localSheetId="1">DCF!$AH$14</definedName>
    <definedName name="St1EBITDACAGR" localSheetId="1">DCF!$AH$12</definedName>
    <definedName name="St1FCFCAGR" localSheetId="1">DCF!$AH$33</definedName>
    <definedName name="St1NOPATCAGR" localSheetId="1">DCF!$AH$18</definedName>
    <definedName name="St1RevCAGR" localSheetId="1">DCF!$AH$10</definedName>
    <definedName name="St1RICAGR" localSheetId="1">DCF!$AH$29</definedName>
    <definedName name="St1TaxCAGR" localSheetId="1">DCF!$AH$16</definedName>
    <definedName name="St1WCCAGR" localSheetId="1">DCF!$AH$26</definedName>
    <definedName name="St2Cap_Sales" localSheetId="1">DCF!$G$144</definedName>
    <definedName name="St2CapDepr" localSheetId="1">DCF!$G$143</definedName>
    <definedName name="St2CapexCAGR" localSheetId="1">DCF!$AI$24</definedName>
    <definedName name="St2DACAGR" localSheetId="1">DCF!$AI$21</definedName>
    <definedName name="St2EBITCAGR" localSheetId="1">DCF!$AI$14</definedName>
    <definedName name="St2EBITDACAGR" localSheetId="1">DCF!$AI$12</definedName>
    <definedName name="St2EBITDAMargin" localSheetId="1">DCF!$G$141</definedName>
    <definedName name="St2FCFCAGR" localSheetId="1">DCF!$AI$33</definedName>
    <definedName name="St2GR" localSheetId="1">DCF!$G$140</definedName>
    <definedName name="St2NOPATCAGR" localSheetId="1">DCF!$AI$18</definedName>
    <definedName name="St2OtherItems" localSheetId="1">DCF!$G$146</definedName>
    <definedName name="St2RevCAGR" localSheetId="1">DCF!$AI$10</definedName>
    <definedName name="St2RICAGR" localSheetId="1">DCF!$AI$29</definedName>
    <definedName name="St2TaxCAGR" localSheetId="1">DCF!$AI$16</definedName>
    <definedName name="St2TaxRate" localSheetId="1">DCF!$G$142</definedName>
    <definedName name="St2WC" localSheetId="1">DCF!$G$145</definedName>
    <definedName name="St2WCCAGR" localSheetId="1">DCF!$AI$26</definedName>
    <definedName name="St3CapexCAGR" localSheetId="1">DCF!$AJ$24</definedName>
    <definedName name="St3DACAGR" localSheetId="1">DCF!$AJ$21</definedName>
    <definedName name="St3EBITCAGR" localSheetId="1">DCF!$AJ$14</definedName>
    <definedName name="St3EBITDACAGR" localSheetId="1">DCF!$AJ$12</definedName>
    <definedName name="St3FCFCAGR" localSheetId="1">DCF!$AJ$33</definedName>
    <definedName name="St3NOPATCAGR" localSheetId="1">DCF!$AJ$18</definedName>
    <definedName name="St3RevCAGR" localSheetId="1">DCF!$AJ$10</definedName>
    <definedName name="St3RICAGR" localSheetId="1">DCF!$AJ$29</definedName>
    <definedName name="St3TaxCAGR" localSheetId="1">DCF!$AJ$16</definedName>
    <definedName name="St3WCCAGR" localSheetId="1">DCF!$AJ$26</definedName>
    <definedName name="Stage_2__Optional" localSheetId="1">DCF!$G$139:$G$146</definedName>
    <definedName name="Stage2CAGRCells" localSheetId="1">DCF!$AI$8:$AI$33</definedName>
    <definedName name="Stage3CAGRCells" localSheetId="1">DCF!$AJ$8:$AJ$33</definedName>
    <definedName name="StageOnePeriod" localSheetId="1">DCF!$AH$8</definedName>
    <definedName name="StageThreePeriod" localSheetId="1">DCF!$AJ$8</definedName>
    <definedName name="StageTwoPeriod" localSheetId="1">DCF!$AI$8</definedName>
    <definedName name="SuspendRefUpd" hidden="1">FALSE</definedName>
    <definedName name="Template.WIRE">"DBACCESS"</definedName>
    <definedName name="Template.WIRE.DBAccess.CalcMode">"Async"</definedName>
    <definedName name="Terminal_Period" localSheetId="1">DCF!$AD$37</definedName>
    <definedName name="Terminal_period_assumptions" localSheetId="1">DCF!$H$139:$H$145</definedName>
    <definedName name="Terminal_Value" localSheetId="1">DCF!$AD$35</definedName>
    <definedName name="TRNR_0263040a17a24a7e8cea2a8bd4a1a9e3_5220_1" hidden="1">#REF!</definedName>
    <definedName name="TRNR_6089822753eb49bea1e96714b34a719c_1877_2" hidden="1">#REF!</definedName>
    <definedName name="TRNR_81b458cbbb084773aae92e1e21e03b5d_1567_10" hidden="1">#REF!</definedName>
    <definedName name="TRNR_d5e4c81ba4464368882e9c8fab7c5247_1567_11" hidden="1">#REF!</definedName>
    <definedName name="TRNR_f2c463e0cc484610b1a6dd690df1c59b_1567_10" hidden="1">#REF!</definedName>
    <definedName name="TRNR_fb334c59a1e84bdfac4bc4346fff920a_1567_12" hidden="1">#REF!</definedName>
    <definedName name="Version.WIRE">1</definedName>
    <definedName name="Visible_periods" localSheetId="1">DCF!$G$115:$G$125</definedName>
    <definedName name="WACC" localSheetId="1">DCF!$H$125</definedName>
    <definedName name="wacc">DCF!$C$106:$H$125</definedName>
    <definedName name="WACC_estimate" localSheetId="1">DCF!$C$114</definedName>
    <definedName name="Year0" localSheetId="1">DCF!$M$6</definedName>
    <definedName name="Yr0Rev" localSheetId="1">DCF!$M$10</definedName>
    <definedName name="Yr5DF" localSheetId="1">DCF!$R$38</definedName>
    <definedName name="Z_B4A17294_0468_4DA1_8A39_EA73C21B27ED_.wvu.Cols" localSheetId="1" hidden="1">DCF!$AM:$XFD</definedName>
    <definedName name="Z_B4A17294_0468_4DA1_8A39_EA73C21B27ED_.wvu.Rows" localSheetId="1" hidden="1">DCF!$269:$1048576,DCF!$1:$12,DCF!$18:$19,DCF!$24:$26,DCF!$53:$82,DCF!$166:$184,DCF!#REF!,DCF!$244:$245</definedName>
    <definedName name="Z_CABCC7FE_C3D1_46AD_96A6_73A7DB9C405E_.wvu.Cols" localSheetId="1" hidden="1">DCF!$AM:$XFD</definedName>
    <definedName name="Z_CABCC7FE_C3D1_46AD_96A6_73A7DB9C405E_.wvu.Rows" localSheetId="1" hidden="1">DCF!$269:$1048576,DCF!$1:$12,DCF!$18:$19,DCF!$24:$26,DCF!$53:$82,DCF!$166:$184,DCF!#REF!,DCF!$244:$245</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8" i="26" l="1"/>
  <c r="R78" i="26" s="1"/>
  <c r="R75" i="26" s="1"/>
  <c r="Q75" i="26" s="1"/>
  <c r="P114" i="26" l="1"/>
  <c r="P113" i="26" s="1"/>
  <c r="P24" i="26" s="1"/>
  <c r="P22" i="26" s="1"/>
  <c r="P109" i="26" s="1"/>
  <c r="O27" i="26"/>
  <c r="O22" i="26"/>
  <c r="P10" i="26" l="1"/>
  <c r="R86" i="26"/>
  <c r="R92" i="26" s="1"/>
  <c r="R22" i="26" s="1"/>
  <c r="P135" i="22"/>
  <c r="O135" i="22"/>
  <c r="P141" i="22"/>
  <c r="O141" i="22"/>
  <c r="H112" i="31"/>
  <c r="M180" i="26"/>
  <c r="T68" i="26"/>
  <c r="Q137" i="26"/>
  <c r="Q76" i="26"/>
  <c r="R76" i="26" s="1"/>
  <c r="R66" i="26"/>
  <c r="K54" i="26"/>
  <c r="K43" i="26" s="1"/>
  <c r="P138" i="26"/>
  <c r="R138" i="26" s="1"/>
  <c r="P81" i="26"/>
  <c r="W20" i="22" l="1"/>
  <c r="W153" i="22"/>
  <c r="W155" i="22"/>
  <c r="W185" i="22"/>
  <c r="W186" i="22"/>
  <c r="W189" i="22"/>
  <c r="W190" i="22"/>
  <c r="W193" i="26"/>
  <c r="W21" i="22" s="1"/>
  <c r="W208" i="26"/>
  <c r="W159" i="22" s="1"/>
  <c r="W355" i="26"/>
  <c r="W377" i="26"/>
  <c r="W199" i="22" s="1"/>
  <c r="L68" i="26"/>
  <c r="R137" i="26"/>
  <c r="L130" i="26"/>
  <c r="L131" i="26" s="1"/>
  <c r="M129" i="26"/>
  <c r="M125" i="26"/>
  <c r="M123" i="26"/>
  <c r="M119" i="26"/>
  <c r="Q36" i="26"/>
  <c r="M93" i="26"/>
  <c r="P93" i="26"/>
  <c r="L138" i="26"/>
  <c r="M138" i="26"/>
  <c r="L144" i="26"/>
  <c r="P101" i="26"/>
  <c r="P97" i="26"/>
  <c r="P98" i="26"/>
  <c r="P99" i="26"/>
  <c r="P96" i="26"/>
  <c r="W152" i="22" l="1"/>
  <c r="L145" i="26"/>
  <c r="N76" i="26" l="1"/>
  <c r="N75" i="26"/>
  <c r="M77" i="26"/>
  <c r="N87" i="26"/>
  <c r="N93" i="26" s="1"/>
  <c r="M86" i="26"/>
  <c r="N85" i="26"/>
  <c r="N84" i="26"/>
  <c r="N83" i="26"/>
  <c r="N82" i="26"/>
  <c r="N86" i="26" l="1"/>
  <c r="N88" i="26" s="1"/>
  <c r="M88" i="26"/>
  <c r="N16" i="26"/>
  <c r="N14" i="26"/>
  <c r="N138" i="26" s="1"/>
  <c r="N12" i="26"/>
  <c r="P17" i="26"/>
  <c r="P15" i="26"/>
  <c r="P13" i="26"/>
  <c r="M10" i="26"/>
  <c r="P114" i="22"/>
  <c r="P133" i="22"/>
  <c r="P132" i="22"/>
  <c r="P137" i="22" s="1"/>
  <c r="P127" i="22"/>
  <c r="P126" i="22"/>
  <c r="P125" i="22"/>
  <c r="P124" i="22"/>
  <c r="P122" i="22"/>
  <c r="P120" i="22"/>
  <c r="P107" i="22"/>
  <c r="P100" i="22"/>
  <c r="P81" i="22"/>
  <c r="P9" i="22"/>
  <c r="N30" i="22"/>
  <c r="N29" i="22"/>
  <c r="N26" i="22"/>
  <c r="N22" i="22"/>
  <c r="N21" i="22"/>
  <c r="N20" i="22"/>
  <c r="N16" i="22"/>
  <c r="N13" i="22"/>
  <c r="N180" i="26" s="1"/>
  <c r="N10" i="22"/>
  <c r="N8" i="22"/>
  <c r="M379" i="26"/>
  <c r="N60" i="22"/>
  <c r="N61" i="22"/>
  <c r="N62" i="22"/>
  <c r="N65" i="22"/>
  <c r="P379" i="26"/>
  <c r="M65" i="22"/>
  <c r="M62" i="22"/>
  <c r="M61" i="22"/>
  <c r="M60" i="22"/>
  <c r="M44" i="22"/>
  <c r="M18" i="22"/>
  <c r="M47" i="22" s="1"/>
  <c r="M15" i="22"/>
  <c r="M14" i="22"/>
  <c r="M11" i="22"/>
  <c r="L10" i="26"/>
  <c r="L18" i="26" s="1"/>
  <c r="L13" i="26"/>
  <c r="L15" i="26"/>
  <c r="L34" i="26"/>
  <c r="L41" i="26"/>
  <c r="L49" i="26" s="1"/>
  <c r="L44" i="26"/>
  <c r="L46" i="26"/>
  <c r="L48" i="26"/>
  <c r="L54" i="26"/>
  <c r="L64" i="26" s="1"/>
  <c r="L55" i="26"/>
  <c r="L65" i="26" s="1"/>
  <c r="L56" i="26"/>
  <c r="L66" i="26" s="1"/>
  <c r="M56" i="26" s="1"/>
  <c r="M47" i="26" s="1"/>
  <c r="L86" i="26"/>
  <c r="L88" i="26" s="1"/>
  <c r="L93" i="26"/>
  <c r="L96" i="26"/>
  <c r="L97" i="26"/>
  <c r="L98" i="26"/>
  <c r="L99" i="26"/>
  <c r="L101" i="26"/>
  <c r="L169" i="26"/>
  <c r="L170" i="26"/>
  <c r="L171" i="26"/>
  <c r="L172" i="26"/>
  <c r="L173" i="26"/>
  <c r="L174" i="26"/>
  <c r="L175" i="26"/>
  <c r="L180" i="26"/>
  <c r="L181" i="26"/>
  <c r="L182" i="26"/>
  <c r="L192" i="26"/>
  <c r="L193" i="26"/>
  <c r="L197" i="26"/>
  <c r="L199" i="26"/>
  <c r="L212" i="26"/>
  <c r="L213" i="26" s="1"/>
  <c r="L221" i="26"/>
  <c r="L227" i="26"/>
  <c r="L233" i="26"/>
  <c r="L239" i="26"/>
  <c r="L245" i="26"/>
  <c r="L252" i="26"/>
  <c r="L253" i="26"/>
  <c r="L263" i="26"/>
  <c r="L275" i="26"/>
  <c r="L277" i="26"/>
  <c r="L283" i="26"/>
  <c r="L285" i="26"/>
  <c r="L292" i="26"/>
  <c r="L297" i="26"/>
  <c r="L298" i="26"/>
  <c r="L299" i="26"/>
  <c r="L307" i="26"/>
  <c r="L308" i="26"/>
  <c r="L309" i="26"/>
  <c r="L325" i="26"/>
  <c r="L326" i="26"/>
  <c r="L328" i="26"/>
  <c r="L331" i="26"/>
  <c r="L335" i="26"/>
  <c r="L336" i="26"/>
  <c r="L337" i="26"/>
  <c r="L345" i="26"/>
  <c r="L346" i="26"/>
  <c r="L354" i="26"/>
  <c r="L355" i="26"/>
  <c r="L363" i="26"/>
  <c r="L365" i="26" s="1"/>
  <c r="L368" i="26"/>
  <c r="L377" i="26"/>
  <c r="L379" i="26"/>
  <c r="L385" i="26"/>
  <c r="L387" i="26"/>
  <c r="L389" i="26"/>
  <c r="P197" i="26"/>
  <c r="P199" i="26"/>
  <c r="P192" i="26"/>
  <c r="P193" i="26"/>
  <c r="P182" i="26"/>
  <c r="P181" i="26"/>
  <c r="P180" i="26"/>
  <c r="P56" i="26"/>
  <c r="P77" i="26"/>
  <c r="P86" i="26"/>
  <c r="AG8" i="22"/>
  <c r="N91" i="26" l="1"/>
  <c r="N140" i="26" s="1"/>
  <c r="P47" i="26"/>
  <c r="Q77" i="26"/>
  <c r="R77" i="26" s="1"/>
  <c r="N14" i="22"/>
  <c r="N181" i="26" s="1"/>
  <c r="M181" i="26"/>
  <c r="M46" i="22"/>
  <c r="M182" i="26"/>
  <c r="M18" i="26"/>
  <c r="M185" i="26" s="1"/>
  <c r="M53" i="26"/>
  <c r="M23" i="22"/>
  <c r="M58" i="22" s="1"/>
  <c r="M57" i="26"/>
  <c r="M67" i="26"/>
  <c r="L33" i="26"/>
  <c r="L31" i="26"/>
  <c r="M30" i="26"/>
  <c r="N92" i="26"/>
  <c r="P100" i="26"/>
  <c r="N27" i="26"/>
  <c r="P198" i="26"/>
  <c r="L264" i="26"/>
  <c r="L53" i="26"/>
  <c r="L57" i="26" s="1"/>
  <c r="P128" i="22"/>
  <c r="M59" i="22"/>
  <c r="L350" i="26"/>
  <c r="L228" i="26"/>
  <c r="L205" i="26"/>
  <c r="L210" i="26" s="1"/>
  <c r="L234" i="26"/>
  <c r="L312" i="26"/>
  <c r="L313" i="26"/>
  <c r="L186" i="26"/>
  <c r="L187" i="26"/>
  <c r="L311" i="26"/>
  <c r="L301" i="26"/>
  <c r="L240" i="26"/>
  <c r="L356" i="26"/>
  <c r="N44" i="22"/>
  <c r="P108" i="22"/>
  <c r="P115" i="22" s="1"/>
  <c r="P136" i="22"/>
  <c r="M48" i="22"/>
  <c r="M27" i="22"/>
  <c r="N15" i="22"/>
  <c r="L388" i="26"/>
  <c r="M42" i="22"/>
  <c r="L251" i="26"/>
  <c r="L258" i="26" s="1"/>
  <c r="M45" i="22"/>
  <c r="N59" i="22"/>
  <c r="M17" i="22"/>
  <c r="L246" i="26"/>
  <c r="M64" i="22"/>
  <c r="L306" i="26"/>
  <c r="L344" i="26"/>
  <c r="L222" i="26"/>
  <c r="L296" i="26"/>
  <c r="L185" i="26"/>
  <c r="L302" i="26"/>
  <c r="AF42" i="22"/>
  <c r="P82" i="22"/>
  <c r="P90" i="22" s="1"/>
  <c r="P91" i="22" s="1"/>
  <c r="P10" i="22"/>
  <c r="N136" i="26" l="1"/>
  <c r="N107" i="26"/>
  <c r="M187" i="26"/>
  <c r="N46" i="22"/>
  <c r="N182" i="26"/>
  <c r="M186" i="26"/>
  <c r="N45" i="22"/>
  <c r="L63" i="26"/>
  <c r="L67" i="26"/>
  <c r="L59" i="26"/>
  <c r="M63" i="22"/>
  <c r="M50" i="22" s="1"/>
  <c r="P11" i="22"/>
  <c r="P119" i="22"/>
  <c r="P121" i="22"/>
  <c r="P116" i="22"/>
  <c r="P134" i="22"/>
  <c r="M66" i="22"/>
  <c r="M49" i="22"/>
  <c r="M52" i="22"/>
  <c r="M31" i="22"/>
  <c r="P57" i="26"/>
  <c r="P12" i="22"/>
  <c r="L267" i="26"/>
  <c r="L266" i="26" s="1"/>
  <c r="L256" i="26"/>
  <c r="L257" i="26" s="1"/>
  <c r="L255" i="26"/>
  <c r="L348" i="26"/>
  <c r="L349" i="26" s="1"/>
  <c r="AG11" i="22"/>
  <c r="R160" i="22"/>
  <c r="L69" i="26" l="1"/>
  <c r="L70" i="26" s="1"/>
  <c r="M376" i="26"/>
  <c r="M53" i="22"/>
  <c r="M68" i="22"/>
  <c r="M54" i="22" s="1"/>
  <c r="M67" i="22"/>
  <c r="M51" i="22" s="1"/>
  <c r="O387" i="26"/>
  <c r="O363" i="26"/>
  <c r="O365" i="26" s="1"/>
  <c r="O337" i="26"/>
  <c r="O336" i="26"/>
  <c r="O335" i="26"/>
  <c r="O326" i="26"/>
  <c r="O325" i="26"/>
  <c r="O309" i="26"/>
  <c r="O308" i="26"/>
  <c r="O307" i="26"/>
  <c r="O299" i="26"/>
  <c r="O298" i="26"/>
  <c r="O297" i="26"/>
  <c r="O193" i="26"/>
  <c r="O192" i="26"/>
  <c r="O197" i="22"/>
  <c r="O195" i="22"/>
  <c r="O187" i="22"/>
  <c r="O179" i="22"/>
  <c r="O176" i="22"/>
  <c r="M55" i="22" l="1"/>
  <c r="O306" i="26"/>
  <c r="O56" i="26" l="1"/>
  <c r="O54" i="26"/>
  <c r="O138" i="26"/>
  <c r="O180" i="26"/>
  <c r="O181" i="26"/>
  <c r="O182" i="26"/>
  <c r="Q87" i="26"/>
  <c r="Q93" i="26" l="1"/>
  <c r="R87" i="26"/>
  <c r="S87" i="26" s="1"/>
  <c r="O43" i="26"/>
  <c r="O47" i="26"/>
  <c r="N47" i="26" s="1"/>
  <c r="N56" i="26"/>
  <c r="N66" i="26" s="1"/>
  <c r="Q66" i="26" s="1"/>
  <c r="T87" i="26" l="1"/>
  <c r="M153" i="31"/>
  <c r="L153" i="31"/>
  <c r="M170" i="31"/>
  <c r="L170" i="31"/>
  <c r="K132" i="22"/>
  <c r="L172" i="31" s="1"/>
  <c r="L180" i="31"/>
  <c r="L177" i="31"/>
  <c r="M176" i="31"/>
  <c r="L176" i="31"/>
  <c r="M174" i="31"/>
  <c r="L174" i="31"/>
  <c r="M173" i="31"/>
  <c r="L173" i="31"/>
  <c r="M164" i="31"/>
  <c r="L164" i="31"/>
  <c r="U87" i="26" l="1"/>
  <c r="V87" i="26" s="1"/>
  <c r="W87" i="26" s="1"/>
  <c r="O95" i="26"/>
  <c r="O379" i="26" l="1"/>
  <c r="P375" i="26" s="1"/>
  <c r="O197" i="26" l="1"/>
  <c r="O199" i="26"/>
  <c r="P196" i="26" s="1"/>
  <c r="O389" i="26" l="1"/>
  <c r="O331" i="26"/>
  <c r="O152" i="22" l="1"/>
  <c r="O292" i="26"/>
  <c r="O285" i="26"/>
  <c r="O385" i="26"/>
  <c r="O388" i="26" s="1"/>
  <c r="O278" i="26"/>
  <c r="O346" i="26"/>
  <c r="O345" i="26"/>
  <c r="O328" i="26"/>
  <c r="O344" i="26" l="1"/>
  <c r="O348" i="26" l="1"/>
  <c r="O349" i="26" s="1"/>
  <c r="V20" i="22"/>
  <c r="V153" i="22"/>
  <c r="V155" i="22"/>
  <c r="V185" i="22"/>
  <c r="V186" i="22"/>
  <c r="V189" i="22"/>
  <c r="V190" i="22"/>
  <c r="V193" i="26"/>
  <c r="V21" i="22" s="1"/>
  <c r="V208" i="26"/>
  <c r="V159" i="22" s="1"/>
  <c r="V152" i="22" l="1"/>
  <c r="O75" i="22" l="1"/>
  <c r="O101" i="22"/>
  <c r="O263" i="26" l="1"/>
  <c r="O253" i="26"/>
  <c r="O252" i="26"/>
  <c r="O245" i="26"/>
  <c r="O239" i="26"/>
  <c r="O233" i="26"/>
  <c r="O227" i="26"/>
  <c r="O221" i="26"/>
  <c r="O368" i="26"/>
  <c r="R198" i="22"/>
  <c r="O96" i="26"/>
  <c r="O97" i="26"/>
  <c r="O98" i="26"/>
  <c r="O99" i="26"/>
  <c r="O77" i="26"/>
  <c r="N77" i="26" s="1"/>
  <c r="O86" i="26"/>
  <c r="O354" i="26"/>
  <c r="O89" i="22"/>
  <c r="M177" i="31" s="1"/>
  <c r="P92" i="26" l="1"/>
  <c r="P80" i="26"/>
  <c r="O251" i="26"/>
  <c r="O90" i="22"/>
  <c r="O256" i="26"/>
  <c r="O257" i="26" s="1"/>
  <c r="S86" i="26" l="1"/>
  <c r="T86" i="26" s="1"/>
  <c r="U86" i="26" s="1"/>
  <c r="V86" i="26" s="1"/>
  <c r="W86" i="26" s="1"/>
  <c r="R94" i="26"/>
  <c r="I132" i="22" l="1"/>
  <c r="G132" i="22"/>
  <c r="Q20" i="22" l="1"/>
  <c r="Q21" i="22"/>
  <c r="Q22" i="22"/>
  <c r="P60" i="22"/>
  <c r="Q60" i="22"/>
  <c r="P61" i="22"/>
  <c r="Q61" i="22"/>
  <c r="P62" i="22"/>
  <c r="Q62" i="22"/>
  <c r="P65" i="22"/>
  <c r="Q65" i="22"/>
  <c r="Q86" i="26"/>
  <c r="P88" i="26"/>
  <c r="Q88" i="26" l="1"/>
  <c r="Q92" i="26"/>
  <c r="Q59" i="22"/>
  <c r="P59" i="22"/>
  <c r="P144" i="31" l="1"/>
  <c r="O144" i="31" s="1"/>
  <c r="P143" i="31"/>
  <c r="O143" i="31" s="1"/>
  <c r="P142" i="31"/>
  <c r="O142" i="31" s="1"/>
  <c r="P141" i="31"/>
  <c r="O141" i="31" s="1"/>
  <c r="P140" i="31"/>
  <c r="O140" i="31" s="1"/>
  <c r="T304" i="26"/>
  <c r="U304" i="26" s="1"/>
  <c r="V304" i="26" s="1"/>
  <c r="W304" i="26" s="1"/>
  <c r="U68" i="26"/>
  <c r="V68" i="26" s="1"/>
  <c r="W68" i="26" s="1"/>
  <c r="S94" i="26" l="1"/>
  <c r="K36" i="26"/>
  <c r="AA32" i="22"/>
  <c r="I351" i="26"/>
  <c r="G351" i="26"/>
  <c r="Y86" i="26" l="1"/>
  <c r="R95" i="26" l="1"/>
  <c r="L197" i="22"/>
  <c r="J68" i="26"/>
  <c r="K68" i="26"/>
  <c r="K148" i="22"/>
  <c r="V92" i="26" l="1"/>
  <c r="V100" i="26"/>
  <c r="J93" i="26"/>
  <c r="J34" i="26"/>
  <c r="J33" i="26" s="1"/>
  <c r="K197" i="22"/>
  <c r="J197" i="22"/>
  <c r="I197" i="22"/>
  <c r="I202" i="22" s="1"/>
  <c r="H197" i="22"/>
  <c r="H202" i="22" s="1"/>
  <c r="G197" i="22"/>
  <c r="G202" i="22" s="1"/>
  <c r="K346" i="26"/>
  <c r="K345" i="26"/>
  <c r="L195" i="22"/>
  <c r="L187" i="22"/>
  <c r="W92" i="26" l="1"/>
  <c r="W100" i="26"/>
  <c r="M180" i="31"/>
  <c r="S95" i="26"/>
  <c r="J31" i="26"/>
  <c r="L202" i="22"/>
  <c r="K344" i="26"/>
  <c r="L340" i="26" s="1"/>
  <c r="L343" i="26" s="1"/>
  <c r="P34" i="22" l="1"/>
  <c r="R111" i="22"/>
  <c r="N180" i="31" s="1"/>
  <c r="Y87" i="26"/>
  <c r="L11" i="22"/>
  <c r="L9" i="22"/>
  <c r="L38" i="22"/>
  <c r="L65" i="22"/>
  <c r="L62" i="22"/>
  <c r="L61" i="22"/>
  <c r="L19" i="22"/>
  <c r="L18" i="22" s="1"/>
  <c r="L188" i="22"/>
  <c r="L179" i="22"/>
  <c r="L152" i="22"/>
  <c r="L148" i="22"/>
  <c r="L132" i="22"/>
  <c r="L137" i="22" s="1"/>
  <c r="L122" i="22"/>
  <c r="L121" i="22"/>
  <c r="L120" i="22"/>
  <c r="L119" i="22"/>
  <c r="L114" i="22"/>
  <c r="L107" i="22"/>
  <c r="L100" i="22"/>
  <c r="L90" i="22"/>
  <c r="L81" i="22"/>
  <c r="L46" i="22"/>
  <c r="L45" i="22"/>
  <c r="L44" i="22"/>
  <c r="L34" i="22"/>
  <c r="L35" i="22" s="1"/>
  <c r="L25" i="22"/>
  <c r="V93" i="26" l="1"/>
  <c r="P35" i="22"/>
  <c r="P130" i="22"/>
  <c r="Q111" i="22"/>
  <c r="Q34" i="22" s="1"/>
  <c r="Q35" i="22" s="1"/>
  <c r="R34" i="22"/>
  <c r="V88" i="26"/>
  <c r="V101" i="26"/>
  <c r="L42" i="22"/>
  <c r="L126" i="22"/>
  <c r="L108" i="22"/>
  <c r="L115" i="22" s="1"/>
  <c r="L39" i="22"/>
  <c r="L91" i="22"/>
  <c r="L60" i="22"/>
  <c r="L59" i="22" s="1"/>
  <c r="L136" i="22"/>
  <c r="L47" i="22"/>
  <c r="L64" i="22"/>
  <c r="L23" i="22"/>
  <c r="L130" i="22"/>
  <c r="W93" i="26" l="1"/>
  <c r="W101" i="26"/>
  <c r="W88" i="26"/>
  <c r="L124" i="22"/>
  <c r="L116" i="22"/>
  <c r="L133" i="22"/>
  <c r="L134" i="22" s="1"/>
  <c r="L125" i="22"/>
  <c r="L58" i="22"/>
  <c r="L63" i="22" s="1"/>
  <c r="L50" i="22" s="1"/>
  <c r="L17" i="22"/>
  <c r="L48" i="22"/>
  <c r="L27" i="22"/>
  <c r="L386" i="26" s="1"/>
  <c r="L127" i="22"/>
  <c r="W102" i="26" l="1"/>
  <c r="L128" i="22"/>
  <c r="L52" i="22"/>
  <c r="L31" i="22"/>
  <c r="L146" i="22"/>
  <c r="L165" i="22" s="1"/>
  <c r="L175" i="22" s="1"/>
  <c r="L178" i="22" s="1"/>
  <c r="L203" i="22" s="1"/>
  <c r="L66" i="22"/>
  <c r="L68" i="22" s="1"/>
  <c r="L49" i="22"/>
  <c r="L36" i="22" l="1"/>
  <c r="L37" i="22"/>
  <c r="L376" i="26"/>
  <c r="L54" i="22"/>
  <c r="L67" i="22"/>
  <c r="L51" i="22" s="1"/>
  <c r="L53" i="22"/>
  <c r="L140" i="22"/>
  <c r="L141" i="22"/>
  <c r="L139" i="22"/>
  <c r="L55" i="22" l="1"/>
  <c r="M46" i="31" l="1"/>
  <c r="M50" i="31"/>
  <c r="B49" i="31"/>
  <c r="I81" i="26" l="1"/>
  <c r="K308" i="26"/>
  <c r="U315" i="26"/>
  <c r="V315" i="26" s="1"/>
  <c r="W315" i="26" s="1"/>
  <c r="H70" i="26"/>
  <c r="S116" i="26"/>
  <c r="T116" i="26" s="1"/>
  <c r="U116" i="26" s="1"/>
  <c r="V116" i="26" s="1"/>
  <c r="J138" i="26"/>
  <c r="I138" i="26"/>
  <c r="H138" i="26"/>
  <c r="G138" i="26"/>
  <c r="J144" i="26"/>
  <c r="K138" i="26"/>
  <c r="I68" i="26"/>
  <c r="G68" i="26"/>
  <c r="H144" i="26"/>
  <c r="K377" i="26"/>
  <c r="R103" i="22"/>
  <c r="S103" i="22" s="1"/>
  <c r="T103" i="22" s="1"/>
  <c r="U103" i="22" s="1"/>
  <c r="V103" i="22" s="1"/>
  <c r="W103" i="22" s="1"/>
  <c r="K90" i="22"/>
  <c r="R88" i="22"/>
  <c r="S88" i="22" s="1"/>
  <c r="T88" i="22" s="1"/>
  <c r="U88" i="22" s="1"/>
  <c r="V88" i="22" s="1"/>
  <c r="W88" i="22" s="1"/>
  <c r="K385" i="26"/>
  <c r="K389" i="26"/>
  <c r="L384" i="26" s="1"/>
  <c r="K387" i="26"/>
  <c r="K379" i="26"/>
  <c r="K368" i="26"/>
  <c r="K363" i="26"/>
  <c r="K365" i="26" s="1"/>
  <c r="K355" i="26"/>
  <c r="K354" i="26"/>
  <c r="I346" i="26"/>
  <c r="I345" i="26"/>
  <c r="K337" i="26"/>
  <c r="L334" i="26" s="1"/>
  <c r="K336" i="26"/>
  <c r="K335" i="26"/>
  <c r="K331" i="26"/>
  <c r="K328" i="26"/>
  <c r="L324" i="26" s="1"/>
  <c r="L327" i="26" s="1"/>
  <c r="L329" i="26" s="1"/>
  <c r="K326" i="26"/>
  <c r="K325" i="26"/>
  <c r="K309" i="26"/>
  <c r="K307" i="26"/>
  <c r="K299" i="26"/>
  <c r="K298" i="26"/>
  <c r="K297" i="26"/>
  <c r="K291" i="26"/>
  <c r="K290" i="26"/>
  <c r="K292" i="26"/>
  <c r="L288" i="26" s="1"/>
  <c r="K276" i="26"/>
  <c r="K277" i="26"/>
  <c r="K285" i="26"/>
  <c r="L281" i="26" s="1"/>
  <c r="K283" i="26"/>
  <c r="K278" i="26"/>
  <c r="L273" i="26" s="1"/>
  <c r="K275" i="26"/>
  <c r="K263" i="26"/>
  <c r="L261" i="26" s="1"/>
  <c r="L262" i="26" s="1"/>
  <c r="K253" i="26"/>
  <c r="K252" i="26"/>
  <c r="K245" i="26"/>
  <c r="L243" i="26" s="1"/>
  <c r="L244" i="26" s="1"/>
  <c r="K239" i="26"/>
  <c r="L237" i="26" s="1"/>
  <c r="L238" i="26" s="1"/>
  <c r="K233" i="26"/>
  <c r="L231" i="26" s="1"/>
  <c r="L232" i="26" s="1"/>
  <c r="K227" i="26"/>
  <c r="L225" i="26" s="1"/>
  <c r="L226" i="26" s="1"/>
  <c r="K221" i="26"/>
  <c r="L219" i="26" s="1"/>
  <c r="L220" i="26" s="1"/>
  <c r="K199" i="26"/>
  <c r="L196" i="26" s="1"/>
  <c r="L200" i="26" s="1"/>
  <c r="K197" i="26"/>
  <c r="K193" i="26"/>
  <c r="K192" i="26"/>
  <c r="K182" i="26"/>
  <c r="K181" i="26"/>
  <c r="K180" i="26"/>
  <c r="K175" i="26"/>
  <c r="K174" i="26"/>
  <c r="K173" i="26"/>
  <c r="K172" i="26"/>
  <c r="K171" i="26"/>
  <c r="K170" i="26"/>
  <c r="K169" i="26"/>
  <c r="I144" i="26"/>
  <c r="G144" i="26"/>
  <c r="K144" i="26"/>
  <c r="V114" i="26" l="1"/>
  <c r="W116" i="26"/>
  <c r="W114" i="26" s="1"/>
  <c r="L375" i="26"/>
  <c r="L378" i="26" s="1"/>
  <c r="M375" i="26"/>
  <c r="M378" i="26" s="1"/>
  <c r="L293" i="26"/>
  <c r="L316" i="26"/>
  <c r="L315" i="26"/>
  <c r="L278" i="26"/>
  <c r="L304" i="26"/>
  <c r="L305" i="26"/>
  <c r="L317" i="26"/>
  <c r="J145" i="26"/>
  <c r="K145" i="26"/>
  <c r="K251" i="26"/>
  <c r="L249" i="26" s="1"/>
  <c r="L250" i="26" s="1"/>
  <c r="I344" i="26"/>
  <c r="K340" i="26" s="1"/>
  <c r="K306" i="26"/>
  <c r="K198" i="26"/>
  <c r="K388" i="26"/>
  <c r="R388" i="26" s="1"/>
  <c r="K296" i="26"/>
  <c r="K356" i="26"/>
  <c r="L357" i="26" l="1"/>
  <c r="L369" i="26"/>
  <c r="O357" i="26"/>
  <c r="O369" i="26"/>
  <c r="K364" i="26"/>
  <c r="K351" i="26"/>
  <c r="K348" i="26"/>
  <c r="K349" i="26" s="1"/>
  <c r="K256" i="26"/>
  <c r="K257" i="26" s="1"/>
  <c r="K267" i="26"/>
  <c r="K343" i="26"/>
  <c r="K133" i="22" l="1"/>
  <c r="K134" i="22" s="1"/>
  <c r="L182" i="31"/>
  <c r="K101" i="26"/>
  <c r="K99" i="26"/>
  <c r="K98" i="26"/>
  <c r="K97" i="26"/>
  <c r="K96" i="26"/>
  <c r="K86" i="26"/>
  <c r="M92" i="26" s="1"/>
  <c r="K56" i="26"/>
  <c r="K66" i="26" s="1"/>
  <c r="I41" i="26"/>
  <c r="G34" i="26"/>
  <c r="G33" i="26" s="1"/>
  <c r="I10" i="26"/>
  <c r="K195" i="22"/>
  <c r="J195" i="22"/>
  <c r="J202" i="22" s="1"/>
  <c r="K137" i="22"/>
  <c r="K122" i="22"/>
  <c r="K121" i="22"/>
  <c r="K120" i="22"/>
  <c r="K119" i="22"/>
  <c r="K46" i="22"/>
  <c r="K45" i="22"/>
  <c r="K44" i="22"/>
  <c r="G179" i="22"/>
  <c r="O94" i="26" l="1"/>
  <c r="L92" i="26"/>
  <c r="L100" i="26"/>
  <c r="K202" i="22"/>
  <c r="K88" i="26"/>
  <c r="L102" i="26" s="1"/>
  <c r="S81" i="26"/>
  <c r="G31" i="26"/>
  <c r="G22" i="26" s="1"/>
  <c r="K136" i="22"/>
  <c r="U111" i="26"/>
  <c r="V111" i="26" s="1"/>
  <c r="W111" i="26" s="1"/>
  <c r="X36" i="26"/>
  <c r="I36" i="26"/>
  <c r="G36" i="26"/>
  <c r="K37" i="26" l="1"/>
  <c r="G24" i="26"/>
  <c r="G113" i="26" s="1"/>
  <c r="G37" i="26"/>
  <c r="J297" i="26"/>
  <c r="O92" i="26"/>
  <c r="T55" i="22"/>
  <c r="U55" i="22" s="1"/>
  <c r="V55" i="22" s="1"/>
  <c r="W55" i="22" s="1"/>
  <c r="H137" i="22"/>
  <c r="H136" i="22"/>
  <c r="G136" i="22"/>
  <c r="O88" i="26" l="1"/>
  <c r="G137" i="22"/>
  <c r="U114" i="26" l="1"/>
  <c r="T114" i="26"/>
  <c r="S114" i="26"/>
  <c r="R114" i="26"/>
  <c r="O114" i="26"/>
  <c r="J298" i="26" l="1"/>
  <c r="J78" i="26" l="1"/>
  <c r="O129" i="26"/>
  <c r="P129" i="26" s="1"/>
  <c r="J11" i="22"/>
  <c r="L12" i="22" s="1"/>
  <c r="I11" i="22"/>
  <c r="H11" i="22"/>
  <c r="H42" i="22" s="1"/>
  <c r="G11" i="22"/>
  <c r="J54" i="26"/>
  <c r="J64" i="26" s="1"/>
  <c r="J41" i="26"/>
  <c r="L42" i="26" s="1"/>
  <c r="H41" i="26"/>
  <c r="G41" i="26"/>
  <c r="M121" i="26"/>
  <c r="I42" i="22" l="1"/>
  <c r="K93" i="26"/>
  <c r="K113" i="26" s="1"/>
  <c r="O113" i="26" s="1"/>
  <c r="R113" i="26" s="1"/>
  <c r="I93" i="26"/>
  <c r="G91" i="26"/>
  <c r="G107" i="26" s="1"/>
  <c r="O93" i="26"/>
  <c r="J132" i="22"/>
  <c r="H127" i="22"/>
  <c r="H126" i="22"/>
  <c r="H125" i="22"/>
  <c r="H124" i="22"/>
  <c r="J122" i="22"/>
  <c r="I122" i="22"/>
  <c r="G122" i="22"/>
  <c r="J121" i="22"/>
  <c r="I121" i="22"/>
  <c r="G121" i="22"/>
  <c r="J120" i="22"/>
  <c r="I120" i="22"/>
  <c r="G120" i="22"/>
  <c r="J119" i="22"/>
  <c r="I119" i="22"/>
  <c r="G119" i="22"/>
  <c r="G140" i="26" l="1"/>
  <c r="G136" i="26"/>
  <c r="G92" i="26"/>
  <c r="G109" i="26" s="1"/>
  <c r="L171" i="31"/>
  <c r="I136" i="22"/>
  <c r="I137" i="22"/>
  <c r="J136" i="22"/>
  <c r="J137" i="22"/>
  <c r="H128" i="22"/>
  <c r="G137" i="26" l="1"/>
  <c r="R93" i="26"/>
  <c r="G25" i="22"/>
  <c r="H25" i="22"/>
  <c r="I25" i="22"/>
  <c r="J25" i="22"/>
  <c r="H212" i="26"/>
  <c r="I212" i="26"/>
  <c r="I213" i="26" s="1"/>
  <c r="J212" i="26"/>
  <c r="J213" i="26" s="1"/>
  <c r="G212" i="26"/>
  <c r="G213" i="26" s="1"/>
  <c r="R100" i="26"/>
  <c r="K27" i="26"/>
  <c r="I48" i="26"/>
  <c r="I46" i="26"/>
  <c r="I44" i="26"/>
  <c r="I17" i="26"/>
  <c r="I15" i="26"/>
  <c r="I13" i="26"/>
  <c r="J9" i="22"/>
  <c r="I9" i="22"/>
  <c r="R208" i="26"/>
  <c r="S208" i="26"/>
  <c r="T208" i="26"/>
  <c r="U208" i="26"/>
  <c r="S209" i="26"/>
  <c r="T209" i="26" s="1"/>
  <c r="U209" i="26" s="1"/>
  <c r="V209" i="26" s="1"/>
  <c r="R186" i="22"/>
  <c r="S186" i="22"/>
  <c r="T186" i="22"/>
  <c r="U186" i="22"/>
  <c r="S185" i="22"/>
  <c r="T185" i="22"/>
  <c r="U185" i="22"/>
  <c r="G326" i="26"/>
  <c r="I326" i="26"/>
  <c r="J326" i="26"/>
  <c r="J325" i="26"/>
  <c r="I325" i="26"/>
  <c r="G263" i="26"/>
  <c r="I261" i="26" s="1"/>
  <c r="I263" i="26"/>
  <c r="K261" i="26" s="1"/>
  <c r="K262" i="26" s="1"/>
  <c r="J263" i="26"/>
  <c r="G253" i="26"/>
  <c r="I253" i="26"/>
  <c r="J253" i="26"/>
  <c r="G252" i="26"/>
  <c r="I252" i="26"/>
  <c r="J252" i="26"/>
  <c r="G199" i="26"/>
  <c r="I196" i="26" s="1"/>
  <c r="I199" i="26"/>
  <c r="J199" i="26"/>
  <c r="G197" i="26"/>
  <c r="I197" i="26"/>
  <c r="J197" i="26"/>
  <c r="V204" i="22" l="1"/>
  <c r="V163" i="22" s="1"/>
  <c r="W209" i="26"/>
  <c r="W204" i="22" s="1"/>
  <c r="W163" i="22" s="1"/>
  <c r="S92" i="26"/>
  <c r="S100" i="26"/>
  <c r="S93" i="26"/>
  <c r="I262" i="26"/>
  <c r="I251" i="26"/>
  <c r="K249" i="26" s="1"/>
  <c r="K250" i="26" s="1"/>
  <c r="G251" i="26"/>
  <c r="J261" i="26"/>
  <c r="J262" i="26" s="1"/>
  <c r="J251" i="26"/>
  <c r="I198" i="26"/>
  <c r="K196" i="26"/>
  <c r="K200" i="26" s="1"/>
  <c r="J196" i="26"/>
  <c r="J200" i="26" s="1"/>
  <c r="S200" i="26" l="1"/>
  <c r="T200" i="26" s="1"/>
  <c r="U200" i="26" s="1"/>
  <c r="V200" i="26" s="1"/>
  <c r="W200" i="26" s="1"/>
  <c r="T92" i="26"/>
  <c r="T100" i="26"/>
  <c r="U93" i="26"/>
  <c r="T93" i="26"/>
  <c r="J256" i="26"/>
  <c r="J257" i="26" s="1"/>
  <c r="G256" i="26"/>
  <c r="G257" i="26" s="1"/>
  <c r="I256" i="26"/>
  <c r="I257" i="26" s="1"/>
  <c r="R256" i="26" l="1"/>
  <c r="S256" i="26" s="1"/>
  <c r="T256" i="26" s="1"/>
  <c r="U256" i="26" s="1"/>
  <c r="V256" i="26" s="1"/>
  <c r="W256" i="26" s="1"/>
  <c r="U92" i="26"/>
  <c r="U88" i="26"/>
  <c r="V102" i="26" s="1"/>
  <c r="U100" i="26"/>
  <c r="R257" i="26"/>
  <c r="S257" i="26" l="1"/>
  <c r="O196" i="26"/>
  <c r="O200" i="26" s="1"/>
  <c r="M43" i="31"/>
  <c r="T257" i="26" l="1"/>
  <c r="U257" i="26" l="1"/>
  <c r="V257" i="26" s="1"/>
  <c r="W257" i="26" s="1"/>
  <c r="R196" i="26" l="1"/>
  <c r="R197" i="26" s="1"/>
  <c r="R199" i="26" l="1"/>
  <c r="R158" i="22"/>
  <c r="R22" i="22"/>
  <c r="S196" i="26" l="1"/>
  <c r="R85" i="22"/>
  <c r="N174" i="31" s="1"/>
  <c r="S197" i="26" l="1"/>
  <c r="S199" i="26" s="1"/>
  <c r="T196" i="26" l="1"/>
  <c r="T197" i="26" s="1"/>
  <c r="S85" i="22"/>
  <c r="O174" i="31" s="1"/>
  <c r="S158" i="22"/>
  <c r="S22" i="22"/>
  <c r="T199" i="26" l="1"/>
  <c r="T158" i="22"/>
  <c r="T22" i="22"/>
  <c r="U196" i="26" l="1"/>
  <c r="U197" i="26" s="1"/>
  <c r="T85" i="22"/>
  <c r="P174" i="31" s="1"/>
  <c r="U199" i="26" l="1"/>
  <c r="U158" i="22"/>
  <c r="U22" i="22"/>
  <c r="U85" i="22" l="1"/>
  <c r="Q174" i="31" s="1"/>
  <c r="V196" i="26"/>
  <c r="H65" i="22"/>
  <c r="G45" i="22"/>
  <c r="H45" i="22"/>
  <c r="I45" i="22"/>
  <c r="J45" i="22"/>
  <c r="G46" i="22"/>
  <c r="H46" i="22"/>
  <c r="I46" i="22"/>
  <c r="J46" i="22"/>
  <c r="H44" i="22"/>
  <c r="I44" i="22"/>
  <c r="J44" i="22"/>
  <c r="G44" i="22"/>
  <c r="V197" i="26" l="1"/>
  <c r="V199" i="26" s="1"/>
  <c r="J34" i="22"/>
  <c r="J35" i="22" s="1"/>
  <c r="I34" i="22"/>
  <c r="G34" i="22"/>
  <c r="H179" i="22"/>
  <c r="I179" i="22"/>
  <c r="J179" i="22"/>
  <c r="V85" i="22" l="1"/>
  <c r="W196" i="26"/>
  <c r="R174" i="31"/>
  <c r="V22" i="22"/>
  <c r="V158" i="22"/>
  <c r="G35" i="22"/>
  <c r="I35" i="22"/>
  <c r="L248" i="31"/>
  <c r="M265" i="31"/>
  <c r="L265" i="31"/>
  <c r="K265" i="31"/>
  <c r="L264" i="31"/>
  <c r="K264" i="31"/>
  <c r="P263" i="31"/>
  <c r="P264" i="31" s="1"/>
  <c r="P265" i="31" s="1"/>
  <c r="N263" i="31"/>
  <c r="M263" i="31"/>
  <c r="K263" i="31"/>
  <c r="O262" i="31"/>
  <c r="N262" i="31"/>
  <c r="M262" i="31"/>
  <c r="L262" i="31"/>
  <c r="N252" i="31"/>
  <c r="O252" i="31" s="1"/>
  <c r="P252" i="31" s="1"/>
  <c r="Q252" i="31" s="1"/>
  <c r="K249" i="31"/>
  <c r="J249" i="31"/>
  <c r="K248" i="31"/>
  <c r="J248" i="31"/>
  <c r="K247" i="31"/>
  <c r="J247" i="31"/>
  <c r="J246" i="31"/>
  <c r="H180" i="31"/>
  <c r="R166" i="31"/>
  <c r="Q166" i="31"/>
  <c r="P166" i="31"/>
  <c r="O166" i="31"/>
  <c r="N166" i="31"/>
  <c r="M166" i="31"/>
  <c r="L166" i="31"/>
  <c r="M149" i="31"/>
  <c r="G145" i="31"/>
  <c r="G143" i="31"/>
  <c r="G142" i="31"/>
  <c r="H124" i="31"/>
  <c r="H122" i="31"/>
  <c r="H119" i="31"/>
  <c r="D112" i="31"/>
  <c r="H109" i="31"/>
  <c r="G100" i="31"/>
  <c r="H100" i="31" s="1"/>
  <c r="E100" i="31"/>
  <c r="E99" i="31"/>
  <c r="M96" i="31"/>
  <c r="M97" i="31" s="1"/>
  <c r="M98" i="31" s="1"/>
  <c r="M99" i="31" s="1"/>
  <c r="D95" i="31"/>
  <c r="D94" i="31"/>
  <c r="P92" i="31"/>
  <c r="Q92" i="31" s="1"/>
  <c r="R92" i="31" s="1"/>
  <c r="B70" i="31"/>
  <c r="B62" i="31"/>
  <c r="B61" i="31"/>
  <c r="B60" i="31"/>
  <c r="B63" i="31" s="1"/>
  <c r="B57" i="31"/>
  <c r="B56" i="31"/>
  <c r="L51" i="31"/>
  <c r="K51" i="31"/>
  <c r="J51" i="31"/>
  <c r="I51" i="31"/>
  <c r="N50" i="31"/>
  <c r="G50" i="31"/>
  <c r="C50" i="31"/>
  <c r="R46" i="31"/>
  <c r="Q46" i="31"/>
  <c r="P46" i="31"/>
  <c r="O46" i="31"/>
  <c r="N46" i="31"/>
  <c r="R43" i="31"/>
  <c r="Q43" i="31"/>
  <c r="P43" i="31"/>
  <c r="O43" i="31"/>
  <c r="N43" i="31"/>
  <c r="B41" i="31"/>
  <c r="AD32" i="31"/>
  <c r="AC32" i="31" s="1"/>
  <c r="R28" i="31"/>
  <c r="Q28" i="31"/>
  <c r="P28" i="31"/>
  <c r="O28" i="31"/>
  <c r="N28" i="31"/>
  <c r="M28" i="31"/>
  <c r="L28" i="31"/>
  <c r="AD27" i="31"/>
  <c r="AC27" i="31" s="1"/>
  <c r="AB27" i="31" s="1"/>
  <c r="AD23" i="31"/>
  <c r="AC23" i="31" s="1"/>
  <c r="AD17" i="31"/>
  <c r="AC17" i="31" s="1"/>
  <c r="AFZ15" i="31"/>
  <c r="AFY15" i="31"/>
  <c r="AFX15" i="31"/>
  <c r="AFW15" i="31"/>
  <c r="AFV15" i="31"/>
  <c r="AFU15" i="31"/>
  <c r="AFT15" i="31"/>
  <c r="AFS15" i="31"/>
  <c r="AFR15" i="31"/>
  <c r="AFQ15" i="31"/>
  <c r="AFP15" i="31"/>
  <c r="AFO15" i="31"/>
  <c r="AFN15" i="31"/>
  <c r="AFM15" i="31"/>
  <c r="AFL15" i="31"/>
  <c r="AFK15" i="31"/>
  <c r="AFJ15" i="31"/>
  <c r="AFI15" i="31"/>
  <c r="AFH15" i="31"/>
  <c r="AFG15" i="31"/>
  <c r="AFF15" i="31"/>
  <c r="AFE15" i="31"/>
  <c r="AFD15" i="31"/>
  <c r="AFC15" i="31"/>
  <c r="AFB15" i="31"/>
  <c r="AFA15" i="31"/>
  <c r="AEZ15" i="31"/>
  <c r="AEY15" i="31"/>
  <c r="AEX15" i="31"/>
  <c r="AEW15" i="31"/>
  <c r="AEV15" i="31"/>
  <c r="AEU15" i="31"/>
  <c r="AET15" i="31"/>
  <c r="AES15" i="31"/>
  <c r="AER15" i="31"/>
  <c r="AEQ15" i="31"/>
  <c r="AEP15" i="31"/>
  <c r="AEO15" i="31"/>
  <c r="AEN15" i="31"/>
  <c r="AEM15" i="31"/>
  <c r="AEL15" i="31"/>
  <c r="AEK15" i="31"/>
  <c r="AEJ15" i="31"/>
  <c r="AEI15" i="31"/>
  <c r="AEH15" i="31"/>
  <c r="AEG15" i="31"/>
  <c r="AEF15" i="31"/>
  <c r="AEE15" i="31"/>
  <c r="AED15" i="31"/>
  <c r="AEC15" i="31"/>
  <c r="AEB15" i="31"/>
  <c r="AEA15" i="31"/>
  <c r="ADZ15" i="31"/>
  <c r="ADY15" i="31"/>
  <c r="ADX15" i="31"/>
  <c r="ADW15" i="31"/>
  <c r="ADV15" i="31"/>
  <c r="ADU15" i="31"/>
  <c r="ADT15" i="31"/>
  <c r="ADS15" i="31"/>
  <c r="ADR15" i="31"/>
  <c r="ADQ15" i="31"/>
  <c r="ADP15" i="31"/>
  <c r="ADO15" i="31"/>
  <c r="ADN15" i="31"/>
  <c r="ADM15" i="31"/>
  <c r="ADL15" i="31"/>
  <c r="ADK15" i="31"/>
  <c r="ADJ15" i="31"/>
  <c r="ADI15" i="31"/>
  <c r="ADH15" i="31"/>
  <c r="ADG15" i="31"/>
  <c r="ADF15" i="31"/>
  <c r="ADE15" i="31"/>
  <c r="ADD15" i="31"/>
  <c r="ADC15" i="31"/>
  <c r="ADB15" i="31"/>
  <c r="ADA15" i="31"/>
  <c r="ACZ15" i="31"/>
  <c r="ACY15" i="31"/>
  <c r="ACX15" i="31"/>
  <c r="ACW15" i="31"/>
  <c r="ACV15" i="31"/>
  <c r="ACU15" i="31"/>
  <c r="ACT15" i="31"/>
  <c r="ACS15" i="31"/>
  <c r="ACR15" i="31"/>
  <c r="ACQ15" i="31"/>
  <c r="ACP15" i="31"/>
  <c r="ACO15" i="31"/>
  <c r="ACN15" i="31"/>
  <c r="ACM15" i="31"/>
  <c r="ACL15" i="31"/>
  <c r="ACK15" i="31"/>
  <c r="ACJ15" i="31"/>
  <c r="ACI15" i="31"/>
  <c r="ACH15" i="31"/>
  <c r="ACG15" i="31"/>
  <c r="ACF15" i="31"/>
  <c r="ACE15" i="31"/>
  <c r="ACD15" i="31"/>
  <c r="ACC15" i="31"/>
  <c r="ACB15" i="31"/>
  <c r="ACA15" i="31"/>
  <c r="ABZ15" i="31"/>
  <c r="ABY15" i="31"/>
  <c r="ABX15" i="31"/>
  <c r="ABW15" i="31"/>
  <c r="ABV15" i="31"/>
  <c r="ABU15" i="31"/>
  <c r="ABT15" i="31"/>
  <c r="ABS15" i="31"/>
  <c r="ABR15" i="31"/>
  <c r="ABQ15" i="31"/>
  <c r="ABP15" i="31"/>
  <c r="ABO15" i="31"/>
  <c r="ABN15" i="31"/>
  <c r="ABM15" i="31"/>
  <c r="ABL15" i="31"/>
  <c r="ABK15" i="31"/>
  <c r="ABJ15" i="31"/>
  <c r="ABI15" i="31"/>
  <c r="ABH15" i="31"/>
  <c r="ABG15" i="31"/>
  <c r="ABF15" i="31"/>
  <c r="ABE15" i="31"/>
  <c r="ABD15" i="31"/>
  <c r="ABC15" i="31"/>
  <c r="ABB15" i="31"/>
  <c r="ABA15" i="31"/>
  <c r="AAZ15" i="31"/>
  <c r="AAY15" i="31"/>
  <c r="AAX15" i="31"/>
  <c r="AAW15" i="31"/>
  <c r="AAV15" i="31"/>
  <c r="AAU15" i="31"/>
  <c r="AAT15" i="31"/>
  <c r="AAS15" i="31"/>
  <c r="AAR15" i="31"/>
  <c r="AAQ15" i="31"/>
  <c r="AAP15" i="31"/>
  <c r="AAO15" i="31"/>
  <c r="AAN15" i="31"/>
  <c r="AAM15" i="31"/>
  <c r="AAL15" i="31"/>
  <c r="AAK15" i="31"/>
  <c r="AAJ15" i="31"/>
  <c r="AAI15" i="31"/>
  <c r="AAH15" i="31"/>
  <c r="AAG15" i="31"/>
  <c r="AAF15" i="31"/>
  <c r="AAE15" i="31"/>
  <c r="AAD15" i="31"/>
  <c r="AAC15" i="31"/>
  <c r="AAB15" i="31"/>
  <c r="AAA15" i="31"/>
  <c r="ZZ15" i="31"/>
  <c r="ZY15" i="31"/>
  <c r="ZX15" i="31"/>
  <c r="ZW15" i="31"/>
  <c r="ZV15" i="31"/>
  <c r="ZU15" i="31"/>
  <c r="ZT15" i="31"/>
  <c r="ZS15" i="31"/>
  <c r="ZR15" i="31"/>
  <c r="ZQ15" i="31"/>
  <c r="ZP15" i="31"/>
  <c r="ZO15" i="31"/>
  <c r="ZN15" i="31"/>
  <c r="ZM15" i="31"/>
  <c r="ZL15" i="31"/>
  <c r="ZK15" i="31"/>
  <c r="ZJ15" i="31"/>
  <c r="ZI15" i="31"/>
  <c r="ZH15" i="31"/>
  <c r="ZG15" i="31"/>
  <c r="ZF15" i="31"/>
  <c r="ZE15" i="31"/>
  <c r="ZD15" i="31"/>
  <c r="ZC15" i="31"/>
  <c r="ZB15" i="31"/>
  <c r="ZA15" i="31"/>
  <c r="YZ15" i="31"/>
  <c r="YY15" i="31"/>
  <c r="YX15" i="31"/>
  <c r="YW15" i="31"/>
  <c r="YV15" i="31"/>
  <c r="YU15" i="31"/>
  <c r="YT15" i="31"/>
  <c r="YS15" i="31"/>
  <c r="YR15" i="31"/>
  <c r="YQ15" i="31"/>
  <c r="YP15" i="31"/>
  <c r="YO15" i="31"/>
  <c r="YN15" i="31"/>
  <c r="YM15" i="31"/>
  <c r="YL15" i="31"/>
  <c r="YK15" i="31"/>
  <c r="YJ15" i="31"/>
  <c r="YI15" i="31"/>
  <c r="YH15" i="31"/>
  <c r="YG15" i="31"/>
  <c r="YF15" i="31"/>
  <c r="YE15" i="31"/>
  <c r="YD15" i="31"/>
  <c r="YC15" i="31"/>
  <c r="YB15" i="31"/>
  <c r="YA15" i="31"/>
  <c r="XZ15" i="31"/>
  <c r="XY15" i="31"/>
  <c r="XX15" i="31"/>
  <c r="XW15" i="31"/>
  <c r="XV15" i="31"/>
  <c r="XU15" i="31"/>
  <c r="XT15" i="31"/>
  <c r="XS15" i="31"/>
  <c r="XR15" i="31"/>
  <c r="XQ15" i="31"/>
  <c r="XP15" i="31"/>
  <c r="XO15" i="31"/>
  <c r="XN15" i="31"/>
  <c r="XM15" i="31"/>
  <c r="XL15" i="31"/>
  <c r="XK15" i="31"/>
  <c r="XJ15" i="31"/>
  <c r="XI15" i="31"/>
  <c r="XH15" i="31"/>
  <c r="XG15" i="31"/>
  <c r="XF15" i="31"/>
  <c r="XE15" i="31"/>
  <c r="XD15" i="31"/>
  <c r="XC15" i="31"/>
  <c r="XB15" i="31"/>
  <c r="XA15" i="31"/>
  <c r="WZ15" i="31"/>
  <c r="WY15" i="31"/>
  <c r="WX15" i="31"/>
  <c r="WW15" i="31"/>
  <c r="WV15" i="31"/>
  <c r="WU15" i="31"/>
  <c r="WT15" i="31"/>
  <c r="WS15" i="31"/>
  <c r="WR15" i="31"/>
  <c r="WQ15" i="31"/>
  <c r="WP15" i="31"/>
  <c r="WO15" i="31"/>
  <c r="WN15" i="31"/>
  <c r="WM15" i="31"/>
  <c r="WL15" i="31"/>
  <c r="WK15" i="31"/>
  <c r="WJ15" i="31"/>
  <c r="WI15" i="31"/>
  <c r="WH15" i="31"/>
  <c r="WG15" i="31"/>
  <c r="WF15" i="31"/>
  <c r="WE15" i="31"/>
  <c r="WD15" i="31"/>
  <c r="WC15" i="31"/>
  <c r="WB15" i="31"/>
  <c r="WA15" i="31"/>
  <c r="VZ15" i="31"/>
  <c r="VY15" i="31"/>
  <c r="VX15" i="31"/>
  <c r="VW15" i="31"/>
  <c r="VV15" i="31"/>
  <c r="VU15" i="31"/>
  <c r="VT15" i="31"/>
  <c r="VS15" i="31"/>
  <c r="VR15" i="31"/>
  <c r="VQ15" i="31"/>
  <c r="VP15" i="31"/>
  <c r="VO15" i="31"/>
  <c r="VN15" i="31"/>
  <c r="VM15" i="31"/>
  <c r="VL15" i="31"/>
  <c r="VK15" i="31"/>
  <c r="VJ15" i="31"/>
  <c r="VI15" i="31"/>
  <c r="VH15" i="31"/>
  <c r="VG15" i="31"/>
  <c r="VF15" i="31"/>
  <c r="VE15" i="31"/>
  <c r="VD15" i="31"/>
  <c r="VC15" i="31"/>
  <c r="VB15" i="31"/>
  <c r="VA15" i="31"/>
  <c r="UZ15" i="31"/>
  <c r="UY15" i="31"/>
  <c r="UX15" i="31"/>
  <c r="UW15" i="31"/>
  <c r="UV15" i="31"/>
  <c r="UU15" i="31"/>
  <c r="UT15" i="31"/>
  <c r="US15" i="31"/>
  <c r="UR15" i="31"/>
  <c r="UQ15" i="31"/>
  <c r="UP15" i="31"/>
  <c r="UO15" i="31"/>
  <c r="UN15" i="31"/>
  <c r="UM15" i="31"/>
  <c r="UL15" i="31"/>
  <c r="UK15" i="31"/>
  <c r="UJ15" i="31"/>
  <c r="UI15" i="31"/>
  <c r="UH15" i="31"/>
  <c r="UG15" i="31"/>
  <c r="UF15" i="31"/>
  <c r="UE15" i="31"/>
  <c r="UD15" i="31"/>
  <c r="UC15" i="31"/>
  <c r="UB15" i="31"/>
  <c r="UA15" i="31"/>
  <c r="TZ15" i="31"/>
  <c r="TY15" i="31"/>
  <c r="TX15" i="31"/>
  <c r="TW15" i="31"/>
  <c r="TV15" i="31"/>
  <c r="TU15" i="31"/>
  <c r="TT15" i="31"/>
  <c r="TS15" i="31"/>
  <c r="TR15" i="31"/>
  <c r="TQ15" i="31"/>
  <c r="TP15" i="31"/>
  <c r="TO15" i="31"/>
  <c r="TN15" i="31"/>
  <c r="TM15" i="31"/>
  <c r="TL15" i="31"/>
  <c r="TK15" i="31"/>
  <c r="TJ15" i="31"/>
  <c r="TI15" i="31"/>
  <c r="TH15" i="31"/>
  <c r="TG15" i="31"/>
  <c r="TF15" i="31"/>
  <c r="TE15" i="31"/>
  <c r="TD15" i="31"/>
  <c r="TC15" i="31"/>
  <c r="TB15" i="31"/>
  <c r="TA15" i="31"/>
  <c r="SZ15" i="31"/>
  <c r="SY15" i="31"/>
  <c r="SX15" i="31"/>
  <c r="SW15" i="31"/>
  <c r="SV15" i="31"/>
  <c r="SU15" i="31"/>
  <c r="ST15" i="31"/>
  <c r="SS15" i="31"/>
  <c r="SR15" i="31"/>
  <c r="SQ15" i="31"/>
  <c r="SP15" i="31"/>
  <c r="SO15" i="31"/>
  <c r="SN15" i="31"/>
  <c r="SM15" i="31"/>
  <c r="SL15" i="31"/>
  <c r="SK15" i="31"/>
  <c r="SJ15" i="31"/>
  <c r="SI15" i="31"/>
  <c r="SH15" i="31"/>
  <c r="SG15" i="31"/>
  <c r="SF15" i="31"/>
  <c r="SE15" i="31"/>
  <c r="SD15" i="31"/>
  <c r="SC15" i="31"/>
  <c r="SB15" i="31"/>
  <c r="SA15" i="31"/>
  <c r="RZ15" i="31"/>
  <c r="RY15" i="31"/>
  <c r="RX15" i="31"/>
  <c r="RW15" i="31"/>
  <c r="RV15" i="31"/>
  <c r="RU15" i="31"/>
  <c r="RT15" i="31"/>
  <c r="RS15" i="31"/>
  <c r="RR15" i="31"/>
  <c r="RQ15" i="31"/>
  <c r="RP15" i="31"/>
  <c r="RO15" i="31"/>
  <c r="RN15" i="31"/>
  <c r="RM15" i="31"/>
  <c r="RL15" i="31"/>
  <c r="RK15" i="31"/>
  <c r="RJ15" i="31"/>
  <c r="RI15" i="31"/>
  <c r="RH15" i="31"/>
  <c r="RG15" i="31"/>
  <c r="RF15" i="31"/>
  <c r="RE15" i="31"/>
  <c r="RD15" i="31"/>
  <c r="RC15" i="31"/>
  <c r="RB15" i="31"/>
  <c r="RA15" i="31"/>
  <c r="QZ15" i="31"/>
  <c r="QY15" i="31"/>
  <c r="QX15" i="31"/>
  <c r="QW15" i="31"/>
  <c r="QV15" i="31"/>
  <c r="QU15" i="31"/>
  <c r="QT15" i="31"/>
  <c r="QS15" i="31"/>
  <c r="QR15" i="31"/>
  <c r="QQ15" i="31"/>
  <c r="QP15" i="31"/>
  <c r="QO15" i="31"/>
  <c r="QN15" i="31"/>
  <c r="QM15" i="31"/>
  <c r="QL15" i="31"/>
  <c r="QK15" i="31"/>
  <c r="QJ15" i="31"/>
  <c r="QI15" i="31"/>
  <c r="QH15" i="31"/>
  <c r="QG15" i="31"/>
  <c r="QF15" i="31"/>
  <c r="QE15" i="31"/>
  <c r="QD15" i="31"/>
  <c r="QC15" i="31"/>
  <c r="QB15" i="31"/>
  <c r="QA15" i="31"/>
  <c r="PZ15" i="31"/>
  <c r="PY15" i="31"/>
  <c r="PX15" i="31"/>
  <c r="PW15" i="31"/>
  <c r="PV15" i="31"/>
  <c r="PU15" i="31"/>
  <c r="PT15" i="31"/>
  <c r="PS15" i="31"/>
  <c r="PR15" i="31"/>
  <c r="PQ15" i="31"/>
  <c r="PP15" i="31"/>
  <c r="PO15" i="31"/>
  <c r="PN15" i="31"/>
  <c r="PM15" i="31"/>
  <c r="PL15" i="31"/>
  <c r="PK15" i="31"/>
  <c r="PJ15" i="31"/>
  <c r="PI15" i="31"/>
  <c r="PH15" i="31"/>
  <c r="PG15" i="31"/>
  <c r="PF15" i="31"/>
  <c r="PE15" i="31"/>
  <c r="PD15" i="31"/>
  <c r="PC15" i="31"/>
  <c r="PB15" i="31"/>
  <c r="PA15" i="31"/>
  <c r="OZ15" i="31"/>
  <c r="OY15" i="31"/>
  <c r="OX15" i="31"/>
  <c r="OW15" i="31"/>
  <c r="OV15" i="31"/>
  <c r="OU15" i="31"/>
  <c r="OT15" i="31"/>
  <c r="OS15" i="31"/>
  <c r="OR15" i="31"/>
  <c r="OQ15" i="31"/>
  <c r="OP15" i="31"/>
  <c r="OO15" i="31"/>
  <c r="ON15" i="31"/>
  <c r="OM15" i="31"/>
  <c r="OL15" i="31"/>
  <c r="OK15" i="31"/>
  <c r="OJ15" i="31"/>
  <c r="OI15" i="31"/>
  <c r="OH15" i="31"/>
  <c r="OG15" i="31"/>
  <c r="OF15" i="31"/>
  <c r="OE15" i="31"/>
  <c r="OD15" i="31"/>
  <c r="OC15" i="31"/>
  <c r="OB15" i="31"/>
  <c r="OA15" i="31"/>
  <c r="NZ15" i="31"/>
  <c r="NY15" i="31"/>
  <c r="NX15" i="31"/>
  <c r="NW15" i="31"/>
  <c r="NV15" i="31"/>
  <c r="NU15" i="31"/>
  <c r="NT15" i="31"/>
  <c r="NS15" i="31"/>
  <c r="NR15" i="31"/>
  <c r="NQ15" i="31"/>
  <c r="NP15" i="31"/>
  <c r="NO15" i="31"/>
  <c r="NN15" i="31"/>
  <c r="NM15" i="31"/>
  <c r="NL15" i="31"/>
  <c r="NK15" i="31"/>
  <c r="NJ15" i="31"/>
  <c r="NI15" i="31"/>
  <c r="NH15" i="31"/>
  <c r="NG15" i="31"/>
  <c r="NF15" i="31"/>
  <c r="NE15" i="31"/>
  <c r="ND15" i="31"/>
  <c r="NC15" i="31"/>
  <c r="NB15" i="31"/>
  <c r="NA15" i="31"/>
  <c r="MZ15" i="31"/>
  <c r="MY15" i="31"/>
  <c r="MX15" i="31"/>
  <c r="MW15" i="31"/>
  <c r="MV15" i="31"/>
  <c r="MU15" i="31"/>
  <c r="MT15" i="31"/>
  <c r="MS15" i="31"/>
  <c r="MR15" i="31"/>
  <c r="MQ15" i="31"/>
  <c r="MP15" i="31"/>
  <c r="MO15" i="31"/>
  <c r="MN15" i="31"/>
  <c r="MM15" i="31"/>
  <c r="ML15" i="31"/>
  <c r="MK15" i="31"/>
  <c r="MJ15" i="31"/>
  <c r="MI15" i="31"/>
  <c r="MH15" i="31"/>
  <c r="MG15" i="31"/>
  <c r="MF15" i="31"/>
  <c r="ME15" i="31"/>
  <c r="MD15" i="31"/>
  <c r="MC15" i="31"/>
  <c r="MB15" i="31"/>
  <c r="MA15" i="31"/>
  <c r="LZ15" i="31"/>
  <c r="LY15" i="31"/>
  <c r="LX15" i="31"/>
  <c r="LW15" i="31"/>
  <c r="LV15" i="31"/>
  <c r="LU15" i="31"/>
  <c r="LT15" i="31"/>
  <c r="LS15" i="31"/>
  <c r="LR15" i="31"/>
  <c r="LQ15" i="31"/>
  <c r="LP15" i="31"/>
  <c r="LO15" i="31"/>
  <c r="LN15" i="31"/>
  <c r="LM15" i="31"/>
  <c r="LL15" i="31"/>
  <c r="LK15" i="31"/>
  <c r="LJ15" i="31"/>
  <c r="LI15" i="31"/>
  <c r="LH15" i="31"/>
  <c r="LG15" i="31"/>
  <c r="LF15" i="31"/>
  <c r="LE15" i="31"/>
  <c r="LD15" i="31"/>
  <c r="LC15" i="31"/>
  <c r="LB15" i="31"/>
  <c r="LA15" i="31"/>
  <c r="KZ15" i="31"/>
  <c r="KY15" i="31"/>
  <c r="KX15" i="31"/>
  <c r="KW15" i="31"/>
  <c r="KV15" i="31"/>
  <c r="KU15" i="31"/>
  <c r="KT15" i="31"/>
  <c r="KS15" i="31"/>
  <c r="KR15" i="31"/>
  <c r="KQ15" i="31"/>
  <c r="KP15" i="31"/>
  <c r="KO15" i="31"/>
  <c r="KN15" i="31"/>
  <c r="KM15" i="31"/>
  <c r="KL15" i="31"/>
  <c r="KK15" i="31"/>
  <c r="KJ15" i="31"/>
  <c r="KI15" i="31"/>
  <c r="KH15" i="31"/>
  <c r="KG15" i="31"/>
  <c r="KF15" i="31"/>
  <c r="KE15" i="31"/>
  <c r="KD15" i="31"/>
  <c r="KC15" i="31"/>
  <c r="KB15" i="31"/>
  <c r="KA15" i="31"/>
  <c r="JZ15" i="31"/>
  <c r="JY15" i="31"/>
  <c r="JX15" i="31"/>
  <c r="JW15" i="31"/>
  <c r="JV15" i="31"/>
  <c r="JU15" i="31"/>
  <c r="JT15" i="31"/>
  <c r="JS15" i="31"/>
  <c r="JR15" i="31"/>
  <c r="JQ15" i="31"/>
  <c r="JP15" i="31"/>
  <c r="JO15" i="31"/>
  <c r="JN15" i="31"/>
  <c r="JM15" i="31"/>
  <c r="JL15" i="31"/>
  <c r="JK15" i="31"/>
  <c r="JJ15" i="31"/>
  <c r="JI15" i="31"/>
  <c r="JH15" i="31"/>
  <c r="JG15" i="31"/>
  <c r="JF15" i="31"/>
  <c r="JE15" i="31"/>
  <c r="JD15" i="31"/>
  <c r="JC15" i="31"/>
  <c r="JB15" i="31"/>
  <c r="JA15" i="31"/>
  <c r="IZ15" i="31"/>
  <c r="IY15" i="31"/>
  <c r="IX15" i="31"/>
  <c r="IW15" i="31"/>
  <c r="IV15" i="31"/>
  <c r="IU15" i="31"/>
  <c r="IT15" i="31"/>
  <c r="IS15" i="31"/>
  <c r="IR15" i="31"/>
  <c r="IQ15" i="31"/>
  <c r="IP15" i="31"/>
  <c r="IO15" i="31"/>
  <c r="IN15" i="31"/>
  <c r="IM15" i="31"/>
  <c r="IL15" i="31"/>
  <c r="IK15" i="31"/>
  <c r="IJ15" i="31"/>
  <c r="II15" i="31"/>
  <c r="IH15" i="31"/>
  <c r="IG15" i="31"/>
  <c r="IF15" i="31"/>
  <c r="IE15" i="31"/>
  <c r="ID15" i="31"/>
  <c r="IC15" i="31"/>
  <c r="IB15" i="31"/>
  <c r="IA15" i="31"/>
  <c r="HZ15" i="31"/>
  <c r="HY15" i="31"/>
  <c r="HX15" i="31"/>
  <c r="HW15" i="31"/>
  <c r="HV15" i="31"/>
  <c r="HU15" i="31"/>
  <c r="HT15" i="31"/>
  <c r="HS15" i="31"/>
  <c r="HR15" i="31"/>
  <c r="HQ15" i="31"/>
  <c r="HP15" i="31"/>
  <c r="HO15" i="31"/>
  <c r="HN15" i="31"/>
  <c r="HM15" i="31"/>
  <c r="HL15" i="31"/>
  <c r="HK15" i="31"/>
  <c r="HJ15" i="31"/>
  <c r="HI15" i="31"/>
  <c r="HH15" i="31"/>
  <c r="HG15" i="31"/>
  <c r="HF15" i="31"/>
  <c r="HE15" i="31"/>
  <c r="HD15" i="31"/>
  <c r="HC15" i="31"/>
  <c r="HB15" i="31"/>
  <c r="HA15" i="31"/>
  <c r="GZ15" i="31"/>
  <c r="GY15" i="31"/>
  <c r="GX15" i="31"/>
  <c r="GW15" i="31"/>
  <c r="GV15" i="31"/>
  <c r="GU15" i="31"/>
  <c r="GT15" i="31"/>
  <c r="GS15" i="31"/>
  <c r="GR15" i="31"/>
  <c r="GQ15" i="31"/>
  <c r="GP15" i="31"/>
  <c r="GO15" i="31"/>
  <c r="GN15" i="31"/>
  <c r="GM15" i="31"/>
  <c r="GL15" i="31"/>
  <c r="GK15" i="31"/>
  <c r="GJ15" i="31"/>
  <c r="GI15" i="31"/>
  <c r="GH15" i="31"/>
  <c r="GG15" i="31"/>
  <c r="GF15" i="31"/>
  <c r="GE15" i="31"/>
  <c r="GD15" i="31"/>
  <c r="GC15" i="31"/>
  <c r="GB15" i="31"/>
  <c r="GA15" i="31"/>
  <c r="FZ15" i="31"/>
  <c r="FY15" i="31"/>
  <c r="FX15" i="31"/>
  <c r="FW15" i="31"/>
  <c r="FV15" i="31"/>
  <c r="FU15" i="31"/>
  <c r="FT15" i="31"/>
  <c r="FS15" i="31"/>
  <c r="FR15" i="31"/>
  <c r="FQ15" i="31"/>
  <c r="FP15" i="31"/>
  <c r="FO15" i="31"/>
  <c r="FN15" i="31"/>
  <c r="FM15" i="31"/>
  <c r="FL15" i="31"/>
  <c r="FK15" i="31"/>
  <c r="FJ15" i="31"/>
  <c r="FI15" i="31"/>
  <c r="FH15" i="31"/>
  <c r="FG15" i="31"/>
  <c r="FF15" i="31"/>
  <c r="FE15" i="31"/>
  <c r="FD15" i="31"/>
  <c r="FC15" i="31"/>
  <c r="FB15" i="31"/>
  <c r="FA15" i="31"/>
  <c r="EZ15" i="31"/>
  <c r="EY15" i="31"/>
  <c r="EX15" i="31"/>
  <c r="EW15" i="31"/>
  <c r="EV15" i="31"/>
  <c r="EU15" i="31"/>
  <c r="ET15" i="31"/>
  <c r="ES15" i="31"/>
  <c r="ER15" i="31"/>
  <c r="EQ15" i="31"/>
  <c r="EP15" i="31"/>
  <c r="EO15" i="31"/>
  <c r="EN15" i="31"/>
  <c r="EM15" i="31"/>
  <c r="EL15" i="31"/>
  <c r="EK15" i="31"/>
  <c r="EJ15" i="31"/>
  <c r="EI15" i="31"/>
  <c r="EH15" i="31"/>
  <c r="EG15" i="31"/>
  <c r="EF15" i="31"/>
  <c r="EE15" i="31"/>
  <c r="ED15" i="31"/>
  <c r="EC15" i="31"/>
  <c r="EB15" i="31"/>
  <c r="EA15" i="31"/>
  <c r="DZ15" i="31"/>
  <c r="DY15" i="31"/>
  <c r="DX15" i="31"/>
  <c r="DW15" i="31"/>
  <c r="DV15" i="31"/>
  <c r="DU15" i="31"/>
  <c r="DT15" i="31"/>
  <c r="DS15" i="31"/>
  <c r="DR15" i="31"/>
  <c r="DQ15" i="31"/>
  <c r="DP15" i="31"/>
  <c r="DO15" i="31"/>
  <c r="DN15" i="31"/>
  <c r="DM15" i="31"/>
  <c r="DL15" i="31"/>
  <c r="DK15" i="31"/>
  <c r="DJ15" i="31"/>
  <c r="DI15" i="31"/>
  <c r="DH15" i="31"/>
  <c r="DG15" i="31"/>
  <c r="DF15" i="31"/>
  <c r="DE15" i="31"/>
  <c r="DD15" i="31"/>
  <c r="DC15" i="31"/>
  <c r="DB15" i="31"/>
  <c r="DA15" i="31"/>
  <c r="CZ15" i="31"/>
  <c r="CY15" i="31"/>
  <c r="CX15" i="31"/>
  <c r="CW15" i="31"/>
  <c r="CV15" i="31"/>
  <c r="CU15" i="31"/>
  <c r="CT15" i="31"/>
  <c r="CS15" i="31"/>
  <c r="CR15" i="31"/>
  <c r="CQ15" i="31"/>
  <c r="CP15" i="31"/>
  <c r="CO15" i="31"/>
  <c r="CN15" i="31"/>
  <c r="CM15" i="31"/>
  <c r="CL15" i="31"/>
  <c r="CK15" i="31"/>
  <c r="CJ15" i="31"/>
  <c r="CI15" i="31"/>
  <c r="CH15" i="31"/>
  <c r="CG15" i="31"/>
  <c r="CF15" i="31"/>
  <c r="CE15" i="31"/>
  <c r="CD15" i="31"/>
  <c r="CC15" i="31"/>
  <c r="CB15" i="31"/>
  <c r="CA15" i="31"/>
  <c r="BZ15" i="31"/>
  <c r="BY15" i="31"/>
  <c r="BX15" i="31"/>
  <c r="BW15" i="31"/>
  <c r="BV15" i="31"/>
  <c r="BU15" i="31"/>
  <c r="BT15" i="31"/>
  <c r="BS15" i="31"/>
  <c r="BR15" i="31"/>
  <c r="BQ15" i="31"/>
  <c r="BP15" i="31"/>
  <c r="BO15" i="31"/>
  <c r="BN15" i="31"/>
  <c r="BM15" i="31"/>
  <c r="BL15" i="31"/>
  <c r="BK15" i="31"/>
  <c r="BJ15" i="31"/>
  <c r="BI15" i="31"/>
  <c r="BH15" i="31"/>
  <c r="BG15" i="31"/>
  <c r="BF15" i="31"/>
  <c r="BE15" i="31"/>
  <c r="BD15" i="31"/>
  <c r="BC15" i="31"/>
  <c r="BB15" i="31"/>
  <c r="BA15" i="31"/>
  <c r="AZ15" i="31"/>
  <c r="AY15" i="31"/>
  <c r="AX15" i="31"/>
  <c r="AW15" i="31"/>
  <c r="AV15" i="31"/>
  <c r="AU15" i="31"/>
  <c r="AT15" i="31"/>
  <c r="AS15" i="31"/>
  <c r="AR15" i="31"/>
  <c r="AQ15" i="31"/>
  <c r="AP15" i="31"/>
  <c r="AO15" i="31"/>
  <c r="AN15" i="31"/>
  <c r="AM15" i="31"/>
  <c r="AL15" i="31"/>
  <c r="AK15" i="31"/>
  <c r="AE15" i="31"/>
  <c r="AD11" i="31"/>
  <c r="AC11" i="31" s="1"/>
  <c r="L10" i="31"/>
  <c r="M7" i="31"/>
  <c r="M37" i="31" s="1"/>
  <c r="N6" i="31"/>
  <c r="N149" i="31" s="1"/>
  <c r="L6" i="31"/>
  <c r="L7" i="31" s="1"/>
  <c r="L150" i="31" s="1"/>
  <c r="L186" i="31" s="1"/>
  <c r="B3" i="31"/>
  <c r="AV2" i="31"/>
  <c r="B1" i="31"/>
  <c r="C1" i="31" s="1"/>
  <c r="D1" i="31" s="1"/>
  <c r="E1" i="31" s="1"/>
  <c r="F1" i="31" s="1"/>
  <c r="G1" i="31" s="1"/>
  <c r="H1" i="31" s="1"/>
  <c r="J1" i="31" s="1"/>
  <c r="K1" i="31" s="1"/>
  <c r="L1" i="31" s="1"/>
  <c r="M1" i="31" s="1"/>
  <c r="N1" i="31" s="1"/>
  <c r="O1" i="31" s="1"/>
  <c r="P1" i="31" s="1"/>
  <c r="Q1" i="31" s="1"/>
  <c r="W197" i="26" l="1"/>
  <c r="W199" i="26" s="1"/>
  <c r="W85" i="22" s="1"/>
  <c r="M150" i="31"/>
  <c r="M186" i="31" s="1"/>
  <c r="H55" i="31"/>
  <c r="N7" i="31"/>
  <c r="N83" i="31" s="1"/>
  <c r="K6" i="31"/>
  <c r="K7" i="31" s="1"/>
  <c r="K150" i="31" s="1"/>
  <c r="K186" i="31" s="1"/>
  <c r="O6" i="31"/>
  <c r="H125" i="31"/>
  <c r="H54" i="31"/>
  <c r="O92" i="31"/>
  <c r="N92" i="31" s="1"/>
  <c r="L11" i="31"/>
  <c r="B68" i="31"/>
  <c r="M95" i="31"/>
  <c r="M94" i="31" s="1"/>
  <c r="M93" i="31" s="1"/>
  <c r="L149" i="31"/>
  <c r="H116" i="22"/>
  <c r="G368" i="26"/>
  <c r="I368" i="26"/>
  <c r="J368" i="26"/>
  <c r="R193" i="26"/>
  <c r="S193" i="26"/>
  <c r="T193" i="26"/>
  <c r="U193" i="26"/>
  <c r="I188" i="22"/>
  <c r="J81" i="22"/>
  <c r="J90" i="22"/>
  <c r="J100" i="22"/>
  <c r="J107" i="22"/>
  <c r="J114" i="22"/>
  <c r="J148" i="22"/>
  <c r="J152" i="22"/>
  <c r="J188" i="22"/>
  <c r="R99" i="22"/>
  <c r="S99" i="22" s="1"/>
  <c r="T99" i="22" s="1"/>
  <c r="U99" i="22" s="1"/>
  <c r="V99" i="22" s="1"/>
  <c r="W99" i="22" s="1"/>
  <c r="R87" i="22"/>
  <c r="S87" i="22" s="1"/>
  <c r="T87" i="22" s="1"/>
  <c r="U87" i="22" s="1"/>
  <c r="V87" i="22" s="1"/>
  <c r="W87" i="22" s="1"/>
  <c r="R204" i="22"/>
  <c r="R163" i="22" s="1"/>
  <c r="S204" i="22"/>
  <c r="S163" i="22" s="1"/>
  <c r="T204" i="22"/>
  <c r="T163" i="22" s="1"/>
  <c r="U204" i="22"/>
  <c r="U163" i="22" s="1"/>
  <c r="R159" i="22"/>
  <c r="S159" i="22"/>
  <c r="T159" i="22"/>
  <c r="U159" i="22"/>
  <c r="G192" i="26"/>
  <c r="H192" i="26"/>
  <c r="I192" i="26"/>
  <c r="J192" i="26"/>
  <c r="G193" i="26"/>
  <c r="H193" i="26"/>
  <c r="I193" i="26"/>
  <c r="J193" i="26"/>
  <c r="R189" i="22"/>
  <c r="S189" i="22"/>
  <c r="T189" i="22"/>
  <c r="U189" i="22"/>
  <c r="R190" i="22"/>
  <c r="S190" i="22"/>
  <c r="T190" i="22"/>
  <c r="U190" i="22"/>
  <c r="R155" i="22"/>
  <c r="S155" i="22"/>
  <c r="T155" i="22"/>
  <c r="U155" i="22"/>
  <c r="R153" i="22"/>
  <c r="S153" i="22"/>
  <c r="T153" i="22"/>
  <c r="U153" i="22"/>
  <c r="G389" i="26"/>
  <c r="H389" i="26"/>
  <c r="G387" i="26"/>
  <c r="H387" i="26"/>
  <c r="I387" i="26"/>
  <c r="J387" i="26"/>
  <c r="H385" i="26"/>
  <c r="I385" i="26"/>
  <c r="J385" i="26"/>
  <c r="G385" i="26"/>
  <c r="I389" i="26"/>
  <c r="J389" i="26"/>
  <c r="I336" i="26"/>
  <c r="J336" i="26"/>
  <c r="G335" i="26"/>
  <c r="I335" i="26"/>
  <c r="J335" i="26"/>
  <c r="G336" i="26"/>
  <c r="G337" i="26"/>
  <c r="I334" i="26" s="1"/>
  <c r="I362" i="26" s="1"/>
  <c r="I337" i="26"/>
  <c r="K334" i="26" s="1"/>
  <c r="K362" i="26" s="1"/>
  <c r="S362" i="26" s="1"/>
  <c r="T362" i="26" s="1"/>
  <c r="U362" i="26" s="1"/>
  <c r="V362" i="26" s="1"/>
  <c r="W362" i="26" s="1"/>
  <c r="J337" i="26"/>
  <c r="I348" i="26"/>
  <c r="I349" i="26" s="1"/>
  <c r="J348" i="26"/>
  <c r="G348" i="26"/>
  <c r="G349" i="26" s="1"/>
  <c r="G377" i="26"/>
  <c r="I377" i="26"/>
  <c r="J377" i="26"/>
  <c r="G379" i="26"/>
  <c r="I375" i="26" s="1"/>
  <c r="H379" i="26"/>
  <c r="I379" i="26"/>
  <c r="J379" i="26"/>
  <c r="I363" i="26"/>
  <c r="J363" i="26"/>
  <c r="G363" i="26"/>
  <c r="G355" i="26"/>
  <c r="I355" i="26"/>
  <c r="J355" i="26"/>
  <c r="G354" i="26"/>
  <c r="I354" i="26"/>
  <c r="J354" i="26"/>
  <c r="J343" i="26"/>
  <c r="I343" i="26"/>
  <c r="G343" i="26"/>
  <c r="G331" i="26"/>
  <c r="I331" i="26"/>
  <c r="J331" i="26"/>
  <c r="G328" i="26"/>
  <c r="I324" i="26" s="1"/>
  <c r="I328" i="26"/>
  <c r="K324" i="26" s="1"/>
  <c r="K327" i="26" s="1"/>
  <c r="K329" i="26" s="1"/>
  <c r="J328" i="26"/>
  <c r="W22" i="22" l="1"/>
  <c r="W158" i="22"/>
  <c r="R104" i="22"/>
  <c r="R38" i="31"/>
  <c r="M38" i="31"/>
  <c r="B59" i="31"/>
  <c r="B52" i="31"/>
  <c r="O38" i="31"/>
  <c r="J375" i="26"/>
  <c r="K375" i="26"/>
  <c r="J384" i="26"/>
  <c r="J6" i="31"/>
  <c r="J7" i="31" s="1"/>
  <c r="J150" i="31" s="1"/>
  <c r="J186" i="31" s="1"/>
  <c r="N150" i="31"/>
  <c r="N186" i="31" s="1"/>
  <c r="N37" i="31"/>
  <c r="J38" i="22"/>
  <c r="J39" i="22" s="1"/>
  <c r="I38" i="22"/>
  <c r="G38" i="22"/>
  <c r="K149" i="31"/>
  <c r="N77" i="31"/>
  <c r="J130" i="22"/>
  <c r="P38" i="31"/>
  <c r="I327" i="26"/>
  <c r="I329" i="26" s="1"/>
  <c r="J324" i="26"/>
  <c r="J327" i="26" s="1"/>
  <c r="J329" i="26" s="1"/>
  <c r="J365" i="26"/>
  <c r="J65" i="22"/>
  <c r="I365" i="26"/>
  <c r="I65" i="22"/>
  <c r="G365" i="26"/>
  <c r="G65" i="22"/>
  <c r="J42" i="22"/>
  <c r="K34" i="22"/>
  <c r="G99" i="31"/>
  <c r="H99" i="31" s="1"/>
  <c r="N38" i="31"/>
  <c r="Q38" i="31"/>
  <c r="P6" i="31"/>
  <c r="O7" i="31"/>
  <c r="O149" i="31"/>
  <c r="B71" i="31"/>
  <c r="M2" i="31"/>
  <c r="R331" i="26"/>
  <c r="S331" i="26" s="1"/>
  <c r="T331" i="26" s="1"/>
  <c r="U331" i="26" s="1"/>
  <c r="J108" i="22"/>
  <c r="J115" i="22" s="1"/>
  <c r="J91" i="22"/>
  <c r="S152" i="22"/>
  <c r="T152" i="22"/>
  <c r="R152" i="22"/>
  <c r="U152" i="22"/>
  <c r="G388" i="26"/>
  <c r="J388" i="26"/>
  <c r="J334" i="26"/>
  <c r="J349" i="26"/>
  <c r="I356" i="26"/>
  <c r="I364" i="26"/>
  <c r="G356" i="26"/>
  <c r="I369" i="26" s="1"/>
  <c r="J356" i="26"/>
  <c r="U86" i="22" l="1"/>
  <c r="V331" i="26"/>
  <c r="R89" i="22"/>
  <c r="N177" i="31" s="1"/>
  <c r="K35" i="22"/>
  <c r="I39" i="22"/>
  <c r="S104" i="22"/>
  <c r="G39" i="22"/>
  <c r="J149" i="31"/>
  <c r="J369" i="26"/>
  <c r="K369" i="26"/>
  <c r="K357" i="26"/>
  <c r="Q6" i="31"/>
  <c r="P7" i="31"/>
  <c r="P149" i="31"/>
  <c r="O83" i="31"/>
  <c r="O77" i="31"/>
  <c r="O37" i="31"/>
  <c r="O150" i="31"/>
  <c r="O186" i="31" s="1"/>
  <c r="R86" i="22"/>
  <c r="J116" i="22"/>
  <c r="I357" i="26"/>
  <c r="R357" i="26" s="1"/>
  <c r="S357" i="26" s="1"/>
  <c r="T357" i="26" s="1"/>
  <c r="U357" i="26" s="1"/>
  <c r="V357" i="26" s="1"/>
  <c r="W357" i="26" s="1"/>
  <c r="S86" i="22"/>
  <c r="T86" i="22"/>
  <c r="K358" i="26"/>
  <c r="O334" i="26"/>
  <c r="R348" i="26"/>
  <c r="J357" i="26"/>
  <c r="V86" i="22" l="1"/>
  <c r="W331" i="26"/>
  <c r="W86" i="22" s="1"/>
  <c r="S89" i="22"/>
  <c r="O177" i="31" s="1"/>
  <c r="T104" i="22"/>
  <c r="O362" i="26"/>
  <c r="K212" i="26"/>
  <c r="K25" i="22"/>
  <c r="L165" i="31" s="1"/>
  <c r="L156" i="31" s="1"/>
  <c r="O324" i="26"/>
  <c r="O327" i="26" s="1"/>
  <c r="O329" i="26" s="1"/>
  <c r="R329" i="26" s="1"/>
  <c r="S329" i="26" s="1"/>
  <c r="T329" i="26" s="1"/>
  <c r="U329" i="26" s="1"/>
  <c r="V329" i="26" s="1"/>
  <c r="W329" i="26" s="1"/>
  <c r="P83" i="31"/>
  <c r="P77" i="31"/>
  <c r="P150" i="31"/>
  <c r="P186" i="31" s="1"/>
  <c r="P37" i="31"/>
  <c r="R6" i="31"/>
  <c r="S6" i="31" s="1"/>
  <c r="Q7" i="31"/>
  <c r="B55" i="31" s="1"/>
  <c r="H65" i="31" s="1" a="1"/>
  <c r="H65" i="31" s="1"/>
  <c r="Q149" i="31"/>
  <c r="K65" i="22"/>
  <c r="S348" i="26"/>
  <c r="R349" i="26"/>
  <c r="L247" i="31" l="1"/>
  <c r="L16" i="31"/>
  <c r="T89" i="22"/>
  <c r="P177" i="31" s="1"/>
  <c r="U104" i="22"/>
  <c r="T6" i="31"/>
  <c r="S7" i="31"/>
  <c r="T369" i="26"/>
  <c r="U369" i="26" s="1"/>
  <c r="V369" i="26" s="1"/>
  <c r="W369" i="26" s="1"/>
  <c r="R334" i="26"/>
  <c r="R361" i="26" s="1"/>
  <c r="R191" i="22" s="1"/>
  <c r="M47" i="31"/>
  <c r="Q37" i="31"/>
  <c r="Q83" i="31"/>
  <c r="Q77" i="31"/>
  <c r="Q150" i="31"/>
  <c r="Q186" i="31" s="1"/>
  <c r="R7" i="31"/>
  <c r="R149" i="31"/>
  <c r="T348" i="26"/>
  <c r="S349" i="26"/>
  <c r="V104" i="22" l="1"/>
  <c r="U89" i="22"/>
  <c r="Q177" i="31" s="1"/>
  <c r="U6" i="31"/>
  <c r="T7" i="31"/>
  <c r="R337" i="26"/>
  <c r="R324" i="26"/>
  <c r="R150" i="31"/>
  <c r="R186" i="31" s="1"/>
  <c r="R37" i="31"/>
  <c r="R83" i="31"/>
  <c r="U348" i="26"/>
  <c r="T349" i="26"/>
  <c r="W104" i="22" l="1"/>
  <c r="V89" i="22"/>
  <c r="W89" i="22" s="1"/>
  <c r="U349" i="26"/>
  <c r="V348" i="26"/>
  <c r="U7" i="31"/>
  <c r="V6" i="31"/>
  <c r="S334" i="26"/>
  <c r="R97" i="22"/>
  <c r="R327" i="26"/>
  <c r="R161" i="22" s="1"/>
  <c r="V349" i="26" l="1"/>
  <c r="W348" i="26"/>
  <c r="W349" i="26" s="1"/>
  <c r="R177" i="31"/>
  <c r="W6" i="31"/>
  <c r="V7" i="31"/>
  <c r="S337" i="26"/>
  <c r="S361" i="26"/>
  <c r="S191" i="22" s="1"/>
  <c r="X6" i="31" l="1"/>
  <c r="W7" i="31"/>
  <c r="T334" i="26"/>
  <c r="S97" i="22"/>
  <c r="H299" i="26"/>
  <c r="I299" i="26"/>
  <c r="J299" i="26"/>
  <c r="J296" i="26" s="1"/>
  <c r="G299" i="26"/>
  <c r="H298" i="26"/>
  <c r="I298" i="26"/>
  <c r="G298" i="26"/>
  <c r="H297" i="26"/>
  <c r="I297" i="26"/>
  <c r="G297" i="26"/>
  <c r="G307" i="26"/>
  <c r="H307" i="26"/>
  <c r="I307" i="26"/>
  <c r="J307" i="26"/>
  <c r="G308" i="26"/>
  <c r="G61" i="22" s="1"/>
  <c r="H308" i="26"/>
  <c r="H61" i="22" s="1"/>
  <c r="I308" i="26"/>
  <c r="J308" i="26"/>
  <c r="G309" i="26"/>
  <c r="G62" i="22" s="1"/>
  <c r="H309" i="26"/>
  <c r="H62" i="22" s="1"/>
  <c r="I309" i="26"/>
  <c r="J309" i="26"/>
  <c r="G292" i="26"/>
  <c r="I288" i="26" s="1"/>
  <c r="I293" i="26" s="1"/>
  <c r="I292" i="26"/>
  <c r="K288" i="26" s="1"/>
  <c r="K316" i="26" s="1"/>
  <c r="J292" i="26"/>
  <c r="A287" i="26"/>
  <c r="I284" i="26"/>
  <c r="J283" i="26"/>
  <c r="I283" i="26"/>
  <c r="G285" i="26"/>
  <c r="I281" i="26" s="1"/>
  <c r="I285" i="26"/>
  <c r="J285" i="26"/>
  <c r="J277" i="26"/>
  <c r="I278" i="26"/>
  <c r="K273" i="26" s="1"/>
  <c r="J275" i="26"/>
  <c r="I275" i="26"/>
  <c r="G275" i="26"/>
  <c r="Y6" i="31" l="1"/>
  <c r="X7" i="31"/>
  <c r="T337" i="26"/>
  <c r="T361" i="26"/>
  <c r="T191" i="22" s="1"/>
  <c r="I306" i="26"/>
  <c r="I316" i="26"/>
  <c r="K304" i="26"/>
  <c r="K315" i="26"/>
  <c r="K293" i="26"/>
  <c r="J281" i="26"/>
  <c r="J317" i="26" s="1"/>
  <c r="K281" i="26"/>
  <c r="H296" i="26"/>
  <c r="I296" i="26"/>
  <c r="G296" i="26"/>
  <c r="J306" i="26"/>
  <c r="G60" i="22"/>
  <c r="G306" i="26"/>
  <c r="H60" i="22"/>
  <c r="H59" i="22" s="1"/>
  <c r="H306" i="26"/>
  <c r="J62" i="22"/>
  <c r="J61" i="22"/>
  <c r="I62" i="22"/>
  <c r="I317" i="26"/>
  <c r="I61" i="22"/>
  <c r="J60" i="22"/>
  <c r="I60" i="22"/>
  <c r="I305" i="26"/>
  <c r="K152" i="22"/>
  <c r="J288" i="26"/>
  <c r="J293" i="26" s="1"/>
  <c r="R343" i="26"/>
  <c r="S291" i="26"/>
  <c r="G59" i="22" l="1"/>
  <c r="Y7" i="31"/>
  <c r="Z6" i="31"/>
  <c r="U334" i="26"/>
  <c r="T97" i="22"/>
  <c r="J305" i="26"/>
  <c r="K317" i="26"/>
  <c r="K305" i="26"/>
  <c r="K62" i="22"/>
  <c r="I59" i="22"/>
  <c r="J59" i="22"/>
  <c r="J316" i="26"/>
  <c r="S160" i="22"/>
  <c r="S343" i="26"/>
  <c r="T291" i="26"/>
  <c r="AA6" i="31" l="1"/>
  <c r="Z7" i="31"/>
  <c r="U361" i="26"/>
  <c r="U191" i="22" s="1"/>
  <c r="U337" i="26"/>
  <c r="T343" i="26"/>
  <c r="T160" i="22"/>
  <c r="U291" i="26"/>
  <c r="V291" i="26" s="1"/>
  <c r="W291" i="26" s="1"/>
  <c r="W343" i="26" l="1"/>
  <c r="W160" i="22"/>
  <c r="V160" i="22"/>
  <c r="V343" i="26"/>
  <c r="U97" i="22"/>
  <c r="V334" i="26"/>
  <c r="AB6" i="31"/>
  <c r="AB7" i="31" s="1"/>
  <c r="AA7" i="31"/>
  <c r="K61" i="22"/>
  <c r="U343" i="26"/>
  <c r="U160" i="22"/>
  <c r="V361" i="26" l="1"/>
  <c r="V337" i="26"/>
  <c r="K179" i="22"/>
  <c r="L158" i="31" s="1"/>
  <c r="L24" i="31" s="1"/>
  <c r="L25" i="31" s="1"/>
  <c r="O281" i="26"/>
  <c r="O340" i="26"/>
  <c r="O343" i="26" s="1"/>
  <c r="V97" i="22" l="1"/>
  <c r="W334" i="26"/>
  <c r="O317" i="26"/>
  <c r="R317" i="26" s="1"/>
  <c r="S317" i="26" s="1"/>
  <c r="T317" i="26" s="1"/>
  <c r="U317" i="26" s="1"/>
  <c r="V317" i="26" s="1"/>
  <c r="W317" i="26" s="1"/>
  <c r="O305" i="26"/>
  <c r="R305" i="26" s="1"/>
  <c r="S305" i="26" s="1"/>
  <c r="U305" i="26" s="1"/>
  <c r="V305" i="26" s="1"/>
  <c r="W305" i="26" s="1"/>
  <c r="O284" i="26"/>
  <c r="V191" i="22"/>
  <c r="K187" i="22"/>
  <c r="W337" i="26" l="1"/>
  <c r="W97" i="22" s="1"/>
  <c r="W361" i="26"/>
  <c r="W191" i="22" s="1"/>
  <c r="O62" i="22"/>
  <c r="R281" i="26" l="1"/>
  <c r="R309" i="26" s="1"/>
  <c r="R62" i="22" l="1"/>
  <c r="R299" i="26"/>
  <c r="R283" i="26" l="1"/>
  <c r="R151" i="22" s="1"/>
  <c r="R282" i="26"/>
  <c r="R285" i="26" l="1"/>
  <c r="R182" i="22"/>
  <c r="R84" i="22" l="1"/>
  <c r="S281" i="26"/>
  <c r="S299" i="26" l="1"/>
  <c r="S309" i="26"/>
  <c r="S62" i="22" s="1"/>
  <c r="G277" i="26"/>
  <c r="G278" i="26"/>
  <c r="J273" i="26"/>
  <c r="J315" i="26" s="1"/>
  <c r="K60" i="22" s="1"/>
  <c r="A280" i="26"/>
  <c r="A272" i="26"/>
  <c r="K59" i="22" l="1"/>
  <c r="J278" i="26"/>
  <c r="J304" i="26"/>
  <c r="S283" i="26"/>
  <c r="S151" i="22" s="1"/>
  <c r="I273" i="26"/>
  <c r="B242" i="26"/>
  <c r="G245" i="26"/>
  <c r="I245" i="26"/>
  <c r="K243" i="26" s="1"/>
  <c r="K244" i="26" s="1"/>
  <c r="J245" i="26"/>
  <c r="G239" i="26"/>
  <c r="I239" i="26"/>
  <c r="K237" i="26" s="1"/>
  <c r="K238" i="26" s="1"/>
  <c r="J239" i="26"/>
  <c r="B236" i="26"/>
  <c r="B230" i="26"/>
  <c r="G233" i="26"/>
  <c r="I233" i="26"/>
  <c r="K231" i="26" s="1"/>
  <c r="K232" i="26" s="1"/>
  <c r="J233" i="26"/>
  <c r="G227" i="26"/>
  <c r="I227" i="26"/>
  <c r="K225" i="26" s="1"/>
  <c r="K226" i="26" s="1"/>
  <c r="J227" i="26"/>
  <c r="G221" i="26"/>
  <c r="I221" i="26"/>
  <c r="J221" i="26"/>
  <c r="R20" i="22"/>
  <c r="S20" i="22"/>
  <c r="T20" i="22"/>
  <c r="U20" i="22"/>
  <c r="R21" i="22"/>
  <c r="S21" i="22"/>
  <c r="T21" i="22"/>
  <c r="U21" i="22"/>
  <c r="G180" i="26"/>
  <c r="H180" i="26"/>
  <c r="I180" i="26"/>
  <c r="J180" i="26"/>
  <c r="G181" i="26"/>
  <c r="H181" i="26"/>
  <c r="I181" i="26"/>
  <c r="J181" i="26"/>
  <c r="G182" i="26"/>
  <c r="H182" i="26"/>
  <c r="I182" i="26"/>
  <c r="J182" i="26"/>
  <c r="J97" i="26"/>
  <c r="J98" i="26"/>
  <c r="J99" i="26"/>
  <c r="J101" i="26"/>
  <c r="J96" i="26"/>
  <c r="I101" i="26"/>
  <c r="I97" i="26"/>
  <c r="I98" i="26"/>
  <c r="I99" i="26"/>
  <c r="I96" i="26"/>
  <c r="J175" i="26"/>
  <c r="J174" i="26"/>
  <c r="J173" i="26"/>
  <c r="J172" i="26"/>
  <c r="J171" i="26"/>
  <c r="J170" i="26"/>
  <c r="J169" i="26"/>
  <c r="I175" i="26"/>
  <c r="I174" i="26"/>
  <c r="I173" i="26"/>
  <c r="I172" i="26"/>
  <c r="I171" i="26"/>
  <c r="I170" i="26"/>
  <c r="I169" i="26"/>
  <c r="G170" i="26"/>
  <c r="G171" i="26"/>
  <c r="G172" i="26"/>
  <c r="G173" i="26"/>
  <c r="G174" i="26"/>
  <c r="G175" i="26"/>
  <c r="G169" i="26"/>
  <c r="H91" i="26"/>
  <c r="I91" i="26"/>
  <c r="J91" i="26"/>
  <c r="I136" i="26" l="1"/>
  <c r="I107" i="26"/>
  <c r="L157" i="31"/>
  <c r="J140" i="26"/>
  <c r="J142" i="26"/>
  <c r="J136" i="26"/>
  <c r="I304" i="26"/>
  <c r="I315" i="26"/>
  <c r="I140" i="26"/>
  <c r="I142" i="26"/>
  <c r="G267" i="26"/>
  <c r="G133" i="22" s="1"/>
  <c r="G142" i="26"/>
  <c r="G141" i="26"/>
  <c r="J267" i="26"/>
  <c r="J133" i="22" s="1"/>
  <c r="J134" i="22" s="1"/>
  <c r="I267" i="26"/>
  <c r="I219" i="26"/>
  <c r="I220" i="26" s="1"/>
  <c r="S282" i="26"/>
  <c r="I231" i="26"/>
  <c r="I232" i="26" s="1"/>
  <c r="I237" i="26"/>
  <c r="I238" i="26" s="1"/>
  <c r="J243" i="26"/>
  <c r="J244" i="26" s="1"/>
  <c r="I243" i="26"/>
  <c r="I244" i="26" s="1"/>
  <c r="J237" i="26"/>
  <c r="J238" i="26" s="1"/>
  <c r="J249" i="26"/>
  <c r="J250" i="26" s="1"/>
  <c r="I249" i="26"/>
  <c r="I250" i="26" s="1"/>
  <c r="J219" i="26"/>
  <c r="J220" i="26" s="1"/>
  <c r="K219" i="26"/>
  <c r="J231" i="26"/>
  <c r="J232" i="26" s="1"/>
  <c r="I225" i="26"/>
  <c r="I226" i="26" s="1"/>
  <c r="J225" i="26"/>
  <c r="J226" i="26" s="1"/>
  <c r="G54" i="26"/>
  <c r="G64" i="26" s="1"/>
  <c r="H54" i="26"/>
  <c r="H64" i="26" s="1"/>
  <c r="I54" i="26"/>
  <c r="I64" i="26" s="1"/>
  <c r="G55" i="26"/>
  <c r="G65" i="26" s="1"/>
  <c r="H55" i="26"/>
  <c r="H65" i="26" s="1"/>
  <c r="I55" i="26"/>
  <c r="I65" i="26" s="1"/>
  <c r="J55" i="26"/>
  <c r="J65" i="26" s="1"/>
  <c r="G56" i="26"/>
  <c r="G66" i="26" s="1"/>
  <c r="H56" i="26"/>
  <c r="H66" i="26" s="1"/>
  <c r="I56" i="26"/>
  <c r="I66" i="26" s="1"/>
  <c r="J56" i="26"/>
  <c r="J66" i="26" s="1"/>
  <c r="H49" i="26"/>
  <c r="J49" i="26"/>
  <c r="J264" i="26" s="1"/>
  <c r="G49" i="26"/>
  <c r="G222" i="26" s="1"/>
  <c r="J10" i="26"/>
  <c r="L11" i="26" s="1"/>
  <c r="H10" i="26"/>
  <c r="H18" i="26" s="1"/>
  <c r="G10" i="26"/>
  <c r="J18" i="26" l="1"/>
  <c r="G18" i="26"/>
  <c r="G258" i="26" s="1"/>
  <c r="G127" i="22" s="1"/>
  <c r="G53" i="26"/>
  <c r="J143" i="26"/>
  <c r="I143" i="26"/>
  <c r="O273" i="26"/>
  <c r="J240" i="26"/>
  <c r="J126" i="22" s="1"/>
  <c r="L159" i="31"/>
  <c r="I133" i="22"/>
  <c r="I49" i="26"/>
  <c r="I42" i="26"/>
  <c r="I145" i="26"/>
  <c r="G145" i="26"/>
  <c r="G139" i="26"/>
  <c r="I18" i="26"/>
  <c r="I11" i="26"/>
  <c r="G143" i="26"/>
  <c r="G240" i="26"/>
  <c r="G126" i="22" s="1"/>
  <c r="G264" i="26"/>
  <c r="H301" i="26"/>
  <c r="H302" i="26"/>
  <c r="S182" i="22"/>
  <c r="S285" i="26"/>
  <c r="H185" i="26"/>
  <c r="H205" i="26"/>
  <c r="J246" i="26"/>
  <c r="G246" i="26"/>
  <c r="H187" i="26"/>
  <c r="H186" i="26"/>
  <c r="H53" i="26"/>
  <c r="H63" i="26" s="1"/>
  <c r="I53" i="26"/>
  <c r="J53" i="26"/>
  <c r="J63" i="26" s="1"/>
  <c r="J86" i="26"/>
  <c r="I86" i="26"/>
  <c r="G86" i="26"/>
  <c r="H78" i="26"/>
  <c r="I78" i="26"/>
  <c r="G78" i="26"/>
  <c r="H188" i="22"/>
  <c r="G185" i="22"/>
  <c r="G148" i="22"/>
  <c r="H152" i="22"/>
  <c r="I152" i="22"/>
  <c r="G152" i="22"/>
  <c r="H148" i="22"/>
  <c r="I148" i="22"/>
  <c r="L21" i="31" s="1"/>
  <c r="I114" i="22"/>
  <c r="G114" i="22"/>
  <c r="I107" i="22"/>
  <c r="G107" i="22"/>
  <c r="I100" i="22"/>
  <c r="G100" i="22"/>
  <c r="I81" i="22"/>
  <c r="G90" i="22"/>
  <c r="G134" i="22" s="1"/>
  <c r="I90" i="22"/>
  <c r="G81" i="22"/>
  <c r="O304" i="26" l="1"/>
  <c r="O315" i="26"/>
  <c r="R315" i="26" s="1"/>
  <c r="S315" i="26" s="1"/>
  <c r="I240" i="26"/>
  <c r="I126" i="22" s="1"/>
  <c r="I222" i="26"/>
  <c r="I124" i="22" s="1"/>
  <c r="G188" i="22"/>
  <c r="J302" i="26"/>
  <c r="J258" i="26"/>
  <c r="J127" i="22" s="1"/>
  <c r="J186" i="26"/>
  <c r="J312" i="26"/>
  <c r="J313" i="26"/>
  <c r="J234" i="26"/>
  <c r="J266" i="26"/>
  <c r="J301" i="26"/>
  <c r="J350" i="26"/>
  <c r="J185" i="26"/>
  <c r="J311" i="26"/>
  <c r="J187" i="26"/>
  <c r="J205" i="26"/>
  <c r="J210" i="26" s="1"/>
  <c r="J255" i="26"/>
  <c r="J228" i="26"/>
  <c r="J125" i="22" s="1"/>
  <c r="J222" i="26"/>
  <c r="J124" i="22" s="1"/>
  <c r="J92" i="26"/>
  <c r="G234" i="26"/>
  <c r="G255" i="26"/>
  <c r="G124" i="22"/>
  <c r="G301" i="26"/>
  <c r="G186" i="26"/>
  <c r="G228" i="26"/>
  <c r="G125" i="22" s="1"/>
  <c r="G302" i="26"/>
  <c r="G205" i="26"/>
  <c r="G350" i="26"/>
  <c r="G185" i="26"/>
  <c r="G88" i="26"/>
  <c r="R81" i="26"/>
  <c r="G187" i="26"/>
  <c r="I19" i="26"/>
  <c r="I301" i="26"/>
  <c r="I302" i="26"/>
  <c r="K92" i="26"/>
  <c r="K109" i="26" s="1"/>
  <c r="K100" i="26"/>
  <c r="S66" i="26"/>
  <c r="T66" i="26" s="1"/>
  <c r="U66" i="26" s="1"/>
  <c r="V66" i="26" s="1"/>
  <c r="W66" i="26" s="1"/>
  <c r="I311" i="26"/>
  <c r="I313" i="26"/>
  <c r="I312" i="26"/>
  <c r="I205" i="26"/>
  <c r="I266" i="26"/>
  <c r="I246" i="26"/>
  <c r="I264" i="26"/>
  <c r="L27" i="31"/>
  <c r="I92" i="26"/>
  <c r="I228" i="26"/>
  <c r="I125" i="22" s="1"/>
  <c r="G130" i="22"/>
  <c r="I134" i="22"/>
  <c r="I130" i="22"/>
  <c r="I234" i="26"/>
  <c r="I258" i="26"/>
  <c r="I127" i="22" s="1"/>
  <c r="I187" i="26"/>
  <c r="I350" i="26"/>
  <c r="I186" i="26"/>
  <c r="I185" i="26"/>
  <c r="I255" i="26"/>
  <c r="K74" i="26"/>
  <c r="I79" i="26"/>
  <c r="G325" i="26"/>
  <c r="L23" i="31"/>
  <c r="L22" i="31"/>
  <c r="L249" i="31"/>
  <c r="L26" i="31"/>
  <c r="L29" i="31" s="1"/>
  <c r="S84" i="22"/>
  <c r="T281" i="26"/>
  <c r="I108" i="22"/>
  <c r="I115" i="22" s="1"/>
  <c r="J88" i="26"/>
  <c r="J100" i="26"/>
  <c r="I88" i="26"/>
  <c r="I100" i="26"/>
  <c r="I57" i="26"/>
  <c r="I63" i="26"/>
  <c r="G57" i="26"/>
  <c r="G63" i="26"/>
  <c r="J57" i="26"/>
  <c r="J59" i="26" s="1"/>
  <c r="J69" i="26" s="1"/>
  <c r="H57" i="26"/>
  <c r="G108" i="22"/>
  <c r="G115" i="22" s="1"/>
  <c r="G91" i="22"/>
  <c r="I91" i="22"/>
  <c r="J12" i="22"/>
  <c r="J128" i="22" l="1"/>
  <c r="J70" i="26"/>
  <c r="G128" i="22"/>
  <c r="G89" i="26"/>
  <c r="H67" i="26"/>
  <c r="G67" i="26"/>
  <c r="G59" i="26"/>
  <c r="G69" i="26" s="1"/>
  <c r="I67" i="26"/>
  <c r="I59" i="26"/>
  <c r="I69" i="26" s="1"/>
  <c r="K102" i="26"/>
  <c r="J67" i="26"/>
  <c r="K78" i="26"/>
  <c r="M74" i="26" s="1"/>
  <c r="K118" i="26"/>
  <c r="O60" i="22"/>
  <c r="T299" i="26"/>
  <c r="T309" i="26"/>
  <c r="I128" i="22"/>
  <c r="I12" i="22"/>
  <c r="G42" i="22"/>
  <c r="I116" i="22"/>
  <c r="G116" i="22"/>
  <c r="J89" i="26"/>
  <c r="J102" i="26"/>
  <c r="K91" i="26"/>
  <c r="K107" i="26" s="1"/>
  <c r="I102" i="26"/>
  <c r="I89" i="26"/>
  <c r="M91" i="26" l="1"/>
  <c r="M78" i="26"/>
  <c r="L74" i="26"/>
  <c r="K79" i="26"/>
  <c r="I70" i="26"/>
  <c r="G70" i="26"/>
  <c r="K89" i="26"/>
  <c r="K142" i="26"/>
  <c r="K140" i="26"/>
  <c r="K136" i="26"/>
  <c r="T62" i="22"/>
  <c r="K126" i="26"/>
  <c r="K127" i="26" s="1"/>
  <c r="M127" i="26" s="1"/>
  <c r="K128" i="26"/>
  <c r="K124" i="26"/>
  <c r="K122" i="26"/>
  <c r="K120" i="26"/>
  <c r="S138" i="26"/>
  <c r="O74" i="26"/>
  <c r="O78" i="26" s="1"/>
  <c r="T283" i="26"/>
  <c r="T151" i="22" s="1"/>
  <c r="O102" i="26"/>
  <c r="M136" i="26" l="1"/>
  <c r="M140" i="26"/>
  <c r="N74" i="26"/>
  <c r="N78" i="26" s="1"/>
  <c r="N89" i="26" s="1"/>
  <c r="M89" i="26"/>
  <c r="L91" i="26"/>
  <c r="L78" i="26"/>
  <c r="L89" i="26" s="1"/>
  <c r="K143" i="26"/>
  <c r="K130" i="26"/>
  <c r="K131" i="26" s="1"/>
  <c r="I34" i="26"/>
  <c r="I31" i="26" s="1"/>
  <c r="I22" i="26" s="1"/>
  <c r="R273" i="26"/>
  <c r="R297" i="26" s="1"/>
  <c r="R274" i="26" s="1"/>
  <c r="T138" i="26"/>
  <c r="O119" i="26"/>
  <c r="O125" i="26"/>
  <c r="P125" i="26" s="1"/>
  <c r="O127" i="26"/>
  <c r="P127" i="26" s="1"/>
  <c r="O121" i="26"/>
  <c r="R129" i="26"/>
  <c r="O123" i="26"/>
  <c r="T282" i="26"/>
  <c r="L136" i="26" l="1"/>
  <c r="L140" i="26"/>
  <c r="L142" i="26"/>
  <c r="I24" i="26"/>
  <c r="I113" i="26" s="1"/>
  <c r="I109" i="26"/>
  <c r="K110" i="26" s="1"/>
  <c r="I23" i="26"/>
  <c r="K23" i="26"/>
  <c r="I37" i="26"/>
  <c r="K141" i="26"/>
  <c r="K137" i="26"/>
  <c r="M137" i="26" s="1"/>
  <c r="O137" i="26" s="1"/>
  <c r="I33" i="26"/>
  <c r="R307" i="26"/>
  <c r="R180" i="22"/>
  <c r="K139" i="26"/>
  <c r="R123" i="26"/>
  <c r="R125" i="26"/>
  <c r="S129" i="26"/>
  <c r="R121" i="26"/>
  <c r="R127" i="26"/>
  <c r="R119" i="26"/>
  <c r="U138" i="26"/>
  <c r="V138" i="26" s="1"/>
  <c r="W138" i="26" s="1"/>
  <c r="K46" i="26"/>
  <c r="T182" i="22"/>
  <c r="T285" i="26"/>
  <c r="L143" i="26" l="1"/>
  <c r="R179" i="22"/>
  <c r="K108" i="26"/>
  <c r="I25" i="26"/>
  <c r="K25" i="26"/>
  <c r="I110" i="26"/>
  <c r="I112" i="26" s="1"/>
  <c r="K112" i="26"/>
  <c r="J139" i="26"/>
  <c r="J137" i="26"/>
  <c r="J141" i="26"/>
  <c r="R60" i="22"/>
  <c r="R275" i="26"/>
  <c r="R149" i="22" s="1"/>
  <c r="S119" i="26"/>
  <c r="S127" i="26"/>
  <c r="S121" i="26"/>
  <c r="T129" i="26"/>
  <c r="S125" i="26"/>
  <c r="S123" i="26"/>
  <c r="K55" i="26"/>
  <c r="K65" i="26" s="1"/>
  <c r="M65" i="26" s="1"/>
  <c r="K15" i="26"/>
  <c r="T84" i="22"/>
  <c r="U281" i="26"/>
  <c r="M55" i="26" l="1"/>
  <c r="P65" i="26"/>
  <c r="P55" i="26" s="1"/>
  <c r="O91" i="26"/>
  <c r="O136" i="26" s="1"/>
  <c r="I139" i="26"/>
  <c r="I137" i="26"/>
  <c r="I141" i="26"/>
  <c r="I108" i="26"/>
  <c r="I114" i="26"/>
  <c r="K114" i="26"/>
  <c r="K116" i="26" s="1"/>
  <c r="R278" i="26"/>
  <c r="U299" i="26"/>
  <c r="U309" i="26"/>
  <c r="U62" i="22" s="1"/>
  <c r="U129" i="26"/>
  <c r="V129" i="26" s="1"/>
  <c r="W129" i="26" s="1"/>
  <c r="T123" i="26"/>
  <c r="T125" i="26"/>
  <c r="T121" i="26"/>
  <c r="T119" i="26"/>
  <c r="T127" i="26"/>
  <c r="O15" i="26"/>
  <c r="M54" i="26" l="1"/>
  <c r="M45" i="26"/>
  <c r="O140" i="26"/>
  <c r="R82" i="22"/>
  <c r="S273" i="26"/>
  <c r="S297" i="26" s="1"/>
  <c r="K48" i="26"/>
  <c r="K17" i="26"/>
  <c r="U127" i="26"/>
  <c r="V127" i="26" s="1"/>
  <c r="W127" i="26" s="1"/>
  <c r="U119" i="26"/>
  <c r="V119" i="26" s="1"/>
  <c r="W119" i="26" s="1"/>
  <c r="U123" i="26"/>
  <c r="V123" i="26" s="1"/>
  <c r="W123" i="26" s="1"/>
  <c r="U125" i="26"/>
  <c r="V125" i="26" s="1"/>
  <c r="W125" i="26" s="1"/>
  <c r="U121" i="26"/>
  <c r="V121" i="26" s="1"/>
  <c r="W121" i="26" s="1"/>
  <c r="U283" i="26"/>
  <c r="U151" i="22" s="1"/>
  <c r="M144" i="26" l="1"/>
  <c r="M145" i="26" s="1"/>
  <c r="M64" i="26"/>
  <c r="M43" i="26"/>
  <c r="N54" i="26"/>
  <c r="N64" i="26" s="1"/>
  <c r="O17" i="26"/>
  <c r="S307" i="26"/>
  <c r="S274" i="26"/>
  <c r="S180" i="22" s="1"/>
  <c r="S179" i="22" s="1"/>
  <c r="K10" i="26"/>
  <c r="K13" i="26"/>
  <c r="K44" i="26"/>
  <c r="K41" i="26"/>
  <c r="U282" i="26"/>
  <c r="F146" i="22"/>
  <c r="N43" i="26" l="1"/>
  <c r="N142" i="26" s="1"/>
  <c r="N143" i="26" s="1"/>
  <c r="Q143" i="26" s="1"/>
  <c r="M142" i="26"/>
  <c r="M143" i="26" s="1"/>
  <c r="M41" i="26"/>
  <c r="M49" i="26" s="1"/>
  <c r="S60" i="22"/>
  <c r="S275" i="26"/>
  <c r="S149" i="22" s="1"/>
  <c r="K42" i="26"/>
  <c r="K49" i="26"/>
  <c r="K222" i="26" s="1"/>
  <c r="K18" i="26"/>
  <c r="K301" i="26" s="1"/>
  <c r="K11" i="26"/>
  <c r="K53" i="26"/>
  <c r="K57" i="26" s="1"/>
  <c r="K59" i="26" s="1"/>
  <c r="K69" i="26" s="1"/>
  <c r="U182" i="22"/>
  <c r="U285" i="26"/>
  <c r="U84" i="22" l="1"/>
  <c r="V281" i="26"/>
  <c r="O10" i="26"/>
  <c r="N10" i="26" s="1"/>
  <c r="O13" i="26"/>
  <c r="K70" i="26"/>
  <c r="K312" i="26"/>
  <c r="K124" i="22"/>
  <c r="K246" i="26"/>
  <c r="K264" i="26"/>
  <c r="K240" i="26"/>
  <c r="K350" i="26"/>
  <c r="K234" i="26"/>
  <c r="K313" i="26"/>
  <c r="K258" i="26"/>
  <c r="K311" i="26"/>
  <c r="K302" i="26"/>
  <c r="K255" i="26"/>
  <c r="K186" i="26"/>
  <c r="K228" i="26"/>
  <c r="K187" i="26"/>
  <c r="K185" i="26"/>
  <c r="K19" i="26"/>
  <c r="K205" i="26"/>
  <c r="K210" i="26" s="1"/>
  <c r="S278" i="26"/>
  <c r="K67" i="26"/>
  <c r="K63" i="26"/>
  <c r="V299" i="26" l="1"/>
  <c r="V309" i="26"/>
  <c r="O18" i="26"/>
  <c r="O11" i="26"/>
  <c r="K125" i="22"/>
  <c r="K126" i="22"/>
  <c r="T273" i="26"/>
  <c r="T297" i="26" s="1"/>
  <c r="S82" i="22"/>
  <c r="K127" i="22"/>
  <c r="O249" i="26"/>
  <c r="K11" i="22"/>
  <c r="K9" i="22"/>
  <c r="M10" i="31"/>
  <c r="O231" i="26"/>
  <c r="O237" i="26"/>
  <c r="O225" i="26"/>
  <c r="O261" i="26"/>
  <c r="K34" i="26"/>
  <c r="K31" i="26" s="1"/>
  <c r="K220" i="26"/>
  <c r="O219" i="26"/>
  <c r="O243" i="26"/>
  <c r="O350" i="26" l="1"/>
  <c r="R350" i="26" s="1"/>
  <c r="S350" i="26" s="1"/>
  <c r="T350" i="26" s="1"/>
  <c r="U350" i="26" s="1"/>
  <c r="V350" i="26" s="1"/>
  <c r="W350" i="26" s="1"/>
  <c r="N18" i="26"/>
  <c r="O205" i="26"/>
  <c r="O228" i="26"/>
  <c r="R228" i="26" s="1"/>
  <c r="O234" i="26"/>
  <c r="R234" i="26" s="1"/>
  <c r="S234" i="26" s="1"/>
  <c r="T234" i="26" s="1"/>
  <c r="U234" i="26" s="1"/>
  <c r="V234" i="26" s="1"/>
  <c r="W234" i="26" s="1"/>
  <c r="O258" i="26"/>
  <c r="O255" i="26"/>
  <c r="R255" i="26" s="1"/>
  <c r="S255" i="26" s="1"/>
  <c r="T255" i="26" s="1"/>
  <c r="U255" i="26" s="1"/>
  <c r="V255" i="26" s="1"/>
  <c r="W255" i="26" s="1"/>
  <c r="V62" i="22"/>
  <c r="V283" i="26"/>
  <c r="V151" i="22" s="1"/>
  <c r="V282" i="26"/>
  <c r="O210" i="26"/>
  <c r="S205" i="26"/>
  <c r="T205" i="26" s="1"/>
  <c r="U205" i="26" s="1"/>
  <c r="V205" i="26" s="1"/>
  <c r="W205" i="26" s="1"/>
  <c r="O313" i="26"/>
  <c r="O302" i="26"/>
  <c r="O311" i="26"/>
  <c r="O301" i="26"/>
  <c r="O213" i="26"/>
  <c r="O19" i="26"/>
  <c r="K42" i="22"/>
  <c r="K128" i="22"/>
  <c r="T307" i="26"/>
  <c r="T274" i="26"/>
  <c r="T180" i="22" s="1"/>
  <c r="T179" i="22" s="1"/>
  <c r="M11" i="31"/>
  <c r="K12" i="22"/>
  <c r="K266" i="26"/>
  <c r="K107" i="22"/>
  <c r="K100" i="22"/>
  <c r="K33" i="26"/>
  <c r="K246" i="31"/>
  <c r="N185" i="26" l="1"/>
  <c r="N186" i="26"/>
  <c r="N187" i="26"/>
  <c r="O125" i="22"/>
  <c r="R210" i="26"/>
  <c r="S210" i="26" s="1"/>
  <c r="T210" i="26" s="1"/>
  <c r="U210" i="26" s="1"/>
  <c r="V210" i="26" s="1"/>
  <c r="W210" i="26" s="1"/>
  <c r="V182" i="22"/>
  <c r="V285" i="26"/>
  <c r="O122" i="22"/>
  <c r="O127" i="22"/>
  <c r="R249" i="26"/>
  <c r="O232" i="26"/>
  <c r="R231" i="26"/>
  <c r="O250" i="26"/>
  <c r="O9" i="22"/>
  <c r="O46" i="22"/>
  <c r="O45" i="22"/>
  <c r="O44" i="22"/>
  <c r="O220" i="26"/>
  <c r="R219" i="26"/>
  <c r="R225" i="26"/>
  <c r="R125" i="22"/>
  <c r="S228" i="26"/>
  <c r="O226" i="26"/>
  <c r="T60" i="22"/>
  <c r="T275" i="26"/>
  <c r="K108" i="22"/>
  <c r="O288" i="26"/>
  <c r="V84" i="22" l="1"/>
  <c r="W281" i="26"/>
  <c r="O293" i="26"/>
  <c r="R293" i="26" s="1"/>
  <c r="T293" i="26" s="1"/>
  <c r="V293" i="26" s="1"/>
  <c r="W293" i="26" s="1"/>
  <c r="O316" i="26"/>
  <c r="R316" i="26" s="1"/>
  <c r="S316" i="26" s="1"/>
  <c r="T316" i="26" s="1"/>
  <c r="U316" i="26" s="1"/>
  <c r="V316" i="26" s="1"/>
  <c r="W316" i="26" s="1"/>
  <c r="O120" i="22"/>
  <c r="O312" i="26"/>
  <c r="S125" i="22"/>
  <c r="T228" i="26"/>
  <c r="T149" i="22"/>
  <c r="T278" i="26"/>
  <c r="W309" i="26" l="1"/>
  <c r="W62" i="22" s="1"/>
  <c r="W299" i="26"/>
  <c r="O61" i="22"/>
  <c r="O59" i="22" s="1"/>
  <c r="T125" i="22"/>
  <c r="U228" i="26"/>
  <c r="U273" i="26"/>
  <c r="U297" i="26" s="1"/>
  <c r="U274" i="26" s="1"/>
  <c r="T82" i="22"/>
  <c r="O188" i="22"/>
  <c r="W282" i="26" l="1"/>
  <c r="W283" i="26"/>
  <c r="W151" i="22" s="1"/>
  <c r="M157" i="31"/>
  <c r="M21" i="31" s="1"/>
  <c r="O148" i="22"/>
  <c r="O351" i="26"/>
  <c r="U125" i="22"/>
  <c r="V228" i="26"/>
  <c r="W228" i="26" s="1"/>
  <c r="W125" i="22" s="1"/>
  <c r="U307" i="26"/>
  <c r="R288" i="26"/>
  <c r="R308" i="26" s="1"/>
  <c r="W285" i="26" l="1"/>
  <c r="W84" i="22" s="1"/>
  <c r="W182" i="22"/>
  <c r="M22" i="31"/>
  <c r="V125" i="22"/>
  <c r="U60" i="22"/>
  <c r="U275" i="26"/>
  <c r="U149" i="22" s="1"/>
  <c r="R61" i="22"/>
  <c r="R289" i="26"/>
  <c r="R340" i="26"/>
  <c r="R290" i="26"/>
  <c r="R150" i="22" s="1"/>
  <c r="R148" i="22" s="1"/>
  <c r="M158" i="31" l="1"/>
  <c r="M24" i="31" s="1"/>
  <c r="R59" i="22"/>
  <c r="N157" i="31" s="1"/>
  <c r="N21" i="31" s="1"/>
  <c r="U180" i="22"/>
  <c r="U179" i="22" s="1"/>
  <c r="U278" i="26"/>
  <c r="R341" i="26"/>
  <c r="R292" i="26"/>
  <c r="M25" i="31" l="1"/>
  <c r="M23" i="31"/>
  <c r="U82" i="22"/>
  <c r="V273" i="26"/>
  <c r="S288" i="26"/>
  <c r="S308" i="26" s="1"/>
  <c r="R83" i="22"/>
  <c r="V297" i="26" l="1"/>
  <c r="V307" i="26"/>
  <c r="R90" i="22"/>
  <c r="S61" i="22"/>
  <c r="S289" i="26"/>
  <c r="S290" i="26"/>
  <c r="S150" i="22" s="1"/>
  <c r="S148" i="22" s="1"/>
  <c r="V60" i="22" l="1"/>
  <c r="V275" i="26"/>
  <c r="V149" i="22" s="1"/>
  <c r="V274" i="26"/>
  <c r="S59" i="22"/>
  <c r="S341" i="26"/>
  <c r="S188" i="22"/>
  <c r="S292" i="26"/>
  <c r="O157" i="31" l="1"/>
  <c r="O21" i="31" s="1"/>
  <c r="V180" i="22"/>
  <c r="V278" i="26"/>
  <c r="T288" i="26"/>
  <c r="T308" i="26" s="1"/>
  <c r="S83" i="22"/>
  <c r="V82" i="22" l="1"/>
  <c r="W273" i="26"/>
  <c r="V179" i="22"/>
  <c r="V188" i="22"/>
  <c r="S90" i="22"/>
  <c r="T61" i="22"/>
  <c r="T289" i="26"/>
  <c r="T341" i="26" s="1"/>
  <c r="W297" i="26" l="1"/>
  <c r="W307" i="26"/>
  <c r="W60" i="22" s="1"/>
  <c r="T59" i="22"/>
  <c r="T290" i="26"/>
  <c r="T150" i="22" s="1"/>
  <c r="T148" i="22" s="1"/>
  <c r="T188" i="22"/>
  <c r="W275" i="26" l="1"/>
  <c r="W149" i="22" s="1"/>
  <c r="W274" i="26"/>
  <c r="P157" i="31"/>
  <c r="P21" i="31" s="1"/>
  <c r="T292" i="26"/>
  <c r="T83" i="22" s="1"/>
  <c r="W278" i="26" l="1"/>
  <c r="W82" i="22" s="1"/>
  <c r="W180" i="22"/>
  <c r="U288" i="26"/>
  <c r="U308" i="26" s="1"/>
  <c r="U61" i="22" s="1"/>
  <c r="T90" i="22"/>
  <c r="W188" i="22" l="1"/>
  <c r="W179" i="22"/>
  <c r="U289" i="26"/>
  <c r="X307" i="26" s="1"/>
  <c r="U59" i="22"/>
  <c r="U290" i="26"/>
  <c r="U150" i="22" s="1"/>
  <c r="U148" i="22" s="1"/>
  <c r="U188" i="22"/>
  <c r="U341" i="26" l="1"/>
  <c r="Q157" i="31"/>
  <c r="Q21" i="31" s="1"/>
  <c r="U292" i="26"/>
  <c r="U83" i="22" l="1"/>
  <c r="U90" i="22" s="1"/>
  <c r="V288" i="26"/>
  <c r="K177" i="22"/>
  <c r="V308" i="26" l="1"/>
  <c r="V289" i="26"/>
  <c r="V341" i="26" s="1"/>
  <c r="V61" i="22" l="1"/>
  <c r="V290" i="26"/>
  <c r="V150" i="22" s="1"/>
  <c r="V148" i="22" s="1"/>
  <c r="V292" i="26" l="1"/>
  <c r="V59" i="22"/>
  <c r="R157" i="31" s="1"/>
  <c r="R21" i="31" s="1"/>
  <c r="AH21" i="31" s="1"/>
  <c r="V83" i="22" l="1"/>
  <c r="V90" i="22" s="1"/>
  <c r="W288" i="26"/>
  <c r="W308" i="26" l="1"/>
  <c r="W61" i="22" s="1"/>
  <c r="W59" i="22" s="1"/>
  <c r="W289" i="26"/>
  <c r="W341" i="26" s="1"/>
  <c r="R261" i="26"/>
  <c r="R243" i="26"/>
  <c r="O244" i="26"/>
  <c r="W290" i="26" l="1"/>
  <c r="O11" i="22"/>
  <c r="O267" i="26"/>
  <c r="M182" i="31" s="1"/>
  <c r="O119" i="22"/>
  <c r="O262" i="26"/>
  <c r="O238" i="26"/>
  <c r="R237" i="26"/>
  <c r="W292" i="26" l="1"/>
  <c r="W83" i="22" s="1"/>
  <c r="W90" i="22" s="1"/>
  <c r="W150" i="22"/>
  <c r="W148" i="22" s="1"/>
  <c r="O12" i="22"/>
  <c r="N11" i="22"/>
  <c r="N42" i="22" s="1"/>
  <c r="O42" i="22"/>
  <c r="O57" i="26"/>
  <c r="M27" i="31"/>
  <c r="M159" i="31"/>
  <c r="O107" i="22"/>
  <c r="O121" i="22"/>
  <c r="O100" i="22"/>
  <c r="O108" i="22" s="1"/>
  <c r="O266" i="26"/>
  <c r="O133" i="22"/>
  <c r="O55" i="26" l="1"/>
  <c r="N55" i="26" s="1"/>
  <c r="N65" i="26" s="1"/>
  <c r="N57" i="26"/>
  <c r="N67" i="26" s="1"/>
  <c r="M249" i="31"/>
  <c r="M26" i="31"/>
  <c r="M29" i="31" s="1"/>
  <c r="O134" i="22"/>
  <c r="O53" i="26" l="1"/>
  <c r="N53" i="26" s="1"/>
  <c r="N63" i="26" s="1"/>
  <c r="O45" i="26"/>
  <c r="N45" i="26" s="1"/>
  <c r="N144" i="26" s="1"/>
  <c r="N145" i="26" s="1"/>
  <c r="Q145" i="26" s="1"/>
  <c r="R101" i="26"/>
  <c r="R102" i="26" l="1"/>
  <c r="S101" i="26" l="1"/>
  <c r="S88" i="26"/>
  <c r="S102" i="26" l="1"/>
  <c r="T101" i="26" l="1"/>
  <c r="T88" i="26"/>
  <c r="T102" i="26" l="1"/>
  <c r="U101" i="26" l="1"/>
  <c r="U102" i="26" l="1"/>
  <c r="AD25" i="31" l="1"/>
  <c r="AC25" i="31" s="1"/>
  <c r="G144" i="31"/>
  <c r="O100" i="26" l="1"/>
  <c r="O101" i="26" l="1"/>
  <c r="H210" i="26" l="1"/>
  <c r="I210" i="26"/>
  <c r="G210" i="26"/>
  <c r="H213" i="26"/>
  <c r="H19" i="22" s="1"/>
  <c r="H18" i="22" s="1"/>
  <c r="H64" i="22" s="1"/>
  <c r="G19" i="22"/>
  <c r="G18" i="22" s="1"/>
  <c r="I19" i="22"/>
  <c r="I18" i="22" s="1"/>
  <c r="J19" i="22"/>
  <c r="J18" i="22" s="1"/>
  <c r="I23" i="22" l="1"/>
  <c r="I17" i="22" s="1"/>
  <c r="I66" i="22" s="1"/>
  <c r="I68" i="22" s="1"/>
  <c r="G23" i="22"/>
  <c r="G17" i="22"/>
  <c r="K213" i="26"/>
  <c r="K19" i="22" s="1"/>
  <c r="K18" i="22" s="1"/>
  <c r="J47" i="22"/>
  <c r="J64" i="22"/>
  <c r="J23" i="22"/>
  <c r="I47" i="22"/>
  <c r="I64" i="22"/>
  <c r="G64" i="22"/>
  <c r="G27" i="22"/>
  <c r="G52" i="22" s="1"/>
  <c r="G47" i="22"/>
  <c r="H47" i="22"/>
  <c r="H23" i="22"/>
  <c r="H17" i="22" s="1"/>
  <c r="H66" i="22" s="1"/>
  <c r="H68" i="22" s="1"/>
  <c r="I48" i="22" l="1"/>
  <c r="I27" i="22"/>
  <c r="I52" i="22" s="1"/>
  <c r="I58" i="22"/>
  <c r="L161" i="31"/>
  <c r="L31" i="31" s="1"/>
  <c r="L32" i="31" s="1"/>
  <c r="G48" i="22"/>
  <c r="M48" i="31"/>
  <c r="M45" i="31" s="1"/>
  <c r="I49" i="22"/>
  <c r="J17" i="22"/>
  <c r="J66" i="22" s="1"/>
  <c r="J68" i="22" s="1"/>
  <c r="L24" i="22"/>
  <c r="K64" i="22"/>
  <c r="K47" i="22"/>
  <c r="G49" i="22"/>
  <c r="G66" i="22"/>
  <c r="I67" i="22"/>
  <c r="K23" i="22"/>
  <c r="H27" i="22"/>
  <c r="H52" i="22" s="1"/>
  <c r="H49" i="22"/>
  <c r="J27" i="22"/>
  <c r="H48" i="22"/>
  <c r="H58" i="22"/>
  <c r="G58" i="22"/>
  <c r="I63" i="22"/>
  <c r="I50" i="22" s="1"/>
  <c r="I24" i="22"/>
  <c r="J48" i="22"/>
  <c r="J58" i="22"/>
  <c r="J24" i="22"/>
  <c r="I31" i="22" l="1"/>
  <c r="I386" i="26"/>
  <c r="I28" i="22"/>
  <c r="I146" i="22"/>
  <c r="I165" i="22" s="1"/>
  <c r="I175" i="22" s="1"/>
  <c r="I178" i="22" s="1"/>
  <c r="I203" i="22" s="1"/>
  <c r="G67" i="22"/>
  <c r="G68" i="22"/>
  <c r="J49" i="22"/>
  <c r="J52" i="22"/>
  <c r="L28" i="22"/>
  <c r="K58" i="22"/>
  <c r="K63" i="22" s="1"/>
  <c r="K50" i="22" s="1"/>
  <c r="K48" i="22"/>
  <c r="K17" i="22"/>
  <c r="H67" i="22"/>
  <c r="J67" i="22"/>
  <c r="K27" i="22"/>
  <c r="K386" i="26" s="1"/>
  <c r="S386" i="26" s="1"/>
  <c r="T386" i="26" s="1"/>
  <c r="U386" i="26" s="1"/>
  <c r="V386" i="26" s="1"/>
  <c r="W386" i="26" s="1"/>
  <c r="K24" i="22"/>
  <c r="I140" i="22"/>
  <c r="I141" i="22"/>
  <c r="I139" i="22"/>
  <c r="G146" i="22"/>
  <c r="G165" i="22" s="1"/>
  <c r="G175" i="22" s="1"/>
  <c r="G178" i="22" s="1"/>
  <c r="G203" i="22" s="1"/>
  <c r="G206" i="22" s="1"/>
  <c r="G31" i="22"/>
  <c r="G386" i="26"/>
  <c r="H63" i="22"/>
  <c r="H50" i="22" s="1"/>
  <c r="H31" i="22"/>
  <c r="H53" i="22" s="1"/>
  <c r="H146" i="22"/>
  <c r="H165" i="22" s="1"/>
  <c r="H175" i="22" s="1"/>
  <c r="H178" i="22" s="1"/>
  <c r="H203" i="22" s="1"/>
  <c r="H386" i="26"/>
  <c r="J146" i="22"/>
  <c r="J165" i="22" s="1"/>
  <c r="J175" i="22" s="1"/>
  <c r="J178" i="22" s="1"/>
  <c r="J203" i="22" s="1"/>
  <c r="J31" i="22"/>
  <c r="L32" i="22" s="1"/>
  <c r="J386" i="26"/>
  <c r="J28" i="22"/>
  <c r="I36" i="22"/>
  <c r="I53" i="22"/>
  <c r="I376" i="26"/>
  <c r="I55" i="22" s="1"/>
  <c r="I37" i="22"/>
  <c r="J63" i="22"/>
  <c r="J50" i="22" s="1"/>
  <c r="G63" i="22"/>
  <c r="G50" i="22" s="1"/>
  <c r="K52" i="22" l="1"/>
  <c r="K31" i="22"/>
  <c r="K49" i="22"/>
  <c r="K66" i="22"/>
  <c r="L155" i="31" s="1"/>
  <c r="L14" i="31" s="1"/>
  <c r="L18" i="31" s="1"/>
  <c r="K28" i="22"/>
  <c r="K146" i="22"/>
  <c r="I32" i="22"/>
  <c r="G139" i="22"/>
  <c r="G141" i="22"/>
  <c r="G140" i="22"/>
  <c r="J141" i="22"/>
  <c r="J140" i="22"/>
  <c r="J139" i="22"/>
  <c r="I51" i="22"/>
  <c r="G54" i="22"/>
  <c r="G51" i="22"/>
  <c r="I54" i="22"/>
  <c r="J37" i="22"/>
  <c r="J53" i="22"/>
  <c r="J32" i="22"/>
  <c r="J36" i="22"/>
  <c r="J376" i="26"/>
  <c r="J55" i="22" s="1"/>
  <c r="G376" i="26"/>
  <c r="G55" i="22" s="1"/>
  <c r="G37" i="22"/>
  <c r="G53" i="22"/>
  <c r="G36" i="22"/>
  <c r="H51" i="22"/>
  <c r="H54" i="22"/>
  <c r="H205" i="22"/>
  <c r="H206" i="22" s="1"/>
  <c r="I205" i="22"/>
  <c r="I206" i="22" s="1"/>
  <c r="J51" i="22"/>
  <c r="J54" i="22"/>
  <c r="I378" i="26"/>
  <c r="L17" i="31" l="1"/>
  <c r="L15" i="31"/>
  <c r="K68" i="22"/>
  <c r="K141" i="22"/>
  <c r="K376" i="26"/>
  <c r="K378" i="26" s="1"/>
  <c r="K165" i="22"/>
  <c r="K175" i="22" s="1"/>
  <c r="K178" i="22" s="1"/>
  <c r="K67" i="22"/>
  <c r="K53" i="22"/>
  <c r="L30" i="31"/>
  <c r="L33" i="31"/>
  <c r="J205" i="22"/>
  <c r="J206" i="22" s="1"/>
  <c r="K205" i="22"/>
  <c r="G378" i="26"/>
  <c r="J378" i="26"/>
  <c r="K54" i="22" l="1"/>
  <c r="L181" i="31"/>
  <c r="K51" i="22"/>
  <c r="L154" i="31"/>
  <c r="K55" i="22"/>
  <c r="L246" i="31" l="1"/>
  <c r="L12" i="31"/>
  <c r="L13" i="31" s="1"/>
  <c r="O384" i="26"/>
  <c r="M44" i="31"/>
  <c r="K32" i="22"/>
  <c r="K37" i="22"/>
  <c r="K36" i="22"/>
  <c r="AD13" i="31" l="1"/>
  <c r="AC13" i="31" l="1"/>
  <c r="K81" i="22" l="1"/>
  <c r="K91" i="22" s="1"/>
  <c r="K140" i="22" l="1"/>
  <c r="L183" i="31"/>
  <c r="O358" i="26" l="1"/>
  <c r="K114" i="22" l="1"/>
  <c r="L184" i="31" s="1"/>
  <c r="K130" i="22" l="1"/>
  <c r="K139" i="22"/>
  <c r="K115" i="22"/>
  <c r="K116" i="22" s="1"/>
  <c r="O34" i="22" l="1"/>
  <c r="N34" i="22" l="1"/>
  <c r="N39" i="22" s="1"/>
  <c r="M34" i="22"/>
  <c r="O35" i="22"/>
  <c r="S111" i="22"/>
  <c r="O180" i="31" s="1"/>
  <c r="O50" i="31" s="1"/>
  <c r="R35" i="22"/>
  <c r="M39" i="22" l="1"/>
  <c r="M35" i="22"/>
  <c r="M37" i="22" s="1"/>
  <c r="M36" i="22"/>
  <c r="N35" i="22"/>
  <c r="S34" i="22"/>
  <c r="T111" i="22"/>
  <c r="P180" i="31" s="1"/>
  <c r="P50" i="31" s="1"/>
  <c r="S35" i="22" l="1"/>
  <c r="U111" i="22"/>
  <c r="Q180" i="31" s="1"/>
  <c r="Q50" i="31" s="1"/>
  <c r="T34" i="22"/>
  <c r="U34" i="22" l="1"/>
  <c r="U35" i="22" s="1"/>
  <c r="V111" i="22"/>
  <c r="T35" i="22"/>
  <c r="O375" i="26"/>
  <c r="K38" i="22"/>
  <c r="R180" i="31" l="1"/>
  <c r="R50" i="31" s="1"/>
  <c r="W111" i="22"/>
  <c r="V34" i="22"/>
  <c r="K39" i="22"/>
  <c r="W34" i="22" l="1"/>
  <c r="W35" i="22" s="1"/>
  <c r="V35" i="22"/>
  <c r="K203" i="22" l="1"/>
  <c r="K206" i="22" s="1"/>
  <c r="O205" i="22" l="1"/>
  <c r="L205" i="22"/>
  <c r="L206" i="22" s="1"/>
  <c r="O19" i="22" l="1"/>
  <c r="N19" i="22" s="1"/>
  <c r="N48" i="31" l="1"/>
  <c r="S388" i="26" l="1"/>
  <c r="T388" i="26" s="1"/>
  <c r="U388" i="26" s="1"/>
  <c r="V388" i="26" s="1"/>
  <c r="W388" i="26" s="1"/>
  <c r="O25" i="22" l="1"/>
  <c r="M165" i="31" l="1"/>
  <c r="M156" i="31" s="1"/>
  <c r="N25" i="22"/>
  <c r="M247" i="31"/>
  <c r="M16" i="31"/>
  <c r="O212" i="26"/>
  <c r="R384" i="26" l="1"/>
  <c r="O355" i="26" l="1"/>
  <c r="O356" i="26" s="1"/>
  <c r="P368" i="26" s="1"/>
  <c r="P25" i="22" s="1"/>
  <c r="P19" i="22" s="1"/>
  <c r="P213" i="26" l="1"/>
  <c r="P18" i="22"/>
  <c r="R354" i="26"/>
  <c r="R358" i="26" s="1"/>
  <c r="P212" i="26"/>
  <c r="R368" i="26"/>
  <c r="Q368" i="26" l="1"/>
  <c r="Q207" i="26" s="1"/>
  <c r="R207" i="26"/>
  <c r="R212" i="26" l="1"/>
  <c r="Q212" i="26"/>
  <c r="Q25" i="22" l="1"/>
  <c r="R25" i="22"/>
  <c r="R79" i="22"/>
  <c r="O81" i="22"/>
  <c r="O91" i="22" s="1"/>
  <c r="M183" i="31" s="1"/>
  <c r="O132" i="22"/>
  <c r="R157" i="22"/>
  <c r="R177" i="22" s="1"/>
  <c r="R170" i="22"/>
  <c r="O136" i="22" l="1"/>
  <c r="M172" i="31"/>
  <c r="O137" i="22"/>
  <c r="M42" i="31" l="1"/>
  <c r="M171" i="31"/>
  <c r="M248" i="31" s="1"/>
  <c r="O114" i="22" l="1"/>
  <c r="M184" i="31" s="1"/>
  <c r="N88" i="31" s="1"/>
  <c r="O115" i="22" l="1"/>
  <c r="O116" i="22" s="1"/>
  <c r="O130" i="22"/>
  <c r="R378" i="26" l="1"/>
  <c r="O48" i="26"/>
  <c r="L139" i="26" l="1"/>
  <c r="L141" i="26"/>
  <c r="L137" i="26"/>
  <c r="O79" i="26" l="1"/>
  <c r="P74" i="26"/>
  <c r="P91" i="26" l="1"/>
  <c r="P140" i="26" s="1"/>
  <c r="P78" i="26"/>
  <c r="P102" i="26" s="1"/>
  <c r="R74" i="26" l="1"/>
  <c r="P11" i="26" l="1"/>
  <c r="P53" i="26"/>
  <c r="P54" i="26" s="1"/>
  <c r="P18" i="26"/>
  <c r="P64" i="26" l="1"/>
  <c r="P43" i="26"/>
  <c r="P142" i="26" s="1"/>
  <c r="P186" i="26"/>
  <c r="P185" i="26"/>
  <c r="P187" i="26"/>
  <c r="P67" i="26"/>
  <c r="O89" i="26"/>
  <c r="P89" i="26" s="1"/>
  <c r="R89" i="26" l="1"/>
  <c r="Q89" i="26"/>
  <c r="Q78" i="26" s="1"/>
  <c r="Q74" i="26"/>
  <c r="P211" i="26"/>
  <c r="P47" i="22" l="1"/>
  <c r="P64" i="22"/>
  <c r="S89" i="26"/>
  <c r="T89" i="26" l="1"/>
  <c r="S78" i="26"/>
  <c r="R79" i="26"/>
  <c r="S74" i="26"/>
  <c r="R14" i="26" l="1"/>
  <c r="R91" i="26"/>
  <c r="U89" i="26"/>
  <c r="T78" i="26"/>
  <c r="S76" i="26"/>
  <c r="S77" i="26"/>
  <c r="S79" i="26"/>
  <c r="T74" i="26"/>
  <c r="Q91" i="26" l="1"/>
  <c r="S75" i="26"/>
  <c r="S14" i="26" s="1"/>
  <c r="U78" i="26"/>
  <c r="V74" i="26" s="1"/>
  <c r="V89" i="26"/>
  <c r="T79" i="26"/>
  <c r="U74" i="26"/>
  <c r="T77" i="26"/>
  <c r="U77" i="26" s="1"/>
  <c r="V77" i="26" s="1"/>
  <c r="T76" i="26"/>
  <c r="R15" i="26"/>
  <c r="Q14" i="26"/>
  <c r="U79" i="26" l="1"/>
  <c r="S91" i="26"/>
  <c r="Q15" i="26"/>
  <c r="Q138" i="26"/>
  <c r="Q144" i="26" s="1"/>
  <c r="Q45" i="26" s="1"/>
  <c r="Q55" i="26" s="1"/>
  <c r="R55" i="26" s="1"/>
  <c r="V78" i="26"/>
  <c r="W74" i="26" s="1"/>
  <c r="W89" i="26"/>
  <c r="W78" i="26" s="1"/>
  <c r="V79" i="26"/>
  <c r="T75" i="26"/>
  <c r="T14" i="26" s="1"/>
  <c r="S15" i="26"/>
  <c r="U76" i="26"/>
  <c r="T91" i="26" l="1"/>
  <c r="W79" i="26"/>
  <c r="W77" i="26"/>
  <c r="V76" i="26"/>
  <c r="W76" i="26" s="1"/>
  <c r="T15" i="26"/>
  <c r="U75" i="26"/>
  <c r="W75" i="26" l="1"/>
  <c r="W14" i="26" s="1"/>
  <c r="V75" i="26"/>
  <c r="U14" i="26"/>
  <c r="U91" i="26"/>
  <c r="W91" i="26" l="1"/>
  <c r="V14" i="26"/>
  <c r="W15" i="26" s="1"/>
  <c r="V91" i="26"/>
  <c r="U15" i="26"/>
  <c r="V15" i="26" l="1"/>
  <c r="O48" i="31" l="1"/>
  <c r="P48" i="31" l="1"/>
  <c r="Q48" i="31"/>
  <c r="R48" i="31" l="1"/>
  <c r="O377" i="26" l="1"/>
  <c r="O65" i="22" l="1"/>
  <c r="O364" i="26" l="1"/>
  <c r="R364" i="26" s="1"/>
  <c r="R363" i="26" l="1"/>
  <c r="S364" i="26"/>
  <c r="T364" i="26" l="1"/>
  <c r="R65" i="22"/>
  <c r="R194" i="22"/>
  <c r="R365" i="26"/>
  <c r="R156" i="22" l="1"/>
  <c r="R26" i="22"/>
  <c r="U364" i="26"/>
  <c r="N165" i="31" l="1"/>
  <c r="Q26" i="22"/>
  <c r="V364" i="26"/>
  <c r="W364" i="26" s="1"/>
  <c r="R185" i="22" l="1"/>
  <c r="R188" i="22" s="1"/>
  <c r="R328" i="26" l="1"/>
  <c r="S324" i="26" s="1"/>
  <c r="S327" i="26" l="1"/>
  <c r="S161" i="22" s="1"/>
  <c r="R78" i="22"/>
  <c r="N176" i="31" l="1"/>
  <c r="N47" i="31" s="1"/>
  <c r="N45" i="31" s="1"/>
  <c r="S328" i="26"/>
  <c r="T324" i="26" l="1"/>
  <c r="S78" i="22"/>
  <c r="O176" i="31" l="1"/>
  <c r="O47" i="31" s="1"/>
  <c r="O45" i="31" s="1"/>
  <c r="H67" i="31" s="1" a="1"/>
  <c r="H67" i="31" s="1"/>
  <c r="T327" i="26"/>
  <c r="T161" i="22" s="1"/>
  <c r="T328" i="26" l="1"/>
  <c r="T78" i="22" s="1"/>
  <c r="U324" i="26" l="1"/>
  <c r="U327" i="26" s="1"/>
  <c r="U161" i="22" s="1"/>
  <c r="P176" i="31"/>
  <c r="P47" i="31" s="1"/>
  <c r="P45" i="31" s="1"/>
  <c r="U328" i="26" l="1"/>
  <c r="V324" i="26" s="1"/>
  <c r="U78" i="22" l="1"/>
  <c r="V327" i="26"/>
  <c r="V161" i="22" s="1"/>
  <c r="Q176" i="31" l="1"/>
  <c r="Q47" i="31" s="1"/>
  <c r="Q45" i="31" s="1"/>
  <c r="V328" i="26"/>
  <c r="V78" i="22" l="1"/>
  <c r="W324" i="26"/>
  <c r="R176" i="31"/>
  <c r="R47" i="31" s="1"/>
  <c r="R45" i="31" s="1"/>
  <c r="W327" i="26" l="1"/>
  <c r="W161" i="22" s="1"/>
  <c r="O18" i="22"/>
  <c r="N18" i="22" s="1"/>
  <c r="W328" i="26" l="1"/>
  <c r="W78" i="22" s="1"/>
  <c r="N47" i="22"/>
  <c r="N64" i="22"/>
  <c r="O23" i="22"/>
  <c r="M161" i="31"/>
  <c r="M31" i="31" s="1"/>
  <c r="M32" i="31" s="1"/>
  <c r="O58" i="22"/>
  <c r="O63" i="22" s="1"/>
  <c r="O17" i="22"/>
  <c r="N17" i="22" s="1"/>
  <c r="O27" i="22"/>
  <c r="N27" i="22" s="1"/>
  <c r="N52" i="22" s="1"/>
  <c r="O47" i="22"/>
  <c r="O64" i="22"/>
  <c r="N49" i="22" l="1"/>
  <c r="N66" i="22"/>
  <c r="O48" i="22"/>
  <c r="N23" i="22"/>
  <c r="O24" i="22"/>
  <c r="O50" i="22"/>
  <c r="O49" i="22"/>
  <c r="O66" i="22"/>
  <c r="M155" i="31" s="1"/>
  <c r="M14" i="31" s="1"/>
  <c r="O146" i="22"/>
  <c r="O386" i="26"/>
  <c r="O28" i="22"/>
  <c r="O31" i="22"/>
  <c r="O52" i="22"/>
  <c r="N31" i="22" l="1"/>
  <c r="N55" i="22" s="1"/>
  <c r="N68" i="22"/>
  <c r="N54" i="22" s="1"/>
  <c r="N67" i="22"/>
  <c r="N51" i="22" s="1"/>
  <c r="N48" i="22"/>
  <c r="N58" i="22"/>
  <c r="N63" i="22" s="1"/>
  <c r="N50" i="22" s="1"/>
  <c r="O175" i="22"/>
  <c r="O178" i="22" s="1"/>
  <c r="O164" i="22"/>
  <c r="M15" i="31"/>
  <c r="M18" i="31"/>
  <c r="M17" i="31"/>
  <c r="S52" i="22"/>
  <c r="T52" i="22" s="1"/>
  <c r="U52" i="22" s="1"/>
  <c r="V52" i="22" s="1"/>
  <c r="W52" i="22" s="1"/>
  <c r="O53" i="22"/>
  <c r="O140" i="22"/>
  <c r="O36" i="22"/>
  <c r="O139" i="22"/>
  <c r="O37" i="22"/>
  <c r="O32" i="22"/>
  <c r="O376" i="26"/>
  <c r="O378" i="26" s="1"/>
  <c r="O68" i="22"/>
  <c r="M181" i="31" s="1"/>
  <c r="O67" i="22"/>
  <c r="M154" i="31" s="1"/>
  <c r="N53" i="22" l="1"/>
  <c r="N36" i="22"/>
  <c r="N37" i="22"/>
  <c r="M246" i="31"/>
  <c r="M12" i="31"/>
  <c r="M33" i="31"/>
  <c r="M30" i="31"/>
  <c r="O54" i="22"/>
  <c r="O51" i="22"/>
  <c r="O55" i="22"/>
  <c r="O38" i="22" s="1"/>
  <c r="R375" i="26"/>
  <c r="M13" i="31" l="1"/>
  <c r="O39" i="22"/>
  <c r="P51" i="31" l="1"/>
  <c r="O202" i="22" l="1"/>
  <c r="O203" i="22" s="1"/>
  <c r="O206" i="22" s="1"/>
  <c r="O207" i="22" l="1"/>
  <c r="R205" i="22"/>
  <c r="O185" i="26"/>
  <c r="R185" i="26" s="1"/>
  <c r="O186" i="26"/>
  <c r="R186" i="26" s="1"/>
  <c r="O187" i="26"/>
  <c r="R187" i="26" s="1"/>
  <c r="S187" i="26" l="1"/>
  <c r="S185" i="26"/>
  <c r="S186" i="26"/>
  <c r="T186" i="26" l="1"/>
  <c r="T185" i="26"/>
  <c r="T187" i="26"/>
  <c r="U187" i="26" l="1"/>
  <c r="U185" i="26"/>
  <c r="U186" i="26"/>
  <c r="V186" i="26" l="1"/>
  <c r="W186" i="26" s="1"/>
  <c r="V185" i="26"/>
  <c r="W185" i="26" s="1"/>
  <c r="V187" i="26"/>
  <c r="W187" i="26" s="1"/>
  <c r="P46" i="22"/>
  <c r="P45" i="22" l="1"/>
  <c r="P44" i="22"/>
  <c r="O67" i="26" l="1"/>
  <c r="O63" i="26"/>
  <c r="O65" i="26"/>
  <c r="O44" i="26"/>
  <c r="O142" i="26"/>
  <c r="O143" i="26" s="1"/>
  <c r="O41" i="26"/>
  <c r="O46" i="26"/>
  <c r="O144" i="26"/>
  <c r="O145" i="26" s="1"/>
  <c r="O49" i="26" l="1"/>
  <c r="N41" i="26"/>
  <c r="O42" i="26"/>
  <c r="O264" i="26"/>
  <c r="R264" i="26" s="1"/>
  <c r="O246" i="26"/>
  <c r="R246" i="26" s="1"/>
  <c r="O240" i="26"/>
  <c r="R240" i="26" s="1"/>
  <c r="O222" i="26" l="1"/>
  <c r="R222" i="26" s="1"/>
  <c r="S222" i="26" s="1"/>
  <c r="N49" i="26"/>
  <c r="S264" i="26"/>
  <c r="S240" i="26"/>
  <c r="T222" i="26"/>
  <c r="S246" i="26"/>
  <c r="U222" i="26" l="1"/>
  <c r="T246" i="26"/>
  <c r="T240" i="26"/>
  <c r="T264" i="26"/>
  <c r="U246" i="26" l="1"/>
  <c r="V222" i="26"/>
  <c r="W222" i="26" s="1"/>
  <c r="W124" i="22" s="1"/>
  <c r="U264" i="26"/>
  <c r="U240" i="26"/>
  <c r="P42" i="22" l="1"/>
  <c r="AG42" i="22" s="1"/>
  <c r="P23" i="22"/>
  <c r="P24" i="22" s="1"/>
  <c r="V240" i="26"/>
  <c r="W240" i="26" s="1"/>
  <c r="W126" i="22" s="1"/>
  <c r="V246" i="26"/>
  <c r="W246" i="26" s="1"/>
  <c r="V264" i="26"/>
  <c r="W264" i="26" s="1"/>
  <c r="P48" i="22" l="1"/>
  <c r="P17" i="22"/>
  <c r="P58" i="22"/>
  <c r="P63" i="22" s="1"/>
  <c r="P50" i="22" s="1"/>
  <c r="P27" i="22"/>
  <c r="O124" i="22"/>
  <c r="R124" i="22"/>
  <c r="S124" i="22"/>
  <c r="T124" i="22"/>
  <c r="U124" i="22"/>
  <c r="V124" i="22"/>
  <c r="O126" i="22"/>
  <c r="R126" i="22"/>
  <c r="S126" i="22"/>
  <c r="T126" i="22"/>
  <c r="U126" i="22"/>
  <c r="V126" i="22"/>
  <c r="P52" i="22" l="1"/>
  <c r="P28" i="22"/>
  <c r="O128" i="22"/>
  <c r="P31" i="22"/>
  <c r="P66" i="22"/>
  <c r="P49" i="22"/>
  <c r="P140" i="22" l="1"/>
  <c r="P139" i="22"/>
  <c r="AG31" i="22"/>
  <c r="P32" i="22"/>
  <c r="P376" i="26"/>
  <c r="P37" i="22"/>
  <c r="P53" i="22"/>
  <c r="P36" i="22"/>
  <c r="P67" i="22"/>
  <c r="P51" i="22" s="1"/>
  <c r="P68" i="22"/>
  <c r="P54" i="22" s="1"/>
  <c r="P55" i="22" l="1"/>
  <c r="P378" i="26"/>
  <c r="P39" i="22"/>
  <c r="P45" i="26" l="1"/>
  <c r="P144" i="26" l="1"/>
  <c r="P145" i="26" s="1"/>
  <c r="R45" i="26"/>
  <c r="R144" i="26" s="1"/>
  <c r="R145" i="26" s="1"/>
  <c r="S145" i="26" s="1"/>
  <c r="P41" i="26"/>
  <c r="T145" i="26" l="1"/>
  <c r="S144" i="26"/>
  <c r="S45" i="26" s="1"/>
  <c r="R46" i="26"/>
  <c r="P49" i="26"/>
  <c r="R65" i="26" l="1"/>
  <c r="Q65" i="26"/>
  <c r="S55" i="26"/>
  <c r="S65" i="26" s="1"/>
  <c r="S46" i="26"/>
  <c r="T144" i="26"/>
  <c r="T45" i="26" s="1"/>
  <c r="U145" i="26"/>
  <c r="N139" i="26"/>
  <c r="N141" i="26"/>
  <c r="O24" i="26"/>
  <c r="O25" i="26" s="1"/>
  <c r="R24" i="26"/>
  <c r="S113" i="26"/>
  <c r="S24" i="26" s="1"/>
  <c r="S25" i="26" s="1"/>
  <c r="R25" i="26" l="1"/>
  <c r="U144" i="26"/>
  <c r="U45" i="26" s="1"/>
  <c r="V145" i="26"/>
  <c r="T46" i="26"/>
  <c r="T55" i="26"/>
  <c r="T65" i="26" s="1"/>
  <c r="T113" i="26"/>
  <c r="V144" i="26" l="1"/>
  <c r="V45" i="26" s="1"/>
  <c r="W145" i="26"/>
  <c r="W144" i="26" s="1"/>
  <c r="W45" i="26" s="1"/>
  <c r="U55" i="26"/>
  <c r="U65" i="26" s="1"/>
  <c r="U46" i="26"/>
  <c r="T24" i="26"/>
  <c r="T25" i="26" s="1"/>
  <c r="U113" i="26"/>
  <c r="S110" i="26"/>
  <c r="T112" i="26"/>
  <c r="T110" i="26" s="1"/>
  <c r="U112" i="26"/>
  <c r="U110" i="26" s="1"/>
  <c r="W46" i="26" l="1"/>
  <c r="W55" i="26"/>
  <c r="W65" i="26" s="1"/>
  <c r="V55" i="26"/>
  <c r="V65" i="26" s="1"/>
  <c r="V46" i="26"/>
  <c r="U24" i="26"/>
  <c r="V113" i="26"/>
  <c r="V112" i="26"/>
  <c r="R110" i="26"/>
  <c r="V110" i="26" l="1"/>
  <c r="W112" i="26"/>
  <c r="W110" i="26" s="1"/>
  <c r="V24" i="26"/>
  <c r="V25" i="26" s="1"/>
  <c r="W113" i="26"/>
  <c r="W24" i="26" s="1"/>
  <c r="W25" i="26" s="1"/>
  <c r="U25" i="26"/>
  <c r="X25" i="26"/>
  <c r="M27" i="26"/>
  <c r="M107" i="26" s="1"/>
  <c r="M139" i="26" s="1"/>
  <c r="M141" i="26" l="1"/>
  <c r="M24" i="26"/>
  <c r="M113" i="26" l="1"/>
  <c r="N24" i="26"/>
  <c r="M22" i="26"/>
  <c r="M109" i="26" l="1"/>
  <c r="M26" i="26"/>
  <c r="N113" i="26"/>
  <c r="N22" i="26"/>
  <c r="P25" i="26"/>
  <c r="Q24" i="26"/>
  <c r="M122" i="26" l="1"/>
  <c r="M124" i="26"/>
  <c r="M118" i="26"/>
  <c r="M120" i="26"/>
  <c r="M126" i="26"/>
  <c r="M128" i="26"/>
  <c r="N26" i="26"/>
  <c r="N109" i="26"/>
  <c r="M32" i="26"/>
  <c r="M34" i="26" s="1"/>
  <c r="Q113" i="26"/>
  <c r="Q114" i="26" s="1"/>
  <c r="Q115" i="26" s="1"/>
  <c r="Q25" i="26"/>
  <c r="M130" i="26" l="1"/>
  <c r="M131" i="26" s="1"/>
  <c r="M31" i="26"/>
  <c r="M33" i="26"/>
  <c r="P27" i="26"/>
  <c r="O107" i="26" l="1"/>
  <c r="P107" i="26"/>
  <c r="P141" i="26" s="1"/>
  <c r="R141" i="26" s="1"/>
  <c r="O139" i="26" l="1"/>
  <c r="O108" i="26"/>
  <c r="O141" i="26"/>
  <c r="S141" i="26" s="1"/>
  <c r="T141" i="26" s="1"/>
  <c r="U141" i="26" s="1"/>
  <c r="V141" i="26" s="1"/>
  <c r="W141" i="26" s="1"/>
  <c r="P136" i="26"/>
  <c r="P143" i="26" s="1"/>
  <c r="P108" i="26"/>
  <c r="P30" i="26"/>
  <c r="P23" i="26"/>
  <c r="P26" i="26"/>
  <c r="P37" i="26"/>
  <c r="O30" i="26"/>
  <c r="O23" i="26"/>
  <c r="O26" i="26"/>
  <c r="O37" i="26"/>
  <c r="O109" i="26"/>
  <c r="O58" i="26" l="1"/>
  <c r="O59" i="26" s="1"/>
  <c r="N30" i="26"/>
  <c r="O32" i="26"/>
  <c r="O118" i="26"/>
  <c r="N118" i="26" s="1"/>
  <c r="O126" i="26"/>
  <c r="N126" i="26" s="1"/>
  <c r="N127" i="26" s="1"/>
  <c r="O120" i="26"/>
  <c r="N120" i="26" s="1"/>
  <c r="N121" i="26" s="1"/>
  <c r="R109" i="26"/>
  <c r="O110" i="26"/>
  <c r="O111" i="26" s="1"/>
  <c r="O128" i="26"/>
  <c r="N128" i="26" s="1"/>
  <c r="N129" i="26" s="1"/>
  <c r="O122" i="26"/>
  <c r="N122" i="26" s="1"/>
  <c r="N123" i="26" s="1"/>
  <c r="O124" i="26"/>
  <c r="N124" i="26" s="1"/>
  <c r="N125" i="26" s="1"/>
  <c r="P126" i="26"/>
  <c r="P120" i="26"/>
  <c r="P128" i="26"/>
  <c r="P118" i="26"/>
  <c r="P110" i="26"/>
  <c r="P111" i="26" s="1"/>
  <c r="P122" i="26"/>
  <c r="P124" i="26"/>
  <c r="P58" i="26"/>
  <c r="P59" i="26" s="1"/>
  <c r="P32" i="26"/>
  <c r="P69" i="26" l="1"/>
  <c r="O130" i="26"/>
  <c r="O131" i="26" s="1"/>
  <c r="P130" i="26"/>
  <c r="P131" i="26" s="1"/>
  <c r="O69" i="26"/>
  <c r="P139" i="26"/>
  <c r="P34" i="26"/>
  <c r="P31" i="26" s="1"/>
  <c r="R126" i="26"/>
  <c r="Q126" i="26" s="1"/>
  <c r="S109" i="26"/>
  <c r="S22" i="26" s="1"/>
  <c r="S27" i="26" s="1"/>
  <c r="S16" i="26" s="1"/>
  <c r="R118" i="26"/>
  <c r="Q118" i="26" s="1"/>
  <c r="R124" i="26"/>
  <c r="Q124" i="26" s="1"/>
  <c r="R120" i="26"/>
  <c r="Q120" i="26" s="1"/>
  <c r="R122" i="26"/>
  <c r="Q122" i="26" s="1"/>
  <c r="R128" i="26"/>
  <c r="Q128" i="26" s="1"/>
  <c r="N119" i="26"/>
  <c r="N130" i="26"/>
  <c r="N131" i="26" s="1"/>
  <c r="N32" i="26"/>
  <c r="O34" i="26"/>
  <c r="P33" i="26" l="1"/>
  <c r="N34" i="26"/>
  <c r="N31" i="26" s="1"/>
  <c r="O31" i="26"/>
  <c r="O33" i="26"/>
  <c r="N33" i="26"/>
  <c r="R27" i="26"/>
  <c r="R16" i="26" s="1"/>
  <c r="Q22" i="26"/>
  <c r="R23" i="26"/>
  <c r="R37" i="26"/>
  <c r="R26" i="26"/>
  <c r="S120" i="26"/>
  <c r="S126" i="26"/>
  <c r="S122" i="26"/>
  <c r="T109" i="26"/>
  <c r="T22" i="26" s="1"/>
  <c r="T27" i="26" s="1"/>
  <c r="T16" i="26" s="1"/>
  <c r="S124" i="26"/>
  <c r="S118" i="26"/>
  <c r="S128" i="26"/>
  <c r="R130" i="26"/>
  <c r="R131" i="26" s="1"/>
  <c r="S130" i="26" l="1"/>
  <c r="S131" i="26" s="1"/>
  <c r="T128" i="26"/>
  <c r="T126" i="26"/>
  <c r="U109" i="26"/>
  <c r="U22" i="26" s="1"/>
  <c r="U27" i="26" s="1"/>
  <c r="U16" i="26" s="1"/>
  <c r="T120" i="26"/>
  <c r="T118" i="26"/>
  <c r="T122" i="26"/>
  <c r="T124" i="26"/>
  <c r="R107" i="26"/>
  <c r="Q27" i="26"/>
  <c r="Q107" i="26" s="1"/>
  <c r="Q23" i="26"/>
  <c r="Q109" i="26"/>
  <c r="Q26" i="26"/>
  <c r="T130" i="26" l="1"/>
  <c r="T131" i="26" s="1"/>
  <c r="Q108" i="26"/>
  <c r="Q139" i="26"/>
  <c r="Q110" i="26"/>
  <c r="Q111" i="26" s="1"/>
  <c r="Q130" i="26"/>
  <c r="Q131" i="26" s="1"/>
  <c r="Q129" i="26"/>
  <c r="Q119" i="26"/>
  <c r="Q127" i="26"/>
  <c r="Q121" i="26"/>
  <c r="Q123" i="26"/>
  <c r="Q125" i="26"/>
  <c r="R140" i="26"/>
  <c r="R139" i="26"/>
  <c r="R108" i="26"/>
  <c r="U122" i="26"/>
  <c r="U128" i="26"/>
  <c r="U118" i="26"/>
  <c r="U126" i="26"/>
  <c r="V109" i="26"/>
  <c r="U120" i="26"/>
  <c r="U124" i="26"/>
  <c r="U130" i="26" l="1"/>
  <c r="U131" i="26" s="1"/>
  <c r="W109" i="26"/>
  <c r="V22" i="26"/>
  <c r="V27" i="26" s="1"/>
  <c r="V16" i="26" s="1"/>
  <c r="V122" i="26"/>
  <c r="V128" i="26"/>
  <c r="V118" i="26"/>
  <c r="V126" i="26"/>
  <c r="V124" i="26"/>
  <c r="V120" i="26"/>
  <c r="Q140" i="26"/>
  <c r="Q141" i="26" s="1"/>
  <c r="V130" i="26" l="1"/>
  <c r="V131" i="26" s="1"/>
  <c r="W128" i="26"/>
  <c r="W122" i="26"/>
  <c r="W124" i="26"/>
  <c r="W126" i="26"/>
  <c r="W118" i="26"/>
  <c r="W120" i="26"/>
  <c r="W22" i="26"/>
  <c r="Q16" i="26"/>
  <c r="R17" i="26"/>
  <c r="Q17" i="26" l="1"/>
  <c r="Q56" i="26"/>
  <c r="W130" i="26"/>
  <c r="W131" i="26" s="1"/>
  <c r="W23" i="26"/>
  <c r="W26" i="26"/>
  <c r="W37" i="26"/>
  <c r="W27" i="26"/>
  <c r="Q47" i="26" l="1"/>
  <c r="R47" i="26" s="1"/>
  <c r="R56" i="26"/>
  <c r="W107" i="26"/>
  <c r="W16" i="26"/>
  <c r="W140" i="26"/>
  <c r="W139" i="26"/>
  <c r="R48" i="26"/>
  <c r="R136" i="26"/>
  <c r="T137" i="26"/>
  <c r="U137" i="26" s="1"/>
  <c r="V137" i="26" s="1"/>
  <c r="W137" i="26" s="1"/>
  <c r="W136" i="26" s="1"/>
  <c r="W12" i="26" l="1"/>
  <c r="W56" i="26"/>
  <c r="W47" i="26" s="1"/>
  <c r="R12" i="26"/>
  <c r="W10" i="26" l="1"/>
  <c r="R10" i="26"/>
  <c r="Q12" i="26"/>
  <c r="Q13" i="26" s="1"/>
  <c r="R13" i="26"/>
  <c r="W18" i="26" l="1"/>
  <c r="W8" i="22" s="1"/>
  <c r="Q10" i="26"/>
  <c r="R11" i="26"/>
  <c r="R18" i="26"/>
  <c r="W180" i="26" l="1"/>
  <c r="W13" i="22" s="1"/>
  <c r="W44" i="22" s="1"/>
  <c r="W181" i="26"/>
  <c r="W14" i="22" s="1"/>
  <c r="W45" i="22" s="1"/>
  <c r="W182" i="26"/>
  <c r="W15" i="22" s="1"/>
  <c r="W46" i="22" s="1"/>
  <c r="W251" i="26"/>
  <c r="W204" i="26"/>
  <c r="W213" i="26" s="1"/>
  <c r="W19" i="22" s="1"/>
  <c r="W18" i="22" s="1"/>
  <c r="W342" i="26"/>
  <c r="W193" i="22" s="1"/>
  <c r="W233" i="26"/>
  <c r="W77" i="22" s="1"/>
  <c r="W302" i="26"/>
  <c r="W313" i="26"/>
  <c r="W227" i="26"/>
  <c r="W76" i="22" s="1"/>
  <c r="W120" i="22" s="1"/>
  <c r="W311" i="26"/>
  <c r="W301" i="26"/>
  <c r="W312" i="26"/>
  <c r="W30" i="26"/>
  <c r="R30" i="26"/>
  <c r="R32" i="26" s="1"/>
  <c r="R19" i="26"/>
  <c r="R227" i="26"/>
  <c r="R342" i="26"/>
  <c r="R251" i="26"/>
  <c r="R313" i="26"/>
  <c r="R311" i="26"/>
  <c r="R233" i="26"/>
  <c r="R180" i="26"/>
  <c r="Q180" i="26" s="1"/>
  <c r="R181" i="26"/>
  <c r="Q181" i="26" s="1"/>
  <c r="R182" i="26"/>
  <c r="Q182" i="26" s="1"/>
  <c r="R301" i="26"/>
  <c r="R302" i="26"/>
  <c r="R312" i="26"/>
  <c r="R204" i="26"/>
  <c r="Q18" i="26"/>
  <c r="Q11" i="26"/>
  <c r="W47" i="22" l="1"/>
  <c r="W64" i="22"/>
  <c r="W258" i="26"/>
  <c r="W127" i="22" s="1"/>
  <c r="W128" i="22" s="1"/>
  <c r="W252" i="26"/>
  <c r="W96" i="22" s="1"/>
  <c r="W253" i="26"/>
  <c r="W106" i="22" s="1"/>
  <c r="W58" i="26"/>
  <c r="W32" i="26"/>
  <c r="R211" i="26"/>
  <c r="R213" i="26"/>
  <c r="Q204" i="26"/>
  <c r="Q187" i="26"/>
  <c r="S225" i="26"/>
  <c r="R226" i="26"/>
  <c r="Q185" i="26"/>
  <c r="Q32" i="26"/>
  <c r="Q186" i="26"/>
  <c r="S231" i="26"/>
  <c r="R232" i="26"/>
  <c r="R252" i="26"/>
  <c r="R253" i="26"/>
  <c r="R258" i="26"/>
  <c r="S249" i="26"/>
  <c r="R250" i="26"/>
  <c r="R344" i="26"/>
  <c r="R351" i="26"/>
  <c r="R34" i="26"/>
  <c r="Q34" i="26" s="1"/>
  <c r="Q30" i="26"/>
  <c r="R58" i="26"/>
  <c r="Q58" i="26" s="1"/>
  <c r="Q68" i="26" s="1"/>
  <c r="Q31" i="26" l="1"/>
  <c r="W122" i="22"/>
  <c r="W34" i="26"/>
  <c r="W31" i="26" s="1"/>
  <c r="R33" i="26"/>
  <c r="Q211" i="26"/>
  <c r="Q213" i="26"/>
  <c r="R31" i="26"/>
  <c r="Q33" i="26"/>
  <c r="S340" i="26"/>
  <c r="R345" i="26"/>
  <c r="R346" i="26"/>
  <c r="W33" i="26" l="1"/>
  <c r="S363" i="26"/>
  <c r="S365" i="26" s="1"/>
  <c r="S156" i="22" s="1"/>
  <c r="Q8" i="22"/>
  <c r="R8" i="22"/>
  <c r="N153" i="31" s="1"/>
  <c r="Q13" i="22"/>
  <c r="R13" i="22"/>
  <c r="Q14" i="22"/>
  <c r="R14" i="22"/>
  <c r="Q15" i="22"/>
  <c r="Q46" i="22" s="1"/>
  <c r="R15" i="22"/>
  <c r="R19" i="22"/>
  <c r="S26" i="22"/>
  <c r="R76" i="22"/>
  <c r="R77" i="22"/>
  <c r="R96" i="22"/>
  <c r="R98" i="22"/>
  <c r="R102" i="22"/>
  <c r="R106" i="22"/>
  <c r="R127" i="22"/>
  <c r="R128" i="22" s="1"/>
  <c r="R167" i="22"/>
  <c r="R168" i="22"/>
  <c r="R173" i="22"/>
  <c r="R193" i="22"/>
  <c r="S65" i="22" l="1"/>
  <c r="R18" i="22"/>
  <c r="Q19" i="22"/>
  <c r="Q18" i="22" s="1"/>
  <c r="S194" i="22"/>
  <c r="N158" i="31"/>
  <c r="N24" i="31" s="1"/>
  <c r="N23" i="31" s="1"/>
  <c r="R64" i="22"/>
  <c r="R47" i="22"/>
  <c r="Q64" i="22"/>
  <c r="Q47" i="22"/>
  <c r="N10" i="31"/>
  <c r="N87" i="31"/>
  <c r="N161" i="31"/>
  <c r="N31" i="31" s="1"/>
  <c r="N32" i="31" s="1"/>
  <c r="Q9" i="22"/>
  <c r="R45" i="22"/>
  <c r="Q45" i="22"/>
  <c r="R122" i="22"/>
  <c r="R16" i="22"/>
  <c r="Q16" i="22" s="1"/>
  <c r="R9" i="22"/>
  <c r="R44" i="22"/>
  <c r="Q44" i="22"/>
  <c r="R46" i="22"/>
  <c r="R120" i="22"/>
  <c r="N25" i="31" l="1"/>
  <c r="N22" i="31"/>
  <c r="N11" i="31"/>
  <c r="M58" i="26" l="1"/>
  <c r="M59" i="26" s="1"/>
  <c r="N58" i="26" l="1"/>
  <c r="N68" i="26" s="1"/>
  <c r="N59" i="26"/>
  <c r="N69" i="26" s="1"/>
  <c r="M69" i="26"/>
  <c r="S26" i="26" l="1"/>
  <c r="S23" i="26"/>
  <c r="S37" i="26"/>
  <c r="S107" i="26"/>
  <c r="S108" i="26" s="1"/>
  <c r="S139" i="26" l="1"/>
  <c r="S140" i="26"/>
  <c r="S136" i="26"/>
  <c r="S12" i="26" l="1"/>
  <c r="S56" i="26"/>
  <c r="S47" i="26" s="1"/>
  <c r="S48" i="26" s="1"/>
  <c r="S17" i="26"/>
  <c r="S10" i="26" l="1"/>
  <c r="S13" i="26"/>
  <c r="S11" i="26" l="1"/>
  <c r="S18" i="26"/>
  <c r="S8" i="22" s="1"/>
  <c r="S16" i="22" l="1"/>
  <c r="S9" i="22"/>
  <c r="O153" i="31"/>
  <c r="AA8" i="22"/>
  <c r="S342" i="26"/>
  <c r="S193" i="22" s="1"/>
  <c r="S180" i="26"/>
  <c r="S13" i="22" s="1"/>
  <c r="S312" i="26"/>
  <c r="S182" i="26"/>
  <c r="S15" i="22" s="1"/>
  <c r="S46" i="22" s="1"/>
  <c r="S313" i="26"/>
  <c r="S302" i="26"/>
  <c r="S181" i="26"/>
  <c r="S14" i="22" s="1"/>
  <c r="S45" i="22" s="1"/>
  <c r="S301" i="26"/>
  <c r="S311" i="26"/>
  <c r="S19" i="26"/>
  <c r="S233" i="26"/>
  <c r="S77" i="22" s="1"/>
  <c r="S227" i="26"/>
  <c r="S76" i="22" s="1"/>
  <c r="S251" i="26"/>
  <c r="S204" i="26"/>
  <c r="S30" i="26"/>
  <c r="S32" i="26" s="1"/>
  <c r="S120" i="22" l="1"/>
  <c r="O10" i="31"/>
  <c r="S44" i="22"/>
  <c r="O158" i="31"/>
  <c r="O24" i="31" s="1"/>
  <c r="X32" i="26"/>
  <c r="S213" i="26"/>
  <c r="S19" i="22" s="1"/>
  <c r="S18" i="22" s="1"/>
  <c r="T249" i="26"/>
  <c r="S250" i="26"/>
  <c r="S173" i="22" s="1"/>
  <c r="S253" i="26"/>
  <c r="S106" i="22" s="1"/>
  <c r="S258" i="26"/>
  <c r="S127" i="22" s="1"/>
  <c r="S128" i="22" s="1"/>
  <c r="S252" i="26"/>
  <c r="S96" i="22" s="1"/>
  <c r="S34" i="26"/>
  <c r="S33" i="26" s="1"/>
  <c r="S58" i="26"/>
  <c r="T225" i="26"/>
  <c r="S226" i="26"/>
  <c r="S167" i="22" s="1"/>
  <c r="S232" i="26"/>
  <c r="S168" i="22" s="1"/>
  <c r="T231" i="26"/>
  <c r="S344" i="26"/>
  <c r="S351" i="26"/>
  <c r="S122" i="22" l="1"/>
  <c r="S31" i="26"/>
  <c r="S64" i="22"/>
  <c r="O161" i="31"/>
  <c r="O31" i="31" s="1"/>
  <c r="O32" i="31" s="1"/>
  <c r="S47" i="22"/>
  <c r="O23" i="31"/>
  <c r="O25" i="31"/>
  <c r="O22" i="31"/>
  <c r="O11" i="31"/>
  <c r="S345" i="26"/>
  <c r="S98" i="22" s="1"/>
  <c r="T340" i="26"/>
  <c r="S346" i="26"/>
  <c r="S102" i="22" s="1"/>
  <c r="T363" i="26" l="1"/>
  <c r="U107" i="26"/>
  <c r="V37" i="26"/>
  <c r="V23" i="26"/>
  <c r="V26" i="26"/>
  <c r="T107" i="26"/>
  <c r="T139" i="26" s="1"/>
  <c r="T26" i="26"/>
  <c r="T37" i="26"/>
  <c r="T23" i="26"/>
  <c r="V107" i="26"/>
  <c r="V140" i="26" s="1"/>
  <c r="X23" i="26"/>
  <c r="U23" i="26"/>
  <c r="U37" i="26"/>
  <c r="U26" i="26"/>
  <c r="T365" i="26" l="1"/>
  <c r="T194" i="22"/>
  <c r="T65" i="22"/>
  <c r="V56" i="26"/>
  <c r="V47" i="26" s="1"/>
  <c r="W48" i="26" s="1"/>
  <c r="W17" i="26"/>
  <c r="V108" i="26"/>
  <c r="V136" i="26"/>
  <c r="W108" i="26"/>
  <c r="U139" i="26"/>
  <c r="U136" i="26"/>
  <c r="T108" i="26"/>
  <c r="T136" i="26"/>
  <c r="U108" i="26"/>
  <c r="T140" i="26"/>
  <c r="T17" i="26" s="1"/>
  <c r="U140" i="26"/>
  <c r="U56" i="26" s="1"/>
  <c r="U47" i="26" s="1"/>
  <c r="T56" i="26"/>
  <c r="T47" i="26" s="1"/>
  <c r="T48" i="26" s="1"/>
  <c r="V139" i="26"/>
  <c r="U48" i="26" l="1"/>
  <c r="T26" i="22"/>
  <c r="T156" i="22"/>
  <c r="V17" i="26"/>
  <c r="U17" i="26"/>
  <c r="V48" i="26"/>
  <c r="U12" i="26"/>
  <c r="U10" i="26" s="1"/>
  <c r="V12" i="26"/>
  <c r="W13" i="26" s="1"/>
  <c r="T12" i="26"/>
  <c r="T13" i="26" s="1"/>
  <c r="T10" i="26" l="1"/>
  <c r="T18" i="26" s="1"/>
  <c r="T19" i="26" s="1"/>
  <c r="X11" i="26"/>
  <c r="U18" i="26"/>
  <c r="U312" i="26" s="1"/>
  <c r="V10" i="26"/>
  <c r="V18" i="26" s="1"/>
  <c r="V8" i="22" s="1"/>
  <c r="W9" i="22" s="1"/>
  <c r="U8" i="22"/>
  <c r="U13" i="26"/>
  <c r="V13" i="26"/>
  <c r="T312" i="26"/>
  <c r="T227" i="26"/>
  <c r="T76" i="22" s="1"/>
  <c r="T30" i="26"/>
  <c r="T32" i="26" s="1"/>
  <c r="T311" i="26"/>
  <c r="T302" i="26"/>
  <c r="T342" i="26"/>
  <c r="T193" i="22" s="1"/>
  <c r="V30" i="26" l="1"/>
  <c r="V251" i="26"/>
  <c r="W249" i="26" s="1"/>
  <c r="W250" i="26" s="1"/>
  <c r="W173" i="22" s="1"/>
  <c r="V182" i="26"/>
  <c r="V15" i="22" s="1"/>
  <c r="V46" i="22" s="1"/>
  <c r="R153" i="31"/>
  <c r="R10" i="31" s="1"/>
  <c r="R22" i="31" s="1"/>
  <c r="U227" i="26"/>
  <c r="U76" i="22" s="1"/>
  <c r="V204" i="26"/>
  <c r="V213" i="26" s="1"/>
  <c r="V19" i="22" s="1"/>
  <c r="V18" i="22" s="1"/>
  <c r="U11" i="26"/>
  <c r="T180" i="26"/>
  <c r="T13" i="22" s="1"/>
  <c r="T181" i="26"/>
  <c r="T14" i="22" s="1"/>
  <c r="V11" i="26"/>
  <c r="U251" i="26"/>
  <c r="U253" i="26" s="1"/>
  <c r="U106" i="22" s="1"/>
  <c r="V233" i="26"/>
  <c r="U313" i="26"/>
  <c r="U30" i="26"/>
  <c r="U58" i="26" s="1"/>
  <c r="U19" i="26"/>
  <c r="V312" i="26"/>
  <c r="V19" i="26"/>
  <c r="U182" i="26"/>
  <c r="U15" i="22" s="1"/>
  <c r="U46" i="22" s="1"/>
  <c r="U180" i="26"/>
  <c r="U13" i="22" s="1"/>
  <c r="U44" i="22" s="1"/>
  <c r="T8" i="22"/>
  <c r="W19" i="26"/>
  <c r="T251" i="26"/>
  <c r="T250" i="26" s="1"/>
  <c r="T173" i="22" s="1"/>
  <c r="V180" i="26"/>
  <c r="V13" i="22" s="1"/>
  <c r="V44" i="22" s="1"/>
  <c r="V302" i="26"/>
  <c r="U301" i="26"/>
  <c r="T233" i="26"/>
  <c r="T77" i="22" s="1"/>
  <c r="T204" i="26"/>
  <c r="T213" i="26" s="1"/>
  <c r="T19" i="22" s="1"/>
  <c r="T18" i="22" s="1"/>
  <c r="U342" i="26"/>
  <c r="U193" i="22" s="1"/>
  <c r="Q158" i="31" s="1"/>
  <c r="Q24" i="31" s="1"/>
  <c r="T11" i="26"/>
  <c r="V181" i="26"/>
  <c r="V14" i="22" s="1"/>
  <c r="V45" i="22" s="1"/>
  <c r="T301" i="26"/>
  <c r="T313" i="26"/>
  <c r="U204" i="26"/>
  <c r="U213" i="26" s="1"/>
  <c r="U19" i="22" s="1"/>
  <c r="U18" i="22" s="1"/>
  <c r="T182" i="26"/>
  <c r="T15" i="22" s="1"/>
  <c r="U233" i="26"/>
  <c r="U77" i="22" s="1"/>
  <c r="U181" i="26"/>
  <c r="U14" i="22" s="1"/>
  <c r="U45" i="22" s="1"/>
  <c r="V311" i="26"/>
  <c r="W11" i="26"/>
  <c r="V313" i="26"/>
  <c r="V342" i="26"/>
  <c r="V193" i="22" s="1"/>
  <c r="R158" i="31" s="1"/>
  <c r="R24" i="31" s="1"/>
  <c r="U311" i="26"/>
  <c r="V9" i="22"/>
  <c r="V227" i="26"/>
  <c r="V76" i="22" s="1"/>
  <c r="V120" i="22" s="1"/>
  <c r="U302" i="26"/>
  <c r="V301" i="26"/>
  <c r="P158" i="31"/>
  <c r="P24" i="31" s="1"/>
  <c r="Q153" i="31"/>
  <c r="Q10" i="31" s="1"/>
  <c r="AC8" i="22"/>
  <c r="V32" i="26"/>
  <c r="V58" i="26"/>
  <c r="Y32" i="26"/>
  <c r="T351" i="26"/>
  <c r="T344" i="26"/>
  <c r="T34" i="26"/>
  <c r="Y34" i="26" s="1"/>
  <c r="T58" i="26"/>
  <c r="V258" i="26"/>
  <c r="V127" i="22" s="1"/>
  <c r="V128" i="22" s="1"/>
  <c r="V253" i="26"/>
  <c r="V106" i="22" s="1"/>
  <c r="V252" i="26"/>
  <c r="V96" i="22" s="1"/>
  <c r="U225" i="26"/>
  <c r="U226" i="26" s="1"/>
  <c r="U167" i="22" s="1"/>
  <c r="T226" i="26"/>
  <c r="T167" i="22" s="1"/>
  <c r="V225" i="26" l="1"/>
  <c r="T258" i="26"/>
  <c r="T127" i="22" s="1"/>
  <c r="T128" i="22" s="1"/>
  <c r="T46" i="22"/>
  <c r="T120" i="22"/>
  <c r="T45" i="22"/>
  <c r="T44" i="22"/>
  <c r="T16" i="22"/>
  <c r="U16" i="22" s="1"/>
  <c r="U9" i="22"/>
  <c r="AB8" i="22"/>
  <c r="V249" i="26"/>
  <c r="V250" i="26" s="1"/>
  <c r="V173" i="22" s="1"/>
  <c r="P153" i="31"/>
  <c r="P10" i="31" s="1"/>
  <c r="Q11" i="31" s="1"/>
  <c r="T253" i="26"/>
  <c r="T106" i="22" s="1"/>
  <c r="U32" i="26"/>
  <c r="U34" i="26" s="1"/>
  <c r="U31" i="26" s="1"/>
  <c r="U249" i="26"/>
  <c r="U250" i="26" s="1"/>
  <c r="U173" i="22" s="1"/>
  <c r="T252" i="26"/>
  <c r="T96" i="22" s="1"/>
  <c r="T9" i="22"/>
  <c r="AH10" i="31"/>
  <c r="U258" i="26"/>
  <c r="U127" i="22" s="1"/>
  <c r="U128" i="22" s="1"/>
  <c r="W231" i="26"/>
  <c r="W232" i="26" s="1"/>
  <c r="W168" i="22" s="1"/>
  <c r="U252" i="26"/>
  <c r="U96" i="22" s="1"/>
  <c r="U122" i="22" s="1"/>
  <c r="V77" i="22"/>
  <c r="U231" i="26"/>
  <c r="U232" i="26" s="1"/>
  <c r="U168" i="22" s="1"/>
  <c r="T232" i="26"/>
  <c r="T168" i="22" s="1"/>
  <c r="V231" i="26"/>
  <c r="V232" i="26" s="1"/>
  <c r="V168" i="22" s="1"/>
  <c r="V226" i="26"/>
  <c r="V167" i="22" s="1"/>
  <c r="T31" i="26"/>
  <c r="W225" i="26"/>
  <c r="W226" i="26" s="1"/>
  <c r="W167" i="22" s="1"/>
  <c r="V122" i="22"/>
  <c r="AH24" i="31"/>
  <c r="R25" i="31"/>
  <c r="S25" i="31" s="1"/>
  <c r="R23" i="31"/>
  <c r="S23" i="31" s="1"/>
  <c r="T23" i="31" s="1"/>
  <c r="U23" i="31" s="1"/>
  <c r="V23" i="31" s="1"/>
  <c r="W23" i="31" s="1"/>
  <c r="X23" i="31" s="1"/>
  <c r="Y23" i="31" s="1"/>
  <c r="Z23" i="31" s="1"/>
  <c r="AA23" i="31" s="1"/>
  <c r="AB23" i="31" s="1"/>
  <c r="Q22" i="31"/>
  <c r="U120" i="22"/>
  <c r="P161" i="31"/>
  <c r="P31" i="31" s="1"/>
  <c r="P32" i="31" s="1"/>
  <c r="T64" i="22"/>
  <c r="T47" i="22"/>
  <c r="V64" i="22"/>
  <c r="R161" i="31"/>
  <c r="R31" i="31" s="1"/>
  <c r="V47" i="22"/>
  <c r="P23" i="31"/>
  <c r="Q161" i="31"/>
  <c r="Q31" i="31" s="1"/>
  <c r="U64" i="22"/>
  <c r="U47" i="22"/>
  <c r="Q23" i="31"/>
  <c r="Q25" i="31"/>
  <c r="R11" i="31"/>
  <c r="S11" i="31" s="1"/>
  <c r="T346" i="26"/>
  <c r="T102" i="22" s="1"/>
  <c r="U340" i="26"/>
  <c r="T345" i="26"/>
  <c r="T98" i="22" s="1"/>
  <c r="T33" i="26"/>
  <c r="V34" i="26"/>
  <c r="V31" i="26" s="1"/>
  <c r="T122" i="22" l="1"/>
  <c r="U33" i="26"/>
  <c r="Q32" i="31"/>
  <c r="V16" i="22"/>
  <c r="T25" i="31"/>
  <c r="P11" i="31"/>
  <c r="P22" i="31"/>
  <c r="T11" i="31"/>
  <c r="U11" i="31" s="1"/>
  <c r="V11" i="31" s="1"/>
  <c r="W11" i="31" s="1"/>
  <c r="X11" i="31" s="1"/>
  <c r="Y11" i="31" s="1"/>
  <c r="Z11" i="31" s="1"/>
  <c r="AA11" i="31" s="1"/>
  <c r="AB11" i="31" s="1"/>
  <c r="S10" i="31"/>
  <c r="P25" i="31"/>
  <c r="R32" i="31"/>
  <c r="S32" i="31" s="1"/>
  <c r="T32" i="31" s="1"/>
  <c r="U32" i="31" s="1"/>
  <c r="V32" i="31" s="1"/>
  <c r="W32" i="31" s="1"/>
  <c r="X32" i="31" s="1"/>
  <c r="Y32" i="31" s="1"/>
  <c r="Z32" i="31" s="1"/>
  <c r="AA32" i="31" s="1"/>
  <c r="AB32" i="31" s="1"/>
  <c r="V33" i="26"/>
  <c r="U363" i="26"/>
  <c r="U344" i="26"/>
  <c r="U351" i="26"/>
  <c r="T10" i="31" l="1"/>
  <c r="S31" i="31"/>
  <c r="T31" i="31" s="1"/>
  <c r="U31" i="31" s="1"/>
  <c r="V31" i="31" s="1"/>
  <c r="W31" i="31" s="1"/>
  <c r="X31" i="31" s="1"/>
  <c r="Y31" i="31" s="1"/>
  <c r="Z31" i="31" s="1"/>
  <c r="AA31" i="31" s="1"/>
  <c r="AB31" i="31" s="1"/>
  <c r="AC31" i="31" s="1"/>
  <c r="AD31" i="31" s="1"/>
  <c r="U25" i="31"/>
  <c r="S24" i="31"/>
  <c r="S21" i="31" s="1"/>
  <c r="U365" i="26"/>
  <c r="U194" i="22"/>
  <c r="U65" i="22"/>
  <c r="W16" i="22"/>
  <c r="U346" i="26"/>
  <c r="U102" i="22" s="1"/>
  <c r="V340" i="26"/>
  <c r="U345" i="26"/>
  <c r="U98" i="22" s="1"/>
  <c r="U10" i="31" l="1"/>
  <c r="T24" i="31"/>
  <c r="T21" i="31" s="1"/>
  <c r="V25" i="31"/>
  <c r="U26" i="22"/>
  <c r="U156" i="22"/>
  <c r="S22" i="31"/>
  <c r="V363" i="26"/>
  <c r="V344" i="26"/>
  <c r="W340" i="26" s="1"/>
  <c r="V351" i="26"/>
  <c r="U24" i="31" l="1"/>
  <c r="U21" i="31" s="1"/>
  <c r="W25" i="31"/>
  <c r="T22" i="31"/>
  <c r="V10" i="31"/>
  <c r="V365" i="26"/>
  <c r="V194" i="22"/>
  <c r="V65" i="22"/>
  <c r="U22" i="31"/>
  <c r="W344" i="26"/>
  <c r="W363" i="26"/>
  <c r="W351" i="26"/>
  <c r="V345" i="26"/>
  <c r="V98" i="22" s="1"/>
  <c r="V346" i="26"/>
  <c r="V102" i="22" s="1"/>
  <c r="X25" i="31" l="1"/>
  <c r="W10" i="31"/>
  <c r="V24" i="31"/>
  <c r="V21" i="31" s="1"/>
  <c r="W365" i="26"/>
  <c r="W194" i="22"/>
  <c r="W65" i="22"/>
  <c r="V156" i="22"/>
  <c r="V26" i="22"/>
  <c r="W346" i="26"/>
  <c r="W102" i="22" s="1"/>
  <c r="W345" i="26"/>
  <c r="W98" i="22" s="1"/>
  <c r="V22" i="31" l="1"/>
  <c r="AI10" i="31"/>
  <c r="X10" i="31"/>
  <c r="Y25" i="31"/>
  <c r="W156" i="22"/>
  <c r="W26" i="22"/>
  <c r="W24" i="31"/>
  <c r="X24" i="31" l="1"/>
  <c r="X21" i="31" s="1"/>
  <c r="X22" i="31" s="1"/>
  <c r="AI24" i="31"/>
  <c r="W21" i="31"/>
  <c r="Y10" i="31"/>
  <c r="Z10" i="31" s="1"/>
  <c r="Z25" i="31"/>
  <c r="Y24" i="31" l="1"/>
  <c r="Y21" i="31" s="1"/>
  <c r="Y22" i="31" s="1"/>
  <c r="AA25" i="31"/>
  <c r="Z24" i="31"/>
  <c r="Z21" i="31" s="1"/>
  <c r="AA10" i="31"/>
  <c r="W22" i="31"/>
  <c r="AI21" i="31"/>
  <c r="AB25" i="31" l="1"/>
  <c r="AA24" i="31"/>
  <c r="AA21" i="31" s="1"/>
  <c r="AB10" i="31"/>
  <c r="AC10" i="31" s="1"/>
  <c r="Z22" i="31"/>
  <c r="AC26" i="31" l="1"/>
  <c r="AJ10" i="31"/>
  <c r="AC12" i="31"/>
  <c r="AC24" i="31"/>
  <c r="AD10" i="31"/>
  <c r="AD26" i="31" s="1"/>
  <c r="AB24" i="31"/>
  <c r="AB21" i="31" s="1"/>
  <c r="AB22" i="31" s="1"/>
  <c r="AA22" i="31"/>
  <c r="AF26" i="31" l="1"/>
  <c r="AC21" i="31"/>
  <c r="AC14" i="31" s="1"/>
  <c r="AJ24" i="31"/>
  <c r="AD24" i="31"/>
  <c r="AD12" i="31"/>
  <c r="AF10" i="31"/>
  <c r="AD21" i="31" l="1"/>
  <c r="AD14" i="31" s="1"/>
  <c r="AF24" i="31"/>
  <c r="AC15" i="31"/>
  <c r="AC16" i="31"/>
  <c r="AC18" i="31" s="1"/>
  <c r="AF12" i="31"/>
  <c r="AJ21" i="31"/>
  <c r="AC22" i="31"/>
  <c r="AC29" i="31"/>
  <c r="AD15" i="31" l="1"/>
  <c r="AF14" i="31"/>
  <c r="AD16" i="31"/>
  <c r="AF16" i="31" s="1"/>
  <c r="AC30" i="31"/>
  <c r="AC33" i="31"/>
  <c r="AF21" i="31"/>
  <c r="AD29" i="31"/>
  <c r="AD22" i="31"/>
  <c r="AD18" i="31" l="1"/>
  <c r="AD30" i="31" s="1"/>
  <c r="AF29" i="31"/>
  <c r="AF18" i="31" l="1"/>
  <c r="AD33" i="31"/>
  <c r="AF33" i="31" s="1"/>
  <c r="AD35" i="31" l="1"/>
  <c r="O40" i="31" s="1"/>
  <c r="O256" i="31" s="1"/>
  <c r="Q40" i="31" l="1"/>
  <c r="Q256" i="31" s="1"/>
  <c r="R40" i="31"/>
  <c r="M40" i="31"/>
  <c r="M256" i="31" s="1"/>
  <c r="P40" i="31"/>
  <c r="P256" i="31" s="1"/>
  <c r="N40" i="31"/>
  <c r="N256" i="31" s="1"/>
  <c r="H256" i="31" s="1" a="1"/>
  <c r="H256" i="31" s="1"/>
  <c r="N265" i="31" s="1"/>
  <c r="H62" i="31" l="1" a="1"/>
  <c r="H62" i="31" s="1"/>
  <c r="Q136" i="26"/>
  <c r="Q142" i="26"/>
  <c r="Q43" i="26" s="1"/>
  <c r="R43" i="26" l="1"/>
  <c r="R142" i="26" s="1"/>
  <c r="R143" i="26" s="1"/>
  <c r="S143" i="26" s="1"/>
  <c r="Q54" i="26"/>
  <c r="T143" i="26" l="1"/>
  <c r="S142" i="26"/>
  <c r="S43" i="26" s="1"/>
  <c r="Q64" i="26"/>
  <c r="R54" i="26"/>
  <c r="R64" i="26" s="1"/>
  <c r="R41" i="26"/>
  <c r="R44" i="26"/>
  <c r="S44" i="26"/>
  <c r="S41" i="26" l="1"/>
  <c r="S54" i="26"/>
  <c r="S64" i="26" s="1"/>
  <c r="U143" i="26"/>
  <c r="T142" i="26"/>
  <c r="T43" i="26" s="1"/>
  <c r="Q41" i="26"/>
  <c r="R42" i="26"/>
  <c r="S42" i="26"/>
  <c r="R49" i="26"/>
  <c r="R53" i="26"/>
  <c r="T54" i="26" l="1"/>
  <c r="T64" i="26" s="1"/>
  <c r="T44" i="26"/>
  <c r="T41" i="26"/>
  <c r="V143" i="26"/>
  <c r="U142" i="26"/>
  <c r="U43" i="26" s="1"/>
  <c r="S49" i="26"/>
  <c r="S53" i="26"/>
  <c r="R63" i="26"/>
  <c r="Q53" i="26"/>
  <c r="Q63" i="26" s="1"/>
  <c r="R57" i="26"/>
  <c r="R239" i="26"/>
  <c r="R221" i="26"/>
  <c r="R263" i="26"/>
  <c r="Q49" i="26"/>
  <c r="R245" i="26"/>
  <c r="S63" i="26" l="1"/>
  <c r="S57" i="26"/>
  <c r="S10" i="22"/>
  <c r="S245" i="26"/>
  <c r="S221" i="26"/>
  <c r="S263" i="26"/>
  <c r="S239" i="26"/>
  <c r="U41" i="26"/>
  <c r="U54" i="26"/>
  <c r="U64" i="26" s="1"/>
  <c r="U44" i="26"/>
  <c r="W143" i="26"/>
  <c r="W142" i="26" s="1"/>
  <c r="W43" i="26" s="1"/>
  <c r="V142" i="26"/>
  <c r="V43" i="26" s="1"/>
  <c r="T42" i="26"/>
  <c r="T49" i="26"/>
  <c r="T53" i="26"/>
  <c r="R59" i="26"/>
  <c r="R67" i="26"/>
  <c r="Q57" i="26"/>
  <c r="Q67" i="26" s="1"/>
  <c r="R244" i="26"/>
  <c r="S243" i="26"/>
  <c r="S244" i="26" s="1"/>
  <c r="S261" i="26"/>
  <c r="S262" i="26" s="1"/>
  <c r="R262" i="26"/>
  <c r="R267" i="26"/>
  <c r="R266" i="26" s="1"/>
  <c r="S219" i="26"/>
  <c r="S220" i="26" s="1"/>
  <c r="R220" i="26"/>
  <c r="S237" i="26"/>
  <c r="R238" i="26"/>
  <c r="S238" i="26" l="1"/>
  <c r="T57" i="26"/>
  <c r="T63" i="26"/>
  <c r="V41" i="26"/>
  <c r="V54" i="26"/>
  <c r="V64" i="26" s="1"/>
  <c r="V44" i="26"/>
  <c r="S101" i="22"/>
  <c r="T261" i="26"/>
  <c r="T10" i="22"/>
  <c r="T239" i="26"/>
  <c r="T245" i="26"/>
  <c r="T221" i="26"/>
  <c r="T263" i="26"/>
  <c r="W54" i="26"/>
  <c r="W64" i="26" s="1"/>
  <c r="W41" i="26"/>
  <c r="W44" i="26"/>
  <c r="U49" i="26"/>
  <c r="U53" i="26"/>
  <c r="U42" i="26"/>
  <c r="S94" i="22"/>
  <c r="T237" i="26"/>
  <c r="S75" i="22"/>
  <c r="T219" i="26"/>
  <c r="S267" i="26"/>
  <c r="S95" i="22"/>
  <c r="T243" i="26"/>
  <c r="S11" i="22"/>
  <c r="S67" i="26"/>
  <c r="S59" i="26"/>
  <c r="R69" i="26"/>
  <c r="Q59" i="26"/>
  <c r="Q69" i="26" s="1"/>
  <c r="N27" i="31"/>
  <c r="N182" i="31"/>
  <c r="N159" i="31" s="1"/>
  <c r="N249" i="31" s="1"/>
  <c r="Q10" i="22"/>
  <c r="R10" i="22"/>
  <c r="R75" i="22"/>
  <c r="R94" i="22"/>
  <c r="R95" i="22"/>
  <c r="R101" i="22"/>
  <c r="R107" i="22"/>
  <c r="R133" i="22"/>
  <c r="R134" i="22"/>
  <c r="R166" i="22"/>
  <c r="S166" i="22"/>
  <c r="R171" i="22"/>
  <c r="S171" i="22"/>
  <c r="R172" i="22"/>
  <c r="S172" i="22"/>
  <c r="R174" i="22"/>
  <c r="S174" i="22"/>
  <c r="S266" i="26" l="1"/>
  <c r="S133" i="22"/>
  <c r="S134" i="22" s="1"/>
  <c r="O182" i="31"/>
  <c r="W49" i="26"/>
  <c r="W53" i="26"/>
  <c r="W42" i="26"/>
  <c r="S119" i="22"/>
  <c r="T101" i="22"/>
  <c r="U261" i="26"/>
  <c r="T262" i="26"/>
  <c r="T174" i="22" s="1"/>
  <c r="T94" i="22"/>
  <c r="U237" i="26"/>
  <c r="U238" i="26" s="1"/>
  <c r="U171" i="22" s="1"/>
  <c r="T238" i="26"/>
  <c r="T171" i="22" s="1"/>
  <c r="U63" i="26"/>
  <c r="U57" i="26"/>
  <c r="T11" i="22"/>
  <c r="X59" i="26"/>
  <c r="S69" i="26"/>
  <c r="S42" i="22"/>
  <c r="AA11" i="22"/>
  <c r="S23" i="22"/>
  <c r="S121" i="22"/>
  <c r="S100" i="22"/>
  <c r="U263" i="26"/>
  <c r="U10" i="22"/>
  <c r="U245" i="26"/>
  <c r="U239" i="26"/>
  <c r="U221" i="26"/>
  <c r="T75" i="22"/>
  <c r="T267" i="26"/>
  <c r="U219" i="26"/>
  <c r="U220" i="26" s="1"/>
  <c r="U166" i="22" s="1"/>
  <c r="T220" i="26"/>
  <c r="T166" i="22" s="1"/>
  <c r="T95" i="22"/>
  <c r="T244" i="26"/>
  <c r="T172" i="22" s="1"/>
  <c r="U243" i="26"/>
  <c r="S107" i="22"/>
  <c r="S108" i="22" s="1"/>
  <c r="V49" i="26"/>
  <c r="V42" i="26"/>
  <c r="V53" i="26"/>
  <c r="O159" i="31"/>
  <c r="O249" i="31" s="1"/>
  <c r="T67" i="26"/>
  <c r="T59" i="26"/>
  <c r="T69" i="26" s="1"/>
  <c r="R119" i="22"/>
  <c r="R121" i="22"/>
  <c r="O26" i="31"/>
  <c r="O29" i="31" s="1"/>
  <c r="N26" i="31"/>
  <c r="N29" i="31" s="1"/>
  <c r="R100" i="22"/>
  <c r="R108" i="22" s="1"/>
  <c r="R11" i="22"/>
  <c r="Q11" i="22"/>
  <c r="U262" i="26" l="1"/>
  <c r="U174" i="22" s="1"/>
  <c r="W10" i="22"/>
  <c r="W11" i="22" s="1"/>
  <c r="W221" i="26"/>
  <c r="W245" i="26"/>
  <c r="W95" i="22" s="1"/>
  <c r="W263" i="26"/>
  <c r="W101" i="22" s="1"/>
  <c r="W107" i="22" s="1"/>
  <c r="W239" i="26"/>
  <c r="W94" i="22" s="1"/>
  <c r="V63" i="26"/>
  <c r="V57" i="26"/>
  <c r="V263" i="26"/>
  <c r="V245" i="26"/>
  <c r="V239" i="26"/>
  <c r="V221" i="26"/>
  <c r="V10" i="22"/>
  <c r="T107" i="22"/>
  <c r="T108" i="22" s="1"/>
  <c r="O27" i="31"/>
  <c r="U94" i="22"/>
  <c r="V237" i="26"/>
  <c r="T12" i="22"/>
  <c r="T23" i="22"/>
  <c r="T42" i="22"/>
  <c r="U67" i="26"/>
  <c r="U59" i="26"/>
  <c r="U69" i="26" s="1"/>
  <c r="T121" i="22"/>
  <c r="T100" i="22"/>
  <c r="U244" i="26"/>
  <c r="U172" i="22" s="1"/>
  <c r="T119" i="22"/>
  <c r="U11" i="22"/>
  <c r="V243" i="26"/>
  <c r="U95" i="22"/>
  <c r="W57" i="26"/>
  <c r="W63" i="26"/>
  <c r="T133" i="22"/>
  <c r="T134" i="22" s="1"/>
  <c r="T266" i="26"/>
  <c r="P182" i="31"/>
  <c r="P159" i="31" s="1"/>
  <c r="V219" i="26"/>
  <c r="V220" i="26" s="1"/>
  <c r="V166" i="22" s="1"/>
  <c r="U75" i="22"/>
  <c r="U267" i="26"/>
  <c r="U101" i="22"/>
  <c r="V261" i="26"/>
  <c r="V262" i="26" s="1"/>
  <c r="V174" i="22" s="1"/>
  <c r="AA23" i="22"/>
  <c r="S48" i="22"/>
  <c r="S17" i="22"/>
  <c r="S58" i="22"/>
  <c r="S63" i="22" s="1"/>
  <c r="AB11" i="22"/>
  <c r="R12" i="22"/>
  <c r="S12" i="22"/>
  <c r="R23" i="22"/>
  <c r="R42" i="22"/>
  <c r="Q12" i="22"/>
  <c r="Q42" i="22"/>
  <c r="Q23" i="22"/>
  <c r="V238" i="26" l="1"/>
  <c r="V171" i="22" s="1"/>
  <c r="V75" i="22"/>
  <c r="W219" i="26"/>
  <c r="W220" i="26" s="1"/>
  <c r="W166" i="22" s="1"/>
  <c r="V267" i="26"/>
  <c r="V101" i="22"/>
  <c r="W261" i="26"/>
  <c r="W262" i="26" s="1"/>
  <c r="W174" i="22" s="1"/>
  <c r="V11" i="22"/>
  <c r="W67" i="26"/>
  <c r="W59" i="26"/>
  <c r="W69" i="26" s="1"/>
  <c r="V67" i="26"/>
  <c r="V59" i="26"/>
  <c r="V69" i="26" s="1"/>
  <c r="U266" i="26"/>
  <c r="Q182" i="31"/>
  <c r="U133" i="22"/>
  <c r="U134" i="22" s="1"/>
  <c r="W243" i="26"/>
  <c r="W244" i="26" s="1"/>
  <c r="W172" i="22" s="1"/>
  <c r="V95" i="22"/>
  <c r="V244" i="26"/>
  <c r="V172" i="22" s="1"/>
  <c r="U42" i="22"/>
  <c r="U23" i="22"/>
  <c r="U12" i="22"/>
  <c r="AC11" i="22"/>
  <c r="U121" i="22"/>
  <c r="U100" i="22"/>
  <c r="V94" i="22"/>
  <c r="W237" i="26"/>
  <c r="W238" i="26" s="1"/>
  <c r="W171" i="22" s="1"/>
  <c r="W75" i="22"/>
  <c r="W119" i="22" s="1"/>
  <c r="W267" i="26"/>
  <c r="P26" i="31"/>
  <c r="P29" i="31" s="1"/>
  <c r="P249" i="31"/>
  <c r="U119" i="22"/>
  <c r="P27" i="31"/>
  <c r="W108" i="22"/>
  <c r="W42" i="22"/>
  <c r="W23" i="22"/>
  <c r="S50" i="22"/>
  <c r="AB63" i="22"/>
  <c r="AA17" i="22"/>
  <c r="S66" i="22"/>
  <c r="S49" i="22"/>
  <c r="U107" i="22"/>
  <c r="W121" i="22"/>
  <c r="W100" i="22"/>
  <c r="T48" i="22"/>
  <c r="T58" i="22"/>
  <c r="T63" i="22" s="1"/>
  <c r="T50" i="22" s="1"/>
  <c r="T24" i="22"/>
  <c r="T17" i="22"/>
  <c r="R27" i="22"/>
  <c r="R24" i="22"/>
  <c r="R17" i="22"/>
  <c r="AB23" i="22"/>
  <c r="S24" i="22"/>
  <c r="R48" i="22"/>
  <c r="R58" i="22"/>
  <c r="R63" i="22" s="1"/>
  <c r="R50" i="22" s="1"/>
  <c r="Q27" i="22"/>
  <c r="Q17" i="22"/>
  <c r="Q24" i="22"/>
  <c r="Q48" i="22"/>
  <c r="Q58" i="22"/>
  <c r="Q63" i="22" s="1"/>
  <c r="Q50" i="22" s="1"/>
  <c r="O155" i="31" l="1"/>
  <c r="O14" i="31" s="1"/>
  <c r="O15" i="31" s="1"/>
  <c r="S67" i="22"/>
  <c r="Q27" i="31"/>
  <c r="W58" i="22"/>
  <c r="W63" i="22" s="1"/>
  <c r="W50" i="22" s="1"/>
  <c r="W48" i="22"/>
  <c r="W17" i="22"/>
  <c r="AC23" i="22"/>
  <c r="U58" i="22"/>
  <c r="U63" i="22" s="1"/>
  <c r="U24" i="22"/>
  <c r="U48" i="22"/>
  <c r="U17" i="22"/>
  <c r="T49" i="22"/>
  <c r="T66" i="22"/>
  <c r="V266" i="26"/>
  <c r="R182" i="31"/>
  <c r="R27" i="31" s="1"/>
  <c r="S27" i="31" s="1"/>
  <c r="V133" i="22"/>
  <c r="V134" i="22" s="1"/>
  <c r="W12" i="22"/>
  <c r="V12" i="22"/>
  <c r="V23" i="22"/>
  <c r="V42" i="22"/>
  <c r="Q159" i="31"/>
  <c r="V107" i="22"/>
  <c r="V119" i="22"/>
  <c r="W266" i="26"/>
  <c r="W133" i="22"/>
  <c r="W134" i="22" s="1"/>
  <c r="V121" i="22"/>
  <c r="V100" i="22"/>
  <c r="U108" i="22"/>
  <c r="Q66" i="22"/>
  <c r="Q49" i="22"/>
  <c r="Q28" i="22"/>
  <c r="R66" i="22"/>
  <c r="AB17" i="22"/>
  <c r="R49" i="22"/>
  <c r="R146" i="22"/>
  <c r="R165" i="22" s="1"/>
  <c r="R175" i="22" s="1"/>
  <c r="R28" i="22"/>
  <c r="R29" i="22"/>
  <c r="Q29" i="22" s="1"/>
  <c r="U66" i="22" l="1"/>
  <c r="AC17" i="22"/>
  <c r="U49" i="22"/>
  <c r="AC63" i="22"/>
  <c r="U50" i="22"/>
  <c r="T67" i="22"/>
  <c r="P155" i="31"/>
  <c r="P14" i="31" s="1"/>
  <c r="P15" i="31" s="1"/>
  <c r="T27" i="31"/>
  <c r="S26" i="31"/>
  <c r="S29" i="31" s="1"/>
  <c r="V58" i="22"/>
  <c r="V63" i="22" s="1"/>
  <c r="V50" i="22" s="1"/>
  <c r="V24" i="22"/>
  <c r="V48" i="22"/>
  <c r="V17" i="22"/>
  <c r="W49" i="22"/>
  <c r="W66" i="22"/>
  <c r="W67" i="22" s="1"/>
  <c r="W51" i="22" s="1"/>
  <c r="W24" i="22"/>
  <c r="R159" i="31"/>
  <c r="S51" i="22"/>
  <c r="O154" i="31"/>
  <c r="V108" i="22"/>
  <c r="Q26" i="31"/>
  <c r="Q29" i="31" s="1"/>
  <c r="Q249" i="31"/>
  <c r="R385" i="26"/>
  <c r="R30" i="22" s="1"/>
  <c r="N164" i="31"/>
  <c r="N156" i="31" s="1"/>
  <c r="R176" i="22"/>
  <c r="N155" i="31"/>
  <c r="N14" i="31" s="1"/>
  <c r="R67" i="22"/>
  <c r="Q67" i="22"/>
  <c r="Q51" i="22" s="1"/>
  <c r="R387" i="26" l="1"/>
  <c r="R200" i="22" s="1"/>
  <c r="Q30" i="22"/>
  <c r="R68" i="22"/>
  <c r="V66" i="22"/>
  <c r="V49" i="22"/>
  <c r="U27" i="31"/>
  <c r="T26" i="31"/>
  <c r="T29" i="31" s="1"/>
  <c r="O246" i="31"/>
  <c r="O12" i="31"/>
  <c r="O13" i="31" s="1"/>
  <c r="R249" i="31"/>
  <c r="R26" i="31"/>
  <c r="T51" i="22"/>
  <c r="P154" i="31"/>
  <c r="Q155" i="31"/>
  <c r="Q14" i="31" s="1"/>
  <c r="Q15" i="31" s="1"/>
  <c r="U67" i="22"/>
  <c r="R31" i="22"/>
  <c r="R141" i="22" s="1"/>
  <c r="R178" i="22"/>
  <c r="R389" i="26"/>
  <c r="S384" i="26" s="1"/>
  <c r="N18" i="31"/>
  <c r="N15" i="31"/>
  <c r="R38" i="22"/>
  <c r="R53" i="22"/>
  <c r="R36" i="22"/>
  <c r="R37" i="22"/>
  <c r="N247" i="31"/>
  <c r="N16" i="31"/>
  <c r="N17" i="31" s="1"/>
  <c r="R54" i="22"/>
  <c r="N181" i="31"/>
  <c r="N86" i="31" s="1"/>
  <c r="N85" i="31" s="1"/>
  <c r="R51" i="22"/>
  <c r="N154" i="31"/>
  <c r="R32" i="22" l="1"/>
  <c r="R376" i="26"/>
  <c r="R69" i="22"/>
  <c r="P246" i="31"/>
  <c r="P12" i="31"/>
  <c r="P13" i="31" s="1"/>
  <c r="R155" i="31"/>
  <c r="R14" i="31" s="1"/>
  <c r="V67" i="22"/>
  <c r="U51" i="22"/>
  <c r="Q154" i="31"/>
  <c r="R113" i="22"/>
  <c r="N173" i="31" s="1"/>
  <c r="N44" i="31" s="1"/>
  <c r="AH26" i="31"/>
  <c r="R29" i="31"/>
  <c r="AH29" i="31" s="1"/>
  <c r="V27" i="31"/>
  <c r="U26" i="31"/>
  <c r="U29" i="31" s="1"/>
  <c r="N12" i="31"/>
  <c r="N13" i="31" s="1"/>
  <c r="N246" i="31"/>
  <c r="N33" i="31"/>
  <c r="N30" i="31"/>
  <c r="R377" i="26"/>
  <c r="R199" i="22" s="1"/>
  <c r="Q38" i="22"/>
  <c r="R39" i="22"/>
  <c r="W27" i="31" l="1"/>
  <c r="V26" i="31"/>
  <c r="V29" i="31" s="1"/>
  <c r="R379" i="26"/>
  <c r="R112" i="22" s="1"/>
  <c r="R114" i="22" s="1"/>
  <c r="Q12" i="31"/>
  <c r="Q13" i="31" s="1"/>
  <c r="Q246" i="31"/>
  <c r="V51" i="22"/>
  <c r="R154" i="31"/>
  <c r="R15" i="31"/>
  <c r="AH14" i="31"/>
  <c r="Q39" i="22"/>
  <c r="R197" i="22"/>
  <c r="R202" i="22" s="1"/>
  <c r="R203" i="22" s="1"/>
  <c r="R206" i="22" s="1"/>
  <c r="S375" i="26"/>
  <c r="R12" i="31" l="1"/>
  <c r="R246" i="31"/>
  <c r="X27" i="31"/>
  <c r="W26" i="31"/>
  <c r="N184" i="31"/>
  <c r="R130" i="22"/>
  <c r="R115" i="22"/>
  <c r="R139" i="22"/>
  <c r="R80" i="22"/>
  <c r="S205" i="22"/>
  <c r="R207" i="22"/>
  <c r="AI26" i="31" l="1"/>
  <c r="W29" i="31"/>
  <c r="AJ26" i="31"/>
  <c r="Y27" i="31"/>
  <c r="X26" i="31"/>
  <c r="X29" i="31" s="1"/>
  <c r="R13" i="31"/>
  <c r="S13" i="31" s="1"/>
  <c r="AH12" i="31"/>
  <c r="R355" i="26"/>
  <c r="R356" i="26" s="1"/>
  <c r="R132" i="22"/>
  <c r="N170" i="31"/>
  <c r="R81" i="22"/>
  <c r="R91" i="22" s="1"/>
  <c r="T13" i="31" l="1"/>
  <c r="S12" i="31"/>
  <c r="S14" i="31" s="1"/>
  <c r="S15" i="31" s="1"/>
  <c r="Z27" i="31"/>
  <c r="Y26" i="31"/>
  <c r="Y29" i="31" s="1"/>
  <c r="AI29" i="31"/>
  <c r="AJ29" i="31"/>
  <c r="N172" i="31"/>
  <c r="R136" i="22"/>
  <c r="R137" i="22"/>
  <c r="N183" i="31"/>
  <c r="R116" i="22"/>
  <c r="R140" i="22"/>
  <c r="S354" i="26"/>
  <c r="S368" i="26"/>
  <c r="S207" i="26" s="1"/>
  <c r="AA27" i="31" l="1"/>
  <c r="Z26" i="31"/>
  <c r="Z29" i="31" s="1"/>
  <c r="T12" i="31"/>
  <c r="T14" i="31" s="1"/>
  <c r="T15" i="31" s="1"/>
  <c r="U13" i="31"/>
  <c r="O88" i="31"/>
  <c r="O87" i="31"/>
  <c r="N171" i="31"/>
  <c r="N248" i="31" s="1"/>
  <c r="N42" i="31"/>
  <c r="S211" i="26"/>
  <c r="S212" i="26"/>
  <c r="S157" i="22"/>
  <c r="S177" i="22" s="1"/>
  <c r="S25" i="22"/>
  <c r="S358" i="26"/>
  <c r="S170" i="22" s="1"/>
  <c r="S79" i="22"/>
  <c r="V13" i="31" l="1"/>
  <c r="U12" i="31"/>
  <c r="U14" i="31" s="1"/>
  <c r="U15" i="31" s="1"/>
  <c r="AA26" i="31"/>
  <c r="AA29" i="31" s="1"/>
  <c r="AB26" i="31"/>
  <c r="AB29" i="31" s="1"/>
  <c r="S27" i="22"/>
  <c r="O165" i="31"/>
  <c r="W13" i="31" l="1"/>
  <c r="V12" i="31"/>
  <c r="V14" i="31" s="1"/>
  <c r="V15" i="31" s="1"/>
  <c r="S28" i="22"/>
  <c r="S146" i="22"/>
  <c r="S165" i="22" s="1"/>
  <c r="S175" i="22" s="1"/>
  <c r="S29" i="22"/>
  <c r="S385" i="26" s="1"/>
  <c r="X13" i="31" l="1"/>
  <c r="W12" i="31"/>
  <c r="S387" i="26"/>
  <c r="S200" i="22" s="1"/>
  <c r="S30" i="22"/>
  <c r="O164" i="31"/>
  <c r="O156" i="31" s="1"/>
  <c r="S176" i="22"/>
  <c r="S31" i="22"/>
  <c r="S389" i="26" l="1"/>
  <c r="AJ12" i="31"/>
  <c r="W14" i="31"/>
  <c r="AI12" i="31"/>
  <c r="X12" i="31"/>
  <c r="X14" i="31" s="1"/>
  <c r="X15" i="31" s="1"/>
  <c r="Y13" i="31"/>
  <c r="S376" i="26"/>
  <c r="S32" i="22"/>
  <c r="S38" i="22"/>
  <c r="S53" i="22"/>
  <c r="S36" i="22"/>
  <c r="AA31" i="22"/>
  <c r="S37" i="22"/>
  <c r="S141" i="22"/>
  <c r="T384" i="26"/>
  <c r="S113" i="22"/>
  <c r="O247" i="31"/>
  <c r="O16" i="31"/>
  <c r="S68" i="22"/>
  <c r="S178" i="22"/>
  <c r="Y12" i="31" l="1"/>
  <c r="Y14" i="31" s="1"/>
  <c r="Y15" i="31" s="1"/>
  <c r="Z13" i="31"/>
  <c r="AI14" i="31"/>
  <c r="W15" i="31"/>
  <c r="AJ14" i="31"/>
  <c r="S377" i="26"/>
  <c r="S199" i="22" s="1"/>
  <c r="S39" i="22"/>
  <c r="O18" i="31"/>
  <c r="O17" i="31"/>
  <c r="O173" i="31"/>
  <c r="O44" i="31" s="1"/>
  <c r="H66" i="31" s="1" a="1"/>
  <c r="H66" i="31" s="1"/>
  <c r="AB68" i="22"/>
  <c r="S54" i="22"/>
  <c r="O181" i="31"/>
  <c r="O86" i="31" s="1"/>
  <c r="O85" i="31" s="1"/>
  <c r="Z12" i="31" l="1"/>
  <c r="Z14" i="31" s="1"/>
  <c r="Z15" i="31" s="1"/>
  <c r="AA13" i="31"/>
  <c r="S379" i="26"/>
  <c r="S197" i="22"/>
  <c r="S202" i="22" s="1"/>
  <c r="S203" i="22" s="1"/>
  <c r="S206" i="22" s="1"/>
  <c r="T375" i="26"/>
  <c r="S112" i="22"/>
  <c r="S114" i="22" s="1"/>
  <c r="O33" i="31"/>
  <c r="O30" i="31"/>
  <c r="AA12" i="31" l="1"/>
  <c r="AA14" i="31" s="1"/>
  <c r="AA15" i="31" s="1"/>
  <c r="AB13" i="31"/>
  <c r="AB12" i="31" s="1"/>
  <c r="AB14" i="31" s="1"/>
  <c r="AB15" i="31" s="1"/>
  <c r="S115" i="22"/>
  <c r="O184" i="31"/>
  <c r="S130" i="22"/>
  <c r="S139" i="22"/>
  <c r="S80" i="22"/>
  <c r="T205" i="22"/>
  <c r="S207" i="22"/>
  <c r="S355" i="26" l="1"/>
  <c r="S356" i="26" s="1"/>
  <c r="O170" i="31"/>
  <c r="S81" i="22"/>
  <c r="S91" i="22" s="1"/>
  <c r="S132" i="22"/>
  <c r="O183" i="31" l="1"/>
  <c r="S116" i="22"/>
  <c r="S140" i="22"/>
  <c r="S136" i="22"/>
  <c r="O172" i="31"/>
  <c r="S137" i="22"/>
  <c r="T354" i="26"/>
  <c r="T368" i="26"/>
  <c r="T207" i="26" s="1"/>
  <c r="T212" i="26" l="1"/>
  <c r="T211" i="26"/>
  <c r="T157" i="22"/>
  <c r="T177" i="22" s="1"/>
  <c r="T25" i="22"/>
  <c r="P87" i="31"/>
  <c r="P88" i="31"/>
  <c r="T358" i="26"/>
  <c r="T170" i="22" s="1"/>
  <c r="T79" i="22"/>
  <c r="O171" i="31"/>
  <c r="O248" i="31" s="1"/>
  <c r="O42" i="31"/>
  <c r="H64" i="31" s="1" a="1"/>
  <c r="H64" i="31" s="1"/>
  <c r="T27" i="22" l="1"/>
  <c r="P165" i="31"/>
  <c r="T28" i="22" l="1"/>
  <c r="T146" i="22"/>
  <c r="T165" i="22" s="1"/>
  <c r="T175" i="22" s="1"/>
  <c r="T29" i="22"/>
  <c r="T176" i="22" l="1"/>
  <c r="P164" i="31"/>
  <c r="P156" i="31" s="1"/>
  <c r="T385" i="26"/>
  <c r="T178" i="22"/>
  <c r="P247" i="31" l="1"/>
  <c r="P16" i="31"/>
  <c r="T387" i="26"/>
  <c r="T200" i="22" s="1"/>
  <c r="T30" i="22"/>
  <c r="T389" i="26" l="1"/>
  <c r="T68" i="22"/>
  <c r="T31" i="22"/>
  <c r="U384" i="26"/>
  <c r="T113" i="22"/>
  <c r="P18" i="31"/>
  <c r="P17" i="31"/>
  <c r="P33" i="31" l="1"/>
  <c r="P30" i="31"/>
  <c r="P173" i="31"/>
  <c r="P44" i="31" s="1"/>
  <c r="T54" i="22"/>
  <c r="P181" i="31"/>
  <c r="P86" i="31" s="1"/>
  <c r="P85" i="31" s="1"/>
  <c r="T376" i="26"/>
  <c r="T32" i="22"/>
  <c r="T38" i="22"/>
  <c r="T53" i="22"/>
  <c r="T141" i="22"/>
  <c r="T36" i="22"/>
  <c r="AB36" i="22" s="1"/>
  <c r="AB31" i="22"/>
  <c r="T37" i="22"/>
  <c r="T377" i="26" l="1"/>
  <c r="T199" i="22" s="1"/>
  <c r="T39" i="22"/>
  <c r="T197" i="22" l="1"/>
  <c r="T202" i="22" s="1"/>
  <c r="T203" i="22" s="1"/>
  <c r="T206" i="22" s="1"/>
  <c r="T379" i="26"/>
  <c r="U375" i="26" l="1"/>
  <c r="T112" i="22"/>
  <c r="T114" i="22" s="1"/>
  <c r="T80" i="22"/>
  <c r="T207" i="22"/>
  <c r="U205" i="22"/>
  <c r="T355" i="26" l="1"/>
  <c r="T356" i="26" s="1"/>
  <c r="P170" i="31"/>
  <c r="T132" i="22"/>
  <c r="T81" i="22"/>
  <c r="T91" i="22" s="1"/>
  <c r="T130" i="22"/>
  <c r="T115" i="22"/>
  <c r="P184" i="31"/>
  <c r="P81" i="31" s="1"/>
  <c r="T139" i="22"/>
  <c r="T137" i="22" l="1"/>
  <c r="T136" i="22"/>
  <c r="P172" i="31"/>
  <c r="P183" i="31"/>
  <c r="T116" i="22"/>
  <c r="T140" i="22"/>
  <c r="U354" i="26"/>
  <c r="U368" i="26"/>
  <c r="U207" i="26" s="1"/>
  <c r="P171" i="31" l="1"/>
  <c r="P248" i="31" s="1"/>
  <c r="P42" i="31"/>
  <c r="U212" i="26"/>
  <c r="U211" i="26"/>
  <c r="U157" i="22"/>
  <c r="U177" i="22" s="1"/>
  <c r="U25" i="22"/>
  <c r="Q87" i="31"/>
  <c r="Q88" i="31"/>
  <c r="U358" i="26"/>
  <c r="U170" i="22" s="1"/>
  <c r="U79" i="22"/>
  <c r="U27" i="22" l="1"/>
  <c r="Q165" i="31"/>
  <c r="U29" i="22" l="1"/>
  <c r="U146" i="22"/>
  <c r="U165" i="22" s="1"/>
  <c r="U175" i="22" s="1"/>
  <c r="U28" i="22"/>
  <c r="U176" i="22" l="1"/>
  <c r="Q164" i="31"/>
  <c r="Q156" i="31" s="1"/>
  <c r="U385" i="26"/>
  <c r="U387" i="26" l="1"/>
  <c r="U200" i="22" s="1"/>
  <c r="U30" i="22"/>
  <c r="Q16" i="31"/>
  <c r="Q247" i="31"/>
  <c r="U178" i="22"/>
  <c r="U389" i="26" l="1"/>
  <c r="V384" i="26"/>
  <c r="U113" i="22"/>
  <c r="Q18" i="31"/>
  <c r="Q17" i="31"/>
  <c r="U31" i="22"/>
  <c r="U68" i="22"/>
  <c r="Q181" i="31" l="1"/>
  <c r="AC68" i="22"/>
  <c r="U54" i="22"/>
  <c r="U376" i="26"/>
  <c r="U36" i="22"/>
  <c r="U32" i="22"/>
  <c r="U38" i="22"/>
  <c r="U141" i="22"/>
  <c r="U53" i="22"/>
  <c r="AC31" i="22"/>
  <c r="U37" i="22"/>
  <c r="Q173" i="31"/>
  <c r="Q44" i="31" s="1"/>
  <c r="Q33" i="31"/>
  <c r="Q30" i="31"/>
  <c r="U377" i="26" l="1"/>
  <c r="U199" i="22" s="1"/>
  <c r="U39" i="22"/>
  <c r="P78" i="31"/>
  <c r="Q86" i="31"/>
  <c r="Q85" i="31" s="1"/>
  <c r="U379" i="26" l="1"/>
  <c r="V375" i="26"/>
  <c r="U112" i="22"/>
  <c r="U114" i="22" s="1"/>
  <c r="U197" i="22"/>
  <c r="U202" i="22" s="1"/>
  <c r="U203" i="22" s="1"/>
  <c r="U206" i="22" s="1"/>
  <c r="U80" i="22" l="1"/>
  <c r="V205" i="22"/>
  <c r="U207" i="22"/>
  <c r="U130" i="22"/>
  <c r="U115" i="22"/>
  <c r="Q184" i="31"/>
  <c r="U139" i="22"/>
  <c r="U355" i="26" l="1"/>
  <c r="U356" i="26" s="1"/>
  <c r="Q170" i="31"/>
  <c r="U81" i="22"/>
  <c r="U91" i="22" s="1"/>
  <c r="U132" i="22"/>
  <c r="U137" i="22" l="1"/>
  <c r="Q172" i="31"/>
  <c r="U136" i="22"/>
  <c r="U116" i="22"/>
  <c r="Q183" i="31"/>
  <c r="U140" i="22"/>
  <c r="V354" i="26"/>
  <c r="V368" i="26"/>
  <c r="V207" i="26" s="1"/>
  <c r="R87" i="31" l="1"/>
  <c r="R88" i="31"/>
  <c r="Q171" i="31"/>
  <c r="Q248" i="31" s="1"/>
  <c r="Q42" i="31"/>
  <c r="V212" i="26"/>
  <c r="V211" i="26"/>
  <c r="V157" i="22"/>
  <c r="V177" i="22" s="1"/>
  <c r="V25" i="22"/>
  <c r="V358" i="26"/>
  <c r="V170" i="22" s="1"/>
  <c r="V79" i="22"/>
  <c r="V27" i="22" l="1"/>
  <c r="R165" i="31"/>
  <c r="V146" i="22" l="1"/>
  <c r="V165" i="22" s="1"/>
  <c r="V175" i="22" s="1"/>
  <c r="V28" i="22"/>
  <c r="V29" i="22"/>
  <c r="V385" i="26" l="1"/>
  <c r="V176" i="22"/>
  <c r="R164" i="31"/>
  <c r="R156" i="31" s="1"/>
  <c r="R247" i="31" l="1"/>
  <c r="R16" i="31"/>
  <c r="V387" i="26"/>
  <c r="V200" i="22" s="1"/>
  <c r="V30" i="22"/>
  <c r="V178" i="22"/>
  <c r="V389" i="26" l="1"/>
  <c r="V31" i="22"/>
  <c r="V68" i="22"/>
  <c r="AH16" i="31"/>
  <c r="R18" i="31"/>
  <c r="R17" i="31"/>
  <c r="S17" i="31" s="1"/>
  <c r="AH18" i="31" l="1"/>
  <c r="R33" i="31"/>
  <c r="R30" i="31"/>
  <c r="S16" i="31"/>
  <c r="S18" i="31" s="1"/>
  <c r="T17" i="31"/>
  <c r="R181" i="31"/>
  <c r="R86" i="31" s="1"/>
  <c r="R85" i="31" s="1"/>
  <c r="V54" i="22"/>
  <c r="V376" i="26"/>
  <c r="V141" i="22"/>
  <c r="V53" i="22"/>
  <c r="V32" i="22"/>
  <c r="V38" i="22"/>
  <c r="V36" i="22"/>
  <c r="V37" i="22"/>
  <c r="W384" i="26"/>
  <c r="V113" i="22"/>
  <c r="U17" i="31" l="1"/>
  <c r="T16" i="31"/>
  <c r="T18" i="31" s="1"/>
  <c r="S33" i="31"/>
  <c r="S30" i="31"/>
  <c r="V377" i="26"/>
  <c r="V199" i="22" s="1"/>
  <c r="V39" i="22"/>
  <c r="AH33" i="31"/>
  <c r="Q253" i="31"/>
  <c r="M253" i="31"/>
  <c r="P253" i="31"/>
  <c r="N253" i="31"/>
  <c r="O253" i="31"/>
  <c r="R173" i="31"/>
  <c r="R44" i="31" s="1"/>
  <c r="V197" i="22" l="1"/>
  <c r="V202" i="22" s="1"/>
  <c r="V203" i="22" s="1"/>
  <c r="V206" i="22" s="1"/>
  <c r="V379" i="26"/>
  <c r="V17" i="31"/>
  <c r="U16" i="31"/>
  <c r="U18" i="31" s="1"/>
  <c r="T33" i="31"/>
  <c r="T30" i="31"/>
  <c r="H253" i="31" a="1"/>
  <c r="H253" i="31" s="1"/>
  <c r="K262" i="31" l="1"/>
  <c r="O263" i="31" s="1"/>
  <c r="W375" i="26"/>
  <c r="V112" i="22"/>
  <c r="V114" i="22" s="1"/>
  <c r="U30" i="31"/>
  <c r="U33" i="31"/>
  <c r="W17" i="31"/>
  <c r="V16" i="31"/>
  <c r="V18" i="31" s="1"/>
  <c r="V80" i="22"/>
  <c r="W205" i="22"/>
  <c r="V207" i="22"/>
  <c r="V33" i="31" l="1"/>
  <c r="V30" i="31"/>
  <c r="V130" i="22"/>
  <c r="V115" i="22"/>
  <c r="R184" i="31"/>
  <c r="V139" i="22"/>
  <c r="V355" i="26"/>
  <c r="V356" i="26" s="1"/>
  <c r="R170" i="31"/>
  <c r="V81" i="22"/>
  <c r="V91" i="22" s="1"/>
  <c r="V132" i="22"/>
  <c r="X17" i="31"/>
  <c r="W16" i="31"/>
  <c r="AI16" i="31" l="1"/>
  <c r="AJ16" i="31"/>
  <c r="W18" i="31"/>
  <c r="V137" i="22"/>
  <c r="R172" i="31"/>
  <c r="V136" i="22"/>
  <c r="R183" i="31"/>
  <c r="V116" i="22"/>
  <c r="V140" i="22"/>
  <c r="Y17" i="31"/>
  <c r="X16" i="31"/>
  <c r="X18" i="31" s="1"/>
  <c r="W354" i="26"/>
  <c r="W368" i="26"/>
  <c r="W207" i="26" s="1"/>
  <c r="W212" i="26" l="1"/>
  <c r="W211" i="26"/>
  <c r="W157" i="22"/>
  <c r="W177" i="22" s="1"/>
  <c r="W25" i="22"/>
  <c r="W27" i="22" s="1"/>
  <c r="R42" i="31"/>
  <c r="R171" i="31"/>
  <c r="R248" i="31" s="1"/>
  <c r="W30" i="31"/>
  <c r="AI18" i="31"/>
  <c r="AJ18" i="31"/>
  <c r="W33" i="31"/>
  <c r="W358" i="26"/>
  <c r="W170" i="22" s="1"/>
  <c r="W356" i="26"/>
  <c r="W79" i="22"/>
  <c r="X30" i="31"/>
  <c r="X33" i="31"/>
  <c r="Z17" i="31"/>
  <c r="Y16" i="31"/>
  <c r="Y18" i="31" s="1"/>
  <c r="W29" i="22" l="1"/>
  <c r="W146" i="22"/>
  <c r="W165" i="22" s="1"/>
  <c r="W175" i="22" s="1"/>
  <c r="W28" i="22"/>
  <c r="AA17" i="31"/>
  <c r="Z16" i="31"/>
  <c r="Z18" i="31" s="1"/>
  <c r="AI33" i="31"/>
  <c r="AJ33" i="31"/>
  <c r="M254" i="31"/>
  <c r="N254" i="31"/>
  <c r="O254" i="31"/>
  <c r="P254" i="31"/>
  <c r="Q254" i="31"/>
  <c r="Y30" i="31"/>
  <c r="Y33" i="31"/>
  <c r="H254" i="31" l="1" a="1"/>
  <c r="H254" i="31" s="1"/>
  <c r="L263" i="31" s="1"/>
  <c r="O264" i="31" s="1"/>
  <c r="AB17" i="31"/>
  <c r="AB16" i="31" s="1"/>
  <c r="AB18" i="31" s="1"/>
  <c r="AA16" i="31"/>
  <c r="AA18" i="31" s="1"/>
  <c r="Z30" i="31"/>
  <c r="Z33" i="31"/>
  <c r="W176" i="22"/>
  <c r="W178" i="22" s="1"/>
  <c r="W385" i="26"/>
  <c r="AB33" i="31" l="1"/>
  <c r="AB30" i="31"/>
  <c r="W387" i="26"/>
  <c r="W200" i="22" s="1"/>
  <c r="W197" i="22" s="1"/>
  <c r="W202" i="22" s="1"/>
  <c r="W203" i="22" s="1"/>
  <c r="W206" i="22" s="1"/>
  <c r="W30" i="22"/>
  <c r="AA30" i="31"/>
  <c r="AA33" i="31"/>
  <c r="W389" i="26" l="1"/>
  <c r="W113" i="22" s="1"/>
  <c r="W207" i="22"/>
  <c r="W80" i="22"/>
  <c r="W68" i="22"/>
  <c r="W54" i="22" s="1"/>
  <c r="W31" i="22"/>
  <c r="M39" i="31"/>
  <c r="N39" i="31"/>
  <c r="O39" i="31"/>
  <c r="P39" i="31"/>
  <c r="Q39" i="31"/>
  <c r="R39" i="31"/>
  <c r="R41" i="31" s="1"/>
  <c r="R49" i="31" s="1"/>
  <c r="R51" i="31" s="1"/>
  <c r="O255" i="31" l="1"/>
  <c r="O41" i="31"/>
  <c r="Q255" i="31"/>
  <c r="Q41" i="31"/>
  <c r="M255" i="31"/>
  <c r="M41" i="31"/>
  <c r="M49" i="31" s="1"/>
  <c r="M51" i="31" s="1"/>
  <c r="P255" i="31"/>
  <c r="P41" i="31"/>
  <c r="N255" i="31"/>
  <c r="H61" i="31" a="1"/>
  <c r="H61" i="31" s="1"/>
  <c r="N41" i="31"/>
  <c r="W376" i="26"/>
  <c r="W379" i="26" s="1"/>
  <c r="W112" i="22" s="1"/>
  <c r="W114" i="22" s="1"/>
  <c r="W139" i="22" s="1"/>
  <c r="W53" i="22"/>
  <c r="W141" i="22"/>
  <c r="W32" i="22"/>
  <c r="W38" i="22"/>
  <c r="W39" i="22" s="1"/>
  <c r="W37" i="22"/>
  <c r="W36" i="22"/>
  <c r="W132" i="22"/>
  <c r="W81" i="22"/>
  <c r="W91" i="22" s="1"/>
  <c r="W140" i="22" s="1"/>
  <c r="H255" i="31" l="1" a="1"/>
  <c r="H255" i="31" s="1"/>
  <c r="M264" i="31" s="1"/>
  <c r="O265" i="31" s="1"/>
  <c r="N49" i="31"/>
  <c r="N79" i="31"/>
  <c r="N80" i="31"/>
  <c r="H63" i="31" a="1"/>
  <c r="H63" i="31" s="1"/>
  <c r="W130" i="22"/>
  <c r="W115" i="22"/>
  <c r="W116" i="22" s="1"/>
  <c r="O49" i="31"/>
  <c r="O79" i="31"/>
  <c r="O80" i="31"/>
  <c r="P80" i="31"/>
  <c r="P79" i="31"/>
  <c r="Q49" i="31"/>
  <c r="Q79" i="31"/>
  <c r="Q80" i="31"/>
  <c r="W137" i="22"/>
  <c r="W136" i="22"/>
  <c r="H257" i="31" l="1"/>
  <c r="Q264" i="31" s="1"/>
  <c r="O78" i="31"/>
  <c r="O51" i="31"/>
  <c r="O81" i="31"/>
  <c r="Q78" i="31"/>
  <c r="Q51" i="31"/>
  <c r="Q81" i="31"/>
  <c r="Q265" i="31"/>
  <c r="Q262" i="31"/>
  <c r="Q263" i="31"/>
  <c r="N56" i="31"/>
  <c r="O56" i="31"/>
  <c r="H68" i="31" a="1"/>
  <c r="H68" i="31" s="1"/>
  <c r="N78" i="31"/>
  <c r="N51" i="31"/>
  <c r="H56" i="31" s="1" a="1"/>
  <c r="H56" i="31" s="1"/>
  <c r="N81" i="31"/>
  <c r="O55" i="31" l="1"/>
  <c r="O57" i="31" s="1"/>
  <c r="R209" i="22"/>
  <c r="O54" i="31"/>
  <c r="N58" i="31"/>
  <c r="O58" i="31"/>
  <c r="N52" i="31"/>
  <c r="N54" i="31"/>
  <c r="N55" i="31"/>
  <c r="N57" i="31" s="1"/>
  <c r="H70" i="31"/>
  <c r="H57" i="31"/>
  <c r="H71" i="31" l="1"/>
  <c r="J68" i="31" s="1"/>
  <c r="G2" i="31"/>
  <c r="Q2" i="31"/>
  <c r="R3" i="31"/>
  <c r="M92" i="31"/>
  <c r="H101" i="31" s="1"/>
  <c r="Q31" i="22"/>
  <c r="Q32" i="22" s="1"/>
  <c r="Q52" i="22"/>
  <c r="Q68" i="22"/>
  <c r="Q54" i="22" s="1"/>
  <c r="Q37" i="22" l="1"/>
  <c r="Q53" i="22"/>
  <c r="Q36"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Oguntade, Dapo</author>
    <author>Zhou, Ling</author>
  </authors>
  <commentList>
    <comment ref="C31" authorId="0" shapeId="0" xr:uid="{8A78AD0D-5C36-4805-94D7-39FB5E09B123}">
      <text>
        <r>
          <rPr>
            <b/>
            <sz val="9"/>
            <color indexed="81"/>
            <rFont val="Tahoma"/>
            <family val="2"/>
          </rPr>
          <t>MAST:</t>
        </r>
        <r>
          <rPr>
            <sz val="9"/>
            <color indexed="81"/>
            <rFont val="Tahoma"/>
            <family val="2"/>
          </rPr>
          <t xml:space="preserve">
We suggest using this line only if it is absolutely necessary.
NB: Any estimate in the final model forecast year will continue to grow to the last forecast year in the template and in the terminal period, this will be grown at the terminal growth rate to perpetuity.
If you do not want this, you can add one or more periods in stage 2 (optional) growth periods and set DCF cell G144 to -100% (so other items fall to zero in stage 2).
If the above do not meet your model/valuation objectives, please refer to question 4 in Stage 2 (optional) FAQs in the DCF template guide. Otherwise you can contact us on </t>
        </r>
        <r>
          <rPr>
            <b/>
            <sz val="9"/>
            <color indexed="81"/>
            <rFont val="Tahoma"/>
            <family val="2"/>
          </rPr>
          <t>DL-Res-Equity-Model-Analytics</t>
        </r>
        <r>
          <rPr>
            <sz val="9"/>
            <color indexed="81"/>
            <rFont val="Tahoma"/>
            <family val="2"/>
          </rPr>
          <t xml:space="preserve"> and we will look at potential alternatives.
</t>
        </r>
      </text>
    </comment>
    <comment ref="B50" authorId="0" shapeId="0" xr:uid="{6B1E7A5B-F077-4FC6-AEF8-B1E9DC844FBF}">
      <text>
        <r>
          <rPr>
            <b/>
            <sz val="9"/>
            <color indexed="81"/>
            <rFont val="Tahoma"/>
            <family val="2"/>
          </rPr>
          <t>Oguntade, Dapo:</t>
        </r>
        <r>
          <rPr>
            <sz val="9"/>
            <color indexed="81"/>
            <rFont val="Tahoma"/>
            <family val="2"/>
          </rPr>
          <t xml:space="preserve">
Do not delete</t>
        </r>
      </text>
    </comment>
    <comment ref="D94" authorId="0" shapeId="0" xr:uid="{53C22E9A-088E-456F-9DDB-C93077FC83C6}">
      <text>
        <r>
          <rPr>
            <b/>
            <sz val="9"/>
            <color indexed="81"/>
            <rFont val="Tahoma"/>
            <family val="2"/>
          </rPr>
          <t>MAST:</t>
        </r>
        <r>
          <rPr>
            <sz val="9"/>
            <color indexed="81"/>
            <rFont val="Tahoma"/>
            <family val="2"/>
          </rPr>
          <t xml:space="preserve">
Do not delete</t>
        </r>
      </text>
    </comment>
    <comment ref="D95" authorId="0" shapeId="0" xr:uid="{6C9BD3BA-C876-410F-AD84-4FD6D0517268}">
      <text>
        <r>
          <rPr>
            <b/>
            <sz val="9"/>
            <color indexed="81"/>
            <rFont val="Tahoma"/>
            <family val="2"/>
          </rPr>
          <t>MAST:</t>
        </r>
        <r>
          <rPr>
            <sz val="9"/>
            <color indexed="81"/>
            <rFont val="Tahoma"/>
            <family val="2"/>
          </rPr>
          <t xml:space="preserve">
Do not delete</t>
        </r>
      </text>
    </comment>
    <comment ref="H115" authorId="1" shapeId="0" xr:uid="{C2F67C7A-1D83-4D0A-8DB0-04FB0EE4AE8B}">
      <text>
        <r>
          <rPr>
            <b/>
            <sz val="9"/>
            <color indexed="81"/>
            <rFont val="Tahoma"/>
            <family val="2"/>
          </rPr>
          <t>Zhou, Ling:</t>
        </r>
        <r>
          <rPr>
            <sz val="9"/>
            <color indexed="81"/>
            <rFont val="Tahoma"/>
            <family val="2"/>
          </rPr>
          <t xml:space="preserve">
6.07 to 5.99
</t>
        </r>
      </text>
    </comment>
    <comment ref="H116" authorId="1" shapeId="0" xr:uid="{B284F1F9-6FC8-4DB0-9A9A-8AF2AC9F5062}">
      <text>
        <r>
          <rPr>
            <b/>
            <sz val="9"/>
            <color indexed="81"/>
            <rFont val="Tahoma"/>
            <family val="2"/>
          </rPr>
          <t>Zhou, Ling:</t>
        </r>
        <r>
          <rPr>
            <sz val="9"/>
            <color indexed="81"/>
            <rFont val="Tahoma"/>
            <family val="2"/>
          </rPr>
          <t xml:space="preserve">
from 0.8 to 0.7267
</t>
        </r>
      </text>
    </comment>
    <comment ref="H125" authorId="1" shapeId="0" xr:uid="{ED40A206-A212-44B7-AAC5-FA8C079056C6}">
      <text>
        <r>
          <rPr>
            <b/>
            <sz val="9"/>
            <color indexed="81"/>
            <rFont val="Tahoma"/>
            <family val="2"/>
          </rPr>
          <t>Zhou, Ling:</t>
        </r>
        <r>
          <rPr>
            <sz val="9"/>
            <color indexed="81"/>
            <rFont val="Tahoma"/>
            <family val="2"/>
          </rPr>
          <t xml:space="preserve">
from 9.8% to 9.3%
</t>
        </r>
      </text>
    </comment>
    <comment ref="D133" authorId="0" shapeId="0" xr:uid="{E67EE03B-66CE-431D-868E-43E31F2B408D}">
      <text>
        <r>
          <rPr>
            <b/>
            <sz val="9"/>
            <color indexed="81"/>
            <rFont val="Comic Sans MS"/>
            <family val="4"/>
          </rPr>
          <t>MAST:</t>
        </r>
        <r>
          <rPr>
            <sz val="9"/>
            <color indexed="81"/>
            <rFont val="Comic Sans MS"/>
            <family val="4"/>
          </rPr>
          <t xml:space="preserve">
Please see </t>
        </r>
        <r>
          <rPr>
            <sz val="9"/>
            <color indexed="10"/>
            <rFont val="Comic Sans MS"/>
            <family val="4"/>
          </rPr>
          <t xml:space="preserve">DCF periods parameters section </t>
        </r>
        <r>
          <rPr>
            <sz val="9"/>
            <color indexed="81"/>
            <rFont val="Comic Sans MS"/>
            <family val="4"/>
          </rPr>
          <t>in the adjacent "</t>
        </r>
        <r>
          <rPr>
            <b/>
            <sz val="9"/>
            <color indexed="81"/>
            <rFont val="Comic Sans MS"/>
            <family val="4"/>
          </rPr>
          <t>DCF template guide</t>
        </r>
        <r>
          <rPr>
            <sz val="9"/>
            <color indexed="81"/>
            <rFont val="Comic Sans MS"/>
            <family val="4"/>
          </rPr>
          <t>" tab for additional information on how this feature can be applied.</t>
        </r>
      </text>
    </comment>
    <comment ref="D135" authorId="0" shapeId="0" xr:uid="{A06D1022-12D5-4115-93A9-56BF7253AB30}">
      <text>
        <r>
          <rPr>
            <b/>
            <sz val="9"/>
            <color indexed="81"/>
            <rFont val="Comic Sans MS"/>
            <family val="4"/>
          </rPr>
          <t>MAST:</t>
        </r>
        <r>
          <rPr>
            <sz val="9"/>
            <color indexed="81"/>
            <rFont val="Comic Sans MS"/>
            <family val="4"/>
          </rPr>
          <t xml:space="preserve">
Please see </t>
        </r>
        <r>
          <rPr>
            <sz val="9"/>
            <color indexed="10"/>
            <rFont val="Comic Sans MS"/>
            <family val="4"/>
          </rPr>
          <t xml:space="preserve">DCF periods parameters section </t>
        </r>
        <r>
          <rPr>
            <sz val="9"/>
            <color indexed="81"/>
            <rFont val="Comic Sans MS"/>
            <family val="4"/>
          </rPr>
          <t>in the adjacent "</t>
        </r>
        <r>
          <rPr>
            <b/>
            <sz val="9"/>
            <color indexed="81"/>
            <rFont val="Comic Sans MS"/>
            <family val="4"/>
          </rPr>
          <t>DCF template guide</t>
        </r>
        <r>
          <rPr>
            <sz val="9"/>
            <color indexed="81"/>
            <rFont val="Comic Sans MS"/>
            <family val="4"/>
          </rPr>
          <t>" tab for additional information on how this feature can be applied.</t>
        </r>
      </text>
    </comment>
    <comment ref="D137" authorId="0" shapeId="0" xr:uid="{BBB73308-4C01-46B4-B197-80330BB8D976}">
      <text>
        <r>
          <rPr>
            <b/>
            <sz val="9"/>
            <color indexed="81"/>
            <rFont val="Comic Sans MS"/>
            <family val="4"/>
          </rPr>
          <t>MAST:</t>
        </r>
        <r>
          <rPr>
            <sz val="9"/>
            <color indexed="81"/>
            <rFont val="Comic Sans MS"/>
            <family val="4"/>
          </rPr>
          <t xml:space="preserve">
Please see </t>
        </r>
        <r>
          <rPr>
            <sz val="9"/>
            <color indexed="10"/>
            <rFont val="Comic Sans MS"/>
            <family val="4"/>
          </rPr>
          <t xml:space="preserve">DCF periods parameters section </t>
        </r>
        <r>
          <rPr>
            <sz val="9"/>
            <color indexed="81"/>
            <rFont val="Comic Sans MS"/>
            <family val="4"/>
          </rPr>
          <t>in the adjacent "</t>
        </r>
        <r>
          <rPr>
            <b/>
            <sz val="9"/>
            <color indexed="81"/>
            <rFont val="Comic Sans MS"/>
            <family val="4"/>
          </rPr>
          <t>DCF template guide</t>
        </r>
        <r>
          <rPr>
            <sz val="9"/>
            <color indexed="81"/>
            <rFont val="Comic Sans MS"/>
            <family val="4"/>
          </rPr>
          <t>" tab for additional information on how this feature can be applied.</t>
        </r>
      </text>
    </comment>
    <comment ref="B148" authorId="0" shapeId="0" xr:uid="{F8C38BFE-008A-463D-ADBA-B79BB40B4755}">
      <text>
        <r>
          <rPr>
            <b/>
            <sz val="9"/>
            <color indexed="81"/>
            <rFont val="Tahoma"/>
            <family val="2"/>
          </rPr>
          <t>MAST:</t>
        </r>
        <r>
          <rPr>
            <sz val="9"/>
            <color indexed="81"/>
            <rFont val="Tahoma"/>
            <family val="2"/>
          </rPr>
          <t xml:space="preserve">
We recommend items are linked to the underlying model using flexible excel functions such as INDEX and MATCH functions, XLOOKUP, VLOOKUP etc. This way, the template is automatically updated when the last financial year end cell is 
changed.
To use flexible excel functions, template and model date formats will need to be aligned. For more information on this, please read #4 in the Input section in the DCF template guide.
</t>
        </r>
      </text>
    </comment>
    <comment ref="M150" authorId="0" shapeId="0" xr:uid="{D69D4F05-6335-4244-8D1C-B07873702848}">
      <text>
        <r>
          <rPr>
            <b/>
            <sz val="9"/>
            <color indexed="81"/>
            <rFont val="Tahoma"/>
            <family val="2"/>
          </rPr>
          <t>MAST:</t>
        </r>
        <r>
          <rPr>
            <sz val="9"/>
            <color indexed="81"/>
            <rFont val="Tahoma"/>
            <family val="2"/>
          </rPr>
          <t xml:space="preserve">
To align template and model date formats, you can add an additional row in the excel sheet which contains your model forecast and copy and paste the template date format into the corresponding year end cells in the excel sheet.
This is required if you plan to use flexible excel functions to pull in your model forecasts.</t>
        </r>
      </text>
    </comment>
    <comment ref="C155" authorId="0" shapeId="0" xr:uid="{D6533D1C-7E42-4C84-9396-617DE250C845}">
      <text>
        <r>
          <rPr>
            <b/>
            <sz val="9"/>
            <color indexed="81"/>
            <rFont val="Tahoma"/>
            <family val="2"/>
          </rPr>
          <t>MAST:</t>
        </r>
        <r>
          <rPr>
            <sz val="9"/>
            <color indexed="81"/>
            <rFont val="Tahoma"/>
            <family val="2"/>
          </rPr>
          <t xml:space="preserve">
This line will be highlighted in red when EBIT estimates are different from sum of EBITDA, depreciation and amortisation estimates.
</t>
        </r>
      </text>
    </comment>
    <comment ref="C156" authorId="0" shapeId="0" xr:uid="{9E1B1DEE-431F-47ED-B0CB-C253343904C4}">
      <text>
        <r>
          <rPr>
            <b/>
            <sz val="9"/>
            <color indexed="81"/>
            <rFont val="Tahoma"/>
            <family val="2"/>
          </rPr>
          <t>MAST:</t>
        </r>
        <r>
          <rPr>
            <sz val="9"/>
            <color indexed="81"/>
            <rFont val="Tahoma"/>
            <family val="2"/>
          </rPr>
          <t xml:space="preserve">
This line will be highlighted in red if figures in unlevered tax expense/credit line are different from unlevered tax estimates derived using our default calculations from the DCF tax expense section.
</t>
        </r>
      </text>
    </comment>
    <comment ref="C159" authorId="0" shapeId="0" xr:uid="{E6ABB7E2-1CEE-4879-853F-2A4D205261E6}">
      <text>
        <r>
          <rPr>
            <b/>
            <sz val="9"/>
            <color indexed="81"/>
            <rFont val="Tahoma"/>
            <family val="2"/>
          </rPr>
          <t>MAST:</t>
        </r>
        <r>
          <rPr>
            <sz val="9"/>
            <color indexed="81"/>
            <rFont val="Tahoma"/>
            <family val="2"/>
          </rPr>
          <t xml:space="preserve">
This row will be highlighted in red if there are differences between estimates in change in working capital line and our calculations of change in working capital using the net working capital figures provided.
It is important change in working capital estimates  align with corresponding figures derived from movt in net working capital line to ensure the accuracy of the DCF valuation provided.
</t>
        </r>
      </text>
    </comment>
    <comment ref="C167" authorId="0" shapeId="0" xr:uid="{877D8C69-7892-47FA-9EF6-BB72F5D79208}">
      <text>
        <r>
          <rPr>
            <b/>
            <sz val="9"/>
            <color indexed="81"/>
            <rFont val="Tahoma"/>
            <family val="2"/>
          </rPr>
          <t>MAST:</t>
        </r>
        <r>
          <rPr>
            <sz val="9"/>
            <color indexed="81"/>
            <rFont val="Tahoma"/>
            <family val="2"/>
          </rPr>
          <t xml:space="preserve">
Please ensure movements in deferred tax assets / liabilities are taken into consideration.
Movt in deferred tax assets / liabilities can be accounted for in two principal ways:
(I) Through the DCF tax line or
(ii) Through change in working capital
There is another option of recognising deferred tax assets / liabilities in the EV to equity value bridge. 
If you require any assistance with this, please check for MAST guidance notes on how to account for deferred tax assets / liabilities in the DCF or you can reach out to the MAST team.
  </t>
        </r>
      </text>
    </comment>
    <comment ref="C171" authorId="0" shapeId="0" xr:uid="{653B801F-6F82-4FE2-BE9F-65B9ECDF1440}">
      <text>
        <r>
          <rPr>
            <b/>
            <sz val="9"/>
            <color indexed="81"/>
            <rFont val="Tahoma"/>
            <family val="2"/>
          </rPr>
          <t>MAST:</t>
        </r>
        <r>
          <rPr>
            <sz val="9"/>
            <color indexed="81"/>
            <rFont val="Tahoma"/>
            <family val="2"/>
          </rPr>
          <t xml:space="preserve">
Finance leases should be considered if these are not already accounted for the DCF cash flows.
Note: This relates to Finance leases and not operating leases.
Under US GAAP, operating leases are usually accounted for in operating figures. 
Under IFRS, generally there is no differentiation between finance and operating leases.</t>
        </r>
      </text>
    </comment>
    <comment ref="C172" authorId="0" shapeId="0" xr:uid="{ECAA36EB-F446-4DBC-9D38-0BB206E58017}">
      <text>
        <r>
          <rPr>
            <b/>
            <sz val="9"/>
            <color indexed="81"/>
            <rFont val="Tahoma"/>
            <family val="2"/>
          </rPr>
          <t xml:space="preserve">MAST:
</t>
        </r>
        <r>
          <rPr>
            <sz val="9"/>
            <color indexed="81"/>
            <rFont val="Tahoma"/>
            <family val="2"/>
          </rPr>
          <t xml:space="preserve">
This line will be highlighted in red if net debt estimates are different from sum of gross debt and cash estimates.
</t>
        </r>
      </text>
    </comment>
    <comment ref="B246" authorId="0" shapeId="0" xr:uid="{A1F289DF-B79C-4268-9FA5-7CE9E676EC50}">
      <text>
        <r>
          <rPr>
            <b/>
            <sz val="9"/>
            <color indexed="81"/>
            <rFont val="Tahoma"/>
            <family val="2"/>
          </rPr>
          <t>MAST:</t>
        </r>
        <r>
          <rPr>
            <sz val="9"/>
            <color indexed="81"/>
            <rFont val="Tahoma"/>
            <family val="2"/>
          </rPr>
          <t xml:space="preserve">
This line checks if EBIT estimates tie with the sum of EBITDA and D&amp;A balances. This might be valued but just this will be highlighted so you can check if it is inline your expectation
This line will be highlighted in red when EBIT estimates are different from sum of EBITDA, depreciation and amortisation estimates.
</t>
        </r>
      </text>
    </comment>
    <comment ref="B247" authorId="0" shapeId="0" xr:uid="{C184032B-E8B2-4376-A01B-6B3C245C839A}">
      <text>
        <r>
          <rPr>
            <b/>
            <sz val="9"/>
            <color indexed="81"/>
            <rFont val="Tahoma"/>
            <family val="2"/>
          </rPr>
          <t>MAST:</t>
        </r>
        <r>
          <rPr>
            <sz val="9"/>
            <color indexed="81"/>
            <rFont val="Tahoma"/>
            <family val="2"/>
          </rPr>
          <t xml:space="preserve">
This line checks if DCF unlevered tax expenses are calculated accurately.
This line will be highlighted in red if figures in unlevered tax expense/credit line in "DCF FCFF items" section above is different from our calculations in the grey highlighted cells.
</t>
        </r>
      </text>
    </comment>
    <comment ref="B248" authorId="0" shapeId="0" xr:uid="{B2690E06-7F1A-4A18-B698-4EAA65AEF824}">
      <text>
        <r>
          <rPr>
            <b/>
            <sz val="9"/>
            <color indexed="81"/>
            <rFont val="Tahoma"/>
            <family val="2"/>
          </rPr>
          <t>MAST:</t>
        </r>
        <r>
          <rPr>
            <sz val="9"/>
            <color indexed="81"/>
            <rFont val="Tahoma"/>
            <family val="2"/>
          </rPr>
          <t xml:space="preserve">
This line checks if net debt estimates tie with the sum of total gross debt and cash and bank balances.
This line will be highlighted in red if figures net debt estimates are different from sum of gross debt and cash estimates.
</t>
        </r>
      </text>
    </comment>
    <comment ref="B249" authorId="0" shapeId="0" xr:uid="{F74590DC-F88A-4A18-83EF-31B0F582CE9C}">
      <text>
        <r>
          <rPr>
            <b/>
            <sz val="9"/>
            <color indexed="81"/>
            <rFont val="Tahoma"/>
            <family val="2"/>
          </rPr>
          <t>MAST:</t>
        </r>
        <r>
          <rPr>
            <sz val="9"/>
            <color indexed="81"/>
            <rFont val="Tahoma"/>
            <family val="2"/>
          </rPr>
          <t xml:space="preserve">
the grey highlighted cells should have zeros to ensure valuation accuracy.
These cells check change in net working capital figures under "DCF FCFF items" section against movt in net working capital estimates above.
This row will be highlighted in red if there are differences between estimates in change in working capital line and our calculations of change in working capital using the net working capital figures provided.
It is important our calculations align with the change in working capital estimates provided to ensure the valuation deduced is accurate.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Zhou, Ling</author>
  </authors>
  <commentList>
    <comment ref="R198" authorId="0" shapeId="0" xr:uid="{AEAAD8F7-AE20-48FE-A9E4-32AA23F6FB1D}">
      <text>
        <r>
          <rPr>
            <b/>
            <sz val="9"/>
            <color indexed="81"/>
            <rFont val="Tahoma"/>
            <family val="2"/>
          </rPr>
          <t>Zhou, Ling:</t>
        </r>
        <r>
          <rPr>
            <sz val="9"/>
            <color indexed="81"/>
            <rFont val="Tahoma"/>
            <family val="2"/>
          </rPr>
          <t xml:space="preserve">
Per 2024 results press release. With the Company’s H Shares listing on the Stock Exchange on March 3, 2025, the actual net
proceeds from the Global Offering received by the Company were approximately HK$3,313
million after deducting underwriting commissions and offering expenses, which will be utilized for
the purposes set out in the Prospectus.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Wu, Younes-XT</author>
    <author>tc={8D55BF3F-8B9A-4CDD-B3FA-5C61F6A08D3A}</author>
    <author>tc={A251D8F3-59D2-4F65-8700-4036DBBD0CA4}</author>
    <author>tc={4418794A-CB60-4E16-A468-C41009199134}</author>
    <author>tc={757EAEBA-4CBE-49EE-82C3-02811E27A21C}</author>
    <author>Zhou, Ling</author>
    <author>tc={7782A5E2-1ADC-4F57-86F4-DCD39CC51196}</author>
    <author>tc={A4139E1C-D40E-4C19-80F9-2D081634169C}</author>
  </authors>
  <commentList>
    <comment ref="A4" authorId="0" shapeId="0" xr:uid="{A6EF58C4-C376-44E4-B0EE-F15C556261E3}">
      <text>
        <r>
          <rPr>
            <b/>
            <sz val="9"/>
            <color indexed="81"/>
            <rFont val="Tahoma"/>
            <family val="2"/>
          </rPr>
          <t>Wu, Younes-XT:</t>
        </r>
        <r>
          <rPr>
            <sz val="9"/>
            <color indexed="81"/>
            <rFont val="Tahoma"/>
            <family val="2"/>
          </rPr>
          <t xml:space="preserve">
募集资金用途：
1.产能扩张，海南建新厂，25年完工
2. 物流扩张
3. 搭建国际供应链平台
4. IP推广</t>
        </r>
      </text>
    </comment>
    <comment ref="B43" authorId="0" shapeId="0" xr:uid="{57D19791-FF49-46C2-A12E-7A8807F860D9}">
      <text>
        <r>
          <rPr>
            <b/>
            <sz val="9"/>
            <color indexed="81"/>
            <rFont val="Tahoma"/>
            <family val="2"/>
          </rPr>
          <t>Wu, Younes-XT:</t>
        </r>
        <r>
          <rPr>
            <sz val="9"/>
            <color indexed="81"/>
            <rFont val="Tahoma"/>
            <family val="2"/>
          </rPr>
          <t xml:space="preserve">
Revenue from sales of goods is predominantly generated by selling store supplies to our franchisees in the ordinary course of business, including ingredients, such as products of syrups, milk, tea, coffee, fruit, grains and condiments, as well as packaging materials. Additionally, we also generate a limited portion of revenue from sales at our self-operated stores and various e-commerce platforms, and from certain goods sold to some corporate customers.</t>
        </r>
      </text>
    </comment>
    <comment ref="B45" authorId="0" shapeId="0" xr:uid="{69B3B77A-39B9-4CF9-AEF5-C25207C18B0B}">
      <text>
        <r>
          <rPr>
            <b/>
            <sz val="9"/>
            <color indexed="81"/>
            <rFont val="Tahoma"/>
            <family val="2"/>
          </rPr>
          <t>Wu, Younes-XT:</t>
        </r>
        <r>
          <rPr>
            <sz val="9"/>
            <color indexed="81"/>
            <rFont val="Tahoma"/>
            <family val="2"/>
          </rPr>
          <t xml:space="preserve">
Refrigerators, ice cream makers, ice makers and coffee machines</t>
        </r>
      </text>
    </comment>
    <comment ref="K67" authorId="0" shapeId="0" xr:uid="{D89FE5AA-1019-433F-A80B-AD42DA4A19CA}">
      <text>
        <r>
          <rPr>
            <b/>
            <sz val="9"/>
            <color indexed="81"/>
            <rFont val="Tahoma"/>
            <family val="2"/>
          </rPr>
          <t>Wu, Younes-XT:</t>
        </r>
        <r>
          <rPr>
            <sz val="9"/>
            <color indexed="81"/>
            <rFont val="Tahoma"/>
            <family val="2"/>
          </rPr>
          <t xml:space="preserve">
gpm 目标30%</t>
        </r>
      </text>
    </comment>
    <comment ref="B91" authorId="0" shapeId="0" xr:uid="{8DF804EE-997E-4CAD-9F1B-60BFC2070159}">
      <text>
        <r>
          <rPr>
            <b/>
            <sz val="9"/>
            <color indexed="81"/>
            <rFont val="Tahoma"/>
            <family val="2"/>
          </rPr>
          <t>Wu, Younes-XT:</t>
        </r>
        <r>
          <rPr>
            <sz val="9"/>
            <color indexed="81"/>
            <rFont val="Tahoma"/>
            <family val="2"/>
          </rPr>
          <t xml:space="preserve">
Assume stores are equally distributed</t>
        </r>
      </text>
    </comment>
    <comment ref="G112" authorId="1" shapeId="0" xr:uid="{8D55BF3F-8B9A-4CDD-B3FA-5C61F6A08D3A}">
      <text>
        <t>[Threaded comment]
Your version of Excel allows you to read this threaded comment; however, any edits to it will get removed if the file is opened in a newer version of Excel. Learn more: https://go.microsoft.com/fwlink/?linkid=870924
Comment:
    Rmb6.3</t>
      </text>
    </comment>
    <comment ref="I112" authorId="2" shapeId="0" xr:uid="{A251D8F3-59D2-4F65-8700-4036DBBD0CA4}">
      <text>
        <t>[Threaded comment]
Your version of Excel allows you to read this threaded comment; however, any edits to it will get removed if the file is opened in a newer version of Excel. Learn more: https://go.microsoft.com/fwlink/?linkid=870924
Comment:
    Rmb6.5</t>
      </text>
    </comment>
    <comment ref="K112" authorId="3" shapeId="0" xr:uid="{4418794A-CB60-4E16-A468-C41009199134}">
      <text>
        <t>[Threaded comment]
Your version of Excel allows you to read this threaded comment; however, any edits to it will get removed if the file is opened in a newer version of Excel. Learn more: https://go.microsoft.com/fwlink/?linkid=870924
Comment:
    Rmb6.5</t>
      </text>
    </comment>
    <comment ref="R112" authorId="4" shapeId="0" xr:uid="{757EAEBA-4CBE-49EE-82C3-02811E27A21C}">
      <text>
        <t>[Threaded comment]
Your version of Excel allows you to read this threaded comment; however, any edits to it will get removed if the file is opened in a newer version of Excel. Learn more: https://go.microsoft.com/fwlink/?linkid=870924
Comment:
    Tier-1 city price increased by 1rmb (ex. Delivery)</t>
      </text>
    </comment>
    <comment ref="O115" authorId="5" shapeId="0" xr:uid="{FBFF37C6-283A-4A74-AD15-FB84EC2A67DC}">
      <text>
        <r>
          <rPr>
            <b/>
            <sz val="9"/>
            <color indexed="81"/>
            <rFont val="Tahoma"/>
            <family val="2"/>
          </rPr>
          <t>Zhou, Ling:</t>
        </r>
        <r>
          <rPr>
            <sz val="9"/>
            <color indexed="81"/>
            <rFont val="Tahoma"/>
            <family val="2"/>
          </rPr>
          <t xml:space="preserve">
Assumption on overseas SSSG</t>
        </r>
      </text>
    </comment>
    <comment ref="K116" authorId="6" shapeId="0" xr:uid="{7782A5E2-1ADC-4F57-86F4-DCD39CC51196}">
      <text>
        <t>[Threaded comment]
Your version of Excel allows you to read this threaded comment; however, any edits to it will get removed if the file is opened in a newer version of Excel. Learn more: https://go.microsoft.com/fwlink/?linkid=870924
Comment:
    25% price cut in Vietnam in Q323</t>
      </text>
    </comment>
    <comment ref="A150" authorId="7" shapeId="0" xr:uid="{A4139E1C-D40E-4C19-80F9-2D081634169C}">
      <text>
        <t>[Threaded comment]
Your version of Excel allows you to read this threaded comment; however, any edits to it will get removed if the file is opened in a newer version of Excel. Learn more: https://go.microsoft.com/fwlink/?linkid=870924
Comment:
    The production capacity is calculated based on the daily production capacity of production lines for each of
the categories, weighted by days of operation of such production lines during the period indicated.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<sst xmlns="http://schemas.openxmlformats.org/spreadsheetml/2006/main" count="774" uniqueCount="525">
  <si>
    <t>UBS Equity Research</t>
  </si>
  <si>
    <t>Income Statement</t>
  </si>
  <si>
    <t>Unit: Thousand RMB</t>
  </si>
  <si>
    <t>Others</t>
  </si>
  <si>
    <t>Cost of sales</t>
  </si>
  <si>
    <t>Gross profit</t>
  </si>
  <si>
    <t>G&amp;A expenses</t>
  </si>
  <si>
    <t>EBIT</t>
  </si>
  <si>
    <t>D&amp;A</t>
  </si>
  <si>
    <t>Finance costs</t>
  </si>
  <si>
    <t>Non-controlling interests</t>
  </si>
  <si>
    <t>Total revenue</t>
  </si>
  <si>
    <t>Profit before tax</t>
  </si>
  <si>
    <t>Non-operating gains/(losses)</t>
  </si>
  <si>
    <t>Balance Sheet</t>
  </si>
  <si>
    <t>Cash and cash equivalents</t>
  </si>
  <si>
    <t>Inventories</t>
  </si>
  <si>
    <t>Total current assets</t>
  </si>
  <si>
    <t>Property, plant, and equipment</t>
  </si>
  <si>
    <t>Right-of-use assets</t>
  </si>
  <si>
    <t>Other non-current assets</t>
  </si>
  <si>
    <t>Total non-current assets</t>
  </si>
  <si>
    <t>Total assets</t>
  </si>
  <si>
    <t>Total current liabilities</t>
  </si>
  <si>
    <t>Total non-current liabilities</t>
  </si>
  <si>
    <t>Total liabilities</t>
  </si>
  <si>
    <t>Paid-in capital</t>
  </si>
  <si>
    <t>Reserves</t>
  </si>
  <si>
    <t>Non-controlling intersts</t>
  </si>
  <si>
    <t>Total liabilities and shareholders' equity</t>
  </si>
  <si>
    <t>Check:</t>
  </si>
  <si>
    <t>Cash flow statement</t>
  </si>
  <si>
    <t>(increase)/decrease in inventories</t>
  </si>
  <si>
    <t>Net cash from operating activities</t>
  </si>
  <si>
    <t>Capex</t>
  </si>
  <si>
    <t>Proceeds from disposal of PP&amp;E</t>
  </si>
  <si>
    <t>Net cash from investing activities</t>
  </si>
  <si>
    <t>Net cash from financing activities</t>
  </si>
  <si>
    <t>Effects of foreign exchange rate changes on cash</t>
  </si>
  <si>
    <t>Net increase/(decrease) in cash and cash equivalents</t>
  </si>
  <si>
    <t>Cash and cash equivalents at the beginning of the period</t>
  </si>
  <si>
    <t>Cash and cash equivalents at the end of the period</t>
  </si>
  <si>
    <t>Restricted cash</t>
  </si>
  <si>
    <t>Assets:</t>
  </si>
  <si>
    <t>Liabilities:</t>
  </si>
  <si>
    <t>Shareholder's Equity:</t>
  </si>
  <si>
    <t>Total shareholders' equity</t>
  </si>
  <si>
    <t>Store Counts:</t>
  </si>
  <si>
    <t>Beginning units</t>
  </si>
  <si>
    <t>Ending units</t>
  </si>
  <si>
    <t>Revenues:</t>
  </si>
  <si>
    <t>Total cost of sales</t>
  </si>
  <si>
    <t>Working capital</t>
  </si>
  <si>
    <t>Beginning balance</t>
  </si>
  <si>
    <t>Increase/decrease in receivables</t>
  </si>
  <si>
    <t>Ending balance</t>
  </si>
  <si>
    <t>Receivable days</t>
  </si>
  <si>
    <t>Increase/decrease in prepayments</t>
  </si>
  <si>
    <t>Increase/decrease in inventory</t>
  </si>
  <si>
    <t>Increase/decrease in payables</t>
  </si>
  <si>
    <t>Increase/decrease in other payables</t>
  </si>
  <si>
    <t>Non-current assets</t>
  </si>
  <si>
    <t>PP&amp;E</t>
  </si>
  <si>
    <t>Capex and D&amp;A</t>
  </si>
  <si>
    <t>Capex for PP&amp;E</t>
  </si>
  <si>
    <t>D&amp;A for PP&amp;E</t>
  </si>
  <si>
    <t>Interest income</t>
  </si>
  <si>
    <t>As % of beginning loan balance</t>
  </si>
  <si>
    <t>Shareholders' Equity</t>
  </si>
  <si>
    <t>Net profit</t>
  </si>
  <si>
    <t>Dividend paid to common shareholders</t>
  </si>
  <si>
    <t>Financial assets</t>
  </si>
  <si>
    <t>Tier-1 cities</t>
  </si>
  <si>
    <t>New tier-1 cities</t>
  </si>
  <si>
    <t>Tier-2 cities</t>
  </si>
  <si>
    <t>9M23</t>
  </si>
  <si>
    <t>9M22</t>
  </si>
  <si>
    <t>Trade receivables</t>
  </si>
  <si>
    <t>Other intangible assets</t>
  </si>
  <si>
    <t>Short-term financial assets</t>
  </si>
  <si>
    <t>Long-term financial assets</t>
  </si>
  <si>
    <t>Trade payables</t>
  </si>
  <si>
    <t>Bank borrowings</t>
  </si>
  <si>
    <t>Profit before taxation</t>
  </si>
  <si>
    <t>Adjustments for:</t>
  </si>
  <si>
    <t>Owned PP&amp;E</t>
  </si>
  <si>
    <t>Impairment</t>
  </si>
  <si>
    <t>Impairment of inventory</t>
  </si>
  <si>
    <t>Impairment of PP&amp;E</t>
  </si>
  <si>
    <t>Impairment of financial assets</t>
  </si>
  <si>
    <t>Loss/(gain) on disposal of PP&amp;E</t>
  </si>
  <si>
    <t>Loss/(gain) from financial assets</t>
  </si>
  <si>
    <t>Depreciation &amp; Amortization</t>
  </si>
  <si>
    <t>(increase)/decrease in trade receivables</t>
  </si>
  <si>
    <t>(increase)/decrease in prepaid expenses and other receivables</t>
  </si>
  <si>
    <t>(increase)/decrease in restricted cash</t>
  </si>
  <si>
    <t>Increase/(decrease) in other payables and accrued expenses</t>
  </si>
  <si>
    <t>(increase)/decrease in deferred revenue</t>
  </si>
  <si>
    <t>Total adjustments</t>
  </si>
  <si>
    <t>Cash from operating activities</t>
  </si>
  <si>
    <t>- Income tax paid</t>
  </si>
  <si>
    <t>+ Interest received</t>
  </si>
  <si>
    <t>Purchase of PP&amp;E</t>
  </si>
  <si>
    <t>Purchase of land rights</t>
  </si>
  <si>
    <t>Purchase of financial assets</t>
  </si>
  <si>
    <t>Proceeds from sales of financial assets</t>
  </si>
  <si>
    <t>Investments in joint ventures</t>
  </si>
  <si>
    <t>Other cash flow from investments</t>
  </si>
  <si>
    <t>Proceeds from stock issuance</t>
  </si>
  <si>
    <t>Proceeds from bank loans</t>
  </si>
  <si>
    <t>Repayment of bank loans</t>
  </si>
  <si>
    <t>Acquisition of non-controlling interests</t>
  </si>
  <si>
    <t>Repayment of lease liability</t>
  </si>
  <si>
    <t>Interest paid for lease liability</t>
  </si>
  <si>
    <t>Interest paid for bank loans</t>
  </si>
  <si>
    <t>Dividend paid to equity shareholders</t>
  </si>
  <si>
    <t>Dividend paid to minority interests</t>
  </si>
  <si>
    <t>Cash injection to non-controlling interests</t>
  </si>
  <si>
    <t>New openings</t>
  </si>
  <si>
    <t>Closed by company</t>
  </si>
  <si>
    <t>Closed by franchisee</t>
  </si>
  <si>
    <t>Overseas stores</t>
  </si>
  <si>
    <t>China stores</t>
  </si>
  <si>
    <t>By store locations:</t>
  </si>
  <si>
    <t>Tier-3 cities and below</t>
  </si>
  <si>
    <t>Production:</t>
  </si>
  <si>
    <t>Syrups</t>
  </si>
  <si>
    <t>Milk products</t>
  </si>
  <si>
    <t>Tea products</t>
  </si>
  <si>
    <t>Coffee products</t>
  </si>
  <si>
    <t>Fruit products</t>
  </si>
  <si>
    <t>Grains products</t>
  </si>
  <si>
    <t>Condiments</t>
  </si>
  <si>
    <t>Sales of goods</t>
  </si>
  <si>
    <t>Sales of equipment</t>
  </si>
  <si>
    <t>Sales of goods &amp; equipment</t>
  </si>
  <si>
    <t>Franchise and related services</t>
  </si>
  <si>
    <t>Gross profit:</t>
  </si>
  <si>
    <t>Total gross profit</t>
  </si>
  <si>
    <t>Gross profit margin:</t>
  </si>
  <si>
    <t>Avg. store counts</t>
  </si>
  <si>
    <t>Equipment sales per new store</t>
  </si>
  <si>
    <t>Product sales per store (RMB, annum)</t>
  </si>
  <si>
    <t>Total stores (At the end of period)</t>
  </si>
  <si>
    <t>Production</t>
  </si>
  <si>
    <t>Utilisation rate</t>
  </si>
  <si>
    <t>Capacity</t>
  </si>
  <si>
    <t>Growth rate:</t>
  </si>
  <si>
    <t>Total stores</t>
  </si>
  <si>
    <t>COGS:</t>
  </si>
  <si>
    <t>Other operating expenses:</t>
  </si>
  <si>
    <t>Selling and distribution expenses</t>
  </si>
  <si>
    <t>Administrative expenses</t>
  </si>
  <si>
    <t>Research and development expenses</t>
  </si>
  <si>
    <t>Other income and gains (net)</t>
  </si>
  <si>
    <t>(Impairment)/reversal on financial assets</t>
  </si>
  <si>
    <t>Income tax expense</t>
  </si>
  <si>
    <t>EPS (Basic)</t>
  </si>
  <si>
    <t>EPS (Diluted)</t>
  </si>
  <si>
    <t>S&amp;D expenses</t>
  </si>
  <si>
    <t>R&amp;D expense</t>
  </si>
  <si>
    <t>As % of net revenue:</t>
  </si>
  <si>
    <t>Model Assumptions</t>
  </si>
  <si>
    <t>Non-recurring items:</t>
  </si>
  <si>
    <t>Key metrics:</t>
  </si>
  <si>
    <t>Effective tax rate</t>
  </si>
  <si>
    <t>Inventory days</t>
  </si>
  <si>
    <t>Prepayments, receivables and other current assets</t>
  </si>
  <si>
    <t>Other payable and accruals</t>
  </si>
  <si>
    <t>Contract liabilities</t>
  </si>
  <si>
    <t>Restricted cash and time deposits</t>
  </si>
  <si>
    <t>Investment in joint ventures &amp; associates</t>
  </si>
  <si>
    <t>Deferred tax assets</t>
  </si>
  <si>
    <t>Interest-bearing bank borrowings</t>
  </si>
  <si>
    <t>Lease liabilities</t>
  </si>
  <si>
    <t>Deferred revenue</t>
  </si>
  <si>
    <t>Deferred tax liabilities</t>
  </si>
  <si>
    <t>Prepayment days</t>
  </si>
  <si>
    <t>Payable days</t>
  </si>
  <si>
    <t>Accural days</t>
  </si>
  <si>
    <t>Contract liabilities as % of sales</t>
  </si>
  <si>
    <t>Current contract liabilities</t>
  </si>
  <si>
    <t>Gross margin</t>
  </si>
  <si>
    <t>Disposal</t>
  </si>
  <si>
    <t>Mixue Group</t>
  </si>
  <si>
    <t>Impairment/reversal</t>
  </si>
  <si>
    <t>Impairment/reversal/disposal</t>
  </si>
  <si>
    <t>Termination</t>
  </si>
  <si>
    <t>Additions</t>
  </si>
  <si>
    <t>Capex for intangible assets</t>
  </si>
  <si>
    <t>D&amp;A for ROU assets</t>
  </si>
  <si>
    <t>D&amp;A for intangible assets</t>
  </si>
  <si>
    <t>ROU assets</t>
  </si>
  <si>
    <t>Intangible assets</t>
  </si>
  <si>
    <t>Financial assets &amp; liabilities</t>
  </si>
  <si>
    <t>Financial assets at FVPL</t>
  </si>
  <si>
    <t>Financial assets at FVOCI</t>
  </si>
  <si>
    <t>Proceeds from issuance of bank loans</t>
  </si>
  <si>
    <t>Increase of lease liability</t>
  </si>
  <si>
    <t>Current lease liabilities</t>
  </si>
  <si>
    <t>Non-current lease liabilities</t>
  </si>
  <si>
    <t>Termination &amp; others</t>
  </si>
  <si>
    <t>Total cash balance</t>
  </si>
  <si>
    <t>Interest on bank borrowings</t>
  </si>
  <si>
    <t>Interest on lease liabilities</t>
  </si>
  <si>
    <t>As % of beginning lease liability balance</t>
  </si>
  <si>
    <t>Total</t>
  </si>
  <si>
    <t>% of current lease liabilities</t>
  </si>
  <si>
    <t>% of non-current lease liabilities</t>
  </si>
  <si>
    <t>Lease payment as % of total sales</t>
  </si>
  <si>
    <t>Restricted cash as % of total beginning cash balance</t>
  </si>
  <si>
    <t>Dividend payout ratio</t>
  </si>
  <si>
    <t>Tax payable</t>
  </si>
  <si>
    <t>Net profit to non-controlling interests</t>
  </si>
  <si>
    <t>Dividend paid to non-controlling interests</t>
  </si>
  <si>
    <t>% of net profit</t>
  </si>
  <si>
    <t>% of net profit to non-controlling interests</t>
  </si>
  <si>
    <t>Increase/decrease in restricted cash</t>
  </si>
  <si>
    <t>(Income)/loss from associates</t>
  </si>
  <si>
    <t>Loss/(gain) from termination of leases</t>
  </si>
  <si>
    <t>Share-based compensation expenses</t>
  </si>
  <si>
    <t>Foreign exchange adjustments, net</t>
  </si>
  <si>
    <t>Increase/(decrease) in trade payables</t>
  </si>
  <si>
    <t>Increase/(decrease) in contract liabilities</t>
  </si>
  <si>
    <t>Purchase of other intangible assets</t>
  </si>
  <si>
    <t>Other income and gains</t>
  </si>
  <si>
    <t>Government subsidy</t>
  </si>
  <si>
    <t>Gains/(losses) on financial assets</t>
  </si>
  <si>
    <t>Foreign exchange gains/(losses)</t>
  </si>
  <si>
    <t>Gains/(losses) on disposal of PP&amp;E and leases</t>
  </si>
  <si>
    <t>Impairment of PP&amp;E and intangibles</t>
  </si>
  <si>
    <t>Impairment of PP&amp;E and intangibles, net</t>
  </si>
  <si>
    <t>As % of net revenue</t>
  </si>
  <si>
    <t>As % of beginning cash balance</t>
  </si>
  <si>
    <t>Capex as % of sales</t>
  </si>
  <si>
    <r>
      <t>a</t>
    </r>
    <r>
      <rPr>
        <sz val="24"/>
        <color indexed="10"/>
        <rFont val="UBSLogo"/>
        <charset val="2"/>
      </rPr>
      <t>b</t>
    </r>
  </si>
  <si>
    <t>Valuation summary</t>
  </si>
  <si>
    <t>Cost of equity</t>
  </si>
  <si>
    <t>Cost of debt</t>
  </si>
  <si>
    <t>Marginal tax rate</t>
  </si>
  <si>
    <t>WACC</t>
  </si>
  <si>
    <t>Stage 1</t>
  </si>
  <si>
    <t>Revenue</t>
  </si>
  <si>
    <t>EBIT margin</t>
  </si>
  <si>
    <t>NOPAT</t>
  </si>
  <si>
    <t>Depreciation and amortisation</t>
  </si>
  <si>
    <t>Change in net working capital</t>
  </si>
  <si>
    <t>Stage 2</t>
  </si>
  <si>
    <t>Terminal value</t>
  </si>
  <si>
    <t>Chart data</t>
  </si>
  <si>
    <t>1st</t>
  </si>
  <si>
    <t>2nd</t>
  </si>
  <si>
    <t>3rd</t>
  </si>
  <si>
    <t>4th</t>
  </si>
  <si>
    <t>Buffer</t>
  </si>
  <si>
    <t>Zero</t>
  </si>
  <si>
    <t>Label</t>
  </si>
  <si>
    <t>Terminal</t>
  </si>
  <si>
    <t>Valuation date</t>
  </si>
  <si>
    <t>[+] CAGR =&gt;</t>
  </si>
  <si>
    <t>Stage One</t>
  </si>
  <si>
    <t>Fade to Terminal period</t>
  </si>
  <si>
    <t>Periods counter</t>
  </si>
  <si>
    <t>Last Forecast</t>
  </si>
  <si>
    <t>Term. period</t>
  </si>
  <si>
    <t>Fade</t>
  </si>
  <si>
    <t>Valuation Summary</t>
  </si>
  <si>
    <t>Periods end dates</t>
  </si>
  <si>
    <t>Period</t>
  </si>
  <si>
    <t>YoY growth</t>
  </si>
  <si>
    <t>CAGR</t>
  </si>
  <si>
    <t>Assumptions</t>
  </si>
  <si>
    <t>Model forecasts</t>
  </si>
  <si>
    <t>Operating model</t>
  </si>
  <si>
    <t>EBITDA</t>
  </si>
  <si>
    <t>EBITDA margin</t>
  </si>
  <si>
    <t>(-) Tax expense (net of interest tax shield benefit)</t>
  </si>
  <si>
    <t>Implied tax rate</t>
  </si>
  <si>
    <t>Reinvestments</t>
  </si>
  <si>
    <t>(+) Depreciation and amortisation</t>
  </si>
  <si>
    <t>D&amp;A as a % of sales</t>
  </si>
  <si>
    <t>Capex / Depreciation ratio</t>
  </si>
  <si>
    <t>(-) Capex</t>
  </si>
  <si>
    <t>Capex as a % of sales</t>
  </si>
  <si>
    <t>Working capital turnover (%)</t>
  </si>
  <si>
    <t>(-) Net acquisitions</t>
  </si>
  <si>
    <t>Reinvestment as a % of NOPAT</t>
  </si>
  <si>
    <t>Other (items not captured elsewhere)</t>
  </si>
  <si>
    <t>FCFF</t>
  </si>
  <si>
    <t>Value as at</t>
  </si>
  <si>
    <t>Terminal value discount factor</t>
  </si>
  <si>
    <t>PV of visible period FCFs</t>
  </si>
  <si>
    <t>PV of Terminal Value</t>
  </si>
  <si>
    <t>(- /+) Net (debt) / cash (Incl. finance leases if appl.)</t>
  </si>
  <si>
    <t>(+) Associates / JV value</t>
  </si>
  <si>
    <t>(-) Non-controlling Interest / Minority Interest</t>
  </si>
  <si>
    <t>Sum of other Items (if applicable)</t>
  </si>
  <si>
    <t>(+/-) Pension fund net asset / (liabilities)</t>
  </si>
  <si>
    <t>(+/-) Other financial assets / (liabilities)</t>
  </si>
  <si>
    <t>(+/-) Other items</t>
  </si>
  <si>
    <t>Value per share (end of period)</t>
  </si>
  <si>
    <t>Time-weighted valuation</t>
  </si>
  <si>
    <t>Mid-year adjustment factor (Stub)</t>
  </si>
  <si>
    <t>(- /+) Net (debt) / cash</t>
  </si>
  <si>
    <t>(+) Associates / JV</t>
  </si>
  <si>
    <t>(+/-) Sum of Other Items</t>
  </si>
  <si>
    <t>=&gt;</t>
  </si>
  <si>
    <t>Multiples analysis and Data table</t>
  </si>
  <si>
    <t>Multiples calculated as financial year-end valuation / metric from next financial year  (1 year forward metric)  NB: except P/BV</t>
  </si>
  <si>
    <t>Implied 1Yr forward target P/E ratio</t>
  </si>
  <si>
    <t>Implied 1Yr forward target EV/EBIT multiple</t>
  </si>
  <si>
    <t>Implied 1Yr forward target EV/EBITDA multiple</t>
  </si>
  <si>
    <t>Implied target P/BV multiple</t>
  </si>
  <si>
    <t>Returns analysis (year-end)</t>
  </si>
  <si>
    <t>Return on equity (calculated)</t>
  </si>
  <si>
    <t>%</t>
  </si>
  <si>
    <t>Net profit margin</t>
  </si>
  <si>
    <t>Asset Turnover</t>
  </si>
  <si>
    <t>x</t>
  </si>
  <si>
    <t>Financial Leverage</t>
  </si>
  <si>
    <t>Equity value per share sensitivity</t>
  </si>
  <si>
    <t>Hardcode</t>
  </si>
  <si>
    <t>TGR</t>
  </si>
  <si>
    <t>Table</t>
  </si>
  <si>
    <t>Input</t>
  </si>
  <si>
    <t>Increment</t>
  </si>
  <si>
    <t>Model</t>
  </si>
  <si>
    <t>Checks</t>
  </si>
  <si>
    <t>value</t>
  </si>
  <si>
    <t>Data table consistency</t>
  </si>
  <si>
    <t>Model values can be copy pasted into table input cells to ensure check passes</t>
  </si>
  <si>
    <r>
      <t xml:space="preserve">Assumptions
</t>
    </r>
    <r>
      <rPr>
        <i/>
        <sz val="7"/>
        <color theme="3"/>
        <rFont val="Frutiger 45 Light"/>
        <family val="2"/>
      </rPr>
      <t>Please fill yellow coloured cells</t>
    </r>
  </si>
  <si>
    <t>Set-up details</t>
  </si>
  <si>
    <t>Company name / ticker</t>
  </si>
  <si>
    <t>Last financial year end</t>
  </si>
  <si>
    <t>Reporting currency</t>
  </si>
  <si>
    <t>Share price currency</t>
  </si>
  <si>
    <t>Reporting currency unit</t>
  </si>
  <si>
    <t>WACC estimate</t>
  </si>
  <si>
    <t>Risk free rate</t>
  </si>
  <si>
    <t>Adjusted beta</t>
  </si>
  <si>
    <t>EMRP</t>
  </si>
  <si>
    <t>Other factors</t>
  </si>
  <si>
    <t>Pre-tax cost of debt</t>
  </si>
  <si>
    <t>LT Target D/D+E at MV</t>
  </si>
  <si>
    <t>Target E/D+E at MV</t>
  </si>
  <si>
    <t>DCF periods parameters</t>
  </si>
  <si>
    <r>
      <t>Click "</t>
    </r>
    <r>
      <rPr>
        <b/>
        <i/>
        <sz val="7"/>
        <color rgb="FFFF0000"/>
        <rFont val="Frutiger 45 Light"/>
        <family val="2"/>
      </rPr>
      <t>calculate</t>
    </r>
    <r>
      <rPr>
        <i/>
        <sz val="7"/>
        <color rgb="FFFF0000"/>
        <rFont val="Frutiger 45 Light"/>
        <family val="2"/>
      </rPr>
      <t>" button only when checkboxes are checked and period cells are filled and/or updated</t>
    </r>
  </si>
  <si>
    <t xml:space="preserve"> Fade to terminal period</t>
  </si>
  <si>
    <t>Terminal period</t>
  </si>
  <si>
    <t>Revenue growth rate</t>
  </si>
  <si>
    <t>Capex to depreciation ratio</t>
  </si>
  <si>
    <t>Working Capital Turnover</t>
  </si>
  <si>
    <r>
      <t>Others items growth rate (</t>
    </r>
    <r>
      <rPr>
        <sz val="8"/>
        <color rgb="FFFF0000"/>
        <rFont val="Frutiger 45 Light"/>
        <family val="2"/>
      </rPr>
      <t>Optional</t>
    </r>
    <r>
      <rPr>
        <sz val="8"/>
        <color theme="1"/>
        <rFont val="Frutiger 45 Light"/>
        <family val="2"/>
      </rPr>
      <t>)</t>
    </r>
  </si>
  <si>
    <r>
      <t xml:space="preserve">Model forecasts (stage 1) - </t>
    </r>
    <r>
      <rPr>
        <b/>
        <i/>
        <sz val="10"/>
        <color rgb="FFFF0000"/>
        <rFont val="Frutiger 45 Light"/>
        <family val="2"/>
      </rPr>
      <t>view cell note</t>
    </r>
  </si>
  <si>
    <t>Recommend using flexible excel functions for linking</t>
  </si>
  <si>
    <t>FV = Fair value</t>
  </si>
  <si>
    <t>DCF FCFF items</t>
  </si>
  <si>
    <r>
      <t xml:space="preserve">Unlevered tax (expense) / credit </t>
    </r>
    <r>
      <rPr>
        <sz val="8"/>
        <color theme="3"/>
        <rFont val="Frutiger 45 Light"/>
        <family val="2"/>
      </rPr>
      <t>(calculated)</t>
    </r>
  </si>
  <si>
    <t xml:space="preserve">(+) </t>
  </si>
  <si>
    <t xml:space="preserve">(-) </t>
  </si>
  <si>
    <r>
      <t xml:space="preserve">Incr / (decr) in net working capital </t>
    </r>
    <r>
      <rPr>
        <sz val="8"/>
        <color rgb="FFFF0000"/>
        <rFont val="Frutiger 45 Light"/>
        <family val="2"/>
      </rPr>
      <t>(calculated)</t>
    </r>
  </si>
  <si>
    <t>Net (acquisitions) / disposals</t>
  </si>
  <si>
    <t xml:space="preserve">(-/+) </t>
  </si>
  <si>
    <t>Other (e.g. non-EBIT P&amp;L items)</t>
  </si>
  <si>
    <t xml:space="preserve">(+/-) </t>
  </si>
  <si>
    <t>DCF tax expense</t>
  </si>
  <si>
    <t>P&amp;L tax (expense) / credit</t>
  </si>
  <si>
    <t>P&amp;L net interest (expense) / income</t>
  </si>
  <si>
    <r>
      <t xml:space="preserve">Movt in deferred tax assets / (liabilities) </t>
    </r>
    <r>
      <rPr>
        <sz val="8"/>
        <color rgb="FFFF0000"/>
        <rFont val="Frutiger 45 Light"/>
        <family val="2"/>
      </rPr>
      <t>(optional)</t>
    </r>
  </si>
  <si>
    <t>EV to Equity value bridge items</t>
  </si>
  <si>
    <t>BS Cash and Bank balance</t>
  </si>
  <si>
    <t xml:space="preserve">Total gross debt </t>
  </si>
  <si>
    <t>FV</t>
  </si>
  <si>
    <t>Net (debt) / cash (Incl. finance leases if appl.)</t>
  </si>
  <si>
    <t>Non-controlling interest / Minority Interest</t>
  </si>
  <si>
    <t>Associate / JV</t>
  </si>
  <si>
    <t>Pension fund net asset / (liabilities)</t>
  </si>
  <si>
    <t>Other financial assets / (liabilities)</t>
  </si>
  <si>
    <t>Other items</t>
  </si>
  <si>
    <t>Other Items</t>
  </si>
  <si>
    <t>End of period diluted shares</t>
  </si>
  <si>
    <t>Adjusted Net income / (loss)</t>
  </si>
  <si>
    <t>Net working capital (not change in WC)</t>
  </si>
  <si>
    <t>Equity book value / NAV</t>
  </si>
  <si>
    <t>Other workings</t>
  </si>
  <si>
    <t>Ungroup cells to show space for additional analyst workings (e.g. Associates or NCI valuation using earnings etc)</t>
  </si>
  <si>
    <t>[+]</t>
  </si>
  <si>
    <t>EBIT check</t>
  </si>
  <si>
    <t>Tax calculation check</t>
  </si>
  <si>
    <t>Net (debt) / cash check</t>
  </si>
  <si>
    <t>Change in working capital check</t>
  </si>
  <si>
    <t>Fade to TV</t>
  </si>
  <si>
    <t>Terminal Value</t>
  </si>
  <si>
    <t>Enterprise Value</t>
  </si>
  <si>
    <t>Last row</t>
  </si>
  <si>
    <t xml:space="preserve"> &gt;&gt;&gt; Please do not delete</t>
  </si>
  <si>
    <t>Mixue</t>
  </si>
  <si>
    <t>RMB</t>
  </si>
  <si>
    <t>k</t>
  </si>
  <si>
    <t>Net working capital</t>
  </si>
  <si>
    <t>Labor cost</t>
  </si>
  <si>
    <t>Rental cost</t>
  </si>
  <si>
    <t>Utilities costs</t>
  </si>
  <si>
    <t>Other costs</t>
  </si>
  <si>
    <t>Operating profit</t>
  </si>
  <si>
    <t>Share of (losses)/profits of an associate</t>
  </si>
  <si>
    <t>Profit attributable to common equity shareholders</t>
  </si>
  <si>
    <t>Total shares outstanding (basic)</t>
  </si>
  <si>
    <t>Total shares outstanding (diluted)</t>
  </si>
  <si>
    <t>Operating costs as % of revenue</t>
  </si>
  <si>
    <t>Net margin</t>
  </si>
  <si>
    <t>Non-GAAP measures:</t>
  </si>
  <si>
    <t>Non-operating income/(losses)</t>
  </si>
  <si>
    <t>Non-operating gains/(losses) as % of revenue</t>
  </si>
  <si>
    <t>Lease expenses</t>
  </si>
  <si>
    <t>Adjusted EBIT</t>
  </si>
  <si>
    <t>Adjusted EBITDA</t>
  </si>
  <si>
    <t>Adjusted EBITDA margin</t>
  </si>
  <si>
    <t>Return of investments</t>
  </si>
  <si>
    <t>Net investments</t>
  </si>
  <si>
    <t>Non-current contract liabilities</t>
  </si>
  <si>
    <t>Current contract liabilities as % of total liabilities</t>
  </si>
  <si>
    <t>Non-current contract liabilities as % of total liabilities</t>
  </si>
  <si>
    <t>Increase/decrease in deferred revenue</t>
  </si>
  <si>
    <t>Impairments</t>
  </si>
  <si>
    <t>Gains/(losses) from financial assets</t>
  </si>
  <si>
    <t>Sales of financial assets</t>
  </si>
  <si>
    <t>Franchise store model</t>
  </si>
  <si>
    <t>YoY %</t>
  </si>
  <si>
    <t>Operating costs:</t>
  </si>
  <si>
    <t>Cost of materials</t>
  </si>
  <si>
    <t>% of store revenue</t>
  </si>
  <si>
    <t>Store OPM</t>
  </si>
  <si>
    <t>Company model</t>
  </si>
  <si>
    <t>Implied mark-up</t>
  </si>
  <si>
    <t>COGS of product sales</t>
  </si>
  <si>
    <t>COGS of equipment sales</t>
  </si>
  <si>
    <t>Franchise fee and related service per store</t>
  </si>
  <si>
    <t>Capex for land rights</t>
  </si>
  <si>
    <t>Adjusted net income</t>
  </si>
  <si>
    <t>Working capital turnover</t>
  </si>
  <si>
    <t>% of GMV</t>
  </si>
  <si>
    <t>Domestic</t>
  </si>
  <si>
    <t>GMV by region:</t>
  </si>
  <si>
    <t>Overseas</t>
  </si>
  <si>
    <t>% of revenue</t>
  </si>
  <si>
    <t>Revenue breakdown by GMV:</t>
  </si>
  <si>
    <t>- Interest income</t>
  </si>
  <si>
    <t>Adjusted other income and gains</t>
  </si>
  <si>
    <t>Inventory as % of COGS</t>
  </si>
  <si>
    <t>Trade receivable as % of total revenue</t>
  </si>
  <si>
    <t>Account payable as % of COGS</t>
  </si>
  <si>
    <t>Contract liability as % of total revenue</t>
  </si>
  <si>
    <t>A/R days</t>
  </si>
  <si>
    <t>A/P days</t>
  </si>
  <si>
    <t>Contract liability days</t>
  </si>
  <si>
    <t>Cash turnover days</t>
  </si>
  <si>
    <t>BVPS</t>
  </si>
  <si>
    <t>Net cash (debt)</t>
  </si>
  <si>
    <t>Invested capital</t>
  </si>
  <si>
    <t>Net debt/Equity</t>
  </si>
  <si>
    <t>ROE</t>
  </si>
  <si>
    <t>ROA</t>
  </si>
  <si>
    <t>ROIC</t>
  </si>
  <si>
    <t>Sales per domestic store</t>
  </si>
  <si>
    <t>SSSG</t>
  </si>
  <si>
    <t>Sales per overseas store</t>
  </si>
  <si>
    <t>Sales per store overall</t>
  </si>
  <si>
    <t>Adj. EBIT</t>
  </si>
  <si>
    <t>Adj. EBIT margin</t>
  </si>
  <si>
    <t>Delivery costs</t>
  </si>
  <si>
    <t>as % of beginning</t>
  </si>
  <si>
    <t>Capex as % of beginning balance</t>
  </si>
  <si>
    <t>In opex: equity-settled shared based payment</t>
  </si>
  <si>
    <t>D&amp;A as % of sales</t>
  </si>
  <si>
    <t>D&amp;A as % of beginning balance</t>
  </si>
  <si>
    <t>Adjusted NPM</t>
  </si>
  <si>
    <t>ASP</t>
  </si>
  <si>
    <t>Freshly made beverages GMV (mn RMB)</t>
  </si>
  <si>
    <t>Implied market share</t>
  </si>
  <si>
    <t>Net debt/total capital</t>
  </si>
  <si>
    <t>2025E</t>
  </si>
  <si>
    <t>PE</t>
  </si>
  <si>
    <t>EV/EBITDA</t>
  </si>
  <si>
    <t>PEG</t>
  </si>
  <si>
    <t>PB</t>
  </si>
  <si>
    <t>Dividends</t>
  </si>
  <si>
    <t>DPS</t>
  </si>
  <si>
    <t>PS</t>
  </si>
  <si>
    <t>Cup volume</t>
  </si>
  <si>
    <t>2026E</t>
  </si>
  <si>
    <t>(Increase)/ decrease in restricted cash</t>
  </si>
  <si>
    <t>Increase/(decrease) in other non-current assets</t>
  </si>
  <si>
    <t>others</t>
  </si>
  <si>
    <t>Mainland China</t>
  </si>
  <si>
    <t>Outside mainland China</t>
  </si>
  <si>
    <t>In mainland China</t>
  </si>
  <si>
    <t>Mainland China stores</t>
  </si>
  <si>
    <t>Stores outside mainland China</t>
  </si>
  <si>
    <t>HKD</t>
  </si>
  <si>
    <t>DCF Valuation (Rmb '000)</t>
  </si>
  <si>
    <t>Midpoint of offer price</t>
  </si>
  <si>
    <t>Stage assumptions</t>
  </si>
  <si>
    <t>9M24</t>
  </si>
  <si>
    <t>Franchised stores</t>
  </si>
  <si>
    <t>Self operated stores</t>
  </si>
  <si>
    <t>25-27E</t>
  </si>
  <si>
    <t>Stage Two</t>
  </si>
  <si>
    <t>check</t>
  </si>
  <si>
    <t>24-26E</t>
  </si>
  <si>
    <t>2027E</t>
  </si>
  <si>
    <t>2028E</t>
  </si>
  <si>
    <t>Stage 2 (in high-end valuation)</t>
  </si>
  <si>
    <t>Stage 2 (in low-end valuation)</t>
  </si>
  <si>
    <t>Other liabilities</t>
  </si>
  <si>
    <t>2025H2E</t>
  </si>
  <si>
    <t>2029E</t>
  </si>
  <si>
    <t>Consensus</t>
  </si>
  <si>
    <t>2025H1</t>
  </si>
  <si>
    <t>2024H1</t>
  </si>
  <si>
    <t>2024H2</t>
  </si>
  <si>
    <t>Check</t>
  </si>
  <si>
    <t>26-28E</t>
  </si>
  <si>
    <t>2030E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</si>
</sst>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3" formatCode="_-* #,##0.00_-;\-* #,##0.00_-;_-* &quot;-&quot;??_-;_-@_-"/>
    <numFmt numFmtId="164" formatCode="_(* #,##0.00_);_(* \(#,##0.00\);_(* &quot;-&quot;??_);_(@_)"/>
    <numFmt numFmtId="165" formatCode="#,##0_);\(#,##0\);\-\-_)"/>
    <numFmt numFmtId="166" formatCode="0.00_);\(0.00\);\-\-_)"/>
    <numFmt numFmtId="167" formatCode="0&quot; days&quot;;&quot;nm&quot;"/>
    <numFmt numFmtId="168" formatCode="0\ &quot;days&quot;_);\(0\ &quot;days&quot;\);\-\-&quot;days&quot;_)"/>
    <numFmt numFmtId="169" formatCode="00.0"/>
    <numFmt numFmtId="170" formatCode="0.00%_);\(0.00%\);\-\-&quot;%&quot;_)"/>
    <numFmt numFmtId="171" formatCode="&quot;FY&quot;0"/>
    <numFmt numFmtId="172" formatCode=";;;"/>
    <numFmt numFmtId="173" formatCode="0.0\x_);&quot;nm&quot;;\-\-_)"/>
    <numFmt numFmtId="174" formatCode="0.00\x_);&quot;nm&quot;;\-\-_)"/>
    <numFmt numFmtId="175" formatCode="0.00\x;&quot;nm&quot;_x;&quot;nm&quot;_x"/>
    <numFmt numFmtId="176" formatCode="0%_);\(0%\);\-\-&quot;%&quot;_)"/>
    <numFmt numFmtId="177" formatCode="0.0%_);\(0.0%\);\-\-&quot;%&quot;_)"/>
    <numFmt numFmtId="178" formatCode="0\ &quot;years&quot;"/>
    <numFmt numFmtId="179" formatCode="#,##0.0_);\(#,##0.0\);\-\-_)"/>
    <numFmt numFmtId="180" formatCode="0.0%"/>
    <numFmt numFmtId="181" formatCode="0.0&quot;x&quot;"/>
    <numFmt numFmtId="182" formatCode="&quot;FY&quot;0&quot;A&quot;"/>
    <numFmt numFmtId="183" formatCode="&quot;FY&quot;0&quot;e&quot;"/>
    <numFmt numFmtId="184" formatCode="#,##0.00_);\(#,##0.00\);\-\-_)"/>
    <numFmt numFmtId="185" formatCode="0.00&quot;x&quot;"/>
    <numFmt numFmtId="186" formatCode="#,##0.000_);\(#,##0.000\);\-\-_)"/>
    <numFmt numFmtId="187" formatCode="0.0%;\(0.0\)%;\-\-_)"/>
    <numFmt numFmtId="188" formatCode="0\ &quot;year(s)&quot;"/>
    <numFmt numFmtId="189" formatCode="#,##0;\(#,##0\);&quot;--&quot;"/>
    <numFmt numFmtId="190" formatCode="0_);\(0\);\-\-_)"/>
    <numFmt numFmtId="191" formatCode="0.0_);\(0.0\);\-\-_)"/>
  </numFmts>
  <fonts count="89">
    <font>
      <sz val="8"/>
      <color theme="1"/>
      <name val="Frutiger 45 Ligh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Frutiger 45 Light"/>
      <family val="2"/>
    </font>
    <font>
      <sz val="20"/>
      <color theme="1"/>
      <name val="Calibri"/>
      <family val="2"/>
      <scheme val="minor"/>
    </font>
    <font>
      <b/>
      <sz val="8"/>
      <color theme="1"/>
      <name val="Frutiger 45 Light"/>
      <family val="2"/>
    </font>
    <font>
      <sz val="8"/>
      <color rgb="FF00B050"/>
      <name val="Frutiger 45 Light"/>
      <family val="2"/>
    </font>
    <font>
      <i/>
      <sz val="8"/>
      <color rgb="FFFF0000"/>
      <name val="Frutiger 45 Light"/>
      <family val="2"/>
    </font>
    <font>
      <i/>
      <sz val="8"/>
      <color theme="3"/>
      <name val="Frutiger 45 Light"/>
      <family val="2"/>
    </font>
    <font>
      <b/>
      <sz val="10"/>
      <color rgb="FF000000"/>
      <name val="Frutiger 45 Light"/>
      <family val="2"/>
    </font>
    <font>
      <sz val="10.5"/>
      <color theme="1"/>
      <name val="Frutiger 45 Light"/>
      <family val="2"/>
    </font>
    <font>
      <sz val="8"/>
      <color theme="1"/>
      <name val="Arial"/>
      <family val="2"/>
    </font>
    <font>
      <b/>
      <sz val="8"/>
      <color rgb="FFFF0000"/>
      <name val="Arial"/>
      <family val="2"/>
    </font>
    <font>
      <b/>
      <sz val="8"/>
      <color theme="1"/>
      <name val="Arial"/>
      <family val="2"/>
    </font>
    <font>
      <b/>
      <u val="double"/>
      <sz val="14"/>
      <color theme="1"/>
      <name val="Arial"/>
      <family val="2"/>
    </font>
    <font>
      <sz val="8"/>
      <color rgb="FF0070C0"/>
      <name val="Arial"/>
      <family val="2"/>
    </font>
    <font>
      <sz val="8"/>
      <name val="Arial"/>
      <family val="2"/>
    </font>
    <font>
      <sz val="10"/>
      <name val="Arial"/>
      <family val="2"/>
    </font>
    <font>
      <sz val="10"/>
      <name val="MS Sans Serif"/>
      <family val="2"/>
    </font>
    <font>
      <b/>
      <u/>
      <sz val="10"/>
      <color theme="1"/>
      <name val="Arial"/>
      <family val="2"/>
    </font>
    <font>
      <b/>
      <u/>
      <sz val="8"/>
      <color rgb="FFFF0000"/>
      <name val="Arial"/>
      <family val="2"/>
    </font>
    <font>
      <sz val="8"/>
      <color rgb="FFFF0000"/>
      <name val="Arial"/>
      <family val="2"/>
    </font>
    <font>
      <i/>
      <sz val="8"/>
      <color theme="1"/>
      <name val="Arial"/>
      <family val="2"/>
    </font>
    <font>
      <sz val="9"/>
      <color indexed="81"/>
      <name val="Tahoma"/>
      <family val="2"/>
    </font>
    <font>
      <b/>
      <sz val="9"/>
      <color indexed="81"/>
      <name val="Tahoma"/>
      <family val="2"/>
    </font>
    <font>
      <i/>
      <sz val="8"/>
      <color rgb="FFFF0000"/>
      <name val="Arial"/>
      <family val="2"/>
    </font>
    <font>
      <sz val="8"/>
      <color rgb="FF00B050"/>
      <name val="Arial"/>
      <family val="2"/>
    </font>
    <font>
      <sz val="8"/>
      <color rgb="FF0000FF"/>
      <name val="Arial"/>
      <family val="2"/>
    </font>
    <font>
      <i/>
      <sz val="8"/>
      <color rgb="FF0070C0"/>
      <name val="Arial"/>
      <family val="2"/>
    </font>
    <font>
      <i/>
      <sz val="8"/>
      <color rgb="FF00B050"/>
      <name val="Arial"/>
      <family val="2"/>
    </font>
    <font>
      <sz val="24"/>
      <name val="UBSLogo"/>
      <charset val="2"/>
    </font>
    <font>
      <sz val="24"/>
      <color indexed="10"/>
      <name val="UBSLogo"/>
      <charset val="2"/>
    </font>
    <font>
      <sz val="8"/>
      <color rgb="FF000000"/>
      <name val="Segoe UI"/>
      <family val="2"/>
    </font>
    <font>
      <u/>
      <sz val="8"/>
      <color theme="10"/>
      <name val="Frutiger 45 Light"/>
      <family val="2"/>
    </font>
    <font>
      <sz val="8"/>
      <color theme="0"/>
      <name val="Frutiger 45 Light"/>
      <family val="2"/>
    </font>
    <font>
      <sz val="7"/>
      <color theme="1"/>
      <name val="Frutiger 45 Light"/>
      <family val="2"/>
    </font>
    <font>
      <b/>
      <sz val="8"/>
      <color theme="0"/>
      <name val="Frutiger 45 Light"/>
      <family val="2"/>
    </font>
    <font>
      <b/>
      <u/>
      <sz val="10"/>
      <color theme="3"/>
      <name val="Frutiger 45 Light"/>
      <family val="2"/>
    </font>
    <font>
      <b/>
      <u/>
      <sz val="16"/>
      <color theme="3"/>
      <name val="Frutiger 45 Light"/>
      <family val="2"/>
    </font>
    <font>
      <sz val="16"/>
      <color theme="1"/>
      <name val="Frutiger 45 Light"/>
      <family val="2"/>
    </font>
    <font>
      <b/>
      <sz val="10"/>
      <color theme="3"/>
      <name val="Frutiger 45 Light"/>
      <family val="2"/>
    </font>
    <font>
      <b/>
      <sz val="12"/>
      <color theme="1"/>
      <name val="Frutiger 45 Light"/>
      <family val="2"/>
    </font>
    <font>
      <sz val="8"/>
      <color theme="3"/>
      <name val="Frutiger 45 Light"/>
      <family val="2"/>
    </font>
    <font>
      <u/>
      <sz val="7"/>
      <name val="Frutiger 45 Light"/>
      <family val="2"/>
    </font>
    <font>
      <b/>
      <u/>
      <sz val="7"/>
      <color theme="6" tint="-0.249977111117893"/>
      <name val="Frutiger 45 Light"/>
      <family val="2"/>
    </font>
    <font>
      <u/>
      <sz val="8"/>
      <color theme="1"/>
      <name val="Frutiger 45 Light"/>
      <family val="2"/>
    </font>
    <font>
      <sz val="8"/>
      <color rgb="FFFF0000"/>
      <name val="Frutiger 45 Light"/>
      <family val="2"/>
    </font>
    <font>
      <sz val="8"/>
      <name val="Frutiger 45 Light"/>
      <family val="2"/>
    </font>
    <font>
      <b/>
      <i/>
      <sz val="8"/>
      <color theme="1"/>
      <name val="Frutiger 45 Light"/>
      <family val="2"/>
    </font>
    <font>
      <sz val="7"/>
      <name val="Frutiger 45 Light"/>
      <family val="2"/>
    </font>
    <font>
      <sz val="8"/>
      <color theme="2" tint="-0.249977111117893"/>
      <name val="Frutiger 45 Light"/>
      <family val="2"/>
    </font>
    <font>
      <sz val="7"/>
      <color theme="2" tint="-0.249977111117893"/>
      <name val="Frutiger 45 Light"/>
      <family val="2"/>
    </font>
    <font>
      <sz val="7"/>
      <color theme="9" tint="-0.249977111117893"/>
      <name val="Frutiger 45 Light"/>
      <family val="2"/>
    </font>
    <font>
      <b/>
      <sz val="8"/>
      <color theme="2" tint="-0.249977111117893"/>
      <name val="Frutiger 45 Light"/>
      <family val="2"/>
    </font>
    <font>
      <i/>
      <sz val="8"/>
      <color theme="1"/>
      <name val="Frutiger 45 Light"/>
      <family val="2"/>
    </font>
    <font>
      <u/>
      <sz val="8"/>
      <color theme="0"/>
      <name val="Frutiger 45 Light"/>
      <family val="2"/>
    </font>
    <font>
      <b/>
      <sz val="8"/>
      <name val="Frutiger 45 Light"/>
      <family val="2"/>
    </font>
    <font>
      <sz val="6"/>
      <color theme="2" tint="-0.249977111117893"/>
      <name val="Frutiger 45 Light"/>
      <family val="2"/>
    </font>
    <font>
      <sz val="6"/>
      <color theme="0"/>
      <name val="Frutiger 45 Light"/>
      <family val="2"/>
    </font>
    <font>
      <u/>
      <sz val="8"/>
      <name val="Frutiger 45 Light"/>
      <family val="2"/>
    </font>
    <font>
      <b/>
      <sz val="9"/>
      <color theme="1"/>
      <name val="Frutiger 45 Light"/>
      <family val="2"/>
    </font>
    <font>
      <i/>
      <u/>
      <sz val="8"/>
      <color theme="1"/>
      <name val="Frutiger 45 Light"/>
      <family val="2"/>
    </font>
    <font>
      <b/>
      <i/>
      <u/>
      <sz val="8"/>
      <color theme="1"/>
      <name val="Frutiger 45 Light"/>
      <family val="2"/>
    </font>
    <font>
      <sz val="8"/>
      <color theme="4" tint="-0.24994659260841701"/>
      <name val="Frutiger 45 Light"/>
      <family val="2"/>
    </font>
    <font>
      <b/>
      <i/>
      <sz val="11"/>
      <color theme="1"/>
      <name val="Frutiger 45 Light"/>
      <family val="2"/>
    </font>
    <font>
      <i/>
      <sz val="7"/>
      <color theme="3"/>
      <name val="Frutiger 45 Light"/>
      <family val="2"/>
    </font>
    <font>
      <u/>
      <sz val="8"/>
      <color theme="4" tint="-0.24994659260841701"/>
      <name val="Frutiger 45 Light"/>
      <family val="2"/>
    </font>
    <font>
      <i/>
      <sz val="7"/>
      <color rgb="FFFF0000"/>
      <name val="Frutiger 45 Light"/>
      <family val="2"/>
    </font>
    <font>
      <b/>
      <i/>
      <sz val="7"/>
      <color rgb="FFFF0000"/>
      <name val="Frutiger 45 Light"/>
      <family val="2"/>
    </font>
    <font>
      <sz val="8"/>
      <color theme="0" tint="-4.9989318521683403E-2"/>
      <name val="Frutiger 45 Light"/>
      <family val="2"/>
    </font>
    <font>
      <b/>
      <u/>
      <sz val="8"/>
      <name val="Frutiger 45 Light"/>
      <family val="2"/>
    </font>
    <font>
      <b/>
      <sz val="10"/>
      <color theme="1"/>
      <name val="Frutiger 45 Light"/>
      <family val="2"/>
    </font>
    <font>
      <b/>
      <i/>
      <sz val="10"/>
      <color rgb="FFFF0000"/>
      <name val="Frutiger 45 Light"/>
      <family val="2"/>
    </font>
    <font>
      <b/>
      <i/>
      <sz val="8"/>
      <color theme="0"/>
      <name val="Frutiger 45 Light"/>
      <family val="2"/>
    </font>
    <font>
      <sz val="8"/>
      <color rgb="FF0000FF"/>
      <name val="Frutiger 45 Light"/>
      <family val="2"/>
    </font>
    <font>
      <b/>
      <sz val="8"/>
      <color rgb="FFFF0000"/>
      <name val="Frutiger 45 Light"/>
      <family val="2"/>
    </font>
    <font>
      <b/>
      <sz val="9"/>
      <color indexed="81"/>
      <name val="Comic Sans MS"/>
      <family val="4"/>
    </font>
    <font>
      <sz val="9"/>
      <color indexed="81"/>
      <name val="Comic Sans MS"/>
      <family val="4"/>
    </font>
    <font>
      <sz val="9"/>
      <color indexed="10"/>
      <name val="Comic Sans MS"/>
      <family val="4"/>
    </font>
    <font>
      <sz val="11"/>
      <color theme="1"/>
      <name val="Arial"/>
      <family val="2"/>
    </font>
    <font>
      <b/>
      <sz val="8"/>
      <color rgb="FF0000FF"/>
      <name val="Arial"/>
      <family val="2"/>
    </font>
    <font>
      <b/>
      <i/>
      <sz val="8"/>
      <color theme="1"/>
      <name val="Arial"/>
      <family val="2"/>
    </font>
    <font>
      <i/>
      <sz val="8"/>
      <name val="Arial"/>
      <family val="2"/>
    </font>
    <font>
      <i/>
      <sz val="8"/>
      <color theme="0" tint="-0.499984740745262"/>
      <name val="Arial"/>
      <family val="2"/>
    </font>
    <font>
      <sz val="8"/>
      <color theme="0" tint="-0.499984740745262"/>
      <name val="Arial"/>
      <family val="2"/>
    </font>
    <font>
      <b/>
      <sz val="9"/>
      <color rgb="FFFF0000"/>
      <name val="Frutiger 45 Light"/>
    </font>
  </fonts>
  <fills count="13">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gray0625"/>
    </fill>
    <fill>
      <patternFill patternType="solid">
        <fgColor rgb="FFFFFF9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2" tint="-0.14999847407452621"/>
        <bgColor indexed="64"/>
      </patternFill>
    </fill>
    <fill>
      <patternFill patternType="solid">
        <fgColor theme="0" tint="-0.249977111117893"/>
        <bgColor indexed="64"/>
      </patternFill>
    </fill>
    <fill>
      <patternFill patternType="solid">
        <fgColor rgb="FFFFFFFF"/>
        <bgColor indexed="64"/>
      </patternFill>
    </fill>
  </fills>
  <borders count="37">
    <border>
      <left/>
      <right/>
      <top/>
      <bottom/>
      <diagonal/>
    </border>
    <border>
      <left/>
      <right/>
      <top/>
      <bottom style="thin">
        <color indexed="64"/>
      </bottom>
      <diagonal/>
    </border>
    <border>
      <left/>
      <right/>
      <top/>
      <bottom style="thin">
        <color rgb="FFFF0000"/>
      </bottom>
      <diagonal/>
    </border>
    <border>
      <left/>
      <right/>
      <top style="thin">
        <color auto="1"/>
      </top>
      <bottom/>
      <diagonal/>
    </border>
    <border>
      <left/>
      <right/>
      <top style="thin">
        <color auto="1"/>
      </top>
      <bottom style="medium">
        <color auto="1"/>
      </bottom>
      <diagonal/>
    </border>
    <border>
      <left/>
      <right/>
      <top/>
      <bottom style="medium">
        <color rgb="FFE60000"/>
      </bottom>
      <diagonal/>
    </border>
    <border>
      <left/>
      <right/>
      <top/>
      <bottom style="thin">
        <color rgb="FFE60000"/>
      </bottom>
      <diagonal/>
    </border>
    <border>
      <left style="hair">
        <color indexed="64"/>
      </left>
      <right style="hair">
        <color indexed="64"/>
      </right>
      <top style="hair">
        <color indexed="64"/>
      </top>
      <bottom style="hair">
        <color indexed="64"/>
      </bottom>
      <diagonal/>
    </border>
    <border>
      <left/>
      <right/>
      <top style="thin">
        <color auto="1"/>
      </top>
      <bottom style="double">
        <color auto="1"/>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right/>
      <top/>
      <bottom style="thin">
        <color theme="3"/>
      </bottom>
      <diagonal/>
    </border>
    <border>
      <left style="dotted">
        <color theme="0" tint="-0.24994659260841701"/>
      </left>
      <right/>
      <top style="dotted">
        <color theme="0" tint="-0.24994659260841701"/>
      </top>
      <bottom/>
      <diagonal/>
    </border>
    <border>
      <left/>
      <right/>
      <top style="dotted">
        <color theme="0" tint="-0.24994659260841701"/>
      </top>
      <bottom/>
      <diagonal/>
    </border>
    <border>
      <left/>
      <right style="dotted">
        <color theme="0" tint="-0.24994659260841701"/>
      </right>
      <top style="dotted">
        <color theme="0" tint="-0.24994659260841701"/>
      </top>
      <bottom/>
      <diagonal/>
    </border>
    <border>
      <left style="dotted">
        <color theme="0" tint="-0.24994659260841701"/>
      </left>
      <right/>
      <top/>
      <bottom/>
      <diagonal/>
    </border>
    <border>
      <left/>
      <right style="dotted">
        <color theme="0" tint="-0.24994659260841701"/>
      </right>
      <top/>
      <bottom/>
      <diagonal/>
    </border>
    <border>
      <left/>
      <right/>
      <top style="medium">
        <color auto="1"/>
      </top>
      <bottom style="medium">
        <color auto="1"/>
      </bottom>
      <diagonal/>
    </border>
    <border>
      <left style="dotted">
        <color theme="0" tint="-0.24994659260841701"/>
      </left>
      <right/>
      <top/>
      <bottom style="dotted">
        <color theme="0" tint="-0.24994659260841701"/>
      </bottom>
      <diagonal/>
    </border>
    <border>
      <left/>
      <right/>
      <top/>
      <bottom style="dotted">
        <color theme="0" tint="-0.24994659260841701"/>
      </bottom>
      <diagonal/>
    </border>
    <border>
      <left/>
      <right style="dotted">
        <color theme="0" tint="-0.24994659260841701"/>
      </right>
      <top/>
      <bottom style="dotted">
        <color theme="0" tint="-0.24994659260841701"/>
      </bottom>
      <diagonal/>
    </border>
    <border>
      <left/>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dashed">
        <color auto="1"/>
      </left>
      <right style="dashed">
        <color auto="1"/>
      </right>
      <top style="dashed">
        <color auto="1"/>
      </top>
      <bottom style="dashed">
        <color auto="1"/>
      </bottom>
      <diagonal/>
    </border>
    <border>
      <left/>
      <right/>
      <top style="hair">
        <color auto="1"/>
      </top>
      <bottom style="thin">
        <color auto="1"/>
      </bottom>
      <diagonal/>
    </border>
    <border>
      <left/>
      <right/>
      <top style="dashDot">
        <color rgb="FFFF0000"/>
      </top>
      <bottom style="dashDot">
        <color rgb="FFFF0000"/>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diagonal/>
    </border>
    <border>
      <left/>
      <right/>
      <top/>
      <bottom style="thin">
        <color auto="1"/>
      </bottom>
      <diagonal/>
    </border>
  </borders>
  <cellStyleXfs count="54">
    <xf numFmtId="165" fontId="0" fillId="0" borderId="0"/>
    <xf numFmtId="166" fontId="7" fillId="0" borderId="0" applyFont="0" applyFill="0" applyBorder="0" applyAlignment="0" applyProtection="0"/>
    <xf numFmtId="170" fontId="4" fillId="0" borderId="0" applyFont="0" applyFill="0" applyBorder="0" applyAlignment="0" applyProtection="0"/>
    <xf numFmtId="165" fontId="6" fillId="0" borderId="0" applyFont="0" applyFill="0" applyBorder="0" applyProtection="0"/>
    <xf numFmtId="165" fontId="6" fillId="3" borderId="0" applyNumberFormat="0" applyFont="0" applyBorder="0" applyAlignment="0" applyProtection="0"/>
    <xf numFmtId="165" fontId="6" fillId="0" borderId="1" applyNumberFormat="0" applyFill="0" applyProtection="0">
      <alignment horizontal="centerContinuous"/>
    </xf>
    <xf numFmtId="166" fontId="5" fillId="0" borderId="0" applyFont="0" applyFill="0" applyBorder="0" applyAlignment="0" applyProtection="0"/>
    <xf numFmtId="0" fontId="6" fillId="0" borderId="0" applyFont="0" applyFill="0" applyBorder="0" applyAlignment="0" applyProtection="0"/>
    <xf numFmtId="15" fontId="6" fillId="0" borderId="0" applyFont="0" applyFill="0" applyBorder="0" applyAlignment="0" applyProtection="0"/>
    <xf numFmtId="15" fontId="6" fillId="0" borderId="0" applyFont="0" applyFill="0" applyBorder="0" applyAlignment="0" applyProtection="0"/>
    <xf numFmtId="167" fontId="6" fillId="0" borderId="0" applyFont="0" applyFill="0" applyBorder="0" applyAlignment="0" applyProtection="0"/>
    <xf numFmtId="168" fontId="6" fillId="0" borderId="0" applyFont="0" applyFill="0" applyBorder="0" applyAlignment="0" applyProtection="0"/>
    <xf numFmtId="169" fontId="6" fillId="0" borderId="0" applyFont="0" applyFill="0" applyBorder="0" applyAlignment="0" applyProtection="0"/>
    <xf numFmtId="170" fontId="6" fillId="4" borderId="0" applyNumberFormat="0" applyFont="0" applyBorder="0" applyAlignment="0" applyProtection="0"/>
    <xf numFmtId="165" fontId="6" fillId="4" borderId="0" applyNumberFormat="0" applyFont="0" applyBorder="0" applyAlignment="0" applyProtection="0"/>
    <xf numFmtId="165" fontId="6" fillId="0" borderId="2" applyNumberFormat="0" applyFill="0" applyAlignment="0" applyProtection="0"/>
    <xf numFmtId="171" fontId="8" fillId="0" borderId="0" applyFill="0" applyBorder="0" applyAlignment="0" applyProtection="0"/>
    <xf numFmtId="165" fontId="18" fillId="5" borderId="0" applyNumberFormat="0" applyBorder="0" applyAlignment="0" applyProtection="0"/>
    <xf numFmtId="172" fontId="6" fillId="0" borderId="0" applyFont="0" applyFill="0" applyBorder="0" applyAlignment="0" applyProtection="0"/>
    <xf numFmtId="165" fontId="9" fillId="0" borderId="0" applyNumberFormat="0" applyFill="0" applyBorder="0" applyAlignment="0" applyProtection="0"/>
    <xf numFmtId="173" fontId="6" fillId="0" borderId="0" applyFont="0" applyFill="0" applyBorder="0" applyAlignment="0" applyProtection="0"/>
    <xf numFmtId="174" fontId="6" fillId="0" borderId="0" applyFont="0" applyFill="0" applyBorder="0" applyAlignment="0" applyProtection="0"/>
    <xf numFmtId="175" fontId="6" fillId="0" borderId="0" applyFont="0" applyFill="0" applyBorder="0" applyAlignment="0" applyProtection="0"/>
    <xf numFmtId="165" fontId="10" fillId="0" borderId="0" applyNumberFormat="0" applyFill="0" applyBorder="0" applyAlignment="0" applyProtection="0"/>
    <xf numFmtId="165" fontId="11" fillId="0" borderId="0" applyNumberForma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0" fontId="6" fillId="0" borderId="0" applyFont="0" applyFill="0" applyBorder="0" applyAlignment="0" applyProtection="0"/>
    <xf numFmtId="165" fontId="16" fillId="0" borderId="3" applyNumberFormat="0" applyFill="0" applyAlignment="0" applyProtection="0"/>
    <xf numFmtId="165" fontId="8" fillId="0" borderId="3" applyNumberFormat="0" applyFill="0" applyAlignment="0"/>
    <xf numFmtId="165" fontId="16" fillId="0" borderId="4" applyNumberFormat="0" applyFill="0" applyAlignment="0" applyProtection="0"/>
    <xf numFmtId="0" fontId="12" fillId="0" borderId="5" applyNumberFormat="0" applyFill="0" applyAlignment="0" applyProtection="0"/>
    <xf numFmtId="165" fontId="8" fillId="0" borderId="6" applyNumberFormat="0" applyFill="0" applyAlignment="0" applyProtection="0"/>
    <xf numFmtId="165" fontId="6" fillId="0" borderId="6" applyNumberFormat="0" applyFont="0" applyFill="0" applyAlignment="0" applyProtection="0"/>
    <xf numFmtId="165" fontId="6" fillId="0" borderId="1" applyNumberFormat="0" applyFont="0" applyFill="0" applyAlignment="0" applyProtection="0"/>
    <xf numFmtId="178" fontId="6" fillId="0" borderId="0" applyFont="0" applyFill="0" applyBorder="0" applyAlignment="0" applyProtection="0"/>
    <xf numFmtId="0" fontId="13" fillId="0" borderId="0"/>
    <xf numFmtId="0" fontId="14" fillId="0" borderId="0"/>
    <xf numFmtId="0" fontId="20" fillId="0" borderId="0"/>
    <xf numFmtId="9" fontId="3" fillId="0" borderId="0" applyFont="0" applyFill="0" applyBorder="0" applyAlignment="0" applyProtection="0"/>
    <xf numFmtId="164" fontId="3"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9" fontId="20"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36"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89" fontId="82" fillId="12" borderId="0">
      <alignment vertical="center"/>
    </xf>
    <xf numFmtId="9" fontId="6" fillId="0" borderId="0" applyFont="0" applyFill="0" applyBorder="0" applyAlignment="0" applyProtection="0"/>
  </cellStyleXfs>
  <cellXfs count="368">
    <xf numFmtId="165" fontId="0" fillId="0" borderId="0" xfId="0"/>
    <xf numFmtId="165" fontId="0" fillId="2" borderId="0" xfId="0" applyFill="1"/>
    <xf numFmtId="169" fontId="15" fillId="2" borderId="0" xfId="12" applyFont="1" applyFill="1"/>
    <xf numFmtId="169" fontId="16" fillId="2" borderId="0" xfId="12" applyFont="1" applyFill="1"/>
    <xf numFmtId="165" fontId="16" fillId="2" borderId="0" xfId="3" applyFont="1" applyFill="1"/>
    <xf numFmtId="169" fontId="16" fillId="2" borderId="0" xfId="12" applyFont="1" applyFill="1" applyAlignment="1">
      <alignment horizontal="center"/>
    </xf>
    <xf numFmtId="169" fontId="17" fillId="2" borderId="0" xfId="12" applyFont="1" applyFill="1"/>
    <xf numFmtId="169" fontId="14" fillId="2" borderId="0" xfId="12" applyFont="1" applyFill="1"/>
    <xf numFmtId="169" fontId="22" fillId="2" borderId="0" xfId="12" applyFont="1" applyFill="1"/>
    <xf numFmtId="165" fontId="14" fillId="2" borderId="0" xfId="3" applyFont="1" applyFill="1" applyBorder="1"/>
    <xf numFmtId="165" fontId="14" fillId="2" borderId="0" xfId="3" applyFont="1" applyFill="1"/>
    <xf numFmtId="169" fontId="16" fillId="2" borderId="3" xfId="28" applyNumberFormat="1" applyFill="1"/>
    <xf numFmtId="179" fontId="14" fillId="2" borderId="0" xfId="3" applyNumberFormat="1" applyFont="1" applyFill="1"/>
    <xf numFmtId="177" fontId="14" fillId="2" borderId="0" xfId="2" applyNumberFormat="1" applyFont="1" applyFill="1"/>
    <xf numFmtId="169" fontId="16" fillId="2" borderId="0" xfId="28" applyNumberFormat="1" applyFill="1" applyBorder="1"/>
    <xf numFmtId="169" fontId="23" fillId="2" borderId="0" xfId="12" applyFont="1" applyFill="1"/>
    <xf numFmtId="169" fontId="16" fillId="2" borderId="4" xfId="30" applyNumberFormat="1" applyFill="1"/>
    <xf numFmtId="169" fontId="24" fillId="2" borderId="0" xfId="12" applyFont="1" applyFill="1"/>
    <xf numFmtId="165" fontId="24" fillId="2" borderId="0" xfId="3" applyFont="1" applyFill="1"/>
    <xf numFmtId="165" fontId="16" fillId="2" borderId="3" xfId="3" applyFont="1" applyFill="1" applyBorder="1"/>
    <xf numFmtId="167" fontId="14" fillId="2" borderId="0" xfId="10" applyFont="1" applyFill="1"/>
    <xf numFmtId="177" fontId="25" fillId="2" borderId="0" xfId="26" applyFont="1" applyFill="1"/>
    <xf numFmtId="165" fontId="25" fillId="2" borderId="0" xfId="3" applyFont="1" applyFill="1"/>
    <xf numFmtId="165" fontId="16" fillId="2" borderId="4" xfId="3" applyFont="1" applyFill="1" applyBorder="1"/>
    <xf numFmtId="165" fontId="18" fillId="2" borderId="0" xfId="3" applyFont="1" applyFill="1"/>
    <xf numFmtId="169" fontId="14" fillId="2" borderId="0" xfId="12" quotePrefix="1" applyFont="1" applyFill="1"/>
    <xf numFmtId="169" fontId="28" fillId="2" borderId="0" xfId="12" applyFont="1" applyFill="1"/>
    <xf numFmtId="169" fontId="25" fillId="2" borderId="0" xfId="12" applyFont="1" applyFill="1"/>
    <xf numFmtId="177" fontId="14" fillId="2" borderId="0" xfId="26" applyFont="1" applyFill="1"/>
    <xf numFmtId="177" fontId="16" fillId="2" borderId="0" xfId="26" applyFont="1" applyFill="1"/>
    <xf numFmtId="177" fontId="25" fillId="2" borderId="0" xfId="2" applyNumberFormat="1" applyFont="1" applyFill="1"/>
    <xf numFmtId="177" fontId="18" fillId="2" borderId="0" xfId="2" applyNumberFormat="1" applyFont="1" applyFill="1"/>
    <xf numFmtId="165" fontId="29" fillId="2" borderId="0" xfId="3" applyFont="1" applyFill="1"/>
    <xf numFmtId="169" fontId="30" fillId="2" borderId="0" xfId="12" applyFont="1" applyFill="1"/>
    <xf numFmtId="169" fontId="29" fillId="2" borderId="0" xfId="12" applyFont="1" applyFill="1"/>
    <xf numFmtId="169" fontId="32" fillId="2" borderId="0" xfId="12" applyFont="1" applyFill="1"/>
    <xf numFmtId="165" fontId="37" fillId="0" borderId="0" xfId="0" applyFont="1"/>
    <xf numFmtId="165" fontId="0" fillId="0" borderId="0" xfId="0" applyProtection="1">
      <protection locked="0"/>
    </xf>
    <xf numFmtId="165" fontId="33" fillId="0" borderId="0" xfId="0" applyFont="1"/>
    <xf numFmtId="165" fontId="39" fillId="0" borderId="0" xfId="0" applyFont="1"/>
    <xf numFmtId="165" fontId="40" fillId="0" borderId="0" xfId="0" applyFont="1"/>
    <xf numFmtId="165" fontId="41" fillId="0" borderId="0" xfId="0" applyFont="1"/>
    <xf numFmtId="165" fontId="42" fillId="0" borderId="0" xfId="0" applyFont="1"/>
    <xf numFmtId="165" fontId="43" fillId="0" borderId="0" xfId="0" applyFont="1" applyAlignment="1">
      <alignment horizontal="center"/>
    </xf>
    <xf numFmtId="165" fontId="37" fillId="0" borderId="0" xfId="0" applyFont="1" applyProtection="1">
      <protection locked="0"/>
    </xf>
    <xf numFmtId="165" fontId="0" fillId="0" borderId="0" xfId="0" applyAlignment="1">
      <alignment horizontal="right"/>
    </xf>
    <xf numFmtId="165" fontId="44" fillId="0" borderId="2" xfId="0" applyFont="1" applyBorder="1"/>
    <xf numFmtId="165" fontId="8" fillId="0" borderId="2" xfId="0" applyFont="1" applyBorder="1"/>
    <xf numFmtId="182" fontId="0" fillId="0" borderId="0" xfId="0" applyNumberFormat="1"/>
    <xf numFmtId="183" fontId="0" fillId="0" borderId="0" xfId="0" applyNumberFormat="1"/>
    <xf numFmtId="0" fontId="46" fillId="0" borderId="0" xfId="0" applyNumberFormat="1" applyFont="1" applyAlignment="1">
      <alignment horizontal="right"/>
    </xf>
    <xf numFmtId="0" fontId="47" fillId="0" borderId="0" xfId="0" applyNumberFormat="1" applyFont="1" applyAlignment="1">
      <alignment horizontal="right"/>
    </xf>
    <xf numFmtId="165" fontId="48" fillId="0" borderId="0" xfId="0" applyFont="1"/>
    <xf numFmtId="165" fontId="48" fillId="0" borderId="0" xfId="0" applyFont="1" applyAlignment="1">
      <alignment horizontal="center"/>
    </xf>
    <xf numFmtId="165" fontId="36" fillId="0" borderId="0" xfId="46" applyProtection="1">
      <protection locked="0"/>
    </xf>
    <xf numFmtId="15" fontId="48" fillId="0" borderId="0" xfId="0" applyNumberFormat="1" applyFont="1"/>
    <xf numFmtId="165" fontId="36" fillId="0" borderId="0" xfId="46" applyProtection="1"/>
    <xf numFmtId="165" fontId="49" fillId="0" borderId="0" xfId="0" applyFont="1" applyAlignment="1">
      <alignment horizontal="center"/>
    </xf>
    <xf numFmtId="178" fontId="50" fillId="0" borderId="0" xfId="0" applyNumberFormat="1" applyFont="1" applyAlignment="1">
      <alignment horizontal="center"/>
    </xf>
    <xf numFmtId="165" fontId="0" fillId="0" borderId="0" xfId="0" applyAlignment="1">
      <alignment horizontal="center"/>
    </xf>
    <xf numFmtId="165" fontId="51" fillId="0" borderId="0" xfId="0" applyFont="1"/>
    <xf numFmtId="165" fontId="0" fillId="10" borderId="0" xfId="0" applyFill="1"/>
    <xf numFmtId="180" fontId="52" fillId="8" borderId="0" xfId="47" applyNumberFormat="1" applyFont="1" applyFill="1" applyBorder="1" applyAlignment="1" applyProtection="1">
      <alignment horizontal="center"/>
    </xf>
    <xf numFmtId="9" fontId="0" fillId="0" borderId="0" xfId="47" applyFont="1" applyFill="1" applyBorder="1" applyProtection="1"/>
    <xf numFmtId="165" fontId="53" fillId="0" borderId="0" xfId="0" applyFont="1"/>
    <xf numFmtId="165" fontId="53" fillId="0" borderId="0" xfId="0" applyFont="1" applyAlignment="1">
      <alignment horizontal="center"/>
    </xf>
    <xf numFmtId="180" fontId="54" fillId="10" borderId="0" xfId="47" applyNumberFormat="1" applyFont="1" applyFill="1" applyProtection="1"/>
    <xf numFmtId="180" fontId="54" fillId="0" borderId="0" xfId="47" applyNumberFormat="1" applyFont="1" applyProtection="1"/>
    <xf numFmtId="180" fontId="54" fillId="0" borderId="0" xfId="47" applyNumberFormat="1" applyFont="1" applyFill="1" applyProtection="1"/>
    <xf numFmtId="180" fontId="52" fillId="8" borderId="0" xfId="0" applyNumberFormat="1" applyFont="1" applyFill="1" applyAlignment="1">
      <alignment horizontal="center"/>
    </xf>
    <xf numFmtId="180" fontId="0" fillId="0" borderId="0" xfId="47" applyNumberFormat="1" applyFont="1" applyAlignment="1" applyProtection="1">
      <alignment horizontal="center"/>
    </xf>
    <xf numFmtId="180" fontId="55" fillId="0" borderId="0" xfId="47" applyNumberFormat="1" applyFont="1" applyProtection="1"/>
    <xf numFmtId="180" fontId="52" fillId="0" borderId="0" xfId="47" applyNumberFormat="1" applyFont="1" applyProtection="1"/>
    <xf numFmtId="180" fontId="55" fillId="0" borderId="0" xfId="47" applyNumberFormat="1" applyFont="1" applyAlignment="1" applyProtection="1">
      <alignment horizontal="center"/>
    </xf>
    <xf numFmtId="165" fontId="8" fillId="0" borderId="3" xfId="0" applyFont="1" applyBorder="1"/>
    <xf numFmtId="184" fontId="8" fillId="0" borderId="3" xfId="0" applyNumberFormat="1" applyFont="1" applyBorder="1" applyAlignment="1">
      <alignment horizontal="center"/>
    </xf>
    <xf numFmtId="181" fontId="54" fillId="10" borderId="0" xfId="0" applyNumberFormat="1" applyFont="1" applyFill="1"/>
    <xf numFmtId="181" fontId="54" fillId="0" borderId="0" xfId="0" applyNumberFormat="1" applyFont="1"/>
    <xf numFmtId="165" fontId="0" fillId="10" borderId="0" xfId="0" applyFill="1" applyAlignment="1">
      <alignment horizontal="right"/>
    </xf>
    <xf numFmtId="165" fontId="8" fillId="0" borderId="3" xfId="0" applyFont="1" applyBorder="1" applyAlignment="1">
      <alignment horizontal="center"/>
    </xf>
    <xf numFmtId="165" fontId="8" fillId="0" borderId="0" xfId="0" applyFont="1"/>
    <xf numFmtId="165" fontId="56" fillId="0" borderId="0" xfId="0" applyFont="1"/>
    <xf numFmtId="180" fontId="54" fillId="10" borderId="0" xfId="47" applyNumberFormat="1" applyFont="1" applyFill="1" applyAlignment="1" applyProtection="1">
      <alignment horizontal="right"/>
    </xf>
    <xf numFmtId="180" fontId="54" fillId="0" borderId="0" xfId="47" applyNumberFormat="1" applyFont="1" applyAlignment="1" applyProtection="1">
      <alignment horizontal="right"/>
    </xf>
    <xf numFmtId="184" fontId="8" fillId="0" borderId="8" xfId="0" applyNumberFormat="1" applyFont="1" applyBorder="1"/>
    <xf numFmtId="184" fontId="0" fillId="0" borderId="8" xfId="0" applyNumberFormat="1" applyBorder="1"/>
    <xf numFmtId="184" fontId="8" fillId="0" borderId="8" xfId="0" applyNumberFormat="1" applyFont="1" applyBorder="1" applyAlignment="1">
      <alignment horizontal="center"/>
    </xf>
    <xf numFmtId="165" fontId="8" fillId="0" borderId="8" xfId="0" applyFont="1" applyBorder="1"/>
    <xf numFmtId="10" fontId="8" fillId="0" borderId="0" xfId="47" applyNumberFormat="1" applyFont="1" applyFill="1" applyBorder="1" applyProtection="1"/>
    <xf numFmtId="184" fontId="8" fillId="0" borderId="0" xfId="0" applyNumberFormat="1" applyFont="1"/>
    <xf numFmtId="184" fontId="0" fillId="0" borderId="0" xfId="0" applyNumberFormat="1"/>
    <xf numFmtId="184" fontId="8" fillId="0" borderId="0" xfId="0" applyNumberFormat="1" applyFont="1" applyAlignment="1">
      <alignment horizontal="center"/>
    </xf>
    <xf numFmtId="165" fontId="8" fillId="0" borderId="0" xfId="0" applyFont="1" applyAlignment="1">
      <alignment horizontal="center"/>
    </xf>
    <xf numFmtId="180" fontId="0" fillId="0" borderId="0" xfId="47" applyNumberFormat="1" applyFont="1" applyFill="1" applyAlignment="1" applyProtection="1">
      <alignment horizontal="center"/>
    </xf>
    <xf numFmtId="165" fontId="0" fillId="0" borderId="9" xfId="0" applyBorder="1"/>
    <xf numFmtId="15" fontId="58" fillId="0" borderId="11" xfId="0" applyNumberFormat="1" applyFont="1" applyBorder="1"/>
    <xf numFmtId="15" fontId="58" fillId="0" borderId="12" xfId="0" applyNumberFormat="1" applyFont="1" applyBorder="1"/>
    <xf numFmtId="15" fontId="58" fillId="0" borderId="13" xfId="0" applyNumberFormat="1" applyFont="1" applyBorder="1"/>
    <xf numFmtId="165" fontId="59" fillId="0" borderId="0" xfId="0" applyFont="1"/>
    <xf numFmtId="165" fontId="54" fillId="0" borderId="0" xfId="0" applyFont="1"/>
    <xf numFmtId="184" fontId="60" fillId="0" borderId="0" xfId="0" applyNumberFormat="1" applyFont="1"/>
    <xf numFmtId="184" fontId="61" fillId="0" borderId="14" xfId="0" applyNumberFormat="1" applyFont="1" applyBorder="1"/>
    <xf numFmtId="184" fontId="61" fillId="0" borderId="0" xfId="0" applyNumberFormat="1" applyFont="1"/>
    <xf numFmtId="184" fontId="61" fillId="0" borderId="15" xfId="0" applyNumberFormat="1" applyFont="1" applyBorder="1"/>
    <xf numFmtId="165" fontId="37" fillId="0" borderId="14" xfId="0" applyFont="1" applyBorder="1" applyAlignment="1">
      <alignment horizontal="right"/>
    </xf>
    <xf numFmtId="165" fontId="37" fillId="0" borderId="0" xfId="0" applyFont="1" applyAlignment="1">
      <alignment horizontal="right"/>
    </xf>
    <xf numFmtId="165" fontId="37" fillId="0" borderId="15" xfId="0" applyFont="1" applyBorder="1" applyAlignment="1">
      <alignment horizontal="right"/>
    </xf>
    <xf numFmtId="10" fontId="0" fillId="0" borderId="0" xfId="47" applyNumberFormat="1" applyFont="1" applyProtection="1"/>
    <xf numFmtId="165" fontId="39" fillId="0" borderId="14" xfId="0" applyFont="1" applyBorder="1"/>
    <xf numFmtId="165" fontId="39" fillId="0" borderId="15" xfId="0" applyFont="1" applyBorder="1"/>
    <xf numFmtId="165" fontId="37" fillId="0" borderId="14" xfId="0" applyFont="1" applyBorder="1"/>
    <xf numFmtId="165" fontId="37" fillId="0" borderId="15" xfId="0" applyFont="1" applyBorder="1"/>
    <xf numFmtId="165" fontId="45" fillId="0" borderId="0" xfId="0" applyFont="1"/>
    <xf numFmtId="165" fontId="8" fillId="0" borderId="3" xfId="0" applyFont="1" applyBorder="1" applyAlignment="1">
      <alignment horizontal="right"/>
    </xf>
    <xf numFmtId="165" fontId="39" fillId="0" borderId="0" xfId="0" applyFont="1" applyAlignment="1">
      <alignment horizontal="right"/>
    </xf>
    <xf numFmtId="165" fontId="39" fillId="0" borderId="15" xfId="0" applyFont="1" applyBorder="1" applyAlignment="1">
      <alignment horizontal="right"/>
    </xf>
    <xf numFmtId="165" fontId="8" fillId="3" borderId="16" xfId="0" applyFont="1" applyFill="1" applyBorder="1"/>
    <xf numFmtId="184" fontId="8" fillId="3" borderId="16" xfId="0" applyNumberFormat="1" applyFont="1" applyFill="1" applyBorder="1"/>
    <xf numFmtId="184" fontId="39" fillId="0" borderId="17" xfId="0" applyNumberFormat="1" applyFont="1" applyBorder="1"/>
    <xf numFmtId="184" fontId="39" fillId="0" borderId="18" xfId="0" applyNumberFormat="1" applyFont="1" applyBorder="1"/>
    <xf numFmtId="184" fontId="39" fillId="0" borderId="19" xfId="0" applyNumberFormat="1" applyFont="1" applyBorder="1"/>
    <xf numFmtId="165" fontId="59" fillId="11" borderId="0" xfId="0" applyFont="1" applyFill="1"/>
    <xf numFmtId="15" fontId="0" fillId="0" borderId="0" xfId="0" applyNumberFormat="1"/>
    <xf numFmtId="184" fontId="59" fillId="0" borderId="0" xfId="0" applyNumberFormat="1" applyFont="1"/>
    <xf numFmtId="165" fontId="37" fillId="0" borderId="0" xfId="0" applyFont="1" applyAlignment="1" applyProtection="1">
      <alignment horizontal="center"/>
      <protection locked="0"/>
    </xf>
    <xf numFmtId="184" fontId="0" fillId="0" borderId="0" xfId="0" applyNumberFormat="1" applyAlignment="1">
      <alignment horizontal="center"/>
    </xf>
    <xf numFmtId="165" fontId="0" fillId="0" borderId="20" xfId="0" applyBorder="1"/>
    <xf numFmtId="184" fontId="8" fillId="0" borderId="20" xfId="0" applyNumberFormat="1" applyFont="1" applyBorder="1" applyAlignment="1">
      <alignment horizontal="center"/>
    </xf>
    <xf numFmtId="165" fontId="8" fillId="11" borderId="20" xfId="0" applyFont="1" applyFill="1" applyBorder="1"/>
    <xf numFmtId="165" fontId="0" fillId="11" borderId="20" xfId="0" applyFill="1" applyBorder="1"/>
    <xf numFmtId="184" fontId="8" fillId="11" borderId="20" xfId="0" applyNumberFormat="1" applyFont="1" applyFill="1" applyBorder="1" applyAlignment="1">
      <alignment horizontal="center"/>
    </xf>
    <xf numFmtId="165" fontId="63" fillId="0" borderId="0" xfId="0" applyFont="1"/>
    <xf numFmtId="165" fontId="51" fillId="2" borderId="0" xfId="0" applyFont="1" applyFill="1"/>
    <xf numFmtId="165" fontId="0" fillId="2" borderId="0" xfId="0" applyFill="1" applyAlignment="1">
      <alignment horizontal="center"/>
    </xf>
    <xf numFmtId="165" fontId="8" fillId="2" borderId="3" xfId="0" applyFont="1" applyFill="1" applyBorder="1"/>
    <xf numFmtId="165" fontId="0" fillId="2" borderId="3" xfId="0" applyFill="1" applyBorder="1"/>
    <xf numFmtId="165" fontId="8" fillId="2" borderId="3" xfId="0" applyFont="1" applyFill="1" applyBorder="1" applyAlignment="1">
      <alignment horizontal="center"/>
    </xf>
    <xf numFmtId="179" fontId="0" fillId="2" borderId="0" xfId="0" applyNumberFormat="1" applyFill="1"/>
    <xf numFmtId="165" fontId="0" fillId="0" borderId="3" xfId="0" applyBorder="1"/>
    <xf numFmtId="184" fontId="0" fillId="11" borderId="20" xfId="0" applyNumberFormat="1" applyFill="1" applyBorder="1" applyAlignment="1">
      <alignment horizontal="center"/>
    </xf>
    <xf numFmtId="165" fontId="50" fillId="0" borderId="0" xfId="0" quotePrefix="1" applyFont="1"/>
    <xf numFmtId="165" fontId="51" fillId="0" borderId="0" xfId="0" applyFont="1" applyProtection="1">
      <protection locked="0"/>
    </xf>
    <xf numFmtId="165" fontId="0" fillId="0" borderId="0" xfId="0" applyAlignment="1" applyProtection="1">
      <alignment horizontal="right"/>
      <protection locked="0"/>
    </xf>
    <xf numFmtId="165" fontId="11" fillId="0" borderId="0" xfId="0" applyFont="1" applyProtection="1">
      <protection locked="0"/>
    </xf>
    <xf numFmtId="165" fontId="64" fillId="0" borderId="0" xfId="0" applyFont="1" applyProtection="1">
      <protection locked="0"/>
    </xf>
    <xf numFmtId="165" fontId="48" fillId="0" borderId="0" xfId="0" applyFont="1" applyProtection="1">
      <protection locked="0"/>
    </xf>
    <xf numFmtId="15" fontId="48" fillId="0" borderId="0" xfId="0" applyNumberFormat="1" applyFont="1" applyProtection="1">
      <protection locked="0"/>
    </xf>
    <xf numFmtId="165" fontId="0" fillId="0" borderId="0" xfId="0" applyAlignment="1" applyProtection="1">
      <alignment horizontal="center"/>
      <protection locked="0"/>
    </xf>
    <xf numFmtId="181" fontId="0" fillId="0" borderId="0" xfId="0" applyNumberFormat="1" applyAlignment="1" applyProtection="1">
      <alignment horizontal="right"/>
      <protection locked="0"/>
    </xf>
    <xf numFmtId="185" fontId="0" fillId="0" borderId="0" xfId="0" applyNumberFormat="1" applyAlignment="1" applyProtection="1">
      <alignment horizontal="right"/>
      <protection locked="0"/>
    </xf>
    <xf numFmtId="165" fontId="65" fillId="0" borderId="0" xfId="0" applyFont="1" applyProtection="1">
      <protection locked="0"/>
    </xf>
    <xf numFmtId="180" fontId="52" fillId="7" borderId="0" xfId="47" applyNumberFormat="1" applyFont="1" applyFill="1" applyProtection="1"/>
    <xf numFmtId="181" fontId="0" fillId="0" borderId="0" xfId="0" applyNumberFormat="1" applyProtection="1">
      <protection locked="0"/>
    </xf>
    <xf numFmtId="165" fontId="8" fillId="0" borderId="2" xfId="0" applyFont="1" applyBorder="1" applyProtection="1">
      <protection locked="0"/>
    </xf>
    <xf numFmtId="165" fontId="59" fillId="0" borderId="2" xfId="0" applyFont="1" applyBorder="1"/>
    <xf numFmtId="165" fontId="0" fillId="0" borderId="2" xfId="0" applyBorder="1" applyProtection="1">
      <protection locked="0"/>
    </xf>
    <xf numFmtId="165" fontId="50" fillId="0" borderId="0" xfId="0" applyFont="1" applyAlignment="1" applyProtection="1">
      <alignment horizontal="center"/>
      <protection locked="0"/>
    </xf>
    <xf numFmtId="165" fontId="8" fillId="0" borderId="0" xfId="0" applyFont="1" applyAlignment="1" applyProtection="1">
      <alignment horizontal="right"/>
      <protection locked="0"/>
    </xf>
    <xf numFmtId="184" fontId="39" fillId="0" borderId="21" xfId="0" applyNumberFormat="1" applyFont="1" applyBorder="1" applyProtection="1">
      <protection locked="0"/>
    </xf>
    <xf numFmtId="180" fontId="6" fillId="0" borderId="1" xfId="47" applyNumberFormat="1" applyFont="1" applyBorder="1" applyAlignment="1" applyProtection="1">
      <alignment horizontal="right"/>
      <protection locked="0"/>
    </xf>
    <xf numFmtId="180" fontId="8" fillId="0" borderId="1" xfId="47" applyNumberFormat="1" applyFont="1" applyBorder="1" applyAlignment="1" applyProtection="1">
      <alignment horizontal="right"/>
      <protection locked="0"/>
    </xf>
    <xf numFmtId="180" fontId="6" fillId="0" borderId="22" xfId="47" applyNumberFormat="1" applyFont="1" applyBorder="1" applyAlignment="1" applyProtection="1">
      <alignment horizontal="right"/>
      <protection locked="0"/>
    </xf>
    <xf numFmtId="184" fontId="50" fillId="0" borderId="0" xfId="0" applyNumberFormat="1" applyFont="1" applyAlignment="1" applyProtection="1">
      <alignment horizontal="right"/>
      <protection locked="0"/>
    </xf>
    <xf numFmtId="184" fontId="0" fillId="0" borderId="0" xfId="0" applyNumberFormat="1" applyAlignment="1" applyProtection="1">
      <alignment horizontal="right"/>
      <protection locked="0"/>
    </xf>
    <xf numFmtId="165" fontId="37" fillId="2" borderId="0" xfId="0" applyFont="1" applyFill="1" applyProtection="1">
      <protection locked="0"/>
    </xf>
    <xf numFmtId="180" fontId="66" fillId="5" borderId="7" xfId="47" applyNumberFormat="1" applyFont="1" applyFill="1" applyBorder="1" applyAlignment="1" applyProtection="1">
      <alignment horizontal="center"/>
      <protection locked="0"/>
    </xf>
    <xf numFmtId="180" fontId="66" fillId="5" borderId="7" xfId="48" applyNumberFormat="1" applyFont="1" applyFill="1" applyBorder="1" applyAlignment="1" applyProtection="1">
      <alignment horizontal="center"/>
      <protection locked="0"/>
    </xf>
    <xf numFmtId="184" fontId="0" fillId="7" borderId="0" xfId="0" applyNumberFormat="1" applyFill="1" applyAlignment="1" applyProtection="1">
      <alignment horizontal="right"/>
      <protection locked="0"/>
    </xf>
    <xf numFmtId="180" fontId="8" fillId="0" borderId="22" xfId="47" applyNumberFormat="1" applyFont="1" applyBorder="1" applyAlignment="1" applyProtection="1">
      <alignment horizontal="right"/>
      <protection locked="0"/>
    </xf>
    <xf numFmtId="184" fontId="66" fillId="7" borderId="7" xfId="48" applyNumberFormat="1" applyFont="1" applyFill="1" applyBorder="1" applyAlignment="1" applyProtection="1">
      <alignment horizontal="right"/>
      <protection locked="0"/>
    </xf>
    <xf numFmtId="165" fontId="45" fillId="0" borderId="0" xfId="0" applyFont="1" applyAlignment="1" applyProtection="1">
      <alignment horizontal="center"/>
      <protection locked="0"/>
    </xf>
    <xf numFmtId="180" fontId="6" fillId="0" borderId="0" xfId="47" applyNumberFormat="1" applyFont="1" applyBorder="1" applyAlignment="1" applyProtection="1">
      <alignment horizontal="center"/>
      <protection locked="0"/>
    </xf>
    <xf numFmtId="9" fontId="59" fillId="0" borderId="0" xfId="47" applyFont="1" applyBorder="1"/>
    <xf numFmtId="165" fontId="50" fillId="0" borderId="0" xfId="0" quotePrefix="1" applyFont="1" applyProtection="1">
      <protection locked="0"/>
    </xf>
    <xf numFmtId="165" fontId="8" fillId="0" borderId="0" xfId="0" applyFont="1" applyProtection="1">
      <protection locked="0"/>
    </xf>
    <xf numFmtId="165" fontId="48" fillId="5" borderId="23" xfId="0" applyFont="1" applyFill="1" applyBorder="1" applyAlignment="1" applyProtection="1">
      <alignment horizontal="right"/>
      <protection locked="0"/>
    </xf>
    <xf numFmtId="165" fontId="48" fillId="0" borderId="0" xfId="0" applyFont="1" applyAlignment="1" applyProtection="1">
      <alignment horizontal="right"/>
      <protection locked="0"/>
    </xf>
    <xf numFmtId="15" fontId="48" fillId="5" borderId="23" xfId="0" applyNumberFormat="1" applyFont="1" applyFill="1" applyBorder="1" applyAlignment="1" applyProtection="1">
      <alignment horizontal="right"/>
      <protection locked="0"/>
    </xf>
    <xf numFmtId="15" fontId="48" fillId="0" borderId="0" xfId="0" applyNumberFormat="1" applyFont="1" applyAlignment="1" applyProtection="1">
      <alignment horizontal="right"/>
      <protection locked="0"/>
    </xf>
    <xf numFmtId="15" fontId="48" fillId="5" borderId="23" xfId="0" applyNumberFormat="1" applyFont="1" applyFill="1" applyBorder="1" applyProtection="1">
      <protection locked="0"/>
    </xf>
    <xf numFmtId="186" fontId="0" fillId="0" borderId="0" xfId="0" applyNumberFormat="1" applyProtection="1">
      <protection locked="0"/>
    </xf>
    <xf numFmtId="43" fontId="66" fillId="5" borderId="7" xfId="48" applyFont="1" applyFill="1" applyBorder="1" applyProtection="1">
      <protection locked="0"/>
    </xf>
    <xf numFmtId="184" fontId="0" fillId="0" borderId="0" xfId="0" applyNumberFormat="1" applyProtection="1">
      <protection locked="0"/>
    </xf>
    <xf numFmtId="180" fontId="69" fillId="5" borderId="7" xfId="47" applyNumberFormat="1" applyFont="1" applyFill="1" applyBorder="1" applyProtection="1">
      <protection locked="0"/>
    </xf>
    <xf numFmtId="180" fontId="69" fillId="0" borderId="0" xfId="47" applyNumberFormat="1" applyFont="1" applyFill="1" applyBorder="1" applyProtection="1">
      <protection locked="0"/>
    </xf>
    <xf numFmtId="185" fontId="69" fillId="0" borderId="0" xfId="0" applyNumberFormat="1" applyFont="1" applyProtection="1">
      <protection locked="0"/>
    </xf>
    <xf numFmtId="165" fontId="0" fillId="7" borderId="0" xfId="0" applyFill="1" applyProtection="1">
      <protection locked="0"/>
    </xf>
    <xf numFmtId="187" fontId="69" fillId="7" borderId="7" xfId="0" applyNumberFormat="1" applyFont="1" applyFill="1" applyBorder="1" applyProtection="1">
      <protection locked="0"/>
    </xf>
    <xf numFmtId="187" fontId="69" fillId="0" borderId="0" xfId="0" applyNumberFormat="1" applyFont="1" applyProtection="1">
      <protection locked="0"/>
    </xf>
    <xf numFmtId="165" fontId="8" fillId="0" borderId="3" xfId="0" applyFont="1" applyBorder="1" applyProtection="1">
      <protection locked="0"/>
    </xf>
    <xf numFmtId="165" fontId="0" fillId="0" borderId="3" xfId="0" applyBorder="1" applyProtection="1">
      <protection locked="0"/>
    </xf>
    <xf numFmtId="180" fontId="8" fillId="0" borderId="3" xfId="47" applyNumberFormat="1" applyFont="1" applyBorder="1" applyProtection="1">
      <protection locked="0"/>
    </xf>
    <xf numFmtId="180" fontId="8" fillId="0" borderId="0" xfId="47" applyNumberFormat="1" applyFont="1" applyFill="1" applyBorder="1" applyProtection="1">
      <protection locked="0"/>
    </xf>
    <xf numFmtId="180" fontId="69" fillId="0" borderId="24" xfId="47" applyNumberFormat="1" applyFont="1" applyFill="1" applyBorder="1" applyProtection="1"/>
    <xf numFmtId="165" fontId="70" fillId="0" borderId="0" xfId="0" applyFont="1" applyProtection="1">
      <protection locked="0"/>
    </xf>
    <xf numFmtId="188" fontId="72" fillId="7" borderId="7" xfId="48" applyNumberFormat="1" applyFont="1" applyFill="1" applyBorder="1" applyProtection="1">
      <protection locked="0"/>
    </xf>
    <xf numFmtId="165" fontId="0" fillId="0" borderId="0" xfId="0" applyAlignment="1" applyProtection="1">
      <alignment horizontal="left" indent="1"/>
      <protection locked="0"/>
    </xf>
    <xf numFmtId="188" fontId="6" fillId="5" borderId="7" xfId="48" applyNumberFormat="1" applyFont="1" applyFill="1" applyBorder="1" applyProtection="1">
      <protection locked="0"/>
    </xf>
    <xf numFmtId="188" fontId="6" fillId="0" borderId="0" xfId="48" applyNumberFormat="1" applyFont="1" applyFill="1" applyBorder="1" applyProtection="1">
      <protection locked="0"/>
    </xf>
    <xf numFmtId="9" fontId="0" fillId="0" borderId="0" xfId="47" applyFont="1" applyProtection="1">
      <protection locked="0"/>
    </xf>
    <xf numFmtId="165" fontId="48" fillId="0" borderId="0" xfId="0" applyFont="1" applyAlignment="1" applyProtection="1">
      <alignment horizontal="center" vertical="center" wrapText="1"/>
      <protection locked="0"/>
    </xf>
    <xf numFmtId="180" fontId="69" fillId="7" borderId="7" xfId="47" applyNumberFormat="1" applyFont="1" applyFill="1" applyBorder="1" applyProtection="1">
      <protection locked="0"/>
    </xf>
    <xf numFmtId="185" fontId="69" fillId="0" borderId="0" xfId="0" applyNumberFormat="1" applyFont="1" applyAlignment="1" applyProtection="1">
      <alignment horizontal="right"/>
      <protection locked="0"/>
    </xf>
    <xf numFmtId="165" fontId="74" fillId="0" borderId="0" xfId="0" applyFont="1" applyProtection="1">
      <protection locked="0"/>
    </xf>
    <xf numFmtId="165" fontId="39" fillId="0" borderId="0" xfId="0" applyFont="1" applyAlignment="1">
      <alignment horizontal="center"/>
    </xf>
    <xf numFmtId="165" fontId="76" fillId="0" borderId="0" xfId="0" applyFont="1" applyAlignment="1">
      <alignment horizontal="left"/>
    </xf>
    <xf numFmtId="165" fontId="10" fillId="0" borderId="0" xfId="0" applyFont="1" applyProtection="1">
      <protection locked="0"/>
    </xf>
    <xf numFmtId="182" fontId="0" fillId="0" borderId="0" xfId="0" applyNumberFormat="1" applyProtection="1">
      <protection locked="0"/>
    </xf>
    <xf numFmtId="183" fontId="0" fillId="0" borderId="0" xfId="0" applyNumberFormat="1" applyProtection="1">
      <protection locked="0"/>
    </xf>
    <xf numFmtId="165" fontId="49" fillId="0" borderId="0" xfId="0" applyFont="1" applyProtection="1">
      <protection locked="0"/>
    </xf>
    <xf numFmtId="165" fontId="49" fillId="0" borderId="0" xfId="0" applyFont="1" applyAlignment="1" applyProtection="1">
      <alignment horizontal="center"/>
      <protection locked="0"/>
    </xf>
    <xf numFmtId="165" fontId="0" fillId="5" borderId="0" xfId="0" applyFill="1" applyProtection="1">
      <protection locked="0"/>
    </xf>
    <xf numFmtId="165" fontId="50" fillId="0" borderId="0" xfId="0" applyFont="1" applyProtection="1">
      <protection locked="0"/>
    </xf>
    <xf numFmtId="9" fontId="0" fillId="5" borderId="0" xfId="47" applyFont="1" applyFill="1" applyProtection="1">
      <protection locked="0"/>
    </xf>
    <xf numFmtId="180" fontId="6" fillId="5" borderId="0" xfId="47" applyNumberFormat="1" applyFont="1" applyFill="1" applyBorder="1" applyAlignment="1" applyProtection="1">
      <alignment horizontal="right"/>
      <protection locked="0"/>
    </xf>
    <xf numFmtId="0" fontId="0" fillId="0" borderId="0" xfId="0" applyNumberFormat="1" applyProtection="1">
      <protection locked="0"/>
    </xf>
    <xf numFmtId="165" fontId="48" fillId="0" borderId="2" xfId="0" applyFont="1" applyBorder="1" applyProtection="1">
      <protection locked="0"/>
    </xf>
    <xf numFmtId="15" fontId="48" fillId="0" borderId="2" xfId="0" applyNumberFormat="1" applyFont="1" applyBorder="1" applyProtection="1">
      <protection locked="0"/>
    </xf>
    <xf numFmtId="165" fontId="37" fillId="5" borderId="25" xfId="0" applyFont="1" applyFill="1" applyBorder="1" applyProtection="1">
      <protection locked="0"/>
    </xf>
    <xf numFmtId="165" fontId="0" fillId="5" borderId="25" xfId="0" applyFill="1" applyBorder="1" applyProtection="1">
      <protection locked="0"/>
    </xf>
    <xf numFmtId="165" fontId="11" fillId="0" borderId="0" xfId="0" applyFont="1"/>
    <xf numFmtId="165" fontId="50" fillId="0" borderId="0" xfId="0" applyFont="1" applyAlignment="1">
      <alignment horizontal="center"/>
    </xf>
    <xf numFmtId="165" fontId="10" fillId="0" borderId="0" xfId="0" applyFont="1"/>
    <xf numFmtId="165" fontId="0" fillId="0" borderId="20" xfId="0" applyBorder="1" applyProtection="1">
      <protection locked="0"/>
    </xf>
    <xf numFmtId="165" fontId="0" fillId="2" borderId="20" xfId="0" applyFill="1" applyBorder="1" applyAlignment="1">
      <alignment horizontal="center"/>
    </xf>
    <xf numFmtId="165" fontId="77" fillId="0" borderId="0" xfId="0" applyFont="1" applyAlignment="1" applyProtection="1">
      <alignment horizontal="center"/>
      <protection locked="0"/>
    </xf>
    <xf numFmtId="9" fontId="0" fillId="0" borderId="0" xfId="47" applyFont="1" applyAlignment="1" applyProtection="1">
      <alignment horizontal="center"/>
      <protection locked="0"/>
    </xf>
    <xf numFmtId="165" fontId="8" fillId="0" borderId="26" xfId="0" applyFont="1" applyBorder="1"/>
    <xf numFmtId="165" fontId="0" fillId="0" borderId="27" xfId="0" applyBorder="1"/>
    <xf numFmtId="165" fontId="0" fillId="0" borderId="28" xfId="0" applyBorder="1"/>
    <xf numFmtId="165" fontId="78" fillId="0" borderId="0" xfId="0" applyFont="1"/>
    <xf numFmtId="169" fontId="16" fillId="8" borderId="0" xfId="12" applyFont="1" applyFill="1"/>
    <xf numFmtId="169" fontId="14" fillId="8" borderId="0" xfId="12" applyFont="1" applyFill="1"/>
    <xf numFmtId="177" fontId="14" fillId="8" borderId="0" xfId="2" applyNumberFormat="1" applyFont="1" applyFill="1"/>
    <xf numFmtId="165" fontId="14" fillId="8" borderId="0" xfId="3" applyFont="1" applyFill="1"/>
    <xf numFmtId="165" fontId="16" fillId="8" borderId="0" xfId="3" applyFont="1" applyFill="1"/>
    <xf numFmtId="170" fontId="14" fillId="2" borderId="0" xfId="2" applyFont="1" applyFill="1"/>
    <xf numFmtId="169" fontId="16" fillId="8" borderId="3" xfId="28" applyNumberFormat="1" applyFill="1"/>
    <xf numFmtId="167" fontId="14" fillId="8" borderId="0" xfId="10" applyFont="1" applyFill="1"/>
    <xf numFmtId="179" fontId="14" fillId="8" borderId="0" xfId="3" applyNumberFormat="1" applyFont="1" applyFill="1"/>
    <xf numFmtId="176" fontId="14" fillId="2" borderId="0" xfId="2" applyNumberFormat="1" applyFont="1" applyFill="1"/>
    <xf numFmtId="176" fontId="16" fillId="2" borderId="0" xfId="2" applyNumberFormat="1" applyFont="1" applyFill="1"/>
    <xf numFmtId="177" fontId="30" fillId="8" borderId="0" xfId="2" applyNumberFormat="1" applyFont="1" applyFill="1"/>
    <xf numFmtId="166" fontId="84" fillId="2" borderId="0" xfId="1" applyFont="1" applyFill="1"/>
    <xf numFmtId="176" fontId="16" fillId="8" borderId="0" xfId="2" applyNumberFormat="1" applyFont="1" applyFill="1"/>
    <xf numFmtId="169" fontId="14" fillId="2" borderId="0" xfId="12" applyFont="1" applyFill="1" applyBorder="1"/>
    <xf numFmtId="169" fontId="25" fillId="2" borderId="0" xfId="12" applyFont="1" applyFill="1" applyBorder="1"/>
    <xf numFmtId="169" fontId="84" fillId="2" borderId="0" xfId="28" applyNumberFormat="1" applyFont="1" applyFill="1" applyBorder="1"/>
    <xf numFmtId="180" fontId="69" fillId="5" borderId="7" xfId="53" applyNumberFormat="1" applyFont="1" applyFill="1" applyBorder="1" applyProtection="1">
      <protection locked="0"/>
    </xf>
    <xf numFmtId="177" fontId="14" fillId="8" borderId="0" xfId="2" applyNumberFormat="1" applyFont="1" applyFill="1" applyAlignment="1">
      <alignment horizontal="right"/>
    </xf>
    <xf numFmtId="165" fontId="0" fillId="0" borderId="29" xfId="0" applyBorder="1"/>
    <xf numFmtId="165" fontId="0" fillId="0" borderId="30" xfId="0" applyBorder="1" applyAlignment="1">
      <alignment horizontal="right"/>
    </xf>
    <xf numFmtId="165" fontId="0" fillId="0" borderId="31" xfId="0" applyBorder="1"/>
    <xf numFmtId="181" fontId="0" fillId="0" borderId="32" xfId="0" applyNumberFormat="1" applyBorder="1"/>
    <xf numFmtId="165" fontId="0" fillId="0" borderId="33" xfId="0" applyBorder="1"/>
    <xf numFmtId="181" fontId="0" fillId="0" borderId="34" xfId="0" applyNumberFormat="1" applyBorder="1"/>
    <xf numFmtId="177" fontId="14" fillId="2" borderId="0" xfId="2" applyNumberFormat="1" applyFont="1" applyFill="1" applyBorder="1"/>
    <xf numFmtId="165" fontId="8" fillId="0" borderId="0" xfId="0" applyFont="1" applyAlignment="1">
      <alignment horizontal="right"/>
    </xf>
    <xf numFmtId="176" fontId="0" fillId="0" borderId="0" xfId="2" applyNumberFormat="1" applyFont="1"/>
    <xf numFmtId="165" fontId="18" fillId="2" borderId="0" xfId="17" applyFill="1"/>
    <xf numFmtId="165" fontId="19" fillId="2" borderId="0" xfId="17" applyFont="1" applyFill="1"/>
    <xf numFmtId="165" fontId="73" fillId="0" borderId="0" xfId="0" applyFont="1" applyAlignment="1" applyProtection="1">
      <alignment vertical="center"/>
      <protection locked="0"/>
    </xf>
    <xf numFmtId="165" fontId="62" fillId="7" borderId="0" xfId="0" applyFont="1" applyFill="1" applyAlignment="1" applyProtection="1">
      <alignment horizontal="center" vertical="center" wrapText="1"/>
      <protection locked="0"/>
    </xf>
    <xf numFmtId="9" fontId="69" fillId="7" borderId="7" xfId="47" applyFont="1" applyFill="1" applyBorder="1" applyProtection="1">
      <protection locked="0"/>
    </xf>
    <xf numFmtId="9" fontId="69" fillId="5" borderId="7" xfId="47" applyFont="1" applyFill="1" applyBorder="1" applyProtection="1">
      <protection locked="0"/>
    </xf>
    <xf numFmtId="181" fontId="69" fillId="7" borderId="7" xfId="47" applyNumberFormat="1" applyFont="1" applyFill="1" applyBorder="1" applyProtection="1">
      <protection locked="0"/>
    </xf>
    <xf numFmtId="181" fontId="69" fillId="5" borderId="7" xfId="0" applyNumberFormat="1" applyFont="1" applyFill="1" applyBorder="1" applyAlignment="1" applyProtection="1">
      <alignment horizontal="right"/>
      <protection locked="0"/>
    </xf>
    <xf numFmtId="181" fontId="69" fillId="5" borderId="7" xfId="0" applyNumberFormat="1" applyFont="1" applyFill="1" applyBorder="1" applyProtection="1">
      <protection locked="0"/>
    </xf>
    <xf numFmtId="169" fontId="85" fillId="2" borderId="0" xfId="12" applyFont="1" applyFill="1"/>
    <xf numFmtId="165" fontId="16" fillId="2" borderId="0" xfId="3" applyFont="1" applyFill="1" applyBorder="1"/>
    <xf numFmtId="191" fontId="0" fillId="0" borderId="32" xfId="1" applyNumberFormat="1" applyFont="1" applyBorder="1"/>
    <xf numFmtId="177" fontId="16" fillId="2" borderId="0" xfId="2" applyNumberFormat="1" applyFont="1" applyFill="1"/>
    <xf numFmtId="0" fontId="16" fillId="2" borderId="0" xfId="3" applyNumberFormat="1" applyFont="1" applyFill="1" applyAlignment="1">
      <alignment horizontal="right"/>
    </xf>
    <xf numFmtId="180" fontId="69" fillId="0" borderId="7" xfId="53" applyNumberFormat="1" applyFont="1" applyFill="1" applyBorder="1" applyProtection="1">
      <protection locked="0"/>
    </xf>
    <xf numFmtId="9" fontId="69" fillId="0" borderId="7" xfId="53" applyFont="1" applyFill="1" applyBorder="1" applyProtection="1">
      <protection locked="0"/>
    </xf>
    <xf numFmtId="181" fontId="69" fillId="0" borderId="7" xfId="0" applyNumberFormat="1" applyFont="1" applyBorder="1" applyAlignment="1" applyProtection="1">
      <alignment horizontal="right"/>
      <protection locked="0"/>
    </xf>
    <xf numFmtId="170" fontId="0" fillId="0" borderId="0" xfId="2" applyFont="1" applyProtection="1"/>
    <xf numFmtId="190" fontId="59" fillId="0" borderId="0" xfId="1" applyNumberFormat="1" applyFont="1"/>
    <xf numFmtId="170" fontId="0" fillId="0" borderId="0" xfId="2" applyFont="1" applyProtection="1">
      <protection locked="0"/>
    </xf>
    <xf numFmtId="165" fontId="16" fillId="2" borderId="0" xfId="3" applyFont="1" applyFill="1" applyAlignment="1">
      <alignment horizontal="right"/>
    </xf>
    <xf numFmtId="169" fontId="19" fillId="2" borderId="0" xfId="12" applyFont="1" applyFill="1"/>
    <xf numFmtId="169" fontId="14" fillId="6" borderId="0" xfId="12" applyFont="1" applyFill="1"/>
    <xf numFmtId="165" fontId="14" fillId="0" borderId="0" xfId="3" applyFont="1" applyFill="1"/>
    <xf numFmtId="165" fontId="78" fillId="0" borderId="14" xfId="0" applyFont="1" applyBorder="1" applyAlignment="1">
      <alignment horizontal="right"/>
    </xf>
    <xf numFmtId="165" fontId="16" fillId="2" borderId="0" xfId="3" applyFont="1" applyFill="1" applyBorder="1" applyAlignment="1">
      <alignment horizontal="right"/>
    </xf>
    <xf numFmtId="165" fontId="14" fillId="2" borderId="0" xfId="3" applyFont="1" applyFill="1" applyAlignment="1">
      <alignment horizontal="right"/>
    </xf>
    <xf numFmtId="177" fontId="14" fillId="2" borderId="0" xfId="2" applyNumberFormat="1" applyFont="1" applyFill="1" applyAlignment="1">
      <alignment horizontal="right"/>
    </xf>
    <xf numFmtId="165" fontId="16" fillId="2" borderId="3" xfId="28" applyFill="1" applyAlignment="1">
      <alignment horizontal="right"/>
    </xf>
    <xf numFmtId="165" fontId="14" fillId="8" borderId="0" xfId="3" applyFont="1" applyFill="1" applyAlignment="1">
      <alignment horizontal="right"/>
    </xf>
    <xf numFmtId="165" fontId="16" fillId="8" borderId="3" xfId="28" applyFill="1" applyAlignment="1">
      <alignment horizontal="right"/>
    </xf>
    <xf numFmtId="165" fontId="19" fillId="2" borderId="0" xfId="3" applyFont="1" applyFill="1" applyAlignment="1">
      <alignment horizontal="right"/>
    </xf>
    <xf numFmtId="165" fontId="84" fillId="2" borderId="0" xfId="28" applyFont="1" applyFill="1" applyBorder="1" applyAlignment="1">
      <alignment horizontal="right"/>
    </xf>
    <xf numFmtId="177" fontId="16" fillId="2" borderId="3" xfId="2" applyNumberFormat="1" applyFont="1" applyFill="1" applyBorder="1" applyAlignment="1">
      <alignment horizontal="right"/>
    </xf>
    <xf numFmtId="177" fontId="16" fillId="2" borderId="0" xfId="2" applyNumberFormat="1" applyFont="1" applyFill="1" applyBorder="1" applyAlignment="1">
      <alignment horizontal="right"/>
    </xf>
    <xf numFmtId="165" fontId="85" fillId="2" borderId="0" xfId="3" applyFont="1" applyFill="1" applyAlignment="1">
      <alignment horizontal="right"/>
    </xf>
    <xf numFmtId="177" fontId="16" fillId="2" borderId="3" xfId="28" applyNumberFormat="1" applyFill="1" applyAlignment="1">
      <alignment horizontal="right"/>
    </xf>
    <xf numFmtId="170" fontId="14" fillId="2" borderId="0" xfId="2" applyFont="1" applyFill="1" applyAlignment="1">
      <alignment horizontal="right"/>
    </xf>
    <xf numFmtId="169" fontId="14" fillId="2" borderId="0" xfId="12" applyFont="1" applyFill="1" applyAlignment="1">
      <alignment horizontal="right"/>
    </xf>
    <xf numFmtId="177" fontId="25" fillId="2" borderId="0" xfId="2" applyNumberFormat="1" applyFont="1" applyFill="1" applyAlignment="1">
      <alignment horizontal="right"/>
    </xf>
    <xf numFmtId="165" fontId="16" fillId="2" borderId="4" xfId="30" applyFill="1" applyAlignment="1">
      <alignment horizontal="right"/>
    </xf>
    <xf numFmtId="176" fontId="14" fillId="2" borderId="0" xfId="2" applyNumberFormat="1" applyFont="1" applyFill="1" applyAlignment="1">
      <alignment horizontal="right"/>
    </xf>
    <xf numFmtId="165" fontId="25" fillId="2" borderId="0" xfId="3" applyFont="1" applyFill="1" applyAlignment="1">
      <alignment horizontal="right"/>
    </xf>
    <xf numFmtId="177" fontId="25" fillId="2" borderId="0" xfId="2" applyNumberFormat="1" applyFont="1" applyFill="1" applyBorder="1" applyAlignment="1">
      <alignment horizontal="right"/>
    </xf>
    <xf numFmtId="165" fontId="16" fillId="2" borderId="35" xfId="3" applyFont="1" applyFill="1" applyBorder="1"/>
    <xf numFmtId="177" fontId="86" fillId="2" borderId="0" xfId="2" applyNumberFormat="1" applyFont="1" applyFill="1"/>
    <xf numFmtId="165" fontId="16" fillId="2" borderId="0" xfId="28" applyFill="1" applyBorder="1" applyAlignment="1">
      <alignment horizontal="right"/>
    </xf>
    <xf numFmtId="177" fontId="86" fillId="2" borderId="36" xfId="2" applyNumberFormat="1" applyFont="1" applyFill="1" applyBorder="1"/>
    <xf numFmtId="169" fontId="25" fillId="8" borderId="0" xfId="12" applyFont="1" applyFill="1"/>
    <xf numFmtId="169" fontId="86" fillId="8" borderId="0" xfId="12" applyFont="1" applyFill="1"/>
    <xf numFmtId="165" fontId="86" fillId="8" borderId="0" xfId="3" applyFont="1" applyFill="1" applyAlignment="1">
      <alignment horizontal="right"/>
    </xf>
    <xf numFmtId="177" fontId="86" fillId="2" borderId="0" xfId="2" applyNumberFormat="1" applyFont="1" applyFill="1" applyAlignment="1">
      <alignment horizontal="right"/>
    </xf>
    <xf numFmtId="177" fontId="86" fillId="2" borderId="36" xfId="2" applyNumberFormat="1" applyFont="1" applyFill="1" applyBorder="1" applyAlignment="1">
      <alignment horizontal="right"/>
    </xf>
    <xf numFmtId="179" fontId="14" fillId="8" borderId="0" xfId="3" applyNumberFormat="1" applyFont="1" applyFill="1" applyAlignment="1">
      <alignment horizontal="right"/>
    </xf>
    <xf numFmtId="165" fontId="30" fillId="8" borderId="0" xfId="3" applyFont="1" applyFill="1" applyAlignment="1">
      <alignment horizontal="right"/>
    </xf>
    <xf numFmtId="177" fontId="86" fillId="8" borderId="0" xfId="2" applyNumberFormat="1" applyFont="1" applyFill="1" applyAlignment="1">
      <alignment horizontal="right"/>
    </xf>
    <xf numFmtId="170" fontId="14" fillId="8" borderId="0" xfId="2" applyFont="1" applyFill="1" applyAlignment="1">
      <alignment horizontal="right"/>
    </xf>
    <xf numFmtId="177" fontId="18" fillId="5" borderId="0" xfId="17" applyNumberFormat="1" applyAlignment="1">
      <alignment horizontal="right"/>
    </xf>
    <xf numFmtId="177" fontId="83" fillId="2" borderId="0" xfId="2" applyNumberFormat="1" applyFont="1" applyFill="1" applyBorder="1" applyAlignment="1">
      <alignment horizontal="right"/>
    </xf>
    <xf numFmtId="165" fontId="18" fillId="5" borderId="0" xfId="17" applyAlignment="1">
      <alignment horizontal="right"/>
    </xf>
    <xf numFmtId="190" fontId="14" fillId="2" borderId="0" xfId="1" applyNumberFormat="1" applyFont="1" applyFill="1" applyAlignment="1">
      <alignment horizontal="right"/>
    </xf>
    <xf numFmtId="165" fontId="14" fillId="7" borderId="0" xfId="3" applyFont="1" applyFill="1" applyAlignment="1">
      <alignment horizontal="right"/>
    </xf>
    <xf numFmtId="165" fontId="16" fillId="7" borderId="3" xfId="28" applyFill="1" applyAlignment="1">
      <alignment horizontal="right"/>
    </xf>
    <xf numFmtId="165" fontId="83" fillId="2" borderId="3" xfId="28" applyFont="1" applyFill="1" applyAlignment="1">
      <alignment horizontal="right"/>
    </xf>
    <xf numFmtId="165" fontId="30" fillId="2" borderId="0" xfId="3" applyFont="1" applyFill="1" applyAlignment="1">
      <alignment horizontal="right"/>
    </xf>
    <xf numFmtId="165" fontId="85" fillId="7" borderId="0" xfId="3" applyFont="1" applyFill="1" applyAlignment="1">
      <alignment horizontal="right"/>
    </xf>
    <xf numFmtId="177" fontId="18" fillId="7" borderId="0" xfId="17" applyNumberFormat="1" applyFill="1" applyAlignment="1">
      <alignment horizontal="right"/>
    </xf>
    <xf numFmtId="177" fontId="30" fillId="2" borderId="0" xfId="2" applyNumberFormat="1" applyFont="1" applyFill="1" applyAlignment="1">
      <alignment horizontal="right"/>
    </xf>
    <xf numFmtId="177" fontId="14" fillId="7" borderId="0" xfId="2" applyNumberFormat="1" applyFont="1" applyFill="1" applyAlignment="1">
      <alignment horizontal="right"/>
    </xf>
    <xf numFmtId="177" fontId="18" fillId="5" borderId="0" xfId="2" applyNumberFormat="1" applyFont="1" applyFill="1" applyAlignment="1">
      <alignment horizontal="right"/>
    </xf>
    <xf numFmtId="170" fontId="18" fillId="5" borderId="0" xfId="17" applyNumberFormat="1" applyAlignment="1">
      <alignment horizontal="right"/>
    </xf>
    <xf numFmtId="177" fontId="31" fillId="5" borderId="0" xfId="2" applyNumberFormat="1" applyFont="1" applyFill="1" applyAlignment="1">
      <alignment horizontal="right"/>
    </xf>
    <xf numFmtId="165" fontId="16" fillId="7" borderId="0" xfId="3" applyFont="1" applyFill="1" applyAlignment="1">
      <alignment horizontal="right"/>
    </xf>
    <xf numFmtId="176" fontId="18" fillId="5" borderId="0" xfId="2" applyNumberFormat="1" applyFont="1" applyFill="1" applyAlignment="1">
      <alignment horizontal="right"/>
    </xf>
    <xf numFmtId="179" fontId="14" fillId="2" borderId="0" xfId="3" applyNumberFormat="1" applyFont="1" applyFill="1" applyAlignment="1">
      <alignment horizontal="right"/>
    </xf>
    <xf numFmtId="179" fontId="14" fillId="7" borderId="0" xfId="3" applyNumberFormat="1" applyFont="1" applyFill="1" applyAlignment="1">
      <alignment horizontal="right"/>
    </xf>
    <xf numFmtId="177" fontId="30" fillId="5" borderId="0" xfId="17" applyNumberFormat="1" applyFont="1" applyAlignment="1">
      <alignment horizontal="right"/>
    </xf>
    <xf numFmtId="37" fontId="87" fillId="8" borderId="0" xfId="2" applyNumberFormat="1" applyFont="1" applyFill="1" applyAlignment="1">
      <alignment horizontal="right"/>
    </xf>
    <xf numFmtId="165" fontId="19" fillId="8" borderId="0" xfId="3" applyFont="1" applyFill="1" applyAlignment="1">
      <alignment horizontal="right"/>
    </xf>
    <xf numFmtId="165" fontId="16" fillId="2" borderId="3" xfId="3" applyFont="1" applyFill="1" applyBorder="1" applyAlignment="1">
      <alignment horizontal="right"/>
    </xf>
    <xf numFmtId="165" fontId="14" fillId="0" borderId="0" xfId="3" applyFont="1" applyFill="1" applyAlignment="1">
      <alignment horizontal="right"/>
    </xf>
    <xf numFmtId="165" fontId="14" fillId="6" borderId="0" xfId="3" applyFont="1" applyFill="1" applyAlignment="1">
      <alignment horizontal="right"/>
    </xf>
    <xf numFmtId="169" fontId="14" fillId="8" borderId="0" xfId="12" applyFont="1" applyFill="1" applyAlignment="1">
      <alignment horizontal="right"/>
    </xf>
    <xf numFmtId="177" fontId="30" fillId="8" borderId="0" xfId="2" applyNumberFormat="1" applyFont="1" applyFill="1" applyAlignment="1">
      <alignment horizontal="right"/>
    </xf>
    <xf numFmtId="165" fontId="16" fillId="8" borderId="0" xfId="3" applyFont="1" applyFill="1" applyAlignment="1">
      <alignment horizontal="right"/>
    </xf>
    <xf numFmtId="165" fontId="16" fillId="2" borderId="4" xfId="3" applyFont="1" applyFill="1" applyBorder="1" applyAlignment="1">
      <alignment horizontal="right"/>
    </xf>
    <xf numFmtId="165" fontId="16" fillId="7" borderId="3" xfId="3" applyFont="1" applyFill="1" applyBorder="1" applyAlignment="1">
      <alignment horizontal="right"/>
    </xf>
    <xf numFmtId="165" fontId="16" fillId="7" borderId="4" xfId="3" applyFont="1" applyFill="1" applyBorder="1" applyAlignment="1">
      <alignment horizontal="right"/>
    </xf>
    <xf numFmtId="165" fontId="24" fillId="2" borderId="0" xfId="3" applyFont="1" applyFill="1" applyAlignment="1">
      <alignment horizontal="right"/>
    </xf>
    <xf numFmtId="167" fontId="14" fillId="8" borderId="0" xfId="10" applyFont="1" applyFill="1" applyAlignment="1">
      <alignment horizontal="right"/>
    </xf>
    <xf numFmtId="165" fontId="18" fillId="2" borderId="0" xfId="17" applyFill="1" applyAlignment="1">
      <alignment horizontal="right"/>
    </xf>
    <xf numFmtId="165" fontId="19" fillId="2" borderId="0" xfId="17" applyFont="1" applyFill="1" applyAlignment="1">
      <alignment horizontal="right"/>
    </xf>
    <xf numFmtId="165" fontId="16" fillId="7" borderId="35" xfId="3" applyFont="1" applyFill="1" applyBorder="1" applyAlignment="1">
      <alignment horizontal="right"/>
    </xf>
    <xf numFmtId="165" fontId="24" fillId="7" borderId="0" xfId="3" applyFont="1" applyFill="1" applyAlignment="1">
      <alignment horizontal="right"/>
    </xf>
    <xf numFmtId="169" fontId="14" fillId="7" borderId="0" xfId="12" applyFont="1" applyFill="1" applyAlignment="1">
      <alignment horizontal="right"/>
    </xf>
    <xf numFmtId="167" fontId="14" fillId="7" borderId="0" xfId="10" applyFont="1" applyFill="1" applyAlignment="1">
      <alignment horizontal="right"/>
    </xf>
    <xf numFmtId="177" fontId="86" fillId="7" borderId="0" xfId="2" applyNumberFormat="1" applyFont="1" applyFill="1" applyAlignment="1">
      <alignment horizontal="right"/>
    </xf>
    <xf numFmtId="165" fontId="16" fillId="8" borderId="20" xfId="28" applyFill="1" applyBorder="1" applyAlignment="1">
      <alignment horizontal="right"/>
    </xf>
    <xf numFmtId="165" fontId="16" fillId="8" borderId="20" xfId="3" applyFont="1" applyFill="1" applyBorder="1" applyAlignment="1">
      <alignment horizontal="right"/>
    </xf>
    <xf numFmtId="177" fontId="16" fillId="7" borderId="3" xfId="28" applyNumberFormat="1" applyFill="1" applyAlignment="1">
      <alignment horizontal="right"/>
    </xf>
    <xf numFmtId="177" fontId="14" fillId="2" borderId="0" xfId="17" applyNumberFormat="1" applyFont="1" applyFill="1" applyAlignment="1">
      <alignment horizontal="right"/>
    </xf>
    <xf numFmtId="165" fontId="16" fillId="2" borderId="35" xfId="3" applyFont="1" applyFill="1" applyBorder="1" applyAlignment="1">
      <alignment horizontal="right"/>
    </xf>
    <xf numFmtId="177" fontId="19" fillId="5" borderId="0" xfId="17" applyNumberFormat="1" applyFont="1" applyAlignment="1">
      <alignment horizontal="right"/>
    </xf>
    <xf numFmtId="165" fontId="38" fillId="0" borderId="0" xfId="0" applyFont="1" applyAlignment="1">
      <alignment horizontal="center" textRotation="90"/>
    </xf>
    <xf numFmtId="165" fontId="8" fillId="3" borderId="0" xfId="0" applyFont="1" applyFill="1" applyAlignment="1">
      <alignment horizontal="center"/>
    </xf>
    <xf numFmtId="165" fontId="67" fillId="0" borderId="0" xfId="0" applyFont="1" applyAlignment="1" applyProtection="1">
      <alignment wrapText="1"/>
      <protection locked="0"/>
    </xf>
    <xf numFmtId="165" fontId="57" fillId="0" borderId="10" xfId="0" applyFont="1" applyBorder="1" applyAlignment="1">
      <alignment horizontal="center"/>
    </xf>
    <xf numFmtId="165" fontId="8" fillId="11" borderId="0" xfId="0" applyFont="1" applyFill="1" applyAlignment="1">
      <alignment horizontal="center"/>
    </xf>
    <xf numFmtId="165" fontId="8" fillId="9" borderId="0" xfId="0" applyFont="1" applyFill="1" applyAlignment="1">
      <alignment horizontal="center"/>
    </xf>
  </cellXfs>
  <cellStyles count="54">
    <cellStyle name="Blank" xfId="4" xr:uid="{224295A3-090A-4C3F-A7CA-B9E63C5229B8}"/>
    <cellStyle name="Column heading" xfId="5" xr:uid="{9559C0D2-82AC-415F-8E32-2BD89563ABBA}"/>
    <cellStyle name="Comma" xfId="1" builtinId="3" customBuiltin="1"/>
    <cellStyle name="Comma 100" xfId="40" xr:uid="{AAD084AF-2438-4C3F-985D-EBD589758083}"/>
    <cellStyle name="Comma 100 2" xfId="44" xr:uid="{88BA3C8D-1595-4197-9200-C123620712E4}"/>
    <cellStyle name="Comma 2" xfId="6" xr:uid="{464EA800-967F-4B80-AD99-428D9E409AAA}"/>
    <cellStyle name="Comma 3" xfId="41" xr:uid="{760D7877-0F82-4B03-B84D-521E5020D921}"/>
    <cellStyle name="Comma 4" xfId="48" xr:uid="{6440C4F7-6B03-4F9E-85B2-240529D63863}"/>
    <cellStyle name="Comma 5" xfId="50" xr:uid="{134621A3-B130-4219-90AD-8816EAF2661F}"/>
    <cellStyle name="Counter" xfId="7" xr:uid="{22919DEA-D3FF-4112-87E9-87374550676F}"/>
    <cellStyle name="Date" xfId="8" xr:uid="{39E2CA1F-66B7-4D10-99F6-4582CB246FF7}"/>
    <cellStyle name="Dates" xfId="9" xr:uid="{B47435F2-D3E0-4713-AA18-38546F09ABAB}"/>
    <cellStyle name="Days" xfId="10" xr:uid="{6A08573D-E1A5-4C8B-9C51-755C23CAABEB}"/>
    <cellStyle name="Days 2" xfId="11" xr:uid="{EDB04182-DCBE-46C8-B1B3-799EA68AB70C}"/>
    <cellStyle name="File ref" xfId="12" xr:uid="{9B4B93C7-6B96-4C81-B167-4F8BCDBD4973}"/>
    <cellStyle name="Formula change" xfId="13" xr:uid="{25220712-DADD-48CB-A131-A15664B22CB7}"/>
    <cellStyle name="FormulaChange" xfId="14" xr:uid="{88A7807F-C7E9-4210-A9DF-61A625C01A64}"/>
    <cellStyle name="Heading 2 UBS" xfId="15" xr:uid="{4147C273-9EC8-4369-931F-C665C2DF2864}"/>
    <cellStyle name="Heading date" xfId="16" xr:uid="{831BDAB7-9D98-45A2-92CC-B190DE693238}"/>
    <cellStyle name="Hyperlink 2" xfId="46" xr:uid="{65061AAE-8686-4379-B7D9-7CACB96BA9C8}"/>
    <cellStyle name="Inputs" xfId="17" xr:uid="{0BDF057E-F995-49FC-B52C-772AF151F40D}"/>
    <cellStyle name="Invisible" xfId="18" xr:uid="{C3640D95-977E-46A1-A795-55994FA38444}"/>
    <cellStyle name="LinkedCell" xfId="19" xr:uid="{6A3815BE-9CE7-41FB-AD35-43DA2C3EE966}"/>
    <cellStyle name="Multiple 1dp" xfId="20" xr:uid="{9ECC1E4C-F76C-458C-8FD6-EB8A298F30DA}"/>
    <cellStyle name="Multiple 2dp" xfId="21" xr:uid="{D174BACC-F50C-4195-BFEE-E676DFC36B89}"/>
    <cellStyle name="Multiples" xfId="22" xr:uid="{9CB3BD69-F4F9-414B-BC94-2E528F4D2FE1}"/>
    <cellStyle name="Names" xfId="23" xr:uid="{2FC7F2C2-F22F-49EC-882B-1966DD9D5A14}"/>
    <cellStyle name="Names 2" xfId="24" xr:uid="{77671AB7-D657-438E-92FE-87C5D1CEEDD3}"/>
    <cellStyle name="Normal" xfId="0" builtinId="0" customBuiltin="1"/>
    <cellStyle name="Normal 2" xfId="3" xr:uid="{6E9EF9F8-08AD-41B3-B885-6CF85B83DA55}"/>
    <cellStyle name="Normal 3" xfId="37" xr:uid="{602164BC-DE19-43EC-9D68-4F47ABC8722D}"/>
    <cellStyle name="Normal 4" xfId="49" xr:uid="{0E7970CF-2436-4BB3-9DCB-AF253BEE9DE5}"/>
    <cellStyle name="Normal 41 2" xfId="36" xr:uid="{EC664566-0884-42D0-BC68-7515C1E023A7}"/>
    <cellStyle name="Normal 5 2" xfId="38" xr:uid="{63EFF7DE-99A4-4257-9AA6-D6C88EF875BB}"/>
    <cellStyle name="Number" xfId="52" xr:uid="{2881F8BE-6F5A-47E7-846D-D2892BA31B87}"/>
    <cellStyle name="Per cent" xfId="2" builtinId="5" customBuiltin="1"/>
    <cellStyle name="Percent 0dp" xfId="25" xr:uid="{14A84AA3-74D9-41C0-9EE9-EC992733FD5B}"/>
    <cellStyle name="Percent 1dp" xfId="26" xr:uid="{2A67188A-6875-4C09-8EB6-D92E3C9C29DC}"/>
    <cellStyle name="Percent 2" xfId="27" xr:uid="{C54568CF-D439-42DB-8817-F3ABED63981B}"/>
    <cellStyle name="Percent 27" xfId="39" xr:uid="{4279D6AD-6142-46FB-8A91-F3BA710626CE}"/>
    <cellStyle name="Percent 27 2" xfId="45" xr:uid="{DC0330E7-A088-45E2-B453-757906CF5404}"/>
    <cellStyle name="Percent 3" xfId="42" xr:uid="{CBF5FBF5-1969-4193-9322-F501C1BE4C3F}"/>
    <cellStyle name="Percent 4" xfId="43" xr:uid="{41B58D64-6D8A-41BB-A4B3-0FD36A6F6DF8}"/>
    <cellStyle name="Percent 5" xfId="47" xr:uid="{20EABDEA-EB0A-4868-A2F6-8215EA379EDC}"/>
    <cellStyle name="Percent 5 2" xfId="53" xr:uid="{EE7C05CE-A88E-4C6A-891D-85AB2720D05C}"/>
    <cellStyle name="Percent 6" xfId="51" xr:uid="{E18A3AF1-693E-4F9A-A44F-115AE4FD39BA}"/>
    <cellStyle name="Sub totals" xfId="28" xr:uid="{2B3E75F1-0BF0-4A51-A8AF-823CE73D1B02}"/>
    <cellStyle name="Sub-total" xfId="29" xr:uid="{5FC940B1-C690-42C4-9A72-CB99222E87D3}"/>
    <cellStyle name="Totals" xfId="30" xr:uid="{5E3FB790-CD45-4BCD-9603-B4440D329741}"/>
    <cellStyle name="UBS Heading 1" xfId="31" xr:uid="{BB50682A-D225-41C1-8DD9-1D38F7B8229C}"/>
    <cellStyle name="UBS Heading 2" xfId="32" xr:uid="{5D8ED5BC-D41F-4CC3-A2DD-5C903693CC9A}"/>
    <cellStyle name="UBS Heading 3" xfId="33" xr:uid="{927D1821-C305-4146-9FEC-1A6C9C3115C6}"/>
    <cellStyle name="UBS Heading 4" xfId="34" xr:uid="{6065CB7B-4FDE-44A6-9D0F-B8175229918C}"/>
    <cellStyle name="Years" xfId="35" xr:uid="{0E52311C-2A03-4079-97CE-7311CF001C23}"/>
  </cellStyles>
  <dxfs count="14">
    <dxf>
      <font>
        <color theme="0"/>
      </font>
      <fill>
        <patternFill>
          <bgColor rgb="FFFF0000"/>
        </patternFill>
      </fill>
    </dxf>
    <dxf>
      <font>
        <b/>
        <i val="0"/>
        <color theme="0"/>
      </font>
      <fill>
        <patternFill>
          <bgColor rgb="FFFF0000"/>
        </patternFill>
      </fill>
    </dxf>
    <dxf>
      <font>
        <color theme="0"/>
      </font>
      <fill>
        <patternFill>
          <bgColor rgb="FFFF0000"/>
        </patternFill>
      </fill>
    </dxf>
    <dxf>
      <font>
        <color theme="0"/>
      </font>
      <fill>
        <patternFill>
          <bgColor rgb="FFFF0000"/>
        </patternFill>
      </fill>
    </dxf>
    <dxf>
      <font>
        <b/>
        <i val="0"/>
        <color theme="0"/>
      </font>
      <fill>
        <patternFill>
          <bgColor rgb="FFFF0000"/>
        </patternFill>
      </fill>
    </dxf>
    <dxf>
      <font>
        <color theme="0"/>
      </font>
      <fill>
        <patternFill>
          <bgColor rgb="FFFF0000"/>
        </patternFill>
      </fill>
    </dxf>
    <dxf>
      <font>
        <color theme="0"/>
      </font>
      <fill>
        <patternFill>
          <bgColor rgb="FFFF0000"/>
        </patternFill>
      </fill>
    </dxf>
    <dxf>
      <font>
        <b/>
        <i val="0"/>
        <color theme="0"/>
      </font>
      <fill>
        <patternFill>
          <bgColor rgb="FFFF0000"/>
        </patternFill>
      </fill>
    </dxf>
    <dxf>
      <font>
        <strike val="0"/>
        <color theme="1"/>
      </font>
      <fill>
        <patternFill>
          <bgColor rgb="FFFFFF99"/>
        </patternFill>
      </fill>
    </dxf>
    <dxf>
      <font>
        <strike val="0"/>
        <color theme="1"/>
      </font>
      <fill>
        <patternFill>
          <bgColor rgb="FFFFFF99"/>
        </patternFill>
      </fill>
    </dxf>
    <dxf>
      <font>
        <strike val="0"/>
        <color auto="1"/>
      </font>
      <fill>
        <patternFill>
          <bgColor rgb="FFFFFF99"/>
        </patternFill>
      </fill>
    </dxf>
    <dxf>
      <fill>
        <patternFill patternType="none">
          <bgColor auto="1"/>
        </patternFill>
      </fill>
    </dxf>
    <dxf>
      <font>
        <b/>
        <i val="0"/>
        <color theme="0"/>
      </font>
      <fill>
        <patternFill>
          <bgColor rgb="FFFF0000"/>
        </patternFill>
      </fill>
    </dxf>
    <dxf>
      <font>
        <color auto="1"/>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b="1"/>
              <a:t>Contribution to DCF Enterprise Value</a:t>
            </a:r>
          </a:p>
        </c:rich>
      </c:tx>
      <c:layout>
        <c:manualLayout>
          <c:xMode val="edge"/>
          <c:yMode val="edge"/>
          <c:x val="1.0347112860892417E-2"/>
          <c:y val="1.851851851851851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301632135662397E-2"/>
          <c:y val="0.14445396145610276"/>
          <c:w val="0.89125012651053581"/>
          <c:h val="0.68996566218696331"/>
        </c:manualLayout>
      </c:layout>
      <c:barChart>
        <c:barDir val="col"/>
        <c:grouping val="stacked"/>
        <c:varyColors val="0"/>
        <c:ser>
          <c:idx val="4"/>
          <c:order val="0"/>
          <c:tx>
            <c:strRef>
              <c:f>DCF!$O$261</c:f>
              <c:strCache>
                <c:ptCount val="1"/>
                <c:pt idx="0">
                  <c:v>Buffer</c:v>
                </c:pt>
              </c:strCache>
            </c:strRef>
          </c:tx>
          <c:spPr>
            <a:solidFill>
              <a:schemeClr val="bg1"/>
            </a:solidFill>
            <a:ln>
              <a:noFill/>
            </a:ln>
            <a:effectLst/>
          </c:spPr>
          <c:invertIfNegative val="0"/>
          <c:val>
            <c:numRef>
              <c:f>DCF!$O$262:$O$265</c:f>
              <c:numCache>
                <c:formatCode>#,##0_);\(#,##0\);\-\-_)</c:formatCode>
                <c:ptCount val="4"/>
                <c:pt idx="0">
                  <c:v>#N/A</c:v>
                </c:pt>
                <c:pt idx="1">
                  <c:v>21242368.451405376</c:v>
                </c:pt>
                <c:pt idx="2">
                  <c:v>58481455.137600273</c:v>
                </c:pt>
                <c:pt idx="3">
                  <c:v>91051169.220598832</c:v>
                </c:pt>
              </c:numCache>
            </c:numRef>
          </c:val>
          <c:extLst>
            <c:ext xmlns:c16="http://schemas.microsoft.com/office/drawing/2014/chart" uri="{C3380CC4-5D6E-409C-BE32-E72D297353CC}">
              <c16:uniqueId val="{00000000-8A87-44D5-9BFE-0350613183EC}"/>
            </c:ext>
          </c:extLst>
        </c:ser>
        <c:ser>
          <c:idx val="0"/>
          <c:order val="1"/>
          <c:tx>
            <c:strRef>
              <c:f>DCF!$B$262</c:f>
              <c:strCache>
                <c:ptCount val="1"/>
                <c:pt idx="0">
                  <c:v>Stage 1</c:v>
                </c:pt>
              </c:strCache>
            </c:strRef>
          </c:tx>
          <c:spPr>
            <a:solidFill>
              <a:schemeClr val="accent1"/>
            </a:solidFill>
            <a:ln>
              <a:noFill/>
            </a:ln>
            <a:effectLst/>
          </c:spPr>
          <c:invertIfNegative val="0"/>
          <c:cat>
            <c:strRef>
              <c:f>DCF!$B$262:$B$265</c:f>
              <c:strCache>
                <c:ptCount val="4"/>
                <c:pt idx="0">
                  <c:v>Stage 1</c:v>
                </c:pt>
                <c:pt idx="1">
                  <c:v>Stage 2</c:v>
                </c:pt>
                <c:pt idx="2">
                  <c:v>Fade to TV</c:v>
                </c:pt>
                <c:pt idx="3">
                  <c:v>Terminal Value</c:v>
                </c:pt>
              </c:strCache>
            </c:strRef>
          </c:cat>
          <c:val>
            <c:numRef>
              <c:f>DCF!$K$262:$K$265</c:f>
              <c:numCache>
                <c:formatCode>#,##0_);\(#,##0\);\-\-_)</c:formatCode>
                <c:ptCount val="4"/>
                <c:pt idx="0">
                  <c:v>21242368.451405376</c:v>
                </c:pt>
                <c:pt idx="1">
                  <c:v>#N/A</c:v>
                </c:pt>
                <c:pt idx="2">
                  <c:v>#N/A</c:v>
                </c:pt>
                <c:pt idx="3">
                  <c:v>#N/A</c:v>
                </c:pt>
              </c:numCache>
            </c:numRef>
          </c:val>
          <c:extLst>
            <c:ext xmlns:c16="http://schemas.microsoft.com/office/drawing/2014/chart" uri="{C3380CC4-5D6E-409C-BE32-E72D297353CC}">
              <c16:uniqueId val="{00000001-8A87-44D5-9BFE-0350613183EC}"/>
            </c:ext>
          </c:extLst>
        </c:ser>
        <c:ser>
          <c:idx val="1"/>
          <c:order val="2"/>
          <c:tx>
            <c:strRef>
              <c:f>DCF!$B$263</c:f>
              <c:strCache>
                <c:ptCount val="1"/>
                <c:pt idx="0">
                  <c:v>Stage 2</c:v>
                </c:pt>
              </c:strCache>
            </c:strRef>
          </c:tx>
          <c:spPr>
            <a:solidFill>
              <a:schemeClr val="accent2"/>
            </a:solidFill>
            <a:ln>
              <a:noFill/>
            </a:ln>
            <a:effectLst/>
          </c:spPr>
          <c:invertIfNegative val="0"/>
          <c:cat>
            <c:strRef>
              <c:f>DCF!$B$262:$B$265</c:f>
              <c:strCache>
                <c:ptCount val="4"/>
                <c:pt idx="0">
                  <c:v>Stage 1</c:v>
                </c:pt>
                <c:pt idx="1">
                  <c:v>Stage 2</c:v>
                </c:pt>
                <c:pt idx="2">
                  <c:v>Fade to TV</c:v>
                </c:pt>
                <c:pt idx="3">
                  <c:v>Terminal Value</c:v>
                </c:pt>
              </c:strCache>
            </c:strRef>
          </c:cat>
          <c:val>
            <c:numRef>
              <c:f>DCF!$L$262:$L$265</c:f>
              <c:numCache>
                <c:formatCode>#,##0_);\(#,##0\);\-\-_)</c:formatCode>
                <c:ptCount val="4"/>
                <c:pt idx="0">
                  <c:v>#N/A</c:v>
                </c:pt>
                <c:pt idx="1">
                  <c:v>37239086.686194897</c:v>
                </c:pt>
                <c:pt idx="2">
                  <c:v>#N/A</c:v>
                </c:pt>
                <c:pt idx="3">
                  <c:v>#N/A</c:v>
                </c:pt>
              </c:numCache>
            </c:numRef>
          </c:val>
          <c:extLst>
            <c:ext xmlns:c16="http://schemas.microsoft.com/office/drawing/2014/chart" uri="{C3380CC4-5D6E-409C-BE32-E72D297353CC}">
              <c16:uniqueId val="{00000002-8A87-44D5-9BFE-0350613183EC}"/>
            </c:ext>
          </c:extLst>
        </c:ser>
        <c:ser>
          <c:idx val="2"/>
          <c:order val="3"/>
          <c:tx>
            <c:strRef>
              <c:f>DCF!$B$264</c:f>
              <c:strCache>
                <c:ptCount val="1"/>
                <c:pt idx="0">
                  <c:v>Fade to TV</c:v>
                </c:pt>
              </c:strCache>
            </c:strRef>
          </c:tx>
          <c:spPr>
            <a:solidFill>
              <a:schemeClr val="accent3"/>
            </a:solidFill>
            <a:ln>
              <a:noFill/>
            </a:ln>
            <a:effectLst/>
          </c:spPr>
          <c:invertIfNegative val="0"/>
          <c:cat>
            <c:strRef>
              <c:f>DCF!$B$262:$B$265</c:f>
              <c:strCache>
                <c:ptCount val="4"/>
                <c:pt idx="0">
                  <c:v>Stage 1</c:v>
                </c:pt>
                <c:pt idx="1">
                  <c:v>Stage 2</c:v>
                </c:pt>
                <c:pt idx="2">
                  <c:v>Fade to TV</c:v>
                </c:pt>
                <c:pt idx="3">
                  <c:v>Terminal Value</c:v>
                </c:pt>
              </c:strCache>
            </c:strRef>
          </c:cat>
          <c:val>
            <c:numRef>
              <c:f>DCF!$M$262:$M$265</c:f>
              <c:numCache>
                <c:formatCode>#,##0_);\(#,##0\);\-\-_)</c:formatCode>
                <c:ptCount val="4"/>
                <c:pt idx="0">
                  <c:v>#N/A</c:v>
                </c:pt>
                <c:pt idx="1">
                  <c:v>#N/A</c:v>
                </c:pt>
                <c:pt idx="2">
                  <c:v>32569714.082998559</c:v>
                </c:pt>
                <c:pt idx="3">
                  <c:v>#N/A</c:v>
                </c:pt>
              </c:numCache>
            </c:numRef>
          </c:val>
          <c:extLst>
            <c:ext xmlns:c16="http://schemas.microsoft.com/office/drawing/2014/chart" uri="{C3380CC4-5D6E-409C-BE32-E72D297353CC}">
              <c16:uniqueId val="{00000003-8A87-44D5-9BFE-0350613183EC}"/>
            </c:ext>
          </c:extLst>
        </c:ser>
        <c:ser>
          <c:idx val="3"/>
          <c:order val="4"/>
          <c:tx>
            <c:strRef>
              <c:f>DCF!$B$265</c:f>
              <c:strCache>
                <c:ptCount val="1"/>
                <c:pt idx="0">
                  <c:v>Terminal Value</c:v>
                </c:pt>
              </c:strCache>
            </c:strRef>
          </c:tx>
          <c:spPr>
            <a:solidFill>
              <a:srgbClr val="A7876F"/>
            </a:solidFill>
            <a:ln>
              <a:noFill/>
            </a:ln>
            <a:effectLst/>
          </c:spPr>
          <c:invertIfNegative val="0"/>
          <c:cat>
            <c:strRef>
              <c:f>DCF!$B$262:$B$265</c:f>
              <c:strCache>
                <c:ptCount val="4"/>
                <c:pt idx="0">
                  <c:v>Stage 1</c:v>
                </c:pt>
                <c:pt idx="1">
                  <c:v>Stage 2</c:v>
                </c:pt>
                <c:pt idx="2">
                  <c:v>Fade to TV</c:v>
                </c:pt>
                <c:pt idx="3">
                  <c:v>Terminal Value</c:v>
                </c:pt>
              </c:strCache>
            </c:strRef>
          </c:cat>
          <c:val>
            <c:numRef>
              <c:f>DCF!$N$262:$N$265</c:f>
              <c:numCache>
                <c:formatCode>#,##0_);\(#,##0\);\-\-_)</c:formatCode>
                <c:ptCount val="4"/>
                <c:pt idx="0">
                  <c:v>#N/A</c:v>
                </c:pt>
                <c:pt idx="1">
                  <c:v>#N/A</c:v>
                </c:pt>
                <c:pt idx="2">
                  <c:v>#N/A</c:v>
                </c:pt>
                <c:pt idx="3">
                  <c:v>56320926.024900675</c:v>
                </c:pt>
              </c:numCache>
            </c:numRef>
          </c:val>
          <c:extLst>
            <c:ext xmlns:c16="http://schemas.microsoft.com/office/drawing/2014/chart" uri="{C3380CC4-5D6E-409C-BE32-E72D297353CC}">
              <c16:uniqueId val="{00000004-8A87-44D5-9BFE-0350613183EC}"/>
            </c:ext>
          </c:extLst>
        </c:ser>
        <c:ser>
          <c:idx val="5"/>
          <c:order val="5"/>
          <c:tx>
            <c:strRef>
              <c:f>DCF!$P$261</c:f>
              <c:strCache>
                <c:ptCount val="1"/>
                <c:pt idx="0">
                  <c:v>Zero</c:v>
                </c:pt>
              </c:strCache>
            </c:strRef>
          </c:tx>
          <c:spPr>
            <a:solidFill>
              <a:schemeClr val="accent6"/>
            </a:solidFill>
            <a:ln>
              <a:noFill/>
            </a:ln>
            <a:effectLst/>
          </c:spPr>
          <c:invertIfNegative val="0"/>
          <c:val>
            <c:numRef>
              <c:f>DCF!$P$262:$P$265</c:f>
              <c:numCache>
                <c:formatCode>#,##0_);\(#,##0\);\-\-_)</c:formatCode>
                <c:ptCount val="4"/>
                <c:pt idx="0">
                  <c:v>0</c:v>
                </c:pt>
                <c:pt idx="1">
                  <c:v>0</c:v>
                </c:pt>
                <c:pt idx="2">
                  <c:v>0</c:v>
                </c:pt>
                <c:pt idx="3">
                  <c:v>0</c:v>
                </c:pt>
              </c:numCache>
            </c:numRef>
          </c:val>
          <c:extLst>
            <c:ext xmlns:c16="http://schemas.microsoft.com/office/drawing/2014/chart" uri="{C3380CC4-5D6E-409C-BE32-E72D297353CC}">
              <c16:uniqueId val="{00000005-8A87-44D5-9BFE-0350613183EC}"/>
            </c:ext>
          </c:extLst>
        </c:ser>
        <c:ser>
          <c:idx val="6"/>
          <c:order val="6"/>
          <c:tx>
            <c:strRef>
              <c:f>DCF!$Q$261</c:f>
              <c:strCache>
                <c:ptCount val="1"/>
                <c:pt idx="0">
                  <c:v>Label</c:v>
                </c:pt>
              </c:strCache>
            </c:strRef>
          </c:tx>
          <c:spPr>
            <a:solidFill>
              <a:schemeClr val="bg1"/>
            </a:solidFill>
            <a:ln>
              <a:noFill/>
            </a:ln>
            <a:effectLst/>
          </c:spPr>
          <c:invertIfNegative val="0"/>
          <c:dLbls>
            <c:dLbl>
              <c:idx val="0"/>
              <c:layout>
                <c:manualLayout>
                  <c:x val="0"/>
                  <c:y val="-5.9957173447537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87-44D5-9BFE-0350613183EC}"/>
                </c:ext>
              </c:extLst>
            </c:dLbl>
            <c:dLbl>
              <c:idx val="1"/>
              <c:layout>
                <c:manualLayout>
                  <c:x val="-4.8986296720237246E-17"/>
                  <c:y val="-5.5674518201284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87-44D5-9BFE-0350613183EC}"/>
                </c:ext>
              </c:extLst>
            </c:dLbl>
            <c:dLbl>
              <c:idx val="2"/>
              <c:layout>
                <c:manualLayout>
                  <c:x val="-9.7972593440474493E-17"/>
                  <c:y val="-5.13918629550321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87-44D5-9BFE-0350613183EC}"/>
                </c:ext>
              </c:extLst>
            </c:dLbl>
            <c:dLbl>
              <c:idx val="3"/>
              <c:layout>
                <c:manualLayout>
                  <c:x val="8.0160320641282558E-3"/>
                  <c:y val="-4.7109207708779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87-44D5-9BFE-0350613183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DCF!$Q$262:$Q$265</c:f>
              <c:numCache>
                <c:formatCode>0%</c:formatCode>
                <c:ptCount val="4"/>
                <c:pt idx="0">
                  <c:v>0.14414104933514599</c:v>
                </c:pt>
                <c:pt idx="1">
                  <c:v>0.25268750250283301</c:v>
                </c:pt>
                <c:pt idx="2">
                  <c:v>0.22100326407616291</c:v>
                </c:pt>
                <c:pt idx="3">
                  <c:v>0.38216818408585818</c:v>
                </c:pt>
              </c:numCache>
            </c:numRef>
          </c:val>
          <c:extLst>
            <c:ext xmlns:c16="http://schemas.microsoft.com/office/drawing/2014/chart" uri="{C3380CC4-5D6E-409C-BE32-E72D297353CC}">
              <c16:uniqueId val="{0000000A-8A87-44D5-9BFE-0350613183EC}"/>
            </c:ext>
          </c:extLst>
        </c:ser>
        <c:dLbls>
          <c:showLegendKey val="0"/>
          <c:showVal val="0"/>
          <c:showCatName val="0"/>
          <c:showSerName val="0"/>
          <c:showPercent val="0"/>
          <c:showBubbleSize val="0"/>
        </c:dLbls>
        <c:gapWidth val="150"/>
        <c:overlap val="100"/>
        <c:axId val="2137542207"/>
        <c:axId val="2137557567"/>
      </c:barChart>
      <c:catAx>
        <c:axId val="21375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57567"/>
        <c:crosses val="autoZero"/>
        <c:auto val="1"/>
        <c:lblAlgn val="ctr"/>
        <c:lblOffset val="100"/>
        <c:noMultiLvlLbl val="0"/>
      </c:catAx>
      <c:valAx>
        <c:axId val="2137557567"/>
        <c:scaling>
          <c:orientation val="minMax"/>
        </c:scaling>
        <c:delete val="0"/>
        <c:axPos val="l"/>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422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738894977186122E-2"/>
          <c:y val="5.5102224928078807E-2"/>
          <c:w val="0.88070531587605527"/>
          <c:h val="0.72159567222393095"/>
        </c:manualLayout>
      </c:layout>
      <c:lineChart>
        <c:grouping val="standard"/>
        <c:varyColors val="0"/>
        <c:ser>
          <c:idx val="0"/>
          <c:order val="0"/>
          <c:tx>
            <c:strRef>
              <c:f>FS!$B$49</c:f>
              <c:strCache>
                <c:ptCount val="1"/>
                <c:pt idx="0">
                  <c:v>Adj. EBIT margin</c:v>
                </c:pt>
              </c:strCache>
            </c:strRef>
          </c:tx>
          <c:spPr>
            <a:ln w="28575" cap="rnd">
              <a:solidFill>
                <a:schemeClr val="accent1"/>
              </a:solidFill>
              <a:round/>
            </a:ln>
            <a:effectLst/>
          </c:spPr>
          <c:marker>
            <c:symbol val="circle"/>
            <c:size val="5"/>
            <c:spPr>
              <a:solidFill>
                <a:srgbClr val="4472C4"/>
              </a:solidFill>
              <a:ln w="12700" cap="rnd" cmpd="sng" algn="ctr">
                <a:solidFill>
                  <a:srgbClr val="CCCCCC"/>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FS!$G$4:$T$4</c15:sqref>
                  </c15:fullRef>
                </c:ext>
              </c:extLst>
              <c:f>(FS!$G$4:$R$4,FS!$T$4)</c:f>
              <c:strCache>
                <c:ptCount val="8"/>
                <c:pt idx="0">
                  <c:v>2021</c:v>
                </c:pt>
                <c:pt idx="1">
                  <c:v>2022</c:v>
                </c:pt>
                <c:pt idx="2">
                  <c:v>2023</c:v>
                </c:pt>
                <c:pt idx="3">
                  <c:v>2024H1</c:v>
                </c:pt>
                <c:pt idx="4">
                  <c:v>2024H2</c:v>
                </c:pt>
                <c:pt idx="5">
                  <c:v>2024</c:v>
                </c:pt>
                <c:pt idx="6">
                  <c:v>2025E</c:v>
                </c:pt>
                <c:pt idx="7">
                  <c:v>2027E</c:v>
                </c:pt>
              </c:strCache>
            </c:strRef>
          </c:cat>
          <c:val>
            <c:numRef>
              <c:extLst>
                <c:ext xmlns:c15="http://schemas.microsoft.com/office/drawing/2012/chart" uri="{02D57815-91ED-43cb-92C2-25804820EDAC}">
                  <c15:fullRef>
                    <c15:sqref>FS!$G$49:$T$49</c15:sqref>
                  </c15:fullRef>
                </c:ext>
              </c:extLst>
              <c:f>(FS!$G$49:$R$49,FS!$T$49)</c:f>
              <c:numCache>
                <c:formatCode>0.0%_);\(0.0%\);\-\-"%"_)</c:formatCode>
                <c:ptCount val="8"/>
                <c:pt idx="0">
                  <c:v>0.23851196398101593</c:v>
                </c:pt>
                <c:pt idx="1">
                  <c:v>0.18920573320750933</c:v>
                </c:pt>
                <c:pt idx="2">
                  <c:v>0.19707872910998739</c:v>
                </c:pt>
                <c:pt idx="3">
                  <c:v>0.22832918143899994</c:v>
                </c:pt>
                <c:pt idx="4">
                  <c:v>0.22461075677898673</c:v>
                </c:pt>
                <c:pt idx="5">
                  <c:v>0.22620977495797837</c:v>
                </c:pt>
                <c:pt idx="6">
                  <c:v>0.21406037017627785</c:v>
                </c:pt>
                <c:pt idx="7">
                  <c:v>0.21451466609657274</c:v>
                </c:pt>
              </c:numCache>
            </c:numRef>
          </c:val>
          <c:smooth val="0"/>
          <c:extLst>
            <c:ext xmlns:c16="http://schemas.microsoft.com/office/drawing/2014/chart" uri="{C3380CC4-5D6E-409C-BE32-E72D297353CC}">
              <c16:uniqueId val="{00000000-8D97-4012-9D5E-20B2DD25DC98}"/>
            </c:ext>
          </c:extLst>
        </c:ser>
        <c:ser>
          <c:idx val="1"/>
          <c:order val="1"/>
          <c:tx>
            <c:strRef>
              <c:f>FS!$B$51</c:f>
              <c:strCache>
                <c:ptCount val="1"/>
                <c:pt idx="0">
                  <c:v>Adjusted EBITDA margin</c:v>
                </c:pt>
              </c:strCache>
            </c:strRef>
          </c:tx>
          <c:spPr>
            <a:ln w="28575" cap="rnd">
              <a:solidFill>
                <a:schemeClr val="accent2"/>
              </a:solidFill>
              <a:round/>
            </a:ln>
            <a:effectLst/>
          </c:spPr>
          <c:marker>
            <c:symbol val="circle"/>
            <c:size val="5"/>
            <c:spPr>
              <a:solidFill>
                <a:srgbClr val="ED7D31"/>
              </a:solidFill>
              <a:ln w="12700" cap="rnd" cmpd="sng" algn="ctr">
                <a:solidFill>
                  <a:srgbClr val="6FB6DF"/>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FS!$G$4:$T$4</c15:sqref>
                  </c15:fullRef>
                </c:ext>
              </c:extLst>
              <c:f>(FS!$G$4:$R$4,FS!$T$4)</c:f>
              <c:strCache>
                <c:ptCount val="8"/>
                <c:pt idx="0">
                  <c:v>2021</c:v>
                </c:pt>
                <c:pt idx="1">
                  <c:v>2022</c:v>
                </c:pt>
                <c:pt idx="2">
                  <c:v>2023</c:v>
                </c:pt>
                <c:pt idx="3">
                  <c:v>2024H1</c:v>
                </c:pt>
                <c:pt idx="4">
                  <c:v>2024H2</c:v>
                </c:pt>
                <c:pt idx="5">
                  <c:v>2024</c:v>
                </c:pt>
                <c:pt idx="6">
                  <c:v>2025E</c:v>
                </c:pt>
                <c:pt idx="7">
                  <c:v>2027E</c:v>
                </c:pt>
              </c:strCache>
            </c:strRef>
          </c:cat>
          <c:val>
            <c:numRef>
              <c:extLst>
                <c:ext xmlns:c15="http://schemas.microsoft.com/office/drawing/2012/chart" uri="{02D57815-91ED-43cb-92C2-25804820EDAC}">
                  <c15:fullRef>
                    <c15:sqref>FS!$G$51:$T$51</c15:sqref>
                  </c15:fullRef>
                </c:ext>
              </c:extLst>
              <c:f>(FS!$G$51:$R$51,FS!$T$51)</c:f>
              <c:numCache>
                <c:formatCode>0.0%_);\(0.0%\);\-\-"%"_)</c:formatCode>
                <c:ptCount val="8"/>
                <c:pt idx="0">
                  <c:v>0.24825007008994118</c:v>
                </c:pt>
                <c:pt idx="1">
                  <c:v>0.20274210075932683</c:v>
                </c:pt>
                <c:pt idx="2">
                  <c:v>0.21026806350854441</c:v>
                </c:pt>
                <c:pt idx="3">
                  <c:v>0.22832918143899994</c:v>
                </c:pt>
                <c:pt idx="4">
                  <c:v>0.22461075677898673</c:v>
                </c:pt>
                <c:pt idx="5">
                  <c:v>0.24309958639284246</c:v>
                </c:pt>
                <c:pt idx="6">
                  <c:v>0.23738827625387474</c:v>
                </c:pt>
                <c:pt idx="7">
                  <c:v>0.25252293920741409</c:v>
                </c:pt>
              </c:numCache>
            </c:numRef>
          </c:val>
          <c:smooth val="0"/>
          <c:extLst>
            <c:ext xmlns:c16="http://schemas.microsoft.com/office/drawing/2014/chart" uri="{C3380CC4-5D6E-409C-BE32-E72D297353CC}">
              <c16:uniqueId val="{00000001-8D97-4012-9D5E-20B2DD25DC98}"/>
            </c:ext>
          </c:extLst>
        </c:ser>
        <c:dLbls>
          <c:showLegendKey val="0"/>
          <c:showVal val="0"/>
          <c:showCatName val="0"/>
          <c:showSerName val="0"/>
          <c:showPercent val="0"/>
          <c:showBubbleSize val="0"/>
        </c:dLbls>
        <c:marker val="1"/>
        <c:smooth val="0"/>
        <c:axId val="1265826944"/>
        <c:axId val="1218918336"/>
      </c:lineChart>
      <c:catAx>
        <c:axId val="1265826944"/>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218918336"/>
        <c:crosses val="autoZero"/>
        <c:auto val="1"/>
        <c:lblAlgn val="ctr"/>
        <c:lblOffset val="100"/>
        <c:noMultiLvlLbl val="0"/>
      </c:catAx>
      <c:valAx>
        <c:axId val="1218918336"/>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265826944"/>
        <c:crosses val="autoZero"/>
        <c:crossBetween val="between"/>
      </c:valAx>
      <c:spPr>
        <a:solidFill>
          <a:srgbClr val="FFFFFF"/>
        </a:solidFill>
        <a:ln>
          <a:noFill/>
        </a:ln>
        <a:effectLst/>
      </c:spPr>
    </c:plotArea>
    <c:legend>
      <c:legendPos val="b"/>
      <c:layout>
        <c:manualLayout>
          <c:xMode val="edge"/>
          <c:yMode val="edge"/>
          <c:x val="0"/>
          <c:y val="0.92746609798775148"/>
          <c:w val="1"/>
          <c:h val="7.2533721063352388E-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mn-lt"/>
          <a:ea typeface="+mn-ea"/>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0" i="0" u="none" strike="noStrike" kern="1200" spc="0" baseline="0">
                <a:solidFill>
                  <a:srgbClr val="000000"/>
                </a:solidFill>
                <a:latin typeface="+mn-lt"/>
                <a:ea typeface="+mn-ea"/>
                <a:cs typeface="+mn-cs"/>
              </a:defRPr>
            </a:pPr>
            <a:r>
              <a:rPr lang="en-US"/>
              <a:t>Net profit</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84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611111058129206"/>
          <c:h val="0.77669947506561676"/>
        </c:manualLayout>
      </c:layout>
      <c:barChart>
        <c:barDir val="col"/>
        <c:grouping val="clustered"/>
        <c:varyColors val="0"/>
        <c:ser>
          <c:idx val="0"/>
          <c:order val="0"/>
          <c:tx>
            <c:v>Net profit (Rmb '000)</c:v>
          </c:tx>
          <c:spPr>
            <a:solidFill>
              <a:schemeClr val="accent1"/>
            </a:solidFill>
            <a:ln>
              <a:noFill/>
            </a:ln>
            <a:effectLst/>
          </c:spPr>
          <c:invertIfNegative val="0"/>
          <c:cat>
            <c:strRef>
              <c:extLst>
                <c:ext xmlns:c15="http://schemas.microsoft.com/office/drawing/2012/chart" uri="{02D57815-91ED-43cb-92C2-25804820EDAC}">
                  <c15:fullRef>
                    <c15:sqref>FS!$G$4:$T$4</c15:sqref>
                  </c15:fullRef>
                </c:ext>
              </c:extLst>
              <c:f>(FS!$G$4:$R$4,FS!$T$4)</c:f>
              <c:strCache>
                <c:ptCount val="8"/>
                <c:pt idx="0">
                  <c:v>2021</c:v>
                </c:pt>
                <c:pt idx="1">
                  <c:v>2022</c:v>
                </c:pt>
                <c:pt idx="2">
                  <c:v>2023</c:v>
                </c:pt>
                <c:pt idx="3">
                  <c:v>2024H1</c:v>
                </c:pt>
                <c:pt idx="4">
                  <c:v>2024H2</c:v>
                </c:pt>
                <c:pt idx="5">
                  <c:v>2024</c:v>
                </c:pt>
                <c:pt idx="6">
                  <c:v>2025E</c:v>
                </c:pt>
                <c:pt idx="7">
                  <c:v>2027E</c:v>
                </c:pt>
              </c:strCache>
            </c:strRef>
          </c:cat>
          <c:val>
            <c:numRef>
              <c:extLst>
                <c:ext xmlns:c15="http://schemas.microsoft.com/office/drawing/2012/chart" uri="{02D57815-91ED-43cb-92C2-25804820EDAC}">
                  <c15:fullRef>
                    <c15:sqref>FS!$G$31:$T$31</c15:sqref>
                  </c15:fullRef>
                </c:ext>
              </c:extLst>
              <c:f>(FS!$G$31:$R$31,FS!$T$31)</c:f>
              <c:numCache>
                <c:formatCode>#,##0_);\(#,##0\);\-\-_)</c:formatCode>
                <c:ptCount val="8"/>
                <c:pt idx="0">
                  <c:v>1910361</c:v>
                </c:pt>
                <c:pt idx="1">
                  <c:v>1996715</c:v>
                </c:pt>
                <c:pt idx="2">
                  <c:v>3137341</c:v>
                </c:pt>
                <c:pt idx="3">
                  <c:v>1884458</c:v>
                </c:pt>
                <c:pt idx="4">
                  <c:v>2552045.9986796016</c:v>
                </c:pt>
                <c:pt idx="5">
                  <c:v>4436503.9986796016</c:v>
                </c:pt>
                <c:pt idx="6">
                  <c:v>5478616.0772883752</c:v>
                </c:pt>
                <c:pt idx="7">
                  <c:v>7198260.970709838</c:v>
                </c:pt>
              </c:numCache>
            </c:numRef>
          </c:val>
          <c:extLst>
            <c:ext xmlns:c16="http://schemas.microsoft.com/office/drawing/2014/chart" uri="{C3380CC4-5D6E-409C-BE32-E72D297353CC}">
              <c16:uniqueId val="{00000000-7122-4F99-B21B-E5F024746B47}"/>
            </c:ext>
          </c:extLst>
        </c:ser>
        <c:dLbls>
          <c:showLegendKey val="0"/>
          <c:showVal val="0"/>
          <c:showCatName val="0"/>
          <c:showSerName val="0"/>
          <c:showPercent val="0"/>
          <c:showBubbleSize val="0"/>
        </c:dLbls>
        <c:gapWidth val="50"/>
        <c:axId val="1341805984"/>
        <c:axId val="1218925280"/>
      </c:barChart>
      <c:lineChart>
        <c:grouping val="standard"/>
        <c:varyColors val="0"/>
        <c:ser>
          <c:idx val="1"/>
          <c:order val="1"/>
          <c:tx>
            <c:v>Net margin (rhs)</c:v>
          </c:tx>
          <c:spPr>
            <a:ln w="28575" cap="rnd">
              <a:solidFill>
                <a:schemeClr val="accent2"/>
              </a:solidFill>
              <a:round/>
            </a:ln>
            <a:effectLst/>
          </c:spPr>
          <c:marker>
            <c:symbol val="circle"/>
            <c:size val="5"/>
            <c:spPr>
              <a:solidFill>
                <a:srgbClr val="6FB6DF"/>
              </a:solidFill>
              <a:ln w="28575" cap="rnd" cmpd="sng" algn="ctr">
                <a:solidFill>
                  <a:srgbClr val="6FB6DF"/>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FS!$G$4:$T$4</c15:sqref>
                  </c15:fullRef>
                </c:ext>
              </c:extLst>
              <c:f>(FS!$G$4:$R$4,FS!$T$4)</c:f>
              <c:strCache>
                <c:ptCount val="8"/>
                <c:pt idx="0">
                  <c:v>2021</c:v>
                </c:pt>
                <c:pt idx="1">
                  <c:v>2022</c:v>
                </c:pt>
                <c:pt idx="2">
                  <c:v>2023</c:v>
                </c:pt>
                <c:pt idx="3">
                  <c:v>2024H1</c:v>
                </c:pt>
                <c:pt idx="4">
                  <c:v>2024H2</c:v>
                </c:pt>
                <c:pt idx="5">
                  <c:v>2024</c:v>
                </c:pt>
                <c:pt idx="6">
                  <c:v>2025E</c:v>
                </c:pt>
                <c:pt idx="7">
                  <c:v>2027E</c:v>
                </c:pt>
              </c:strCache>
            </c:strRef>
          </c:cat>
          <c:val>
            <c:numRef>
              <c:extLst>
                <c:ext xmlns:c15="http://schemas.microsoft.com/office/drawing/2012/chart" uri="{02D57815-91ED-43cb-92C2-25804820EDAC}">
                  <c15:fullRef>
                    <c15:sqref>FS!$G$53:$T$53</c15:sqref>
                  </c15:fullRef>
                </c:ext>
              </c:extLst>
              <c:f>(FS!$G$53:$R$53,FS!$T$53)</c:f>
              <c:numCache>
                <c:formatCode>0.0%_);\(0.0%\);\-\-"%"_)</c:formatCode>
                <c:ptCount val="8"/>
                <c:pt idx="0">
                  <c:v>0.1845583599475451</c:v>
                </c:pt>
                <c:pt idx="1">
                  <c:v>0.14708140950473045</c:v>
                </c:pt>
                <c:pt idx="2">
                  <c:v>0.1545300533703666</c:v>
                </c:pt>
                <c:pt idx="3">
                  <c:v>0.17649606342723376</c:v>
                </c:pt>
                <c:pt idx="4">
                  <c:v>0.18033341285287699</c:v>
                </c:pt>
                <c:pt idx="5">
                  <c:v>0.17868325396792467</c:v>
                </c:pt>
                <c:pt idx="6">
                  <c:v>0.17019736500807947</c:v>
                </c:pt>
                <c:pt idx="7">
                  <c:v>0.17337731767311931</c:v>
                </c:pt>
              </c:numCache>
            </c:numRef>
          </c:val>
          <c:smooth val="0"/>
          <c:extLst>
            <c:ext xmlns:c16="http://schemas.microsoft.com/office/drawing/2014/chart" uri="{C3380CC4-5D6E-409C-BE32-E72D297353CC}">
              <c16:uniqueId val="{00000001-7122-4F99-B21B-E5F024746B47}"/>
            </c:ext>
          </c:extLst>
        </c:ser>
        <c:dLbls>
          <c:showLegendKey val="0"/>
          <c:showVal val="0"/>
          <c:showCatName val="0"/>
          <c:showSerName val="0"/>
          <c:showPercent val="0"/>
          <c:showBubbleSize val="0"/>
        </c:dLbls>
        <c:marker val="1"/>
        <c:smooth val="0"/>
        <c:axId val="1341810784"/>
        <c:axId val="1218928752"/>
      </c:lineChart>
      <c:catAx>
        <c:axId val="1341805984"/>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700" b="0" i="0" u="none" strike="noStrike" kern="1200" baseline="0">
                <a:solidFill>
                  <a:srgbClr val="000000"/>
                </a:solidFill>
                <a:latin typeface="+mn-lt"/>
                <a:ea typeface="+mn-ea"/>
                <a:cs typeface="+mn-cs"/>
              </a:defRPr>
            </a:pPr>
            <a:endParaRPr lang="en-US"/>
          </a:p>
        </c:txPr>
        <c:crossAx val="1218925280"/>
        <c:crosses val="autoZero"/>
        <c:auto val="1"/>
        <c:lblAlgn val="ctr"/>
        <c:lblOffset val="100"/>
        <c:noMultiLvlLbl val="0"/>
      </c:catAx>
      <c:valAx>
        <c:axId val="1218925280"/>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700" b="0" i="0" u="none" strike="noStrike" kern="1200" baseline="0">
                <a:solidFill>
                  <a:srgbClr val="000000"/>
                </a:solidFill>
                <a:latin typeface="+mn-lt"/>
                <a:ea typeface="+mn-ea"/>
                <a:cs typeface="+mn-cs"/>
              </a:defRPr>
            </a:pPr>
            <a:endParaRPr lang="en-US"/>
          </a:p>
        </c:txPr>
        <c:crossAx val="1341805984"/>
        <c:crosses val="autoZero"/>
        <c:crossBetween val="between"/>
      </c:valAx>
      <c:valAx>
        <c:axId val="1218928752"/>
        <c:scaling>
          <c:orientation val="minMax"/>
        </c:scaling>
        <c:delete val="0"/>
        <c:axPos val="r"/>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700" b="0" i="0" u="none" strike="noStrike" kern="1200" baseline="0">
                <a:solidFill>
                  <a:srgbClr val="000000"/>
                </a:solidFill>
                <a:latin typeface="+mn-lt"/>
                <a:ea typeface="+mn-ea"/>
                <a:cs typeface="+mn-cs"/>
              </a:defRPr>
            </a:pPr>
            <a:endParaRPr lang="en-US"/>
          </a:p>
        </c:txPr>
        <c:crossAx val="1341810784"/>
        <c:crosses val="max"/>
        <c:crossBetween val="between"/>
      </c:valAx>
      <c:catAx>
        <c:axId val="1341810784"/>
        <c:scaling>
          <c:orientation val="minMax"/>
        </c:scaling>
        <c:delete val="1"/>
        <c:axPos val="b"/>
        <c:numFmt formatCode="General" sourceLinked="1"/>
        <c:majorTickMark val="out"/>
        <c:minorTickMark val="none"/>
        <c:tickLblPos val="nextTo"/>
        <c:crossAx val="1218928752"/>
        <c:crosses val="autoZero"/>
        <c:auto val="1"/>
        <c:lblAlgn val="ctr"/>
        <c:lblOffset val="100"/>
        <c:noMultiLvlLbl val="0"/>
      </c:catAx>
      <c:spPr>
        <a:solidFill>
          <a:srgbClr val="FFFFFF"/>
        </a:solidFill>
        <a:ln>
          <a:noFill/>
        </a:ln>
        <a:effectLst/>
      </c:spPr>
    </c:plotArea>
    <c:legend>
      <c:legendPos val="b"/>
      <c:layout>
        <c:manualLayout>
          <c:xMode val="edge"/>
          <c:yMode val="edge"/>
          <c:x val="0"/>
          <c:y val="0.91315416984377573"/>
          <c:w val="1"/>
          <c:h val="8.0150441114402546E-2"/>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00">
          <a:solidFill>
            <a:srgbClr val="000000"/>
          </a:solidFill>
          <a:latin typeface="+mn-lt"/>
          <a:ea typeface="+mn-ea"/>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Frutiger 45 Light" panose="020B0603020202020204" pitchFamily="34" charset="0"/>
                <a:ea typeface="+mn-ea"/>
                <a:cs typeface="+mn-cs"/>
              </a:defRPr>
            </a:pPr>
            <a:r>
              <a:rPr lang="en-US"/>
              <a:t>MIXUE number of stores as of year-end</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Frutiger 45 Light" panose="020B0603020202020204" pitchFamily="34" charset="0"/>
              <a:ea typeface="+mn-ea"/>
              <a:cs typeface="+mn-cs"/>
            </a:defRPr>
          </a:pPr>
          <a:endParaRPr lang="en-US"/>
        </a:p>
      </c:txPr>
    </c:title>
    <c:autoTitleDeleted val="0"/>
    <c:plotArea>
      <c:layout>
        <c:manualLayout>
          <c:xMode val="edge"/>
          <c:yMode val="edge"/>
          <c:x val="1.1111111111111112E-2"/>
          <c:y val="0.10949074074074074"/>
          <c:w val="0.95833333333333337"/>
          <c:h val="0.77669947506561676"/>
        </c:manualLayout>
      </c:layout>
      <c:barChart>
        <c:barDir val="col"/>
        <c:grouping val="stacked"/>
        <c:varyColors val="0"/>
        <c:ser>
          <c:idx val="0"/>
          <c:order val="0"/>
          <c:tx>
            <c:strRef>
              <c:f>Assumption!$B$86</c:f>
              <c:strCache>
                <c:ptCount val="1"/>
                <c:pt idx="0">
                  <c:v>Mainland China stores</c:v>
                </c:pt>
              </c:strCache>
            </c:strRef>
          </c:tx>
          <c:spPr>
            <a:solidFill>
              <a:srgbClr val="4D3C2F"/>
            </a:solidFill>
            <a:ln w="9525">
              <a:solidFill>
                <a:srgbClr val="4D3C2F"/>
              </a:solid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Frutiger 45 Light"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Assumption!$G$4:$T$4</c15:sqref>
                  </c15:fullRef>
                </c:ext>
              </c:extLst>
              <c:f>(Assumption!$G$4:$M$4,Assumption!$P$4:$T$4)</c:f>
              <c:strCache>
                <c:ptCount val="10"/>
                <c:pt idx="0">
                  <c:v>2021</c:v>
                </c:pt>
                <c:pt idx="1">
                  <c:v>2022</c:v>
                </c:pt>
                <c:pt idx="2">
                  <c:v>2023</c:v>
                </c:pt>
                <c:pt idx="3">
                  <c:v>9M24</c:v>
                </c:pt>
                <c:pt idx="4">
                  <c:v>2024H1</c:v>
                </c:pt>
                <c:pt idx="5">
                  <c:v>2025H1</c:v>
                </c:pt>
                <c:pt idx="6">
                  <c:v>2025H2E</c:v>
                </c:pt>
                <c:pt idx="7">
                  <c:v>2025E</c:v>
                </c:pt>
                <c:pt idx="8">
                  <c:v>2026E</c:v>
                </c:pt>
                <c:pt idx="9">
                  <c:v>2027E</c:v>
                </c:pt>
              </c:strCache>
            </c:strRef>
          </c:cat>
          <c:val>
            <c:numRef>
              <c:extLst>
                <c:ext xmlns:c15="http://schemas.microsoft.com/office/drawing/2012/chart" uri="{02D57815-91ED-43cb-92C2-25804820EDAC}">
                  <c15:fullRef>
                    <c15:sqref>Assumption!$G$86:$T$86</c15:sqref>
                  </c15:fullRef>
                </c:ext>
              </c:extLst>
              <c:f>(Assumption!$G$86:$M$86,Assumption!$P$86:$T$86)</c:f>
              <c:numCache>
                <c:formatCode>#,##0_);\(#,##0\);\-\-_)</c:formatCode>
                <c:ptCount val="10"/>
                <c:pt idx="0">
                  <c:v>19731</c:v>
                </c:pt>
                <c:pt idx="1">
                  <c:v>27188</c:v>
                </c:pt>
                <c:pt idx="2">
                  <c:v>33234</c:v>
                </c:pt>
                <c:pt idx="3">
                  <c:v>40510</c:v>
                </c:pt>
                <c:pt idx="4">
                  <c:v>38613</c:v>
                </c:pt>
                <c:pt idx="5">
                  <c:v>48281</c:v>
                </c:pt>
                <c:pt idx="6">
                  <c:v>49584</c:v>
                </c:pt>
                <c:pt idx="7">
                  <c:v>49584</c:v>
                </c:pt>
                <c:pt idx="8">
                  <c:v>57584</c:v>
                </c:pt>
                <c:pt idx="9">
                  <c:v>65584</c:v>
                </c:pt>
              </c:numCache>
            </c:numRef>
          </c:val>
          <c:extLst>
            <c:ext xmlns:c16="http://schemas.microsoft.com/office/drawing/2014/chart" uri="{C3380CC4-5D6E-409C-BE32-E72D297353CC}">
              <c16:uniqueId val="{00000000-6FF5-4614-99AB-28820BFD9B20}"/>
            </c:ext>
          </c:extLst>
        </c:ser>
        <c:ser>
          <c:idx val="1"/>
          <c:order val="1"/>
          <c:tx>
            <c:strRef>
              <c:f>Assumption!$B$87</c:f>
              <c:strCache>
                <c:ptCount val="1"/>
                <c:pt idx="0">
                  <c:v>Stores outside mainland China</c:v>
                </c:pt>
              </c:strCache>
            </c:strRef>
          </c:tx>
          <c:spPr>
            <a:solidFill>
              <a:srgbClr val="CFBD9B"/>
            </a:solidFill>
            <a:ln w="9525">
              <a:solidFill>
                <a:srgbClr val="CFBD9B"/>
              </a:solid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Frutiger 45 Light"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Assumption!$G$4:$T$4</c15:sqref>
                  </c15:fullRef>
                </c:ext>
              </c:extLst>
              <c:f>(Assumption!$G$4:$M$4,Assumption!$P$4:$T$4)</c:f>
              <c:strCache>
                <c:ptCount val="10"/>
                <c:pt idx="0">
                  <c:v>2021</c:v>
                </c:pt>
                <c:pt idx="1">
                  <c:v>2022</c:v>
                </c:pt>
                <c:pt idx="2">
                  <c:v>2023</c:v>
                </c:pt>
                <c:pt idx="3">
                  <c:v>9M24</c:v>
                </c:pt>
                <c:pt idx="4">
                  <c:v>2024H1</c:v>
                </c:pt>
                <c:pt idx="5">
                  <c:v>2025H1</c:v>
                </c:pt>
                <c:pt idx="6">
                  <c:v>2025H2E</c:v>
                </c:pt>
                <c:pt idx="7">
                  <c:v>2025E</c:v>
                </c:pt>
                <c:pt idx="8">
                  <c:v>2026E</c:v>
                </c:pt>
                <c:pt idx="9">
                  <c:v>2027E</c:v>
                </c:pt>
              </c:strCache>
            </c:strRef>
          </c:cat>
          <c:val>
            <c:numRef>
              <c:extLst>
                <c:ext xmlns:c15="http://schemas.microsoft.com/office/drawing/2012/chart" uri="{02D57815-91ED-43cb-92C2-25804820EDAC}">
                  <c15:fullRef>
                    <c15:sqref>Assumption!$G$87:$T$87</c15:sqref>
                  </c15:fullRef>
                </c:ext>
              </c:extLst>
              <c:f>(Assumption!$G$87:$M$87,Assumption!$P$87:$T$87)</c:f>
              <c:numCache>
                <c:formatCode>#,##0_);\(#,##0\);\-\-_)</c:formatCode>
                <c:ptCount val="10"/>
                <c:pt idx="0">
                  <c:v>270</c:v>
                </c:pt>
                <c:pt idx="1">
                  <c:v>1795</c:v>
                </c:pt>
                <c:pt idx="2">
                  <c:v>4331</c:v>
                </c:pt>
                <c:pt idx="3">
                  <c:v>4792</c:v>
                </c:pt>
                <c:pt idx="4">
                  <c:v>4605</c:v>
                </c:pt>
                <c:pt idx="5">
                  <c:v>4733</c:v>
                </c:pt>
                <c:pt idx="6">
                  <c:v>4733</c:v>
                </c:pt>
                <c:pt idx="7">
                  <c:v>4733</c:v>
                </c:pt>
                <c:pt idx="8">
                  <c:v>4733</c:v>
                </c:pt>
                <c:pt idx="9">
                  <c:v>6233</c:v>
                </c:pt>
              </c:numCache>
            </c:numRef>
          </c:val>
          <c:extLst>
            <c:ext xmlns:c16="http://schemas.microsoft.com/office/drawing/2014/chart" uri="{C3380CC4-5D6E-409C-BE32-E72D297353CC}">
              <c16:uniqueId val="{00000001-6FF5-4614-99AB-28820BFD9B20}"/>
            </c:ext>
          </c:extLst>
        </c:ser>
        <c:dLbls>
          <c:showLegendKey val="0"/>
          <c:showVal val="0"/>
          <c:showCatName val="0"/>
          <c:showSerName val="0"/>
          <c:showPercent val="0"/>
          <c:showBubbleSize val="0"/>
        </c:dLbls>
        <c:gapWidth val="50"/>
        <c:overlap val="100"/>
        <c:axId val="1458329040"/>
        <c:axId val="2138770960"/>
      </c:barChart>
      <c:catAx>
        <c:axId val="1458329040"/>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1000" b="0" i="0" u="none" strike="noStrike" kern="1200" baseline="0">
                <a:solidFill>
                  <a:srgbClr val="000000"/>
                </a:solidFill>
                <a:latin typeface="Frutiger 45 Light" panose="020B0603020202020204" pitchFamily="34" charset="0"/>
                <a:ea typeface="+mn-ea"/>
                <a:cs typeface="+mn-cs"/>
              </a:defRPr>
            </a:pPr>
            <a:endParaRPr lang="en-US"/>
          </a:p>
        </c:txPr>
        <c:crossAx val="2138770960"/>
        <c:crosses val="autoZero"/>
        <c:auto val="1"/>
        <c:lblAlgn val="ctr"/>
        <c:lblOffset val="100"/>
        <c:noMultiLvlLbl val="0"/>
      </c:catAx>
      <c:valAx>
        <c:axId val="2138770960"/>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000" b="0" i="0" u="none" strike="noStrike" kern="1200" baseline="0">
                <a:solidFill>
                  <a:srgbClr val="000000"/>
                </a:solidFill>
                <a:latin typeface="Frutiger 45 Light" panose="020B0603020202020204" pitchFamily="34" charset="0"/>
                <a:ea typeface="+mn-ea"/>
                <a:cs typeface="+mn-cs"/>
              </a:defRPr>
            </a:pPr>
            <a:endParaRPr lang="en-US"/>
          </a:p>
        </c:txPr>
        <c:crossAx val="1458329040"/>
        <c:crosses val="autoZero"/>
        <c:crossBetween val="between"/>
      </c:valAx>
      <c:spPr>
        <a:solidFill>
          <a:srgbClr val="FFFFFF"/>
        </a:solidFill>
        <a:ln>
          <a:noFill/>
        </a:ln>
        <a:effectLst/>
      </c:spPr>
    </c:plotArea>
    <c:legend>
      <c:legendPos val="b"/>
      <c:layout>
        <c:manualLayout>
          <c:xMode val="edge"/>
          <c:yMode val="edge"/>
          <c:x val="0"/>
          <c:y val="0.91724482356372106"/>
          <c:w val="1"/>
          <c:h val="7.8125546806649168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1000">
          <a:solidFill>
            <a:srgbClr val="000000"/>
          </a:solidFill>
          <a:latin typeface="Frutiger 45 Light" panose="020B0603020202020204" pitchFamily="34" charset="0"/>
          <a:ea typeface="+mn-ea"/>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00"/>
                </a:solidFill>
                <a:latin typeface="+mn-lt"/>
                <a:ea typeface="+mn-ea"/>
                <a:cs typeface="+mn-cs"/>
              </a:defRPr>
            </a:pPr>
            <a:r>
              <a:rPr lang="en-US"/>
              <a:t>Domestic SSSG</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833333333333337"/>
          <c:h val="0.77669947506561676"/>
        </c:manualLayout>
      </c:layout>
      <c:barChart>
        <c:barDir val="col"/>
        <c:grouping val="stacked"/>
        <c:varyColors val="0"/>
        <c:ser>
          <c:idx val="0"/>
          <c:order val="0"/>
          <c:tx>
            <c:strRef>
              <c:f>Assumption!$D$111</c:f>
              <c:strCache>
                <c:ptCount val="1"/>
                <c:pt idx="0">
                  <c:v>Cup volume</c:v>
                </c:pt>
              </c:strCache>
            </c:strRef>
          </c:tx>
          <c:spPr>
            <a:solidFill>
              <a:srgbClr val="CCCCCC"/>
            </a:solidFill>
            <a:ln w="9525">
              <a:solidFill>
                <a:srgbClr val="FFFFFF"/>
              </a:solidFill>
            </a:ln>
            <a:effectLst/>
          </c:spPr>
          <c:invertIfNegative val="0"/>
          <c:cat>
            <c:strRef>
              <c:extLst>
                <c:ext xmlns:c15="http://schemas.microsoft.com/office/drawing/2012/chart" uri="{02D57815-91ED-43cb-92C2-25804820EDAC}">
                  <c15:fullRef>
                    <c15:sqref>Assumption!$I$3:$T$3</c15:sqref>
                  </c15:fullRef>
                </c:ext>
              </c:extLst>
              <c:f>(Assumption!$I$3:$O$3,Assumption!$R$3:$T$3)</c:f>
              <c:strCache>
                <c:ptCount val="9"/>
                <c:pt idx="0">
                  <c:v>2022</c:v>
                </c:pt>
                <c:pt idx="1">
                  <c:v>2023</c:v>
                </c:pt>
                <c:pt idx="2">
                  <c:v>9M24</c:v>
                </c:pt>
                <c:pt idx="3">
                  <c:v>2024H1</c:v>
                </c:pt>
                <c:pt idx="4">
                  <c:v>2024H2</c:v>
                </c:pt>
                <c:pt idx="5">
                  <c:v>2024</c:v>
                </c:pt>
                <c:pt idx="6">
                  <c:v>2025E</c:v>
                </c:pt>
                <c:pt idx="7">
                  <c:v>2026E</c:v>
                </c:pt>
                <c:pt idx="8">
                  <c:v>2027E</c:v>
                </c:pt>
              </c:strCache>
            </c:strRef>
          </c:cat>
          <c:val>
            <c:numRef>
              <c:extLst>
                <c:ext xmlns:c15="http://schemas.microsoft.com/office/drawing/2012/chart" uri="{02D57815-91ED-43cb-92C2-25804820EDAC}">
                  <c15:fullRef>
                    <c15:sqref>Assumption!$I$111:$T$111</c15:sqref>
                  </c15:fullRef>
                </c:ext>
              </c:extLst>
              <c:f>(Assumption!$I$111:$O$111,Assumption!$R$111:$T$111)</c:f>
              <c:numCache>
                <c:formatCode>0.0%_);\(0.0%\);\-\-"%"_)</c:formatCode>
                <c:ptCount val="9"/>
                <c:pt idx="0">
                  <c:v>-0.13</c:v>
                </c:pt>
                <c:pt idx="1">
                  <c:v>0.16</c:v>
                </c:pt>
                <c:pt idx="5">
                  <c:v>2.4138605735546381E-3</c:v>
                </c:pt>
                <c:pt idx="6">
                  <c:v>0.08</c:v>
                </c:pt>
                <c:pt idx="7">
                  <c:v>-0.05</c:v>
                </c:pt>
                <c:pt idx="8">
                  <c:v>0.01</c:v>
                </c:pt>
              </c:numCache>
            </c:numRef>
          </c:val>
          <c:extLst>
            <c:ext xmlns:c16="http://schemas.microsoft.com/office/drawing/2014/chart" uri="{C3380CC4-5D6E-409C-BE32-E72D297353CC}">
              <c16:uniqueId val="{00000000-4123-411D-99A3-40986D000E22}"/>
            </c:ext>
          </c:extLst>
        </c:ser>
        <c:ser>
          <c:idx val="1"/>
          <c:order val="1"/>
          <c:tx>
            <c:strRef>
              <c:f>Assumption!$D$112</c:f>
              <c:strCache>
                <c:ptCount val="1"/>
                <c:pt idx="0">
                  <c:v>ASP</c:v>
                </c:pt>
              </c:strCache>
            </c:strRef>
          </c:tx>
          <c:spPr>
            <a:solidFill>
              <a:srgbClr val="6FB6DF"/>
            </a:solidFill>
            <a:ln w="9525">
              <a:solidFill>
                <a:srgbClr val="FFFFFF"/>
              </a:solidFill>
            </a:ln>
            <a:effectLst/>
          </c:spPr>
          <c:invertIfNegative val="0"/>
          <c:cat>
            <c:strRef>
              <c:extLst>
                <c:ext xmlns:c15="http://schemas.microsoft.com/office/drawing/2012/chart" uri="{02D57815-91ED-43cb-92C2-25804820EDAC}">
                  <c15:fullRef>
                    <c15:sqref>Assumption!$I$3:$T$3</c15:sqref>
                  </c15:fullRef>
                </c:ext>
              </c:extLst>
              <c:f>(Assumption!$I$3:$O$3,Assumption!$R$3:$T$3)</c:f>
              <c:strCache>
                <c:ptCount val="9"/>
                <c:pt idx="0">
                  <c:v>2022</c:v>
                </c:pt>
                <c:pt idx="1">
                  <c:v>2023</c:v>
                </c:pt>
                <c:pt idx="2">
                  <c:v>9M24</c:v>
                </c:pt>
                <c:pt idx="3">
                  <c:v>2024H1</c:v>
                </c:pt>
                <c:pt idx="4">
                  <c:v>2024H2</c:v>
                </c:pt>
                <c:pt idx="5">
                  <c:v>2024</c:v>
                </c:pt>
                <c:pt idx="6">
                  <c:v>2025E</c:v>
                </c:pt>
                <c:pt idx="7">
                  <c:v>2026E</c:v>
                </c:pt>
                <c:pt idx="8">
                  <c:v>2027E</c:v>
                </c:pt>
              </c:strCache>
            </c:strRef>
          </c:cat>
          <c:val>
            <c:numRef>
              <c:extLst>
                <c:ext xmlns:c15="http://schemas.microsoft.com/office/drawing/2012/chart" uri="{02D57815-91ED-43cb-92C2-25804820EDAC}">
                  <c15:fullRef>
                    <c15:sqref>Assumption!$I$112:$T$112</c15:sqref>
                  </c15:fullRef>
                </c:ext>
              </c:extLst>
              <c:f>(Assumption!$I$112:$O$112,Assumption!$R$112:$T$112)</c:f>
              <c:numCache>
                <c:formatCode>0.0%_);\(0.0%\);\-\-"%"_)</c:formatCode>
                <c:ptCount val="9"/>
                <c:pt idx="0">
                  <c:v>2.6825745532613299E-2</c:v>
                </c:pt>
                <c:pt idx="1">
                  <c:v>1.5112486863398056E-2</c:v>
                </c:pt>
                <c:pt idx="5">
                  <c:v>0</c:v>
                </c:pt>
                <c:pt idx="6">
                  <c:v>0</c:v>
                </c:pt>
                <c:pt idx="7">
                  <c:v>0</c:v>
                </c:pt>
                <c:pt idx="8">
                  <c:v>0</c:v>
                </c:pt>
              </c:numCache>
            </c:numRef>
          </c:val>
          <c:extLst>
            <c:ext xmlns:c16="http://schemas.microsoft.com/office/drawing/2014/chart" uri="{C3380CC4-5D6E-409C-BE32-E72D297353CC}">
              <c16:uniqueId val="{00000001-4123-411D-99A3-40986D000E22}"/>
            </c:ext>
          </c:extLst>
        </c:ser>
        <c:dLbls>
          <c:showLegendKey val="0"/>
          <c:showVal val="0"/>
          <c:showCatName val="0"/>
          <c:showSerName val="0"/>
          <c:showPercent val="0"/>
          <c:showBubbleSize val="0"/>
        </c:dLbls>
        <c:gapWidth val="50"/>
        <c:overlap val="100"/>
        <c:axId val="180729407"/>
        <c:axId val="2119322144"/>
      </c:barChart>
      <c:catAx>
        <c:axId val="180729407"/>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119322144"/>
        <c:crosses val="autoZero"/>
        <c:auto val="1"/>
        <c:lblAlgn val="ctr"/>
        <c:lblOffset val="100"/>
        <c:noMultiLvlLbl val="0"/>
      </c:catAx>
      <c:valAx>
        <c:axId val="2119322144"/>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0729407"/>
        <c:crosses val="autoZero"/>
        <c:crossBetween val="between"/>
      </c:valAx>
      <c:spPr>
        <a:solidFill>
          <a:srgbClr val="FFFFFF"/>
        </a:solidFill>
        <a:ln>
          <a:noFill/>
        </a:ln>
        <a:effectLst/>
      </c:spPr>
    </c:plotArea>
    <c:legend>
      <c:legendPos val="b"/>
      <c:layout>
        <c:manualLayout>
          <c:xMode val="edge"/>
          <c:yMode val="edge"/>
          <c:x val="0.37943613298337714"/>
          <c:y val="0.92187445319335082"/>
          <c:w val="0.2577941819772528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000000"/>
          </a:solidFill>
          <a:latin typeface="+mn-lt"/>
          <a:ea typeface="+mn-ea"/>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r>
              <a:rPr lang="en-US"/>
              <a:t>Revenue (Rmb '000)</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333333280351429"/>
          <c:h val="0.69992672790901134"/>
        </c:manualLayout>
      </c:layout>
      <c:barChart>
        <c:barDir val="col"/>
        <c:grouping val="stacked"/>
        <c:varyColors val="0"/>
        <c:ser>
          <c:idx val="0"/>
          <c:order val="0"/>
          <c:tx>
            <c:strRef>
              <c:f>Assumption!$B$30</c:f>
              <c:strCache>
                <c:ptCount val="1"/>
                <c:pt idx="0">
                  <c:v>In mainland China</c:v>
                </c:pt>
              </c:strCache>
            </c:strRef>
          </c:tx>
          <c:spPr>
            <a:solidFill>
              <a:srgbClr val="CCCCCC"/>
            </a:solidFill>
            <a:ln>
              <a:noFill/>
            </a:ln>
            <a:effectLst/>
          </c:spPr>
          <c:invertIfNegative val="0"/>
          <c:cat>
            <c:strRef>
              <c:extLst>
                <c:ext xmlns:c15="http://schemas.microsoft.com/office/drawing/2012/chart" uri="{02D57815-91ED-43cb-92C2-25804820EDAC}">
                  <c15:fullRef>
                    <c15:sqref>Assumption!$G$4:$T$4</c15:sqref>
                  </c15:fullRef>
                </c:ext>
              </c:extLst>
              <c:f>(Assumption!$H$4:$M$4,Assumption!$P$4:$T$4)</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Assumption!$G$30:$T$30</c15:sqref>
                  </c15:fullRef>
                </c:ext>
              </c:extLst>
              <c:f>(Assumption!$H$30:$M$30,Assumption!$P$30:$T$30)</c:f>
              <c:numCache>
                <c:formatCode>#,##0_);\(#,##0\);\-\-_)</c:formatCode>
                <c:ptCount val="9"/>
                <c:pt idx="0">
                  <c:v>13034937</c:v>
                </c:pt>
                <c:pt idx="1">
                  <c:v>18815533</c:v>
                </c:pt>
                <c:pt idx="2">
                  <c:v>17707309</c:v>
                </c:pt>
                <c:pt idx="3">
                  <c:v>10132112.961031629</c:v>
                </c:pt>
                <c:pt idx="4">
                  <c:v>14102821.854744991</c:v>
                </c:pt>
                <c:pt idx="5">
                  <c:v>16731498.202409698</c:v>
                </c:pt>
                <c:pt idx="6">
                  <c:v>30834320.057154689</c:v>
                </c:pt>
                <c:pt idx="7">
                  <c:v>34386987.118539996</c:v>
                </c:pt>
                <c:pt idx="8">
                  <c:v>39929367.276607119</c:v>
                </c:pt>
              </c:numCache>
            </c:numRef>
          </c:val>
          <c:extLst>
            <c:ext xmlns:c16="http://schemas.microsoft.com/office/drawing/2014/chart" uri="{C3380CC4-5D6E-409C-BE32-E72D297353CC}">
              <c16:uniqueId val="{00000000-472E-4597-A436-10E9A62802D6}"/>
            </c:ext>
          </c:extLst>
        </c:ser>
        <c:ser>
          <c:idx val="2"/>
          <c:order val="1"/>
          <c:tx>
            <c:strRef>
              <c:f>Assumption!$B$32</c:f>
              <c:strCache>
                <c:ptCount val="1"/>
                <c:pt idx="0">
                  <c:v>Outside mainland China</c:v>
                </c:pt>
              </c:strCache>
            </c:strRef>
          </c:tx>
          <c:spPr>
            <a:solidFill>
              <a:srgbClr val="6FB6DF"/>
            </a:solidFill>
            <a:ln>
              <a:noFill/>
            </a:ln>
            <a:effectLst/>
          </c:spPr>
          <c:invertIfNegative val="0"/>
          <c:cat>
            <c:strRef>
              <c:extLst>
                <c:ext xmlns:c15="http://schemas.microsoft.com/office/drawing/2012/chart" uri="{02D57815-91ED-43cb-92C2-25804820EDAC}">
                  <c15:fullRef>
                    <c15:sqref>Assumption!$G$4:$T$4</c15:sqref>
                  </c15:fullRef>
                </c:ext>
              </c:extLst>
              <c:f>(Assumption!$H$4:$M$4,Assumption!$P$4:$T$4)</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Assumption!$G$32:$T$32</c15:sqref>
                  </c15:fullRef>
                </c:ext>
              </c:extLst>
              <c:f>(Assumption!$H$32:$M$32,Assumption!$P$32:$T$32)</c:f>
              <c:numCache>
                <c:formatCode>#,##0_);\(#,##0\);\-\-_)</c:formatCode>
                <c:ptCount val="9"/>
                <c:pt idx="0">
                  <c:v>540640</c:v>
                </c:pt>
                <c:pt idx="1">
                  <c:v>1486932</c:v>
                </c:pt>
                <c:pt idx="2">
                  <c:v>952362</c:v>
                </c:pt>
                <c:pt idx="3">
                  <c:v>544941.03896837123</c:v>
                </c:pt>
                <c:pt idx="4">
                  <c:v>771987.14525500871</c:v>
                </c:pt>
                <c:pt idx="5">
                  <c:v>583474.80172590725</c:v>
                </c:pt>
                <c:pt idx="6">
                  <c:v>1355461.946980916</c:v>
                </c:pt>
                <c:pt idx="7">
                  <c:v>1330856.3914335519</c:v>
                </c:pt>
                <c:pt idx="8">
                  <c:v>1588525.9940757006</c:v>
                </c:pt>
              </c:numCache>
            </c:numRef>
          </c:val>
          <c:extLst>
            <c:ext xmlns:c16="http://schemas.microsoft.com/office/drawing/2014/chart" uri="{C3380CC4-5D6E-409C-BE32-E72D297353CC}">
              <c16:uniqueId val="{00000002-472E-4597-A436-10E9A62802D6}"/>
            </c:ext>
          </c:extLst>
        </c:ser>
        <c:dLbls>
          <c:showLegendKey val="0"/>
          <c:showVal val="0"/>
          <c:showCatName val="0"/>
          <c:showSerName val="0"/>
          <c:showPercent val="0"/>
          <c:showBubbleSize val="0"/>
        </c:dLbls>
        <c:gapWidth val="50"/>
        <c:overlap val="100"/>
        <c:axId val="1347242080"/>
        <c:axId val="1346651472"/>
      </c:barChart>
      <c:lineChart>
        <c:grouping val="standard"/>
        <c:varyColors val="0"/>
        <c:ser>
          <c:idx val="3"/>
          <c:order val="2"/>
          <c:tx>
            <c:v>Total revenue YoY</c:v>
          </c:tx>
          <c:spPr>
            <a:ln w="12700" cap="rnd" cmpd="sng" algn="ctr">
              <a:solidFill>
                <a:srgbClr val="474747"/>
              </a:solidFill>
              <a:prstDash val="solid"/>
              <a:round/>
              <a:headEnd type="none" w="med" len="med"/>
              <a:tailEnd type="none" w="med" len="med"/>
            </a:ln>
            <a:effectLst/>
          </c:spPr>
          <c:marker>
            <c:symbol val="square"/>
            <c:size val="5"/>
            <c:spPr>
              <a:solidFill>
                <a:srgbClr val="474747"/>
              </a:solidFill>
              <a:ln w="12700" cap="rnd" cmpd="sng" algn="ctr">
                <a:solidFill>
                  <a:srgbClr val="474747"/>
                </a:solidFill>
                <a:prstDash val="solid"/>
                <a:round/>
                <a:headEnd type="none" w="med" len="med"/>
                <a:tailEnd type="none" w="med" len="med"/>
              </a:ln>
              <a:effectLst/>
            </c:spPr>
          </c:marker>
          <c:dLbls>
            <c:numFmt formatCode="0%" sourceLinked="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Assumption!$G$4:$T$4</c15:sqref>
                  </c15:fullRef>
                </c:ext>
              </c:extLst>
              <c:f>(Assumption!$H$4:$M$4,Assumption!$P$4:$T$4)</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Assumption!$G$19:$T$19</c15:sqref>
                  </c15:fullRef>
                </c:ext>
              </c:extLst>
              <c:f>(Assumption!$H$19:$M$19,Assumption!$P$19:$T$19)</c:f>
              <c:numCache>
                <c:formatCode>0.0%_);\(0.0%\);\-\-"%"_)</c:formatCode>
                <c:ptCount val="9"/>
                <c:pt idx="0">
                  <c:v>0.31152500834220054</c:v>
                </c:pt>
                <c:pt idx="1">
                  <c:v>0.49551396599938258</c:v>
                </c:pt>
                <c:pt idx="6">
                  <c:v>0.29646563932523096</c:v>
                </c:pt>
                <c:pt idx="7">
                  <c:v>0.10960190738118936</c:v>
                </c:pt>
                <c:pt idx="8">
                  <c:v>0.16238521676398832</c:v>
                </c:pt>
              </c:numCache>
            </c:numRef>
          </c:val>
          <c:smooth val="0"/>
          <c:extLst>
            <c:ext xmlns:c16="http://schemas.microsoft.com/office/drawing/2014/chart" uri="{C3380CC4-5D6E-409C-BE32-E72D297353CC}">
              <c16:uniqueId val="{00000003-472E-4597-A436-10E9A62802D6}"/>
            </c:ext>
          </c:extLst>
        </c:ser>
        <c:dLbls>
          <c:showLegendKey val="0"/>
          <c:showVal val="0"/>
          <c:showCatName val="0"/>
          <c:showSerName val="0"/>
          <c:showPercent val="0"/>
          <c:showBubbleSize val="0"/>
        </c:dLbls>
        <c:marker val="1"/>
        <c:smooth val="0"/>
        <c:axId val="1963896160"/>
        <c:axId val="1346661888"/>
      </c:lineChart>
      <c:catAx>
        <c:axId val="1347242080"/>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346651472"/>
        <c:crosses val="autoZero"/>
        <c:auto val="1"/>
        <c:lblAlgn val="ctr"/>
        <c:lblOffset val="100"/>
        <c:noMultiLvlLbl val="0"/>
      </c:catAx>
      <c:valAx>
        <c:axId val="1346651472"/>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347242080"/>
        <c:crosses val="autoZero"/>
        <c:crossBetween val="between"/>
      </c:valAx>
      <c:valAx>
        <c:axId val="1346661888"/>
        <c:scaling>
          <c:orientation val="minMax"/>
        </c:scaling>
        <c:delete val="0"/>
        <c:axPos val="r"/>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963896160"/>
        <c:crosses val="max"/>
        <c:crossBetween val="between"/>
      </c:valAx>
      <c:catAx>
        <c:axId val="1963896160"/>
        <c:scaling>
          <c:orientation val="minMax"/>
        </c:scaling>
        <c:delete val="1"/>
        <c:axPos val="b"/>
        <c:numFmt formatCode="General" sourceLinked="1"/>
        <c:majorTickMark val="out"/>
        <c:minorTickMark val="none"/>
        <c:tickLblPos val="nextTo"/>
        <c:crossAx val="1346661888"/>
        <c:crosses val="autoZero"/>
        <c:auto val="1"/>
        <c:lblAlgn val="ctr"/>
        <c:lblOffset val="100"/>
        <c:noMultiLvlLbl val="0"/>
      </c:catAx>
      <c:spPr>
        <a:solidFill>
          <a:srgbClr val="FFFFFF"/>
        </a:solidFill>
        <a:ln>
          <a:noFill/>
        </a:ln>
        <a:effectLst/>
      </c:spPr>
    </c:plotArea>
    <c:legend>
      <c:legendPos val="b"/>
      <c:layout>
        <c:manualLayout>
          <c:xMode val="edge"/>
          <c:yMode val="edge"/>
          <c:x val="0"/>
          <c:y val="0.86187664041994749"/>
          <c:w val="0.9436137357830271"/>
          <c:h val="0.13812335958005251"/>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mn-lt"/>
          <a:ea typeface="+mn-ea"/>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r>
              <a:rPr lang="en-US"/>
              <a:t>Gross profit and gross margin</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333333280351429"/>
          <c:h val="0.77669947506561676"/>
        </c:manualLayout>
      </c:layout>
      <c:barChart>
        <c:barDir val="col"/>
        <c:grouping val="clustered"/>
        <c:varyColors val="0"/>
        <c:ser>
          <c:idx val="0"/>
          <c:order val="0"/>
          <c:tx>
            <c:v>Gross profit</c:v>
          </c:tx>
          <c:spPr>
            <a:solidFill>
              <a:srgbClr val="CCCCCC"/>
            </a:solidFill>
            <a:ln w="9525">
              <a:solidFill>
                <a:srgbClr val="FFFFFF"/>
              </a:solidFill>
            </a:ln>
            <a:effectLst/>
          </c:spPr>
          <c:invertIfNegative val="0"/>
          <c:cat>
            <c:strRef>
              <c:extLst>
                <c:ext xmlns:c15="http://schemas.microsoft.com/office/drawing/2012/chart" uri="{02D57815-91ED-43cb-92C2-25804820EDAC}">
                  <c15:fullRef>
                    <c15:sqref>Assumption!$G$4:$T$4</c15:sqref>
                  </c15:fullRef>
                </c:ext>
              </c:extLst>
              <c:f>(Assumption!$G$4:$M$4,Assumption!$P$4:$T$4)</c:f>
              <c:strCache>
                <c:ptCount val="10"/>
                <c:pt idx="0">
                  <c:v>2021</c:v>
                </c:pt>
                <c:pt idx="1">
                  <c:v>2022</c:v>
                </c:pt>
                <c:pt idx="2">
                  <c:v>2023</c:v>
                </c:pt>
                <c:pt idx="3">
                  <c:v>9M24</c:v>
                </c:pt>
                <c:pt idx="4">
                  <c:v>2024H1</c:v>
                </c:pt>
                <c:pt idx="5">
                  <c:v>2025H1</c:v>
                </c:pt>
                <c:pt idx="6">
                  <c:v>2025H2E</c:v>
                </c:pt>
                <c:pt idx="7">
                  <c:v>2025E</c:v>
                </c:pt>
                <c:pt idx="8">
                  <c:v>2026E</c:v>
                </c:pt>
                <c:pt idx="9">
                  <c:v>2027E</c:v>
                </c:pt>
              </c:strCache>
            </c:strRef>
          </c:cat>
          <c:val>
            <c:numRef>
              <c:extLst>
                <c:ext xmlns:c15="http://schemas.microsoft.com/office/drawing/2012/chart" uri="{02D57815-91ED-43cb-92C2-25804820EDAC}">
                  <c15:fullRef>
                    <c15:sqref>Assumption!$G$57:$T$57</c15:sqref>
                  </c15:fullRef>
                </c:ext>
              </c:extLst>
              <c:f>(Assumption!$G$57:$M$57,Assumption!$P$57:$T$57)</c:f>
              <c:numCache>
                <c:formatCode>#,##0_);\(#,##0\);\-\-_)</c:formatCode>
                <c:ptCount val="10"/>
                <c:pt idx="0">
                  <c:v>3243862</c:v>
                </c:pt>
                <c:pt idx="1">
                  <c:v>3846837</c:v>
                </c:pt>
                <c:pt idx="2">
                  <c:v>6009106.4800000004</c:v>
                </c:pt>
                <c:pt idx="3">
                  <c:v>6040422</c:v>
                </c:pt>
                <c:pt idx="4">
                  <c:v>3402695</c:v>
                </c:pt>
                <c:pt idx="5">
                  <c:v>4706373</c:v>
                </c:pt>
                <c:pt idx="6">
                  <c:v>5352321.7299457602</c:v>
                </c:pt>
                <c:pt idx="7">
                  <c:v>10058694.72994576</c:v>
                </c:pt>
                <c:pt idx="8">
                  <c:v>11178589.804443808</c:v>
                </c:pt>
                <c:pt idx="9">
                  <c:v>12992413.519534418</c:v>
                </c:pt>
              </c:numCache>
            </c:numRef>
          </c:val>
          <c:extLst>
            <c:ext xmlns:c16="http://schemas.microsoft.com/office/drawing/2014/chart" uri="{C3380CC4-5D6E-409C-BE32-E72D297353CC}">
              <c16:uniqueId val="{00000000-865D-4F4B-A6EA-0D175686B4CF}"/>
            </c:ext>
          </c:extLst>
        </c:ser>
        <c:dLbls>
          <c:showLegendKey val="0"/>
          <c:showVal val="0"/>
          <c:showCatName val="0"/>
          <c:showSerName val="0"/>
          <c:showPercent val="0"/>
          <c:showBubbleSize val="0"/>
        </c:dLbls>
        <c:gapWidth val="50"/>
        <c:axId val="16524703"/>
        <c:axId val="2112785536"/>
      </c:barChart>
      <c:lineChart>
        <c:grouping val="standard"/>
        <c:varyColors val="0"/>
        <c:ser>
          <c:idx val="1"/>
          <c:order val="1"/>
          <c:tx>
            <c:v>GPM</c:v>
          </c:tx>
          <c:spPr>
            <a:ln w="12700" cap="rnd" cmpd="sng" algn="ctr">
              <a:solidFill>
                <a:srgbClr val="6FB6DF"/>
              </a:solidFill>
              <a:prstDash val="solid"/>
              <a:round/>
              <a:headEnd type="none" w="med" len="med"/>
              <a:tailEnd type="none" w="med" len="med"/>
            </a:ln>
            <a:effectLst/>
          </c:spPr>
          <c:marker>
            <c:symbol val="diamond"/>
            <c:size val="5"/>
            <c:spPr>
              <a:solidFill>
                <a:srgbClr val="6FB6DF"/>
              </a:solidFill>
              <a:ln w="12700" cap="rnd" cmpd="sng" algn="ctr">
                <a:solidFill>
                  <a:srgbClr val="6FB6DF"/>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c:v>
              </c:pt>
              <c:pt idx="1">
                <c:v>2</c:v>
              </c:pt>
              <c:pt idx="2">
                <c:v>3</c:v>
              </c:pt>
              <c:pt idx="3">
                <c:v>4</c:v>
              </c:pt>
              <c:pt idx="4">
                <c:v>5</c:v>
              </c:pt>
              <c:pt idx="5">
                <c:v>8</c:v>
              </c:pt>
              <c:pt idx="6">
                <c:v>9</c:v>
              </c:pt>
              <c:pt idx="7">
                <c:v>10</c:v>
              </c:pt>
              <c:pt idx="8">
                <c:v>11</c:v>
              </c:pt>
              <c:pt idx="9">
                <c:v>12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Assumption!$G$67:$T$67</c15:sqref>
                  </c15:fullRef>
                </c:ext>
              </c:extLst>
              <c:f>(Assumption!$G$67:$M$67,Assumption!$P$67:$T$67)</c:f>
              <c:numCache>
                <c:formatCode>0.0%_);\(0.0%\);\-\-"%"_)</c:formatCode>
                <c:ptCount val="10"/>
                <c:pt idx="0">
                  <c:v>0.31338676334795545</c:v>
                </c:pt>
                <c:pt idx="1">
                  <c:v>0.28336453028847319</c:v>
                </c:pt>
                <c:pt idx="2">
                  <c:v>0.29597915721071311</c:v>
                </c:pt>
                <c:pt idx="3">
                  <c:v>0.32371535382376249</c:v>
                </c:pt>
                <c:pt idx="4">
                  <c:v>0.31869230969516499</c:v>
                </c:pt>
                <c:pt idx="5">
                  <c:v>0.31639888619746309</c:v>
                </c:pt>
                <c:pt idx="6">
                  <c:v>0.30911522233776406</c:v>
                </c:pt>
                <c:pt idx="7">
                  <c:v>0.3124809832093135</c:v>
                </c:pt>
                <c:pt idx="8">
                  <c:v>0.31296933705760799</c:v>
                </c:pt>
                <c:pt idx="9">
                  <c:v>0.31293527912960839</c:v>
                </c:pt>
              </c:numCache>
            </c:numRef>
          </c:val>
          <c:smooth val="0"/>
          <c:extLst>
            <c:ext xmlns:c16="http://schemas.microsoft.com/office/drawing/2014/chart" uri="{C3380CC4-5D6E-409C-BE32-E72D297353CC}">
              <c16:uniqueId val="{00000001-865D-4F4B-A6EA-0D175686B4CF}"/>
            </c:ext>
          </c:extLst>
        </c:ser>
        <c:dLbls>
          <c:showLegendKey val="0"/>
          <c:showVal val="0"/>
          <c:showCatName val="0"/>
          <c:showSerName val="0"/>
          <c:showPercent val="0"/>
          <c:showBubbleSize val="0"/>
        </c:dLbls>
        <c:marker val="1"/>
        <c:smooth val="0"/>
        <c:axId val="1454970896"/>
        <c:axId val="2112779088"/>
      </c:lineChart>
      <c:catAx>
        <c:axId val="16524703"/>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2112785536"/>
        <c:crosses val="autoZero"/>
        <c:auto val="1"/>
        <c:lblAlgn val="ctr"/>
        <c:lblOffset val="100"/>
        <c:noMultiLvlLbl val="0"/>
      </c:catAx>
      <c:valAx>
        <c:axId val="2112785536"/>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6524703"/>
        <c:crosses val="autoZero"/>
        <c:crossBetween val="between"/>
      </c:valAx>
      <c:valAx>
        <c:axId val="2112779088"/>
        <c:scaling>
          <c:orientation val="minMax"/>
          <c:min val="0"/>
        </c:scaling>
        <c:delete val="0"/>
        <c:axPos val="r"/>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454970896"/>
        <c:crosses val="max"/>
        <c:crossBetween val="between"/>
      </c:valAx>
      <c:catAx>
        <c:axId val="1454970896"/>
        <c:scaling>
          <c:orientation val="minMax"/>
        </c:scaling>
        <c:delete val="1"/>
        <c:axPos val="b"/>
        <c:majorTickMark val="out"/>
        <c:minorTickMark val="none"/>
        <c:tickLblPos val="nextTo"/>
        <c:crossAx val="2112779088"/>
        <c:crosses val="autoZero"/>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mn-lt"/>
          <a:ea typeface="+mn-ea"/>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r>
              <a:rPr lang="en-US"/>
              <a:t>GPM by geography</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833333333333337"/>
          <c:h val="0.69992672790901134"/>
        </c:manualLayout>
      </c:layout>
      <c:lineChart>
        <c:grouping val="standard"/>
        <c:varyColors val="0"/>
        <c:ser>
          <c:idx val="1"/>
          <c:order val="0"/>
          <c:tx>
            <c:strRef>
              <c:f>Assumption!$A$69</c:f>
              <c:strCache>
                <c:ptCount val="1"/>
                <c:pt idx="0">
                  <c:v>Outside mainland China</c:v>
                </c:pt>
              </c:strCache>
            </c:strRef>
          </c:tx>
          <c:spPr>
            <a:ln w="28575" cap="rnd" cmpd="sng" algn="ctr">
              <a:solidFill>
                <a:srgbClr val="CCCCCC"/>
              </a:solidFill>
              <a:prstDash val="solid"/>
              <a:round/>
              <a:headEnd type="none" w="med" len="med"/>
              <a:tailEnd type="none" w="med" len="med"/>
            </a:ln>
            <a:effectLst/>
          </c:spPr>
          <c:marker>
            <c:symbol val="circle"/>
            <c:size val="5"/>
            <c:spPr>
              <a:solidFill>
                <a:srgbClr val="ED7D31"/>
              </a:solidFill>
              <a:ln w="19050" cap="rnd" cmpd="sng" algn="ctr">
                <a:solidFill>
                  <a:srgbClr val="CCCCCC"/>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Assumption!$G$4:$T$4</c15:sqref>
                  </c15:fullRef>
                </c:ext>
              </c:extLst>
              <c:f>(Assumption!$G$4:$O$4,Assumption!$R$4:$T$4)</c:f>
              <c:strCache>
                <c:ptCount val="10"/>
                <c:pt idx="0">
                  <c:v>2021</c:v>
                </c:pt>
                <c:pt idx="1">
                  <c:v>2022</c:v>
                </c:pt>
                <c:pt idx="2">
                  <c:v>2023</c:v>
                </c:pt>
                <c:pt idx="3">
                  <c:v>9M24</c:v>
                </c:pt>
                <c:pt idx="4">
                  <c:v>2024H1</c:v>
                </c:pt>
                <c:pt idx="5">
                  <c:v>2024H2</c:v>
                </c:pt>
                <c:pt idx="6">
                  <c:v>2024</c:v>
                </c:pt>
                <c:pt idx="7">
                  <c:v>2025E</c:v>
                </c:pt>
                <c:pt idx="8">
                  <c:v>2026E</c:v>
                </c:pt>
                <c:pt idx="9">
                  <c:v>2027E</c:v>
                </c:pt>
              </c:strCache>
            </c:strRef>
          </c:cat>
          <c:val>
            <c:numRef>
              <c:extLst>
                <c:ext xmlns:c15="http://schemas.microsoft.com/office/drawing/2012/chart" uri="{02D57815-91ED-43cb-92C2-25804820EDAC}">
                  <c15:fullRef>
                    <c15:sqref>Assumption!$G$69:$T$69</c15:sqref>
                  </c15:fullRef>
                </c:ext>
              </c:extLst>
              <c:f>(Assumption!$G$69:$O$69,Assumption!$R$69:$T$69)</c:f>
              <c:numCache>
                <c:formatCode>0.0%_);\(0.0%\);\-\-"%"_)</c:formatCode>
                <c:ptCount val="10"/>
                <c:pt idx="0">
                  <c:v>0.40977451117457908</c:v>
                </c:pt>
                <c:pt idx="1">
                  <c:v>0.4300921130511986</c:v>
                </c:pt>
                <c:pt idx="2">
                  <c:v>0.4078286565895417</c:v>
                </c:pt>
                <c:pt idx="3">
                  <c:v>0.39486875788828196</c:v>
                </c:pt>
                <c:pt idx="4">
                  <c:v>0.38734358798638374</c:v>
                </c:pt>
                <c:pt idx="5">
                  <c:v>0.26816101478444676</c:v>
                </c:pt>
                <c:pt idx="6">
                  <c:v>0.31796300101229141</c:v>
                </c:pt>
                <c:pt idx="7">
                  <c:v>0.36891888654019711</c:v>
                </c:pt>
                <c:pt idx="8">
                  <c:v>0.31217706058672995</c:v>
                </c:pt>
                <c:pt idx="9">
                  <c:v>0.31130844808374253</c:v>
                </c:pt>
              </c:numCache>
            </c:numRef>
          </c:val>
          <c:smooth val="0"/>
          <c:extLst>
            <c:ext xmlns:c16="http://schemas.microsoft.com/office/drawing/2014/chart" uri="{C3380CC4-5D6E-409C-BE32-E72D297353CC}">
              <c16:uniqueId val="{00000001-BB9A-4FEA-8359-9B22DDD18D98}"/>
            </c:ext>
          </c:extLst>
        </c:ser>
        <c:ser>
          <c:idx val="2"/>
          <c:order val="1"/>
          <c:tx>
            <c:strRef>
              <c:f>Assumption!$A$68</c:f>
              <c:strCache>
                <c:ptCount val="1"/>
                <c:pt idx="0">
                  <c:v>Mainland China</c:v>
                </c:pt>
              </c:strCache>
            </c:strRef>
          </c:tx>
          <c:spPr>
            <a:ln w="28575" cap="rnd" cmpd="sng" algn="ctr">
              <a:solidFill>
                <a:srgbClr val="6FB6DF"/>
              </a:solidFill>
              <a:prstDash val="solid"/>
              <a:round/>
              <a:headEnd type="none" w="med" len="med"/>
              <a:tailEnd type="none" w="med" len="med"/>
            </a:ln>
            <a:effectLst/>
          </c:spPr>
          <c:marker>
            <c:symbol val="circle"/>
            <c:size val="5"/>
            <c:spPr>
              <a:solidFill>
                <a:srgbClr val="A5A5A5"/>
              </a:solidFill>
              <a:ln w="19050" cap="rnd" cmpd="sng" algn="ctr">
                <a:solidFill>
                  <a:srgbClr val="6FB6DF"/>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Assumption!$G$4:$T$4</c15:sqref>
                  </c15:fullRef>
                </c:ext>
              </c:extLst>
              <c:f>(Assumption!$G$4:$O$4,Assumption!$R$4:$T$4)</c:f>
              <c:strCache>
                <c:ptCount val="10"/>
                <c:pt idx="0">
                  <c:v>2021</c:v>
                </c:pt>
                <c:pt idx="1">
                  <c:v>2022</c:v>
                </c:pt>
                <c:pt idx="2">
                  <c:v>2023</c:v>
                </c:pt>
                <c:pt idx="3">
                  <c:v>9M24</c:v>
                </c:pt>
                <c:pt idx="4">
                  <c:v>2024H1</c:v>
                </c:pt>
                <c:pt idx="5">
                  <c:v>2024H2</c:v>
                </c:pt>
                <c:pt idx="6">
                  <c:v>2024</c:v>
                </c:pt>
                <c:pt idx="7">
                  <c:v>2025E</c:v>
                </c:pt>
                <c:pt idx="8">
                  <c:v>2026E</c:v>
                </c:pt>
                <c:pt idx="9">
                  <c:v>2027E</c:v>
                </c:pt>
              </c:strCache>
            </c:strRef>
          </c:cat>
          <c:val>
            <c:numRef>
              <c:extLst>
                <c:ext xmlns:c15="http://schemas.microsoft.com/office/drawing/2012/chart" uri="{02D57815-91ED-43cb-92C2-25804820EDAC}">
                  <c15:fullRef>
                    <c15:sqref>Assumption!$G$68:$T$68</c15:sqref>
                  </c15:fullRef>
                </c:ext>
              </c:extLst>
              <c:f>(Assumption!$G$68:$O$68,Assumption!$R$68:$T$68)</c:f>
              <c:numCache>
                <c:formatCode>0.0%_);\(0.0%\);\-\-"%"_)</c:formatCode>
                <c:ptCount val="10"/>
                <c:pt idx="0">
                  <c:v>0.31291825766579812</c:v>
                </c:pt>
                <c:pt idx="1">
                  <c:v>0.27727882382553903</c:v>
                </c:pt>
                <c:pt idx="2">
                  <c:v>0.28714004540822735</c:v>
                </c:pt>
                <c:pt idx="3">
                  <c:v>0.31988847091333866</c:v>
                </c:pt>
                <c:pt idx="4">
                  <c:v>0.315</c:v>
                </c:pt>
                <c:pt idx="5">
                  <c:v>0.33256542978400089</c:v>
                </c:pt>
                <c:pt idx="6">
                  <c:v>0.32500000000000001</c:v>
                </c:pt>
                <c:pt idx="7">
                  <c:v>0.31</c:v>
                </c:pt>
                <c:pt idx="8">
                  <c:v>0.313</c:v>
                </c:pt>
                <c:pt idx="9">
                  <c:v>0.313</c:v>
                </c:pt>
              </c:numCache>
            </c:numRef>
          </c:val>
          <c:smooth val="0"/>
          <c:extLst>
            <c:ext xmlns:c16="http://schemas.microsoft.com/office/drawing/2014/chart" uri="{C3380CC4-5D6E-409C-BE32-E72D297353CC}">
              <c16:uniqueId val="{00000002-BB9A-4FEA-8359-9B22DDD18D98}"/>
            </c:ext>
          </c:extLst>
        </c:ser>
        <c:dLbls>
          <c:showLegendKey val="0"/>
          <c:showVal val="0"/>
          <c:showCatName val="0"/>
          <c:showSerName val="0"/>
          <c:showPercent val="0"/>
          <c:showBubbleSize val="0"/>
        </c:dLbls>
        <c:marker val="1"/>
        <c:smooth val="0"/>
        <c:axId val="1347239680"/>
        <c:axId val="1346658912"/>
      </c:lineChart>
      <c:catAx>
        <c:axId val="1347239680"/>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346658912"/>
        <c:crosses val="autoZero"/>
        <c:auto val="1"/>
        <c:lblAlgn val="ctr"/>
        <c:lblOffset val="100"/>
        <c:noMultiLvlLbl val="0"/>
      </c:catAx>
      <c:valAx>
        <c:axId val="1346658912"/>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347239680"/>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mn-lt"/>
          <a:ea typeface="+mn-ea"/>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r>
              <a:rPr lang="en-US"/>
              <a:t>As % of revenues</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rgbClr val="000000"/>
              </a:solidFill>
              <a:latin typeface="+mn-lt"/>
              <a:ea typeface="+mn-ea"/>
              <a:cs typeface="+mn-cs"/>
            </a:defRPr>
          </a:pPr>
          <a:endParaRPr lang="en-US"/>
        </a:p>
      </c:txPr>
    </c:title>
    <c:autoTitleDeleted val="0"/>
    <c:plotArea>
      <c:layout>
        <c:manualLayout>
          <c:xMode val="edge"/>
          <c:yMode val="edge"/>
          <c:x val="1.1111111111111112E-2"/>
          <c:y val="0.10949074074074074"/>
          <c:w val="0.95833333333333337"/>
          <c:h val="0.77669947506561676"/>
        </c:manualLayout>
      </c:layout>
      <c:lineChart>
        <c:grouping val="standard"/>
        <c:varyColors val="0"/>
        <c:ser>
          <c:idx val="0"/>
          <c:order val="0"/>
          <c:tx>
            <c:strRef>
              <c:f>Assumption!$B$185</c:f>
              <c:strCache>
                <c:ptCount val="1"/>
                <c:pt idx="0">
                  <c:v>S&amp;D expenses</c:v>
                </c:pt>
              </c:strCache>
            </c:strRef>
          </c:tx>
          <c:spPr>
            <a:ln w="12700" cap="rnd" cmpd="sng" algn="ctr">
              <a:solidFill>
                <a:srgbClr val="CCCCCC"/>
              </a:solidFill>
              <a:prstDash val="solid"/>
              <a:round/>
              <a:headEnd type="none" w="med" len="med"/>
              <a:tailEnd type="none" w="med" len="med"/>
            </a:ln>
            <a:effectLst/>
          </c:spPr>
          <c:marker>
            <c:symbol val="circle"/>
            <c:size val="5"/>
            <c:spPr>
              <a:solidFill>
                <a:srgbClr val="4472C4"/>
              </a:solidFill>
              <a:ln w="12700" cap="rnd" cmpd="sng" algn="ctr">
                <a:solidFill>
                  <a:srgbClr val="CCCCCC"/>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Assumption!$I$3:$T$3</c15:sqref>
                  </c15:fullRef>
                </c:ext>
              </c:extLst>
              <c:f>(Assumption!$I$3:$M$3,Assumption!$P$3:$T$3)</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Assumption!$I$185:$T$185</c15:sqref>
                  </c15:fullRef>
                </c:ext>
              </c:extLst>
              <c:f>(Assumption!$I$185:$M$185,Assumption!$P$185:$T$185)</c:f>
              <c:numCache>
                <c:formatCode>0.0%_);\(0.0%\);\-\-"%"_)</c:formatCode>
                <c:ptCount val="9"/>
                <c:pt idx="0">
                  <c:v>5.7045899411862937E-2</c:v>
                </c:pt>
                <c:pt idx="1">
                  <c:v>6.4947187447435564E-2</c:v>
                </c:pt>
                <c:pt idx="2">
                  <c:v>5.8794712940008431E-2</c:v>
                </c:pt>
                <c:pt idx="3">
                  <c:v>6.1017861293948684E-2</c:v>
                </c:pt>
                <c:pt idx="4">
                  <c:v>6.142458703167214E-2</c:v>
                </c:pt>
                <c:pt idx="5">
                  <c:v>6.6993121024042451E-2</c:v>
                </c:pt>
                <c:pt idx="6">
                  <c:v>6.4419916908032157E-2</c:v>
                </c:pt>
                <c:pt idx="7">
                  <c:v>6.4419916908032157E-2</c:v>
                </c:pt>
                <c:pt idx="8">
                  <c:v>6.4419916908032157E-2</c:v>
                </c:pt>
              </c:numCache>
            </c:numRef>
          </c:val>
          <c:smooth val="0"/>
          <c:extLst>
            <c:ext xmlns:c16="http://schemas.microsoft.com/office/drawing/2014/chart" uri="{C3380CC4-5D6E-409C-BE32-E72D297353CC}">
              <c16:uniqueId val="{00000000-26C4-45BE-9DB8-8EE6FC1D3D9D}"/>
            </c:ext>
          </c:extLst>
        </c:ser>
        <c:ser>
          <c:idx val="1"/>
          <c:order val="1"/>
          <c:tx>
            <c:strRef>
              <c:f>Assumption!$B$186</c:f>
              <c:strCache>
                <c:ptCount val="1"/>
                <c:pt idx="0">
                  <c:v>G&amp;A expenses</c:v>
                </c:pt>
              </c:strCache>
            </c:strRef>
          </c:tx>
          <c:spPr>
            <a:ln w="12700" cap="rnd" cmpd="sng" algn="ctr">
              <a:solidFill>
                <a:srgbClr val="6FB6DF"/>
              </a:solidFill>
              <a:prstDash val="solid"/>
              <a:round/>
              <a:headEnd type="none" w="med" len="med"/>
              <a:tailEnd type="none" w="med" len="med"/>
            </a:ln>
            <a:effectLst/>
          </c:spPr>
          <c:marker>
            <c:symbol val="circle"/>
            <c:size val="5"/>
            <c:spPr>
              <a:solidFill>
                <a:srgbClr val="ED7D31"/>
              </a:solidFill>
              <a:ln w="12700" cap="rnd" cmpd="sng" algn="ctr">
                <a:solidFill>
                  <a:srgbClr val="6FB6DF"/>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Assumption!$I$3:$T$3</c15:sqref>
                  </c15:fullRef>
                </c:ext>
              </c:extLst>
              <c:f>(Assumption!$I$3:$M$3,Assumption!$P$3:$T$3)</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Assumption!$I$186:$T$186</c15:sqref>
                  </c15:fullRef>
                </c:ext>
              </c:extLst>
              <c:f>(Assumption!$I$186:$M$186,Assumption!$P$186:$T$186)</c:f>
              <c:numCache>
                <c:formatCode>0.0%_);\(0.0%\);\-\-"%"_)</c:formatCode>
                <c:ptCount val="9"/>
                <c:pt idx="0">
                  <c:v>3.6573473083317196E-2</c:v>
                </c:pt>
                <c:pt idx="1">
                  <c:v>3.0076249361838576E-2</c:v>
                </c:pt>
                <c:pt idx="2">
                  <c:v>2.3230313117524954E-2</c:v>
                </c:pt>
                <c:pt idx="3">
                  <c:v>2.6179037775775977E-2</c:v>
                </c:pt>
                <c:pt idx="4">
                  <c:v>2.9422226530774278E-2</c:v>
                </c:pt>
                <c:pt idx="5">
                  <c:v>3.1263730593733947E-2</c:v>
                </c:pt>
                <c:pt idx="6">
                  <c:v>3.0412776672836633E-2</c:v>
                </c:pt>
                <c:pt idx="7">
                  <c:v>3.0412776672836633E-2</c:v>
                </c:pt>
                <c:pt idx="8">
                  <c:v>3.0412776672836633E-2</c:v>
                </c:pt>
              </c:numCache>
            </c:numRef>
          </c:val>
          <c:smooth val="0"/>
          <c:extLst>
            <c:ext xmlns:c16="http://schemas.microsoft.com/office/drawing/2014/chart" uri="{C3380CC4-5D6E-409C-BE32-E72D297353CC}">
              <c16:uniqueId val="{00000001-26C4-45BE-9DB8-8EE6FC1D3D9D}"/>
            </c:ext>
          </c:extLst>
        </c:ser>
        <c:ser>
          <c:idx val="2"/>
          <c:order val="2"/>
          <c:tx>
            <c:strRef>
              <c:f>Assumption!$B$187</c:f>
              <c:strCache>
                <c:ptCount val="1"/>
                <c:pt idx="0">
                  <c:v>R&amp;D expense</c:v>
                </c:pt>
              </c:strCache>
            </c:strRef>
          </c:tx>
          <c:spPr>
            <a:ln w="12700" cap="rnd" cmpd="sng" algn="ctr">
              <a:solidFill>
                <a:srgbClr val="474747"/>
              </a:solidFill>
              <a:prstDash val="solid"/>
              <a:round/>
              <a:headEnd type="none" w="med" len="med"/>
              <a:tailEnd type="none" w="med" len="med"/>
            </a:ln>
            <a:effectLst/>
          </c:spPr>
          <c:marker>
            <c:symbol val="circle"/>
            <c:size val="5"/>
            <c:spPr>
              <a:solidFill>
                <a:srgbClr val="A5A5A5"/>
              </a:solidFill>
              <a:ln w="12700" cap="rnd" cmpd="sng" algn="ctr">
                <a:solidFill>
                  <a:srgbClr val="474747"/>
                </a:solidFill>
                <a:prstDash val="solid"/>
                <a:round/>
                <a:headEnd type="none" w="med" len="med"/>
                <a:tailEnd type="none" w="med" len="me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Assumption!$I$3:$T$3</c15:sqref>
                  </c15:fullRef>
                </c:ext>
              </c:extLst>
              <c:f>(Assumption!$I$3:$M$3,Assumption!$P$3:$T$3)</c:f>
              <c:strCache>
                <c:ptCount val="9"/>
                <c:pt idx="0">
                  <c:v>2022</c:v>
                </c:pt>
                <c:pt idx="1">
                  <c:v>2023</c:v>
                </c:pt>
                <c:pt idx="2">
                  <c:v>9M24</c:v>
                </c:pt>
                <c:pt idx="3">
                  <c:v>2024H1</c:v>
                </c:pt>
                <c:pt idx="4">
                  <c:v>2025H1</c:v>
                </c:pt>
                <c:pt idx="5">
                  <c:v>2025H2E</c:v>
                </c:pt>
                <c:pt idx="6">
                  <c:v>2025E</c:v>
                </c:pt>
                <c:pt idx="7">
                  <c:v>2026E</c:v>
                </c:pt>
                <c:pt idx="8">
                  <c:v>2027E</c:v>
                </c:pt>
              </c:strCache>
            </c:strRef>
          </c:cat>
          <c:val>
            <c:numRef>
              <c:extLst>
                <c:ext xmlns:c15="http://schemas.microsoft.com/office/drawing/2012/chart" uri="{02D57815-91ED-43cb-92C2-25804820EDAC}">
                  <c15:fullRef>
                    <c15:sqref>Assumption!$I$187:$T$187</c15:sqref>
                  </c15:fullRef>
                </c:ext>
              </c:extLst>
              <c:f>(Assumption!$I$187:$M$187,Assumption!$P$187:$T$187)</c:f>
              <c:numCache>
                <c:formatCode>0.0%_);\(0.0%\);\-\-"%"_)</c:formatCode>
                <c:ptCount val="9"/>
                <c:pt idx="0">
                  <c:v>2.379567365718599E-3</c:v>
                </c:pt>
                <c:pt idx="1">
                  <c:v>4.1866837352016123E-3</c:v>
                </c:pt>
                <c:pt idx="2">
                  <c:v>3.4729979965884713E-3</c:v>
                </c:pt>
                <c:pt idx="3">
                  <c:v>3.7769781814346918E-3</c:v>
                </c:pt>
                <c:pt idx="4">
                  <c:v>2.758825340211091E-3</c:v>
                </c:pt>
                <c:pt idx="5">
                  <c:v>5.4821541779686827E-3</c:v>
                </c:pt>
                <c:pt idx="6">
                  <c:v>4.223711473987906E-3</c:v>
                </c:pt>
                <c:pt idx="7">
                  <c:v>4.223711473987906E-3</c:v>
                </c:pt>
                <c:pt idx="8">
                  <c:v>4.223711473987906E-3</c:v>
                </c:pt>
              </c:numCache>
            </c:numRef>
          </c:val>
          <c:smooth val="0"/>
          <c:extLst>
            <c:ext xmlns:c16="http://schemas.microsoft.com/office/drawing/2014/chart" uri="{C3380CC4-5D6E-409C-BE32-E72D297353CC}">
              <c16:uniqueId val="{00000002-26C4-45BE-9DB8-8EE6FC1D3D9D}"/>
            </c:ext>
          </c:extLst>
        </c:ser>
        <c:dLbls>
          <c:showLegendKey val="0"/>
          <c:showVal val="0"/>
          <c:showCatName val="0"/>
          <c:showSerName val="0"/>
          <c:showPercent val="0"/>
          <c:showBubbleSize val="0"/>
        </c:dLbls>
        <c:marker val="1"/>
        <c:smooth val="0"/>
        <c:axId val="1265823584"/>
        <c:axId val="742206832"/>
      </c:lineChart>
      <c:catAx>
        <c:axId val="1265823584"/>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742206832"/>
        <c:crosses val="autoZero"/>
        <c:auto val="1"/>
        <c:lblAlgn val="ctr"/>
        <c:lblOffset val="100"/>
        <c:noMultiLvlLbl val="0"/>
      </c:catAx>
      <c:valAx>
        <c:axId val="742206832"/>
        <c:scaling>
          <c:orientation val="minMax"/>
        </c:scaling>
        <c:delete val="0"/>
        <c:axPos val="l"/>
        <c:numFmt formatCode="0.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crossAx val="1265823584"/>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mn-lt"/>
          <a:ea typeface="+mn-ea"/>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rgbClr val="000000"/>
                </a:solidFill>
                <a:latin typeface="Frutiger 45 Light" panose="020B0603020202020204" pitchFamily="34" charset="0"/>
                <a:ea typeface="+mn-ea"/>
                <a:cs typeface="+mn-cs"/>
              </a:defRPr>
            </a:pPr>
            <a:r>
              <a:rPr lang="en-US"/>
              <a:t>Sales per store YoY</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rgbClr val="000000"/>
              </a:solidFill>
              <a:latin typeface="Frutiger 45 Light" panose="020B0603020202020204" pitchFamily="34" charset="0"/>
              <a:ea typeface="+mn-ea"/>
              <a:cs typeface="+mn-cs"/>
            </a:defRPr>
          </a:pPr>
          <a:endParaRPr lang="en-US"/>
        </a:p>
      </c:txPr>
    </c:title>
    <c:autoTitleDeleted val="0"/>
    <c:plotArea>
      <c:layout>
        <c:manualLayout>
          <c:xMode val="edge"/>
          <c:yMode val="edge"/>
          <c:x val="1.1111111111111112E-2"/>
          <c:y val="0.10949074074074074"/>
          <c:w val="0.95833333333333337"/>
          <c:h val="0.77669947506561676"/>
        </c:manualLayout>
      </c:layout>
      <c:lineChart>
        <c:grouping val="standard"/>
        <c:varyColors val="0"/>
        <c:ser>
          <c:idx val="0"/>
          <c:order val="0"/>
          <c:tx>
            <c:strRef>
              <c:f>Assumption!$B$86</c:f>
              <c:strCache>
                <c:ptCount val="1"/>
                <c:pt idx="0">
                  <c:v>Mainland China stores</c:v>
                </c:pt>
              </c:strCache>
            </c:strRef>
          </c:tx>
          <c:spPr>
            <a:ln w="19050" cap="rnd" cmpd="sng" algn="ctr">
              <a:solidFill>
                <a:srgbClr val="4D3C2F"/>
              </a:solidFill>
              <a:prstDash val="solid"/>
              <a:round/>
              <a:headEnd type="none" w="med" len="med"/>
              <a:tailEnd type="none" w="med" len="med"/>
            </a:ln>
            <a:effectLst/>
          </c:spPr>
          <c:marker>
            <c:symbol val="none"/>
          </c:marker>
          <c:cat>
            <c:strRef>
              <c:extLst>
                <c:ext xmlns:c15="http://schemas.microsoft.com/office/drawing/2012/chart" uri="{02D57815-91ED-43cb-92C2-25804820EDAC}">
                  <c15:fullRef>
                    <c15:sqref>Assumption!$I$3:$T$3</c15:sqref>
                  </c15:fullRef>
                </c:ext>
              </c:extLst>
              <c:f>(Assumption!$I$3:$O$3,Assumption!$R$3:$T$3)</c:f>
              <c:strCache>
                <c:ptCount val="9"/>
                <c:pt idx="0">
                  <c:v>2022</c:v>
                </c:pt>
                <c:pt idx="1">
                  <c:v>2023</c:v>
                </c:pt>
                <c:pt idx="2">
                  <c:v>9M24</c:v>
                </c:pt>
                <c:pt idx="3">
                  <c:v>2024H1</c:v>
                </c:pt>
                <c:pt idx="4">
                  <c:v>2024H2</c:v>
                </c:pt>
                <c:pt idx="5">
                  <c:v>2024</c:v>
                </c:pt>
                <c:pt idx="6">
                  <c:v>2025E</c:v>
                </c:pt>
                <c:pt idx="7">
                  <c:v>2026E</c:v>
                </c:pt>
                <c:pt idx="8">
                  <c:v>2027E</c:v>
                </c:pt>
              </c:strCache>
            </c:strRef>
          </c:cat>
          <c:val>
            <c:numRef>
              <c:extLst>
                <c:ext xmlns:c15="http://schemas.microsoft.com/office/drawing/2012/chart" uri="{02D57815-91ED-43cb-92C2-25804820EDAC}">
                  <c15:fullRef>
                    <c15:sqref>Assumption!$I$110:$T$110</c15:sqref>
                  </c15:fullRef>
                </c:ext>
              </c:extLst>
              <c:f>(Assumption!$I$110:$O$110,Assumption!$R$110:$T$110)</c:f>
              <c:numCache>
                <c:formatCode>0.0%_);\(0.0%\);\-\-"%"_)</c:formatCode>
                <c:ptCount val="9"/>
                <c:pt idx="0">
                  <c:v>-0.1066616013866265</c:v>
                </c:pt>
                <c:pt idx="1">
                  <c:v>0.17753048476154176</c:v>
                </c:pt>
                <c:pt idx="5">
                  <c:v>2.4138605735546381E-3</c:v>
                </c:pt>
                <c:pt idx="6">
                  <c:v>8.0000000000000071E-2</c:v>
                </c:pt>
                <c:pt idx="7">
                  <c:v>-5.0000000000000044E-2</c:v>
                </c:pt>
                <c:pt idx="8">
                  <c:v>1.0000000000000009E-2</c:v>
                </c:pt>
              </c:numCache>
            </c:numRef>
          </c:val>
          <c:smooth val="0"/>
          <c:extLst>
            <c:ext xmlns:c16="http://schemas.microsoft.com/office/drawing/2014/chart" uri="{C3380CC4-5D6E-409C-BE32-E72D297353CC}">
              <c16:uniqueId val="{00000000-B81A-47CE-9C3B-DD4C1747474B}"/>
            </c:ext>
          </c:extLst>
        </c:ser>
        <c:ser>
          <c:idx val="1"/>
          <c:order val="1"/>
          <c:tx>
            <c:strRef>
              <c:f>Assumption!$B$87</c:f>
              <c:strCache>
                <c:ptCount val="1"/>
                <c:pt idx="0">
                  <c:v>Stores outside mainland China</c:v>
                </c:pt>
              </c:strCache>
            </c:strRef>
          </c:tx>
          <c:spPr>
            <a:ln w="19050" cap="rnd" cmpd="sng" algn="ctr">
              <a:solidFill>
                <a:srgbClr val="CFBD9B"/>
              </a:solidFill>
              <a:prstDash val="dash"/>
              <a:round/>
              <a:headEnd type="none" w="med" len="med"/>
              <a:tailEnd type="none" w="med" len="med"/>
            </a:ln>
            <a:effectLst/>
          </c:spPr>
          <c:marker>
            <c:symbol val="none"/>
          </c:marker>
          <c:cat>
            <c:strRef>
              <c:extLst>
                <c:ext xmlns:c15="http://schemas.microsoft.com/office/drawing/2012/chart" uri="{02D57815-91ED-43cb-92C2-25804820EDAC}">
                  <c15:fullRef>
                    <c15:sqref>Assumption!$I$3:$T$3</c15:sqref>
                  </c15:fullRef>
                </c:ext>
              </c:extLst>
              <c:f>(Assumption!$I$3:$O$3,Assumption!$R$3:$T$3)</c:f>
              <c:strCache>
                <c:ptCount val="9"/>
                <c:pt idx="0">
                  <c:v>2022</c:v>
                </c:pt>
                <c:pt idx="1">
                  <c:v>2023</c:v>
                </c:pt>
                <c:pt idx="2">
                  <c:v>9M24</c:v>
                </c:pt>
                <c:pt idx="3">
                  <c:v>2024H1</c:v>
                </c:pt>
                <c:pt idx="4">
                  <c:v>2024H2</c:v>
                </c:pt>
                <c:pt idx="5">
                  <c:v>2024</c:v>
                </c:pt>
                <c:pt idx="6">
                  <c:v>2025E</c:v>
                </c:pt>
                <c:pt idx="7">
                  <c:v>2026E</c:v>
                </c:pt>
                <c:pt idx="8">
                  <c:v>2027E</c:v>
                </c:pt>
              </c:strCache>
            </c:strRef>
          </c:cat>
          <c:val>
            <c:numRef>
              <c:extLst>
                <c:ext xmlns:c15="http://schemas.microsoft.com/office/drawing/2012/chart" uri="{02D57815-91ED-43cb-92C2-25804820EDAC}">
                  <c15:fullRef>
                    <c15:sqref>Assumption!$I$114:$T$114</c15:sqref>
                  </c15:fullRef>
                </c:ext>
              </c:extLst>
              <c:f>(Assumption!$I$114:$O$114,Assumption!$R$114:$T$114)</c:f>
              <c:numCache>
                <c:formatCode>0.0%_);\(0.0%\);\-\-"%"_)</c:formatCode>
                <c:ptCount val="9"/>
                <c:pt idx="0">
                  <c:v>7.3683177984324777E-2</c:v>
                </c:pt>
                <c:pt idx="1">
                  <c:v>-0.13371460667754775</c:v>
                </c:pt>
                <c:pt idx="5">
                  <c:v>-0.35</c:v>
                </c:pt>
                <c:pt idx="6">
                  <c:v>0</c:v>
                </c:pt>
                <c:pt idx="7">
                  <c:v>0</c:v>
                </c:pt>
                <c:pt idx="8">
                  <c:v>3.0000000000000027E-2</c:v>
                </c:pt>
              </c:numCache>
            </c:numRef>
          </c:val>
          <c:smooth val="0"/>
          <c:extLst>
            <c:ext xmlns:c16="http://schemas.microsoft.com/office/drawing/2014/chart" uri="{C3380CC4-5D6E-409C-BE32-E72D297353CC}">
              <c16:uniqueId val="{00000001-B81A-47CE-9C3B-DD4C1747474B}"/>
            </c:ext>
          </c:extLst>
        </c:ser>
        <c:dLbls>
          <c:showLegendKey val="0"/>
          <c:showVal val="0"/>
          <c:showCatName val="0"/>
          <c:showSerName val="0"/>
          <c:showPercent val="0"/>
          <c:showBubbleSize val="0"/>
        </c:dLbls>
        <c:smooth val="0"/>
        <c:axId val="1265834624"/>
        <c:axId val="789054304"/>
      </c:lineChart>
      <c:catAx>
        <c:axId val="1265834624"/>
        <c:scaling>
          <c:orientation val="minMax"/>
        </c:scaling>
        <c:delete val="0"/>
        <c:axPos val="b"/>
        <c:numFmt formatCode="General" sourceLinked="1"/>
        <c:majorTickMark val="none"/>
        <c:minorTickMark val="none"/>
        <c:tickLblPos val="low"/>
        <c:spPr>
          <a:noFill/>
          <a:ln w="12700"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Frutiger 45 Light" panose="020B0603020202020204" pitchFamily="34" charset="0"/>
                <a:ea typeface="+mn-ea"/>
                <a:cs typeface="+mn-cs"/>
              </a:defRPr>
            </a:pPr>
            <a:endParaRPr lang="en-US"/>
          </a:p>
        </c:txPr>
        <c:crossAx val="789054304"/>
        <c:crosses val="autoZero"/>
        <c:auto val="1"/>
        <c:lblAlgn val="ctr"/>
        <c:lblOffset val="100"/>
        <c:noMultiLvlLbl val="0"/>
      </c:catAx>
      <c:valAx>
        <c:axId val="789054304"/>
        <c:scaling>
          <c:orientation val="minMax"/>
          <c:max val="0.2"/>
          <c:min val="-0.35000000000000003"/>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Frutiger 45 Light" panose="020B0603020202020204" pitchFamily="34" charset="0"/>
                <a:ea typeface="+mn-ea"/>
                <a:cs typeface="+mn-cs"/>
              </a:defRPr>
            </a:pPr>
            <a:endParaRPr lang="en-US"/>
          </a:p>
        </c:txPr>
        <c:crossAx val="1265834624"/>
        <c:crosses val="autoZero"/>
        <c:crossBetween val="between"/>
        <c:majorUnit val="5.000000000000001E-2"/>
      </c:valAx>
      <c:spPr>
        <a:solidFill>
          <a:srgbClr val="FFFFFF"/>
        </a:solidFill>
        <a:ln>
          <a:noFill/>
        </a:ln>
        <a:effectLst/>
      </c:spPr>
    </c:plotArea>
    <c:legend>
      <c:legendPos val="b"/>
      <c:layout>
        <c:manualLayout>
          <c:xMode val="edge"/>
          <c:yMode val="edge"/>
          <c:x val="0.1397040682414698"/>
          <c:y val="0.92746609798775148"/>
          <c:w val="0.73170275590551181"/>
          <c:h val="7.2533902012248463E-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800">
          <a:solidFill>
            <a:srgbClr val="000000"/>
          </a:solidFill>
          <a:latin typeface="Frutiger 45 Light" panose="020B0603020202020204" pitchFamily="34" charset="0"/>
          <a:ea typeface="+mn-ea"/>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120100069918"/>
          <c:y val="0.1917942064738038"/>
          <c:w val="0.59608517029670893"/>
          <c:h val="0.66358068452383145"/>
        </c:manualLayout>
      </c:layout>
      <c:pieChart>
        <c:varyColors val="1"/>
        <c:ser>
          <c:idx val="0"/>
          <c:order val="0"/>
          <c:spPr>
            <a:ln w="9525">
              <a:solidFill>
                <a:srgbClr val="FFFFFF"/>
              </a:solidFill>
            </a:ln>
          </c:spPr>
          <c:dPt>
            <c:idx val="0"/>
            <c:bubble3D val="0"/>
            <c:spPr>
              <a:solidFill>
                <a:srgbClr val="CCCCCC"/>
              </a:solidFill>
              <a:ln w="9525">
                <a:solidFill>
                  <a:srgbClr val="FFFFFF"/>
                </a:solidFill>
              </a:ln>
              <a:effectLst/>
            </c:spPr>
            <c:extLst>
              <c:ext xmlns:c16="http://schemas.microsoft.com/office/drawing/2014/chart" uri="{C3380CC4-5D6E-409C-BE32-E72D297353CC}">
                <c16:uniqueId val="{00000001-8FD2-4049-9802-A43FE18A0BB1}"/>
              </c:ext>
            </c:extLst>
          </c:dPt>
          <c:dPt>
            <c:idx val="1"/>
            <c:bubble3D val="0"/>
            <c:spPr>
              <a:solidFill>
                <a:srgbClr val="6FB6DF"/>
              </a:solidFill>
              <a:ln w="9525">
                <a:solidFill>
                  <a:srgbClr val="FFFFFF"/>
                </a:solidFill>
              </a:ln>
              <a:effectLst/>
            </c:spPr>
            <c:extLst>
              <c:ext xmlns:c16="http://schemas.microsoft.com/office/drawing/2014/chart" uri="{C3380CC4-5D6E-409C-BE32-E72D297353CC}">
                <c16:uniqueId val="{00000002-8FD2-4049-9802-A43FE18A0BB1}"/>
              </c:ext>
            </c:extLst>
          </c:dPt>
          <c:dLbls>
            <c:dLbl>
              <c:idx val="0"/>
              <c:layout>
                <c:manualLayout>
                  <c:x val="-0.15504766090525529"/>
                  <c:y val="-0.26123853868142227"/>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000000"/>
                        </a:solidFill>
                        <a:latin typeface="+mn-lt"/>
                        <a:ea typeface="+mn-ea"/>
                        <a:cs typeface="+mn-cs"/>
                      </a:defRPr>
                    </a:pPr>
                    <a:r>
                      <a:rPr lang="en-US">
                        <a:solidFill>
                          <a:srgbClr val="000000"/>
                        </a:solidFill>
                      </a:rPr>
                      <a:t>Inside mainland China: 92.7%</a:t>
                    </a:r>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51685974208437"/>
                      <c:h val="0.17642918905179145"/>
                    </c:manualLayout>
                  </c15:layout>
                  <c15:showDataLabelsRange val="0"/>
                </c:ext>
                <c:ext xmlns:c16="http://schemas.microsoft.com/office/drawing/2014/chart" uri="{C3380CC4-5D6E-409C-BE32-E72D297353CC}">
                  <c16:uniqueId val="{00000001-8FD2-4049-9802-A43FE18A0BB1}"/>
                </c:ext>
              </c:extLst>
            </c:dLbl>
            <c:dLbl>
              <c:idx val="1"/>
              <c:layout>
                <c:manualLayout>
                  <c:x val="0.15447638909059896"/>
                  <c:y val="1.8518461658822871E-2"/>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000000"/>
                        </a:solidFill>
                        <a:latin typeface="+mn-lt"/>
                        <a:ea typeface="+mn-ea"/>
                        <a:cs typeface="+mn-cs"/>
                      </a:defRPr>
                    </a:pPr>
                    <a:r>
                      <a:rPr lang="en-US">
                        <a:solidFill>
                          <a:srgbClr val="000000"/>
                        </a:solidFill>
                      </a:rPr>
                      <a:t>Outside mainland China: 7.3%</a:t>
                    </a:r>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42510544659764582"/>
                      <c:h val="0.13057877225319547"/>
                    </c:manualLayout>
                  </c15:layout>
                  <c15:showDataLabelsRange val="0"/>
                </c:ext>
                <c:ext xmlns:c16="http://schemas.microsoft.com/office/drawing/2014/chart" uri="{C3380CC4-5D6E-409C-BE32-E72D297353CC}">
                  <c16:uniqueId val="{00000002-8FD2-4049-9802-A43FE18A0BB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(Assumption!$B$30,Assumption!$B$32)</c:f>
              <c:strCache>
                <c:ptCount val="2"/>
                <c:pt idx="0">
                  <c:v>In mainland China</c:v>
                </c:pt>
                <c:pt idx="1">
                  <c:v>Outside mainland China</c:v>
                </c:pt>
              </c:strCache>
            </c:strRef>
          </c:cat>
          <c:val>
            <c:numRef>
              <c:f>(Assumption!$K$30,Assumption!$K$32)</c:f>
              <c:numCache>
                <c:formatCode>#,##0_);\(#,##0\);\-\-_)</c:formatCode>
                <c:ptCount val="2"/>
                <c:pt idx="0">
                  <c:v>18815533</c:v>
                </c:pt>
                <c:pt idx="1">
                  <c:v>1486932</c:v>
                </c:pt>
              </c:numCache>
            </c:numRef>
          </c:val>
          <c:extLst>
            <c:ext xmlns:c16="http://schemas.microsoft.com/office/drawing/2014/chart" uri="{C3380CC4-5D6E-409C-BE32-E72D297353CC}">
              <c16:uniqueId val="{00000000-8FD2-4049-9802-A43FE18A0BB1}"/>
            </c:ext>
          </c:extLst>
        </c:ser>
        <c:dLbls>
          <c:showLegendKey val="0"/>
          <c:showVal val="0"/>
          <c:showCatName val="0"/>
          <c:showSerName val="0"/>
          <c:showPercent val="0"/>
          <c:showBubbleSize val="0"/>
          <c:showLeaderLines val="0"/>
        </c:dLbls>
        <c:firstSliceAng val="0"/>
      </c:pieChart>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1000">
          <a:solidFill>
            <a:srgbClr val="000000"/>
          </a:solidFill>
          <a:latin typeface="+mn-lt"/>
          <a:ea typeface="+mn-ea"/>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CheckBox" checked="Checked" fmlaLink="$D$135" lockText="1" noThreeD="1"/>
</file>

<file path=xl/ctrlProps/ctrlProp3.xml><?xml version="1.0" encoding="utf-8"?>
<formControlPr xmlns="http://schemas.microsoft.com/office/spreadsheetml/2009/9/main" objectType="CheckBox" fmlaLink="$D$133" lockText="1" noThreeD="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431800</xdr:colOff>
      <xdr:row>2</xdr:row>
      <xdr:rowOff>112936</xdr:rowOff>
    </xdr:to>
    <xdr:sp macro="" textlink="">
      <xdr:nvSpPr>
        <xdr:cNvPr id="2" name="TextBox 1">
          <a:extLst>
            <a:ext uri="{FF2B5EF4-FFF2-40B4-BE49-F238E27FC236}">
              <a16:creationId xmlns:a16="http://schemas.microsoft.com/office/drawing/2014/main" id="{D5BA09F7-F933-FF23-B259-A3AF5C9B1A58}"/>
            </a:ext>
          </a:extLst>
        </xdr:cNvPr>
        <xdr:cNvSpPr txBox="1"/>
      </xdr:nvSpPr>
      <xdr:spPr>
        <a:xfrm>
          <a:off x="0" y="0"/>
          <a:ext cx="12700000" cy="436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r>
            <a:rPr lang="en-US" sz="1100">
              <a:latin typeface="Calibri" panose="020F0502020204030204" pitchFamily="34" charset="0"/>
            </a:rPr>
            <a:t>This material, including the spreadsheet and any values appearing in it, (this ‘Material’) is produced by UBS AG or an affiliate thereof (UBS AG together with its subsidiaries, branches and affiliates, including former Credit Suisse AG and its subsidiaries, branches and affiliates are referred to herein as ‘UBS’) as part of its UBS Global Research function and is provided to you solely for general background information.</a:t>
          </a:r>
        </a:p>
      </xdr:txBody>
    </xdr:sp>
    <xdr:clientData/>
  </xdr:twoCellAnchor>
  <xdr:twoCellAnchor>
    <xdr:from>
      <xdr:col>0</xdr:col>
      <xdr:colOff>0</xdr:colOff>
      <xdr:row>2</xdr:row>
      <xdr:rowOff>112936</xdr:rowOff>
    </xdr:from>
    <xdr:to>
      <xdr:col>23</xdr:col>
      <xdr:colOff>431800</xdr:colOff>
      <xdr:row>116</xdr:row>
      <xdr:rowOff>1842</xdr:rowOff>
    </xdr:to>
    <xdr:sp macro="" textlink="">
      <xdr:nvSpPr>
        <xdr:cNvPr id="3" name="TextBox 2">
          <a:extLst>
            <a:ext uri="{FF2B5EF4-FFF2-40B4-BE49-F238E27FC236}">
              <a16:creationId xmlns:a16="http://schemas.microsoft.com/office/drawing/2014/main" id="{994C2FDF-16AB-A197-4926-77C25B18D0D7}"/>
            </a:ext>
          </a:extLst>
        </xdr:cNvPr>
        <xdr:cNvSpPr txBox="1"/>
      </xdr:nvSpPr>
      <xdr:spPr>
        <a:xfrm>
          <a:off x="0" y="436786"/>
          <a:ext cx="12700000" cy="183483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r>
            <a:rPr lang="en-US" sz="1100">
              <a:latin typeface="Calibri" panose="020F0502020204030204" pitchFamily="34" charset="0"/>
            </a:rPr>
            <a:t>This document is a general communication and is educational in nature. UBS has no regard to the specific investment objectives, financial situation or particular needs of any specific recipient. By providing this document, none of UBS or its representatives has any responsibility or authority to provide or have provided investment advice in a fiduciary capacity or otherwise. None of UBS or its representatives is suggesting that the recipient or any other person take a specific course of action or any action at all. In no circumstances may this Material be used for any of the following purposes:(i) valuation or accounting purposes;(ii) trading purposes;(iii) to determine the amounts due or payable, the price or the value of any financial instrument or financial contract; or(iv) to measure the performance of any financial instrument.By receiving this Material you (i) will be deemed to represent and warrant to UBS that you will not use this Material for any of the above purposes or otherwise rely upon this Material, (ii) acknowledge and agree with the intended purpose described above and (iii) further disclaim any expectation or belief that the Material constitutes investment advice to the recipient or otherwise purports to meet the investment objectives of the recipient. Nothing in this Material should be construed as a solicitation or an offer to buy or sell any securities or related financial instruments. Past performance is not necessarily a guide to future performance. The value of any investment or income may go down as well as up, and you may not get back the full (or any) amount invested.In certain circumstances (including for example, if you are an academic or a member of the media) you may receive this Material otherwise than in the capacity of a client of UBS and you understand and agree that (i) the Material is provided to you for information purposes only; (ii) for the purposes of receiving it you are not intended to be and will not be treated as a “client” of UBS for any legal or regulatory purpose; (iii) the Material must not be relied on or acted upon for any purpose; and (iv) such content is subject to the relevant disclaimers that follow.Should any user of this Material wish to trade any of the securities contained herein, they must consult their usual representative or trading contact. 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objectives.The values generated by this Material do not represent the values or prices at which UBS would be willing to purchase, sell, enter into, assign, terminate or settle transactions in relevant securities. The methodology used in this Material relies on models, empirical data and assumptions, and as such, no representation or warranty, either expressed or implied, is provided as to the accuracy or appropriateness of our methodology and the Material. Any statements contained in this Material attributed to a third party represent UBS's interpretation of the data, information and/or opinions provided by that third party either publicly or through a subscription service, and such use and interpretation have not been reviewed by the third party.UBS has policies and procedures, which include, without limitation, independence policies and permanent information barriers, that are intended, and upon which UBS relies, to manage potential conflicts of interest and control the flow of information within divisions of UBS and among its subsidiaries, branches and affiliates. For further information on the ways in which UBS manages conflicts and maintains independence of its research products, historical performance information and certain additional disclosures concerning UBS Global Research recommendations, please visit https://www.ubs.com/disclosures .UBS Global Research will initiate, update and cease coverage solely at the discretion of UBS Global Research Management, which will also have sole discretion on the timing and frequency of any published research product. The analysis contained in this document is based on numerous assumptions. All material information in relation to published research reports, such as valuation methodology, risk statements, underlying assumptions (including sensitivity analysis of those assumptions), ratings history etc. as required by the Market Abuse Regulation, can be found on NEO. Different assumptions could result in materially different results.The analyst(s) responsible for the preparation of this document may interact with trading desk personnel, sales personnel and other parties for the purpose of gathering, applying and interpreting market information. UBS relies on information barriers to control the flow of information contained in one or more areas within UBS into other areas, units, groups or affiliates of UBS. The compensation of the analyst who prepared this document is determined exclusively by UBS Global Research management and senior management (not including investment banking). Analyst compensation is not based on investment banking revenues; however, compensation may relate to the revenues of UBS and/or its divisions as a whole, of which investment banking, sales and trading are a part, and UBS's subsidiaries, branches and affiliates as a whole.UBS accepts no liability for any loss arising from the direct or indirect use of this Material. UBS and its affiliates and employees may have long or short positions, trade as principal and buy and sell in instruments or derivatives identified herein.United Kingdom: This material is distributed by UBS AG, London Branch to persons who are eligible counterparties or professional clients. UBS AG, London Branch is authorised by the Prudential Regulation Authority and subject to regulation by the Financial Conduct Authority and limited regulation by the Prudential Regulation Authority. Europe: Except as otherwise specified herein, these materials are distributed by UBS Europe SE, a subsidiary of UBS AG, to persons who are eligible counterparties or professional clients (as detailed in the Bundesanstalt fur Finanzdienstleistungsaufsicht (BaFin) Rules and according to MIFID) and are only available to such persons. The information does not apply to, and should not be relied upon by, retail clients. UBS Europe SE is authorised by the European Central Bank (ECB) and regulated by the BaFin and the ECB. Germany, Luxembourg, the Netherlands, Belgium and Ireland: Where an analyst of UBS Europe SE has contributed to this document, the document is also deemed to have been prepared by UBS Europe SE. In all cases it is distributed by UBS Europe SE and UBS AG, London Branch. Turkey: Distributed by UBS AG, London Branch. No information in this document is provided for the purpose of offering, marketing and sale by any means of any capital market instruments and services in the Republic of Turkey. Therefore, this document may not be considered as an offer made or to be made to residents of the Republic of Turkey. UBS AG, London Branch is not licensed by the Turkish Capital Market Board under the provisions of the Capital Market Law (Law No. 6362). Accordingly, neither this document nor any other offering material related to the instruments/services may be utilized in connection with providing any capital market services to persons within the Republic of Turkey without the prior approval of the Capital Market Board. However, according to article 15 (d) (ii) of the Decree No. 32, there is no restriction on the purchase or sale of the securities abroad by residents of the Republic of Turkey. Poland: Distributed by UBS Europe SE (spolka z ograniczona odpowiedzialnoscia) Oddzial w Polsce. Where an analyst of UBS Europe SE (spolka z ograniczona odpowiedzialnoscia) Oddzial w Polsce has contributed to this document, the document is also deemed to have been prepared by UBS Europe SE (spolka z ograniczona odpowiedzialnoscia) Oddzial w Polsce. Russia: Prepared and distributed by UBS Bank (OOO). “Should not be construed as an individual Investment Recommendation for the purpose of the Russian Law" - Federal Law #39-FZ ON THE SECURITIES MARKET Articles 6.1-6.2.Switzerland: Distributed by UBS AG to persons who are institutional investors only. UBS AG is regulated by the Swiss Financial Market Supervisory Authority (FINMA). Italy: Prepared by UBS Europe SE and distributed by UBS Europe SE and UBS Europe SE, Italy Branch. Where an analyst of UBS Europe SE, Italy Branch has contributed to this document, the document is also deemed to have been prepared by UBS Europe SE, Italy Branch. France: Prepared by UBS Europe SE and distributed by UBS Europe SE and UBS Europe SE, France Branch. Where an analyst of UBS Europe SE, France Branch has contributed to this document, the document is also deemed to have been prepared by UBS Europe SE, France Branch. Spain: Prepared by UBS Europe SE and distributed by UBS Europe SE and UBS Europe SE, Spain Branch. Where an analyst of UBS Europe SE, Spain Branch has contributed to this document, the document is also deemed to have been prepared by UBS Europe SE, Spain Branch. Sweden: Prepared by UBS Europe SE and distributed by UBS Europe SE and UBS Europe SE, Sweden Branch. Where an analyst of UBS Europe SE, Sweden Branch has contributed to this document, the document is also deemed to have been prepared by UBS Europe SE, Sweden Branch.South Africa: Distributed by UBS South Africa (Pty) Limited (Registration No. 1995/011140/07), an authorised user of the JSE and an authorised Financial Services Provider (FSP 7328). Saudi Arabia: This document has been issued by UBS AG (and/or any of its subsidiaries, branches or affiliates), a public company limited by shares, incorporated in Switzerland with its registered offices at Aeschenvorstadt 1, CH-4051 Basel and Bahnhofstrasse 45, CH-8001 Zurich. This publication has been approved by UBS Saudi Arabia (a subsidiary of UBS AG), a Saudi closed joint stock company incorporated in the Kingdom of Saudi Arabia under commercial register number 1010257812 having its registered office at Tatweer Towers, P.O. Box 75724, Riyadh 11588, Kingdom of Saudi Arabia. UBS Saudi Arabia is authorized and regulated by the Capital Market Authority to conduct securities business under license number 08113-37. UAE / Dubai: The information distributed by UBS AG Dubai Branch is only intended for Professional Clients and/or Market Counterparties, as classified under the DFSA rulebook. No other person should act upon this material/communication. The information is not for further distribution within the United Arab Emirates. UBS AG Dubai Branch is regulated by the DFSA in the DIFC. UBS is not licensed to provide banking services in the UAE by the Central Bank of the UAE, nor is it licensed by the UAE Securities and Commodities Authority.  Israel: This Material is distributed by UBS AG, London Branch. UBS Securities Israel Ltd is a licensed Investment Marketer that is supervised by the Israel Securities Authority (ISA). UBS AG, London Branch and its affiliates incorporated outside Israel are not licensed under the Israeli Advisory Law. UBS may engage among others in issuance of Financial Assets or in distribution of Financial Assets of other issuers for fees or other benefits. UBS AG, London Branch and its affiliates may prefer various Financial Assets to which they have or may have an Affiliation (as such term is defined under the Israeli Advisory Law). Nothing in this Material should be considered as investment advice under the Israeli Advisory Law. This Material is being issued only to and/or is directed only at persons who are Eligible Clients within the meaning of the Israeli Advisory Law, and this Material must not be furnished to, relied on or acted upon by any other persons. United States: Distributed to US persons by either UBS Securities LLC or by UBS Financial Services Inc., subsidiaries of UBS AG; or by a group, subsidiary or affiliate of UBS AG that is not registered as a US broker-dealer (a ‘non-US affiliate’) to major US institutional investors only. UBS Securities LLC or UBS Financial Services Inc. accepts responsibility for the content of a report prepared by another non-US affiliate when distributed to US persons by UBS Securities LLC or UBS Financial Services Inc. All transactions by a US person in the securities mentioned in this report must be effected through UBS Securities LLC or UBS Financial Services Inc., and not through a non-US affiliate. UBS Securities LLC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 Canada: Distributed by UBS Securities Canada Inc., a registered investment dealer in Canada and a Member-Canadian Investor Protection Fund, or by another affiliate of UBS AG that is registered to conduct business in Canada or is otherwise exempt from registration. Brazil: Except as otherwise specified herein, this Material is prepared by UBS Brasil Corretora de Câmbio, Títulos e Valores Mobiliários S.A. (UBS Brasil CCTVM) to persons who are eligible investors residing in Brazil, which are considered to be Professional Investors (Investidores Profissionais), as designated by the applicable regulation, mainly the CVM Resolution No. 30 from the 11th of May 2021 (determines the duty to verify the suitability of products, services and transactions with regards to the client´s profile). UBS Brasil CCTVM is a subsidiary of UBS BB Servicos de Assessoria Financeira e Participacoes S.A. (“UBS BB”). UBS BB is an association between UBS AG and Banco do Brasil (through its subsidiary BB – Banco de Investimentos S.A.), of which UBS AG is the majority owner and which provides investment banking services and coverage in Brazil, Argentina, Chile, Paraguay, Peru and Uruguay. UBS Brasil CCTVM is regulated by the Comissao de Valores Mobiliarios (CVM) and by the Central Bank of Brazil. Ombudsman: 0800-940-0266/ https://www.ubs.com/br/pt/ubsbb-investment-bank/ombudsman.html. UBS may hold relevant financial and commercial interest in relation to the company subject to this Research report. Hong Kong: Distributed by UBS Securities Asia Limited. Please contact local licensed persons of UBS Securities Asia Limited in respect of any matters arising from, or in connection with the analysis or document.Singapore: Distributed by UBS Securities Pte. Ltd. [Co. Reg. No.: 198500648C] or UBS AG, Singapore Branch. Please contact UBS Securities Pte. Ltd., an exempt financial adviser under the Singapore Financial Advisers Act (Cap. 110); or UBS AG, Singapore Branch, an exempt financial adviser under the Singapore Financial Advisers Act (Cap. 110) and a wholesale bank licensed under the Singapore Banking Act (Cap. 19) regulated by the Monetary Authority of Singapore, in respect of any matters arising from, or in connection with, the analysis or document. The recipients of this document represent and warrant that they are accredited and institutional investors as defined in the Securities and Futures Act (Cap. 289). Japan: Distributed by UBS Securities Japan Co., Ltd. to professional investors (except as otherwise permitted). Where this report has been prepared by UBS Securities Japan Co., Ltd., UBS Securities Japan Co., Ltd. is the author, publisher and distributor of the report. Distributed by UBS AG, Tokyo Branch to Professional Investors (except as otherwise permitted) in relation to foreign exchange and other banking businesses when relevant. Australia: Clients of UBS AG: Distributed by UBS AG (ABN 47 088 129 613 and holder of Australian Financial Services License No. 231087). For all other recipients: Distributed by UBS Securities Australia Ltd (ABN 62 008 586 481 and holder of Australian Financial Services License No. 231098). This document contains general information and/or general advice only and does not constitute personal financial product advice. As such, the Information in this document has been prepared without taking into account any investor’s objectives, financial situation or needs, and investors should, before acting on the Information, consider the appropriateness of the Information, having regard to their objectives, financial situation and needs. If the Information contained in this document relates to the acquisition, or potential acquisition of a particular financial product by a ‘Retail’ client as defined by section 761G of the Corporations Act 2001 where a Product Disclosure Statement would be required, the retail client should obtain and consider the Product Disclosure Statement relating to the product before making any decision about whether to acquire the product. New Zealand: Distributed by UBS New Zealand Ltd. UBS New Zealand Ltd is not a registered bank in New Zealand. You are being provided with this publication or material because you have indicated to UBS that you are a “wholesale client” within the meaning of section 5C of the Financial Advisers Act 2008 of New Zealand (Permitted Client). This publication or material is not intended for clients who are not Permitted Clients (non-permitted Clients). If you are a non-permitted Client you must not rely on this publication or material. If despite this warning you nevertheless rely on this publication or material, you hereby (i) acknowledge that you may not rely on the content of this publication or material and that any recommendations or opinions in such this publication or material are not made or provided to you, and (ii) to the maximum extent permitted by law (a) indemnify UBS and its associates or related entities (and their respective Directors, officers, agents and Advisors) (each a ‘Relevant Person’) for any loss, damage, liability or claim any of them may incur or suffer as a result of, or in connection with, your unauthorised reliance on this publication or material and (b) waive any rights or remedies you may have against any Relevant Person for (or in respect of) any loss, damage, liability or claim you may incur or suffer as a result of, or in connection with, your unauthorised reliance on this publication or material. Korea: Distributed in Korea by UBS Securities Pte. Ltd., Seoul Branch. This report may have been edited or contributed to from time to time by affiliates of UBS Securities Pte. Ltd., Seoul Branch. This material is intended for professional/institutional clients only and not for distribution to any retail clients. Malaysia: This material is authorized to be distributed in Malaysia by UBS Securities Malaysia Sdn. Bhd (Capital Markets Services License No.: CMSL/A0063/2007). This material is intended for professional/institutional clients only and not for distribution to any retail clients. India: Distributed by UBS Securities India Private Ltd. (Corporate Identity Number U67120MH1996PTC097299) 2/F, 3 North Avenue, Maker Maxity, Bandra Kurla Complex, Bandra (East), Mumbai (India) 400051. Phone: +912261556000. It provides brokerage services bearing SEBI Registration Number: INZ000259830; Merchant Banking services bearing SEBI Registration Number: INM000013101; and Research Analyst services bearing SEBI Registration Number: INH000001204. Name of Compliance Officer Mr. Parameshwaran Shivaramakrishnan, Phone: +912261556151, Email: parameshwaran.s@ubs.com, Name of Grievance Officer Parameshwaran Shivaramakrishnan, Phone : +912261556151, Email: ol-ubs-sec-compliance@ubs.com Registration granted by SEBI, and certification from NISM in no way guarantee performance of the intermediary or provide any assurance of returns to investors. UBS may have debt holdings or positions in the subject Indian company/companies. UBS may have financial interests (e.g. loan/derivative products, rights to or interests in investments, etc.) in the subject Indian company / companies from time to time. Within the past 12 months, UBS may have received compensation for non-investment banking securities-related services and/or non-securities services from the subject Indian company/companies. The subject company/companies may have been a client/clients of UBS during the 12 months preceding the date of distribution of the research report with respect to investment banking and/or non-investment banking securities-related services and/or non-securities services. With regard to information on associates, please refer to the Annual Report at: https://www.ubs.com/global/en/about_ubs/investor_relations/annualreporting.htmlTaiwan: Except as otherwise specified herein, this material may not be distributed in Taiwan. Information and material on securities/instruments that are traded in a Taiwan organized exchange is deemed to be issued and distributed by UBS Securities Pte. LTD., Taipei Branch, which is licensed and regulated by Taiwan Financial Supervisory Commission. Save for securities/instruments that are traded in a Taiwan organized exchange, this material should not constitute "recommendation" to clients or recipients in Taiwan for the covered companies or any companies mentioned in this document. No portion of the document may be reproduced or quoted by the press or any other person without authorisation from UBS. Indonesia: This report is being distributed by PT UBS Sekuritas Indonesia and is delivered by its licensed employee(s), including marketing/sales person, to its client. PT UBS Sekuritas Indonesia, having its registered office at Sequis Tower Level 22 unit 22-1,Jl.Jend. Sudirman, kav.71, SCBD lot 11B, Jakarta 12190, Indonesia, is a subsidiary company of UBS AG and licensed under Capital Market Law no. 8 year 1995, a holder of broker-dealer and underwriter licenses issued by the Capital Market and Financial Institution Supervisory Agency (now Otoritas Jasa Keuangan/OJK). PT UBS Sekuritas Indonesia is also a member of Indonesia Stock Exchange and supervised by Otoritas Jasa Keuangan (OJK). Neither this report nor any copy hereof may be distributed in Indonesia or to any Indonesian citizens except in compliance with applicable Indonesian capital market laws and regulations. This report is not an offer of securities in Indonesia and may not be distributed within the territory of the Republic of Indonesia or to Indonesian citizens in circumstance which constitutes an offering within the meaning of Indonesian capital market laws and regulations.The disclosures contained in research documents produced by UBS AG, London Branch or UBS Europe SE shall be governed by and construed in accordance with English law.</a:t>
          </a:r>
        </a:p>
      </xdr:txBody>
    </xdr:sp>
    <xdr:clientData/>
  </xdr:twoCellAnchor>
  <xdr:twoCellAnchor>
    <xdr:from>
      <xdr:col>0</xdr:col>
      <xdr:colOff>0</xdr:colOff>
      <xdr:row>116</xdr:row>
      <xdr:rowOff>1842</xdr:rowOff>
    </xdr:from>
    <xdr:to>
      <xdr:col>23</xdr:col>
      <xdr:colOff>431800</xdr:colOff>
      <xdr:row>119</xdr:row>
      <xdr:rowOff>125080</xdr:rowOff>
    </xdr:to>
    <xdr:sp macro="" textlink="">
      <xdr:nvSpPr>
        <xdr:cNvPr id="4" name="TextBox 3">
          <a:extLst>
            <a:ext uri="{FF2B5EF4-FFF2-40B4-BE49-F238E27FC236}">
              <a16:creationId xmlns:a16="http://schemas.microsoft.com/office/drawing/2014/main" id="{EFEA0984-DC20-E2BA-EDA8-AFC7B5C36DAA}"/>
            </a:ext>
          </a:extLst>
        </xdr:cNvPr>
        <xdr:cNvSpPr txBox="1"/>
      </xdr:nvSpPr>
      <xdr:spPr>
        <a:xfrm>
          <a:off x="0" y="18785142"/>
          <a:ext cx="12700000" cy="609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r>
            <a:rPr lang="en-US" sz="1100">
              <a:latin typeface="Calibri" panose="020F0502020204030204" pitchFamily="34" charset="0"/>
            </a:rPr>
            <a:t>UBS specifically prohibits the redistribution of this document in whole or in part without the written permission of UBS and in any event UBS accepts no liability whatsoever for any redistribution of this document or its contents or the actions of third parties in this respect. Images may depict objects or elements that are protected by third party copyright, trademarks and other intellectual property rights. © UBS 2025. The key symbol and UBS are among the registered and unregistered trademarks of UBS. All rights reserved.</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114300</xdr:colOff>
          <xdr:row>128</xdr:row>
          <xdr:rowOff>66675</xdr:rowOff>
        </xdr:from>
        <xdr:to>
          <xdr:col>4</xdr:col>
          <xdr:colOff>476250</xdr:colOff>
          <xdr:row>130</xdr:row>
          <xdr:rowOff>85725</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0100-0000013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AU" sz="900" b="1" i="0" u="none" strike="noStrike" baseline="0">
                  <a:solidFill>
                    <a:srgbClr val="FF0000"/>
                  </a:solidFill>
                  <a:latin typeface="Frutiger 45 Light"/>
                </a:rPr>
                <a:t>Calculate</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133</xdr:row>
          <xdr:rowOff>9525</xdr:rowOff>
        </xdr:from>
        <xdr:to>
          <xdr:col>5</xdr:col>
          <xdr:colOff>28575</xdr:colOff>
          <xdr:row>135</xdr:row>
          <xdr:rowOff>9525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1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Segoe UI"/>
                  <a:cs typeface="Segoe UI"/>
                </a:rPr>
                <a:t>Include stage 2 periods (optional)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131</xdr:row>
          <xdr:rowOff>85725</xdr:rowOff>
        </xdr:from>
        <xdr:to>
          <xdr:col>5</xdr:col>
          <xdr:colOff>28575</xdr:colOff>
          <xdr:row>133</xdr:row>
          <xdr:rowOff>19050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1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Segoe UI"/>
                  <a:cs typeface="Segoe UI"/>
                </a:rPr>
                <a:t>Include additional stage 1 periods (beyond year 5)</a:t>
              </a:r>
            </a:p>
          </xdr:txBody>
        </xdr:sp>
        <xdr:clientData/>
      </xdr:twoCellAnchor>
    </mc:Choice>
    <mc:Fallback/>
  </mc:AlternateContent>
  <xdr:twoCellAnchor>
    <xdr:from>
      <xdr:col>28</xdr:col>
      <xdr:colOff>0</xdr:colOff>
      <xdr:row>35</xdr:row>
      <xdr:rowOff>90631</xdr:rowOff>
    </xdr:from>
    <xdr:to>
      <xdr:col>38</xdr:col>
      <xdr:colOff>134938</xdr:colOff>
      <xdr:row>51</xdr:row>
      <xdr:rowOff>147204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210</xdr:row>
      <xdr:rowOff>0</xdr:rowOff>
    </xdr:from>
    <xdr:to>
      <xdr:col>9</xdr:col>
      <xdr:colOff>137745</xdr:colOff>
      <xdr:row>225</xdr:row>
      <xdr:rowOff>1</xdr:rowOff>
    </xdr:to>
    <xdr:graphicFrame macro="">
      <xdr:nvGraphicFramePr>
        <xdr:cNvPr id="4" name="Chart 3"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fals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55D14E06-EE07-473F-B9DB-444CF7945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226</xdr:row>
      <xdr:rowOff>19050</xdr:rowOff>
    </xdr:from>
    <xdr:to>
      <xdr:col>16</xdr:col>
      <xdr:colOff>209551</xdr:colOff>
      <xdr:row>241</xdr:row>
      <xdr:rowOff>110638</xdr:rowOff>
    </xdr:to>
    <xdr:graphicFrame macro="">
      <xdr:nvGraphicFramePr>
        <xdr:cNvPr id="5" name="Chart 4"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3E2259D6-AACE-4599-8AB9-FCE9B79B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484914</xdr:colOff>
      <xdr:row>53</xdr:row>
      <xdr:rowOff>48491</xdr:rowOff>
    </xdr:from>
    <xdr:to>
      <xdr:col>33</xdr:col>
      <xdr:colOff>225141</xdr:colOff>
      <xdr:row>71</xdr:row>
      <xdr:rowOff>95250</xdr:rowOff>
    </xdr:to>
    <xdr:graphicFrame macro="">
      <xdr:nvGraphicFramePr>
        <xdr:cNvPr id="2" name="Chart 1"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307398</xdr:colOff>
      <xdr:row>97</xdr:row>
      <xdr:rowOff>57151</xdr:rowOff>
    </xdr:from>
    <xdr:to>
      <xdr:col>32</xdr:col>
      <xdr:colOff>47626</xdr:colOff>
      <xdr:row>115</xdr:row>
      <xdr:rowOff>133351</xdr:rowOff>
    </xdr:to>
    <xdr:graphicFrame macro="">
      <xdr:nvGraphicFramePr>
        <xdr:cNvPr id="3" name="Chart 2"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64943</xdr:colOff>
      <xdr:row>7</xdr:row>
      <xdr:rowOff>91786</xdr:rowOff>
    </xdr:from>
    <xdr:to>
      <xdr:col>32</xdr:col>
      <xdr:colOff>342034</xdr:colOff>
      <xdr:row>27</xdr:row>
      <xdr:rowOff>20782</xdr:rowOff>
    </xdr:to>
    <xdr:graphicFrame macro="">
      <xdr:nvGraphicFramePr>
        <xdr:cNvPr id="5" name="revenue"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212147</xdr:colOff>
      <xdr:row>33</xdr:row>
      <xdr:rowOff>9814</xdr:rowOff>
    </xdr:from>
    <xdr:to>
      <xdr:col>32</xdr:col>
      <xdr:colOff>489238</xdr:colOff>
      <xdr:row>51</xdr:row>
      <xdr:rowOff>67541</xdr:rowOff>
    </xdr:to>
    <xdr:graphicFrame macro="">
      <xdr:nvGraphicFramePr>
        <xdr:cNvPr id="6" name="gp"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9658</xdr:colOff>
      <xdr:row>78</xdr:row>
      <xdr:rowOff>25982</xdr:rowOff>
    </xdr:from>
    <xdr:to>
      <xdr:col>33</xdr:col>
      <xdr:colOff>286749</xdr:colOff>
      <xdr:row>96</xdr:row>
      <xdr:rowOff>119500</xdr:rowOff>
    </xdr:to>
    <xdr:graphicFrame macro="">
      <xdr:nvGraphicFramePr>
        <xdr:cNvPr id="7" name="Chart 6"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fals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82261</xdr:colOff>
      <xdr:row>174</xdr:row>
      <xdr:rowOff>100446</xdr:rowOff>
    </xdr:from>
    <xdr:to>
      <xdr:col>31</xdr:col>
      <xdr:colOff>359352</xdr:colOff>
      <xdr:row>193</xdr:row>
      <xdr:rowOff>12124</xdr:rowOff>
    </xdr:to>
    <xdr:graphicFrame macro="">
      <xdr:nvGraphicFramePr>
        <xdr:cNvPr id="4" name="Chart 3"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fals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393988</xdr:colOff>
      <xdr:row>116</xdr:row>
      <xdr:rowOff>74468</xdr:rowOff>
    </xdr:from>
    <xdr:to>
      <xdr:col>32</xdr:col>
      <xdr:colOff>134216</xdr:colOff>
      <xdr:row>135</xdr:row>
      <xdr:rowOff>3464</xdr:rowOff>
    </xdr:to>
    <xdr:graphicFrame macro="">
      <xdr:nvGraphicFramePr>
        <xdr:cNvPr id="8" name="Chart 7"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fals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138546</xdr:colOff>
      <xdr:row>17</xdr:row>
      <xdr:rowOff>22514</xdr:rowOff>
    </xdr:from>
    <xdr:to>
      <xdr:col>38</xdr:col>
      <xdr:colOff>484909</xdr:colOff>
      <xdr:row>36</xdr:row>
      <xdr:rowOff>95250</xdr:rowOff>
    </xdr:to>
    <xdr:graphicFrame macro="">
      <xdr:nvGraphicFramePr>
        <xdr:cNvPr id="9" name="Chart 8" descr="{&quot;ChartDesign&quot;:{&quot;General&quot;:{&quot;FontBold&quot;:null,&quot;FontName&quot;:&quot;+Body&quot;,&quot;FontNameFarEast&quot;:&quot;+Body Asian&quot;,&quot;FontNameComplexScript&quot;:null,&quot;FontSize&quot;:10.0,&quot;FontSizePp&quot;:null,&quot;FontColorRef&quot;:&quot;Black&quot;},&quot;Gridlines&quot;:{&quot;MajorHorizontal&quot;:false,&quot;MajorVertical&quot;:true,&quot;MinorHorizontal&quot;:false,&quot;MinorVertical&quot;:false,&quot;Weight&quot;:0.25,&quot;ColorRef&quot;:&quot;Black&quot;,&quot;LineStyle&quot;:null},&quot;Axis&quot;:{&quot;AxisLines&quot;:{&quot;PrimaryCategory&quot;:{&quot;Weight&quot;:1.0,&quot;ColorRef&quot;:&quot;Black&quot;,&quot;MajorTickMarks&quot;:null,&quot;MinorTickMarks&quot;:null,&quot;HasAxisTitle&quot;:null,&quot;AxisTitleDesign&quot;:null,&quot;Visible&quot;:true,&quot;FontBold&quot;:null,&quot;FontName&quot;:null,&quot;FontNameFarEast&quot;:null,&quot;FontNameComplexScript&quot;:null,&quot;FontSize&quot;:null,&quot;FontSizePp&quot;:null,&quot;FontColorRef&quot;:null},&quot;Prim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Category&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SecondaryValue&quot;:{&quot;Weight&quot;:null,&quot;ColorRef&quot;:null,&quot;MajorTickMarks&quot;:null,&quot;MinorTickMarks&quot;:null,&quot;HasAxisTitle&quot;:null,&quot;AxisTitleDesign&quot;:null,&quot;Visible&quot;:false,&quot;FontBold&quot;:null,&quot;FontName&quot;:null,&quot;FontNameFarEast&quot;:null,&quot;FontNameComplexScript&quot;:null,&quot;FontSize&quot;:null,&quot;FontSizePp&quot;:null,&quot;FontColorRef&quot;:null},&quot;Weight&quot;:null,&quot;ColorRef&quot;:null,&quot;MajorTickMarks&quot;:null,&quot;MinorTickMarks&quot;:null,&quot;HasAxisTitle&quot;:null,&quot;AxisTitleDesign&quot;:null,&quot;Visible&quot;:null,&quot;FontBold&quot;:null,&quot;FontName&quot;:null,&quot;FontNameFarEast&quot;:null,&quot;FontNameComplexScript&quot;:null,&quot;FontSize&quot;:null,&quot;FontSizePp&quot;:null,&quot;FontColorRef&quot;:null},&quot;AxisText&quot;:{&quot;Rotation&quot;:null},&quot;SeriesOverlap&quot;:0.0,&quot;GapWidth&quot;:50.0},&quot;ChartTitle&quot;:{&quot;ChartTitlePosition&quot;:&quot;Undefined&quot;,&quot;FontBold&quot;:null,&quot;FontName&quot;:&quot;+Body&quot;,&quot;FontNameFarEast&quot;:&quot;+Body Asian&quot;,&quot;FontNameComplexScript&quot;:null,&quot;FontSize&quot;:10.0,&quot;FontSizePp&quot;:null,&quot;FontColorRef&quot;:&quot;Black&quot;},&quot;Legend&quot;:{&quot;Position&quot;:&quot;Bottom&quot;,&quot;FontBold&quot;:null,&quot;FontName&quot;:null,&quot;FontNameFarEast&quot;:null,&quot;FontNameComplexScript&quot;:null,&quot;FontSize&quot;:null,&quot;FontSizePp&quot;:null,&quot;FontColorRef&quot;:null},&quot;ChartArea&quot;:{&quot;FillType&quot;:null,&quot;FillColorRef&quot;:null,&quot;Border&quot;:null},&quot;PlotArea&quot;:{&quot;FillType&quot;:null},&quot;CustomRules&quot;:[{&quot;Type&quot;:&quot;SetBorderSeriesStackedPointPieOrDoughnutSlice&quot;,&quot;Content&quot;:&quot;White;0.75;50&quot;}],&quot;DataSeries&quot;:[{&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ray 2&quot;,&quot;MarkerStyle&quot;:null,&quot;MarkerFillColorRef&quot;:null,&quot;MarkerBorderColorRef&quot;:null,&quot;DataLabelColorRef&quot;:null}],&quot;SeriesDesign&quot;:{&quot;FirstSliceAngle&quot;:null,&quot;DoughnutHoleSize&quot;:null,&quot;DoughnutExplosion&quot;:null,&quot;PieExplosion&quot;:null,&quot;SeriesOverlap&quot;:null,&quot;GapWidth&quot;:null,&quot;BorderColorRef&quot;:null,&quot;MarkerStyle&quot;:8,&quot;MarkerFillColorRef&quot;:null,&quot;MarkerBorderColorRef&quot;:null,&quot;HasDataLabels&quot;:null,&quot;DisableBorders&quot;:true,&quot;DataLabelDesign&quot;:null,&quot;LineWeight&quot;:null,&quot;LeaderLinesDesign&quot;:null,&quot;HasLeaderLines&quot;:null,&quot;SeriesLinesDesign&quot;:null,&quot;DashStyle&quot;:null,&quot;BorderWidth&quot;:null},&quot;SkipBlankSeries&quot;:true,&quot;Pie&quot;:null,&quot;Doughnut&quot;:null,&quot;PieDoughnut&quot;:null,&quot;Line&quot;:null,&quot;LineRadarScatter&quot;:{&quot;General&quot;:null,&quot;Gridlines&quot;:null,&quot;Axis&quot;:null,&quot;ChartTitle&quot;:null,&quot;Legend&quot;:null,&quot;ChartArea&quot;:null,&quot;PlotArea&quot;:null,&quot;CustomRules&quot;:null,&quot;DataSeries&quot;:[{&quot;PrimaryColorRef&quot;:&quot;Gray 1&quot;,&quot;MarkerStyle&quot;:null,&quot;MarkerFillColorRef&quot;:null,&quot;MarkerBorderColorRef&quot;:null,&quot;DataLabelColorRef&quot;:null},{&quot;PrimaryColorRef&quot;:&quot;Lake&quot;,&quot;MarkerStyle&quot;:null,&quot;MarkerFillColorRef&quot;:null,&quot;MarkerBorderColorRef&quot;:null,&quot;DataLabelColorRef&quot;:null},{&quot;PrimaryColorRef&quot;:&quot;Gray 4&quot;,&quot;MarkerStyle&quot;:null,&quot;MarkerFillColorRef&quot;:null,&quot;MarkerBorderColorRef&quot;:null,&quot;DataLabelColorRef&quot;:null},{&quot;PrimaryColorRef&quot;:&quot;Kiwi&quot;,&quot;MarkerStyle&quot;:null,&quot;MarkerFillColorRef&quot;:null,&quot;MarkerBorderColorRef&quot;:null,&quot;DataLabelColorRef&quot;:null},{&quot;PrimaryColorRef&quot;:&quot;Gray 2&quot;,&quot;MarkerStyle&quot;:null,&quot;MarkerFillColorRef&quot;:null,&quot;MarkerBorderColorRef&quot;:null,&quot;DataLabelColorRef&quot;:null},{&quot;PrimaryColorRef&quot;:&quot;Glacier&quot;,&quot;MarkerStyle&quot;:null,&quot;MarkerFillColorRef&quot;:null,&quot;MarkerBorderColorRef&quot;:null,&quot;DataLabelColorRef&quot;:null},{&quot;PrimaryColorRef&quot;:&quot;Gray 5&quot;,&quot;MarkerStyle&quot;:null,&quot;MarkerFillColorRef&quot;:null,&quot;MarkerBorderColorRef&quot;:null,&quot;DataLabelColorRef&quot;:null},{&quot;PrimaryColorRef&quot;:&quot;Lemongrass&quot;,&quot;MarkerStyle&quot;:null,&quot;MarkerFillColorRef&quot;:null,&quot;MarkerBorderColorRef&quot;:null,&quot;DataLabelColorRef&quot;:null},{&quot;PrimaryColorRef&quot;:&quot;Gray 3&quot;,&quot;MarkerStyle&quot;:null,&quot;MarkerFillColorRef&quot;:null,&quot;MarkerBorderColorRef&quot;:null,&quot;DataLabelColorRef&quot;:null},{&quot;PrimaryColorRef&quot;:&quot;Lagoon&quot;,&quot;MarkerStyle&quot;:null,&quot;MarkerFillColorRef&quot;:null,&quot;MarkerBorderColorRef&quot;:null,&quot;DataLabelColorRef&quot;:null},{&quot;PrimaryColorRef&quot;:&quot;Olive&quot;,&quot;MarkerStyle&quot;:null,&quot;MarkerFillColorRef&quot;:null,&quot;MarkerBorderColorRef&quot;:null,&quot;DataLabelColorRef&quot;:null},{&quot;PrimaryColorRef&quot;:&quot;Lavender&quot;,&quot;MarkerStyle&quot;:null,&quot;MarkerFillColorRef&quot;:null,&quot;MarkerBorderColorRef&quot;:null,&quot;DataLabelColorRef&quot;:null},{&quot;PrimaryColorRef&quot;:&quot;Mint&quot;,&quot;MarkerStyle&quot;:null,&quot;MarkerFillColorRef&quot;:null,&quot;MarkerBorderColorRef&quot;:null,&quot;DataLabelColorRef&quot;:null},{&quot;PrimaryColorRef&quot;:&quot;Curry&quot;,&quot;MarkerStyle&quot;:null,&quot;MarkerFillColorRef&quot;:null,&quot;MarkerBorderColorRef&quot;:null,&quot;DataLabelColorRef&quot;:null},{&quot;PrimaryColorRef&quot;:&quot;Plum&quot;,&quot;MarkerStyle&quot;:null,&quot;MarkerFillColorRef&quot;:null,&quot;MarkerBorderColorRef&quot;:null,&quot;DataLabelColorRef&quot;:null},{&quot;PrimaryColorRef&quot;:&quot;Sage&quot;,&quot;MarkerStyle&quot;:null,&quot;MarkerFillColorRef&quot;:null,&quot;MarkerBorderColorRef&quot;:null,&quot;DataLabelColorRef&quot;:null},{&quot;PrimaryColorRef&quot;:&quot;Honey&quot;,&quot;MarkerStyle&quot;:null,&quot;MarkerFillColorRef&quot;:null,&quot;MarkerBorderColorRef&quot;:null,&quot;DataLabelColorRef&quot;:null},{&quot;PrimaryColorRef&quot;:&quot;Lilac&quot;,&quot;MarkerStyle&quot;:null,&quot;MarkerFillColorRef&quot;:null,&quot;MarkerBorderColorRef&quot;:null,&quot;DataLabelColorRef&quot;:null},{&quot;PrimaryColorRef&quot;:&quot;Pine&quot;,&quot;MarkerStyle&quot;:null,&quot;MarkerFillColorRef&quot;:null,&quot;MarkerBorderColorRef&quot;:null,&quot;DataLabelColorRef&quot;:null},{&quot;PrimaryColorRef&quot;:&quot;Straw&quot;,&quot;MarkerStyle&quot;:null,&quot;MarkerFillColorRef&quot;:null,&quot;MarkerBorderColorRef&quot;:null,&quot;DataLabelColorRef&quot;:null},{&quot;PrimaryColorRef&quot;:&quot;Clay&quot;,&quot;MarkerStyle&quot;:null,&quot;MarkerFillColorRef&quot;:null,&quot;MarkerBorderColorRef&quot;:null,&quot;DataLabelColorRef&quot;:null},{&quot;PrimaryColorRef&quot;:&quot;Cinnamon&quot;,&quot;MarkerStyle&quot;:null,&quot;MarkerFillColorRef&quot;:null,&quot;MarkerBorderColorRef&quot;:null,&quot;DataLabelColorRef&quot;:null},{&quot;PrimaryColorRef&quot;:&quot;Terracotta&quot;,&quot;MarkerStyle&quot;:null,&quot;MarkerFillColorRef&quot;:null,&quot;MarkerBorderColorRef&quot;:null,&quot;DataLabelColorRef&quot;:null},{&quot;PrimaryColorRef&quot;:&quot;Mouse&quot;,&quot;MarkerStyle&quot;:null,&quot;MarkerFillColorRef&quot;:null,&quot;MarkerBorderColorRef&quot;:null,&quot;DataLabelColorRef&quot;:null},{&quot;PrimaryColorRef&quot;:&quot;Chocolate&quot;,&quot;MarkerStyle&quot;:null,&quot;MarkerFillColorRef&quot;:null,&quot;MarkerBorderColorRef&quot;:null,&quot;DataLabelColorRef&quot;:null},{&quot;PrimaryColorRef&quot;:&quot;Caramel&quot;,&quot;MarkerStyle&quot;:null,&quot;MarkerFillColorRef&quot;:null,&quot;MarkerBorderColorRef&quot;:null,&quot;DataLabelColorRef&quot;:null},{&quot;PrimaryColorRef&quot;:&quot;Chestnut&quot;,&quot;MarkerStyle&quot;:null,&quot;MarkerFillColorRef&quot;:null,&quot;MarkerBorderColorRef&quot;:null,&quot;DataLabelColorRef&quot;:null}],&quot;SeriesDesign&quot;:null,&quot;SkipBlankSeries&quot;:false,&quot;Pie&quot;:null,&quot;Doughnut&quot;:null,&quot;PieDoughnut&quot;:null,&quot;Line&quot;:null,&quot;LineRadarScatter&quot;:null,&quot;Stacked&quot;:null,&quot;HasChartTitle&quot;:true},&quot;Stacked&quot;:null,&quot;HasChartTitle&quot;:true},&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Yang, Viola" id="{3BEE1B56-DC79-4503-9673-1DE0BE9EC7C7}" userId="S::viola.yang@ubs.com::27cabb3b-4cef-43b6-8834-ccbf43c12c7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2" dT="2024-04-01T02:44:08.77" personId="{3BEE1B56-DC79-4503-9673-1DE0BE9EC7C7}" id="{8D55BF3F-8B9A-4CDD-B3FA-5C61F6A08D3A}">
    <text>Rmb6.3</text>
  </threadedComment>
  <threadedComment ref="I112" dT="2024-04-01T02:44:16.68" personId="{3BEE1B56-DC79-4503-9673-1DE0BE9EC7C7}" id="{A251D8F3-59D2-4F65-8700-4036DBBD0CA4}">
    <text>Rmb6.5</text>
  </threadedComment>
  <threadedComment ref="K112" dT="2024-04-01T02:44:22.57" personId="{3BEE1B56-DC79-4503-9673-1DE0BE9EC7C7}" id="{4418794A-CB60-4E16-A468-C41009199134}">
    <text>Rmb6.5</text>
  </threadedComment>
  <threadedComment ref="R112" dT="2025-01-20T05:42:21.63" personId="{3BEE1B56-DC79-4503-9673-1DE0BE9EC7C7}" id="{757EAEBA-4CBE-49EE-82C3-02811E27A21C}">
    <text>Tier-1 city price increased by 1rmb (ex. Delivery)</text>
  </threadedComment>
  <threadedComment ref="K116" dT="2024-04-01T02:46:47.53" personId="{3BEE1B56-DC79-4503-9673-1DE0BE9EC7C7}" id="{7782A5E2-1ADC-4F57-86F4-DCD39CC51196}">
    <text>25% price cut in Vietnam in Q323</text>
  </threadedComment>
  <threadedComment ref="A150" dT="2025-01-02T10:44:55.83" personId="{3BEE1B56-DC79-4503-9673-1DE0BE9EC7C7}" id="{A4139E1C-D40E-4C19-80F9-2D081634169C}">
    <text>The production capacity is calculated based on the daily production capacity of production lines for each of
the categories, weighted by days of operation of such production lines during the period indicated.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EA78A-896B-43DD-8C2F-B9A879429DE0}">
  <dimension ref="A1"/>
  <sheetViews>
    <sheetView workbookViewId="0"/>
  </sheetViews>
  <sheetFormatPr defaultRowHeight="11.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3F8DC-5FB7-48CE-A77B-DFC1F938EF36}">
  <sheetPr codeName="DCFBase">
    <pageSetUpPr autoPageBreaks="0"/>
  </sheetPr>
  <dimension ref="A1:AFZ274"/>
  <sheetViews>
    <sheetView showGridLines="0" zoomScale="145" zoomScaleNormal="145" zoomScaleSheetLayoutView="120" workbookViewId="0">
      <pane xSplit="8" ySplit="8" topLeftCell="I158" activePane="bottomRight" state="frozen"/>
      <selection activeCell="B125" sqref="B125"/>
      <selection pane="topRight" activeCell="B125" sqref="B125"/>
      <selection pane="bottomLeft" activeCell="B125" sqref="B125"/>
      <selection pane="bottomRight" activeCell="N10" sqref="N10"/>
    </sheetView>
  </sheetViews>
  <sheetFormatPr defaultColWidth="9.33203125" defaultRowHeight="11.25" outlineLevelRow="1" outlineLevelCol="1"/>
  <cols>
    <col min="1" max="1" width="3.83203125" style="37" customWidth="1"/>
    <col min="2" max="2" width="3.6640625" style="37" customWidth="1"/>
    <col min="3" max="4" width="2.83203125" style="37" customWidth="1"/>
    <col min="5" max="5" width="35.83203125" style="37" customWidth="1"/>
    <col min="6" max="6" width="1.83203125" style="37" customWidth="1"/>
    <col min="7" max="7" width="9.83203125" style="37" customWidth="1"/>
    <col min="8" max="8" width="13.5" style="37" customWidth="1" outlineLevel="1"/>
    <col min="9" max="9" width="2.5" style="37" customWidth="1"/>
    <col min="10" max="10" width="9.33203125" style="37" customWidth="1" outlineLevel="1"/>
    <col min="11" max="12" width="11" style="37" customWidth="1" outlineLevel="1"/>
    <col min="13" max="13" width="13.5" style="37" customWidth="1" outlineLevel="1" collapsed="1"/>
    <col min="14" max="14" width="13.6640625" style="37" bestFit="1" customWidth="1"/>
    <col min="15" max="15" width="14.1640625" style="37" bestFit="1" customWidth="1"/>
    <col min="16" max="16" width="14" style="37" customWidth="1"/>
    <col min="17" max="28" width="11" style="37" customWidth="1"/>
    <col min="29" max="29" width="11.6640625" style="37" customWidth="1"/>
    <col min="30" max="30" width="13" style="37" customWidth="1"/>
    <col min="31" max="31" width="3.83203125" style="37" customWidth="1"/>
    <col min="32" max="32" width="9.33203125" style="37" hidden="1" customWidth="1" outlineLevel="1"/>
    <col min="33" max="33" width="3.83203125" style="37" customWidth="1" collapsed="1"/>
    <col min="34" max="36" width="9.33203125" style="37" hidden="1" customWidth="1" outlineLevel="1"/>
    <col min="37" max="37" width="9.33203125" style="37" customWidth="1" collapsed="1"/>
    <col min="38" max="45" width="9.33203125" style="37" customWidth="1"/>
    <col min="46" max="16384" width="9.33203125" style="37"/>
  </cols>
  <sheetData>
    <row r="1" spans="1:858" ht="3" customHeight="1">
      <c r="A1" s="36">
        <v>1</v>
      </c>
      <c r="B1" s="36">
        <f t="shared" ref="B1:H1" si="0">A1+1</f>
        <v>2</v>
      </c>
      <c r="C1" s="36">
        <f t="shared" si="0"/>
        <v>3</v>
      </c>
      <c r="D1" s="36">
        <f t="shared" si="0"/>
        <v>4</v>
      </c>
      <c r="E1" s="36">
        <f t="shared" si="0"/>
        <v>5</v>
      </c>
      <c r="F1" s="36">
        <f t="shared" si="0"/>
        <v>6</v>
      </c>
      <c r="G1" s="36">
        <f t="shared" si="0"/>
        <v>7</v>
      </c>
      <c r="H1" s="36">
        <f t="shared" si="0"/>
        <v>8</v>
      </c>
      <c r="I1" s="36"/>
      <c r="J1" s="36">
        <f>H1+1</f>
        <v>9</v>
      </c>
      <c r="K1" s="36">
        <f t="shared" ref="K1:Q1" si="1">J1+1</f>
        <v>10</v>
      </c>
      <c r="L1" s="36">
        <f t="shared" si="1"/>
        <v>11</v>
      </c>
      <c r="M1" s="36">
        <f t="shared" si="1"/>
        <v>12</v>
      </c>
      <c r="N1" s="36">
        <f t="shared" si="1"/>
        <v>13</v>
      </c>
      <c r="O1" s="36">
        <f t="shared" si="1"/>
        <v>14</v>
      </c>
      <c r="P1" s="36">
        <f t="shared" si="1"/>
        <v>15</v>
      </c>
      <c r="Q1" s="36">
        <f t="shared" si="1"/>
        <v>16</v>
      </c>
      <c r="R1" s="36">
        <v>17</v>
      </c>
      <c r="S1" s="36"/>
      <c r="T1" s="36"/>
      <c r="U1" s="36"/>
      <c r="V1" s="36"/>
      <c r="W1" s="36"/>
      <c r="X1" s="36"/>
      <c r="Y1" s="36"/>
      <c r="Z1" s="36"/>
      <c r="AA1" s="36"/>
      <c r="AB1" s="36"/>
      <c r="AC1"/>
      <c r="AD1"/>
      <c r="AE1"/>
      <c r="AF1"/>
      <c r="AG1"/>
      <c r="AH1"/>
      <c r="AI1"/>
      <c r="AJ1"/>
      <c r="AK1" s="362" t="s">
        <v>259</v>
      </c>
      <c r="AL1"/>
    </row>
    <row r="2" spans="1:858" ht="30" customHeight="1">
      <c r="A2"/>
      <c r="B2" s="38" t="s">
        <v>235</v>
      </c>
      <c r="C2"/>
      <c r="D2"/>
      <c r="E2"/>
      <c r="F2"/>
      <c r="G2" s="39" t="str">
        <f ca="1">"PT is " &amp;H111&amp;" "&amp;ROUND(H57,2)</f>
        <v>PT is HKD 493.78</v>
      </c>
      <c r="H2"/>
      <c r="I2"/>
      <c r="J2"/>
      <c r="K2"/>
      <c r="L2"/>
      <c r="M2" s="40" t="str">
        <f ca="1">"Price Target as of "&amp;TEXT(H54, "dd mmm yyyy")&amp;" is: "</f>
        <v xml:space="preserve">Price Target as of 13 Nov 2026 is: </v>
      </c>
      <c r="N2"/>
      <c r="O2" s="41"/>
      <c r="P2" s="42"/>
      <c r="Q2" s="43" t="str">
        <f ca="1">H111&amp;" "&amp;ROUND(H57,2)</f>
        <v>HKD 493.78</v>
      </c>
      <c r="R2"/>
      <c r="S2" s="43"/>
      <c r="T2" s="43"/>
      <c r="U2" s="43"/>
      <c r="V2" s="43"/>
      <c r="W2" s="43"/>
      <c r="X2" s="43"/>
      <c r="Y2" s="43"/>
      <c r="Z2" s="43"/>
      <c r="AA2" s="43"/>
      <c r="AB2" s="43"/>
      <c r="AC2"/>
      <c r="AD2"/>
      <c r="AE2"/>
      <c r="AF2"/>
      <c r="AG2"/>
      <c r="AH2"/>
      <c r="AI2"/>
      <c r="AJ2"/>
      <c r="AK2" s="362"/>
      <c r="AL2"/>
      <c r="AV2" s="44">
        <f>COLUMN()</f>
        <v>48</v>
      </c>
    </row>
    <row r="3" spans="1:858" ht="20.25" customHeight="1">
      <c r="A3" s="45"/>
      <c r="B3" s="46" t="str">
        <f>$H$107&amp;" DCF Valuation ("&amp;$H$110&amp;$H$113&amp;" unless specified)"</f>
        <v>Mixue DCF Valuation (RMBk unless specified)</v>
      </c>
      <c r="C3" s="47"/>
      <c r="D3" s="47"/>
      <c r="E3" s="47"/>
      <c r="F3" s="47"/>
      <c r="G3" s="47"/>
      <c r="H3"/>
      <c r="I3"/>
      <c r="J3"/>
      <c r="K3"/>
      <c r="L3"/>
      <c r="M3" t="s">
        <v>502</v>
      </c>
      <c r="N3"/>
      <c r="O3"/>
      <c r="P3"/>
      <c r="Q3" s="37">
        <v>200</v>
      </c>
      <c r="R3" s="258">
        <f ca="1">PT/Q3-1</f>
        <v>1.4688874667949223</v>
      </c>
      <c r="AC3"/>
      <c r="AD3"/>
      <c r="AE3"/>
      <c r="AF3"/>
      <c r="AG3"/>
      <c r="AH3"/>
      <c r="AI3"/>
      <c r="AJ3"/>
      <c r="AK3"/>
      <c r="AL3"/>
    </row>
    <row r="4" spans="1:858" customFormat="1">
      <c r="M4" s="363" t="s">
        <v>260</v>
      </c>
      <c r="N4" s="363"/>
      <c r="O4" s="363"/>
      <c r="P4" s="363"/>
      <c r="Q4" s="363"/>
      <c r="R4" s="363"/>
      <c r="S4" s="366" t="s">
        <v>508</v>
      </c>
      <c r="T4" s="366"/>
      <c r="U4" s="366"/>
      <c r="V4" s="366"/>
      <c r="W4" s="366"/>
      <c r="X4" s="367" t="s">
        <v>261</v>
      </c>
      <c r="Y4" s="367"/>
      <c r="Z4" s="367"/>
      <c r="AA4" s="367"/>
      <c r="AB4" s="367"/>
      <c r="AC4" s="367"/>
    </row>
    <row r="5" spans="1:858" ht="3" customHeight="1">
      <c r="A5"/>
      <c r="B5"/>
      <c r="C5"/>
      <c r="D5"/>
      <c r="E5"/>
      <c r="F5"/>
      <c r="G5"/>
      <c r="H5"/>
      <c r="I5"/>
      <c r="J5"/>
      <c r="K5"/>
      <c r="L5"/>
      <c r="M5"/>
      <c r="N5"/>
      <c r="O5"/>
      <c r="P5"/>
      <c r="Q5"/>
      <c r="R5"/>
      <c r="S5"/>
      <c r="T5"/>
      <c r="U5"/>
      <c r="V5"/>
      <c r="W5"/>
      <c r="X5"/>
      <c r="Y5"/>
      <c r="Z5"/>
      <c r="AA5"/>
      <c r="AB5"/>
      <c r="AC5"/>
      <c r="AD5"/>
      <c r="AE5"/>
      <c r="AF5"/>
      <c r="AG5"/>
      <c r="AH5"/>
      <c r="AI5"/>
      <c r="AJ5"/>
      <c r="AK5"/>
      <c r="AL5"/>
    </row>
    <row r="6" spans="1:858">
      <c r="A6"/>
      <c r="B6" t="s">
        <v>262</v>
      </c>
      <c r="C6"/>
      <c r="D6"/>
      <c r="E6"/>
      <c r="F6"/>
      <c r="G6"/>
      <c r="H6"/>
      <c r="I6"/>
      <c r="J6" s="48">
        <f>K6-1</f>
        <v>-3</v>
      </c>
      <c r="K6" s="48">
        <f>L6-1</f>
        <v>-2</v>
      </c>
      <c r="L6" s="48">
        <f>M6-1</f>
        <v>-1</v>
      </c>
      <c r="M6" s="48">
        <v>0</v>
      </c>
      <c r="N6" s="49">
        <f t="shared" ref="N6:AB6" si="2">M6+1</f>
        <v>1</v>
      </c>
      <c r="O6" s="49">
        <f t="shared" si="2"/>
        <v>2</v>
      </c>
      <c r="P6" s="49">
        <f t="shared" si="2"/>
        <v>3</v>
      </c>
      <c r="Q6" s="49">
        <f t="shared" si="2"/>
        <v>4</v>
      </c>
      <c r="R6" s="49">
        <f t="shared" si="2"/>
        <v>5</v>
      </c>
      <c r="S6" s="49">
        <f t="shared" si="2"/>
        <v>6</v>
      </c>
      <c r="T6" s="49">
        <f t="shared" si="2"/>
        <v>7</v>
      </c>
      <c r="U6" s="49">
        <f t="shared" si="2"/>
        <v>8</v>
      </c>
      <c r="V6" s="49">
        <f t="shared" si="2"/>
        <v>9</v>
      </c>
      <c r="W6" s="49">
        <f t="shared" si="2"/>
        <v>10</v>
      </c>
      <c r="X6" s="49">
        <f t="shared" si="2"/>
        <v>11</v>
      </c>
      <c r="Y6" s="49">
        <f t="shared" si="2"/>
        <v>12</v>
      </c>
      <c r="Z6" s="49">
        <f t="shared" si="2"/>
        <v>13</v>
      </c>
      <c r="AA6" s="49">
        <f t="shared" si="2"/>
        <v>14</v>
      </c>
      <c r="AB6" s="49">
        <f t="shared" si="2"/>
        <v>15</v>
      </c>
      <c r="AC6" s="50" t="s">
        <v>263</v>
      </c>
      <c r="AD6" s="51" t="s">
        <v>257</v>
      </c>
      <c r="AE6"/>
      <c r="AF6" s="52" t="s">
        <v>264</v>
      </c>
      <c r="AG6"/>
      <c r="AH6" s="53" t="s">
        <v>241</v>
      </c>
      <c r="AI6" s="53" t="s">
        <v>247</v>
      </c>
      <c r="AJ6" s="53" t="s">
        <v>265</v>
      </c>
      <c r="AK6" s="54" t="s">
        <v>266</v>
      </c>
      <c r="AL6"/>
    </row>
    <row r="7" spans="1:858">
      <c r="A7"/>
      <c r="B7" t="s">
        <v>267</v>
      </c>
      <c r="C7"/>
      <c r="D7"/>
      <c r="E7"/>
      <c r="F7"/>
      <c r="G7" s="52"/>
      <c r="H7" s="52"/>
      <c r="I7" s="52"/>
      <c r="J7" s="55">
        <f>EOMONTH($H$108,12*J6)</f>
        <v>44561</v>
      </c>
      <c r="K7" s="55">
        <f t="shared" ref="K7:R7" si="3">EOMONTH($H$108,12*K6)</f>
        <v>44926</v>
      </c>
      <c r="L7" s="55">
        <f t="shared" si="3"/>
        <v>45291</v>
      </c>
      <c r="M7" s="55">
        <f t="shared" si="3"/>
        <v>45657</v>
      </c>
      <c r="N7" s="55">
        <f t="shared" si="3"/>
        <v>46022</v>
      </c>
      <c r="O7" s="55">
        <f t="shared" si="3"/>
        <v>46387</v>
      </c>
      <c r="P7" s="55">
        <f t="shared" si="3"/>
        <v>46752</v>
      </c>
      <c r="Q7" s="55">
        <f t="shared" si="3"/>
        <v>47118</v>
      </c>
      <c r="R7" s="55">
        <f t="shared" si="3"/>
        <v>47483</v>
      </c>
      <c r="S7" s="55">
        <f t="shared" ref="S7:AB7" si="4">EOMONTH($H$108,12*S6)</f>
        <v>47848</v>
      </c>
      <c r="T7" s="55">
        <f t="shared" si="4"/>
        <v>48213</v>
      </c>
      <c r="U7" s="55">
        <f t="shared" si="4"/>
        <v>48579</v>
      </c>
      <c r="V7" s="55">
        <f t="shared" si="4"/>
        <v>48944</v>
      </c>
      <c r="W7" s="55">
        <f t="shared" si="4"/>
        <v>49309</v>
      </c>
      <c r="X7" s="55">
        <f t="shared" si="4"/>
        <v>49674</v>
      </c>
      <c r="Y7" s="55">
        <f t="shared" si="4"/>
        <v>50040</v>
      </c>
      <c r="Z7" s="55">
        <f t="shared" si="4"/>
        <v>50405</v>
      </c>
      <c r="AA7" s="55">
        <f t="shared" si="4"/>
        <v>50770</v>
      </c>
      <c r="AB7" s="55">
        <f t="shared" si="4"/>
        <v>51135</v>
      </c>
      <c r="AC7" s="50" t="s">
        <v>268</v>
      </c>
      <c r="AD7" s="51" t="s">
        <v>268</v>
      </c>
      <c r="AE7"/>
      <c r="AF7" s="52" t="s">
        <v>269</v>
      </c>
      <c r="AG7"/>
      <c r="AH7" s="53" t="s">
        <v>270</v>
      </c>
      <c r="AI7" s="53" t="s">
        <v>270</v>
      </c>
      <c r="AJ7" s="53" t="s">
        <v>270</v>
      </c>
      <c r="AK7" s="56" t="s">
        <v>271</v>
      </c>
      <c r="AL7"/>
    </row>
    <row r="8" spans="1:858" ht="10.15" customHeight="1">
      <c r="A8"/>
      <c r="B8"/>
      <c r="C8"/>
      <c r="D8"/>
      <c r="E8"/>
      <c r="F8"/>
      <c r="G8"/>
      <c r="H8"/>
      <c r="I8"/>
      <c r="J8"/>
      <c r="K8"/>
      <c r="L8"/>
      <c r="M8"/>
      <c r="N8"/>
      <c r="O8"/>
      <c r="P8"/>
      <c r="Q8"/>
      <c r="R8"/>
      <c r="S8"/>
      <c r="T8"/>
      <c r="U8"/>
      <c r="V8"/>
      <c r="W8"/>
      <c r="X8"/>
      <c r="Y8"/>
      <c r="Z8"/>
      <c r="AA8"/>
      <c r="AB8"/>
      <c r="AC8"/>
      <c r="AD8"/>
      <c r="AE8"/>
      <c r="AF8" s="57"/>
      <c r="AG8"/>
      <c r="AH8" s="58">
        <v>5</v>
      </c>
      <c r="AI8" s="58">
        <v>5</v>
      </c>
      <c r="AJ8" s="58">
        <v>6</v>
      </c>
      <c r="AK8" s="56" t="s">
        <v>272</v>
      </c>
      <c r="AL8"/>
    </row>
    <row r="9" spans="1:858">
      <c r="A9" s="59"/>
      <c r="B9" s="60" t="s">
        <v>273</v>
      </c>
      <c r="C9"/>
      <c r="D9"/>
      <c r="E9"/>
      <c r="F9"/>
      <c r="G9"/>
      <c r="H9"/>
      <c r="I9"/>
      <c r="J9"/>
      <c r="K9"/>
      <c r="L9"/>
      <c r="M9"/>
      <c r="N9"/>
      <c r="O9"/>
      <c r="P9"/>
      <c r="Q9"/>
      <c r="R9"/>
      <c r="S9"/>
      <c r="T9"/>
      <c r="U9"/>
      <c r="V9"/>
      <c r="W9"/>
      <c r="X9"/>
      <c r="Y9"/>
      <c r="Z9"/>
      <c r="AA9"/>
      <c r="AB9"/>
      <c r="AC9"/>
      <c r="AD9"/>
      <c r="AE9"/>
      <c r="AF9"/>
      <c r="AG9"/>
      <c r="AH9"/>
      <c r="AI9"/>
      <c r="AJ9"/>
      <c r="AK9"/>
      <c r="AL9"/>
    </row>
    <row r="10" spans="1:858">
      <c r="A10"/>
      <c r="B10"/>
      <c r="C10" t="s">
        <v>242</v>
      </c>
      <c r="D10"/>
      <c r="E10"/>
      <c r="F10"/>
      <c r="G10" s="59"/>
      <c r="H10" s="57"/>
      <c r="I10" s="57"/>
      <c r="J10" s="61"/>
      <c r="K10" s="61"/>
      <c r="L10" s="61">
        <f t="shared" ref="L10:Q10" si="5">L153</f>
        <v>20302465</v>
      </c>
      <c r="M10">
        <f t="shared" si="5"/>
        <v>24828874</v>
      </c>
      <c r="N10">
        <f>N153</f>
        <v>32189782.004135605</v>
      </c>
      <c r="O10">
        <f t="shared" si="5"/>
        <v>35717843.509973548</v>
      </c>
      <c r="P10">
        <f t="shared" si="5"/>
        <v>41517893.270682819</v>
      </c>
      <c r="Q10">
        <f t="shared" si="5"/>
        <v>47649032.362826988</v>
      </c>
      <c r="R10">
        <f>R153</f>
        <v>53780422.832834795</v>
      </c>
      <c r="S10">
        <f>R10*(1+S11)</f>
        <v>60413836.737687878</v>
      </c>
      <c r="T10">
        <f>S10*(1+T11)</f>
        <v>67543086.588470206</v>
      </c>
      <c r="U10">
        <f>T10*(1+U11)</f>
        <v>75153251.902952388</v>
      </c>
      <c r="V10">
        <f t="shared" ref="V10:AD10" si="6">U10*(1+V11)</f>
        <v>83219873.90093492</v>
      </c>
      <c r="W10">
        <f t="shared" si="6"/>
        <v>91708301.038830265</v>
      </c>
      <c r="X10">
        <f t="shared" si="6"/>
        <v>99962048.132324994</v>
      </c>
      <c r="Y10">
        <f t="shared" si="6"/>
        <v>107759087.88664635</v>
      </c>
      <c r="Z10">
        <f t="shared" si="6"/>
        <v>114871187.68716501</v>
      </c>
      <c r="AA10">
        <f t="shared" si="6"/>
        <v>121074231.82227193</v>
      </c>
      <c r="AB10">
        <f t="shared" si="6"/>
        <v>126159349.55880736</v>
      </c>
      <c r="AC10">
        <f t="shared" si="6"/>
        <v>129944130.04557158</v>
      </c>
      <c r="AD10">
        <f t="shared" si="6"/>
        <v>133842453.94693874</v>
      </c>
      <c r="AE10"/>
      <c r="AF10" s="62">
        <f>AD10/AC10-1</f>
        <v>3.0000000000000027E-2</v>
      </c>
      <c r="AG10" s="63"/>
      <c r="AH10" s="62">
        <f>(R10/ M10) ^ (1 /AH8) - 1</f>
        <v>0.16716817598441658</v>
      </c>
      <c r="AI10" s="62">
        <f>(W10/ R10) ^ (1 /AI8) - 1</f>
        <v>0.11264568266066433</v>
      </c>
      <c r="AJ10" s="62">
        <f>(AC10/ W10) ^ (1 /AJ8) - 1</f>
        <v>5.9801841175227244E-2</v>
      </c>
      <c r="AK10"/>
      <c r="AL10"/>
    </row>
    <row r="11" spans="1:858" hidden="1" outlineLevel="1">
      <c r="A11"/>
      <c r="B11"/>
      <c r="C11"/>
      <c r="D11" s="64" t="s">
        <v>269</v>
      </c>
      <c r="E11" s="64"/>
      <c r="F11" s="64"/>
      <c r="G11" s="65"/>
      <c r="H11" s="57"/>
      <c r="I11"/>
      <c r="J11" s="66"/>
      <c r="K11" s="66"/>
      <c r="L11" s="66" t="str">
        <f t="shared" ref="L11:R11" si="7">IFERROR(L10/K10-1,"")</f>
        <v/>
      </c>
      <c r="M11" s="67">
        <f t="shared" si="7"/>
        <v>0.22294874046082591</v>
      </c>
      <c r="N11" s="67">
        <f t="shared" si="7"/>
        <v>0.29646563932523096</v>
      </c>
      <c r="O11" s="67">
        <f t="shared" si="7"/>
        <v>0.10960190738118936</v>
      </c>
      <c r="P11" s="67">
        <f t="shared" si="7"/>
        <v>0.16238521676398832</v>
      </c>
      <c r="Q11" s="67">
        <f t="shared" si="7"/>
        <v>0.14767461952298944</v>
      </c>
      <c r="R11" s="67">
        <f t="shared" si="7"/>
        <v>0.12867817384663538</v>
      </c>
      <c r="S11" s="67">
        <f>R11-(R11-St2GR)/5</f>
        <v>0.1233425390773083</v>
      </c>
      <c r="T11" s="67">
        <f>S11-(R11-St2GR)/5</f>
        <v>0.11800690430798122</v>
      </c>
      <c r="U11" s="67">
        <f>T11-(R11-St2GR)/5</f>
        <v>0.11267126953865414</v>
      </c>
      <c r="V11" s="67">
        <f>U11-(R11-St2GR)/5</f>
        <v>0.10733563476932706</v>
      </c>
      <c r="W11" s="67">
        <f>V11-(R11-St2GR)/5</f>
        <v>0.10199999999999998</v>
      </c>
      <c r="X11" s="67">
        <f>W11-(W11-PenGR)/6</f>
        <v>8.9999999999999983E-2</v>
      </c>
      <c r="Y11" s="67">
        <f>X11-(W11-PenGR)/6</f>
        <v>7.7999999999999986E-2</v>
      </c>
      <c r="Z11" s="67">
        <f>Y11-(W11-PenGR)/6</f>
        <v>6.5999999999999989E-2</v>
      </c>
      <c r="AA11" s="67">
        <f>Z11-(W11-PenGR)/6</f>
        <v>5.3999999999999992E-2</v>
      </c>
      <c r="AB11" s="67">
        <f>AA11-(W11-PenGR)/6</f>
        <v>4.1999999999999996E-2</v>
      </c>
      <c r="AC11" s="67">
        <f>AD11</f>
        <v>0.03</v>
      </c>
      <c r="AD11" s="68">
        <f>H140</f>
        <v>0.03</v>
      </c>
      <c r="AE11"/>
      <c r="AF11" s="69"/>
      <c r="AG11"/>
      <c r="AH11" s="70"/>
      <c r="AI11" s="70"/>
      <c r="AJ11" s="70"/>
      <c r="AK11"/>
      <c r="AL11"/>
    </row>
    <row r="12" spans="1:858" collapsed="1">
      <c r="A12"/>
      <c r="B12"/>
      <c r="C12" t="s">
        <v>274</v>
      </c>
      <c r="D12"/>
      <c r="E12"/>
      <c r="F12"/>
      <c r="G12" s="59"/>
      <c r="H12" s="57"/>
      <c r="I12" s="57"/>
      <c r="J12" s="61"/>
      <c r="K12" s="61"/>
      <c r="L12" s="61">
        <f>L154</f>
        <v>4268960</v>
      </c>
      <c r="M12">
        <f t="shared" ref="M12:R12" si="8">M154</f>
        <v>6035889</v>
      </c>
      <c r="N12">
        <f t="shared" si="8"/>
        <v>7641476.8629497485</v>
      </c>
      <c r="O12">
        <f t="shared" si="8"/>
        <v>8690498.7447914742</v>
      </c>
      <c r="P12">
        <f t="shared" si="8"/>
        <v>10484220.438412543</v>
      </c>
      <c r="Q12">
        <f t="shared" si="8"/>
        <v>11878807.411214411</v>
      </c>
      <c r="R12">
        <f t="shared" si="8"/>
        <v>13251087.945258677</v>
      </c>
      <c r="S12">
        <f>S13*S10</f>
        <v>15068052.283751952</v>
      </c>
      <c r="T12">
        <f>T13*T10</f>
        <v>17050269.151502483</v>
      </c>
      <c r="U12">
        <f>U13*U10</f>
        <v>19198421.539392699</v>
      </c>
      <c r="V12">
        <f t="shared" ref="V12:AD12" si="9">V13*V10</f>
        <v>21510546.66349351</v>
      </c>
      <c r="W12">
        <f t="shared" si="9"/>
        <v>23981720.721654121</v>
      </c>
      <c r="X12">
        <f t="shared" si="9"/>
        <v>24282447.525477286</v>
      </c>
      <c r="Y12">
        <f t="shared" si="9"/>
        <v>24173955.382571001</v>
      </c>
      <c r="Z12">
        <f t="shared" si="9"/>
        <v>23634746.866634205</v>
      </c>
      <c r="AA12">
        <f t="shared" si="9"/>
        <v>22661060.389401902</v>
      </c>
      <c r="AB12">
        <f t="shared" si="9"/>
        <v>21268363.679788943</v>
      </c>
      <c r="AC12">
        <f t="shared" si="9"/>
        <v>19491619.506835736</v>
      </c>
      <c r="AD12">
        <f t="shared" si="9"/>
        <v>20076368.092040811</v>
      </c>
      <c r="AE12"/>
      <c r="AF12" s="62">
        <f>AD12/AC12-1</f>
        <v>3.0000000000000027E-2</v>
      </c>
      <c r="AG12" s="63"/>
      <c r="AH12" s="62">
        <f>(R12/ M12) ^ (1 /AH8) - 1</f>
        <v>0.17031307842606602</v>
      </c>
      <c r="AI12" s="62">
        <f>(W12/ R12) ^ (1 /AI8) - 1</f>
        <v>0.12596725568281775</v>
      </c>
      <c r="AJ12" s="62">
        <f>(AC12/ W12) ^ (1 /AJ8) - 1</f>
        <v>-3.3961138749390329E-2</v>
      </c>
      <c r="AK12"/>
      <c r="AL12"/>
    </row>
    <row r="13" spans="1:858" hidden="1" outlineLevel="1">
      <c r="A13"/>
      <c r="B13"/>
      <c r="C13"/>
      <c r="D13" s="64" t="s">
        <v>275</v>
      </c>
      <c r="E13" s="64"/>
      <c r="F13" s="64"/>
      <c r="G13" s="65"/>
      <c r="H13" s="57"/>
      <c r="I13"/>
      <c r="J13" s="66"/>
      <c r="K13" s="66"/>
      <c r="L13" s="66">
        <f t="shared" ref="L13:R13" si="10">IFERROR(L12/L10,"")</f>
        <v>0.21026806350854441</v>
      </c>
      <c r="M13" s="67">
        <f t="shared" si="10"/>
        <v>0.24309958639284246</v>
      </c>
      <c r="N13" s="67">
        <f t="shared" si="10"/>
        <v>0.23738827625387474</v>
      </c>
      <c r="O13" s="67">
        <f t="shared" si="10"/>
        <v>0.24330972675785459</v>
      </c>
      <c r="P13" s="67">
        <f t="shared" si="10"/>
        <v>0.25252293920741409</v>
      </c>
      <c r="Q13" s="67">
        <f t="shared" si="10"/>
        <v>0.24929797777974538</v>
      </c>
      <c r="R13" s="67">
        <f t="shared" si="10"/>
        <v>0.24639240911970728</v>
      </c>
      <c r="S13" s="67">
        <f>R13-(R13-St2EBITDAMargin)/5</f>
        <v>0.24941392729576584</v>
      </c>
      <c r="T13" s="67">
        <f>S13-(R13-St2EBITDAMargin)/5</f>
        <v>0.25243544547182439</v>
      </c>
      <c r="U13" s="67">
        <f>T13-(R13-St2EBITDAMargin)/5</f>
        <v>0.25545696364788295</v>
      </c>
      <c r="V13" s="67">
        <f>U13-(R13-St2EBITDAMargin)/5</f>
        <v>0.25847848182394151</v>
      </c>
      <c r="W13" s="67">
        <f>V13-(R13-St2EBITDAMargin)/5</f>
        <v>0.26150000000000007</v>
      </c>
      <c r="X13" s="67">
        <f>W13-(W13-PenEBITDAMargin)/6</f>
        <v>0.24291666666666673</v>
      </c>
      <c r="Y13" s="67">
        <f>X13-(W13-PenEBITDAMargin)/6</f>
        <v>0.22433333333333338</v>
      </c>
      <c r="Z13" s="67">
        <f>Y13-(W13-PenEBITDAMargin)/6</f>
        <v>0.20575000000000004</v>
      </c>
      <c r="AA13" s="67">
        <f>Z13-(W13-PenEBITDAMargin)/6</f>
        <v>0.1871666666666667</v>
      </c>
      <c r="AB13" s="67">
        <f>AA13-(W13-PenEBITDAMargin)/6</f>
        <v>0.16858333333333336</v>
      </c>
      <c r="AC13" s="67">
        <f>AD13</f>
        <v>0.15</v>
      </c>
      <c r="AD13" s="67">
        <f>H141</f>
        <v>0.15</v>
      </c>
      <c r="AE13"/>
      <c r="AF13" s="69"/>
      <c r="AG13"/>
      <c r="AH13" s="59"/>
      <c r="AI13" s="59"/>
      <c r="AJ13" s="59"/>
      <c r="AK13"/>
      <c r="AL13"/>
    </row>
    <row r="14" spans="1:858" collapsed="1">
      <c r="A14"/>
      <c r="B14"/>
      <c r="C14" t="s">
        <v>7</v>
      </c>
      <c r="D14"/>
      <c r="E14"/>
      <c r="F14"/>
      <c r="G14" s="59"/>
      <c r="H14" s="57"/>
      <c r="I14"/>
      <c r="J14" s="61"/>
      <c r="K14" s="61"/>
      <c r="L14" s="61">
        <f>L155</f>
        <v>4001184</v>
      </c>
      <c r="M14">
        <f t="shared" ref="M14:R14" si="11">M155</f>
        <v>5616534</v>
      </c>
      <c r="N14">
        <f t="shared" si="11"/>
        <v>6890556.6516989544</v>
      </c>
      <c r="O14">
        <f t="shared" si="11"/>
        <v>7663217.7499741763</v>
      </c>
      <c r="P14">
        <f t="shared" si="11"/>
        <v>8906197.011993669</v>
      </c>
      <c r="Q14">
        <f t="shared" si="11"/>
        <v>10229302.443215689</v>
      </c>
      <c r="R14">
        <f t="shared" si="11"/>
        <v>11556677.971639728</v>
      </c>
      <c r="S14">
        <f>S12-S21</f>
        <v>13274731.192111833</v>
      </c>
      <c r="T14">
        <f>T12-T21</f>
        <v>15166091.631777626</v>
      </c>
      <c r="U14">
        <f>U12-U21</f>
        <v>17233833.697700232</v>
      </c>
      <c r="V14">
        <f t="shared" ref="V14:AD14" si="12">V12-V21</f>
        <v>19478442.559360161</v>
      </c>
      <c r="W14">
        <f t="shared" si="12"/>
        <v>21897441.152589798</v>
      </c>
      <c r="X14">
        <f t="shared" si="12"/>
        <v>22010582.795197174</v>
      </c>
      <c r="Y14">
        <f t="shared" si="12"/>
        <v>21724885.203329038</v>
      </c>
      <c r="Z14">
        <f t="shared" si="12"/>
        <v>21024038.055562273</v>
      </c>
      <c r="AA14">
        <f t="shared" si="12"/>
        <v>19909373.302532084</v>
      </c>
      <c r="AB14">
        <f t="shared" si="12"/>
        <v>18401105.735270597</v>
      </c>
      <c r="AC14">
        <f t="shared" si="12"/>
        <v>16538343.823981836</v>
      </c>
      <c r="AD14">
        <f t="shared" si="12"/>
        <v>17034494.138701294</v>
      </c>
      <c r="AE14"/>
      <c r="AF14" s="62">
        <f>AD14/AC14-1</f>
        <v>3.0000000000000027E-2</v>
      </c>
      <c r="AG14" s="63"/>
      <c r="AH14" s="62">
        <f>(R14/ M14) ^ (1 /AH8) - 1</f>
        <v>0.15524187809767787</v>
      </c>
      <c r="AI14" s="62">
        <f>(W14/ R14) ^ (1 /AI8) - 1</f>
        <v>0.13634988209452925</v>
      </c>
      <c r="AJ14" s="62">
        <f>(AC14/ W14) ^ (1 /AJ8) - 1</f>
        <v>-4.5703989804440237E-2</v>
      </c>
      <c r="AK14"/>
      <c r="AL14"/>
    </row>
    <row r="15" spans="1:858" hidden="1" outlineLevel="1">
      <c r="A15"/>
      <c r="B15"/>
      <c r="C15"/>
      <c r="D15" s="64" t="s">
        <v>243</v>
      </c>
      <c r="E15" s="64"/>
      <c r="F15" s="64"/>
      <c r="G15" s="65"/>
      <c r="H15" s="57"/>
      <c r="I15"/>
      <c r="J15" s="66"/>
      <c r="K15" s="66"/>
      <c r="L15" s="66">
        <f t="shared" ref="L15:AE15" si="13">IFERROR(L14/L10,"")</f>
        <v>0.19707872910998739</v>
      </c>
      <c r="M15" s="67">
        <f t="shared" si="13"/>
        <v>0.22620977495797837</v>
      </c>
      <c r="N15" s="67">
        <f t="shared" si="13"/>
        <v>0.21406037017627785</v>
      </c>
      <c r="O15" s="67">
        <f t="shared" si="13"/>
        <v>0.21454872402457231</v>
      </c>
      <c r="P15" s="67">
        <f t="shared" si="13"/>
        <v>0.21451466609657274</v>
      </c>
      <c r="Q15" s="67">
        <f t="shared" si="13"/>
        <v>0.21468017157880412</v>
      </c>
      <c r="R15" s="67">
        <f t="shared" si="13"/>
        <v>0.21488633526666845</v>
      </c>
      <c r="S15" s="67">
        <f t="shared" si="13"/>
        <v>0.21972998089410661</v>
      </c>
      <c r="T15" s="67">
        <f t="shared" si="13"/>
        <v>0.22453951096701169</v>
      </c>
      <c r="U15" s="67">
        <f t="shared" si="13"/>
        <v>0.22931587471364234</v>
      </c>
      <c r="V15" s="67">
        <f t="shared" si="13"/>
        <v>0.23405998647086793</v>
      </c>
      <c r="W15" s="67">
        <f t="shared" si="13"/>
        <v>0.23877272727272736</v>
      </c>
      <c r="X15" s="67">
        <f t="shared" si="13"/>
        <v>0.22018939393939402</v>
      </c>
      <c r="Y15" s="67">
        <f t="shared" si="13"/>
        <v>0.20160606060606065</v>
      </c>
      <c r="Z15" s="67">
        <f t="shared" si="13"/>
        <v>0.18302272727272731</v>
      </c>
      <c r="AA15" s="67">
        <f t="shared" si="13"/>
        <v>0.16443939393939397</v>
      </c>
      <c r="AB15" s="67">
        <f t="shared" si="13"/>
        <v>0.14585606060606066</v>
      </c>
      <c r="AC15" s="67">
        <f t="shared" si="13"/>
        <v>0.12727272727272726</v>
      </c>
      <c r="AD15" s="67">
        <f t="shared" si="13"/>
        <v>0.12727272727272726</v>
      </c>
      <c r="AE15" s="71" t="str">
        <f t="shared" si="13"/>
        <v/>
      </c>
      <c r="AF15" s="72"/>
      <c r="AG15" s="71"/>
      <c r="AH15" s="73"/>
      <c r="AI15" s="73"/>
      <c r="AJ15" s="73"/>
      <c r="AK15" s="71" t="str">
        <f t="shared" ref="AK15:AP15" si="14">IFERROR(AK14/AK10,"")</f>
        <v/>
      </c>
      <c r="AL15" s="71" t="str">
        <f t="shared" si="14"/>
        <v/>
      </c>
      <c r="AM15" s="71" t="str">
        <f t="shared" si="14"/>
        <v/>
      </c>
      <c r="AN15" s="71" t="str">
        <f t="shared" si="14"/>
        <v/>
      </c>
      <c r="AO15" s="71" t="str">
        <f t="shared" si="14"/>
        <v/>
      </c>
      <c r="AP15" s="71" t="str">
        <f t="shared" si="14"/>
        <v/>
      </c>
      <c r="AQ15" s="71" t="str">
        <f>IFERROR(BF8/BF6,"")</f>
        <v/>
      </c>
      <c r="AR15" s="71" t="str">
        <f t="shared" ref="AR15:BE15" si="15">IFERROR(AR14/AR10,"")</f>
        <v/>
      </c>
      <c r="AS15" s="71" t="str">
        <f t="shared" si="15"/>
        <v/>
      </c>
      <c r="AT15" s="71" t="str">
        <f t="shared" si="15"/>
        <v/>
      </c>
      <c r="AU15" s="71" t="str">
        <f t="shared" si="15"/>
        <v/>
      </c>
      <c r="AV15" s="71" t="str">
        <f t="shared" si="15"/>
        <v/>
      </c>
      <c r="AW15" s="71" t="str">
        <f t="shared" si="15"/>
        <v/>
      </c>
      <c r="AX15" s="71" t="str">
        <f t="shared" si="15"/>
        <v/>
      </c>
      <c r="AY15" s="71" t="str">
        <f t="shared" si="15"/>
        <v/>
      </c>
      <c r="AZ15" s="71" t="str">
        <f t="shared" si="15"/>
        <v/>
      </c>
      <c r="BA15" s="71" t="str">
        <f t="shared" si="15"/>
        <v/>
      </c>
      <c r="BB15" s="71" t="str">
        <f t="shared" si="15"/>
        <v/>
      </c>
      <c r="BC15" s="71" t="str">
        <f t="shared" si="15"/>
        <v/>
      </c>
      <c r="BD15" s="71" t="str">
        <f t="shared" si="15"/>
        <v/>
      </c>
      <c r="BE15" s="71" t="str">
        <f t="shared" si="15"/>
        <v/>
      </c>
      <c r="BF15" s="71" t="str">
        <f>IFERROR(BF14/#REF!,"")</f>
        <v/>
      </c>
      <c r="BG15" s="71" t="str">
        <f t="shared" ref="BG15:DR15" si="16">IFERROR(BG14/BG10,"")</f>
        <v/>
      </c>
      <c r="BH15" s="71" t="str">
        <f t="shared" si="16"/>
        <v/>
      </c>
      <c r="BI15" s="71" t="str">
        <f t="shared" si="16"/>
        <v/>
      </c>
      <c r="BJ15" s="71" t="str">
        <f t="shared" si="16"/>
        <v/>
      </c>
      <c r="BK15" s="71" t="str">
        <f t="shared" si="16"/>
        <v/>
      </c>
      <c r="BL15" s="71" t="str">
        <f t="shared" si="16"/>
        <v/>
      </c>
      <c r="BM15" s="71" t="str">
        <f t="shared" si="16"/>
        <v/>
      </c>
      <c r="BN15" s="71" t="str">
        <f t="shared" si="16"/>
        <v/>
      </c>
      <c r="BO15" s="71" t="str">
        <f t="shared" si="16"/>
        <v/>
      </c>
      <c r="BP15" s="71" t="str">
        <f t="shared" si="16"/>
        <v/>
      </c>
      <c r="BQ15" s="71" t="str">
        <f t="shared" si="16"/>
        <v/>
      </c>
      <c r="BR15" s="71" t="str">
        <f t="shared" si="16"/>
        <v/>
      </c>
      <c r="BS15" s="71" t="str">
        <f t="shared" si="16"/>
        <v/>
      </c>
      <c r="BT15" s="71" t="str">
        <f t="shared" si="16"/>
        <v/>
      </c>
      <c r="BU15" s="71" t="str">
        <f t="shared" si="16"/>
        <v/>
      </c>
      <c r="BV15" s="71" t="str">
        <f t="shared" si="16"/>
        <v/>
      </c>
      <c r="BW15" s="71" t="str">
        <f t="shared" si="16"/>
        <v/>
      </c>
      <c r="BX15" s="71" t="str">
        <f t="shared" si="16"/>
        <v/>
      </c>
      <c r="BY15" s="71" t="str">
        <f t="shared" si="16"/>
        <v/>
      </c>
      <c r="BZ15" s="71" t="str">
        <f t="shared" si="16"/>
        <v/>
      </c>
      <c r="CA15" s="71" t="str">
        <f t="shared" si="16"/>
        <v/>
      </c>
      <c r="CB15" s="71" t="str">
        <f t="shared" si="16"/>
        <v/>
      </c>
      <c r="CC15" s="71" t="str">
        <f t="shared" si="16"/>
        <v/>
      </c>
      <c r="CD15" s="71" t="str">
        <f t="shared" si="16"/>
        <v/>
      </c>
      <c r="CE15" s="71" t="str">
        <f t="shared" si="16"/>
        <v/>
      </c>
      <c r="CF15" s="71" t="str">
        <f t="shared" si="16"/>
        <v/>
      </c>
      <c r="CG15" s="71" t="str">
        <f t="shared" si="16"/>
        <v/>
      </c>
      <c r="CH15" s="71" t="str">
        <f t="shared" si="16"/>
        <v/>
      </c>
      <c r="CI15" s="71" t="str">
        <f t="shared" si="16"/>
        <v/>
      </c>
      <c r="CJ15" s="71" t="str">
        <f t="shared" si="16"/>
        <v/>
      </c>
      <c r="CK15" s="71" t="str">
        <f t="shared" si="16"/>
        <v/>
      </c>
      <c r="CL15" s="71" t="str">
        <f t="shared" si="16"/>
        <v/>
      </c>
      <c r="CM15" s="71" t="str">
        <f t="shared" si="16"/>
        <v/>
      </c>
      <c r="CN15" s="71" t="str">
        <f t="shared" si="16"/>
        <v/>
      </c>
      <c r="CO15" s="71" t="str">
        <f t="shared" si="16"/>
        <v/>
      </c>
      <c r="CP15" s="71" t="str">
        <f t="shared" si="16"/>
        <v/>
      </c>
      <c r="CQ15" s="71" t="str">
        <f t="shared" si="16"/>
        <v/>
      </c>
      <c r="CR15" s="71" t="str">
        <f t="shared" si="16"/>
        <v/>
      </c>
      <c r="CS15" s="71" t="str">
        <f t="shared" si="16"/>
        <v/>
      </c>
      <c r="CT15" s="71" t="str">
        <f t="shared" si="16"/>
        <v/>
      </c>
      <c r="CU15" s="71" t="str">
        <f t="shared" si="16"/>
        <v/>
      </c>
      <c r="CV15" s="71" t="str">
        <f t="shared" si="16"/>
        <v/>
      </c>
      <c r="CW15" s="71" t="str">
        <f t="shared" si="16"/>
        <v/>
      </c>
      <c r="CX15" s="71" t="str">
        <f t="shared" si="16"/>
        <v/>
      </c>
      <c r="CY15" s="71" t="str">
        <f t="shared" si="16"/>
        <v/>
      </c>
      <c r="CZ15" s="71" t="str">
        <f t="shared" si="16"/>
        <v/>
      </c>
      <c r="DA15" s="71" t="str">
        <f t="shared" si="16"/>
        <v/>
      </c>
      <c r="DB15" s="71" t="str">
        <f t="shared" si="16"/>
        <v/>
      </c>
      <c r="DC15" s="71" t="str">
        <f t="shared" si="16"/>
        <v/>
      </c>
      <c r="DD15" s="71" t="str">
        <f t="shared" si="16"/>
        <v/>
      </c>
      <c r="DE15" s="71" t="str">
        <f t="shared" si="16"/>
        <v/>
      </c>
      <c r="DF15" s="71" t="str">
        <f t="shared" si="16"/>
        <v/>
      </c>
      <c r="DG15" s="71" t="str">
        <f t="shared" si="16"/>
        <v/>
      </c>
      <c r="DH15" s="71" t="str">
        <f t="shared" si="16"/>
        <v/>
      </c>
      <c r="DI15" s="71" t="str">
        <f t="shared" si="16"/>
        <v/>
      </c>
      <c r="DJ15" s="71" t="str">
        <f t="shared" si="16"/>
        <v/>
      </c>
      <c r="DK15" s="71" t="str">
        <f t="shared" si="16"/>
        <v/>
      </c>
      <c r="DL15" s="71" t="str">
        <f t="shared" si="16"/>
        <v/>
      </c>
      <c r="DM15" s="71" t="str">
        <f t="shared" si="16"/>
        <v/>
      </c>
      <c r="DN15" s="71" t="str">
        <f t="shared" si="16"/>
        <v/>
      </c>
      <c r="DO15" s="71" t="str">
        <f t="shared" si="16"/>
        <v/>
      </c>
      <c r="DP15" s="71" t="str">
        <f t="shared" si="16"/>
        <v/>
      </c>
      <c r="DQ15" s="71" t="str">
        <f t="shared" si="16"/>
        <v/>
      </c>
      <c r="DR15" s="71" t="str">
        <f t="shared" si="16"/>
        <v/>
      </c>
      <c r="DS15" s="71" t="str">
        <f t="shared" ref="DS15:GD15" si="17">IFERROR(DS14/DS10,"")</f>
        <v/>
      </c>
      <c r="DT15" s="71" t="str">
        <f t="shared" si="17"/>
        <v/>
      </c>
      <c r="DU15" s="71" t="str">
        <f t="shared" si="17"/>
        <v/>
      </c>
      <c r="DV15" s="71" t="str">
        <f t="shared" si="17"/>
        <v/>
      </c>
      <c r="DW15" s="71" t="str">
        <f t="shared" si="17"/>
        <v/>
      </c>
      <c r="DX15" s="71" t="str">
        <f t="shared" si="17"/>
        <v/>
      </c>
      <c r="DY15" s="71" t="str">
        <f t="shared" si="17"/>
        <v/>
      </c>
      <c r="DZ15" s="71" t="str">
        <f t="shared" si="17"/>
        <v/>
      </c>
      <c r="EA15" s="71" t="str">
        <f t="shared" si="17"/>
        <v/>
      </c>
      <c r="EB15" s="71" t="str">
        <f t="shared" si="17"/>
        <v/>
      </c>
      <c r="EC15" s="71" t="str">
        <f t="shared" si="17"/>
        <v/>
      </c>
      <c r="ED15" s="71" t="str">
        <f t="shared" si="17"/>
        <v/>
      </c>
      <c r="EE15" s="71" t="str">
        <f t="shared" si="17"/>
        <v/>
      </c>
      <c r="EF15" s="71" t="str">
        <f t="shared" si="17"/>
        <v/>
      </c>
      <c r="EG15" s="71" t="str">
        <f t="shared" si="17"/>
        <v/>
      </c>
      <c r="EH15" s="71" t="str">
        <f t="shared" si="17"/>
        <v/>
      </c>
      <c r="EI15" s="71" t="str">
        <f t="shared" si="17"/>
        <v/>
      </c>
      <c r="EJ15" s="71" t="str">
        <f t="shared" si="17"/>
        <v/>
      </c>
      <c r="EK15" s="71" t="str">
        <f t="shared" si="17"/>
        <v/>
      </c>
      <c r="EL15" s="71" t="str">
        <f t="shared" si="17"/>
        <v/>
      </c>
      <c r="EM15" s="71" t="str">
        <f t="shared" si="17"/>
        <v/>
      </c>
      <c r="EN15" s="71" t="str">
        <f t="shared" si="17"/>
        <v/>
      </c>
      <c r="EO15" s="71" t="str">
        <f t="shared" si="17"/>
        <v/>
      </c>
      <c r="EP15" s="71" t="str">
        <f t="shared" si="17"/>
        <v/>
      </c>
      <c r="EQ15" s="71" t="str">
        <f t="shared" si="17"/>
        <v/>
      </c>
      <c r="ER15" s="71" t="str">
        <f t="shared" si="17"/>
        <v/>
      </c>
      <c r="ES15" s="71" t="str">
        <f t="shared" si="17"/>
        <v/>
      </c>
      <c r="ET15" s="71" t="str">
        <f t="shared" si="17"/>
        <v/>
      </c>
      <c r="EU15" s="71" t="str">
        <f t="shared" si="17"/>
        <v/>
      </c>
      <c r="EV15" s="71" t="str">
        <f t="shared" si="17"/>
        <v/>
      </c>
      <c r="EW15" s="71" t="str">
        <f t="shared" si="17"/>
        <v/>
      </c>
      <c r="EX15" s="71" t="str">
        <f t="shared" si="17"/>
        <v/>
      </c>
      <c r="EY15" s="71" t="str">
        <f t="shared" si="17"/>
        <v/>
      </c>
      <c r="EZ15" s="71" t="str">
        <f t="shared" si="17"/>
        <v/>
      </c>
      <c r="FA15" s="71" t="str">
        <f t="shared" si="17"/>
        <v/>
      </c>
      <c r="FB15" s="71" t="str">
        <f t="shared" si="17"/>
        <v/>
      </c>
      <c r="FC15" s="71" t="str">
        <f t="shared" si="17"/>
        <v/>
      </c>
      <c r="FD15" s="71" t="str">
        <f t="shared" si="17"/>
        <v/>
      </c>
      <c r="FE15" s="71" t="str">
        <f t="shared" si="17"/>
        <v/>
      </c>
      <c r="FF15" s="71" t="str">
        <f t="shared" si="17"/>
        <v/>
      </c>
      <c r="FG15" s="71" t="str">
        <f t="shared" si="17"/>
        <v/>
      </c>
      <c r="FH15" s="71" t="str">
        <f t="shared" si="17"/>
        <v/>
      </c>
      <c r="FI15" s="71" t="str">
        <f t="shared" si="17"/>
        <v/>
      </c>
      <c r="FJ15" s="71" t="str">
        <f t="shared" si="17"/>
        <v/>
      </c>
      <c r="FK15" s="71" t="str">
        <f t="shared" si="17"/>
        <v/>
      </c>
      <c r="FL15" s="71" t="str">
        <f t="shared" si="17"/>
        <v/>
      </c>
      <c r="FM15" s="71" t="str">
        <f t="shared" si="17"/>
        <v/>
      </c>
      <c r="FN15" s="71" t="str">
        <f t="shared" si="17"/>
        <v/>
      </c>
      <c r="FO15" s="71" t="str">
        <f t="shared" si="17"/>
        <v/>
      </c>
      <c r="FP15" s="71" t="str">
        <f t="shared" si="17"/>
        <v/>
      </c>
      <c r="FQ15" s="71" t="str">
        <f t="shared" si="17"/>
        <v/>
      </c>
      <c r="FR15" s="71" t="str">
        <f t="shared" si="17"/>
        <v/>
      </c>
      <c r="FS15" s="71" t="str">
        <f t="shared" si="17"/>
        <v/>
      </c>
      <c r="FT15" s="71" t="str">
        <f t="shared" si="17"/>
        <v/>
      </c>
      <c r="FU15" s="71" t="str">
        <f t="shared" si="17"/>
        <v/>
      </c>
      <c r="FV15" s="71" t="str">
        <f t="shared" si="17"/>
        <v/>
      </c>
      <c r="FW15" s="71" t="str">
        <f t="shared" si="17"/>
        <v/>
      </c>
      <c r="FX15" s="71" t="str">
        <f t="shared" si="17"/>
        <v/>
      </c>
      <c r="FY15" s="71" t="str">
        <f t="shared" si="17"/>
        <v/>
      </c>
      <c r="FZ15" s="71" t="str">
        <f t="shared" si="17"/>
        <v/>
      </c>
      <c r="GA15" s="71" t="str">
        <f t="shared" si="17"/>
        <v/>
      </c>
      <c r="GB15" s="71" t="str">
        <f t="shared" si="17"/>
        <v/>
      </c>
      <c r="GC15" s="71" t="str">
        <f t="shared" si="17"/>
        <v/>
      </c>
      <c r="GD15" s="71" t="str">
        <f t="shared" si="17"/>
        <v/>
      </c>
      <c r="GE15" s="71" t="str">
        <f t="shared" ref="GE15:IP15" si="18">IFERROR(GE14/GE10,"")</f>
        <v/>
      </c>
      <c r="GF15" s="71" t="str">
        <f t="shared" si="18"/>
        <v/>
      </c>
      <c r="GG15" s="71" t="str">
        <f t="shared" si="18"/>
        <v/>
      </c>
      <c r="GH15" s="71" t="str">
        <f t="shared" si="18"/>
        <v/>
      </c>
      <c r="GI15" s="71" t="str">
        <f t="shared" si="18"/>
        <v/>
      </c>
      <c r="GJ15" s="71" t="str">
        <f t="shared" si="18"/>
        <v/>
      </c>
      <c r="GK15" s="71" t="str">
        <f t="shared" si="18"/>
        <v/>
      </c>
      <c r="GL15" s="71" t="str">
        <f t="shared" si="18"/>
        <v/>
      </c>
      <c r="GM15" s="71" t="str">
        <f t="shared" si="18"/>
        <v/>
      </c>
      <c r="GN15" s="71" t="str">
        <f t="shared" si="18"/>
        <v/>
      </c>
      <c r="GO15" s="71" t="str">
        <f t="shared" si="18"/>
        <v/>
      </c>
      <c r="GP15" s="71" t="str">
        <f t="shared" si="18"/>
        <v/>
      </c>
      <c r="GQ15" s="71" t="str">
        <f t="shared" si="18"/>
        <v/>
      </c>
      <c r="GR15" s="71" t="str">
        <f t="shared" si="18"/>
        <v/>
      </c>
      <c r="GS15" s="71" t="str">
        <f t="shared" si="18"/>
        <v/>
      </c>
      <c r="GT15" s="71" t="str">
        <f t="shared" si="18"/>
        <v/>
      </c>
      <c r="GU15" s="71" t="str">
        <f t="shared" si="18"/>
        <v/>
      </c>
      <c r="GV15" s="71" t="str">
        <f t="shared" si="18"/>
        <v/>
      </c>
      <c r="GW15" s="71" t="str">
        <f t="shared" si="18"/>
        <v/>
      </c>
      <c r="GX15" s="71" t="str">
        <f t="shared" si="18"/>
        <v/>
      </c>
      <c r="GY15" s="71" t="str">
        <f t="shared" si="18"/>
        <v/>
      </c>
      <c r="GZ15" s="71" t="str">
        <f t="shared" si="18"/>
        <v/>
      </c>
      <c r="HA15" s="71" t="str">
        <f t="shared" si="18"/>
        <v/>
      </c>
      <c r="HB15" s="71" t="str">
        <f t="shared" si="18"/>
        <v/>
      </c>
      <c r="HC15" s="71" t="str">
        <f t="shared" si="18"/>
        <v/>
      </c>
      <c r="HD15" s="71" t="str">
        <f t="shared" si="18"/>
        <v/>
      </c>
      <c r="HE15" s="71" t="str">
        <f t="shared" si="18"/>
        <v/>
      </c>
      <c r="HF15" s="71" t="str">
        <f t="shared" si="18"/>
        <v/>
      </c>
      <c r="HG15" s="71" t="str">
        <f t="shared" si="18"/>
        <v/>
      </c>
      <c r="HH15" s="71" t="str">
        <f t="shared" si="18"/>
        <v/>
      </c>
      <c r="HI15" s="71" t="str">
        <f t="shared" si="18"/>
        <v/>
      </c>
      <c r="HJ15" s="71" t="str">
        <f t="shared" si="18"/>
        <v/>
      </c>
      <c r="HK15" s="71" t="str">
        <f t="shared" si="18"/>
        <v/>
      </c>
      <c r="HL15" s="71" t="str">
        <f t="shared" si="18"/>
        <v/>
      </c>
      <c r="HM15" s="71" t="str">
        <f t="shared" si="18"/>
        <v/>
      </c>
      <c r="HN15" s="71" t="str">
        <f t="shared" si="18"/>
        <v/>
      </c>
      <c r="HO15" s="71" t="str">
        <f t="shared" si="18"/>
        <v/>
      </c>
      <c r="HP15" s="71" t="str">
        <f t="shared" si="18"/>
        <v/>
      </c>
      <c r="HQ15" s="71" t="str">
        <f t="shared" si="18"/>
        <v/>
      </c>
      <c r="HR15" s="71" t="str">
        <f t="shared" si="18"/>
        <v/>
      </c>
      <c r="HS15" s="71" t="str">
        <f t="shared" si="18"/>
        <v/>
      </c>
      <c r="HT15" s="71" t="str">
        <f t="shared" si="18"/>
        <v/>
      </c>
      <c r="HU15" s="71" t="str">
        <f t="shared" si="18"/>
        <v/>
      </c>
      <c r="HV15" s="71" t="str">
        <f t="shared" si="18"/>
        <v/>
      </c>
      <c r="HW15" s="71" t="str">
        <f t="shared" si="18"/>
        <v/>
      </c>
      <c r="HX15" s="71" t="str">
        <f t="shared" si="18"/>
        <v/>
      </c>
      <c r="HY15" s="71" t="str">
        <f t="shared" si="18"/>
        <v/>
      </c>
      <c r="HZ15" s="71" t="str">
        <f t="shared" si="18"/>
        <v/>
      </c>
      <c r="IA15" s="71" t="str">
        <f t="shared" si="18"/>
        <v/>
      </c>
      <c r="IB15" s="71" t="str">
        <f t="shared" si="18"/>
        <v/>
      </c>
      <c r="IC15" s="71" t="str">
        <f t="shared" si="18"/>
        <v/>
      </c>
      <c r="ID15" s="71" t="str">
        <f t="shared" si="18"/>
        <v/>
      </c>
      <c r="IE15" s="71" t="str">
        <f t="shared" si="18"/>
        <v/>
      </c>
      <c r="IF15" s="71" t="str">
        <f t="shared" si="18"/>
        <v/>
      </c>
      <c r="IG15" s="71" t="str">
        <f t="shared" si="18"/>
        <v/>
      </c>
      <c r="IH15" s="71" t="str">
        <f t="shared" si="18"/>
        <v/>
      </c>
      <c r="II15" s="71" t="str">
        <f t="shared" si="18"/>
        <v/>
      </c>
      <c r="IJ15" s="71" t="str">
        <f t="shared" si="18"/>
        <v/>
      </c>
      <c r="IK15" s="71" t="str">
        <f t="shared" si="18"/>
        <v/>
      </c>
      <c r="IL15" s="71" t="str">
        <f t="shared" si="18"/>
        <v/>
      </c>
      <c r="IM15" s="71" t="str">
        <f t="shared" si="18"/>
        <v/>
      </c>
      <c r="IN15" s="71" t="str">
        <f t="shared" si="18"/>
        <v/>
      </c>
      <c r="IO15" s="71" t="str">
        <f t="shared" si="18"/>
        <v/>
      </c>
      <c r="IP15" s="71" t="str">
        <f t="shared" si="18"/>
        <v/>
      </c>
      <c r="IQ15" s="71" t="str">
        <f t="shared" ref="IQ15:LB15" si="19">IFERROR(IQ14/IQ10,"")</f>
        <v/>
      </c>
      <c r="IR15" s="71" t="str">
        <f t="shared" si="19"/>
        <v/>
      </c>
      <c r="IS15" s="71" t="str">
        <f t="shared" si="19"/>
        <v/>
      </c>
      <c r="IT15" s="71" t="str">
        <f t="shared" si="19"/>
        <v/>
      </c>
      <c r="IU15" s="71" t="str">
        <f t="shared" si="19"/>
        <v/>
      </c>
      <c r="IV15" s="71" t="str">
        <f t="shared" si="19"/>
        <v/>
      </c>
      <c r="IW15" s="71" t="str">
        <f t="shared" si="19"/>
        <v/>
      </c>
      <c r="IX15" s="71" t="str">
        <f t="shared" si="19"/>
        <v/>
      </c>
      <c r="IY15" s="71" t="str">
        <f t="shared" si="19"/>
        <v/>
      </c>
      <c r="IZ15" s="71" t="str">
        <f t="shared" si="19"/>
        <v/>
      </c>
      <c r="JA15" s="71" t="str">
        <f t="shared" si="19"/>
        <v/>
      </c>
      <c r="JB15" s="71" t="str">
        <f t="shared" si="19"/>
        <v/>
      </c>
      <c r="JC15" s="71" t="str">
        <f t="shared" si="19"/>
        <v/>
      </c>
      <c r="JD15" s="71" t="str">
        <f t="shared" si="19"/>
        <v/>
      </c>
      <c r="JE15" s="71" t="str">
        <f t="shared" si="19"/>
        <v/>
      </c>
      <c r="JF15" s="71" t="str">
        <f t="shared" si="19"/>
        <v/>
      </c>
      <c r="JG15" s="71" t="str">
        <f t="shared" si="19"/>
        <v/>
      </c>
      <c r="JH15" s="71" t="str">
        <f t="shared" si="19"/>
        <v/>
      </c>
      <c r="JI15" s="71" t="str">
        <f t="shared" si="19"/>
        <v/>
      </c>
      <c r="JJ15" s="71" t="str">
        <f t="shared" si="19"/>
        <v/>
      </c>
      <c r="JK15" s="71" t="str">
        <f t="shared" si="19"/>
        <v/>
      </c>
      <c r="JL15" s="71" t="str">
        <f t="shared" si="19"/>
        <v/>
      </c>
      <c r="JM15" s="71" t="str">
        <f t="shared" si="19"/>
        <v/>
      </c>
      <c r="JN15" s="71" t="str">
        <f t="shared" si="19"/>
        <v/>
      </c>
      <c r="JO15" s="71" t="str">
        <f t="shared" si="19"/>
        <v/>
      </c>
      <c r="JP15" s="71" t="str">
        <f t="shared" si="19"/>
        <v/>
      </c>
      <c r="JQ15" s="71" t="str">
        <f t="shared" si="19"/>
        <v/>
      </c>
      <c r="JR15" s="71" t="str">
        <f t="shared" si="19"/>
        <v/>
      </c>
      <c r="JS15" s="71" t="str">
        <f t="shared" si="19"/>
        <v/>
      </c>
      <c r="JT15" s="71" t="str">
        <f t="shared" si="19"/>
        <v/>
      </c>
      <c r="JU15" s="71" t="str">
        <f t="shared" si="19"/>
        <v/>
      </c>
      <c r="JV15" s="71" t="str">
        <f t="shared" si="19"/>
        <v/>
      </c>
      <c r="JW15" s="71" t="str">
        <f t="shared" si="19"/>
        <v/>
      </c>
      <c r="JX15" s="71" t="str">
        <f t="shared" si="19"/>
        <v/>
      </c>
      <c r="JY15" s="71" t="str">
        <f t="shared" si="19"/>
        <v/>
      </c>
      <c r="JZ15" s="71" t="str">
        <f t="shared" si="19"/>
        <v/>
      </c>
      <c r="KA15" s="71" t="str">
        <f t="shared" si="19"/>
        <v/>
      </c>
      <c r="KB15" s="71" t="str">
        <f t="shared" si="19"/>
        <v/>
      </c>
      <c r="KC15" s="71" t="str">
        <f t="shared" si="19"/>
        <v/>
      </c>
      <c r="KD15" s="71" t="str">
        <f t="shared" si="19"/>
        <v/>
      </c>
      <c r="KE15" s="71" t="str">
        <f t="shared" si="19"/>
        <v/>
      </c>
      <c r="KF15" s="71" t="str">
        <f t="shared" si="19"/>
        <v/>
      </c>
      <c r="KG15" s="71" t="str">
        <f t="shared" si="19"/>
        <v/>
      </c>
      <c r="KH15" s="71" t="str">
        <f t="shared" si="19"/>
        <v/>
      </c>
      <c r="KI15" s="71" t="str">
        <f t="shared" si="19"/>
        <v/>
      </c>
      <c r="KJ15" s="71" t="str">
        <f t="shared" si="19"/>
        <v/>
      </c>
      <c r="KK15" s="71" t="str">
        <f t="shared" si="19"/>
        <v/>
      </c>
      <c r="KL15" s="71" t="str">
        <f t="shared" si="19"/>
        <v/>
      </c>
      <c r="KM15" s="71" t="str">
        <f t="shared" si="19"/>
        <v/>
      </c>
      <c r="KN15" s="71" t="str">
        <f t="shared" si="19"/>
        <v/>
      </c>
      <c r="KO15" s="71" t="str">
        <f t="shared" si="19"/>
        <v/>
      </c>
      <c r="KP15" s="71" t="str">
        <f t="shared" si="19"/>
        <v/>
      </c>
      <c r="KQ15" s="71" t="str">
        <f t="shared" si="19"/>
        <v/>
      </c>
      <c r="KR15" s="71" t="str">
        <f t="shared" si="19"/>
        <v/>
      </c>
      <c r="KS15" s="71" t="str">
        <f t="shared" si="19"/>
        <v/>
      </c>
      <c r="KT15" s="71" t="str">
        <f t="shared" si="19"/>
        <v/>
      </c>
      <c r="KU15" s="71" t="str">
        <f t="shared" si="19"/>
        <v/>
      </c>
      <c r="KV15" s="71" t="str">
        <f t="shared" si="19"/>
        <v/>
      </c>
      <c r="KW15" s="71" t="str">
        <f t="shared" si="19"/>
        <v/>
      </c>
      <c r="KX15" s="71" t="str">
        <f t="shared" si="19"/>
        <v/>
      </c>
      <c r="KY15" s="71" t="str">
        <f t="shared" si="19"/>
        <v/>
      </c>
      <c r="KZ15" s="71" t="str">
        <f t="shared" si="19"/>
        <v/>
      </c>
      <c r="LA15" s="71" t="str">
        <f t="shared" si="19"/>
        <v/>
      </c>
      <c r="LB15" s="71" t="str">
        <f t="shared" si="19"/>
        <v/>
      </c>
      <c r="LC15" s="71" t="str">
        <f t="shared" ref="LC15:NN15" si="20">IFERROR(LC14/LC10,"")</f>
        <v/>
      </c>
      <c r="LD15" s="71" t="str">
        <f t="shared" si="20"/>
        <v/>
      </c>
      <c r="LE15" s="71" t="str">
        <f t="shared" si="20"/>
        <v/>
      </c>
      <c r="LF15" s="71" t="str">
        <f t="shared" si="20"/>
        <v/>
      </c>
      <c r="LG15" s="71" t="str">
        <f t="shared" si="20"/>
        <v/>
      </c>
      <c r="LH15" s="71" t="str">
        <f t="shared" si="20"/>
        <v/>
      </c>
      <c r="LI15" s="71" t="str">
        <f t="shared" si="20"/>
        <v/>
      </c>
      <c r="LJ15" s="71" t="str">
        <f t="shared" si="20"/>
        <v/>
      </c>
      <c r="LK15" s="71" t="str">
        <f t="shared" si="20"/>
        <v/>
      </c>
      <c r="LL15" s="71" t="str">
        <f t="shared" si="20"/>
        <v/>
      </c>
      <c r="LM15" s="71" t="str">
        <f t="shared" si="20"/>
        <v/>
      </c>
      <c r="LN15" s="71" t="str">
        <f t="shared" si="20"/>
        <v/>
      </c>
      <c r="LO15" s="71" t="str">
        <f t="shared" si="20"/>
        <v/>
      </c>
      <c r="LP15" s="71" t="str">
        <f t="shared" si="20"/>
        <v/>
      </c>
      <c r="LQ15" s="71" t="str">
        <f t="shared" si="20"/>
        <v/>
      </c>
      <c r="LR15" s="71" t="str">
        <f t="shared" si="20"/>
        <v/>
      </c>
      <c r="LS15" s="71" t="str">
        <f t="shared" si="20"/>
        <v/>
      </c>
      <c r="LT15" s="71" t="str">
        <f t="shared" si="20"/>
        <v/>
      </c>
      <c r="LU15" s="71" t="str">
        <f t="shared" si="20"/>
        <v/>
      </c>
      <c r="LV15" s="71" t="str">
        <f t="shared" si="20"/>
        <v/>
      </c>
      <c r="LW15" s="71" t="str">
        <f t="shared" si="20"/>
        <v/>
      </c>
      <c r="LX15" s="71" t="str">
        <f t="shared" si="20"/>
        <v/>
      </c>
      <c r="LY15" s="71" t="str">
        <f t="shared" si="20"/>
        <v/>
      </c>
      <c r="LZ15" s="71" t="str">
        <f t="shared" si="20"/>
        <v/>
      </c>
      <c r="MA15" s="71" t="str">
        <f t="shared" si="20"/>
        <v/>
      </c>
      <c r="MB15" s="71" t="str">
        <f t="shared" si="20"/>
        <v/>
      </c>
      <c r="MC15" s="71" t="str">
        <f t="shared" si="20"/>
        <v/>
      </c>
      <c r="MD15" s="71" t="str">
        <f t="shared" si="20"/>
        <v/>
      </c>
      <c r="ME15" s="71" t="str">
        <f t="shared" si="20"/>
        <v/>
      </c>
      <c r="MF15" s="71" t="str">
        <f t="shared" si="20"/>
        <v/>
      </c>
      <c r="MG15" s="71" t="str">
        <f t="shared" si="20"/>
        <v/>
      </c>
      <c r="MH15" s="71" t="str">
        <f t="shared" si="20"/>
        <v/>
      </c>
      <c r="MI15" s="71" t="str">
        <f t="shared" si="20"/>
        <v/>
      </c>
      <c r="MJ15" s="71" t="str">
        <f t="shared" si="20"/>
        <v/>
      </c>
      <c r="MK15" s="71" t="str">
        <f t="shared" si="20"/>
        <v/>
      </c>
      <c r="ML15" s="71" t="str">
        <f t="shared" si="20"/>
        <v/>
      </c>
      <c r="MM15" s="71" t="str">
        <f t="shared" si="20"/>
        <v/>
      </c>
      <c r="MN15" s="71" t="str">
        <f t="shared" si="20"/>
        <v/>
      </c>
      <c r="MO15" s="71" t="str">
        <f t="shared" si="20"/>
        <v/>
      </c>
      <c r="MP15" s="71" t="str">
        <f t="shared" si="20"/>
        <v/>
      </c>
      <c r="MQ15" s="71" t="str">
        <f t="shared" si="20"/>
        <v/>
      </c>
      <c r="MR15" s="71" t="str">
        <f t="shared" si="20"/>
        <v/>
      </c>
      <c r="MS15" s="71" t="str">
        <f t="shared" si="20"/>
        <v/>
      </c>
      <c r="MT15" s="71" t="str">
        <f t="shared" si="20"/>
        <v/>
      </c>
      <c r="MU15" s="71" t="str">
        <f t="shared" si="20"/>
        <v/>
      </c>
      <c r="MV15" s="71" t="str">
        <f t="shared" si="20"/>
        <v/>
      </c>
      <c r="MW15" s="71" t="str">
        <f t="shared" si="20"/>
        <v/>
      </c>
      <c r="MX15" s="71" t="str">
        <f t="shared" si="20"/>
        <v/>
      </c>
      <c r="MY15" s="71" t="str">
        <f t="shared" si="20"/>
        <v/>
      </c>
      <c r="MZ15" s="71" t="str">
        <f t="shared" si="20"/>
        <v/>
      </c>
      <c r="NA15" s="71" t="str">
        <f t="shared" si="20"/>
        <v/>
      </c>
      <c r="NB15" s="71" t="str">
        <f t="shared" si="20"/>
        <v/>
      </c>
      <c r="NC15" s="71" t="str">
        <f t="shared" si="20"/>
        <v/>
      </c>
      <c r="ND15" s="71" t="str">
        <f t="shared" si="20"/>
        <v/>
      </c>
      <c r="NE15" s="71" t="str">
        <f t="shared" si="20"/>
        <v/>
      </c>
      <c r="NF15" s="71" t="str">
        <f t="shared" si="20"/>
        <v/>
      </c>
      <c r="NG15" s="71" t="str">
        <f t="shared" si="20"/>
        <v/>
      </c>
      <c r="NH15" s="71" t="str">
        <f t="shared" si="20"/>
        <v/>
      </c>
      <c r="NI15" s="71" t="str">
        <f t="shared" si="20"/>
        <v/>
      </c>
      <c r="NJ15" s="71" t="str">
        <f t="shared" si="20"/>
        <v/>
      </c>
      <c r="NK15" s="71" t="str">
        <f t="shared" si="20"/>
        <v/>
      </c>
      <c r="NL15" s="71" t="str">
        <f t="shared" si="20"/>
        <v/>
      </c>
      <c r="NM15" s="71" t="str">
        <f t="shared" si="20"/>
        <v/>
      </c>
      <c r="NN15" s="71" t="str">
        <f t="shared" si="20"/>
        <v/>
      </c>
      <c r="NO15" s="71" t="str">
        <f t="shared" ref="NO15:PZ15" si="21">IFERROR(NO14/NO10,"")</f>
        <v/>
      </c>
      <c r="NP15" s="71" t="str">
        <f t="shared" si="21"/>
        <v/>
      </c>
      <c r="NQ15" s="71" t="str">
        <f t="shared" si="21"/>
        <v/>
      </c>
      <c r="NR15" s="71" t="str">
        <f t="shared" si="21"/>
        <v/>
      </c>
      <c r="NS15" s="71" t="str">
        <f t="shared" si="21"/>
        <v/>
      </c>
      <c r="NT15" s="71" t="str">
        <f t="shared" si="21"/>
        <v/>
      </c>
      <c r="NU15" s="71" t="str">
        <f t="shared" si="21"/>
        <v/>
      </c>
      <c r="NV15" s="71" t="str">
        <f t="shared" si="21"/>
        <v/>
      </c>
      <c r="NW15" s="71" t="str">
        <f t="shared" si="21"/>
        <v/>
      </c>
      <c r="NX15" s="71" t="str">
        <f t="shared" si="21"/>
        <v/>
      </c>
      <c r="NY15" s="71" t="str">
        <f t="shared" si="21"/>
        <v/>
      </c>
      <c r="NZ15" s="71" t="str">
        <f t="shared" si="21"/>
        <v/>
      </c>
      <c r="OA15" s="71" t="str">
        <f t="shared" si="21"/>
        <v/>
      </c>
      <c r="OB15" s="71" t="str">
        <f t="shared" si="21"/>
        <v/>
      </c>
      <c r="OC15" s="71" t="str">
        <f t="shared" si="21"/>
        <v/>
      </c>
      <c r="OD15" s="71" t="str">
        <f t="shared" si="21"/>
        <v/>
      </c>
      <c r="OE15" s="71" t="str">
        <f t="shared" si="21"/>
        <v/>
      </c>
      <c r="OF15" s="71" t="str">
        <f t="shared" si="21"/>
        <v/>
      </c>
      <c r="OG15" s="71" t="str">
        <f t="shared" si="21"/>
        <v/>
      </c>
      <c r="OH15" s="71" t="str">
        <f t="shared" si="21"/>
        <v/>
      </c>
      <c r="OI15" s="71" t="str">
        <f t="shared" si="21"/>
        <v/>
      </c>
      <c r="OJ15" s="71" t="str">
        <f t="shared" si="21"/>
        <v/>
      </c>
      <c r="OK15" s="71" t="str">
        <f t="shared" si="21"/>
        <v/>
      </c>
      <c r="OL15" s="71" t="str">
        <f t="shared" si="21"/>
        <v/>
      </c>
      <c r="OM15" s="71" t="str">
        <f t="shared" si="21"/>
        <v/>
      </c>
      <c r="ON15" s="71" t="str">
        <f t="shared" si="21"/>
        <v/>
      </c>
      <c r="OO15" s="71" t="str">
        <f t="shared" si="21"/>
        <v/>
      </c>
      <c r="OP15" s="71" t="str">
        <f t="shared" si="21"/>
        <v/>
      </c>
      <c r="OQ15" s="71" t="str">
        <f t="shared" si="21"/>
        <v/>
      </c>
      <c r="OR15" s="71" t="str">
        <f t="shared" si="21"/>
        <v/>
      </c>
      <c r="OS15" s="71" t="str">
        <f t="shared" si="21"/>
        <v/>
      </c>
      <c r="OT15" s="71" t="str">
        <f t="shared" si="21"/>
        <v/>
      </c>
      <c r="OU15" s="71" t="str">
        <f t="shared" si="21"/>
        <v/>
      </c>
      <c r="OV15" s="71" t="str">
        <f t="shared" si="21"/>
        <v/>
      </c>
      <c r="OW15" s="71" t="str">
        <f t="shared" si="21"/>
        <v/>
      </c>
      <c r="OX15" s="71" t="str">
        <f t="shared" si="21"/>
        <v/>
      </c>
      <c r="OY15" s="71" t="str">
        <f t="shared" si="21"/>
        <v/>
      </c>
      <c r="OZ15" s="71" t="str">
        <f t="shared" si="21"/>
        <v/>
      </c>
      <c r="PA15" s="71" t="str">
        <f t="shared" si="21"/>
        <v/>
      </c>
      <c r="PB15" s="71" t="str">
        <f t="shared" si="21"/>
        <v/>
      </c>
      <c r="PC15" s="71" t="str">
        <f t="shared" si="21"/>
        <v/>
      </c>
      <c r="PD15" s="71" t="str">
        <f t="shared" si="21"/>
        <v/>
      </c>
      <c r="PE15" s="71" t="str">
        <f t="shared" si="21"/>
        <v/>
      </c>
      <c r="PF15" s="71" t="str">
        <f t="shared" si="21"/>
        <v/>
      </c>
      <c r="PG15" s="71" t="str">
        <f t="shared" si="21"/>
        <v/>
      </c>
      <c r="PH15" s="71" t="str">
        <f t="shared" si="21"/>
        <v/>
      </c>
      <c r="PI15" s="71" t="str">
        <f t="shared" si="21"/>
        <v/>
      </c>
      <c r="PJ15" s="71" t="str">
        <f t="shared" si="21"/>
        <v/>
      </c>
      <c r="PK15" s="71" t="str">
        <f t="shared" si="21"/>
        <v/>
      </c>
      <c r="PL15" s="71" t="str">
        <f t="shared" si="21"/>
        <v/>
      </c>
      <c r="PM15" s="71" t="str">
        <f t="shared" si="21"/>
        <v/>
      </c>
      <c r="PN15" s="71" t="str">
        <f t="shared" si="21"/>
        <v/>
      </c>
      <c r="PO15" s="71" t="str">
        <f t="shared" si="21"/>
        <v/>
      </c>
      <c r="PP15" s="71" t="str">
        <f t="shared" si="21"/>
        <v/>
      </c>
      <c r="PQ15" s="71" t="str">
        <f t="shared" si="21"/>
        <v/>
      </c>
      <c r="PR15" s="71" t="str">
        <f t="shared" si="21"/>
        <v/>
      </c>
      <c r="PS15" s="71" t="str">
        <f t="shared" si="21"/>
        <v/>
      </c>
      <c r="PT15" s="71" t="str">
        <f t="shared" si="21"/>
        <v/>
      </c>
      <c r="PU15" s="71" t="str">
        <f t="shared" si="21"/>
        <v/>
      </c>
      <c r="PV15" s="71" t="str">
        <f t="shared" si="21"/>
        <v/>
      </c>
      <c r="PW15" s="71" t="str">
        <f t="shared" si="21"/>
        <v/>
      </c>
      <c r="PX15" s="71" t="str">
        <f t="shared" si="21"/>
        <v/>
      </c>
      <c r="PY15" s="71" t="str">
        <f t="shared" si="21"/>
        <v/>
      </c>
      <c r="PZ15" s="71" t="str">
        <f t="shared" si="21"/>
        <v/>
      </c>
      <c r="QA15" s="71" t="str">
        <f t="shared" ref="QA15:SL15" si="22">IFERROR(QA14/QA10,"")</f>
        <v/>
      </c>
      <c r="QB15" s="71" t="str">
        <f t="shared" si="22"/>
        <v/>
      </c>
      <c r="QC15" s="71" t="str">
        <f t="shared" si="22"/>
        <v/>
      </c>
      <c r="QD15" s="71" t="str">
        <f t="shared" si="22"/>
        <v/>
      </c>
      <c r="QE15" s="71" t="str">
        <f t="shared" si="22"/>
        <v/>
      </c>
      <c r="QF15" s="71" t="str">
        <f t="shared" si="22"/>
        <v/>
      </c>
      <c r="QG15" s="71" t="str">
        <f t="shared" si="22"/>
        <v/>
      </c>
      <c r="QH15" s="71" t="str">
        <f t="shared" si="22"/>
        <v/>
      </c>
      <c r="QI15" s="71" t="str">
        <f t="shared" si="22"/>
        <v/>
      </c>
      <c r="QJ15" s="71" t="str">
        <f t="shared" si="22"/>
        <v/>
      </c>
      <c r="QK15" s="71" t="str">
        <f t="shared" si="22"/>
        <v/>
      </c>
      <c r="QL15" s="71" t="str">
        <f t="shared" si="22"/>
        <v/>
      </c>
      <c r="QM15" s="71" t="str">
        <f t="shared" si="22"/>
        <v/>
      </c>
      <c r="QN15" s="71" t="str">
        <f t="shared" si="22"/>
        <v/>
      </c>
      <c r="QO15" s="71" t="str">
        <f t="shared" si="22"/>
        <v/>
      </c>
      <c r="QP15" s="71" t="str">
        <f t="shared" si="22"/>
        <v/>
      </c>
      <c r="QQ15" s="71" t="str">
        <f t="shared" si="22"/>
        <v/>
      </c>
      <c r="QR15" s="71" t="str">
        <f t="shared" si="22"/>
        <v/>
      </c>
      <c r="QS15" s="71" t="str">
        <f t="shared" si="22"/>
        <v/>
      </c>
      <c r="QT15" s="71" t="str">
        <f t="shared" si="22"/>
        <v/>
      </c>
      <c r="QU15" s="71" t="str">
        <f t="shared" si="22"/>
        <v/>
      </c>
      <c r="QV15" s="71" t="str">
        <f t="shared" si="22"/>
        <v/>
      </c>
      <c r="QW15" s="71" t="str">
        <f t="shared" si="22"/>
        <v/>
      </c>
      <c r="QX15" s="71" t="str">
        <f t="shared" si="22"/>
        <v/>
      </c>
      <c r="QY15" s="71" t="str">
        <f t="shared" si="22"/>
        <v/>
      </c>
      <c r="QZ15" s="71" t="str">
        <f t="shared" si="22"/>
        <v/>
      </c>
      <c r="RA15" s="71" t="str">
        <f t="shared" si="22"/>
        <v/>
      </c>
      <c r="RB15" s="71" t="str">
        <f t="shared" si="22"/>
        <v/>
      </c>
      <c r="RC15" s="71" t="str">
        <f t="shared" si="22"/>
        <v/>
      </c>
      <c r="RD15" s="71" t="str">
        <f t="shared" si="22"/>
        <v/>
      </c>
      <c r="RE15" s="71" t="str">
        <f t="shared" si="22"/>
        <v/>
      </c>
      <c r="RF15" s="71" t="str">
        <f t="shared" si="22"/>
        <v/>
      </c>
      <c r="RG15" s="71" t="str">
        <f t="shared" si="22"/>
        <v/>
      </c>
      <c r="RH15" s="71" t="str">
        <f t="shared" si="22"/>
        <v/>
      </c>
      <c r="RI15" s="71" t="str">
        <f t="shared" si="22"/>
        <v/>
      </c>
      <c r="RJ15" s="71" t="str">
        <f t="shared" si="22"/>
        <v/>
      </c>
      <c r="RK15" s="71" t="str">
        <f t="shared" si="22"/>
        <v/>
      </c>
      <c r="RL15" s="71" t="str">
        <f t="shared" si="22"/>
        <v/>
      </c>
      <c r="RM15" s="71" t="str">
        <f t="shared" si="22"/>
        <v/>
      </c>
      <c r="RN15" s="71" t="str">
        <f t="shared" si="22"/>
        <v/>
      </c>
      <c r="RO15" s="71" t="str">
        <f t="shared" si="22"/>
        <v/>
      </c>
      <c r="RP15" s="71" t="str">
        <f t="shared" si="22"/>
        <v/>
      </c>
      <c r="RQ15" s="71" t="str">
        <f t="shared" si="22"/>
        <v/>
      </c>
      <c r="RR15" s="71" t="str">
        <f t="shared" si="22"/>
        <v/>
      </c>
      <c r="RS15" s="71" t="str">
        <f t="shared" si="22"/>
        <v/>
      </c>
      <c r="RT15" s="71" t="str">
        <f t="shared" si="22"/>
        <v/>
      </c>
      <c r="RU15" s="71" t="str">
        <f t="shared" si="22"/>
        <v/>
      </c>
      <c r="RV15" s="71" t="str">
        <f t="shared" si="22"/>
        <v/>
      </c>
      <c r="RW15" s="71" t="str">
        <f t="shared" si="22"/>
        <v/>
      </c>
      <c r="RX15" s="71" t="str">
        <f t="shared" si="22"/>
        <v/>
      </c>
      <c r="RY15" s="71" t="str">
        <f t="shared" si="22"/>
        <v/>
      </c>
      <c r="RZ15" s="71" t="str">
        <f t="shared" si="22"/>
        <v/>
      </c>
      <c r="SA15" s="71" t="str">
        <f t="shared" si="22"/>
        <v/>
      </c>
      <c r="SB15" s="71" t="str">
        <f t="shared" si="22"/>
        <v/>
      </c>
      <c r="SC15" s="71" t="str">
        <f t="shared" si="22"/>
        <v/>
      </c>
      <c r="SD15" s="71" t="str">
        <f t="shared" si="22"/>
        <v/>
      </c>
      <c r="SE15" s="71" t="str">
        <f t="shared" si="22"/>
        <v/>
      </c>
      <c r="SF15" s="71" t="str">
        <f t="shared" si="22"/>
        <v/>
      </c>
      <c r="SG15" s="71" t="str">
        <f t="shared" si="22"/>
        <v/>
      </c>
      <c r="SH15" s="71" t="str">
        <f t="shared" si="22"/>
        <v/>
      </c>
      <c r="SI15" s="71" t="str">
        <f t="shared" si="22"/>
        <v/>
      </c>
      <c r="SJ15" s="71" t="str">
        <f t="shared" si="22"/>
        <v/>
      </c>
      <c r="SK15" s="71" t="str">
        <f t="shared" si="22"/>
        <v/>
      </c>
      <c r="SL15" s="71" t="str">
        <f t="shared" si="22"/>
        <v/>
      </c>
      <c r="SM15" s="71" t="str">
        <f t="shared" ref="SM15:UX15" si="23">IFERROR(SM14/SM10,"")</f>
        <v/>
      </c>
      <c r="SN15" s="71" t="str">
        <f t="shared" si="23"/>
        <v/>
      </c>
      <c r="SO15" s="71" t="str">
        <f t="shared" si="23"/>
        <v/>
      </c>
      <c r="SP15" s="71" t="str">
        <f t="shared" si="23"/>
        <v/>
      </c>
      <c r="SQ15" s="71" t="str">
        <f t="shared" si="23"/>
        <v/>
      </c>
      <c r="SR15" s="71" t="str">
        <f t="shared" si="23"/>
        <v/>
      </c>
      <c r="SS15" s="71" t="str">
        <f t="shared" si="23"/>
        <v/>
      </c>
      <c r="ST15" s="71" t="str">
        <f t="shared" si="23"/>
        <v/>
      </c>
      <c r="SU15" s="71" t="str">
        <f t="shared" si="23"/>
        <v/>
      </c>
      <c r="SV15" s="71" t="str">
        <f t="shared" si="23"/>
        <v/>
      </c>
      <c r="SW15" s="71" t="str">
        <f t="shared" si="23"/>
        <v/>
      </c>
      <c r="SX15" s="71" t="str">
        <f t="shared" si="23"/>
        <v/>
      </c>
      <c r="SY15" s="71" t="str">
        <f t="shared" si="23"/>
        <v/>
      </c>
      <c r="SZ15" s="71" t="str">
        <f t="shared" si="23"/>
        <v/>
      </c>
      <c r="TA15" s="71" t="str">
        <f t="shared" si="23"/>
        <v/>
      </c>
      <c r="TB15" s="71" t="str">
        <f t="shared" si="23"/>
        <v/>
      </c>
      <c r="TC15" s="71" t="str">
        <f t="shared" si="23"/>
        <v/>
      </c>
      <c r="TD15" s="71" t="str">
        <f t="shared" si="23"/>
        <v/>
      </c>
      <c r="TE15" s="71" t="str">
        <f t="shared" si="23"/>
        <v/>
      </c>
      <c r="TF15" s="71" t="str">
        <f t="shared" si="23"/>
        <v/>
      </c>
      <c r="TG15" s="71" t="str">
        <f t="shared" si="23"/>
        <v/>
      </c>
      <c r="TH15" s="71" t="str">
        <f t="shared" si="23"/>
        <v/>
      </c>
      <c r="TI15" s="71" t="str">
        <f t="shared" si="23"/>
        <v/>
      </c>
      <c r="TJ15" s="71" t="str">
        <f t="shared" si="23"/>
        <v/>
      </c>
      <c r="TK15" s="71" t="str">
        <f t="shared" si="23"/>
        <v/>
      </c>
      <c r="TL15" s="71" t="str">
        <f t="shared" si="23"/>
        <v/>
      </c>
      <c r="TM15" s="71" t="str">
        <f t="shared" si="23"/>
        <v/>
      </c>
      <c r="TN15" s="71" t="str">
        <f t="shared" si="23"/>
        <v/>
      </c>
      <c r="TO15" s="71" t="str">
        <f t="shared" si="23"/>
        <v/>
      </c>
      <c r="TP15" s="71" t="str">
        <f t="shared" si="23"/>
        <v/>
      </c>
      <c r="TQ15" s="71" t="str">
        <f t="shared" si="23"/>
        <v/>
      </c>
      <c r="TR15" s="71" t="str">
        <f t="shared" si="23"/>
        <v/>
      </c>
      <c r="TS15" s="71" t="str">
        <f t="shared" si="23"/>
        <v/>
      </c>
      <c r="TT15" s="71" t="str">
        <f t="shared" si="23"/>
        <v/>
      </c>
      <c r="TU15" s="71" t="str">
        <f t="shared" si="23"/>
        <v/>
      </c>
      <c r="TV15" s="71" t="str">
        <f t="shared" si="23"/>
        <v/>
      </c>
      <c r="TW15" s="71" t="str">
        <f t="shared" si="23"/>
        <v/>
      </c>
      <c r="TX15" s="71" t="str">
        <f t="shared" si="23"/>
        <v/>
      </c>
      <c r="TY15" s="71" t="str">
        <f t="shared" si="23"/>
        <v/>
      </c>
      <c r="TZ15" s="71" t="str">
        <f t="shared" si="23"/>
        <v/>
      </c>
      <c r="UA15" s="71" t="str">
        <f t="shared" si="23"/>
        <v/>
      </c>
      <c r="UB15" s="71" t="str">
        <f t="shared" si="23"/>
        <v/>
      </c>
      <c r="UC15" s="71" t="str">
        <f t="shared" si="23"/>
        <v/>
      </c>
      <c r="UD15" s="71" t="str">
        <f t="shared" si="23"/>
        <v/>
      </c>
      <c r="UE15" s="71" t="str">
        <f t="shared" si="23"/>
        <v/>
      </c>
      <c r="UF15" s="71" t="str">
        <f t="shared" si="23"/>
        <v/>
      </c>
      <c r="UG15" s="71" t="str">
        <f t="shared" si="23"/>
        <v/>
      </c>
      <c r="UH15" s="71" t="str">
        <f t="shared" si="23"/>
        <v/>
      </c>
      <c r="UI15" s="71" t="str">
        <f t="shared" si="23"/>
        <v/>
      </c>
      <c r="UJ15" s="71" t="str">
        <f t="shared" si="23"/>
        <v/>
      </c>
      <c r="UK15" s="71" t="str">
        <f t="shared" si="23"/>
        <v/>
      </c>
      <c r="UL15" s="71" t="str">
        <f t="shared" si="23"/>
        <v/>
      </c>
      <c r="UM15" s="71" t="str">
        <f t="shared" si="23"/>
        <v/>
      </c>
      <c r="UN15" s="71" t="str">
        <f t="shared" si="23"/>
        <v/>
      </c>
      <c r="UO15" s="71" t="str">
        <f t="shared" si="23"/>
        <v/>
      </c>
      <c r="UP15" s="71" t="str">
        <f t="shared" si="23"/>
        <v/>
      </c>
      <c r="UQ15" s="71" t="str">
        <f t="shared" si="23"/>
        <v/>
      </c>
      <c r="UR15" s="71" t="str">
        <f t="shared" si="23"/>
        <v/>
      </c>
      <c r="US15" s="71" t="str">
        <f t="shared" si="23"/>
        <v/>
      </c>
      <c r="UT15" s="71" t="str">
        <f t="shared" si="23"/>
        <v/>
      </c>
      <c r="UU15" s="71" t="str">
        <f t="shared" si="23"/>
        <v/>
      </c>
      <c r="UV15" s="71" t="str">
        <f t="shared" si="23"/>
        <v/>
      </c>
      <c r="UW15" s="71" t="str">
        <f t="shared" si="23"/>
        <v/>
      </c>
      <c r="UX15" s="71" t="str">
        <f t="shared" si="23"/>
        <v/>
      </c>
      <c r="UY15" s="71" t="str">
        <f t="shared" ref="UY15:XJ15" si="24">IFERROR(UY14/UY10,"")</f>
        <v/>
      </c>
      <c r="UZ15" s="71" t="str">
        <f t="shared" si="24"/>
        <v/>
      </c>
      <c r="VA15" s="71" t="str">
        <f t="shared" si="24"/>
        <v/>
      </c>
      <c r="VB15" s="71" t="str">
        <f t="shared" si="24"/>
        <v/>
      </c>
      <c r="VC15" s="71" t="str">
        <f t="shared" si="24"/>
        <v/>
      </c>
      <c r="VD15" s="71" t="str">
        <f t="shared" si="24"/>
        <v/>
      </c>
      <c r="VE15" s="71" t="str">
        <f t="shared" si="24"/>
        <v/>
      </c>
      <c r="VF15" s="71" t="str">
        <f t="shared" si="24"/>
        <v/>
      </c>
      <c r="VG15" s="71" t="str">
        <f t="shared" si="24"/>
        <v/>
      </c>
      <c r="VH15" s="71" t="str">
        <f t="shared" si="24"/>
        <v/>
      </c>
      <c r="VI15" s="71" t="str">
        <f t="shared" si="24"/>
        <v/>
      </c>
      <c r="VJ15" s="71" t="str">
        <f t="shared" si="24"/>
        <v/>
      </c>
      <c r="VK15" s="71" t="str">
        <f t="shared" si="24"/>
        <v/>
      </c>
      <c r="VL15" s="71" t="str">
        <f t="shared" si="24"/>
        <v/>
      </c>
      <c r="VM15" s="71" t="str">
        <f t="shared" si="24"/>
        <v/>
      </c>
      <c r="VN15" s="71" t="str">
        <f t="shared" si="24"/>
        <v/>
      </c>
      <c r="VO15" s="71" t="str">
        <f t="shared" si="24"/>
        <v/>
      </c>
      <c r="VP15" s="71" t="str">
        <f t="shared" si="24"/>
        <v/>
      </c>
      <c r="VQ15" s="71" t="str">
        <f t="shared" si="24"/>
        <v/>
      </c>
      <c r="VR15" s="71" t="str">
        <f t="shared" si="24"/>
        <v/>
      </c>
      <c r="VS15" s="71" t="str">
        <f t="shared" si="24"/>
        <v/>
      </c>
      <c r="VT15" s="71" t="str">
        <f t="shared" si="24"/>
        <v/>
      </c>
      <c r="VU15" s="71" t="str">
        <f t="shared" si="24"/>
        <v/>
      </c>
      <c r="VV15" s="71" t="str">
        <f t="shared" si="24"/>
        <v/>
      </c>
      <c r="VW15" s="71" t="str">
        <f t="shared" si="24"/>
        <v/>
      </c>
      <c r="VX15" s="71" t="str">
        <f t="shared" si="24"/>
        <v/>
      </c>
      <c r="VY15" s="71" t="str">
        <f t="shared" si="24"/>
        <v/>
      </c>
      <c r="VZ15" s="71" t="str">
        <f t="shared" si="24"/>
        <v/>
      </c>
      <c r="WA15" s="71" t="str">
        <f t="shared" si="24"/>
        <v/>
      </c>
      <c r="WB15" s="71" t="str">
        <f t="shared" si="24"/>
        <v/>
      </c>
      <c r="WC15" s="71" t="str">
        <f t="shared" si="24"/>
        <v/>
      </c>
      <c r="WD15" s="71" t="str">
        <f t="shared" si="24"/>
        <v/>
      </c>
      <c r="WE15" s="71" t="str">
        <f t="shared" si="24"/>
        <v/>
      </c>
      <c r="WF15" s="71" t="str">
        <f t="shared" si="24"/>
        <v/>
      </c>
      <c r="WG15" s="71" t="str">
        <f t="shared" si="24"/>
        <v/>
      </c>
      <c r="WH15" s="71" t="str">
        <f t="shared" si="24"/>
        <v/>
      </c>
      <c r="WI15" s="71" t="str">
        <f t="shared" si="24"/>
        <v/>
      </c>
      <c r="WJ15" s="71" t="str">
        <f t="shared" si="24"/>
        <v/>
      </c>
      <c r="WK15" s="71" t="str">
        <f t="shared" si="24"/>
        <v/>
      </c>
      <c r="WL15" s="71" t="str">
        <f t="shared" si="24"/>
        <v/>
      </c>
      <c r="WM15" s="71" t="str">
        <f t="shared" si="24"/>
        <v/>
      </c>
      <c r="WN15" s="71" t="str">
        <f t="shared" si="24"/>
        <v/>
      </c>
      <c r="WO15" s="71" t="str">
        <f t="shared" si="24"/>
        <v/>
      </c>
      <c r="WP15" s="71" t="str">
        <f t="shared" si="24"/>
        <v/>
      </c>
      <c r="WQ15" s="71" t="str">
        <f t="shared" si="24"/>
        <v/>
      </c>
      <c r="WR15" s="71" t="str">
        <f t="shared" si="24"/>
        <v/>
      </c>
      <c r="WS15" s="71" t="str">
        <f t="shared" si="24"/>
        <v/>
      </c>
      <c r="WT15" s="71" t="str">
        <f t="shared" si="24"/>
        <v/>
      </c>
      <c r="WU15" s="71" t="str">
        <f t="shared" si="24"/>
        <v/>
      </c>
      <c r="WV15" s="71" t="str">
        <f t="shared" si="24"/>
        <v/>
      </c>
      <c r="WW15" s="71" t="str">
        <f t="shared" si="24"/>
        <v/>
      </c>
      <c r="WX15" s="71" t="str">
        <f t="shared" si="24"/>
        <v/>
      </c>
      <c r="WY15" s="71" t="str">
        <f t="shared" si="24"/>
        <v/>
      </c>
      <c r="WZ15" s="71" t="str">
        <f t="shared" si="24"/>
        <v/>
      </c>
      <c r="XA15" s="71" t="str">
        <f t="shared" si="24"/>
        <v/>
      </c>
      <c r="XB15" s="71" t="str">
        <f t="shared" si="24"/>
        <v/>
      </c>
      <c r="XC15" s="71" t="str">
        <f t="shared" si="24"/>
        <v/>
      </c>
      <c r="XD15" s="71" t="str">
        <f t="shared" si="24"/>
        <v/>
      </c>
      <c r="XE15" s="71" t="str">
        <f t="shared" si="24"/>
        <v/>
      </c>
      <c r="XF15" s="71" t="str">
        <f t="shared" si="24"/>
        <v/>
      </c>
      <c r="XG15" s="71" t="str">
        <f t="shared" si="24"/>
        <v/>
      </c>
      <c r="XH15" s="71" t="str">
        <f t="shared" si="24"/>
        <v/>
      </c>
      <c r="XI15" s="71" t="str">
        <f t="shared" si="24"/>
        <v/>
      </c>
      <c r="XJ15" s="71" t="str">
        <f t="shared" si="24"/>
        <v/>
      </c>
      <c r="XK15" s="71" t="str">
        <f t="shared" ref="XK15:ZV15" si="25">IFERROR(XK14/XK10,"")</f>
        <v/>
      </c>
      <c r="XL15" s="71" t="str">
        <f t="shared" si="25"/>
        <v/>
      </c>
      <c r="XM15" s="71" t="str">
        <f t="shared" si="25"/>
        <v/>
      </c>
      <c r="XN15" s="71" t="str">
        <f t="shared" si="25"/>
        <v/>
      </c>
      <c r="XO15" s="71" t="str">
        <f t="shared" si="25"/>
        <v/>
      </c>
      <c r="XP15" s="71" t="str">
        <f t="shared" si="25"/>
        <v/>
      </c>
      <c r="XQ15" s="71" t="str">
        <f t="shared" si="25"/>
        <v/>
      </c>
      <c r="XR15" s="71" t="str">
        <f t="shared" si="25"/>
        <v/>
      </c>
      <c r="XS15" s="71" t="str">
        <f t="shared" si="25"/>
        <v/>
      </c>
      <c r="XT15" s="71" t="str">
        <f t="shared" si="25"/>
        <v/>
      </c>
      <c r="XU15" s="71" t="str">
        <f t="shared" si="25"/>
        <v/>
      </c>
      <c r="XV15" s="71" t="str">
        <f t="shared" si="25"/>
        <v/>
      </c>
      <c r="XW15" s="71" t="str">
        <f t="shared" si="25"/>
        <v/>
      </c>
      <c r="XX15" s="71" t="str">
        <f t="shared" si="25"/>
        <v/>
      </c>
      <c r="XY15" s="71" t="str">
        <f t="shared" si="25"/>
        <v/>
      </c>
      <c r="XZ15" s="71" t="str">
        <f t="shared" si="25"/>
        <v/>
      </c>
      <c r="YA15" s="71" t="str">
        <f t="shared" si="25"/>
        <v/>
      </c>
      <c r="YB15" s="71" t="str">
        <f t="shared" si="25"/>
        <v/>
      </c>
      <c r="YC15" s="71" t="str">
        <f t="shared" si="25"/>
        <v/>
      </c>
      <c r="YD15" s="71" t="str">
        <f t="shared" si="25"/>
        <v/>
      </c>
      <c r="YE15" s="71" t="str">
        <f t="shared" si="25"/>
        <v/>
      </c>
      <c r="YF15" s="71" t="str">
        <f t="shared" si="25"/>
        <v/>
      </c>
      <c r="YG15" s="71" t="str">
        <f t="shared" si="25"/>
        <v/>
      </c>
      <c r="YH15" s="71" t="str">
        <f t="shared" si="25"/>
        <v/>
      </c>
      <c r="YI15" s="71" t="str">
        <f t="shared" si="25"/>
        <v/>
      </c>
      <c r="YJ15" s="71" t="str">
        <f t="shared" si="25"/>
        <v/>
      </c>
      <c r="YK15" s="71" t="str">
        <f t="shared" si="25"/>
        <v/>
      </c>
      <c r="YL15" s="71" t="str">
        <f t="shared" si="25"/>
        <v/>
      </c>
      <c r="YM15" s="71" t="str">
        <f t="shared" si="25"/>
        <v/>
      </c>
      <c r="YN15" s="71" t="str">
        <f t="shared" si="25"/>
        <v/>
      </c>
      <c r="YO15" s="71" t="str">
        <f t="shared" si="25"/>
        <v/>
      </c>
      <c r="YP15" s="71" t="str">
        <f t="shared" si="25"/>
        <v/>
      </c>
      <c r="YQ15" s="71" t="str">
        <f t="shared" si="25"/>
        <v/>
      </c>
      <c r="YR15" s="71" t="str">
        <f t="shared" si="25"/>
        <v/>
      </c>
      <c r="YS15" s="71" t="str">
        <f t="shared" si="25"/>
        <v/>
      </c>
      <c r="YT15" s="71" t="str">
        <f t="shared" si="25"/>
        <v/>
      </c>
      <c r="YU15" s="71" t="str">
        <f t="shared" si="25"/>
        <v/>
      </c>
      <c r="YV15" s="71" t="str">
        <f t="shared" si="25"/>
        <v/>
      </c>
      <c r="YW15" s="71" t="str">
        <f t="shared" si="25"/>
        <v/>
      </c>
      <c r="YX15" s="71" t="str">
        <f t="shared" si="25"/>
        <v/>
      </c>
      <c r="YY15" s="71" t="str">
        <f t="shared" si="25"/>
        <v/>
      </c>
      <c r="YZ15" s="71" t="str">
        <f t="shared" si="25"/>
        <v/>
      </c>
      <c r="ZA15" s="71" t="str">
        <f t="shared" si="25"/>
        <v/>
      </c>
      <c r="ZB15" s="71" t="str">
        <f t="shared" si="25"/>
        <v/>
      </c>
      <c r="ZC15" s="71" t="str">
        <f t="shared" si="25"/>
        <v/>
      </c>
      <c r="ZD15" s="71" t="str">
        <f t="shared" si="25"/>
        <v/>
      </c>
      <c r="ZE15" s="71" t="str">
        <f t="shared" si="25"/>
        <v/>
      </c>
      <c r="ZF15" s="71" t="str">
        <f t="shared" si="25"/>
        <v/>
      </c>
      <c r="ZG15" s="71" t="str">
        <f t="shared" si="25"/>
        <v/>
      </c>
      <c r="ZH15" s="71" t="str">
        <f t="shared" si="25"/>
        <v/>
      </c>
      <c r="ZI15" s="71" t="str">
        <f t="shared" si="25"/>
        <v/>
      </c>
      <c r="ZJ15" s="71" t="str">
        <f t="shared" si="25"/>
        <v/>
      </c>
      <c r="ZK15" s="71" t="str">
        <f t="shared" si="25"/>
        <v/>
      </c>
      <c r="ZL15" s="71" t="str">
        <f t="shared" si="25"/>
        <v/>
      </c>
      <c r="ZM15" s="71" t="str">
        <f t="shared" si="25"/>
        <v/>
      </c>
      <c r="ZN15" s="71" t="str">
        <f t="shared" si="25"/>
        <v/>
      </c>
      <c r="ZO15" s="71" t="str">
        <f t="shared" si="25"/>
        <v/>
      </c>
      <c r="ZP15" s="71" t="str">
        <f t="shared" si="25"/>
        <v/>
      </c>
      <c r="ZQ15" s="71" t="str">
        <f t="shared" si="25"/>
        <v/>
      </c>
      <c r="ZR15" s="71" t="str">
        <f t="shared" si="25"/>
        <v/>
      </c>
      <c r="ZS15" s="71" t="str">
        <f t="shared" si="25"/>
        <v/>
      </c>
      <c r="ZT15" s="71" t="str">
        <f t="shared" si="25"/>
        <v/>
      </c>
      <c r="ZU15" s="71" t="str">
        <f t="shared" si="25"/>
        <v/>
      </c>
      <c r="ZV15" s="71" t="str">
        <f t="shared" si="25"/>
        <v/>
      </c>
      <c r="ZW15" s="71" t="str">
        <f t="shared" ref="ZW15:ACH15" si="26">IFERROR(ZW14/ZW10,"")</f>
        <v/>
      </c>
      <c r="ZX15" s="71" t="str">
        <f t="shared" si="26"/>
        <v/>
      </c>
      <c r="ZY15" s="71" t="str">
        <f t="shared" si="26"/>
        <v/>
      </c>
      <c r="ZZ15" s="71" t="str">
        <f t="shared" si="26"/>
        <v/>
      </c>
      <c r="AAA15" s="71" t="str">
        <f t="shared" si="26"/>
        <v/>
      </c>
      <c r="AAB15" s="71" t="str">
        <f t="shared" si="26"/>
        <v/>
      </c>
      <c r="AAC15" s="71" t="str">
        <f t="shared" si="26"/>
        <v/>
      </c>
      <c r="AAD15" s="71" t="str">
        <f t="shared" si="26"/>
        <v/>
      </c>
      <c r="AAE15" s="71" t="str">
        <f t="shared" si="26"/>
        <v/>
      </c>
      <c r="AAF15" s="71" t="str">
        <f t="shared" si="26"/>
        <v/>
      </c>
      <c r="AAG15" s="71" t="str">
        <f t="shared" si="26"/>
        <v/>
      </c>
      <c r="AAH15" s="71" t="str">
        <f t="shared" si="26"/>
        <v/>
      </c>
      <c r="AAI15" s="71" t="str">
        <f t="shared" si="26"/>
        <v/>
      </c>
      <c r="AAJ15" s="71" t="str">
        <f t="shared" si="26"/>
        <v/>
      </c>
      <c r="AAK15" s="71" t="str">
        <f t="shared" si="26"/>
        <v/>
      </c>
      <c r="AAL15" s="71" t="str">
        <f t="shared" si="26"/>
        <v/>
      </c>
      <c r="AAM15" s="71" t="str">
        <f t="shared" si="26"/>
        <v/>
      </c>
      <c r="AAN15" s="71" t="str">
        <f t="shared" si="26"/>
        <v/>
      </c>
      <c r="AAO15" s="71" t="str">
        <f t="shared" si="26"/>
        <v/>
      </c>
      <c r="AAP15" s="71" t="str">
        <f t="shared" si="26"/>
        <v/>
      </c>
      <c r="AAQ15" s="71" t="str">
        <f t="shared" si="26"/>
        <v/>
      </c>
      <c r="AAR15" s="71" t="str">
        <f t="shared" si="26"/>
        <v/>
      </c>
      <c r="AAS15" s="71" t="str">
        <f t="shared" si="26"/>
        <v/>
      </c>
      <c r="AAT15" s="71" t="str">
        <f t="shared" si="26"/>
        <v/>
      </c>
      <c r="AAU15" s="71" t="str">
        <f t="shared" si="26"/>
        <v/>
      </c>
      <c r="AAV15" s="71" t="str">
        <f t="shared" si="26"/>
        <v/>
      </c>
      <c r="AAW15" s="71" t="str">
        <f t="shared" si="26"/>
        <v/>
      </c>
      <c r="AAX15" s="71" t="str">
        <f t="shared" si="26"/>
        <v/>
      </c>
      <c r="AAY15" s="71" t="str">
        <f t="shared" si="26"/>
        <v/>
      </c>
      <c r="AAZ15" s="71" t="str">
        <f t="shared" si="26"/>
        <v/>
      </c>
      <c r="ABA15" s="71" t="str">
        <f t="shared" si="26"/>
        <v/>
      </c>
      <c r="ABB15" s="71" t="str">
        <f t="shared" si="26"/>
        <v/>
      </c>
      <c r="ABC15" s="71" t="str">
        <f t="shared" si="26"/>
        <v/>
      </c>
      <c r="ABD15" s="71" t="str">
        <f t="shared" si="26"/>
        <v/>
      </c>
      <c r="ABE15" s="71" t="str">
        <f t="shared" si="26"/>
        <v/>
      </c>
      <c r="ABF15" s="71" t="str">
        <f t="shared" si="26"/>
        <v/>
      </c>
      <c r="ABG15" s="71" t="str">
        <f t="shared" si="26"/>
        <v/>
      </c>
      <c r="ABH15" s="71" t="str">
        <f t="shared" si="26"/>
        <v/>
      </c>
      <c r="ABI15" s="71" t="str">
        <f t="shared" si="26"/>
        <v/>
      </c>
      <c r="ABJ15" s="71" t="str">
        <f t="shared" si="26"/>
        <v/>
      </c>
      <c r="ABK15" s="71" t="str">
        <f t="shared" si="26"/>
        <v/>
      </c>
      <c r="ABL15" s="71" t="str">
        <f t="shared" si="26"/>
        <v/>
      </c>
      <c r="ABM15" s="71" t="str">
        <f t="shared" si="26"/>
        <v/>
      </c>
      <c r="ABN15" s="71" t="str">
        <f t="shared" si="26"/>
        <v/>
      </c>
      <c r="ABO15" s="71" t="str">
        <f t="shared" si="26"/>
        <v/>
      </c>
      <c r="ABP15" s="71" t="str">
        <f t="shared" si="26"/>
        <v/>
      </c>
      <c r="ABQ15" s="71" t="str">
        <f t="shared" si="26"/>
        <v/>
      </c>
      <c r="ABR15" s="71" t="str">
        <f t="shared" si="26"/>
        <v/>
      </c>
      <c r="ABS15" s="71" t="str">
        <f t="shared" si="26"/>
        <v/>
      </c>
      <c r="ABT15" s="71" t="str">
        <f t="shared" si="26"/>
        <v/>
      </c>
      <c r="ABU15" s="71" t="str">
        <f t="shared" si="26"/>
        <v/>
      </c>
      <c r="ABV15" s="71" t="str">
        <f t="shared" si="26"/>
        <v/>
      </c>
      <c r="ABW15" s="71" t="str">
        <f t="shared" si="26"/>
        <v/>
      </c>
      <c r="ABX15" s="71" t="str">
        <f t="shared" si="26"/>
        <v/>
      </c>
      <c r="ABY15" s="71" t="str">
        <f t="shared" si="26"/>
        <v/>
      </c>
      <c r="ABZ15" s="71" t="str">
        <f t="shared" si="26"/>
        <v/>
      </c>
      <c r="ACA15" s="71" t="str">
        <f t="shared" si="26"/>
        <v/>
      </c>
      <c r="ACB15" s="71" t="str">
        <f t="shared" si="26"/>
        <v/>
      </c>
      <c r="ACC15" s="71" t="str">
        <f t="shared" si="26"/>
        <v/>
      </c>
      <c r="ACD15" s="71" t="str">
        <f t="shared" si="26"/>
        <v/>
      </c>
      <c r="ACE15" s="71" t="str">
        <f t="shared" si="26"/>
        <v/>
      </c>
      <c r="ACF15" s="71" t="str">
        <f t="shared" si="26"/>
        <v/>
      </c>
      <c r="ACG15" s="71" t="str">
        <f t="shared" si="26"/>
        <v/>
      </c>
      <c r="ACH15" s="71" t="str">
        <f t="shared" si="26"/>
        <v/>
      </c>
      <c r="ACI15" s="71" t="str">
        <f t="shared" ref="ACI15:AET15" si="27">IFERROR(ACI14/ACI10,"")</f>
        <v/>
      </c>
      <c r="ACJ15" s="71" t="str">
        <f t="shared" si="27"/>
        <v/>
      </c>
      <c r="ACK15" s="71" t="str">
        <f t="shared" si="27"/>
        <v/>
      </c>
      <c r="ACL15" s="71" t="str">
        <f t="shared" si="27"/>
        <v/>
      </c>
      <c r="ACM15" s="71" t="str">
        <f t="shared" si="27"/>
        <v/>
      </c>
      <c r="ACN15" s="71" t="str">
        <f t="shared" si="27"/>
        <v/>
      </c>
      <c r="ACO15" s="71" t="str">
        <f t="shared" si="27"/>
        <v/>
      </c>
      <c r="ACP15" s="71" t="str">
        <f t="shared" si="27"/>
        <v/>
      </c>
      <c r="ACQ15" s="71" t="str">
        <f t="shared" si="27"/>
        <v/>
      </c>
      <c r="ACR15" s="71" t="str">
        <f t="shared" si="27"/>
        <v/>
      </c>
      <c r="ACS15" s="71" t="str">
        <f t="shared" si="27"/>
        <v/>
      </c>
      <c r="ACT15" s="71" t="str">
        <f t="shared" si="27"/>
        <v/>
      </c>
      <c r="ACU15" s="71" t="str">
        <f t="shared" si="27"/>
        <v/>
      </c>
      <c r="ACV15" s="71" t="str">
        <f t="shared" si="27"/>
        <v/>
      </c>
      <c r="ACW15" s="71" t="str">
        <f t="shared" si="27"/>
        <v/>
      </c>
      <c r="ACX15" s="71" t="str">
        <f t="shared" si="27"/>
        <v/>
      </c>
      <c r="ACY15" s="71" t="str">
        <f t="shared" si="27"/>
        <v/>
      </c>
      <c r="ACZ15" s="71" t="str">
        <f t="shared" si="27"/>
        <v/>
      </c>
      <c r="ADA15" s="71" t="str">
        <f t="shared" si="27"/>
        <v/>
      </c>
      <c r="ADB15" s="71" t="str">
        <f t="shared" si="27"/>
        <v/>
      </c>
      <c r="ADC15" s="71" t="str">
        <f t="shared" si="27"/>
        <v/>
      </c>
      <c r="ADD15" s="71" t="str">
        <f t="shared" si="27"/>
        <v/>
      </c>
      <c r="ADE15" s="71" t="str">
        <f t="shared" si="27"/>
        <v/>
      </c>
      <c r="ADF15" s="71" t="str">
        <f t="shared" si="27"/>
        <v/>
      </c>
      <c r="ADG15" s="71" t="str">
        <f t="shared" si="27"/>
        <v/>
      </c>
      <c r="ADH15" s="71" t="str">
        <f t="shared" si="27"/>
        <v/>
      </c>
      <c r="ADI15" s="71" t="str">
        <f t="shared" si="27"/>
        <v/>
      </c>
      <c r="ADJ15" s="71" t="str">
        <f t="shared" si="27"/>
        <v/>
      </c>
      <c r="ADK15" s="71" t="str">
        <f t="shared" si="27"/>
        <v/>
      </c>
      <c r="ADL15" s="71" t="str">
        <f t="shared" si="27"/>
        <v/>
      </c>
      <c r="ADM15" s="71" t="str">
        <f t="shared" si="27"/>
        <v/>
      </c>
      <c r="ADN15" s="71" t="str">
        <f t="shared" si="27"/>
        <v/>
      </c>
      <c r="ADO15" s="71" t="str">
        <f t="shared" si="27"/>
        <v/>
      </c>
      <c r="ADP15" s="71" t="str">
        <f t="shared" si="27"/>
        <v/>
      </c>
      <c r="ADQ15" s="71" t="str">
        <f t="shared" si="27"/>
        <v/>
      </c>
      <c r="ADR15" s="71" t="str">
        <f t="shared" si="27"/>
        <v/>
      </c>
      <c r="ADS15" s="71" t="str">
        <f t="shared" si="27"/>
        <v/>
      </c>
      <c r="ADT15" s="71" t="str">
        <f t="shared" si="27"/>
        <v/>
      </c>
      <c r="ADU15" s="71" t="str">
        <f t="shared" si="27"/>
        <v/>
      </c>
      <c r="ADV15" s="71" t="str">
        <f t="shared" si="27"/>
        <v/>
      </c>
      <c r="ADW15" s="71" t="str">
        <f t="shared" si="27"/>
        <v/>
      </c>
      <c r="ADX15" s="71" t="str">
        <f t="shared" si="27"/>
        <v/>
      </c>
      <c r="ADY15" s="71" t="str">
        <f t="shared" si="27"/>
        <v/>
      </c>
      <c r="ADZ15" s="71" t="str">
        <f t="shared" si="27"/>
        <v/>
      </c>
      <c r="AEA15" s="71" t="str">
        <f t="shared" si="27"/>
        <v/>
      </c>
      <c r="AEB15" s="71" t="str">
        <f t="shared" si="27"/>
        <v/>
      </c>
      <c r="AEC15" s="71" t="str">
        <f t="shared" si="27"/>
        <v/>
      </c>
      <c r="AED15" s="71" t="str">
        <f t="shared" si="27"/>
        <v/>
      </c>
      <c r="AEE15" s="71" t="str">
        <f t="shared" si="27"/>
        <v/>
      </c>
      <c r="AEF15" s="71" t="str">
        <f t="shared" si="27"/>
        <v/>
      </c>
      <c r="AEG15" s="71" t="str">
        <f t="shared" si="27"/>
        <v/>
      </c>
      <c r="AEH15" s="71" t="str">
        <f t="shared" si="27"/>
        <v/>
      </c>
      <c r="AEI15" s="71" t="str">
        <f t="shared" si="27"/>
        <v/>
      </c>
      <c r="AEJ15" s="71" t="str">
        <f t="shared" si="27"/>
        <v/>
      </c>
      <c r="AEK15" s="71" t="str">
        <f t="shared" si="27"/>
        <v/>
      </c>
      <c r="AEL15" s="71" t="str">
        <f t="shared" si="27"/>
        <v/>
      </c>
      <c r="AEM15" s="71" t="str">
        <f t="shared" si="27"/>
        <v/>
      </c>
      <c r="AEN15" s="71" t="str">
        <f t="shared" si="27"/>
        <v/>
      </c>
      <c r="AEO15" s="71" t="str">
        <f t="shared" si="27"/>
        <v/>
      </c>
      <c r="AEP15" s="71" t="str">
        <f t="shared" si="27"/>
        <v/>
      </c>
      <c r="AEQ15" s="71" t="str">
        <f t="shared" si="27"/>
        <v/>
      </c>
      <c r="AER15" s="71" t="str">
        <f t="shared" si="27"/>
        <v/>
      </c>
      <c r="AES15" s="71" t="str">
        <f t="shared" si="27"/>
        <v/>
      </c>
      <c r="AET15" s="71" t="str">
        <f t="shared" si="27"/>
        <v/>
      </c>
      <c r="AEU15" s="71" t="str">
        <f t="shared" ref="AEU15:AFZ15" si="28">IFERROR(AEU14/AEU10,"")</f>
        <v/>
      </c>
      <c r="AEV15" s="71" t="str">
        <f t="shared" si="28"/>
        <v/>
      </c>
      <c r="AEW15" s="71" t="str">
        <f t="shared" si="28"/>
        <v/>
      </c>
      <c r="AEX15" s="71" t="str">
        <f t="shared" si="28"/>
        <v/>
      </c>
      <c r="AEY15" s="71" t="str">
        <f t="shared" si="28"/>
        <v/>
      </c>
      <c r="AEZ15" s="71" t="str">
        <f t="shared" si="28"/>
        <v/>
      </c>
      <c r="AFA15" s="71" t="str">
        <f t="shared" si="28"/>
        <v/>
      </c>
      <c r="AFB15" s="71" t="str">
        <f t="shared" si="28"/>
        <v/>
      </c>
      <c r="AFC15" s="71" t="str">
        <f t="shared" si="28"/>
        <v/>
      </c>
      <c r="AFD15" s="71" t="str">
        <f t="shared" si="28"/>
        <v/>
      </c>
      <c r="AFE15" s="71" t="str">
        <f t="shared" si="28"/>
        <v/>
      </c>
      <c r="AFF15" s="71" t="str">
        <f t="shared" si="28"/>
        <v/>
      </c>
      <c r="AFG15" s="71" t="str">
        <f t="shared" si="28"/>
        <v/>
      </c>
      <c r="AFH15" s="71" t="str">
        <f t="shared" si="28"/>
        <v/>
      </c>
      <c r="AFI15" s="71" t="str">
        <f t="shared" si="28"/>
        <v/>
      </c>
      <c r="AFJ15" s="71" t="str">
        <f t="shared" si="28"/>
        <v/>
      </c>
      <c r="AFK15" s="71" t="str">
        <f t="shared" si="28"/>
        <v/>
      </c>
      <c r="AFL15" s="71" t="str">
        <f t="shared" si="28"/>
        <v/>
      </c>
      <c r="AFM15" s="71" t="str">
        <f t="shared" si="28"/>
        <v/>
      </c>
      <c r="AFN15" s="71" t="str">
        <f t="shared" si="28"/>
        <v/>
      </c>
      <c r="AFO15" s="71" t="str">
        <f t="shared" si="28"/>
        <v/>
      </c>
      <c r="AFP15" s="71" t="str">
        <f t="shared" si="28"/>
        <v/>
      </c>
      <c r="AFQ15" s="71" t="str">
        <f t="shared" si="28"/>
        <v/>
      </c>
      <c r="AFR15" s="71" t="str">
        <f t="shared" si="28"/>
        <v/>
      </c>
      <c r="AFS15" s="71" t="str">
        <f t="shared" si="28"/>
        <v/>
      </c>
      <c r="AFT15" s="71" t="str">
        <f t="shared" si="28"/>
        <v/>
      </c>
      <c r="AFU15" s="71" t="str">
        <f t="shared" si="28"/>
        <v/>
      </c>
      <c r="AFV15" s="71" t="str">
        <f t="shared" si="28"/>
        <v/>
      </c>
      <c r="AFW15" s="71" t="str">
        <f t="shared" si="28"/>
        <v/>
      </c>
      <c r="AFX15" s="71" t="str">
        <f t="shared" si="28"/>
        <v/>
      </c>
      <c r="AFY15" s="71" t="str">
        <f t="shared" si="28"/>
        <v/>
      </c>
      <c r="AFZ15" s="71" t="str">
        <f t="shared" si="28"/>
        <v/>
      </c>
    </row>
    <row r="16" spans="1:858" collapsed="1">
      <c r="A16"/>
      <c r="B16"/>
      <c r="C16" t="s">
        <v>276</v>
      </c>
      <c r="D16"/>
      <c r="E16"/>
      <c r="F16"/>
      <c r="G16" s="59"/>
      <c r="H16"/>
      <c r="I16"/>
      <c r="J16" s="61"/>
      <c r="K16" s="61"/>
      <c r="L16" s="61">
        <f t="shared" ref="L16:R16" si="29">L156</f>
        <v>-957621</v>
      </c>
      <c r="M16">
        <f t="shared" si="29"/>
        <v>-1331218</v>
      </c>
      <c r="N16">
        <f t="shared" si="29"/>
        <v>-1571811.3047293611</v>
      </c>
      <c r="O16">
        <f t="shared" si="29"/>
        <v>-1744940.7824425346</v>
      </c>
      <c r="P16">
        <f t="shared" si="29"/>
        <v>-2025287.2458040484</v>
      </c>
      <c r="Q16">
        <f t="shared" si="29"/>
        <v>-2323072.5118200071</v>
      </c>
      <c r="R16">
        <f t="shared" si="29"/>
        <v>-2621249.5154794096</v>
      </c>
      <c r="S16">
        <f>-S17*S14</f>
        <v>-3072482.9340106533</v>
      </c>
      <c r="T16">
        <f>-T17*T14</f>
        <v>-3580564.4160144674</v>
      </c>
      <c r="U16">
        <f>-U17*U14</f>
        <v>-4148644.7358664554</v>
      </c>
      <c r="V16">
        <f t="shared" ref="V16:AD16" si="30">-V17*V14</f>
        <v>-4779296.3833782403</v>
      </c>
      <c r="W16">
        <f t="shared" si="30"/>
        <v>-5474360.2881474486</v>
      </c>
      <c r="X16">
        <f t="shared" si="30"/>
        <v>-5502645.6987992926</v>
      </c>
      <c r="Y16">
        <f t="shared" si="30"/>
        <v>-5431221.3008322585</v>
      </c>
      <c r="Z16">
        <f t="shared" si="30"/>
        <v>-5256009.5138905672</v>
      </c>
      <c r="AA16">
        <f t="shared" si="30"/>
        <v>-4977343.3256330201</v>
      </c>
      <c r="AB16">
        <f t="shared" si="30"/>
        <v>-4600276.4338176483</v>
      </c>
      <c r="AC16">
        <f t="shared" si="30"/>
        <v>-4134585.9559954591</v>
      </c>
      <c r="AD16">
        <f t="shared" si="30"/>
        <v>-4258623.5346753234</v>
      </c>
      <c r="AE16"/>
      <c r="AF16" s="62">
        <f>AD16/AC16-1</f>
        <v>3.0000000000000027E-2</v>
      </c>
      <c r="AG16" s="63"/>
      <c r="AH16" s="62">
        <f>(R16/ M16) ^ (1 /AH8) - 1</f>
        <v>0.14512220566857281</v>
      </c>
      <c r="AI16" s="62">
        <f>(W16/ R16) ^ (1 /AI8) - 1</f>
        <v>0.15868398062750422</v>
      </c>
      <c r="AJ16" s="62">
        <f>(AC16/ W16) ^ (1 /AJ8) - 1</f>
        <v>-4.5703989804440237E-2</v>
      </c>
      <c r="AK16"/>
      <c r="AL16"/>
    </row>
    <row r="17" spans="1:38" hidden="1" outlineLevel="1">
      <c r="A17"/>
      <c r="B17"/>
      <c r="C17"/>
      <c r="D17" s="64" t="s">
        <v>277</v>
      </c>
      <c r="E17" s="64"/>
      <c r="F17" s="64"/>
      <c r="G17" s="65"/>
      <c r="H17" s="57"/>
      <c r="I17"/>
      <c r="J17" s="66"/>
      <c r="K17" s="66"/>
      <c r="L17" s="66">
        <f t="shared" ref="L17:R17" si="31">IFERROR(-L16/L14,"")</f>
        <v>0.23933440701552341</v>
      </c>
      <c r="M17" s="67">
        <f t="shared" si="31"/>
        <v>0.23701770522532223</v>
      </c>
      <c r="N17" s="67">
        <f t="shared" si="31"/>
        <v>0.22811093271278904</v>
      </c>
      <c r="O17" s="67">
        <f t="shared" si="31"/>
        <v>0.2277034059809164</v>
      </c>
      <c r="P17" s="67">
        <f t="shared" si="31"/>
        <v>0.22740202614838451</v>
      </c>
      <c r="Q17" s="67">
        <f t="shared" si="31"/>
        <v>0.22709979734353469</v>
      </c>
      <c r="R17" s="67">
        <f t="shared" si="31"/>
        <v>0.22681686916534299</v>
      </c>
      <c r="S17" s="67">
        <f>R17-(R17-St2TaxRate)/5</f>
        <v>0.23145349533227438</v>
      </c>
      <c r="T17" s="67">
        <f>S17-(R17-St2TaxRate)/5</f>
        <v>0.23609012149920577</v>
      </c>
      <c r="U17" s="67">
        <f>T17-(R17-St2TaxRate)/5</f>
        <v>0.24072674766613716</v>
      </c>
      <c r="V17" s="67">
        <f>U17-(R17-St2TaxRate)/5</f>
        <v>0.24536337383306855</v>
      </c>
      <c r="W17" s="67">
        <f>V17-(R17-St2TaxRate)/5</f>
        <v>0.24999999999999994</v>
      </c>
      <c r="X17" s="67">
        <f>W17-(W17-PenTaxRate)/6</f>
        <v>0.24999999999999994</v>
      </c>
      <c r="Y17" s="67">
        <f>X17-(W17-PenTaxRate)/6</f>
        <v>0.24999999999999994</v>
      </c>
      <c r="Z17" s="67">
        <f>Y17-(W17-PenTaxRate)/6</f>
        <v>0.24999999999999994</v>
      </c>
      <c r="AA17" s="67">
        <f>Z17-(W17-PenTaxRate)/6</f>
        <v>0.24999999999999994</v>
      </c>
      <c r="AB17" s="67">
        <f>AA17-(W17-PenTaxRate)/6</f>
        <v>0.24999999999999994</v>
      </c>
      <c r="AC17" s="67">
        <f>AD17</f>
        <v>0.25</v>
      </c>
      <c r="AD17" s="67">
        <f>H142</f>
        <v>0.25</v>
      </c>
      <c r="AE17" s="71"/>
      <c r="AF17" s="69"/>
      <c r="AG17"/>
      <c r="AH17" s="59"/>
      <c r="AI17" s="59"/>
      <c r="AJ17" s="59"/>
      <c r="AK17"/>
      <c r="AL17"/>
    </row>
    <row r="18" spans="1:38" collapsed="1">
      <c r="A18"/>
      <c r="B18"/>
      <c r="C18" s="74" t="s">
        <v>244</v>
      </c>
      <c r="D18" s="74"/>
      <c r="E18" s="74"/>
      <c r="F18" s="74"/>
      <c r="G18" s="75"/>
      <c r="H18" s="74"/>
      <c r="I18" s="74"/>
      <c r="J18" s="74"/>
      <c r="K18" s="74"/>
      <c r="L18" s="74">
        <f t="shared" ref="L18:AD18" si="32">L14+L16</f>
        <v>3043563</v>
      </c>
      <c r="M18" s="74">
        <f t="shared" si="32"/>
        <v>4285316</v>
      </c>
      <c r="N18" s="74">
        <f t="shared" si="32"/>
        <v>5318745.3469695933</v>
      </c>
      <c r="O18" s="74">
        <f t="shared" si="32"/>
        <v>5918276.9675316419</v>
      </c>
      <c r="P18" s="74">
        <f t="shared" si="32"/>
        <v>6880909.7661896208</v>
      </c>
      <c r="Q18" s="74">
        <f t="shared" si="32"/>
        <v>7906229.9313956816</v>
      </c>
      <c r="R18" s="74">
        <f t="shared" si="32"/>
        <v>8935428.4561603181</v>
      </c>
      <c r="S18" s="74">
        <f t="shared" si="32"/>
        <v>10202248.25810118</v>
      </c>
      <c r="T18" s="74">
        <f t="shared" si="32"/>
        <v>11585527.215763159</v>
      </c>
      <c r="U18" s="74">
        <f t="shared" si="32"/>
        <v>13085188.961833777</v>
      </c>
      <c r="V18" s="74">
        <f t="shared" si="32"/>
        <v>14699146.17598192</v>
      </c>
      <c r="W18" s="74">
        <f t="shared" si="32"/>
        <v>16423080.864442348</v>
      </c>
      <c r="X18" s="74">
        <f t="shared" si="32"/>
        <v>16507937.09639788</v>
      </c>
      <c r="Y18" s="74">
        <f t="shared" si="32"/>
        <v>16293663.902496779</v>
      </c>
      <c r="Z18" s="74">
        <f t="shared" si="32"/>
        <v>15768028.541671705</v>
      </c>
      <c r="AA18" s="74">
        <f t="shared" si="32"/>
        <v>14932029.976899065</v>
      </c>
      <c r="AB18" s="74">
        <f t="shared" si="32"/>
        <v>13800829.30145295</v>
      </c>
      <c r="AC18" s="74">
        <f t="shared" si="32"/>
        <v>12403757.867986377</v>
      </c>
      <c r="AD18" s="74">
        <f t="shared" si="32"/>
        <v>12775870.604025971</v>
      </c>
      <c r="AE18"/>
      <c r="AF18" s="62">
        <f>AD18/AC18-1</f>
        <v>3.0000000000000249E-2</v>
      </c>
      <c r="AG18" s="63"/>
      <c r="AH18" s="62">
        <f>(R18/ M18) ^ (1 /AH8) - 1</f>
        <v>0.15831453450678445</v>
      </c>
      <c r="AI18" s="62">
        <f>(W18/ R18) ^ (1 /AI8) - 1</f>
        <v>0.12945218488135524</v>
      </c>
      <c r="AJ18" s="62">
        <f>(AC18/ W18) ^ (1 /AJ8) - 1</f>
        <v>-4.5703989804440237E-2</v>
      </c>
      <c r="AK18"/>
      <c r="AL18"/>
    </row>
    <row r="19" spans="1:38" ht="3" customHeight="1">
      <c r="A19"/>
      <c r="B19"/>
      <c r="C19"/>
      <c r="D19"/>
      <c r="E19"/>
      <c r="F19"/>
      <c r="G19"/>
      <c r="H19"/>
      <c r="I19"/>
      <c r="J19"/>
      <c r="K19"/>
      <c r="L19"/>
      <c r="M19"/>
      <c r="N19"/>
      <c r="O19"/>
      <c r="P19"/>
      <c r="Q19"/>
      <c r="R19"/>
      <c r="S19"/>
      <c r="T19"/>
      <c r="U19"/>
      <c r="V19"/>
      <c r="W19"/>
      <c r="X19"/>
      <c r="Y19"/>
      <c r="Z19"/>
      <c r="AA19"/>
      <c r="AB19"/>
      <c r="AC19"/>
      <c r="AD19"/>
      <c r="AE19"/>
      <c r="AF19" s="69"/>
      <c r="AG19"/>
      <c r="AH19" s="59"/>
      <c r="AI19" s="59"/>
      <c r="AJ19" s="59"/>
      <c r="AK19"/>
      <c r="AL19"/>
    </row>
    <row r="20" spans="1:38">
      <c r="A20" s="59"/>
      <c r="B20" s="60" t="s">
        <v>278</v>
      </c>
      <c r="C20"/>
      <c r="D20"/>
      <c r="E20"/>
      <c r="F20"/>
      <c r="G20"/>
      <c r="H20"/>
      <c r="I20"/>
      <c r="J20"/>
      <c r="K20"/>
      <c r="L20"/>
      <c r="M20"/>
      <c r="N20"/>
      <c r="O20"/>
      <c r="P20"/>
      <c r="Q20"/>
      <c r="R20"/>
      <c r="S20"/>
      <c r="T20"/>
      <c r="U20"/>
      <c r="V20"/>
      <c r="W20"/>
      <c r="X20"/>
      <c r="Y20"/>
      <c r="Z20"/>
      <c r="AA20"/>
      <c r="AB20"/>
      <c r="AC20"/>
      <c r="AD20"/>
      <c r="AE20"/>
      <c r="AF20" s="69"/>
      <c r="AG20"/>
      <c r="AH20" s="59"/>
      <c r="AI20" s="59"/>
      <c r="AJ20" s="59"/>
      <c r="AK20"/>
      <c r="AL20"/>
    </row>
    <row r="21" spans="1:38">
      <c r="A21"/>
      <c r="B21"/>
      <c r="C21" t="s">
        <v>279</v>
      </c>
      <c r="D21"/>
      <c r="E21"/>
      <c r="F21"/>
      <c r="G21" s="59"/>
      <c r="H21" s="57"/>
      <c r="I21" s="57"/>
      <c r="J21" s="61"/>
      <c r="K21" s="61"/>
      <c r="L21" s="61">
        <f t="shared" ref="L21:R21" si="33">L157</f>
        <v>267776</v>
      </c>
      <c r="M21">
        <f t="shared" si="33"/>
        <v>419355</v>
      </c>
      <c r="N21">
        <f t="shared" si="33"/>
        <v>750920.21125079435</v>
      </c>
      <c r="O21">
        <f t="shared" si="33"/>
        <v>1027280.9948172984</v>
      </c>
      <c r="P21">
        <f t="shared" si="33"/>
        <v>1578023.4264188742</v>
      </c>
      <c r="Q21">
        <f t="shared" si="33"/>
        <v>1649504.9679987226</v>
      </c>
      <c r="R21">
        <f t="shared" si="33"/>
        <v>1694409.9736189481</v>
      </c>
      <c r="S21">
        <f>-S24/S23</f>
        <v>1793321.0916401192</v>
      </c>
      <c r="T21">
        <f>-T24/T23</f>
        <v>1884177.5197248564</v>
      </c>
      <c r="U21">
        <f>-U24/U23</f>
        <v>1964587.8416924665</v>
      </c>
      <c r="V21">
        <f t="shared" ref="V21:AD21" si="34">-V24/V23</f>
        <v>2032104.1041333494</v>
      </c>
      <c r="W21">
        <f t="shared" si="34"/>
        <v>2084279.5690643231</v>
      </c>
      <c r="X21">
        <f t="shared" si="34"/>
        <v>2271864.7302801125</v>
      </c>
      <c r="Y21">
        <f t="shared" si="34"/>
        <v>2449070.1792419613</v>
      </c>
      <c r="Z21">
        <f t="shared" si="34"/>
        <v>2610708.8110719309</v>
      </c>
      <c r="AA21">
        <f t="shared" si="34"/>
        <v>2751687.0868698154</v>
      </c>
      <c r="AB21">
        <f t="shared" si="34"/>
        <v>2867257.9445183477</v>
      </c>
      <c r="AC21">
        <f t="shared" si="34"/>
        <v>2953275.6828538994</v>
      </c>
      <c r="AD21">
        <f t="shared" si="34"/>
        <v>3041873.9533395167</v>
      </c>
      <c r="AE21"/>
      <c r="AF21" s="62">
        <f>AD21/AC21-1</f>
        <v>3.0000000000000027E-2</v>
      </c>
      <c r="AG21" s="63"/>
      <c r="AH21" s="62">
        <f>(R21/ M21) ^ (1 /AH8) - 1</f>
        <v>0.32217010933440515</v>
      </c>
      <c r="AI21" s="62">
        <f>(W21/ R21) ^ (1 /AI8) - 1</f>
        <v>4.2287416227260621E-2</v>
      </c>
      <c r="AJ21" s="62">
        <f>(AC21/ W21) ^ (1 /AJ8) - 1</f>
        <v>5.9801841175227244E-2</v>
      </c>
      <c r="AK21"/>
      <c r="AL21"/>
    </row>
    <row r="22" spans="1:38" hidden="1" outlineLevel="1">
      <c r="A22"/>
      <c r="B22"/>
      <c r="C22"/>
      <c r="D22" s="64" t="s">
        <v>280</v>
      </c>
      <c r="E22" s="64"/>
      <c r="F22" s="64"/>
      <c r="G22" s="65"/>
      <c r="H22" s="57"/>
      <c r="I22" s="59"/>
      <c r="J22" s="66"/>
      <c r="K22" s="66"/>
      <c r="L22" s="66">
        <f t="shared" ref="L22:AD22" si="35">IFERROR(L21/L10,"")</f>
        <v>1.3189334398557023E-2</v>
      </c>
      <c r="M22" s="67">
        <f t="shared" si="35"/>
        <v>1.6889811434864101E-2</v>
      </c>
      <c r="N22" s="67">
        <f t="shared" si="35"/>
        <v>2.33279060775969E-2</v>
      </c>
      <c r="O22" s="67">
        <f t="shared" si="35"/>
        <v>2.876100273328229E-2</v>
      </c>
      <c r="P22" s="67">
        <f t="shared" si="35"/>
        <v>3.8008273110841331E-2</v>
      </c>
      <c r="Q22" s="67">
        <f t="shared" si="35"/>
        <v>3.4617806200941251E-2</v>
      </c>
      <c r="R22" s="67">
        <f t="shared" si="35"/>
        <v>3.1506073853038816E-2</v>
      </c>
      <c r="S22" s="67">
        <f t="shared" si="35"/>
        <v>2.9683946401659247E-2</v>
      </c>
      <c r="T22" s="67">
        <f t="shared" si="35"/>
        <v>2.7895934504812678E-2</v>
      </c>
      <c r="U22" s="67">
        <f t="shared" si="35"/>
        <v>2.6141088934240622E-2</v>
      </c>
      <c r="V22" s="67">
        <f t="shared" si="35"/>
        <v>2.441849535307359E-2</v>
      </c>
      <c r="W22" s="67">
        <f t="shared" si="35"/>
        <v>2.2727272727272714E-2</v>
      </c>
      <c r="X22" s="67">
        <f t="shared" si="35"/>
        <v>2.2727272727272717E-2</v>
      </c>
      <c r="Y22" s="67">
        <f t="shared" si="35"/>
        <v>2.2727272727272717E-2</v>
      </c>
      <c r="Z22" s="67">
        <f t="shared" si="35"/>
        <v>2.2727272727272717E-2</v>
      </c>
      <c r="AA22" s="67">
        <f t="shared" si="35"/>
        <v>2.2727272727272717E-2</v>
      </c>
      <c r="AB22" s="67">
        <f t="shared" si="35"/>
        <v>2.2727272727272717E-2</v>
      </c>
      <c r="AC22" s="67">
        <f t="shared" si="35"/>
        <v>2.2727272727272728E-2</v>
      </c>
      <c r="AD22" s="67">
        <f t="shared" si="35"/>
        <v>2.2727272727272728E-2</v>
      </c>
      <c r="AE22"/>
      <c r="AF22" s="69"/>
      <c r="AG22"/>
      <c r="AH22" s="59"/>
      <c r="AI22" s="59"/>
      <c r="AJ22" s="59"/>
      <c r="AK22"/>
      <c r="AL22"/>
    </row>
    <row r="23" spans="1:38" hidden="1" outlineLevel="1">
      <c r="A23"/>
      <c r="B23"/>
      <c r="C23"/>
      <c r="D23" s="64" t="s">
        <v>281</v>
      </c>
      <c r="E23" s="64"/>
      <c r="F23" s="64"/>
      <c r="G23" s="65"/>
      <c r="H23"/>
      <c r="I23"/>
      <c r="J23" s="76"/>
      <c r="K23" s="76"/>
      <c r="L23" s="76">
        <f t="shared" ref="L23:R23" si="36">IFERROR(-L24/L21,"")</f>
        <v>6.6693355640535374</v>
      </c>
      <c r="M23" s="77">
        <f t="shared" si="36"/>
        <v>3.5175614932455797</v>
      </c>
      <c r="N23" s="77">
        <f t="shared" si="36"/>
        <v>2.6299477527728188</v>
      </c>
      <c r="O23" s="77">
        <f t="shared" si="36"/>
        <v>1.8850826227942685</v>
      </c>
      <c r="P23" s="77">
        <f t="shared" si="36"/>
        <v>1.2389674981592482</v>
      </c>
      <c r="Q23" s="77">
        <f t="shared" si="36"/>
        <v>1.1462404184306763</v>
      </c>
      <c r="R23" s="77">
        <f t="shared" si="36"/>
        <v>1.0499184670138513</v>
      </c>
      <c r="S23" s="77">
        <f>R23-(R23-St2CapDepr)/5</f>
        <v>1.0599347736110811</v>
      </c>
      <c r="T23" s="77">
        <f>S23-(R23-St2CapDepr)/5</f>
        <v>1.069951080208311</v>
      </c>
      <c r="U23" s="77">
        <f>T23-(R23-St2CapDepr)/5</f>
        <v>1.0799673868055408</v>
      </c>
      <c r="V23" s="77">
        <f>U23-(R23-St2CapDepr)/5</f>
        <v>1.0899836934027707</v>
      </c>
      <c r="W23" s="77">
        <f>V23-(R23-St2CapDepr)/5</f>
        <v>1.1000000000000005</v>
      </c>
      <c r="X23" s="77">
        <f>W23-(W23-PenCapDepr)/6</f>
        <v>1.1000000000000005</v>
      </c>
      <c r="Y23" s="77">
        <f>X23-(W23-PenCapDepr)/6</f>
        <v>1.1000000000000005</v>
      </c>
      <c r="Z23" s="77">
        <f>Y23-(W23-PenCapDepr)/6</f>
        <v>1.1000000000000005</v>
      </c>
      <c r="AA23" s="77">
        <f>Z23-(W23-PenCapDepr)/6</f>
        <v>1.1000000000000005</v>
      </c>
      <c r="AB23" s="77">
        <f>AA23-(W23-PenCapDepr)/6</f>
        <v>1.1000000000000005</v>
      </c>
      <c r="AC23" s="77">
        <f>AD23</f>
        <v>1.1000000000000001</v>
      </c>
      <c r="AD23" s="77">
        <f>H143</f>
        <v>1.1000000000000001</v>
      </c>
      <c r="AE23"/>
      <c r="AF23" s="69"/>
      <c r="AG23"/>
      <c r="AH23" s="59"/>
      <c r="AI23" s="59"/>
      <c r="AJ23" s="59"/>
      <c r="AK23"/>
      <c r="AL23"/>
    </row>
    <row r="24" spans="1:38" collapsed="1">
      <c r="A24"/>
      <c r="B24"/>
      <c r="C24" t="s">
        <v>282</v>
      </c>
      <c r="D24"/>
      <c r="E24"/>
      <c r="F24"/>
      <c r="G24" s="59"/>
      <c r="H24" s="57"/>
      <c r="I24" s="57"/>
      <c r="J24" s="78"/>
      <c r="K24" s="78"/>
      <c r="L24" s="78">
        <f t="shared" ref="L24:R24" si="37">L158</f>
        <v>-1785888</v>
      </c>
      <c r="M24" s="45">
        <f t="shared" si="37"/>
        <v>-1475107</v>
      </c>
      <c r="N24" s="45">
        <f t="shared" si="37"/>
        <v>-1974880.9220907171</v>
      </c>
      <c r="O24" s="45">
        <f t="shared" si="37"/>
        <v>-1936509.5520568981</v>
      </c>
      <c r="P24" s="45">
        <f t="shared" si="37"/>
        <v>-1955119.7366668771</v>
      </c>
      <c r="Q24" s="45">
        <f t="shared" si="37"/>
        <v>-1890729.2647223349</v>
      </c>
      <c r="R24" s="45">
        <f t="shared" si="37"/>
        <v>-1778992.3219949862</v>
      </c>
      <c r="S24" s="45">
        <f>-S25*S10</f>
        <v>-1900803.3852795467</v>
      </c>
      <c r="T24" s="45">
        <f>-T25*T10</f>
        <v>-2015977.7725338263</v>
      </c>
      <c r="U24" s="45">
        <f>-U25*U10</f>
        <v>-2121690.7975425506</v>
      </c>
      <c r="V24" s="45">
        <f t="shared" ref="V24:AD24" si="38">-V25*V10</f>
        <v>-2214960.3368021967</v>
      </c>
      <c r="W24" s="45">
        <f t="shared" si="38"/>
        <v>-2292707.5259707565</v>
      </c>
      <c r="X24" s="45">
        <f t="shared" si="38"/>
        <v>-2499051.203308125</v>
      </c>
      <c r="Y24" s="45">
        <f t="shared" si="38"/>
        <v>-2693977.1971661588</v>
      </c>
      <c r="Z24" s="45">
        <f t="shared" si="38"/>
        <v>-2871779.6921791253</v>
      </c>
      <c r="AA24" s="45">
        <f t="shared" si="38"/>
        <v>-3026855.7955567986</v>
      </c>
      <c r="AB24" s="45">
        <f t="shared" si="38"/>
        <v>-3153983.7389701842</v>
      </c>
      <c r="AC24" s="45">
        <f t="shared" si="38"/>
        <v>-3248603.2511392897</v>
      </c>
      <c r="AD24" s="45">
        <f t="shared" si="38"/>
        <v>-3346061.3486734685</v>
      </c>
      <c r="AE24"/>
      <c r="AF24" s="62">
        <f>AD24/AC24-1</f>
        <v>3.0000000000000027E-2</v>
      </c>
      <c r="AG24" s="63"/>
      <c r="AH24" s="62">
        <f>(R24/ M24) ^ (1 /AH8) - 1</f>
        <v>3.8173908529482548E-2</v>
      </c>
      <c r="AI24" s="62">
        <f>(W24/ R24) ^ (1 /AI8) - 1</f>
        <v>5.2046453259531722E-2</v>
      </c>
      <c r="AJ24" s="62">
        <f>(AC24/ W24) ^ (1 /AJ8) - 1</f>
        <v>5.9801841175227244E-2</v>
      </c>
      <c r="AK24"/>
      <c r="AL24"/>
    </row>
    <row r="25" spans="1:38" outlineLevel="1">
      <c r="A25"/>
      <c r="B25"/>
      <c r="C25"/>
      <c r="D25" s="64" t="s">
        <v>283</v>
      </c>
      <c r="E25" s="64"/>
      <c r="F25" s="64"/>
      <c r="G25" s="65"/>
      <c r="H25" s="57"/>
      <c r="I25"/>
      <c r="J25" s="66"/>
      <c r="K25" s="66"/>
      <c r="L25" s="66">
        <f t="shared" ref="L25:R25" si="39">IFERROR(-L24/L10,"")</f>
        <v>8.7964096970491026E-2</v>
      </c>
      <c r="M25" s="67">
        <f t="shared" si="39"/>
        <v>5.9410950331456838E-2</v>
      </c>
      <c r="N25" s="67">
        <f t="shared" si="39"/>
        <v>6.135117416567136E-2</v>
      </c>
      <c r="O25" s="67">
        <f t="shared" si="39"/>
        <v>5.4216866466648903E-2</v>
      </c>
      <c r="P25" s="67">
        <f t="shared" si="39"/>
        <v>4.7091015045492512E-2</v>
      </c>
      <c r="Q25" s="67">
        <f t="shared" si="39"/>
        <v>3.9680328664918961E-2</v>
      </c>
      <c r="R25" s="67">
        <f t="shared" si="39"/>
        <v>3.3078808761407695E-2</v>
      </c>
      <c r="S25" s="67">
        <f>R25-(R25-St2Cap_Sales)/5</f>
        <v>3.1463047009126159E-2</v>
      </c>
      <c r="T25" s="67">
        <f>S25-(R25-St2Cap_Sales)/5</f>
        <v>2.984728525684462E-2</v>
      </c>
      <c r="U25" s="67">
        <f>T25-(R25-St2Cap_Sales)/5</f>
        <v>2.823152350456308E-2</v>
      </c>
      <c r="V25" s="67">
        <f>U25-(R25-St2Cap_Sales)/5</f>
        <v>2.6615761752281541E-2</v>
      </c>
      <c r="W25" s="67">
        <f>V25-(R25-St2Cap_Sales)/5</f>
        <v>2.5000000000000001E-2</v>
      </c>
      <c r="X25" s="67">
        <f>W25-(W25-PenCap_Sales)/6</f>
        <v>2.5000000000000001E-2</v>
      </c>
      <c r="Y25" s="67">
        <f>X25-(W25-PenCap_Sales)/6</f>
        <v>2.5000000000000001E-2</v>
      </c>
      <c r="Z25" s="67">
        <f>Y25-(W25-PenCap_Sales)/6</f>
        <v>2.5000000000000001E-2</v>
      </c>
      <c r="AA25" s="67">
        <f>Z25-(W25-PenCap_Sales)/6</f>
        <v>2.5000000000000001E-2</v>
      </c>
      <c r="AB25" s="67">
        <f>AA25-(W25-PenCap_Sales)/6</f>
        <v>2.5000000000000001E-2</v>
      </c>
      <c r="AC25" s="67">
        <f>AD25</f>
        <v>2.5000000000000001E-2</v>
      </c>
      <c r="AD25" s="67">
        <f>H144</f>
        <v>2.5000000000000001E-2</v>
      </c>
      <c r="AE25"/>
      <c r="AF25" s="69"/>
      <c r="AG25"/>
      <c r="AH25" s="59"/>
      <c r="AI25" s="59"/>
      <c r="AJ25" s="59"/>
      <c r="AK25"/>
      <c r="AL25"/>
    </row>
    <row r="26" spans="1:38">
      <c r="A26"/>
      <c r="B26"/>
      <c r="C26" t="s">
        <v>246</v>
      </c>
      <c r="D26"/>
      <c r="E26"/>
      <c r="F26"/>
      <c r="G26" s="59"/>
      <c r="H26" s="59"/>
      <c r="I26" s="59"/>
      <c r="J26" s="61"/>
      <c r="K26" s="61"/>
      <c r="L26" s="61">
        <f t="shared" ref="L26:R26" si="40">L159</f>
        <v>630433</v>
      </c>
      <c r="M26">
        <f t="shared" si="40"/>
        <v>928522</v>
      </c>
      <c r="N26">
        <f t="shared" si="40"/>
        <v>625416.21125029121</v>
      </c>
      <c r="O26">
        <f t="shared" si="40"/>
        <v>304746.04199083522</v>
      </c>
      <c r="P26">
        <f t="shared" si="40"/>
        <v>482505.42073695082</v>
      </c>
      <c r="Q26">
        <f t="shared" si="40"/>
        <v>527604.27176997857</v>
      </c>
      <c r="R26">
        <f t="shared" si="40"/>
        <v>550157.63104985561</v>
      </c>
      <c r="S26">
        <f>(R10-S10)*S27+((R27-S27)*R10)</f>
        <v>73002.878864117549</v>
      </c>
      <c r="T26">
        <f>(S10-T10)*T27+((S27-T27)*S10)</f>
        <v>9686.6384697430185</v>
      </c>
      <c r="U26">
        <f>(T10-U10)*U27+((T27-U27)*T10)</f>
        <v>-64937.316662151308</v>
      </c>
      <c r="V26">
        <f t="shared" ref="V26:AD26" si="41">(U10-V10)*V27+((U27-V27)*U10)</f>
        <v>-150896.55686442321</v>
      </c>
      <c r="W26">
        <f t="shared" si="41"/>
        <v>-247908.17905198631</v>
      </c>
      <c r="X26">
        <f t="shared" si="41"/>
        <v>330149.88373978919</v>
      </c>
      <c r="Y26">
        <f t="shared" si="41"/>
        <v>311881.59017285414</v>
      </c>
      <c r="Z26">
        <f t="shared" si="41"/>
        <v>284483.99202074652</v>
      </c>
      <c r="AA26">
        <f t="shared" si="41"/>
        <v>248121.7654042769</v>
      </c>
      <c r="AB26">
        <f t="shared" si="41"/>
        <v>203404.70946141635</v>
      </c>
      <c r="AC26">
        <f t="shared" si="41"/>
        <v>151391.2194705689</v>
      </c>
      <c r="AD26">
        <f t="shared" si="41"/>
        <v>155932.95605468631</v>
      </c>
      <c r="AE26"/>
      <c r="AF26" s="62">
        <f>AD26/AC26-1</f>
        <v>3.0000000000002247E-2</v>
      </c>
      <c r="AG26" s="63"/>
      <c r="AH26" s="62">
        <f>(R26/ M26) ^ (1 /AH8) - 1</f>
        <v>-9.9385388546384901E-2</v>
      </c>
      <c r="AI26" s="62">
        <f>(W26/ R26) ^ (1 /AI8) - 1</f>
        <v>-1.8526302620446944</v>
      </c>
      <c r="AJ26" s="62" t="e">
        <f>(AC26/ W26) ^ (1 /AJ8) - 1</f>
        <v>#NUM!</v>
      </c>
      <c r="AK26"/>
      <c r="AL26"/>
    </row>
    <row r="27" spans="1:38" outlineLevel="1">
      <c r="A27"/>
      <c r="B27"/>
      <c r="C27"/>
      <c r="D27" s="64" t="s">
        <v>284</v>
      </c>
      <c r="E27" s="64"/>
      <c r="F27" s="64"/>
      <c r="G27" s="65"/>
      <c r="H27" s="57"/>
      <c r="I27"/>
      <c r="J27" s="66"/>
      <c r="K27" s="66"/>
      <c r="L27" s="66">
        <f t="shared" ref="L27:R27" si="42">IFERROR(L182/L10,"")</f>
        <v>-3.1052042202757153E-2</v>
      </c>
      <c r="M27" s="67">
        <f t="shared" si="42"/>
        <v>-6.2787986277589553E-2</v>
      </c>
      <c r="N27" s="67">
        <f t="shared" si="42"/>
        <v>-6.7859148936443639E-2</v>
      </c>
      <c r="O27" s="67">
        <f t="shared" si="42"/>
        <v>-6.9688340858150816E-2</v>
      </c>
      <c r="P27" s="67">
        <f t="shared" si="42"/>
        <v>-7.1574505348912784E-2</v>
      </c>
      <c r="Q27" s="67">
        <f t="shared" si="42"/>
        <v>-7.343752374870785E-2</v>
      </c>
      <c r="R27" s="67">
        <f t="shared" si="42"/>
        <v>-7.5294770169148303E-2</v>
      </c>
      <c r="S27" s="67">
        <f>R27-(R27-St2WC)/5</f>
        <v>-6.823581613531865E-2</v>
      </c>
      <c r="T27" s="67">
        <f>S27-(R27-St2WC)/5</f>
        <v>-6.1176862101488989E-2</v>
      </c>
      <c r="U27" s="67">
        <f>T27-(R27-St2WC)/5</f>
        <v>-5.4117908067659329E-2</v>
      </c>
      <c r="V27" s="67">
        <f>U27-(R27-St2WC)/5</f>
        <v>-4.7058954033829668E-2</v>
      </c>
      <c r="W27" s="67">
        <f>V27-(R27-St2WC)/5</f>
        <v>-4.0000000000000008E-2</v>
      </c>
      <c r="X27" s="67">
        <f>W27-(W27-PenWC)/5</f>
        <v>-4.0000000000000008E-2</v>
      </c>
      <c r="Y27" s="67">
        <f>X27-(W27-PenWC)/5</f>
        <v>-4.0000000000000008E-2</v>
      </c>
      <c r="Z27" s="67">
        <f>Y27-(W27-PenWC)/5</f>
        <v>-4.0000000000000008E-2</v>
      </c>
      <c r="AA27" s="67">
        <f>Z27-(W27-PenWC)/5</f>
        <v>-4.0000000000000008E-2</v>
      </c>
      <c r="AB27" s="67">
        <f>AC27</f>
        <v>-0.04</v>
      </c>
      <c r="AC27" s="67">
        <f>AD27</f>
        <v>-0.04</v>
      </c>
      <c r="AD27" s="67">
        <f>H145</f>
        <v>-0.04</v>
      </c>
      <c r="AE27"/>
      <c r="AF27" s="69"/>
      <c r="AG27"/>
      <c r="AH27" s="59"/>
      <c r="AI27" s="59"/>
      <c r="AJ27" s="59"/>
      <c r="AK27"/>
      <c r="AL27"/>
    </row>
    <row r="28" spans="1:38">
      <c r="A28"/>
      <c r="B28"/>
      <c r="C28" t="s">
        <v>285</v>
      </c>
      <c r="D28"/>
      <c r="E28"/>
      <c r="F28"/>
      <c r="G28" s="59"/>
      <c r="H28" s="57"/>
      <c r="I28" s="57"/>
      <c r="J28" s="61"/>
      <c r="K28" s="61"/>
      <c r="L28" s="61">
        <f t="shared" ref="L28:R28" si="43">L160</f>
        <v>0</v>
      </c>
      <c r="M28">
        <f t="shared" si="43"/>
        <v>0</v>
      </c>
      <c r="N28">
        <f t="shared" si="43"/>
        <v>0</v>
      </c>
      <c r="O28">
        <f t="shared" si="43"/>
        <v>0</v>
      </c>
      <c r="P28">
        <f t="shared" si="43"/>
        <v>0</v>
      </c>
      <c r="Q28">
        <f t="shared" si="43"/>
        <v>0</v>
      </c>
      <c r="R28">
        <f t="shared" si="43"/>
        <v>0</v>
      </c>
      <c r="S28">
        <v>0</v>
      </c>
      <c r="T28">
        <v>0</v>
      </c>
      <c r="U28">
        <v>0</v>
      </c>
      <c r="V28">
        <v>0</v>
      </c>
      <c r="W28">
        <v>0</v>
      </c>
      <c r="X28">
        <v>0</v>
      </c>
      <c r="Y28">
        <v>0</v>
      </c>
      <c r="Z28">
        <v>0</v>
      </c>
      <c r="AA28">
        <v>0</v>
      </c>
      <c r="AB28">
        <v>0</v>
      </c>
      <c r="AC28">
        <v>0</v>
      </c>
      <c r="AD28">
        <v>0</v>
      </c>
      <c r="AE28"/>
      <c r="AF28" s="69"/>
      <c r="AG28"/>
      <c r="AH28" s="59"/>
      <c r="AI28" s="59"/>
      <c r="AJ28" s="59"/>
      <c r="AK28"/>
      <c r="AL28"/>
    </row>
    <row r="29" spans="1:38">
      <c r="A29"/>
      <c r="B29"/>
      <c r="C29" s="74" t="s">
        <v>278</v>
      </c>
      <c r="D29" s="74"/>
      <c r="E29" s="74"/>
      <c r="F29" s="74"/>
      <c r="G29" s="79"/>
      <c r="H29" s="74"/>
      <c r="I29" s="74"/>
      <c r="J29" s="74"/>
      <c r="K29" s="74"/>
      <c r="L29" s="74">
        <f t="shared" ref="L29:AD29" si="44">L21+L24+L26+L28</f>
        <v>-887679</v>
      </c>
      <c r="M29" s="74">
        <f t="shared" si="44"/>
        <v>-127230</v>
      </c>
      <c r="N29" s="74">
        <f t="shared" si="44"/>
        <v>-598544.49958963157</v>
      </c>
      <c r="O29" s="74">
        <f t="shared" si="44"/>
        <v>-604482.51524876454</v>
      </c>
      <c r="P29" s="74">
        <f t="shared" si="44"/>
        <v>105409.11048894795</v>
      </c>
      <c r="Q29" s="74">
        <f t="shared" si="44"/>
        <v>286379.97504636622</v>
      </c>
      <c r="R29" s="74">
        <f t="shared" si="44"/>
        <v>465575.28267381759</v>
      </c>
      <c r="S29" s="74">
        <f t="shared" si="44"/>
        <v>-34479.414775309968</v>
      </c>
      <c r="T29" s="74">
        <f t="shared" si="44"/>
        <v>-122113.61433922692</v>
      </c>
      <c r="U29" s="74">
        <f t="shared" si="44"/>
        <v>-222040.27251223539</v>
      </c>
      <c r="V29" s="74">
        <f t="shared" si="44"/>
        <v>-333752.78953327052</v>
      </c>
      <c r="W29" s="74">
        <f t="shared" si="44"/>
        <v>-456336.13595841976</v>
      </c>
      <c r="X29" s="74">
        <f t="shared" si="44"/>
        <v>102963.41071177664</v>
      </c>
      <c r="Y29" s="74">
        <f t="shared" si="44"/>
        <v>66974.572248656652</v>
      </c>
      <c r="Z29" s="74">
        <f t="shared" si="44"/>
        <v>23413.110913552169</v>
      </c>
      <c r="AA29" s="74">
        <f t="shared" si="44"/>
        <v>-27046.943282706314</v>
      </c>
      <c r="AB29" s="74">
        <f t="shared" si="44"/>
        <v>-83321.084990420146</v>
      </c>
      <c r="AC29" s="74">
        <f t="shared" si="44"/>
        <v>-143936.34881482137</v>
      </c>
      <c r="AD29" s="74">
        <f t="shared" si="44"/>
        <v>-148254.4392792655</v>
      </c>
      <c r="AE29"/>
      <c r="AF29" s="62">
        <f>AD29/AC29-1</f>
        <v>2.9999999999996474E-2</v>
      </c>
      <c r="AG29"/>
      <c r="AH29" s="62">
        <f>(R29/ M29) ^ (1 /AH8) - 1</f>
        <v>-2.2962240578910595</v>
      </c>
      <c r="AI29" s="62">
        <f>(W29/ R29) ^ (1 /AI8) - 1</f>
        <v>-1.9959991986665386</v>
      </c>
      <c r="AJ29" s="62">
        <f>(AC29/ W29) ^ (1 /AJ8) - 1</f>
        <v>-0.17494873051433035</v>
      </c>
      <c r="AK29"/>
      <c r="AL29"/>
    </row>
    <row r="30" spans="1:38" outlineLevel="1">
      <c r="A30"/>
      <c r="B30"/>
      <c r="C30" s="80"/>
      <c r="D30" s="64" t="s">
        <v>286</v>
      </c>
      <c r="E30" s="81"/>
      <c r="F30" s="81"/>
      <c r="G30" s="65"/>
      <c r="H30" s="80"/>
      <c r="I30" s="80"/>
      <c r="J30" s="66"/>
      <c r="K30" s="66"/>
      <c r="L30" s="66">
        <f t="shared" ref="L30:R30" si="45">IFERROR(-L29/L18,"")</f>
        <v>0.29165783655537936</v>
      </c>
      <c r="M30" s="67">
        <f t="shared" si="45"/>
        <v>2.9689759168285371E-2</v>
      </c>
      <c r="N30" s="67">
        <f t="shared" si="45"/>
        <v>0.11253490448281343</v>
      </c>
      <c r="O30" s="67">
        <f t="shared" si="45"/>
        <v>0.1021382606060896</v>
      </c>
      <c r="P30" s="67">
        <f t="shared" si="45"/>
        <v>-1.5319065947775013E-2</v>
      </c>
      <c r="Q30" s="67">
        <f t="shared" si="45"/>
        <v>-3.6222065071640504E-2</v>
      </c>
      <c r="R30" s="67">
        <f t="shared" si="45"/>
        <v>-5.2104416140541961E-2</v>
      </c>
      <c r="S30" s="67">
        <f>-IFERROR(S29/S18,"")</f>
        <v>3.3795898612770281E-3</v>
      </c>
      <c r="T30" s="67">
        <f>-IFERROR(T29/T18,"")</f>
        <v>1.0540186222434512E-2</v>
      </c>
      <c r="U30" s="67">
        <f>-IFERROR(U29/U18,"")</f>
        <v>1.6968824306616535E-2</v>
      </c>
      <c r="V30" s="67">
        <f t="shared" ref="V30:AD30" si="46">-IFERROR(V29/V18,"")</f>
        <v>2.2705590211669246E-2</v>
      </c>
      <c r="W30" s="67">
        <f t="shared" si="46"/>
        <v>2.7786268589009643E-2</v>
      </c>
      <c r="X30" s="67">
        <f t="shared" si="46"/>
        <v>-6.2372063880861165E-3</v>
      </c>
      <c r="Y30" s="67">
        <f t="shared" si="46"/>
        <v>-4.1104672742386522E-3</v>
      </c>
      <c r="Z30" s="67">
        <f t="shared" si="46"/>
        <v>-1.4848470658000181E-3</v>
      </c>
      <c r="AA30" s="67">
        <f t="shared" si="46"/>
        <v>1.8113373281831004E-3</v>
      </c>
      <c r="AB30" s="67">
        <f t="shared" si="46"/>
        <v>6.0373969687204316E-3</v>
      </c>
      <c r="AC30" s="67">
        <f t="shared" si="46"/>
        <v>1.1604253351826188E-2</v>
      </c>
      <c r="AD30" s="67">
        <f t="shared" si="46"/>
        <v>1.1604253351826145E-2</v>
      </c>
      <c r="AE30"/>
      <c r="AF30" s="62"/>
      <c r="AG30"/>
      <c r="AH30" s="59"/>
      <c r="AI30" s="59"/>
      <c r="AJ30" s="59"/>
      <c r="AK30"/>
      <c r="AL30"/>
    </row>
    <row r="31" spans="1:38">
      <c r="A31"/>
      <c r="B31"/>
      <c r="C31" t="s">
        <v>287</v>
      </c>
      <c r="D31"/>
      <c r="E31"/>
      <c r="F31"/>
      <c r="G31" s="59"/>
      <c r="H31"/>
      <c r="I31"/>
      <c r="J31" s="61"/>
      <c r="K31" s="61"/>
      <c r="L31" s="61">
        <f t="shared" ref="L31:R31" si="47">L161</f>
        <v>98178</v>
      </c>
      <c r="M31">
        <f t="shared" si="47"/>
        <v>103566.99867960182</v>
      </c>
      <c r="N31">
        <f t="shared" si="47"/>
        <v>115268.45368994084</v>
      </c>
      <c r="O31">
        <f t="shared" si="47"/>
        <v>124088.6074545357</v>
      </c>
      <c r="P31">
        <f t="shared" si="47"/>
        <v>138588.73185630888</v>
      </c>
      <c r="Q31">
        <f t="shared" si="47"/>
        <v>153916.57958666928</v>
      </c>
      <c r="R31">
        <f t="shared" si="47"/>
        <v>169245.0557616888</v>
      </c>
      <c r="S31">
        <f>R31*(1+S32)</f>
        <v>148880.06984925488</v>
      </c>
      <c r="T31">
        <f>S31*(1+T32)</f>
        <v>98224.177503579092</v>
      </c>
      <c r="U31">
        <f>T31*(1+U32)</f>
        <v>43202.509939816948</v>
      </c>
      <c r="V31">
        <f t="shared" ref="V31:AD31" si="48">U31*(1+V32)</f>
        <v>9501.0053152747059</v>
      </c>
      <c r="W31">
        <f t="shared" si="48"/>
        <v>0</v>
      </c>
      <c r="X31">
        <f t="shared" si="48"/>
        <v>0</v>
      </c>
      <c r="Y31">
        <f t="shared" si="48"/>
        <v>0</v>
      </c>
      <c r="Z31">
        <f t="shared" si="48"/>
        <v>0</v>
      </c>
      <c r="AA31">
        <f t="shared" si="48"/>
        <v>0</v>
      </c>
      <c r="AB31">
        <f t="shared" si="48"/>
        <v>0</v>
      </c>
      <c r="AC31">
        <f t="shared" si="48"/>
        <v>0</v>
      </c>
      <c r="AD31">
        <f t="shared" si="48"/>
        <v>0</v>
      </c>
      <c r="AE31"/>
      <c r="AF31" s="69"/>
      <c r="AG31"/>
      <c r="AH31" s="59"/>
      <c r="AI31" s="59"/>
      <c r="AJ31" s="59"/>
      <c r="AK31"/>
      <c r="AL31"/>
    </row>
    <row r="32" spans="1:38" outlineLevel="1">
      <c r="A32"/>
      <c r="B32"/>
      <c r="C32"/>
      <c r="D32" s="64" t="s">
        <v>269</v>
      </c>
      <c r="E32"/>
      <c r="F32"/>
      <c r="G32" s="59"/>
      <c r="H32"/>
      <c r="I32"/>
      <c r="J32" s="82"/>
      <c r="K32" s="82"/>
      <c r="L32" s="82">
        <f t="shared" ref="L32:R32" si="49">IFERROR(L31/K31-1,0)</f>
        <v>0</v>
      </c>
      <c r="M32" s="83">
        <f t="shared" si="49"/>
        <v>5.4890084128845773E-2</v>
      </c>
      <c r="N32" s="83">
        <f t="shared" si="49"/>
        <v>0.11298439811449024</v>
      </c>
      <c r="O32" s="83">
        <f t="shared" si="49"/>
        <v>7.6518366320069475E-2</v>
      </c>
      <c r="P32" s="83">
        <f t="shared" si="49"/>
        <v>0.11685298674244393</v>
      </c>
      <c r="Q32" s="83">
        <f t="shared" si="49"/>
        <v>0.11059952367738357</v>
      </c>
      <c r="R32" s="83">
        <f t="shared" si="49"/>
        <v>9.9589506316882348E-2</v>
      </c>
      <c r="S32" s="83">
        <f>R32-(R32-St2OtherItems)/5</f>
        <v>-0.12032839494649411</v>
      </c>
      <c r="T32" s="83">
        <f>S32-(R32-St2OtherItems)/5</f>
        <v>-0.34024629620987057</v>
      </c>
      <c r="U32" s="83">
        <f>T32-(R32-St2OtherItems)/5</f>
        <v>-0.56016419747324697</v>
      </c>
      <c r="V32" s="83">
        <f>U32-(R32-St2OtherItems)/5</f>
        <v>-0.78008209873662349</v>
      </c>
      <c r="W32" s="83">
        <f>V32-(R32-St2OtherItems)/5</f>
        <v>-1</v>
      </c>
      <c r="X32" s="83">
        <f>W32-(W32-PenOtherItemsGR)/6</f>
        <v>-0.82833333333333337</v>
      </c>
      <c r="Y32" s="83">
        <f>X32-(W32-PenOtherItemsGR)/6</f>
        <v>-0.65666666666666673</v>
      </c>
      <c r="Z32" s="83">
        <f>Y32-(W32-PenOtherItemsGR)/6</f>
        <v>-0.4850000000000001</v>
      </c>
      <c r="AA32" s="83">
        <f>Z32-(W32-PenOtherItemsGR)/6</f>
        <v>-0.31333333333333346</v>
      </c>
      <c r="AB32" s="83">
        <f>AA32-(W32-PenOtherItemsGR)/6</f>
        <v>-0.1416666666666668</v>
      </c>
      <c r="AC32" s="67">
        <f>AD32</f>
        <v>0.03</v>
      </c>
      <c r="AD32" s="67">
        <f>H140</f>
        <v>0.03</v>
      </c>
      <c r="AE32"/>
      <c r="AF32" s="69"/>
      <c r="AG32"/>
      <c r="AH32" s="59"/>
      <c r="AI32" s="59"/>
      <c r="AJ32" s="59"/>
      <c r="AK32"/>
      <c r="AL32"/>
    </row>
    <row r="33" spans="1:38" ht="12" thickBot="1">
      <c r="A33"/>
      <c r="B33" s="84" t="s">
        <v>288</v>
      </c>
      <c r="C33" s="85"/>
      <c r="D33" s="85"/>
      <c r="E33" s="85"/>
      <c r="F33" s="85"/>
      <c r="G33" s="86"/>
      <c r="H33" s="85"/>
      <c r="I33" s="85"/>
      <c r="J33" s="87"/>
      <c r="K33" s="87"/>
      <c r="L33" s="87">
        <f t="shared" ref="L33:R33" si="50">L18+L29+L31</f>
        <v>2254062</v>
      </c>
      <c r="M33" s="87">
        <f t="shared" si="50"/>
        <v>4261652.9986796016</v>
      </c>
      <c r="N33" s="87">
        <f t="shared" si="50"/>
        <v>4835469.3010699032</v>
      </c>
      <c r="O33" s="87">
        <f t="shared" si="50"/>
        <v>5437883.0597374132</v>
      </c>
      <c r="P33" s="87">
        <f t="shared" si="50"/>
        <v>7124907.6085348781</v>
      </c>
      <c r="Q33" s="87">
        <f t="shared" si="50"/>
        <v>8346526.4860287169</v>
      </c>
      <c r="R33" s="87">
        <f t="shared" si="50"/>
        <v>9570248.7945958246</v>
      </c>
      <c r="S33" s="87">
        <f t="shared" ref="S33:AB33" si="51">S18+S29+S31</f>
        <v>10316648.913175125</v>
      </c>
      <c r="T33" s="87">
        <f t="shared" si="51"/>
        <v>11561637.778927511</v>
      </c>
      <c r="U33" s="87">
        <f t="shared" si="51"/>
        <v>12906351.19926136</v>
      </c>
      <c r="V33" s="87">
        <f t="shared" si="51"/>
        <v>14374894.391763924</v>
      </c>
      <c r="W33" s="87">
        <f t="shared" si="51"/>
        <v>15966744.728483928</v>
      </c>
      <c r="X33" s="87">
        <f t="shared" si="51"/>
        <v>16610900.507109657</v>
      </c>
      <c r="Y33" s="87">
        <f t="shared" si="51"/>
        <v>16360638.474745436</v>
      </c>
      <c r="Z33" s="87">
        <f t="shared" si="51"/>
        <v>15791441.652585257</v>
      </c>
      <c r="AA33" s="87">
        <f t="shared" si="51"/>
        <v>14904983.033616358</v>
      </c>
      <c r="AB33" s="87">
        <f t="shared" si="51"/>
        <v>13717508.21646253</v>
      </c>
      <c r="AC33" s="87">
        <f>AC18+AC29+AC31</f>
        <v>12259821.519171556</v>
      </c>
      <c r="AD33" s="87">
        <f>AD18+AD29+AD31</f>
        <v>12627616.164746705</v>
      </c>
      <c r="AE33"/>
      <c r="AF33" s="62">
        <f>AD33/AC33-1</f>
        <v>3.0000000000000249E-2</v>
      </c>
      <c r="AG33" s="88"/>
      <c r="AH33" s="62">
        <f>(R33/ M33) ^ (1 /AH8) - 1</f>
        <v>0.17562558410462636</v>
      </c>
      <c r="AI33" s="62">
        <f>(W33/ R33) ^ (1 /AI8) - 1</f>
        <v>0.10779303622030922</v>
      </c>
      <c r="AJ33" s="62">
        <f>(AC33/ W33) ^ (1 /AJ8) - 1</f>
        <v>-4.3074867517866156E-2</v>
      </c>
      <c r="AK33"/>
      <c r="AL33"/>
    </row>
    <row r="34" spans="1:38" ht="3" customHeight="1" thickTop="1">
      <c r="A34"/>
      <c r="B34" s="89"/>
      <c r="C34" s="90"/>
      <c r="D34" s="90"/>
      <c r="E34" s="90"/>
      <c r="F34" s="90"/>
      <c r="G34" s="91"/>
      <c r="H34" s="90"/>
      <c r="I34" s="90"/>
      <c r="J34" s="92"/>
      <c r="K34" s="92"/>
      <c r="L34" s="92"/>
      <c r="M34" s="80"/>
      <c r="N34" s="80"/>
      <c r="O34" s="80"/>
      <c r="P34" s="80"/>
      <c r="Q34" s="80"/>
      <c r="R34" s="80"/>
      <c r="S34" s="80"/>
      <c r="T34" s="80"/>
      <c r="U34" s="80"/>
      <c r="V34" s="80"/>
      <c r="W34" s="80"/>
      <c r="X34" s="80"/>
      <c r="Y34" s="80"/>
      <c r="Z34" s="80"/>
      <c r="AA34" s="80"/>
      <c r="AB34" s="80"/>
      <c r="AC34" s="80"/>
      <c r="AD34" s="80"/>
      <c r="AE34"/>
      <c r="AF34" s="62"/>
      <c r="AG34" s="88"/>
      <c r="AH34" s="93"/>
      <c r="AI34" s="93"/>
      <c r="AJ34" s="93"/>
      <c r="AK34"/>
      <c r="AL34"/>
    </row>
    <row r="35" spans="1:38" ht="11.45" customHeight="1">
      <c r="A35"/>
      <c r="B35"/>
      <c r="C35" t="s">
        <v>248</v>
      </c>
      <c r="D35"/>
      <c r="E35"/>
      <c r="F35"/>
      <c r="G35"/>
      <c r="H35"/>
      <c r="I35"/>
      <c r="J35"/>
      <c r="K35"/>
      <c r="L35"/>
      <c r="M35"/>
      <c r="N35"/>
      <c r="O35"/>
      <c r="P35"/>
      <c r="Q35"/>
      <c r="R35"/>
      <c r="S35"/>
      <c r="T35"/>
      <c r="U35"/>
      <c r="V35"/>
      <c r="W35"/>
      <c r="X35"/>
      <c r="Y35"/>
      <c r="Z35"/>
      <c r="AA35"/>
      <c r="AB35"/>
      <c r="AC35"/>
      <c r="AD35" s="94">
        <f>AD33/(WACC-H140)</f>
        <v>199001121.4994359</v>
      </c>
      <c r="AE35"/>
      <c r="AF35"/>
      <c r="AG35"/>
      <c r="AH35"/>
      <c r="AI35"/>
      <c r="AJ35"/>
      <c r="AK35"/>
      <c r="AL35"/>
    </row>
    <row r="36" spans="1:38" ht="11.45" customHeight="1">
      <c r="A36"/>
      <c r="B36"/>
      <c r="C36"/>
      <c r="D36"/>
      <c r="E36"/>
      <c r="F36"/>
      <c r="G36"/>
      <c r="H36"/>
      <c r="I36"/>
      <c r="J36"/>
      <c r="K36"/>
      <c r="L36"/>
      <c r="M36" s="365" t="s">
        <v>289</v>
      </c>
      <c r="N36" s="365"/>
      <c r="O36" s="365"/>
      <c r="P36" s="36"/>
      <c r="Q36" s="36"/>
      <c r="R36" s="36"/>
      <c r="S36" s="36"/>
      <c r="T36" s="36"/>
      <c r="U36" s="36"/>
      <c r="V36" s="36"/>
      <c r="W36" s="36"/>
      <c r="X36" s="36"/>
      <c r="Y36" s="36"/>
      <c r="Z36" s="36"/>
      <c r="AA36" s="36"/>
      <c r="AB36" s="36"/>
      <c r="AC36"/>
      <c r="AD36"/>
      <c r="AE36"/>
      <c r="AF36"/>
      <c r="AG36"/>
      <c r="AH36"/>
      <c r="AI36"/>
      <c r="AJ36"/>
      <c r="AK36"/>
      <c r="AL36"/>
    </row>
    <row r="37" spans="1:38">
      <c r="A37" s="59"/>
      <c r="B37" s="60" t="s">
        <v>501</v>
      </c>
      <c r="C37"/>
      <c r="D37"/>
      <c r="E37"/>
      <c r="F37"/>
      <c r="G37"/>
      <c r="H37" s="52"/>
      <c r="I37" s="52"/>
      <c r="J37" s="55"/>
      <c r="K37" s="55"/>
      <c r="L37" s="55"/>
      <c r="M37" s="55">
        <f t="shared" ref="M37:R37" si="52">M7</f>
        <v>45657</v>
      </c>
      <c r="N37" s="55">
        <f t="shared" si="52"/>
        <v>46022</v>
      </c>
      <c r="O37" s="55">
        <f t="shared" si="52"/>
        <v>46387</v>
      </c>
      <c r="P37" s="95">
        <f t="shared" si="52"/>
        <v>46752</v>
      </c>
      <c r="Q37" s="96">
        <f t="shared" si="52"/>
        <v>47118</v>
      </c>
      <c r="R37" s="97">
        <f t="shared" si="52"/>
        <v>47483</v>
      </c>
      <c r="S37"/>
      <c r="T37"/>
      <c r="U37"/>
      <c r="V37"/>
      <c r="W37"/>
      <c r="X37"/>
      <c r="Y37"/>
      <c r="Z37"/>
      <c r="AA37"/>
      <c r="AB37"/>
      <c r="AC37"/>
      <c r="AD37" s="98"/>
      <c r="AE37"/>
      <c r="AF37"/>
      <c r="AG37"/>
      <c r="AH37"/>
      <c r="AI37"/>
      <c r="AJ37"/>
      <c r="AK37"/>
      <c r="AL37"/>
    </row>
    <row r="38" spans="1:38" hidden="1" outlineLevel="1">
      <c r="A38"/>
      <c r="B38" s="99" t="s">
        <v>290</v>
      </c>
      <c r="C38" s="64"/>
      <c r="D38" s="64"/>
      <c r="E38" s="64"/>
      <c r="F38" s="64"/>
      <c r="G38" s="64"/>
      <c r="H38" s="64"/>
      <c r="I38" s="64"/>
      <c r="J38" s="100"/>
      <c r="K38" s="100"/>
      <c r="L38" s="100"/>
      <c r="M38" s="100">
        <f>1/(1+WACC)^COLUMNS(N7:$AC$7)</f>
        <v>0.23943374759572739</v>
      </c>
      <c r="N38" s="100">
        <f>1/(1+WACC)^COLUMNS(O7:$AC$7)</f>
        <v>0.26181002847728613</v>
      </c>
      <c r="O38" s="100">
        <f>1/(1+WACC)^COLUMNS(P7:$AC$7)</f>
        <v>0.2862774846886309</v>
      </c>
      <c r="P38" s="101">
        <f>1/(1+WACC)^COLUMNS(Q7:$AC$7)</f>
        <v>0.31303154702020697</v>
      </c>
      <c r="Q38" s="102">
        <f>1/(1+WACC)^COLUMNS(R7:$AC$7)</f>
        <v>0.34228591024698041</v>
      </c>
      <c r="R38" s="103">
        <f>1/(1+WACC)^COLUMNS(S7:$AC$7)</f>
        <v>0.37427423998911202</v>
      </c>
      <c r="S38"/>
      <c r="T38"/>
      <c r="U38"/>
      <c r="V38"/>
      <c r="W38"/>
      <c r="X38"/>
      <c r="Y38"/>
      <c r="Z38"/>
      <c r="AA38"/>
      <c r="AB38"/>
      <c r="AC38"/>
      <c r="AD38"/>
      <c r="AE38"/>
      <c r="AF38"/>
      <c r="AG38"/>
      <c r="AH38"/>
      <c r="AI38"/>
      <c r="AJ38"/>
      <c r="AK38"/>
      <c r="AL38"/>
    </row>
    <row r="39" spans="1:38" collapsed="1">
      <c r="A39"/>
      <c r="B39" t="s">
        <v>291</v>
      </c>
      <c r="C39"/>
      <c r="D39"/>
      <c r="E39"/>
      <c r="F39"/>
      <c r="G39" s="59"/>
      <c r="H39"/>
      <c r="I39"/>
      <c r="J39"/>
      <c r="K39"/>
      <c r="L39"/>
      <c r="M39" s="45">
        <f>IFERROR(NPV(WACC,N33:$AC$33),"n/a")</f>
        <v>85439235.440103427</v>
      </c>
      <c r="N39" s="45">
        <f>IFERROR(NPV(WACC,O33:$AC$33),"n/a")</f>
        <v>88588489.887088418</v>
      </c>
      <c r="O39" s="45">
        <f>IFERROR(NPV(WACC,P33:$AC$33),"n/a")</f>
        <v>91429644.149748862</v>
      </c>
      <c r="P39" s="104">
        <f>IFERROR(NPV(WACC,Q33:$AC$33),"n/a")</f>
        <v>92849293.935228765</v>
      </c>
      <c r="Q39" s="105">
        <f>IFERROR(NPV(WACC,R33:$AC$33),"n/a")</f>
        <v>93179998.213916868</v>
      </c>
      <c r="R39" s="106">
        <f>IFERROR(NPV(WACC,S33:$AC$33),"n/a")</f>
        <v>92317886.152402654</v>
      </c>
      <c r="S39"/>
      <c r="T39"/>
      <c r="U39"/>
      <c r="V39"/>
      <c r="W39"/>
      <c r="X39"/>
      <c r="Y39"/>
      <c r="Z39"/>
      <c r="AA39"/>
      <c r="AB39"/>
      <c r="AC39"/>
      <c r="AD39"/>
      <c r="AE39"/>
      <c r="AF39"/>
      <c r="AG39"/>
      <c r="AH39"/>
      <c r="AI39"/>
      <c r="AJ39"/>
      <c r="AK39"/>
      <c r="AL39"/>
    </row>
    <row r="40" spans="1:38">
      <c r="A40"/>
      <c r="B40" t="s">
        <v>292</v>
      </c>
      <c r="C40"/>
      <c r="D40"/>
      <c r="E40"/>
      <c r="F40"/>
      <c r="G40" s="59"/>
      <c r="H40"/>
      <c r="I40"/>
      <c r="J40"/>
      <c r="K40"/>
      <c r="L40"/>
      <c r="M40" s="45">
        <f t="shared" ref="M40:R40" si="53">IFERROR($AD$35*M38,"n/a")</f>
        <v>47647584.296362616</v>
      </c>
      <c r="N40" s="45">
        <f t="shared" si="53"/>
        <v>52100489.286779188</v>
      </c>
      <c r="O40" s="45">
        <f t="shared" si="53"/>
        <v>56969540.513075136</v>
      </c>
      <c r="P40" s="104">
        <f t="shared" si="53"/>
        <v>62293628.921724588</v>
      </c>
      <c r="Q40" s="105">
        <f t="shared" si="53"/>
        <v>68115280.012604356</v>
      </c>
      <c r="R40" s="106">
        <f t="shared" si="53"/>
        <v>74480993.506182313</v>
      </c>
      <c r="S40"/>
      <c r="T40"/>
      <c r="U40"/>
      <c r="V40"/>
      <c r="W40"/>
      <c r="X40"/>
      <c r="Y40"/>
      <c r="Z40"/>
      <c r="AA40"/>
      <c r="AB40"/>
      <c r="AC40"/>
      <c r="AD40"/>
      <c r="AE40"/>
      <c r="AF40" s="107"/>
      <c r="AG40"/>
      <c r="AH40"/>
      <c r="AI40"/>
      <c r="AJ40"/>
      <c r="AK40"/>
      <c r="AL40"/>
    </row>
    <row r="41" spans="1:38">
      <c r="A41"/>
      <c r="B41" s="74" t="str">
        <f>$H$107&amp;" Enterprise Value"</f>
        <v>Mixue Enterprise Value</v>
      </c>
      <c r="C41" s="74"/>
      <c r="D41" s="74"/>
      <c r="E41" s="74"/>
      <c r="F41" s="74"/>
      <c r="G41" s="79"/>
      <c r="H41" s="74"/>
      <c r="I41" s="74"/>
      <c r="J41" s="74"/>
      <c r="K41" s="74"/>
      <c r="L41" s="74"/>
      <c r="M41" s="74">
        <f t="shared" ref="M41:R41" si="54">IFERROR(SUM(M39:M40),"n/a")</f>
        <v>133086819.73646605</v>
      </c>
      <c r="N41" s="74">
        <f t="shared" si="54"/>
        <v>140688979.17386761</v>
      </c>
      <c r="O41" s="74">
        <f t="shared" si="54"/>
        <v>148399184.662824</v>
      </c>
      <c r="P41" s="108">
        <f t="shared" si="54"/>
        <v>155142922.85695335</v>
      </c>
      <c r="Q41" s="39">
        <f t="shared" si="54"/>
        <v>161295278.22652122</v>
      </c>
      <c r="R41" s="109">
        <f t="shared" si="54"/>
        <v>166798879.65858495</v>
      </c>
      <c r="S41"/>
      <c r="T41"/>
      <c r="U41"/>
      <c r="V41"/>
      <c r="W41"/>
      <c r="X41"/>
      <c r="Y41"/>
      <c r="Z41"/>
      <c r="AA41"/>
      <c r="AB41"/>
      <c r="AC41"/>
      <c r="AD41"/>
      <c r="AE41"/>
      <c r="AF41"/>
      <c r="AG41"/>
      <c r="AH41"/>
      <c r="AI41"/>
      <c r="AJ41"/>
      <c r="AK41"/>
      <c r="AL41"/>
    </row>
    <row r="42" spans="1:38">
      <c r="A42"/>
      <c r="B42" t="s">
        <v>293</v>
      </c>
      <c r="C42"/>
      <c r="D42"/>
      <c r="E42"/>
      <c r="F42"/>
      <c r="G42" s="59"/>
      <c r="H42" s="57"/>
      <c r="I42" s="57"/>
      <c r="J42"/>
      <c r="K42"/>
      <c r="L42"/>
      <c r="M42">
        <f t="shared" ref="M42:R42" si="55">M172</f>
        <v>7525301</v>
      </c>
      <c r="N42">
        <f t="shared" si="55"/>
        <v>15571506.311935145</v>
      </c>
      <c r="O42">
        <f t="shared" si="55"/>
        <v>20962269.56326529</v>
      </c>
      <c r="P42" s="110">
        <f t="shared" si="55"/>
        <v>28096078.862052862</v>
      </c>
      <c r="Q42" s="36">
        <f t="shared" si="55"/>
        <v>36527231.745439604</v>
      </c>
      <c r="R42" s="111">
        <f t="shared" si="55"/>
        <v>46273500.875625245</v>
      </c>
      <c r="S42"/>
      <c r="T42"/>
      <c r="U42"/>
      <c r="V42"/>
      <c r="W42"/>
      <c r="X42"/>
      <c r="Y42"/>
      <c r="Z42"/>
      <c r="AA42"/>
      <c r="AB42"/>
      <c r="AC42"/>
      <c r="AD42"/>
      <c r="AE42"/>
      <c r="AF42"/>
      <c r="AG42"/>
      <c r="AH42"/>
      <c r="AI42"/>
      <c r="AJ42"/>
      <c r="AK42"/>
      <c r="AL42"/>
    </row>
    <row r="43" spans="1:38">
      <c r="A43"/>
      <c r="B43" t="s">
        <v>294</v>
      </c>
      <c r="C43"/>
      <c r="D43"/>
      <c r="E43"/>
      <c r="F43"/>
      <c r="G43" s="59"/>
      <c r="H43" s="112"/>
      <c r="I43" s="112"/>
      <c r="J43"/>
      <c r="K43"/>
      <c r="L43"/>
      <c r="M43">
        <f t="shared" ref="M43:R43" si="56">M174</f>
        <v>0</v>
      </c>
      <c r="N43">
        <f t="shared" si="56"/>
        <v>0</v>
      </c>
      <c r="O43">
        <f t="shared" si="56"/>
        <v>0</v>
      </c>
      <c r="P43" s="110">
        <f t="shared" si="56"/>
        <v>0</v>
      </c>
      <c r="Q43" s="36">
        <f t="shared" si="56"/>
        <v>0</v>
      </c>
      <c r="R43" s="111">
        <f t="shared" si="56"/>
        <v>0</v>
      </c>
      <c r="S43"/>
      <c r="T43"/>
      <c r="U43"/>
      <c r="V43"/>
      <c r="W43"/>
      <c r="X43"/>
      <c r="Y43"/>
      <c r="Z43"/>
      <c r="AA43"/>
      <c r="AB43"/>
      <c r="AC43"/>
      <c r="AD43"/>
      <c r="AE43"/>
      <c r="AF43"/>
      <c r="AG43"/>
      <c r="AH43"/>
      <c r="AI43"/>
      <c r="AJ43"/>
      <c r="AK43"/>
      <c r="AL43"/>
    </row>
    <row r="44" spans="1:38">
      <c r="A44"/>
      <c r="B44" t="s">
        <v>295</v>
      </c>
      <c r="C44"/>
      <c r="D44"/>
      <c r="E44"/>
      <c r="F44"/>
      <c r="G44" s="59"/>
      <c r="H44"/>
      <c r="I44"/>
      <c r="J44"/>
      <c r="K44"/>
      <c r="L44"/>
      <c r="M44">
        <f t="shared" ref="M44:R44" si="57">M173</f>
        <v>-105301</v>
      </c>
      <c r="N44">
        <f t="shared" si="57"/>
        <v>-143416.00750118861</v>
      </c>
      <c r="O44">
        <f t="shared" si="57"/>
        <v>-186265.68971582176</v>
      </c>
      <c r="P44" s="110">
        <f t="shared" si="57"/>
        <v>-236344.35320010685</v>
      </c>
      <c r="Q44" s="36">
        <f t="shared" si="57"/>
        <v>-294251.92082816898</v>
      </c>
      <c r="R44" s="111">
        <f t="shared" si="57"/>
        <v>-360136.00220706407</v>
      </c>
      <c r="S44"/>
      <c r="T44"/>
      <c r="U44"/>
      <c r="V44"/>
      <c r="W44"/>
      <c r="X44"/>
      <c r="Y44"/>
      <c r="Z44"/>
      <c r="AA44"/>
      <c r="AB44"/>
      <c r="AC44"/>
      <c r="AD44"/>
      <c r="AE44"/>
      <c r="AF44"/>
      <c r="AG44"/>
      <c r="AH44"/>
      <c r="AI44"/>
      <c r="AJ44"/>
      <c r="AK44"/>
      <c r="AL44"/>
    </row>
    <row r="45" spans="1:38">
      <c r="A45"/>
      <c r="B45" t="s">
        <v>296</v>
      </c>
      <c r="C45" s="80"/>
      <c r="D45" s="80"/>
      <c r="E45" s="80"/>
      <c r="F45"/>
      <c r="G45" s="59"/>
      <c r="H45"/>
      <c r="I45"/>
      <c r="J45"/>
      <c r="K45"/>
      <c r="L45"/>
      <c r="M45">
        <f t="shared" ref="M45:R45" si="58">SUM(M46:M48)</f>
        <v>3594004</v>
      </c>
      <c r="N45">
        <f t="shared" si="58"/>
        <v>3805408.5438350989</v>
      </c>
      <c r="O45">
        <f t="shared" si="58"/>
        <v>4029612.7585283369</v>
      </c>
      <c r="P45" s="110">
        <f t="shared" si="58"/>
        <v>4267391.6112166764</v>
      </c>
      <c r="Q45" s="36">
        <f t="shared" si="58"/>
        <v>4519566.9900923185</v>
      </c>
      <c r="R45" s="111">
        <f t="shared" si="58"/>
        <v>4787010.5452785539</v>
      </c>
      <c r="S45"/>
      <c r="T45"/>
      <c r="U45"/>
      <c r="V45"/>
      <c r="W45"/>
      <c r="X45"/>
      <c r="Y45"/>
      <c r="Z45"/>
      <c r="AA45"/>
      <c r="AB45"/>
      <c r="AC45"/>
      <c r="AD45"/>
      <c r="AE45"/>
      <c r="AF45"/>
      <c r="AG45"/>
      <c r="AH45"/>
      <c r="AI45"/>
      <c r="AJ45"/>
      <c r="AK45"/>
      <c r="AL45"/>
    </row>
    <row r="46" spans="1:38" outlineLevel="1">
      <c r="A46"/>
      <c r="B46"/>
      <c r="C46" t="s">
        <v>297</v>
      </c>
      <c r="D46"/>
      <c r="E46"/>
      <c r="F46"/>
      <c r="G46" s="59"/>
      <c r="H46" s="57"/>
      <c r="I46" s="57"/>
      <c r="J46"/>
      <c r="K46"/>
      <c r="L46"/>
      <c r="M46">
        <f t="shared" ref="M46:R48" si="59">M175</f>
        <v>0</v>
      </c>
      <c r="N46">
        <f t="shared" ref="N46:O48" si="60">N175</f>
        <v>0</v>
      </c>
      <c r="O46">
        <f t="shared" si="60"/>
        <v>0</v>
      </c>
      <c r="P46" s="110">
        <f t="shared" si="59"/>
        <v>0</v>
      </c>
      <c r="Q46" s="36">
        <f t="shared" si="59"/>
        <v>0</v>
      </c>
      <c r="R46" s="111">
        <f t="shared" si="59"/>
        <v>0</v>
      </c>
      <c r="S46"/>
      <c r="T46"/>
      <c r="U46"/>
      <c r="V46"/>
      <c r="W46"/>
      <c r="X46"/>
      <c r="Y46"/>
      <c r="Z46"/>
      <c r="AA46"/>
      <c r="AB46"/>
      <c r="AC46"/>
      <c r="AD46"/>
      <c r="AE46"/>
      <c r="AF46"/>
      <c r="AG46"/>
      <c r="AH46"/>
      <c r="AI46"/>
      <c r="AJ46"/>
      <c r="AK46"/>
      <c r="AL46"/>
    </row>
    <row r="47" spans="1:38" outlineLevel="1">
      <c r="A47"/>
      <c r="B47"/>
      <c r="C47" t="s">
        <v>298</v>
      </c>
      <c r="D47"/>
      <c r="E47"/>
      <c r="F47"/>
      <c r="G47" s="59"/>
      <c r="H47" s="57"/>
      <c r="I47" s="57"/>
      <c r="J47"/>
      <c r="K47"/>
      <c r="L47"/>
      <c r="M47">
        <f t="shared" si="59"/>
        <v>3498233</v>
      </c>
      <c r="N47">
        <f t="shared" si="60"/>
        <v>3709637.5438350989</v>
      </c>
      <c r="O47">
        <f t="shared" si="60"/>
        <v>3933841.7585283369</v>
      </c>
      <c r="P47" s="110">
        <f t="shared" si="59"/>
        <v>4171620.6112166764</v>
      </c>
      <c r="Q47" s="36">
        <f t="shared" si="59"/>
        <v>4423795.9900923185</v>
      </c>
      <c r="R47" s="111">
        <f t="shared" si="59"/>
        <v>4691239.5452785539</v>
      </c>
      <c r="S47"/>
      <c r="T47"/>
      <c r="U47"/>
      <c r="V47"/>
      <c r="W47"/>
      <c r="X47"/>
      <c r="Y47"/>
      <c r="Z47"/>
      <c r="AA47"/>
      <c r="AB47"/>
      <c r="AC47"/>
      <c r="AD47"/>
      <c r="AE47"/>
      <c r="AF47"/>
      <c r="AG47"/>
      <c r="AH47"/>
      <c r="AI47"/>
      <c r="AJ47"/>
      <c r="AK47"/>
      <c r="AL47"/>
    </row>
    <row r="48" spans="1:38" outlineLevel="1">
      <c r="A48"/>
      <c r="B48"/>
      <c r="C48" t="s">
        <v>299</v>
      </c>
      <c r="D48"/>
      <c r="E48"/>
      <c r="F48"/>
      <c r="G48" s="59"/>
      <c r="H48" s="57"/>
      <c r="I48" s="57"/>
      <c r="J48"/>
      <c r="K48"/>
      <c r="L48"/>
      <c r="M48">
        <f t="shared" si="59"/>
        <v>95771</v>
      </c>
      <c r="N48">
        <f t="shared" si="60"/>
        <v>95771</v>
      </c>
      <c r="O48">
        <f t="shared" si="60"/>
        <v>95771</v>
      </c>
      <c r="P48" s="110">
        <f t="shared" si="59"/>
        <v>95771</v>
      </c>
      <c r="Q48" s="36">
        <f t="shared" si="59"/>
        <v>95771</v>
      </c>
      <c r="R48" s="111">
        <f t="shared" si="59"/>
        <v>95771</v>
      </c>
      <c r="S48"/>
      <c r="T48"/>
      <c r="U48"/>
      <c r="V48"/>
      <c r="W48"/>
      <c r="X48"/>
      <c r="Y48"/>
      <c r="Z48"/>
      <c r="AA48"/>
      <c r="AB48"/>
      <c r="AC48"/>
      <c r="AD48"/>
      <c r="AE48"/>
      <c r="AF48"/>
      <c r="AG48"/>
      <c r="AH48"/>
      <c r="AI48"/>
      <c r="AJ48"/>
      <c r="AK48"/>
      <c r="AL48"/>
    </row>
    <row r="49" spans="1:38">
      <c r="A49"/>
      <c r="B49" s="74" t="str">
        <f>$H$107&amp;" Equity Value (Rmb '000)"</f>
        <v>Mixue Equity Value (Rmb '000)</v>
      </c>
      <c r="C49" s="74"/>
      <c r="D49" s="74"/>
      <c r="E49" s="74"/>
      <c r="F49" s="74"/>
      <c r="G49" s="79"/>
      <c r="H49" s="74"/>
      <c r="I49" s="74"/>
      <c r="J49" s="74"/>
      <c r="K49" s="74"/>
      <c r="L49" s="74"/>
      <c r="M49" s="113">
        <f>IFERROR(SUM(M41:M45),"n/a")</f>
        <v>144100823.73646605</v>
      </c>
      <c r="N49" s="113">
        <f>IFERROR(SUM(N41:N45),"n/a")</f>
        <v>159922478.02213669</v>
      </c>
      <c r="O49" s="113">
        <f>IFERROR(SUM(O41:O45),"n/a")</f>
        <v>173204801.29490179</v>
      </c>
      <c r="P49" s="283"/>
      <c r="Q49" s="114">
        <f>IFERROR(SUM(Q41:Q45),"n/a")</f>
        <v>202047825.04122499</v>
      </c>
      <c r="R49" s="115">
        <f>IFERROR(SUM(R41:R45),"n/a")</f>
        <v>217499255.07728168</v>
      </c>
      <c r="S49"/>
      <c r="T49"/>
      <c r="U49"/>
      <c r="V49"/>
      <c r="W49"/>
      <c r="X49"/>
      <c r="Y49"/>
      <c r="Z49"/>
      <c r="AA49"/>
      <c r="AB49"/>
      <c r="AC49"/>
      <c r="AD49"/>
      <c r="AE49"/>
      <c r="AF49"/>
      <c r="AG49"/>
      <c r="AH49"/>
      <c r="AI49"/>
      <c r="AJ49"/>
      <c r="AK49"/>
      <c r="AL49"/>
    </row>
    <row r="50" spans="1:38" ht="12" outlineLevel="1" thickBot="1">
      <c r="A50"/>
      <c r="B50" s="36"/>
      <c r="C50" t="str">
        <f>C180</f>
        <v>End of period diluted shares</v>
      </c>
      <c r="D50"/>
      <c r="E50"/>
      <c r="F50"/>
      <c r="G50" s="59" t="str">
        <f>$H$113</f>
        <v>k</v>
      </c>
      <c r="H50" s="57"/>
      <c r="I50" s="57"/>
      <c r="J50"/>
      <c r="K50"/>
      <c r="L50"/>
      <c r="M50">
        <f t="shared" ref="M50:R50" si="61">M180</f>
        <v>360000</v>
      </c>
      <c r="N50">
        <f t="shared" si="61"/>
        <v>379619</v>
      </c>
      <c r="O50">
        <f t="shared" si="61"/>
        <v>379619</v>
      </c>
      <c r="P50" s="110">
        <f t="shared" si="61"/>
        <v>379619</v>
      </c>
      <c r="Q50" s="36">
        <f t="shared" si="61"/>
        <v>379619</v>
      </c>
      <c r="R50" s="111">
        <f t="shared" si="61"/>
        <v>379619</v>
      </c>
      <c r="S50"/>
      <c r="T50"/>
      <c r="U50"/>
      <c r="V50"/>
      <c r="W50"/>
      <c r="X50"/>
      <c r="Y50"/>
      <c r="Z50"/>
      <c r="AA50"/>
      <c r="AB50"/>
      <c r="AC50"/>
      <c r="AD50"/>
      <c r="AE50"/>
      <c r="AF50"/>
      <c r="AG50"/>
      <c r="AH50"/>
      <c r="AI50"/>
      <c r="AJ50"/>
      <c r="AK50"/>
      <c r="AL50"/>
    </row>
    <row r="51" spans="1:38" ht="12" outlineLevel="1" thickBot="1">
      <c r="A51"/>
      <c r="B51" s="116" t="s">
        <v>300</v>
      </c>
      <c r="C51" s="116"/>
      <c r="D51" s="116"/>
      <c r="E51" s="116"/>
      <c r="F51" s="116"/>
      <c r="G51" s="116"/>
      <c r="H51" s="116"/>
      <c r="I51" s="116" t="str">
        <f>IFERROR(I49/I50," ")</f>
        <v xml:space="preserve"> </v>
      </c>
      <c r="J51" s="116" t="str">
        <f t="shared" ref="J51:R51" si="62">IFERROR(J49/J50,"")</f>
        <v/>
      </c>
      <c r="K51" s="116" t="str">
        <f t="shared" si="62"/>
        <v/>
      </c>
      <c r="L51" s="116" t="str">
        <f t="shared" si="62"/>
        <v/>
      </c>
      <c r="M51" s="117">
        <f>IFERROR(M49/M50,"")</f>
        <v>400.28006593462794</v>
      </c>
      <c r="N51" s="117">
        <f>IFERROR(N49/N50,"")</f>
        <v>421.27100598794237</v>
      </c>
      <c r="O51" s="117">
        <f>IFERROR(O49/O50,"")</f>
        <v>456.25956892279311</v>
      </c>
      <c r="P51" s="118">
        <f t="shared" si="62"/>
        <v>0</v>
      </c>
      <c r="Q51" s="119">
        <f t="shared" si="62"/>
        <v>532.2384418093535</v>
      </c>
      <c r="R51" s="120">
        <f t="shared" si="62"/>
        <v>572.94090937830219</v>
      </c>
      <c r="S51"/>
      <c r="T51"/>
      <c r="U51"/>
      <c r="V51"/>
      <c r="W51"/>
      <c r="X51"/>
      <c r="Y51"/>
      <c r="Z51"/>
      <c r="AA51"/>
      <c r="AB51"/>
      <c r="AC51"/>
      <c r="AD51"/>
      <c r="AE51"/>
      <c r="AF51"/>
      <c r="AG51"/>
      <c r="AH51"/>
      <c r="AI51"/>
      <c r="AJ51"/>
      <c r="AK51"/>
      <c r="AL51"/>
    </row>
    <row r="52" spans="1:38" ht="12" thickBot="1">
      <c r="A52"/>
      <c r="B52" s="80" t="str">
        <f ca="1">"Valuation @ "&amp;TEXT(H54, "dd mmm yyyy")&amp;" (HK$ '000)"</f>
        <v>Valuation @ 13 Nov 2026 (HK$ '000)</v>
      </c>
      <c r="C52"/>
      <c r="D52"/>
      <c r="E52"/>
      <c r="F52"/>
      <c r="G52"/>
      <c r="H52"/>
      <c r="I52"/>
      <c r="J52"/>
      <c r="K52"/>
      <c r="L52"/>
      <c r="M52"/>
      <c r="N52" s="257">
        <f ca="1">IFERROR(H68*H112, "n/a")</f>
        <v>187447318.25144431</v>
      </c>
      <c r="O52" s="276">
        <v>0.94168555123052755</v>
      </c>
      <c r="P52"/>
      <c r="Q52"/>
      <c r="R52"/>
      <c r="S52"/>
      <c r="T52"/>
      <c r="U52"/>
      <c r="V52"/>
      <c r="W52"/>
      <c r="X52"/>
      <c r="Y52"/>
      <c r="Z52"/>
      <c r="AA52"/>
      <c r="AB52"/>
      <c r="AC52"/>
      <c r="AD52"/>
      <c r="AE52"/>
      <c r="AF52"/>
      <c r="AG52"/>
      <c r="AH52"/>
      <c r="AI52"/>
      <c r="AJ52"/>
      <c r="AK52"/>
      <c r="AL52"/>
    </row>
    <row r="53" spans="1:38">
      <c r="A53" s="59"/>
      <c r="B53" s="121" t="s">
        <v>301</v>
      </c>
      <c r="C53" s="121"/>
      <c r="D53" s="121"/>
      <c r="E53" s="121"/>
      <c r="F53" s="121"/>
      <c r="G53" s="121"/>
      <c r="H53" s="121"/>
      <c r="I53" s="98"/>
      <c r="J53" s="98"/>
      <c r="K53" s="98"/>
      <c r="L53" s="98"/>
      <c r="M53" s="250"/>
      <c r="N53" s="251" t="s">
        <v>482</v>
      </c>
      <c r="O53" s="251" t="s">
        <v>491</v>
      </c>
      <c r="P53"/>
      <c r="Q53"/>
      <c r="R53"/>
      <c r="S53"/>
      <c r="T53"/>
      <c r="U53"/>
      <c r="V53"/>
      <c r="W53"/>
      <c r="X53"/>
      <c r="Y53"/>
      <c r="Z53"/>
      <c r="AA53"/>
      <c r="AB53"/>
      <c r="AC53"/>
      <c r="AD53"/>
      <c r="AE53"/>
      <c r="AF53"/>
      <c r="AG53"/>
      <c r="AH53"/>
      <c r="AI53"/>
      <c r="AJ53"/>
      <c r="AK53"/>
      <c r="AL53"/>
    </row>
    <row r="54" spans="1:38">
      <c r="A54"/>
      <c r="B54" t="s">
        <v>258</v>
      </c>
      <c r="C54"/>
      <c r="D54"/>
      <c r="E54"/>
      <c r="F54"/>
      <c r="G54"/>
      <c r="H54" s="122">
        <f ca="1">H109</f>
        <v>46339</v>
      </c>
      <c r="I54"/>
      <c r="J54" s="98"/>
      <c r="K54" s="123"/>
      <c r="L54" s="123"/>
      <c r="M54" s="252" t="s">
        <v>489</v>
      </c>
      <c r="N54" s="253">
        <f ca="1">$H$68/FS!R8</f>
        <v>5.3257720319733934</v>
      </c>
      <c r="O54" s="253">
        <f ca="1">$H$68/FS!S8</f>
        <v>4.7997142006928737</v>
      </c>
      <c r="P54"/>
      <c r="Q54"/>
      <c r="R54"/>
      <c r="S54"/>
      <c r="T54"/>
      <c r="U54"/>
      <c r="V54"/>
      <c r="W54"/>
      <c r="X54"/>
      <c r="Y54"/>
      <c r="Z54"/>
      <c r="AA54"/>
      <c r="AB54"/>
      <c r="AC54"/>
      <c r="AD54"/>
      <c r="AE54"/>
      <c r="AF54"/>
      <c r="AG54"/>
      <c r="AH54"/>
      <c r="AI54"/>
      <c r="AJ54"/>
      <c r="AK54"/>
      <c r="AL54"/>
    </row>
    <row r="55" spans="1:38">
      <c r="A55"/>
      <c r="B55" s="124">
        <f ca="1">MATCH(H109-1,M7:R7,1)</f>
        <v>2</v>
      </c>
      <c r="C55" t="s">
        <v>302</v>
      </c>
      <c r="D55"/>
      <c r="E55"/>
      <c r="F55"/>
      <c r="G55"/>
      <c r="H55" s="125">
        <f ca="1">IF(AND(MONTH(H109)=MONTH(H108),DAY(H109)=DAY(H108)),1,IF(AND((MONTH(H109)-MONTH(H108))&lt;2,MOD(YEARFRAC(H108,H109,1),1)&lt;0.01),0,IF(MOD(YEARFRAC(H108,H109,1),1)=0,1,MOD(YEARFRAC(H108,H109,1),1))))</f>
        <v>0.86678832116788329</v>
      </c>
      <c r="I55"/>
      <c r="J55" s="98"/>
      <c r="K55" s="123"/>
      <c r="L55" s="123"/>
      <c r="M55" s="252" t="s">
        <v>483</v>
      </c>
      <c r="N55" s="253">
        <f ca="1">$H$68/FS!R31</f>
        <v>31.291741982730301</v>
      </c>
      <c r="O55" s="253">
        <f ca="1">$H$68/FS!S31</f>
        <v>27.834161626284395</v>
      </c>
      <c r="P55"/>
      <c r="Q55"/>
      <c r="R55"/>
      <c r="S55"/>
      <c r="T55"/>
      <c r="U55"/>
      <c r="V55"/>
      <c r="W55"/>
      <c r="X55"/>
      <c r="Y55"/>
      <c r="Z55"/>
      <c r="AA55"/>
      <c r="AB55"/>
      <c r="AC55"/>
      <c r="AD55"/>
      <c r="AE55"/>
      <c r="AF55"/>
      <c r="AG55"/>
      <c r="AH55"/>
      <c r="AI55"/>
      <c r="AJ55"/>
      <c r="AK55"/>
      <c r="AL55"/>
    </row>
    <row r="56" spans="1:38">
      <c r="A56"/>
      <c r="B56" s="126" t="str">
        <f>"Valuation @ reporting currency "&amp;"("&amp;H110&amp;")"</f>
        <v>Valuation @ reporting currency (RMB)</v>
      </c>
      <c r="C56" s="126"/>
      <c r="D56" s="126"/>
      <c r="E56" s="126"/>
      <c r="F56" s="126"/>
      <c r="G56" s="126"/>
      <c r="H56" s="127" cm="1">
        <f t="array" aca="1" ref="H56" ca="1">IF(H109=H108,M51,IFERROR((1-$H$55)*INDEX($M$51:$R$51,$B$55)+$H$55*INDEX($M$51:$R$51,$B$55+1),"n/a"))</f>
        <v>451.59868371431844</v>
      </c>
      <c r="J56" s="98"/>
      <c r="K56" s="98"/>
      <c r="L56" s="98"/>
      <c r="M56" s="252" t="s">
        <v>484</v>
      </c>
      <c r="N56" s="253">
        <f ca="1">$H$63/FS!R63</f>
        <v>19.049479645068288</v>
      </c>
      <c r="O56" s="253">
        <f ca="1">$H$63/FS!S63</f>
        <v>16.762299403099263</v>
      </c>
      <c r="P56"/>
      <c r="Q56"/>
      <c r="R56"/>
      <c r="S56"/>
      <c r="T56"/>
      <c r="U56"/>
      <c r="V56"/>
      <c r="W56"/>
      <c r="X56"/>
      <c r="Y56"/>
      <c r="Z56"/>
      <c r="AA56"/>
      <c r="AB56"/>
      <c r="AC56"/>
      <c r="AD56"/>
      <c r="AE56"/>
      <c r="AF56"/>
      <c r="AG56"/>
      <c r="AH56"/>
      <c r="AI56"/>
      <c r="AJ56"/>
      <c r="AK56"/>
      <c r="AL56"/>
    </row>
    <row r="57" spans="1:38">
      <c r="A57"/>
      <c r="B57" s="128" t="str">
        <f>"Valuation @ price currency "&amp;"("&amp;H111&amp;")"</f>
        <v>Valuation @ price currency (HKD)</v>
      </c>
      <c r="C57" s="129"/>
      <c r="D57" s="129"/>
      <c r="E57" s="129"/>
      <c r="F57" s="129"/>
      <c r="G57" s="129"/>
      <c r="H57" s="130">
        <f ca="1">IFERROR(H56*H112, "n/a")</f>
        <v>493.77749335898443</v>
      </c>
      <c r="I57"/>
      <c r="J57" s="98"/>
      <c r="K57" s="98"/>
      <c r="L57" s="98"/>
      <c r="M57" s="252" t="s">
        <v>485</v>
      </c>
      <c r="N57" s="270">
        <f ca="1">N55/FS!AB31/100</f>
        <v>2.1396444622223409</v>
      </c>
      <c r="O57" s="270">
        <f ca="1">O55/FS!AC31/100</f>
        <v>1.7128461691587322</v>
      </c>
      <c r="P57"/>
      <c r="Q57"/>
      <c r="R57"/>
      <c r="S57"/>
      <c r="T57"/>
      <c r="U57"/>
      <c r="V57"/>
      <c r="W57"/>
      <c r="X57"/>
      <c r="Y57"/>
      <c r="Z57"/>
      <c r="AA57"/>
      <c r="AB57"/>
      <c r="AC57"/>
      <c r="AD57"/>
      <c r="AE57"/>
      <c r="AF57"/>
      <c r="AG57"/>
      <c r="AH57"/>
      <c r="AI57"/>
      <c r="AJ57"/>
      <c r="AK57"/>
      <c r="AL57"/>
    </row>
    <row r="58" spans="1:38" ht="12" thickBot="1">
      <c r="A58"/>
      <c r="B58"/>
      <c r="C58"/>
      <c r="D58"/>
      <c r="E58"/>
      <c r="F58"/>
      <c r="G58"/>
      <c r="H58"/>
      <c r="I58"/>
      <c r="J58" s="98"/>
      <c r="K58"/>
      <c r="L58"/>
      <c r="M58" s="254" t="s">
        <v>486</v>
      </c>
      <c r="N58" s="255">
        <f ca="1">$H$68/FS!R114</f>
        <v>7.1758679866574502</v>
      </c>
      <c r="O58" s="255">
        <f ca="1">$H$68/FS!S114</f>
        <v>5.696934969372716</v>
      </c>
      <c r="P58"/>
      <c r="Q58"/>
      <c r="R58"/>
      <c r="S58"/>
      <c r="T58"/>
      <c r="U58"/>
      <c r="V58"/>
      <c r="W58"/>
      <c r="X58"/>
      <c r="Y58"/>
      <c r="Z58"/>
      <c r="AA58"/>
      <c r="AB58"/>
      <c r="AC58"/>
      <c r="AD58"/>
      <c r="AE58"/>
      <c r="AF58"/>
      <c r="AG58"/>
      <c r="AH58"/>
      <c r="AI58"/>
      <c r="AJ58"/>
      <c r="AK58"/>
      <c r="AL58"/>
    </row>
    <row r="59" spans="1:38" ht="12">
      <c r="A59" s="45"/>
      <c r="B59" s="131" t="str">
        <f ca="1">"Valuation summary as of "&amp;TEXT($H$54, "dd mmm yyyy")</f>
        <v>Valuation summary as of 13 Nov 2026</v>
      </c>
      <c r="C59" s="80"/>
      <c r="D59" s="80"/>
      <c r="E59" s="80"/>
      <c r="F59" s="80"/>
      <c r="G59"/>
      <c r="H59"/>
      <c r="I59"/>
      <c r="J59" s="98"/>
      <c r="K59"/>
      <c r="L59"/>
      <c r="M59"/>
      <c r="N59"/>
      <c r="O59"/>
      <c r="P59"/>
      <c r="Q59"/>
      <c r="R59"/>
      <c r="S59"/>
      <c r="T59"/>
      <c r="U59"/>
      <c r="V59"/>
      <c r="W59"/>
      <c r="X59"/>
      <c r="Y59"/>
      <c r="Z59"/>
      <c r="AA59"/>
      <c r="AB59"/>
      <c r="AC59"/>
      <c r="AD59"/>
      <c r="AE59"/>
      <c r="AF59"/>
      <c r="AG59"/>
      <c r="AH59"/>
      <c r="AI59"/>
      <c r="AJ59"/>
      <c r="AK59"/>
      <c r="AL59"/>
    </row>
    <row r="60" spans="1:38" outlineLevel="1">
      <c r="A60"/>
      <c r="B60" s="132" t="str">
        <f>H110&amp;" "&amp;H113</f>
        <v>RMB k</v>
      </c>
      <c r="C60" s="1"/>
      <c r="D60" s="1"/>
      <c r="E60" s="1"/>
      <c r="F60" s="1"/>
      <c r="G60"/>
      <c r="H60"/>
      <c r="I60"/>
      <c r="J60" s="98"/>
      <c r="K60"/>
      <c r="L60"/>
      <c r="N60" s="278"/>
      <c r="P60"/>
      <c r="Q60"/>
      <c r="R60"/>
      <c r="S60"/>
      <c r="T60"/>
      <c r="U60"/>
      <c r="V60"/>
      <c r="W60"/>
      <c r="X60"/>
      <c r="Y60"/>
      <c r="Z60"/>
      <c r="AA60"/>
      <c r="AB60"/>
      <c r="AC60"/>
      <c r="AD60"/>
      <c r="AE60"/>
      <c r="AF60"/>
      <c r="AG60"/>
      <c r="AH60"/>
      <c r="AI60"/>
      <c r="AJ60"/>
      <c r="AK60"/>
      <c r="AL60"/>
    </row>
    <row r="61" spans="1:38" outlineLevel="1">
      <c r="A61"/>
      <c r="B61" s="1" t="str">
        <f>B39</f>
        <v>PV of visible period FCFs</v>
      </c>
      <c r="C61" s="1"/>
      <c r="D61" s="1"/>
      <c r="E61" s="1"/>
      <c r="F61"/>
      <c r="G61"/>
      <c r="H61" s="133" cm="1">
        <f t="array" aca="1" ref="H61" ca="1">IFERROR(IF($H$109=$H$108,M39,(1-$H$55)*INDEX($M39:$R39,$B$55)+$H$55*INDEX($M39:$R39,$B$55+1)),"n/a")</f>
        <v>91051169.220598847</v>
      </c>
      <c r="I61"/>
      <c r="J61" s="98"/>
      <c r="K61"/>
      <c r="L61"/>
      <c r="P61"/>
      <c r="Q61"/>
      <c r="R61"/>
      <c r="S61"/>
      <c r="T61"/>
      <c r="U61"/>
      <c r="V61"/>
      <c r="W61"/>
      <c r="X61"/>
      <c r="Y61"/>
      <c r="Z61"/>
      <c r="AA61"/>
      <c r="AB61"/>
      <c r="AC61"/>
      <c r="AD61"/>
      <c r="AE61"/>
      <c r="AF61"/>
      <c r="AG61"/>
      <c r="AH61"/>
      <c r="AI61"/>
      <c r="AJ61"/>
      <c r="AK61"/>
      <c r="AL61"/>
    </row>
    <row r="62" spans="1:38" outlineLevel="1">
      <c r="A62"/>
      <c r="B62" s="1" t="str">
        <f>B40</f>
        <v>PV of Terminal Value</v>
      </c>
      <c r="C62" s="1"/>
      <c r="D62" s="1"/>
      <c r="E62" s="1"/>
      <c r="F62" s="1"/>
      <c r="G62" s="1"/>
      <c r="H62" s="133" cm="1">
        <f t="array" aca="1" ref="H62" ca="1">IFERROR(IF(H109=H108,M40,(1-$H$55)*INDEX($M40:$R40,$B$55)+$H$55*INDEX($M40:$R40,$B$55+1)),"n/a")</f>
        <v>56320926.024900675</v>
      </c>
      <c r="I62"/>
      <c r="J62" s="98"/>
      <c r="K62"/>
      <c r="L62"/>
      <c r="P62"/>
      <c r="Q62"/>
      <c r="R62"/>
      <c r="S62"/>
      <c r="T62"/>
      <c r="U62"/>
      <c r="V62"/>
      <c r="W62"/>
      <c r="X62"/>
      <c r="Y62"/>
      <c r="Z62"/>
      <c r="AA62"/>
      <c r="AB62"/>
      <c r="AC62"/>
      <c r="AD62"/>
      <c r="AE62"/>
      <c r="AF62"/>
      <c r="AG62"/>
      <c r="AH62"/>
      <c r="AI62"/>
      <c r="AJ62"/>
      <c r="AK62"/>
      <c r="AL62"/>
    </row>
    <row r="63" spans="1:38" outlineLevel="1">
      <c r="A63"/>
      <c r="B63" s="134" t="str">
        <f>"Enterprise value "&amp;"("&amp;$B$60&amp;")"</f>
        <v>Enterprise value (RMB k)</v>
      </c>
      <c r="C63" s="135"/>
      <c r="D63" s="135"/>
      <c r="E63" s="135"/>
      <c r="F63" s="135"/>
      <c r="G63" s="135"/>
      <c r="H63" s="136" cm="1">
        <f t="array" aca="1" ref="H63" ca="1">IFERROR(IF(H109=H108,M41,(1-$H$55)*INDEX($M41:$R41,$B$55)+$H$55*INDEX($M41:$R41,$B$55+1)),"n/a")</f>
        <v>147372095.24549952</v>
      </c>
      <c r="I63"/>
      <c r="J63" s="98"/>
      <c r="K63"/>
      <c r="L63"/>
      <c r="P63"/>
      <c r="Q63"/>
      <c r="R63"/>
      <c r="S63"/>
      <c r="T63"/>
      <c r="U63"/>
      <c r="V63"/>
      <c r="W63"/>
      <c r="X63"/>
      <c r="Y63"/>
      <c r="Z63"/>
      <c r="AA63"/>
      <c r="AB63"/>
      <c r="AC63"/>
      <c r="AD63"/>
      <c r="AE63"/>
      <c r="AF63"/>
      <c r="AG63"/>
      <c r="AH63"/>
      <c r="AI63"/>
      <c r="AJ63"/>
      <c r="AK63"/>
      <c r="AL63"/>
    </row>
    <row r="64" spans="1:38" outlineLevel="1">
      <c r="A64"/>
      <c r="B64" s="1" t="s">
        <v>303</v>
      </c>
      <c r="C64" s="1"/>
      <c r="D64" s="1"/>
      <c r="E64" s="1"/>
      <c r="F64"/>
      <c r="G64"/>
      <c r="H64" s="133" cm="1">
        <f t="array" aca="1" ref="H64" ca="1">IFERROR(IF($H$109=$H$108,M42,(1-$H$55)*INDEX($M42:$R42,$B$55)+$H$55*INDEX($M42:$R42,$B$55+1)),"n/a")</f>
        <v>20244156.940369122</v>
      </c>
      <c r="I64"/>
      <c r="J64" s="98"/>
      <c r="K64"/>
      <c r="L64"/>
      <c r="P64"/>
      <c r="Q64"/>
      <c r="R64"/>
      <c r="S64"/>
      <c r="T64"/>
      <c r="U64"/>
      <c r="V64"/>
      <c r="W64"/>
      <c r="X64"/>
      <c r="Y64"/>
      <c r="Z64"/>
      <c r="AA64"/>
      <c r="AB64"/>
      <c r="AC64"/>
      <c r="AD64"/>
      <c r="AE64"/>
      <c r="AF64"/>
      <c r="AG64"/>
      <c r="AH64"/>
      <c r="AI64"/>
      <c r="AJ64"/>
      <c r="AK64"/>
      <c r="AL64"/>
    </row>
    <row r="65" spans="1:38" outlineLevel="1">
      <c r="A65"/>
      <c r="B65" s="1" t="s">
        <v>304</v>
      </c>
      <c r="C65" s="137"/>
      <c r="D65" s="1"/>
      <c r="E65" s="1"/>
      <c r="F65"/>
      <c r="G65"/>
      <c r="H65" s="133" cm="1">
        <f t="array" aca="1" ref="H65" ca="1">IFERROR(IF($H$109=$H$108,M43,(1-$H$55)*INDEX($M43:$R43,$B$55)+$H$55*INDEX($M43:$R43,$B$55+1)),"n/a")</f>
        <v>0</v>
      </c>
      <c r="I65"/>
      <c r="J65" s="98"/>
      <c r="K65"/>
      <c r="L65"/>
      <c r="P65"/>
      <c r="Q65"/>
      <c r="R65"/>
      <c r="S65"/>
      <c r="T65"/>
      <c r="U65"/>
      <c r="V65"/>
      <c r="W65"/>
      <c r="X65"/>
      <c r="Y65"/>
      <c r="Z65"/>
      <c r="AA65"/>
      <c r="AB65"/>
      <c r="AC65"/>
      <c r="AD65"/>
      <c r="AE65"/>
      <c r="AF65"/>
      <c r="AG65"/>
      <c r="AH65"/>
      <c r="AI65"/>
      <c r="AJ65"/>
      <c r="AK65"/>
      <c r="AL65"/>
    </row>
    <row r="66" spans="1:38" outlineLevel="1">
      <c r="A66"/>
      <c r="B66" s="1" t="s">
        <v>295</v>
      </c>
      <c r="C66" s="1"/>
      <c r="D66" s="1"/>
      <c r="E66" s="1"/>
      <c r="F66"/>
      <c r="G66"/>
      <c r="H66" s="133" cm="1">
        <f t="array" aca="1" ref="H66" ca="1">IFERROR(IF($H$109=$H$108,M44,(1-$H$55)*INDEX($M44:$R44,$B$55)+$H$55*INDEX($M44:$R44,$B$55+1)),"n/a")</f>
        <v>-180557.6116105878</v>
      </c>
      <c r="I66"/>
      <c r="J66" s="98"/>
      <c r="K66"/>
      <c r="L66"/>
      <c r="M66"/>
      <c r="N66"/>
      <c r="O66"/>
      <c r="P66"/>
      <c r="Q66"/>
      <c r="R66"/>
      <c r="S66"/>
      <c r="T66"/>
      <c r="U66"/>
      <c r="V66"/>
      <c r="W66"/>
      <c r="X66"/>
      <c r="Y66"/>
      <c r="Z66"/>
      <c r="AA66"/>
      <c r="AB66"/>
      <c r="AC66"/>
      <c r="AD66"/>
      <c r="AE66"/>
      <c r="AF66"/>
      <c r="AG66"/>
      <c r="AH66"/>
      <c r="AI66"/>
      <c r="AJ66"/>
      <c r="AK66"/>
      <c r="AL66"/>
    </row>
    <row r="67" spans="1:38" outlineLevel="1">
      <c r="A67"/>
      <c r="B67" s="1" t="s">
        <v>305</v>
      </c>
      <c r="C67" s="1"/>
      <c r="D67" s="1"/>
      <c r="E67" s="1"/>
      <c r="F67"/>
      <c r="G67"/>
      <c r="H67" s="133" cm="1">
        <f t="array" aca="1" ref="H67" ca="1">IFERROR(IF($H$109=$H$108,M45,(1-$H$55)*INDEX($M45:$R45,$B$55)+$H$55*INDEX($M45:$R45,$B$55+1)),"n/a")</f>
        <v>3999746.1386878141</v>
      </c>
      <c r="I67"/>
      <c r="J67" s="98"/>
      <c r="K67"/>
      <c r="L67"/>
      <c r="M67"/>
      <c r="N67"/>
      <c r="O67"/>
      <c r="P67"/>
      <c r="Q67"/>
      <c r="R67"/>
      <c r="S67"/>
      <c r="T67"/>
      <c r="U67"/>
      <c r="V67"/>
      <c r="W67"/>
      <c r="X67"/>
      <c r="Y67"/>
      <c r="Z67"/>
      <c r="AA67"/>
      <c r="AB67"/>
      <c r="AC67"/>
      <c r="AD67"/>
      <c r="AE67"/>
      <c r="AF67"/>
      <c r="AG67"/>
      <c r="AH67"/>
      <c r="AI67"/>
      <c r="AJ67"/>
      <c r="AK67"/>
      <c r="AL67"/>
    </row>
    <row r="68" spans="1:38" outlineLevel="1">
      <c r="A68"/>
      <c r="B68" s="134" t="str">
        <f>"Equity value "&amp;"("&amp;$B$60&amp;")"</f>
        <v>Equity value (RMB k)</v>
      </c>
      <c r="C68" s="135"/>
      <c r="D68" s="135"/>
      <c r="E68" s="135"/>
      <c r="F68" s="138"/>
      <c r="G68" s="138"/>
      <c r="H68" s="136" cm="1">
        <f t="array" aca="1" ref="H68" ca="1">IFERROR(IF(H109=H108,M49,(1-$H$55)*INDEX($M$49:$R$49,$B$55)+$H$55*INDEX($M$49:$R$49,$B$55+1)),"n/a")</f>
        <v>171435440.71294585</v>
      </c>
      <c r="I68"/>
      <c r="J68" s="277">
        <f ca="1">H68/H70*H71/1000000</f>
        <v>187.4473182514443</v>
      </c>
      <c r="K68"/>
      <c r="L68"/>
      <c r="M68"/>
      <c r="N68"/>
      <c r="O68"/>
      <c r="P68"/>
      <c r="Q68"/>
      <c r="R68"/>
      <c r="S68"/>
      <c r="T68"/>
      <c r="U68"/>
      <c r="V68"/>
      <c r="W68"/>
      <c r="X68"/>
      <c r="Y68"/>
      <c r="Z68"/>
      <c r="AA68"/>
      <c r="AB68"/>
      <c r="AC68"/>
      <c r="AD68"/>
      <c r="AE68"/>
      <c r="AF68"/>
      <c r="AG68"/>
      <c r="AH68"/>
      <c r="AI68"/>
      <c r="AJ68"/>
      <c r="AK68"/>
      <c r="AL68"/>
    </row>
    <row r="69" spans="1:38" outlineLevel="1">
      <c r="A69"/>
      <c r="B69" s="1"/>
      <c r="C69" s="1"/>
      <c r="D69" s="1"/>
      <c r="E69" s="1"/>
      <c r="F69"/>
      <c r="G69"/>
      <c r="H69" s="133"/>
      <c r="I69"/>
      <c r="J69" s="98"/>
      <c r="K69"/>
      <c r="L69"/>
      <c r="M69"/>
      <c r="N69"/>
      <c r="O69"/>
      <c r="P69"/>
      <c r="Q69"/>
      <c r="R69"/>
      <c r="S69"/>
      <c r="T69"/>
      <c r="U69"/>
      <c r="V69"/>
      <c r="W69"/>
      <c r="X69"/>
      <c r="Y69"/>
      <c r="Z69"/>
      <c r="AA69"/>
      <c r="AB69"/>
      <c r="AC69"/>
      <c r="AD69"/>
      <c r="AE69"/>
      <c r="AF69"/>
      <c r="AG69"/>
      <c r="AH69"/>
      <c r="AI69"/>
      <c r="AJ69"/>
      <c r="AK69"/>
      <c r="AL69"/>
    </row>
    <row r="70" spans="1:38" outlineLevel="1">
      <c r="A70"/>
      <c r="B70" s="128" t="str">
        <f>"Price Target in "&amp;H110</f>
        <v>Price Target in RMB</v>
      </c>
      <c r="C70" s="129"/>
      <c r="D70" s="129"/>
      <c r="E70" s="129"/>
      <c r="F70" s="129"/>
      <c r="G70" s="129"/>
      <c r="H70" s="139">
        <f ca="1">OneYr_Fwd_Value</f>
        <v>451.59868371431844</v>
      </c>
      <c r="I70"/>
      <c r="J70" s="98"/>
      <c r="K70"/>
      <c r="L70"/>
      <c r="M70"/>
      <c r="N70"/>
      <c r="O70"/>
      <c r="P70"/>
      <c r="Q70"/>
      <c r="R70"/>
      <c r="S70"/>
      <c r="T70"/>
      <c r="U70"/>
      <c r="V70"/>
      <c r="W70"/>
      <c r="X70"/>
      <c r="Y70"/>
      <c r="Z70"/>
      <c r="AA70"/>
      <c r="AB70"/>
      <c r="AC70"/>
      <c r="AD70"/>
      <c r="AE70"/>
      <c r="AF70"/>
      <c r="AG70"/>
      <c r="AH70"/>
      <c r="AI70"/>
      <c r="AJ70"/>
      <c r="AK70"/>
      <c r="AL70"/>
    </row>
    <row r="71" spans="1:38" outlineLevel="1">
      <c r="A71"/>
      <c r="B71" s="128" t="str">
        <f ca="1">"Price Target as of "&amp;TEXT(H54, "dd mmm yyyy")&amp;" in "&amp;H111</f>
        <v>Price Target as of 13 Nov 2026 in HKD</v>
      </c>
      <c r="C71" s="129"/>
      <c r="D71" s="129"/>
      <c r="E71" s="129"/>
      <c r="F71" s="129"/>
      <c r="G71" s="129"/>
      <c r="H71" s="139">
        <f ca="1">PT</f>
        <v>493.77749335898443</v>
      </c>
      <c r="I71"/>
      <c r="J71" s="98"/>
      <c r="K71"/>
      <c r="L71"/>
      <c r="M71"/>
      <c r="N71"/>
      <c r="O71"/>
      <c r="P71"/>
      <c r="Q71"/>
      <c r="R71"/>
      <c r="S71"/>
      <c r="T71"/>
      <c r="U71"/>
      <c r="V71"/>
      <c r="W71"/>
      <c r="X71"/>
      <c r="Y71"/>
      <c r="Z71"/>
      <c r="AA71"/>
      <c r="AB71"/>
      <c r="AC71"/>
      <c r="AD71"/>
      <c r="AE71"/>
      <c r="AF71"/>
      <c r="AG71"/>
      <c r="AH71"/>
      <c r="AI71"/>
      <c r="AJ71"/>
      <c r="AK71"/>
      <c r="AL71"/>
    </row>
    <row r="72" spans="1:38" outlineLevel="1">
      <c r="A72"/>
      <c r="B72"/>
      <c r="C72"/>
      <c r="D72"/>
      <c r="E72"/>
      <c r="F72"/>
      <c r="G72"/>
      <c r="H72"/>
      <c r="I72"/>
      <c r="J72" s="98"/>
      <c r="K72"/>
      <c r="L72"/>
      <c r="M72"/>
      <c r="N72"/>
      <c r="O72"/>
      <c r="P72"/>
      <c r="Q72"/>
      <c r="R72"/>
      <c r="S72"/>
      <c r="T72"/>
      <c r="U72"/>
      <c r="V72"/>
      <c r="W72"/>
      <c r="X72"/>
      <c r="Y72"/>
      <c r="Z72"/>
      <c r="AA72"/>
      <c r="AB72"/>
      <c r="AC72"/>
      <c r="AD72"/>
      <c r="AE72"/>
      <c r="AF72"/>
      <c r="AG72"/>
      <c r="AH72"/>
      <c r="AI72"/>
      <c r="AJ72"/>
      <c r="AK72"/>
      <c r="AL72"/>
    </row>
    <row r="73" spans="1:38">
      <c r="A73" s="140" t="s">
        <v>306</v>
      </c>
      <c r="B73"/>
      <c r="C73"/>
      <c r="D73"/>
      <c r="E73"/>
      <c r="F73"/>
      <c r="G73"/>
      <c r="H73"/>
      <c r="I73"/>
      <c r="J73" s="98"/>
      <c r="K73"/>
      <c r="L73"/>
      <c r="M73"/>
      <c r="N73"/>
      <c r="O73"/>
      <c r="P73"/>
      <c r="Q73"/>
      <c r="R73"/>
      <c r="S73"/>
      <c r="T73"/>
      <c r="U73"/>
      <c r="V73"/>
      <c r="W73"/>
      <c r="X73"/>
      <c r="Y73"/>
      <c r="Z73"/>
      <c r="AA73"/>
      <c r="AB73"/>
      <c r="AC73"/>
      <c r="AD73"/>
      <c r="AE73"/>
      <c r="AF73"/>
      <c r="AG73"/>
      <c r="AH73"/>
      <c r="AI73"/>
      <c r="AJ73"/>
      <c r="AK73"/>
      <c r="AL73"/>
    </row>
    <row r="74" spans="1:38">
      <c r="A74" s="140"/>
      <c r="B74"/>
      <c r="C74"/>
      <c r="D74"/>
      <c r="E74"/>
      <c r="F74"/>
      <c r="G74"/>
      <c r="H74"/>
      <c r="I74"/>
      <c r="J74" s="98"/>
      <c r="K74"/>
      <c r="L74"/>
      <c r="M74"/>
      <c r="N74"/>
      <c r="O74"/>
      <c r="P74"/>
      <c r="Q74"/>
      <c r="R74"/>
      <c r="S74"/>
      <c r="T74"/>
      <c r="U74"/>
      <c r="V74"/>
      <c r="W74"/>
      <c r="X74"/>
      <c r="Y74"/>
      <c r="Z74"/>
      <c r="AA74"/>
      <c r="AB74"/>
      <c r="AC74"/>
      <c r="AD74"/>
      <c r="AE74"/>
      <c r="AF74"/>
      <c r="AG74"/>
      <c r="AH74"/>
      <c r="AI74"/>
      <c r="AJ74"/>
      <c r="AK74"/>
      <c r="AL74"/>
    </row>
    <row r="75" spans="1:38">
      <c r="A75" s="140"/>
      <c r="B75"/>
      <c r="C75"/>
      <c r="D75"/>
      <c r="E75"/>
      <c r="F75"/>
      <c r="G75"/>
      <c r="H75"/>
      <c r="I75"/>
      <c r="J75" s="98"/>
      <c r="K75"/>
      <c r="L75"/>
      <c r="M75"/>
      <c r="N75"/>
      <c r="O75"/>
      <c r="P75"/>
      <c r="Q75"/>
      <c r="R75"/>
      <c r="S75"/>
      <c r="T75"/>
      <c r="U75"/>
      <c r="V75"/>
      <c r="W75"/>
      <c r="X75"/>
      <c r="Y75"/>
      <c r="Z75"/>
      <c r="AA75"/>
      <c r="AB75"/>
      <c r="AC75"/>
      <c r="AD75"/>
      <c r="AE75"/>
      <c r="AF75"/>
      <c r="AG75"/>
      <c r="AH75"/>
      <c r="AI75"/>
      <c r="AJ75"/>
      <c r="AK75"/>
      <c r="AL75"/>
    </row>
    <row r="76" spans="1:38">
      <c r="B76" s="141" t="s">
        <v>307</v>
      </c>
      <c r="J76" s="98"/>
    </row>
    <row r="77" spans="1:38" outlineLevel="1">
      <c r="A77" s="142"/>
      <c r="B77" s="143" t="s">
        <v>308</v>
      </c>
      <c r="C77" s="144"/>
      <c r="D77" s="144"/>
      <c r="E77" s="144"/>
      <c r="F77" s="144"/>
      <c r="G77" s="144"/>
      <c r="H77" s="145"/>
      <c r="I77" s="145"/>
      <c r="J77" s="146"/>
      <c r="K77" s="146"/>
      <c r="L77" s="146"/>
      <c r="M77" s="146"/>
      <c r="N77" s="146">
        <f>N$7</f>
        <v>46022</v>
      </c>
      <c r="O77" s="146">
        <f>O$7</f>
        <v>46387</v>
      </c>
      <c r="P77" s="146">
        <f>P$7</f>
        <v>46752</v>
      </c>
      <c r="Q77" s="146">
        <f>Q$7</f>
        <v>47118</v>
      </c>
      <c r="R77" s="146"/>
    </row>
    <row r="78" spans="1:38" outlineLevel="1">
      <c r="B78" s="37" t="s">
        <v>309</v>
      </c>
      <c r="G78" s="147"/>
      <c r="H78" s="147"/>
      <c r="I78" s="147"/>
      <c r="N78" s="148">
        <f>N49/O181</f>
        <v>26.399456333423629</v>
      </c>
      <c r="O78" s="148">
        <f>O49/P181</f>
        <v>24.443002415321047</v>
      </c>
      <c r="P78" s="148">
        <f>P49/Q181</f>
        <v>0</v>
      </c>
      <c r="Q78" s="148">
        <f>Q49/R181</f>
        <v>21.643964850330363</v>
      </c>
      <c r="R78" s="148"/>
    </row>
    <row r="79" spans="1:38" outlineLevel="1">
      <c r="B79" s="37" t="s">
        <v>310</v>
      </c>
      <c r="G79" s="147"/>
      <c r="H79" s="147"/>
      <c r="I79" s="147"/>
      <c r="N79" s="148">
        <f>N41/O14</f>
        <v>18.358995367754193</v>
      </c>
      <c r="O79" s="148">
        <f>O41/P14</f>
        <v>16.662463727557331</v>
      </c>
      <c r="P79" s="148">
        <f>P41/Q14</f>
        <v>15.166520270387327</v>
      </c>
      <c r="Q79" s="148">
        <f>Q41/R14</f>
        <v>13.956889568294834</v>
      </c>
      <c r="R79" s="148"/>
    </row>
    <row r="80" spans="1:38" outlineLevel="1">
      <c r="B80" s="37" t="s">
        <v>311</v>
      </c>
      <c r="G80" s="147"/>
      <c r="H80" s="147"/>
      <c r="I80" s="147"/>
      <c r="N80" s="148">
        <f>N41/O12</f>
        <v>16.188826821727297</v>
      </c>
      <c r="O80" s="148">
        <f>O41/P12</f>
        <v>14.154527323663723</v>
      </c>
      <c r="P80" s="148">
        <f>P41/Q12</f>
        <v>13.060479683380317</v>
      </c>
      <c r="Q80" s="148">
        <f>Q41/R12</f>
        <v>12.172229094912444</v>
      </c>
      <c r="R80" s="148"/>
    </row>
    <row r="81" spans="1:18" outlineLevel="1">
      <c r="B81" s="37" t="s">
        <v>312</v>
      </c>
      <c r="G81" s="147"/>
      <c r="H81" s="147"/>
      <c r="I81" s="147"/>
      <c r="N81" s="149">
        <f>N49/N184</f>
        <v>6.6939635446063361</v>
      </c>
      <c r="O81" s="149">
        <f>O49/O184</f>
        <v>5.7557322176596228</v>
      </c>
      <c r="P81" s="149">
        <f>P49/P184</f>
        <v>0</v>
      </c>
      <c r="Q81" s="149">
        <f>Q49/Q184</f>
        <v>4.4190115786265949</v>
      </c>
      <c r="R81" s="148"/>
    </row>
    <row r="82" spans="1:18" outlineLevel="1"/>
    <row r="83" spans="1:18" outlineLevel="1">
      <c r="A83" s="142"/>
      <c r="B83" s="150" t="s">
        <v>313</v>
      </c>
      <c r="C83" s="144"/>
      <c r="D83" s="144"/>
      <c r="E83" s="144"/>
      <c r="F83" s="144"/>
      <c r="G83" s="144"/>
      <c r="N83" s="146">
        <f>N7</f>
        <v>46022</v>
      </c>
      <c r="O83" s="146">
        <f>O7</f>
        <v>46387</v>
      </c>
      <c r="P83" s="146">
        <f>P7</f>
        <v>46752</v>
      </c>
      <c r="Q83" s="146">
        <f>Q7</f>
        <v>47118</v>
      </c>
      <c r="R83" s="146">
        <f>R7</f>
        <v>47483</v>
      </c>
    </row>
    <row r="84" spans="1:18" outlineLevel="1"/>
    <row r="85" spans="1:18" outlineLevel="1">
      <c r="B85" s="37" t="s">
        <v>314</v>
      </c>
      <c r="G85" s="59" t="s">
        <v>315</v>
      </c>
      <c r="N85" s="151">
        <f>N86*N87*N88</f>
        <v>0.35747148098050591</v>
      </c>
      <c r="O85" s="151">
        <f>O86*O87*O88</f>
        <v>0.25356444693640495</v>
      </c>
      <c r="P85" s="151">
        <f>P86*P87*P88</f>
        <v>0.23547566374464249</v>
      </c>
      <c r="Q85" s="151">
        <f>Q86*Q87*Q88</f>
        <v>0.21959716037306534</v>
      </c>
      <c r="R85" s="151">
        <f>R86*R87*R88</f>
        <v>0.20416830322837759</v>
      </c>
    </row>
    <row r="86" spans="1:18" outlineLevel="1">
      <c r="C86" s="37" t="s">
        <v>316</v>
      </c>
      <c r="G86" s="59" t="s">
        <v>315</v>
      </c>
      <c r="N86" s="72">
        <f>N181/N153</f>
        <v>0.16725225506308594</v>
      </c>
      <c r="O86" s="72">
        <f>O181/O153</f>
        <v>0.16960134704462401</v>
      </c>
      <c r="P86" s="72">
        <f>P181/P153</f>
        <v>0.17067506142373456</v>
      </c>
      <c r="Q86" s="72">
        <f>Q181/Q153</f>
        <v>0.17209077143744711</v>
      </c>
      <c r="R86" s="72">
        <f>R181/R153</f>
        <v>0.17357738745105342</v>
      </c>
    </row>
    <row r="87" spans="1:18" outlineLevel="1">
      <c r="C87" s="37" t="s">
        <v>317</v>
      </c>
      <c r="G87" s="147" t="s">
        <v>318</v>
      </c>
      <c r="N87" s="152">
        <f>N153/M183</f>
        <v>1.6271171244210454</v>
      </c>
      <c r="O87" s="152">
        <f>O153/N183</f>
        <v>1.1874272815910789</v>
      </c>
      <c r="P87" s="152">
        <f>P153/O183</f>
        <v>1.1231985586841839</v>
      </c>
      <c r="Q87" s="152">
        <f>Q153/P183</f>
        <v>1.0511744819593716</v>
      </c>
      <c r="R87" s="152">
        <f>R153/Q183</f>
        <v>0.97940495776248881</v>
      </c>
    </row>
    <row r="88" spans="1:18" outlineLevel="1">
      <c r="C88" s="37" t="s">
        <v>319</v>
      </c>
      <c r="G88" s="147" t="s">
        <v>318</v>
      </c>
      <c r="N88" s="152">
        <f>IFERROR((M183/M184),"n/a")</f>
        <v>1.3135620769652649</v>
      </c>
      <c r="O88" s="152">
        <f>IFERROR((N183/N184),"n/a")</f>
        <v>1.2590762724060052</v>
      </c>
      <c r="P88" s="152">
        <f>IFERROR((O183/O184),"n/a")</f>
        <v>1.2283423471494881</v>
      </c>
      <c r="Q88" s="152">
        <f>IFERROR((P183/P184),"n/a")</f>
        <v>1.213931913730224</v>
      </c>
      <c r="R88" s="152">
        <f>IFERROR((Q183/Q184),"n/a")</f>
        <v>1.2009719773887697</v>
      </c>
    </row>
    <row r="89" spans="1:18" outlineLevel="1">
      <c r="G89" s="147"/>
      <c r="N89" s="152"/>
      <c r="O89" s="152"/>
      <c r="P89" s="152"/>
      <c r="Q89" s="152"/>
      <c r="R89" s="152"/>
    </row>
    <row r="90" spans="1:18" outlineLevel="1">
      <c r="G90" s="147"/>
      <c r="M90" s="153" t="s">
        <v>320</v>
      </c>
      <c r="N90" s="154"/>
      <c r="O90" s="155"/>
      <c r="P90" s="155"/>
      <c r="Q90" s="155"/>
      <c r="R90" s="155"/>
    </row>
    <row r="91" spans="1:18" outlineLevel="1">
      <c r="G91" s="156" t="s">
        <v>321</v>
      </c>
      <c r="M91" s="98" t="s">
        <v>322</v>
      </c>
      <c r="N91" s="98"/>
      <c r="R91" s="157" t="s">
        <v>240</v>
      </c>
    </row>
    <row r="92" spans="1:18" outlineLevel="1">
      <c r="G92" s="147" t="s">
        <v>323</v>
      </c>
      <c r="H92" s="147"/>
      <c r="M92" s="158">
        <f ca="1">PT</f>
        <v>493.77749335898443</v>
      </c>
      <c r="N92" s="159">
        <f>O92-$H$94</f>
        <v>0</v>
      </c>
      <c r="O92" s="159">
        <f>P92-$H$94</f>
        <v>0</v>
      </c>
      <c r="P92" s="160">
        <f>G94</f>
        <v>0</v>
      </c>
      <c r="Q92" s="159">
        <f>P92+$H$94</f>
        <v>0</v>
      </c>
      <c r="R92" s="159">
        <f>Q92+$H$94</f>
        <v>0</v>
      </c>
    </row>
    <row r="93" spans="1:18" outlineLevel="1">
      <c r="G93" s="147" t="s">
        <v>324</v>
      </c>
      <c r="H93" s="147" t="s">
        <v>325</v>
      </c>
      <c r="M93" s="161">
        <f>M94-$H$95</f>
        <v>0</v>
      </c>
      <c r="N93" s="162">
        <f t="dataTable" ref="N93:R99" dt2D="1" dtr="1" r1="H125" r2="H140" ca="1"/>
        <v>577.78379395008346</v>
      </c>
      <c r="O93" s="163">
        <v>577.78379395008346</v>
      </c>
      <c r="P93" s="163">
        <v>577.78379395008346</v>
      </c>
      <c r="Q93" s="163">
        <v>577.78379395008346</v>
      </c>
      <c r="R93" s="163">
        <v>577.78379395008346</v>
      </c>
    </row>
    <row r="94" spans="1:18" outlineLevel="1">
      <c r="D94" s="164">
        <f>IF(_xlfn.ISFORMULA((G94))=TRUE,1,0)</f>
        <v>0</v>
      </c>
      <c r="E94" s="37" t="s">
        <v>240</v>
      </c>
      <c r="G94" s="165"/>
      <c r="H94" s="166"/>
      <c r="M94" s="161">
        <f>M95-$H$95</f>
        <v>0</v>
      </c>
      <c r="N94" s="162">
        <v>577.78379395008346</v>
      </c>
      <c r="O94" s="163">
        <v>577.78379395008346</v>
      </c>
      <c r="P94" s="163">
        <v>577.78379395008346</v>
      </c>
      <c r="Q94" s="163">
        <v>577.78379395008346</v>
      </c>
      <c r="R94" s="163">
        <v>577.78379395008346</v>
      </c>
    </row>
    <row r="95" spans="1:18" outlineLevel="1">
      <c r="D95" s="164">
        <f>IF(_xlfn.ISFORMULA((G95))=TRUE,1,0)</f>
        <v>0</v>
      </c>
      <c r="E95" s="37" t="s">
        <v>322</v>
      </c>
      <c r="G95" s="165"/>
      <c r="H95" s="166"/>
      <c r="M95" s="161">
        <f>M96-$H$95</f>
        <v>0</v>
      </c>
      <c r="N95" s="162">
        <v>577.78379395008346</v>
      </c>
      <c r="O95" s="163">
        <v>577.78379395008346</v>
      </c>
      <c r="P95" s="167">
        <v>577.78379395008346</v>
      </c>
      <c r="Q95" s="163">
        <v>577.78379395008346</v>
      </c>
      <c r="R95" s="163">
        <v>577.78379395008346</v>
      </c>
    </row>
    <row r="96" spans="1:18" outlineLevel="1">
      <c r="E96" s="143"/>
      <c r="G96" s="147"/>
      <c r="M96" s="168">
        <f>G95</f>
        <v>0</v>
      </c>
      <c r="N96" s="162">
        <v>577.78379395008346</v>
      </c>
      <c r="O96" s="167">
        <v>577.78379395008346</v>
      </c>
      <c r="P96" s="169">
        <v>577.78379395008346</v>
      </c>
      <c r="Q96" s="167">
        <v>577.78379395008346</v>
      </c>
      <c r="R96" s="163">
        <v>577.78379395008346</v>
      </c>
    </row>
    <row r="97" spans="1:18" outlineLevel="1">
      <c r="G97" s="147" t="s">
        <v>326</v>
      </c>
      <c r="H97" s="170" t="s">
        <v>327</v>
      </c>
      <c r="M97" s="161">
        <f>M96+$H$95</f>
        <v>0</v>
      </c>
      <c r="N97" s="162">
        <v>577.78379395008346</v>
      </c>
      <c r="O97" s="163">
        <v>577.78379395008346</v>
      </c>
      <c r="P97" s="167">
        <v>577.78379395008346</v>
      </c>
      <c r="Q97" s="163">
        <v>577.78379395008346</v>
      </c>
      <c r="R97" s="163">
        <v>577.78379395008346</v>
      </c>
    </row>
    <row r="98" spans="1:18" outlineLevel="1">
      <c r="G98" s="147" t="s">
        <v>328</v>
      </c>
      <c r="M98" s="161">
        <f>M97+$H$95</f>
        <v>0</v>
      </c>
      <c r="N98" s="162">
        <v>577.78379395008346</v>
      </c>
      <c r="O98" s="163">
        <v>577.78379395008346</v>
      </c>
      <c r="P98" s="163">
        <v>577.78379395008346</v>
      </c>
      <c r="Q98" s="163">
        <v>577.78379395008346</v>
      </c>
      <c r="R98" s="163">
        <v>577.78379395008346</v>
      </c>
    </row>
    <row r="99" spans="1:18" outlineLevel="1">
      <c r="E99" s="37" t="str">
        <f>E94</f>
        <v>WACC</v>
      </c>
      <c r="G99" s="171">
        <f>WACC</f>
        <v>9.3454999999999996E-2</v>
      </c>
      <c r="H99" s="147">
        <f>G99-G94</f>
        <v>9.3454999999999996E-2</v>
      </c>
      <c r="M99" s="161">
        <f>M98+$H$95</f>
        <v>0</v>
      </c>
      <c r="N99" s="162">
        <v>577.78379395008346</v>
      </c>
      <c r="O99" s="163">
        <v>577.78379395008346</v>
      </c>
      <c r="P99" s="163">
        <v>577.78379395008346</v>
      </c>
      <c r="Q99" s="163">
        <v>577.78379395008346</v>
      </c>
      <c r="R99" s="163">
        <v>577.78379395008346</v>
      </c>
    </row>
    <row r="100" spans="1:18" outlineLevel="1">
      <c r="E100" s="37" t="str">
        <f>E95</f>
        <v>TGR</v>
      </c>
      <c r="G100" s="171">
        <f>H140</f>
        <v>0.03</v>
      </c>
      <c r="H100" s="147">
        <f>G100-G95</f>
        <v>0.03</v>
      </c>
      <c r="M100" s="172"/>
      <c r="N100" s="98"/>
    </row>
    <row r="101" spans="1:18" outlineLevel="1">
      <c r="E101" s="37" t="s">
        <v>329</v>
      </c>
      <c r="G101" s="147"/>
      <c r="H101" s="147">
        <f ca="1">IFERROR(M92-P96,"n/a")</f>
        <v>-84.006300591099034</v>
      </c>
    </row>
    <row r="102" spans="1:18" outlineLevel="1">
      <c r="E102" s="143" t="s">
        <v>330</v>
      </c>
      <c r="G102" s="147"/>
    </row>
    <row r="103" spans="1:18" outlineLevel="1"/>
    <row r="104" spans="1:18">
      <c r="A104" s="173" t="s">
        <v>306</v>
      </c>
    </row>
    <row r="105" spans="1:18" ht="22.9" customHeight="1">
      <c r="A105" s="142"/>
      <c r="B105" s="364" t="s">
        <v>331</v>
      </c>
      <c r="C105" s="364"/>
      <c r="D105" s="364"/>
      <c r="E105" s="364"/>
      <c r="F105" s="364"/>
      <c r="G105" s="364"/>
      <c r="H105" s="174"/>
      <c r="I105" s="174"/>
    </row>
    <row r="106" spans="1:18">
      <c r="B106" s="142"/>
      <c r="C106" s="141" t="s">
        <v>332</v>
      </c>
      <c r="D106" s="174"/>
      <c r="E106" s="174"/>
      <c r="F106" s="174"/>
      <c r="G106" s="174"/>
      <c r="H106" s="174"/>
      <c r="I106" s="174"/>
    </row>
    <row r="107" spans="1:18">
      <c r="D107" s="37" t="s">
        <v>333</v>
      </c>
      <c r="H107" s="175" t="s">
        <v>397</v>
      </c>
      <c r="I107" s="176"/>
    </row>
    <row r="108" spans="1:18">
      <c r="D108" s="37" t="s">
        <v>334</v>
      </c>
      <c r="H108" s="177">
        <v>45657</v>
      </c>
      <c r="I108" s="178"/>
      <c r="J108" s="54"/>
      <c r="N108" s="278"/>
    </row>
    <row r="109" spans="1:18">
      <c r="D109" s="37" t="s">
        <v>258</v>
      </c>
      <c r="H109" s="179">
        <f ca="1">TODAY()+365</f>
        <v>46339</v>
      </c>
      <c r="I109" s="146"/>
    </row>
    <row r="110" spans="1:18">
      <c r="D110" s="37" t="s">
        <v>335</v>
      </c>
      <c r="H110" s="175" t="s">
        <v>398</v>
      </c>
      <c r="I110" s="176"/>
      <c r="J110" s="180"/>
    </row>
    <row r="111" spans="1:18">
      <c r="D111" s="37" t="s">
        <v>336</v>
      </c>
      <c r="H111" s="175" t="s">
        <v>500</v>
      </c>
      <c r="I111" s="176"/>
      <c r="J111" s="180"/>
    </row>
    <row r="112" spans="1:18">
      <c r="D112" s="37" t="str">
        <f>"Price currency exchange rate ( "&amp;TEXT(H112,"0.00")&amp;" "&amp;H111&amp;" per 1 "&amp;H110&amp;" )"</f>
        <v>Price currency exchange rate ( 1.09 HKD per 1 RMB )</v>
      </c>
      <c r="G112" s="142"/>
      <c r="H112" s="181">
        <f>7.785/7.12</f>
        <v>1.0933988764044944</v>
      </c>
      <c r="I112" s="176"/>
      <c r="J112" s="180"/>
    </row>
    <row r="113" spans="2:14">
      <c r="D113" s="37" t="s">
        <v>337</v>
      </c>
      <c r="H113" s="175" t="s">
        <v>399</v>
      </c>
      <c r="I113" s="176"/>
      <c r="N113" s="182"/>
    </row>
    <row r="114" spans="2:14">
      <c r="B114" s="142"/>
      <c r="C114" s="141" t="s">
        <v>338</v>
      </c>
    </row>
    <row r="115" spans="2:14">
      <c r="D115" s="37" t="s">
        <v>339</v>
      </c>
      <c r="H115" s="248">
        <v>5.9900000000000002E-2</v>
      </c>
      <c r="I115" s="184"/>
    </row>
    <row r="116" spans="2:14">
      <c r="D116" s="37" t="s">
        <v>340</v>
      </c>
      <c r="H116" s="267">
        <v>0.73</v>
      </c>
      <c r="I116" s="185"/>
    </row>
    <row r="117" spans="2:14">
      <c r="D117" s="37" t="s">
        <v>341</v>
      </c>
      <c r="H117" s="183">
        <v>0.05</v>
      </c>
      <c r="I117" s="184"/>
    </row>
    <row r="118" spans="2:14">
      <c r="D118" s="186" t="s">
        <v>342</v>
      </c>
      <c r="E118" s="186"/>
      <c r="F118" s="186"/>
      <c r="G118" s="186"/>
      <c r="H118" s="187">
        <v>0</v>
      </c>
      <c r="I118" s="188"/>
    </row>
    <row r="119" spans="2:14">
      <c r="C119" s="189" t="s">
        <v>237</v>
      </c>
      <c r="D119" s="189"/>
      <c r="E119" s="189"/>
      <c r="F119" s="190"/>
      <c r="G119" s="190"/>
      <c r="H119" s="191">
        <f>H115+(H116*H117)+H118</f>
        <v>9.64E-2</v>
      </c>
      <c r="I119" s="192"/>
    </row>
    <row r="120" spans="2:14">
      <c r="D120" s="37" t="s">
        <v>343</v>
      </c>
      <c r="H120" s="183">
        <v>0.05</v>
      </c>
      <c r="I120" s="184"/>
    </row>
    <row r="121" spans="2:14">
      <c r="D121" s="37" t="s">
        <v>239</v>
      </c>
      <c r="H121" s="183">
        <v>0.25</v>
      </c>
      <c r="I121" s="184"/>
    </row>
    <row r="122" spans="2:14">
      <c r="C122" s="189" t="s">
        <v>238</v>
      </c>
      <c r="D122" s="190"/>
      <c r="E122" s="190"/>
      <c r="F122" s="190"/>
      <c r="G122" s="190"/>
      <c r="H122" s="191">
        <f>H120*(1-H121)</f>
        <v>3.7500000000000006E-2</v>
      </c>
      <c r="I122" s="192"/>
    </row>
    <row r="123" spans="2:14">
      <c r="D123" s="37" t="s">
        <v>344</v>
      </c>
      <c r="H123" s="183">
        <v>0.05</v>
      </c>
      <c r="I123" s="184"/>
    </row>
    <row r="124" spans="2:14">
      <c r="D124" s="37" t="s">
        <v>345</v>
      </c>
      <c r="H124" s="193">
        <f>1-H123</f>
        <v>0.95</v>
      </c>
      <c r="I124" s="184"/>
    </row>
    <row r="125" spans="2:14">
      <c r="C125" s="189" t="s">
        <v>240</v>
      </c>
      <c r="D125" s="190"/>
      <c r="E125" s="190"/>
      <c r="F125" s="190"/>
      <c r="G125" s="190"/>
      <c r="H125" s="191">
        <f>H123*H122+H124*H119</f>
        <v>9.3454999999999996E-2</v>
      </c>
      <c r="I125" s="192"/>
    </row>
    <row r="126" spans="2:14" ht="5.0999999999999996" customHeight="1"/>
    <row r="127" spans="2:14">
      <c r="B127" s="142"/>
      <c r="C127" s="141" t="s">
        <v>346</v>
      </c>
    </row>
    <row r="128" spans="2:14">
      <c r="C128" s="194" t="s">
        <v>347</v>
      </c>
    </row>
    <row r="129" spans="2:16">
      <c r="C129" s="194"/>
    </row>
    <row r="130" spans="2:16">
      <c r="C130" s="194"/>
    </row>
    <row r="131" spans="2:16">
      <c r="C131" s="194"/>
    </row>
    <row r="133" spans="2:16">
      <c r="D133" s="44" t="b">
        <v>0</v>
      </c>
      <c r="H133" s="195">
        <v>0</v>
      </c>
      <c r="I133" s="44"/>
    </row>
    <row r="134" spans="2:16" ht="3.95" customHeight="1">
      <c r="B134" s="44"/>
      <c r="H134" s="37">
        <v>4</v>
      </c>
    </row>
    <row r="135" spans="2:16">
      <c r="D135" s="44" t="b">
        <v>1</v>
      </c>
      <c r="H135" s="195">
        <v>5</v>
      </c>
      <c r="I135" s="44"/>
    </row>
    <row r="136" spans="2:16" ht="3" customHeight="1"/>
    <row r="137" spans="2:16">
      <c r="C137" s="196" t="s">
        <v>348</v>
      </c>
      <c r="H137" s="197">
        <v>5</v>
      </c>
      <c r="I137" s="198"/>
    </row>
    <row r="138" spans="2:16">
      <c r="O138" s="199"/>
    </row>
    <row r="139" spans="2:16" ht="22.5">
      <c r="D139" s="261" t="s">
        <v>503</v>
      </c>
      <c r="G139" s="262" t="s">
        <v>247</v>
      </c>
      <c r="H139" s="200" t="s">
        <v>349</v>
      </c>
      <c r="I139" s="200"/>
      <c r="L139" s="261" t="s">
        <v>503</v>
      </c>
      <c r="N139" s="200" t="s">
        <v>513</v>
      </c>
      <c r="O139" s="200" t="s">
        <v>514</v>
      </c>
      <c r="P139" s="200" t="s">
        <v>349</v>
      </c>
    </row>
    <row r="140" spans="2:16">
      <c r="D140" s="37" t="s">
        <v>350</v>
      </c>
      <c r="G140" s="263">
        <v>0.10199999999999999</v>
      </c>
      <c r="H140" s="264">
        <v>0.03</v>
      </c>
      <c r="I140" s="184"/>
      <c r="L140" s="37" t="s">
        <v>350</v>
      </c>
      <c r="N140" s="274">
        <v>0.10199999999999999</v>
      </c>
      <c r="O140" s="274">
        <f>+P140</f>
        <v>0.03</v>
      </c>
      <c r="P140" s="274">
        <f>+H140</f>
        <v>0.03</v>
      </c>
    </row>
    <row r="141" spans="2:16">
      <c r="D141" s="37" t="s">
        <v>275</v>
      </c>
      <c r="G141" s="263">
        <v>0.26150000000000001</v>
      </c>
      <c r="H141" s="264">
        <v>0.15</v>
      </c>
      <c r="I141" s="184"/>
      <c r="L141" s="37" t="s">
        <v>275</v>
      </c>
      <c r="N141" s="274">
        <v>0.26400000000000001</v>
      </c>
      <c r="O141" s="274">
        <f>+P141</f>
        <v>0.15</v>
      </c>
      <c r="P141" s="274">
        <f>+H141</f>
        <v>0.15</v>
      </c>
    </row>
    <row r="142" spans="2:16">
      <c r="D142" s="37" t="s">
        <v>239</v>
      </c>
      <c r="G142" s="263">
        <f>H142</f>
        <v>0.25</v>
      </c>
      <c r="H142" s="264">
        <v>0.25</v>
      </c>
      <c r="I142" s="184"/>
      <c r="L142" s="37" t="s">
        <v>239</v>
      </c>
      <c r="N142" s="274">
        <v>0.25</v>
      </c>
      <c r="O142" s="274">
        <f>+P142</f>
        <v>0.25</v>
      </c>
      <c r="P142" s="274">
        <f>+H142</f>
        <v>0.25</v>
      </c>
    </row>
    <row r="143" spans="2:16">
      <c r="D143" s="37" t="s">
        <v>351</v>
      </c>
      <c r="G143" s="265">
        <f>H143</f>
        <v>1.1000000000000001</v>
      </c>
      <c r="H143" s="266">
        <v>1.1000000000000001</v>
      </c>
      <c r="I143" s="202"/>
      <c r="L143" s="37" t="s">
        <v>351</v>
      </c>
      <c r="N143" s="275">
        <v>1.1000000000000001</v>
      </c>
      <c r="O143" s="275">
        <f>+P143</f>
        <v>1.1000000000000001</v>
      </c>
      <c r="P143" s="275">
        <f>+H143</f>
        <v>1.1000000000000001</v>
      </c>
    </row>
    <row r="144" spans="2:16">
      <c r="D144" s="37" t="s">
        <v>283</v>
      </c>
      <c r="G144" s="201">
        <f>H144</f>
        <v>2.5000000000000001E-2</v>
      </c>
      <c r="H144" s="183">
        <v>2.5000000000000001E-2</v>
      </c>
      <c r="I144" s="184"/>
      <c r="L144" s="37" t="s">
        <v>283</v>
      </c>
      <c r="N144" s="273">
        <v>2.5000000000000001E-2</v>
      </c>
      <c r="O144" s="273">
        <f>+P144</f>
        <v>2.5000000000000001E-2</v>
      </c>
      <c r="P144" s="273">
        <f>+H144</f>
        <v>2.5000000000000001E-2</v>
      </c>
    </row>
    <row r="145" spans="2:18">
      <c r="D145" s="37" t="s">
        <v>352</v>
      </c>
      <c r="G145" s="201">
        <f>H145</f>
        <v>-0.04</v>
      </c>
      <c r="H145" s="183">
        <v>-0.04</v>
      </c>
      <c r="I145" s="184"/>
    </row>
    <row r="146" spans="2:18">
      <c r="D146" s="37" t="s">
        <v>353</v>
      </c>
      <c r="G146" s="201">
        <v>-1</v>
      </c>
      <c r="I146" s="184"/>
    </row>
    <row r="148" spans="2:18" ht="12.75">
      <c r="B148" s="203" t="s">
        <v>354</v>
      </c>
      <c r="J148" s="204"/>
      <c r="M148" s="205"/>
      <c r="N148" s="36"/>
      <c r="O148" s="36"/>
      <c r="P148" s="36"/>
      <c r="Q148" s="36"/>
      <c r="R148" s="36"/>
    </row>
    <row r="149" spans="2:18">
      <c r="B149" s="206" t="s">
        <v>355</v>
      </c>
      <c r="D149" s="194"/>
      <c r="G149" s="145"/>
      <c r="H149" s="145"/>
      <c r="J149" s="207">
        <f>J6</f>
        <v>-3</v>
      </c>
      <c r="K149" s="207">
        <f>K6</f>
        <v>-2</v>
      </c>
      <c r="L149" s="207">
        <f>L6</f>
        <v>-1</v>
      </c>
      <c r="M149" s="207">
        <f>M6</f>
        <v>0</v>
      </c>
      <c r="N149" s="208">
        <f>N$6</f>
        <v>1</v>
      </c>
      <c r="O149" s="208">
        <f>O$6</f>
        <v>2</v>
      </c>
      <c r="P149" s="208">
        <f>P$6</f>
        <v>3</v>
      </c>
      <c r="Q149" s="208">
        <f>Q$6</f>
        <v>4</v>
      </c>
      <c r="R149" s="208">
        <f>R$6</f>
        <v>5</v>
      </c>
    </row>
    <row r="150" spans="2:18">
      <c r="B150" s="206" t="s">
        <v>356</v>
      </c>
      <c r="G150" s="145"/>
      <c r="H150" s="145"/>
      <c r="I150" s="145"/>
      <c r="J150" s="146">
        <f t="shared" ref="J150:R150" si="63">J$7</f>
        <v>44561</v>
      </c>
      <c r="K150" s="146">
        <f t="shared" si="63"/>
        <v>44926</v>
      </c>
      <c r="L150" s="146">
        <f t="shared" si="63"/>
        <v>45291</v>
      </c>
      <c r="M150" s="146">
        <f t="shared" si="63"/>
        <v>45657</v>
      </c>
      <c r="N150" s="146">
        <f t="shared" si="63"/>
        <v>46022</v>
      </c>
      <c r="O150" s="146">
        <f t="shared" si="63"/>
        <v>46387</v>
      </c>
      <c r="P150" s="146">
        <f t="shared" si="63"/>
        <v>46752</v>
      </c>
      <c r="Q150" s="146">
        <f t="shared" si="63"/>
        <v>47118</v>
      </c>
      <c r="R150" s="146">
        <f t="shared" si="63"/>
        <v>47483</v>
      </c>
    </row>
    <row r="151" spans="2:18">
      <c r="B151" s="206"/>
      <c r="G151" s="145"/>
      <c r="H151" s="145"/>
      <c r="I151" s="145"/>
      <c r="J151" s="146"/>
      <c r="K151" s="146"/>
      <c r="L151" s="146"/>
      <c r="M151" s="146"/>
      <c r="N151" s="146"/>
      <c r="O151" s="146"/>
      <c r="P151" s="146"/>
      <c r="Q151" s="146"/>
      <c r="R151" s="146"/>
    </row>
    <row r="152" spans="2:18" outlineLevel="1">
      <c r="B152" s="141" t="s">
        <v>357</v>
      </c>
      <c r="G152" s="209"/>
      <c r="H152" s="206"/>
    </row>
    <row r="153" spans="2:18" outlineLevel="1">
      <c r="C153" s="37" t="s">
        <v>242</v>
      </c>
      <c r="G153" s="147"/>
      <c r="H153" s="156"/>
      <c r="I153" s="210"/>
      <c r="J153" s="211"/>
      <c r="K153" s="211"/>
      <c r="L153" s="211">
        <f>FS!K8</f>
        <v>20302465</v>
      </c>
      <c r="M153" s="211">
        <f>FS!O8</f>
        <v>24828874</v>
      </c>
      <c r="N153" s="211">
        <f>FS!R8</f>
        <v>32189782.004135605</v>
      </c>
      <c r="O153" s="211">
        <f>FS!S8</f>
        <v>35717843.509973548</v>
      </c>
      <c r="P153" s="211">
        <f>FS!T8</f>
        <v>41517893.270682819</v>
      </c>
      <c r="Q153" s="211">
        <f>FS!U8</f>
        <v>47649032.362826988</v>
      </c>
      <c r="R153" s="211">
        <f>FS!V8</f>
        <v>53780422.832834795</v>
      </c>
    </row>
    <row r="154" spans="2:18" outlineLevel="1">
      <c r="C154" s="37" t="s">
        <v>274</v>
      </c>
      <c r="G154" s="147"/>
      <c r="H154" s="156"/>
      <c r="I154" s="210"/>
      <c r="J154" s="211"/>
      <c r="K154" s="211"/>
      <c r="L154" s="211">
        <f>FS!K67</f>
        <v>4268960</v>
      </c>
      <c r="M154" s="211">
        <f>FS!O67</f>
        <v>6035889</v>
      </c>
      <c r="N154" s="211">
        <f>FS!R67</f>
        <v>7641476.8629497485</v>
      </c>
      <c r="O154" s="211">
        <f>FS!S67</f>
        <v>8690498.7447914742</v>
      </c>
      <c r="P154" s="211">
        <f>FS!T67</f>
        <v>10484220.438412543</v>
      </c>
      <c r="Q154" s="211">
        <f>FS!U67</f>
        <v>11878807.411214411</v>
      </c>
      <c r="R154" s="211">
        <f>FS!V67</f>
        <v>13251087.945258677</v>
      </c>
    </row>
    <row r="155" spans="2:18" outlineLevel="1">
      <c r="C155" s="37" t="s">
        <v>7</v>
      </c>
      <c r="G155" s="147"/>
      <c r="H155" s="156"/>
      <c r="I155" s="147"/>
      <c r="J155" s="211"/>
      <c r="K155" s="211"/>
      <c r="L155" s="211">
        <f>FS!K66</f>
        <v>4001184</v>
      </c>
      <c r="M155" s="211">
        <f>FS!O66</f>
        <v>5616534</v>
      </c>
      <c r="N155" s="211">
        <f>FS!R66</f>
        <v>6890556.6516989544</v>
      </c>
      <c r="O155" s="211">
        <f>FS!S66</f>
        <v>7663217.7499741763</v>
      </c>
      <c r="P155" s="211">
        <f>FS!T66</f>
        <v>8906197.011993669</v>
      </c>
      <c r="Q155" s="211">
        <f>FS!U66</f>
        <v>10229302.443215689</v>
      </c>
      <c r="R155" s="211">
        <f>FS!V66</f>
        <v>11556677.971639728</v>
      </c>
    </row>
    <row r="156" spans="2:18" outlineLevel="1">
      <c r="C156" s="37" t="s">
        <v>358</v>
      </c>
      <c r="G156" s="147"/>
      <c r="H156" s="156"/>
      <c r="I156" s="147"/>
      <c r="J156" s="211"/>
      <c r="K156" s="211"/>
      <c r="L156" s="211">
        <f>L164+(L165*L166)+L167</f>
        <v>-957621</v>
      </c>
      <c r="M156" s="211">
        <f t="shared" ref="M156:R156" si="64">M164+(M165*M166)+M167</f>
        <v>-1331218</v>
      </c>
      <c r="N156" s="211">
        <f t="shared" si="64"/>
        <v>-1571811.3047293611</v>
      </c>
      <c r="O156" s="211">
        <f t="shared" si="64"/>
        <v>-1744940.7824425346</v>
      </c>
      <c r="P156" s="211">
        <f t="shared" si="64"/>
        <v>-2025287.2458040484</v>
      </c>
      <c r="Q156" s="211">
        <f t="shared" si="64"/>
        <v>-2323072.5118200071</v>
      </c>
      <c r="R156" s="211">
        <f t="shared" si="64"/>
        <v>-2621249.5154794096</v>
      </c>
    </row>
    <row r="157" spans="2:18" outlineLevel="1">
      <c r="C157" s="37" t="s">
        <v>245</v>
      </c>
      <c r="G157" s="147"/>
      <c r="H157" s="156" t="s">
        <v>359</v>
      </c>
      <c r="I157" s="210"/>
      <c r="J157" s="211"/>
      <c r="K157" s="211"/>
      <c r="L157" s="211">
        <f>FS!K59</f>
        <v>267776</v>
      </c>
      <c r="M157" s="211">
        <f>FS!O59</f>
        <v>419355</v>
      </c>
      <c r="N157" s="211">
        <f>FS!R59</f>
        <v>750920.21125079435</v>
      </c>
      <c r="O157" s="211">
        <f>FS!S59</f>
        <v>1027280.9948172984</v>
      </c>
      <c r="P157" s="211">
        <f>FS!T59</f>
        <v>1578023.4264188742</v>
      </c>
      <c r="Q157" s="211">
        <f>FS!U59</f>
        <v>1649504.9679987226</v>
      </c>
      <c r="R157" s="211">
        <f>FS!V59</f>
        <v>1694409.9736189481</v>
      </c>
    </row>
    <row r="158" spans="2:18" outlineLevel="1">
      <c r="C158" s="37" t="s">
        <v>34</v>
      </c>
      <c r="G158" s="147"/>
      <c r="H158" s="156" t="s">
        <v>360</v>
      </c>
      <c r="I158" s="210"/>
      <c r="J158" s="211"/>
      <c r="K158" s="211"/>
      <c r="L158" s="211">
        <f>FS!K179+FS!K193</f>
        <v>-1785888</v>
      </c>
      <c r="M158" s="211">
        <f>FS!O179+FS!O193</f>
        <v>-1475107</v>
      </c>
      <c r="N158" s="211">
        <f>FS!R179+FS!R193</f>
        <v>-1974880.9220907171</v>
      </c>
      <c r="O158" s="211">
        <f>FS!S179+FS!S193</f>
        <v>-1936509.5520568981</v>
      </c>
      <c r="P158" s="211">
        <f>FS!T179+FS!T193</f>
        <v>-1955119.7366668771</v>
      </c>
      <c r="Q158" s="211">
        <f>FS!U179+FS!U193</f>
        <v>-1890729.2647223349</v>
      </c>
      <c r="R158" s="211">
        <f>FS!V179+FS!V193</f>
        <v>-1778992.3219949862</v>
      </c>
    </row>
    <row r="159" spans="2:18" outlineLevel="1">
      <c r="C159" s="37" t="s">
        <v>361</v>
      </c>
      <c r="G159" s="147"/>
      <c r="H159" s="156"/>
      <c r="I159" s="210"/>
      <c r="J159" s="211"/>
      <c r="K159" s="211"/>
      <c r="L159" s="211">
        <f t="shared" ref="L159:R159" si="65">K182-L182</f>
        <v>630433</v>
      </c>
      <c r="M159" s="211">
        <f t="shared" si="65"/>
        <v>928522</v>
      </c>
      <c r="N159" s="211">
        <f t="shared" si="65"/>
        <v>625416.21125029121</v>
      </c>
      <c r="O159" s="211">
        <f t="shared" si="65"/>
        <v>304746.04199083522</v>
      </c>
      <c r="P159" s="211">
        <f t="shared" si="65"/>
        <v>482505.42073695082</v>
      </c>
      <c r="Q159" s="211">
        <f t="shared" si="65"/>
        <v>527604.27176997857</v>
      </c>
      <c r="R159" s="211">
        <f t="shared" si="65"/>
        <v>550157.63104985561</v>
      </c>
    </row>
    <row r="160" spans="2:18" outlineLevel="1">
      <c r="C160" s="37" t="s">
        <v>362</v>
      </c>
      <c r="G160" s="147"/>
      <c r="H160" s="156" t="s">
        <v>363</v>
      </c>
      <c r="I160" s="210"/>
      <c r="J160" s="211"/>
      <c r="K160" s="211"/>
      <c r="L160" s="211">
        <v>0</v>
      </c>
      <c r="M160" s="211">
        <v>0</v>
      </c>
      <c r="N160" s="211">
        <v>0</v>
      </c>
      <c r="O160" s="211">
        <v>0</v>
      </c>
      <c r="P160" s="211">
        <v>0</v>
      </c>
      <c r="Q160" s="211">
        <v>0</v>
      </c>
      <c r="R160" s="211">
        <v>0</v>
      </c>
    </row>
    <row r="161" spans="2:18" outlineLevel="1">
      <c r="C161" s="37" t="s">
        <v>364</v>
      </c>
      <c r="G161" s="147"/>
      <c r="H161" s="156" t="s">
        <v>365</v>
      </c>
      <c r="I161" s="210"/>
      <c r="J161" s="211"/>
      <c r="K161" s="211"/>
      <c r="L161" s="211">
        <f>+FS!K18-Assumption!K209</f>
        <v>98178</v>
      </c>
      <c r="M161" s="211">
        <f>+FS!O18-Assumption!O209</f>
        <v>103566.99867960182</v>
      </c>
      <c r="N161" s="211">
        <f>+FS!R18-Assumption!R209</f>
        <v>115268.45368994084</v>
      </c>
      <c r="O161" s="211">
        <f>+FS!S18-Assumption!S209</f>
        <v>124088.6074545357</v>
      </c>
      <c r="P161" s="211">
        <f>+FS!T18-Assumption!T209</f>
        <v>138588.73185630888</v>
      </c>
      <c r="Q161" s="211">
        <f>+FS!U18-Assumption!U209</f>
        <v>153916.57958666928</v>
      </c>
      <c r="R161" s="211">
        <f>+FS!V18-Assumption!V209</f>
        <v>169245.0557616888</v>
      </c>
    </row>
    <row r="162" spans="2:18" outlineLevel="1">
      <c r="G162" s="147"/>
      <c r="H162" s="156"/>
      <c r="I162" s="210"/>
      <c r="J162" s="210"/>
      <c r="K162" s="210"/>
      <c r="L162" s="210"/>
      <c r="M162" s="210"/>
      <c r="N162" s="210"/>
      <c r="O162" s="210"/>
      <c r="P162" s="210"/>
      <c r="Q162" s="210"/>
      <c r="R162" s="210"/>
    </row>
    <row r="163" spans="2:18" outlineLevel="1">
      <c r="B163" s="141" t="s">
        <v>366</v>
      </c>
      <c r="H163" s="212"/>
    </row>
    <row r="164" spans="2:18" outlineLevel="1">
      <c r="C164" s="37" t="s">
        <v>367</v>
      </c>
      <c r="G164" s="147"/>
      <c r="H164" s="156" t="s">
        <v>363</v>
      </c>
      <c r="I164" s="210"/>
      <c r="J164" s="211"/>
      <c r="K164" s="211"/>
      <c r="L164" s="211">
        <f>FS!K29</f>
        <v>-967397</v>
      </c>
      <c r="M164" s="211">
        <f>FS!O29</f>
        <v>-1356380</v>
      </c>
      <c r="N164" s="211">
        <f>FS!R29</f>
        <v>-1606374.2848467727</v>
      </c>
      <c r="O164" s="211">
        <f>FS!S29</f>
        <v>-1805919.2988823715</v>
      </c>
      <c r="P164" s="211">
        <f>FS!T29</f>
        <v>-2110587.9944570921</v>
      </c>
      <c r="Q164" s="211">
        <f>FS!U29</f>
        <v>-2440540.7117614667</v>
      </c>
      <c r="R164" s="211">
        <f>FS!V29</f>
        <v>-2776714.5029292949</v>
      </c>
    </row>
    <row r="165" spans="2:18" outlineLevel="1">
      <c r="C165" s="37" t="s">
        <v>368</v>
      </c>
      <c r="G165" s="147"/>
      <c r="H165" s="156" t="s">
        <v>363</v>
      </c>
      <c r="I165" s="210"/>
      <c r="J165" s="211"/>
      <c r="K165" s="211"/>
      <c r="L165" s="211">
        <f>FS!K26+FS!K25</f>
        <v>39104</v>
      </c>
      <c r="M165" s="211">
        <f>FS!O26+FS!O25</f>
        <v>100648</v>
      </c>
      <c r="N165" s="211">
        <f>FS!R26+FS!R25</f>
        <v>138251.92046964605</v>
      </c>
      <c r="O165" s="211">
        <f>FS!S26+FS!S25</f>
        <v>243914.06575934793</v>
      </c>
      <c r="P165" s="211">
        <f>FS!T26+FS!T25</f>
        <v>341202.9946121751</v>
      </c>
      <c r="Q165" s="211">
        <f>FS!U26+FS!U25</f>
        <v>469872.79976583819</v>
      </c>
      <c r="R165" s="211">
        <f>FS!V26+FS!V25</f>
        <v>621859.94979954115</v>
      </c>
    </row>
    <row r="166" spans="2:18" outlineLevel="1">
      <c r="C166" s="37" t="s">
        <v>239</v>
      </c>
      <c r="G166" s="147"/>
      <c r="H166" s="156"/>
      <c r="I166" s="210"/>
      <c r="J166" s="213"/>
      <c r="K166" s="213"/>
      <c r="L166" s="214">
        <f t="shared" ref="L166:R166" si="66">$H$142</f>
        <v>0.25</v>
      </c>
      <c r="M166" s="214">
        <f t="shared" si="66"/>
        <v>0.25</v>
      </c>
      <c r="N166" s="214">
        <f t="shared" si="66"/>
        <v>0.25</v>
      </c>
      <c r="O166" s="214">
        <f t="shared" si="66"/>
        <v>0.25</v>
      </c>
      <c r="P166" s="214">
        <f t="shared" si="66"/>
        <v>0.25</v>
      </c>
      <c r="Q166" s="214">
        <f t="shared" si="66"/>
        <v>0.25</v>
      </c>
      <c r="R166" s="214">
        <f t="shared" si="66"/>
        <v>0.25</v>
      </c>
    </row>
    <row r="167" spans="2:18" outlineLevel="1">
      <c r="C167" s="37" t="s">
        <v>369</v>
      </c>
      <c r="G167" s="147"/>
      <c r="H167" s="156" t="s">
        <v>365</v>
      </c>
      <c r="I167" s="210"/>
      <c r="J167" s="211"/>
      <c r="K167" s="211"/>
      <c r="L167" s="211">
        <v>0</v>
      </c>
      <c r="M167" s="211">
        <v>0</v>
      </c>
      <c r="N167" s="211">
        <v>0</v>
      </c>
      <c r="O167" s="211">
        <v>0</v>
      </c>
      <c r="P167" s="211">
        <v>0</v>
      </c>
      <c r="Q167" s="211">
        <v>0</v>
      </c>
      <c r="R167" s="211">
        <v>0</v>
      </c>
    </row>
    <row r="168" spans="2:18" outlineLevel="1">
      <c r="G168" s="147"/>
      <c r="H168" s="156"/>
      <c r="I168" s="210"/>
    </row>
    <row r="169" spans="2:18" outlineLevel="1">
      <c r="B169" s="141" t="s">
        <v>370</v>
      </c>
      <c r="G169" s="147"/>
      <c r="H169" s="156"/>
      <c r="I169" s="210"/>
    </row>
    <row r="170" spans="2:18" outlineLevel="1">
      <c r="C170" s="37" t="s">
        <v>371</v>
      </c>
      <c r="G170" s="147"/>
      <c r="H170" s="156" t="s">
        <v>359</v>
      </c>
      <c r="I170" s="210"/>
      <c r="J170" s="211"/>
      <c r="K170" s="211"/>
      <c r="L170" s="211">
        <f>FS!K80+FS!K79+FS!K88</f>
        <v>6037524</v>
      </c>
      <c r="M170" s="211">
        <f>FS!O80+FS!O79+FS!O88</f>
        <v>7617853</v>
      </c>
      <c r="N170" s="211">
        <f>FS!R80+FS!R79+FS!R88</f>
        <v>15637635.041364832</v>
      </c>
      <c r="O170" s="211">
        <f>FS!S80+FS!S79+FS!S88</f>
        <v>21010971.853972301</v>
      </c>
      <c r="P170" s="211">
        <f>FS!T80+FS!T79+FS!T88</f>
        <v>28126941.745967031</v>
      </c>
      <c r="Q170" s="211">
        <f>FS!U80+FS!U79+FS!U88</f>
        <v>36542634.352295488</v>
      </c>
      <c r="R170" s="211">
        <f>FS!V80+FS!V79+FS!V88</f>
        <v>46276767.344492823</v>
      </c>
    </row>
    <row r="171" spans="2:18" outlineLevel="1">
      <c r="C171" s="37" t="s">
        <v>372</v>
      </c>
      <c r="G171" s="147" t="s">
        <v>373</v>
      </c>
      <c r="H171" s="156" t="s">
        <v>360</v>
      </c>
      <c r="I171" s="210"/>
      <c r="J171" s="211"/>
      <c r="K171" s="211"/>
      <c r="L171" s="211">
        <f>L172-L170</f>
        <v>-386173</v>
      </c>
      <c r="M171" s="211">
        <f t="shared" ref="M171:R171" si="67">M172-M170</f>
        <v>-92552</v>
      </c>
      <c r="N171" s="211">
        <f t="shared" si="67"/>
        <v>-66128.729429686442</v>
      </c>
      <c r="O171" s="211">
        <f t="shared" si="67"/>
        <v>-48702.290707010776</v>
      </c>
      <c r="P171" s="211">
        <f t="shared" si="67"/>
        <v>-30862.883914168924</v>
      </c>
      <c r="Q171" s="211">
        <f t="shared" si="67"/>
        <v>-15402.606855884194</v>
      </c>
      <c r="R171" s="211">
        <f t="shared" si="67"/>
        <v>-3266.4688675776124</v>
      </c>
    </row>
    <row r="172" spans="2:18" outlineLevel="1">
      <c r="C172" s="37" t="s">
        <v>374</v>
      </c>
      <c r="G172" s="147" t="s">
        <v>373</v>
      </c>
      <c r="H172" s="156" t="s">
        <v>363</v>
      </c>
      <c r="I172" s="210"/>
      <c r="J172" s="211"/>
      <c r="K172" s="211"/>
      <c r="L172" s="211">
        <f>FS!K132</f>
        <v>5651351</v>
      </c>
      <c r="M172" s="211">
        <f>FS!O132</f>
        <v>7525301</v>
      </c>
      <c r="N172" s="211">
        <f>FS!R132</f>
        <v>15571506.311935145</v>
      </c>
      <c r="O172" s="211">
        <f>FS!S132</f>
        <v>20962269.56326529</v>
      </c>
      <c r="P172" s="211">
        <f>FS!T132</f>
        <v>28096078.862052862</v>
      </c>
      <c r="Q172" s="211">
        <f>FS!U132</f>
        <v>36527231.745439604</v>
      </c>
      <c r="R172" s="211">
        <f>FS!V132</f>
        <v>46273500.875625245</v>
      </c>
    </row>
    <row r="173" spans="2:18" outlineLevel="1">
      <c r="C173" s="37" t="s">
        <v>375</v>
      </c>
      <c r="G173" s="147" t="s">
        <v>373</v>
      </c>
      <c r="H173" s="156" t="s">
        <v>360</v>
      </c>
      <c r="J173" s="211"/>
      <c r="K173" s="211"/>
      <c r="L173" s="211">
        <f>-FS!K113</f>
        <v>-88472</v>
      </c>
      <c r="M173" s="211">
        <f>-FS!O113</f>
        <v>-105301</v>
      </c>
      <c r="N173" s="211">
        <f>-FS!R113</f>
        <v>-143416.00750118861</v>
      </c>
      <c r="O173" s="211">
        <f>-FS!S113</f>
        <v>-186265.68971582176</v>
      </c>
      <c r="P173" s="211">
        <f>-FS!T113</f>
        <v>-236344.35320010685</v>
      </c>
      <c r="Q173" s="211">
        <f>-FS!U113</f>
        <v>-294251.92082816898</v>
      </c>
      <c r="R173" s="211">
        <f>-FS!V113</f>
        <v>-360136.00220706407</v>
      </c>
    </row>
    <row r="174" spans="2:18" outlineLevel="1">
      <c r="C174" s="37" t="s">
        <v>376</v>
      </c>
      <c r="G174" s="147" t="s">
        <v>373</v>
      </c>
      <c r="H174" s="156" t="s">
        <v>359</v>
      </c>
      <c r="J174" s="211"/>
      <c r="K174" s="211"/>
      <c r="L174" s="211">
        <f>FS!K85</f>
        <v>3016</v>
      </c>
      <c r="M174" s="211">
        <f>FS!O85</f>
        <v>0</v>
      </c>
      <c r="N174" s="211">
        <f>FS!R85</f>
        <v>0</v>
      </c>
      <c r="O174" s="211">
        <f>FS!S85</f>
        <v>0</v>
      </c>
      <c r="P174" s="211">
        <f>FS!T85</f>
        <v>0</v>
      </c>
      <c r="Q174" s="211">
        <f>FS!U85</f>
        <v>0</v>
      </c>
      <c r="R174" s="211">
        <f>FS!V85</f>
        <v>0</v>
      </c>
    </row>
    <row r="175" spans="2:18" outlineLevel="1">
      <c r="C175" s="37" t="s">
        <v>377</v>
      </c>
      <c r="G175" s="147" t="s">
        <v>373</v>
      </c>
      <c r="H175" s="156" t="s">
        <v>365</v>
      </c>
      <c r="I175" s="210"/>
      <c r="J175" s="211"/>
      <c r="K175" s="211"/>
      <c r="L175" s="211">
        <v>0</v>
      </c>
      <c r="M175" s="211">
        <v>0</v>
      </c>
      <c r="N175" s="211">
        <v>0</v>
      </c>
      <c r="O175" s="211">
        <v>0</v>
      </c>
      <c r="P175" s="211">
        <v>0</v>
      </c>
      <c r="Q175" s="211">
        <v>0</v>
      </c>
      <c r="R175" s="211">
        <v>0</v>
      </c>
    </row>
    <row r="176" spans="2:18" outlineLevel="1">
      <c r="C176" s="37" t="s">
        <v>378</v>
      </c>
      <c r="G176" s="147" t="s">
        <v>373</v>
      </c>
      <c r="H176" s="156" t="s">
        <v>365</v>
      </c>
      <c r="I176" s="210"/>
      <c r="J176" s="211"/>
      <c r="K176" s="211"/>
      <c r="L176" s="211">
        <f>FS!K78+FS!K86</f>
        <v>756506</v>
      </c>
      <c r="M176" s="211">
        <f>FS!O78+FS!O86</f>
        <v>3498233</v>
      </c>
      <c r="N176" s="211">
        <f>FS!R78+FS!R86</f>
        <v>3709637.5438350989</v>
      </c>
      <c r="O176" s="211">
        <f>FS!S78+FS!S86</f>
        <v>3933841.7585283369</v>
      </c>
      <c r="P176" s="211">
        <f>FS!T78+FS!T86</f>
        <v>4171620.6112166764</v>
      </c>
      <c r="Q176" s="211">
        <f>FS!U78+FS!U86</f>
        <v>4423795.9900923185</v>
      </c>
      <c r="R176" s="211">
        <f>FS!V78+FS!V86</f>
        <v>4691239.5452785539</v>
      </c>
    </row>
    <row r="177" spans="1:18" outlineLevel="1">
      <c r="C177" s="37" t="s">
        <v>379</v>
      </c>
      <c r="G177" s="147" t="s">
        <v>373</v>
      </c>
      <c r="H177" s="156" t="s">
        <v>365</v>
      </c>
      <c r="I177" s="210"/>
      <c r="J177" s="211"/>
      <c r="K177" s="211"/>
      <c r="L177" s="211">
        <f>FS!K89</f>
        <v>1177353</v>
      </c>
      <c r="M177" s="211">
        <f>FS!O89</f>
        <v>95771</v>
      </c>
      <c r="N177" s="211">
        <f>FS!R89</f>
        <v>95771</v>
      </c>
      <c r="O177" s="211">
        <f>FS!S89</f>
        <v>95771</v>
      </c>
      <c r="P177" s="211">
        <f>FS!T89</f>
        <v>95771</v>
      </c>
      <c r="Q177" s="211">
        <f>FS!U89</f>
        <v>95771</v>
      </c>
      <c r="R177" s="211">
        <f>FS!V89</f>
        <v>95771</v>
      </c>
    </row>
    <row r="178" spans="1:18" outlineLevel="1">
      <c r="G178" s="147"/>
      <c r="H178" s="156"/>
      <c r="I178" s="210"/>
    </row>
    <row r="179" spans="1:18" outlineLevel="1">
      <c r="B179" s="141" t="s">
        <v>380</v>
      </c>
      <c r="G179" s="147"/>
      <c r="H179" s="156"/>
      <c r="I179" s="210"/>
    </row>
    <row r="180" spans="1:18" outlineLevel="1">
      <c r="C180" s="215" t="s">
        <v>381</v>
      </c>
      <c r="H180" s="156" t="str">
        <f>$H$113</f>
        <v>k</v>
      </c>
      <c r="I180" s="210"/>
      <c r="J180" s="211"/>
      <c r="K180" s="211"/>
      <c r="L180" s="211">
        <f>FS!K111</f>
        <v>360000</v>
      </c>
      <c r="M180" s="211">
        <f>FS!O111</f>
        <v>360000</v>
      </c>
      <c r="N180" s="211">
        <f>FS!R111</f>
        <v>379619</v>
      </c>
      <c r="O180" s="211">
        <f>FS!S111</f>
        <v>379619</v>
      </c>
      <c r="P180" s="211">
        <f>FS!T111</f>
        <v>379619</v>
      </c>
      <c r="Q180" s="211">
        <f>FS!U111</f>
        <v>379619</v>
      </c>
      <c r="R180" s="211">
        <f>FS!V111</f>
        <v>379619</v>
      </c>
    </row>
    <row r="181" spans="1:18" outlineLevel="1">
      <c r="C181" s="215" t="s">
        <v>382</v>
      </c>
      <c r="G181" s="147"/>
      <c r="H181" s="156" t="s">
        <v>365</v>
      </c>
      <c r="I181" s="210"/>
      <c r="J181" s="211"/>
      <c r="K181" s="211"/>
      <c r="L181" s="211">
        <f>FS!K68</f>
        <v>3023627</v>
      </c>
      <c r="M181" s="211">
        <f>FS!O68</f>
        <v>4343103</v>
      </c>
      <c r="N181" s="211">
        <f>FS!R68</f>
        <v>5383813.6301808218</v>
      </c>
      <c r="O181" s="211">
        <f>FS!S68</f>
        <v>6057794.3728205953</v>
      </c>
      <c r="P181" s="211">
        <f>FS!T68</f>
        <v>7086068.9841578463</v>
      </c>
      <c r="Q181" s="211">
        <f>FS!U68</f>
        <v>8199958.7375667794</v>
      </c>
      <c r="R181" s="211">
        <f>FS!V68</f>
        <v>9335065.2913364451</v>
      </c>
    </row>
    <row r="182" spans="1:18" outlineLevel="1">
      <c r="C182" s="215" t="s">
        <v>383</v>
      </c>
      <c r="G182" s="147"/>
      <c r="H182" s="156"/>
      <c r="I182" s="210"/>
      <c r="J182" s="211"/>
      <c r="K182" s="211"/>
      <c r="L182" s="211">
        <f>Assumption!K267</f>
        <v>-630433</v>
      </c>
      <c r="M182" s="211">
        <f>Assumption!O267</f>
        <v>-1558955</v>
      </c>
      <c r="N182" s="211">
        <f>Assumption!R267</f>
        <v>-2184371.2112502912</v>
      </c>
      <c r="O182" s="211">
        <f>Assumption!S267</f>
        <v>-2489117.2532411264</v>
      </c>
      <c r="P182" s="211">
        <f>Assumption!T267</f>
        <v>-2971622.6739780772</v>
      </c>
      <c r="Q182" s="211">
        <f>Assumption!U267</f>
        <v>-3499226.9457480558</v>
      </c>
      <c r="R182" s="211">
        <f>Assumption!V267</f>
        <v>-4049384.5767979114</v>
      </c>
    </row>
    <row r="183" spans="1:18" outlineLevel="1">
      <c r="C183" s="37" t="s">
        <v>22</v>
      </c>
      <c r="G183" s="147"/>
      <c r="H183" s="156" t="s">
        <v>359</v>
      </c>
      <c r="I183" s="210"/>
      <c r="J183" s="211"/>
      <c r="K183" s="211"/>
      <c r="L183" s="211">
        <f>FS!K91</f>
        <v>14593566</v>
      </c>
      <c r="M183" s="211">
        <f>FS!O91</f>
        <v>19783322</v>
      </c>
      <c r="N183" s="211">
        <f>FS!R91</f>
        <v>30080026.005562086</v>
      </c>
      <c r="O183" s="211">
        <f>FS!S91</f>
        <v>36963983.749516755</v>
      </c>
      <c r="P183" s="211">
        <f>FS!T91</f>
        <v>45329327.509939156</v>
      </c>
      <c r="Q183" s="211">
        <f>FS!U91</f>
        <v>54911323.867197379</v>
      </c>
      <c r="R183" s="211">
        <f>FS!V91</f>
        <v>65673182.233619854</v>
      </c>
    </row>
    <row r="184" spans="1:18" outlineLevel="1">
      <c r="C184" s="37" t="s">
        <v>384</v>
      </c>
      <c r="G184" s="147"/>
      <c r="H184" s="156"/>
      <c r="I184" s="210"/>
      <c r="J184" s="211"/>
      <c r="K184" s="211"/>
      <c r="L184" s="211">
        <f>FS!K114</f>
        <v>10595465</v>
      </c>
      <c r="M184" s="211">
        <f>FS!O114</f>
        <v>15060820</v>
      </c>
      <c r="N184" s="211">
        <f>FS!R114</f>
        <v>23890551.084789563</v>
      </c>
      <c r="O184" s="211">
        <f>FS!S114</f>
        <v>30092574.627339032</v>
      </c>
      <c r="P184" s="211">
        <f>FS!T114</f>
        <v>37340914.261533156</v>
      </c>
      <c r="Q184" s="211">
        <f>FS!U114</f>
        <v>45722402.27169089</v>
      </c>
      <c r="R184" s="211">
        <f>FS!V114</f>
        <v>55258403.536400639</v>
      </c>
    </row>
    <row r="185" spans="1:18">
      <c r="A185" s="173" t="s">
        <v>306</v>
      </c>
    </row>
    <row r="186" spans="1:18">
      <c r="B186" s="142"/>
      <c r="C186" s="153" t="s">
        <v>385</v>
      </c>
      <c r="D186" s="155"/>
      <c r="E186" s="155"/>
      <c r="F186" s="155"/>
      <c r="G186" s="155"/>
      <c r="H186" s="216"/>
      <c r="I186" s="216"/>
      <c r="J186" s="217">
        <f t="shared" ref="J186:R186" si="68">J150</f>
        <v>44561</v>
      </c>
      <c r="K186" s="217">
        <f t="shared" si="68"/>
        <v>44926</v>
      </c>
      <c r="L186" s="217">
        <f t="shared" si="68"/>
        <v>45291</v>
      </c>
      <c r="M186" s="217">
        <f t="shared" si="68"/>
        <v>45657</v>
      </c>
      <c r="N186" s="217">
        <f t="shared" si="68"/>
        <v>46022</v>
      </c>
      <c r="O186" s="217">
        <f t="shared" si="68"/>
        <v>46387</v>
      </c>
      <c r="P186" s="217">
        <f t="shared" si="68"/>
        <v>46752</v>
      </c>
      <c r="Q186" s="217">
        <f t="shared" si="68"/>
        <v>47118</v>
      </c>
      <c r="R186" s="217">
        <f t="shared" si="68"/>
        <v>47483</v>
      </c>
    </row>
    <row r="187" spans="1:18">
      <c r="D187" s="194" t="s">
        <v>386</v>
      </c>
    </row>
    <row r="188" spans="1:18">
      <c r="D188" s="194"/>
    </row>
    <row r="189" spans="1:18" hidden="1" outlineLevel="1">
      <c r="D189" s="194"/>
    </row>
    <row r="190" spans="1:18" hidden="1" outlineLevel="1">
      <c r="D190" s="194"/>
    </row>
    <row r="191" spans="1:18" hidden="1" outlineLevel="1">
      <c r="D191" s="194"/>
    </row>
    <row r="192" spans="1:18" hidden="1" outlineLevel="1">
      <c r="D192" s="194"/>
    </row>
    <row r="193" spans="4:4" hidden="1" outlineLevel="1">
      <c r="D193" s="194"/>
    </row>
    <row r="194" spans="4:4" hidden="1" outlineLevel="1">
      <c r="D194" s="194"/>
    </row>
    <row r="195" spans="4:4" hidden="1" outlineLevel="1">
      <c r="D195" s="194"/>
    </row>
    <row r="196" spans="4:4" hidden="1" outlineLevel="1">
      <c r="D196" s="194"/>
    </row>
    <row r="197" spans="4:4" hidden="1" outlineLevel="1">
      <c r="D197" s="194"/>
    </row>
    <row r="198" spans="4:4" hidden="1" outlineLevel="1">
      <c r="D198" s="194"/>
    </row>
    <row r="199" spans="4:4" hidden="1" outlineLevel="1">
      <c r="D199" s="194"/>
    </row>
    <row r="200" spans="4:4" hidden="1" outlineLevel="1">
      <c r="D200" s="194"/>
    </row>
    <row r="201" spans="4:4" hidden="1" outlineLevel="1">
      <c r="D201" s="194"/>
    </row>
    <row r="202" spans="4:4" hidden="1" outlineLevel="1">
      <c r="D202" s="194"/>
    </row>
    <row r="203" spans="4:4" hidden="1" outlineLevel="1">
      <c r="D203" s="194"/>
    </row>
    <row r="204" spans="4:4" hidden="1" outlineLevel="1">
      <c r="D204" s="194"/>
    </row>
    <row r="205" spans="4:4" hidden="1" outlineLevel="1">
      <c r="D205" s="194"/>
    </row>
    <row r="206" spans="4:4" hidden="1" outlineLevel="1">
      <c r="D206" s="194"/>
    </row>
    <row r="207" spans="4:4" hidden="1" outlineLevel="1">
      <c r="D207" s="194"/>
    </row>
    <row r="208" spans="4:4" hidden="1" outlineLevel="1">
      <c r="D208" s="194"/>
    </row>
    <row r="209" spans="4:4" hidden="1" outlineLevel="1">
      <c r="D209" s="194"/>
    </row>
    <row r="210" spans="4:4" hidden="1" outlineLevel="1">
      <c r="D210" s="194"/>
    </row>
    <row r="211" spans="4:4" hidden="1" outlineLevel="1">
      <c r="D211" s="194"/>
    </row>
    <row r="212" spans="4:4" hidden="1" outlineLevel="1">
      <c r="D212" s="194"/>
    </row>
    <row r="213" spans="4:4" hidden="1" outlineLevel="1">
      <c r="D213" s="194"/>
    </row>
    <row r="214" spans="4:4" hidden="1" outlineLevel="1">
      <c r="D214" s="194"/>
    </row>
    <row r="215" spans="4:4" hidden="1" outlineLevel="1">
      <c r="D215" s="194"/>
    </row>
    <row r="216" spans="4:4" hidden="1" outlineLevel="1">
      <c r="D216" s="194"/>
    </row>
    <row r="217" spans="4:4" hidden="1" outlineLevel="1">
      <c r="D217" s="194"/>
    </row>
    <row r="218" spans="4:4" hidden="1" outlineLevel="1">
      <c r="D218" s="194"/>
    </row>
    <row r="219" spans="4:4" hidden="1" outlineLevel="1">
      <c r="D219" s="194"/>
    </row>
    <row r="220" spans="4:4" hidden="1" outlineLevel="1">
      <c r="D220" s="194"/>
    </row>
    <row r="221" spans="4:4" hidden="1" outlineLevel="1">
      <c r="D221" s="194"/>
    </row>
    <row r="222" spans="4:4" hidden="1" outlineLevel="1">
      <c r="D222" s="194"/>
    </row>
    <row r="223" spans="4:4" hidden="1" outlineLevel="1">
      <c r="D223" s="194"/>
    </row>
    <row r="224" spans="4:4" hidden="1" outlineLevel="1">
      <c r="D224" s="194"/>
    </row>
    <row r="225" spans="4:4" hidden="1" outlineLevel="1">
      <c r="D225" s="194"/>
    </row>
    <row r="226" spans="4:4" hidden="1" outlineLevel="1">
      <c r="D226" s="194"/>
    </row>
    <row r="227" spans="4:4" hidden="1" outlineLevel="1">
      <c r="D227" s="194"/>
    </row>
    <row r="228" spans="4:4" hidden="1" outlineLevel="1">
      <c r="D228" s="194"/>
    </row>
    <row r="229" spans="4:4" hidden="1" outlineLevel="1">
      <c r="D229" s="194"/>
    </row>
    <row r="230" spans="4:4" hidden="1" outlineLevel="1">
      <c r="D230" s="194"/>
    </row>
    <row r="231" spans="4:4" hidden="1" outlineLevel="1">
      <c r="D231" s="194"/>
    </row>
    <row r="232" spans="4:4" hidden="1" outlineLevel="1">
      <c r="D232" s="194"/>
    </row>
    <row r="233" spans="4:4" hidden="1" outlineLevel="1">
      <c r="D233" s="194"/>
    </row>
    <row r="234" spans="4:4" hidden="1" outlineLevel="1">
      <c r="D234" s="194"/>
    </row>
    <row r="235" spans="4:4" hidden="1" outlineLevel="1">
      <c r="D235" s="194"/>
    </row>
    <row r="236" spans="4:4" hidden="1" outlineLevel="1">
      <c r="D236" s="194"/>
    </row>
    <row r="237" spans="4:4" hidden="1" outlineLevel="1">
      <c r="D237" s="194"/>
    </row>
    <row r="238" spans="4:4" hidden="1" outlineLevel="1">
      <c r="D238" s="194"/>
    </row>
    <row r="239" spans="4:4" hidden="1" outlineLevel="1">
      <c r="D239" s="194"/>
    </row>
    <row r="240" spans="4:4" hidden="1" outlineLevel="1">
      <c r="D240" s="194"/>
    </row>
    <row r="241" spans="1:18" hidden="1" outlineLevel="1">
      <c r="D241" s="194"/>
    </row>
    <row r="242" spans="1:18" hidden="1" outlineLevel="1">
      <c r="D242" s="194"/>
    </row>
    <row r="243" spans="1:18" collapsed="1">
      <c r="A243" s="212" t="s">
        <v>387</v>
      </c>
    </row>
    <row r="244" spans="1:18" s="219" customFormat="1">
      <c r="A244" s="218" t="s">
        <v>318</v>
      </c>
    </row>
    <row r="246" spans="1:18" customFormat="1" hidden="1" outlineLevel="1">
      <c r="B246" s="220" t="s">
        <v>388</v>
      </c>
      <c r="C246" s="37"/>
      <c r="D246" s="37"/>
      <c r="G246" s="59"/>
      <c r="H246" s="221"/>
      <c r="I246" s="59"/>
      <c r="J246" s="61">
        <f t="shared" ref="J246:R246" si="69">J154-J157-J155</f>
        <v>0</v>
      </c>
      <c r="K246" s="61">
        <f>K154-K157-K155</f>
        <v>0</v>
      </c>
      <c r="L246" s="61">
        <f>L154-L157-L155</f>
        <v>0</v>
      </c>
      <c r="M246" s="61">
        <f t="shared" si="69"/>
        <v>0</v>
      </c>
      <c r="N246" s="61">
        <f t="shared" si="69"/>
        <v>0</v>
      </c>
      <c r="O246" s="61">
        <f t="shared" si="69"/>
        <v>0</v>
      </c>
      <c r="P246" s="61">
        <f t="shared" si="69"/>
        <v>0</v>
      </c>
      <c r="Q246" s="61">
        <f t="shared" si="69"/>
        <v>0</v>
      </c>
      <c r="R246" s="61">
        <f t="shared" si="69"/>
        <v>0</v>
      </c>
    </row>
    <row r="247" spans="1:18" customFormat="1" hidden="1" outlineLevel="1">
      <c r="B247" s="220" t="s">
        <v>389</v>
      </c>
      <c r="C247" s="37"/>
      <c r="D247" s="37"/>
      <c r="G247" s="59"/>
      <c r="H247" s="221"/>
      <c r="I247" s="57"/>
      <c r="J247" s="61">
        <f>J156-(J164+(J165*J166)+J167)</f>
        <v>0</v>
      </c>
      <c r="K247" s="61">
        <f>K156-(K164+(K165*K166)+K167)</f>
        <v>0</v>
      </c>
      <c r="L247" s="61">
        <f>L156-(L164+(L165*L166)+L167)</f>
        <v>0</v>
      </c>
      <c r="M247" s="61">
        <f t="shared" ref="M247:R247" si="70">M156-(M164+(M165*M166)+M167)</f>
        <v>0</v>
      </c>
      <c r="N247" s="61">
        <f t="shared" si="70"/>
        <v>0</v>
      </c>
      <c r="O247" s="61">
        <f t="shared" si="70"/>
        <v>0</v>
      </c>
      <c r="P247" s="61">
        <f t="shared" si="70"/>
        <v>0</v>
      </c>
      <c r="Q247" s="61">
        <f t="shared" si="70"/>
        <v>0</v>
      </c>
      <c r="R247" s="61">
        <f t="shared" si="70"/>
        <v>0</v>
      </c>
    </row>
    <row r="248" spans="1:18" customFormat="1" hidden="1" outlineLevel="1">
      <c r="B248" s="220" t="s">
        <v>390</v>
      </c>
      <c r="C248" s="37"/>
      <c r="D248" s="37"/>
      <c r="G248" s="59"/>
      <c r="H248" s="221"/>
      <c r="I248" s="57"/>
      <c r="J248" s="61">
        <f>SUM(J170:J171)-J172</f>
        <v>0</v>
      </c>
      <c r="K248" s="61">
        <f>SUM(K170:K171)-K172</f>
        <v>0</v>
      </c>
      <c r="L248" s="61">
        <f>SUM(L170:L171)-L172</f>
        <v>0</v>
      </c>
      <c r="M248" s="61">
        <f t="shared" ref="M248:R248" si="71">SUM(M170:M171)-M172</f>
        <v>0</v>
      </c>
      <c r="N248" s="61">
        <f t="shared" si="71"/>
        <v>0</v>
      </c>
      <c r="O248" s="61">
        <f t="shared" si="71"/>
        <v>0</v>
      </c>
      <c r="P248" s="61">
        <f t="shared" si="71"/>
        <v>0</v>
      </c>
      <c r="Q248" s="61">
        <f t="shared" si="71"/>
        <v>0</v>
      </c>
      <c r="R248" s="61">
        <f t="shared" si="71"/>
        <v>0</v>
      </c>
    </row>
    <row r="249" spans="1:18" customFormat="1" hidden="1" outlineLevel="1">
      <c r="B249" s="222" t="s">
        <v>391</v>
      </c>
      <c r="C249" s="37"/>
      <c r="D249" s="37"/>
      <c r="G249" s="59"/>
      <c r="H249" s="221"/>
      <c r="I249" s="57"/>
      <c r="J249" s="61">
        <f t="shared" ref="J249:R249" si="72">J159-(I182-J182)</f>
        <v>0</v>
      </c>
      <c r="K249" s="61">
        <f t="shared" si="72"/>
        <v>0</v>
      </c>
      <c r="L249" s="61">
        <f t="shared" si="72"/>
        <v>0</v>
      </c>
      <c r="M249" s="61">
        <f t="shared" si="72"/>
        <v>0</v>
      </c>
      <c r="N249" s="61">
        <f t="shared" si="72"/>
        <v>0</v>
      </c>
      <c r="O249" s="61">
        <f t="shared" si="72"/>
        <v>0</v>
      </c>
      <c r="P249" s="61">
        <f t="shared" si="72"/>
        <v>0</v>
      </c>
      <c r="Q249" s="61">
        <f t="shared" si="72"/>
        <v>0</v>
      </c>
      <c r="R249" s="61">
        <f t="shared" si="72"/>
        <v>0</v>
      </c>
    </row>
    <row r="250" spans="1:18" customFormat="1" collapsed="1"/>
    <row r="251" spans="1:18" customFormat="1">
      <c r="B251" s="80" t="s">
        <v>236</v>
      </c>
      <c r="C251" s="37"/>
      <c r="D251" s="37"/>
    </row>
    <row r="252" spans="1:18" customFormat="1">
      <c r="C252" s="37"/>
      <c r="D252" s="37"/>
      <c r="M252" s="59">
        <v>0</v>
      </c>
      <c r="N252" s="59">
        <f>M252+1</f>
        <v>1</v>
      </c>
      <c r="O252" s="59">
        <f>N252+1</f>
        <v>2</v>
      </c>
      <c r="P252" s="59">
        <f>O252+1</f>
        <v>3</v>
      </c>
      <c r="Q252" s="59">
        <f>P252+1</f>
        <v>4</v>
      </c>
    </row>
    <row r="253" spans="1:18" customFormat="1">
      <c r="B253" t="s">
        <v>241</v>
      </c>
      <c r="C253" s="37"/>
      <c r="D253" s="37"/>
      <c r="H253" s="133" cm="1">
        <f t="array" aca="1" ref="H253" ca="1">IFERROR(IF($H$109=$H$108,M253,(1-$H$55)*INDEX($M253:$R253,$B$55)+$H$55*INDEX($M253:$R253,$B$55+1)),"n/a")</f>
        <v>21242368.451405376</v>
      </c>
      <c r="M253" s="59">
        <f ca="1">NPV(WACC,OFFSET(N33:$AC$33,0,0,1,FY5Period+AddToExplicitPeriods-M252))</f>
        <v>26380889.740895022</v>
      </c>
      <c r="N253" s="59">
        <f ca="1">NPV(WACC,OFFSET(O33:$AC$33,0,0,1,FY5Period+AddToExplicitPeriods-N252))</f>
        <v>24010846.490560468</v>
      </c>
      <c r="O253" s="59">
        <f ca="1">NPV(WACC,OFFSET(P33:$AC$33,0,0,1,FY5Period+AddToExplicitPeriods-O252))</f>
        <v>20816897.089598384</v>
      </c>
      <c r="P253" s="59">
        <f ca="1">NPV(WACC,OFFSET(Q33:$AC$33,0,0,1,FY5Period+AddToExplicitPeriods-P252))</f>
        <v>15637432.598571924</v>
      </c>
      <c r="Q253" s="59">
        <f ca="1">NPV(WACC,OFFSET(R33:$AC$33,0,0,1,FY5Period+AddToExplicitPeriods-Q252))</f>
        <v>8752302.3760427497</v>
      </c>
    </row>
    <row r="254" spans="1:18" customFormat="1">
      <c r="B254" t="s">
        <v>247</v>
      </c>
      <c r="C254" s="37"/>
      <c r="D254" s="37"/>
      <c r="H254" s="133" cm="1">
        <f t="array" aca="1" ref="H254" ca="1">IFERROR(IF($H$109=$H$108,M254,(1-$H$55)*INDEX($M254:$R254,$B$55)+$H$55*INDEX($M254:$R254,$B$55+1)),"n/a")</f>
        <v>37239086.686194897</v>
      </c>
      <c r="M254" s="59">
        <f ca="1">NPV(WACC,OFFSET(N$33:$AC33,0,0,1,FY5Period+AddToExplicitPeriods+OptionalGrowthPeriod-M$252))-M$253</f>
        <v>31504320.813467223</v>
      </c>
      <c r="N254" s="59">
        <f ca="1">NPV(WACC,OFFSET(O$33:$AC33,0,0,1,FY5Period+AddToExplicitPeriods+OptionalGrowthPeriod-N$252))-N$253</f>
        <v>34448557.115089804</v>
      </c>
      <c r="O254" s="59">
        <f ca="1">NPV(WACC,OFFSET(P$33:$AC33,0,0,1,FY5Period+AddToExplicitPeriods+OptionalGrowthPeriod-O$252))-O$253</f>
        <v>37667947.020280525</v>
      </c>
      <c r="P254" s="59">
        <f ca="1">NPV(WACC,OFFSET(Q$33:$AC33,0,0,1,FY5Period+AddToExplicitPeriods+OptionalGrowthPeriod-P$252))-P$253</f>
        <v>41188205.009060852</v>
      </c>
      <c r="Q254" s="59">
        <f ca="1">NPV(WACC,OFFSET(R$33:$AC33,0,0,1,FY5Period+AddToExplicitPeriods+OptionalGrowthPeriod-Q$252))-Q$253</f>
        <v>45037448.708182633</v>
      </c>
    </row>
    <row r="255" spans="1:18" customFormat="1">
      <c r="B255" t="s">
        <v>392</v>
      </c>
      <c r="C255" s="37"/>
      <c r="D255" s="37"/>
      <c r="H255" s="133" cm="1">
        <f t="array" aca="1" ref="H255" ca="1">IFERROR(IF($H$109=$H$108,M255,(1-$H$55)*INDEX($M255:$R255,$B$55)+$H$55*INDEX($M255:$R255,$B$55+1)),"n/a")</f>
        <v>32569714.082998559</v>
      </c>
      <c r="M255" s="59">
        <f ca="1">IFERROR(M$39-SUM(M$253:M$254), "na")</f>
        <v>27554024.885741182</v>
      </c>
      <c r="N255" s="59">
        <f ca="1">IFERROR(N$39-SUM(N$253:N$254), "na")</f>
        <v>30129086.281438142</v>
      </c>
      <c r="O255" s="59">
        <f ca="1">IFERROR(O$39-SUM(O$253:O$254), "na")</f>
        <v>32944800.039869949</v>
      </c>
      <c r="P255" s="59">
        <f ca="1">IFERROR(P$39-SUM(P$253:P$254), "na")</f>
        <v>36023656.327595986</v>
      </c>
      <c r="Q255" s="59">
        <f ca="1">IFERROR(Q$39-SUM(Q$253:Q$254), "na")</f>
        <v>39390247.129691482</v>
      </c>
    </row>
    <row r="256" spans="1:18" customFormat="1">
      <c r="B256" t="s">
        <v>393</v>
      </c>
      <c r="C256" s="37"/>
      <c r="D256" s="37"/>
      <c r="H256" s="133" cm="1">
        <f t="array" aca="1" ref="H256" ca="1">IFERROR(IF($H$109=$H$108,M256,(1-$H$55)*INDEX($M256:$R256,$B$55)+$H$55*INDEX($M256:$R256,$B$55+1)),"n/a")</f>
        <v>56320926.024900675</v>
      </c>
      <c r="M256" s="59">
        <f>M40</f>
        <v>47647584.296362616</v>
      </c>
      <c r="N256" s="59">
        <f>N40</f>
        <v>52100489.286779188</v>
      </c>
      <c r="O256" s="59">
        <f>O40</f>
        <v>56969540.513075136</v>
      </c>
      <c r="P256" s="59">
        <f>P40</f>
        <v>62293628.921724588</v>
      </c>
      <c r="Q256" s="59">
        <f>Q40</f>
        <v>68115280.012604356</v>
      </c>
    </row>
    <row r="257" spans="2:17" customFormat="1">
      <c r="B257" s="126" t="s">
        <v>394</v>
      </c>
      <c r="C257" s="223"/>
      <c r="D257" s="223"/>
      <c r="E257" s="126"/>
      <c r="F257" s="126"/>
      <c r="G257" s="126"/>
      <c r="H257" s="224">
        <f ca="1">SUM(H253:H256)</f>
        <v>147372095.24549949</v>
      </c>
    </row>
    <row r="258" spans="2:17" customFormat="1"/>
    <row r="259" spans="2:17" customFormat="1">
      <c r="B259" s="37"/>
      <c r="C259" s="37"/>
    </row>
    <row r="260" spans="2:17" customFormat="1">
      <c r="B260" s="80" t="s">
        <v>249</v>
      </c>
    </row>
    <row r="261" spans="2:17" customFormat="1">
      <c r="K261" s="59" t="s">
        <v>250</v>
      </c>
      <c r="L261" s="59" t="s">
        <v>251</v>
      </c>
      <c r="M261" s="59" t="s">
        <v>252</v>
      </c>
      <c r="N261" s="59" t="s">
        <v>253</v>
      </c>
      <c r="O261" s="59" t="s">
        <v>254</v>
      </c>
      <c r="P261" s="147" t="s">
        <v>255</v>
      </c>
      <c r="Q261" s="147" t="s">
        <v>256</v>
      </c>
    </row>
    <row r="262" spans="2:17" customFormat="1">
      <c r="B262" t="s">
        <v>241</v>
      </c>
      <c r="K262" s="59">
        <f ca="1">H253</f>
        <v>21242368.451405376</v>
      </c>
      <c r="L262" s="59" t="e">
        <f>NA()</f>
        <v>#N/A</v>
      </c>
      <c r="M262" s="59" t="e">
        <f>NA()</f>
        <v>#N/A</v>
      </c>
      <c r="N262" s="59" t="e">
        <f>NA()</f>
        <v>#N/A</v>
      </c>
      <c r="O262" s="59" t="e">
        <f>NA()</f>
        <v>#N/A</v>
      </c>
      <c r="P262" s="225">
        <v>0</v>
      </c>
      <c r="Q262" s="226">
        <f ca="1">IFERROR(H253/$H$257, "n/a")</f>
        <v>0.14414104933514599</v>
      </c>
    </row>
    <row r="263" spans="2:17" customFormat="1">
      <c r="B263" t="s">
        <v>247</v>
      </c>
      <c r="K263" s="59" t="e">
        <f>NA()</f>
        <v>#N/A</v>
      </c>
      <c r="L263" s="59">
        <f ca="1">H254</f>
        <v>37239086.686194897</v>
      </c>
      <c r="M263" s="59" t="e">
        <f>NA()</f>
        <v>#N/A</v>
      </c>
      <c r="N263" s="59" t="e">
        <f>NA()</f>
        <v>#N/A</v>
      </c>
      <c r="O263" s="59">
        <f ca="1">K262</f>
        <v>21242368.451405376</v>
      </c>
      <c r="P263" s="225">
        <f>P262</f>
        <v>0</v>
      </c>
      <c r="Q263" s="226">
        <f ca="1">IFERROR(H254/$H$257, "n/a")</f>
        <v>0.25268750250283301</v>
      </c>
    </row>
    <row r="264" spans="2:17" customFormat="1">
      <c r="B264" t="s">
        <v>392</v>
      </c>
      <c r="K264" s="59" t="e">
        <f>NA()</f>
        <v>#N/A</v>
      </c>
      <c r="L264" s="59" t="e">
        <f>NA()</f>
        <v>#N/A</v>
      </c>
      <c r="M264" s="59">
        <f ca="1">H255</f>
        <v>32569714.082998559</v>
      </c>
      <c r="N264" s="59" t="e">
        <v>#N/A</v>
      </c>
      <c r="O264" s="59">
        <f ca="1">IFERROR(L263+O263,"n/a")</f>
        <v>58481455.137600273</v>
      </c>
      <c r="P264" s="225">
        <f>P263</f>
        <v>0</v>
      </c>
      <c r="Q264" s="226">
        <f ca="1">IFERROR(H255/$H$257, "n/a")</f>
        <v>0.22100326407616291</v>
      </c>
    </row>
    <row r="265" spans="2:17" customFormat="1">
      <c r="B265" t="s">
        <v>393</v>
      </c>
      <c r="K265" s="59" t="e">
        <f>NA()</f>
        <v>#N/A</v>
      </c>
      <c r="L265" s="59" t="e">
        <f>NA()</f>
        <v>#N/A</v>
      </c>
      <c r="M265" s="59" t="e">
        <f>NA()</f>
        <v>#N/A</v>
      </c>
      <c r="N265" s="59">
        <f ca="1">H256</f>
        <v>56320926.024900675</v>
      </c>
      <c r="O265" s="59">
        <f ca="1">IFERROR(O264+M264,"n/a")</f>
        <v>91051169.220598832</v>
      </c>
      <c r="P265" s="225">
        <f>P264</f>
        <v>0</v>
      </c>
      <c r="Q265" s="226">
        <f ca="1">IFERROR(H256/$H$257, "n/a")</f>
        <v>0.38216818408585818</v>
      </c>
    </row>
    <row r="266" spans="2:17" customFormat="1"/>
    <row r="267" spans="2:17" customFormat="1"/>
    <row r="268" spans="2:17" customFormat="1" ht="12" thickBot="1"/>
    <row r="269" spans="2:17" customFormat="1" ht="12" thickBot="1">
      <c r="B269" s="227" t="s">
        <v>395</v>
      </c>
      <c r="C269" s="228"/>
      <c r="D269" s="229"/>
      <c r="E269" s="230" t="s">
        <v>396</v>
      </c>
    </row>
    <row r="270" spans="2:17" customFormat="1"/>
    <row r="271" spans="2:17" customFormat="1"/>
    <row r="272" spans="2:17" customFormat="1"/>
    <row r="273" customFormat="1"/>
    <row r="274" customFormat="1"/>
  </sheetData>
  <sheetProtection formatColumns="0" formatRows="0"/>
  <mergeCells count="6">
    <mergeCell ref="AK1:AK2"/>
    <mergeCell ref="M4:R4"/>
    <mergeCell ref="B105:G105"/>
    <mergeCell ref="M36:O36"/>
    <mergeCell ref="S4:W4"/>
    <mergeCell ref="X4:AC4"/>
  </mergeCells>
  <conditionalFormatting sqref="G2">
    <cfRule type="expression" dxfId="13" priority="167">
      <formula>COLUMN() &gt; 42</formula>
    </cfRule>
  </conditionalFormatting>
  <conditionalFormatting sqref="G94">
    <cfRule type="expression" dxfId="12" priority="161">
      <formula>D94=1</formula>
    </cfRule>
  </conditionalFormatting>
  <conditionalFormatting sqref="G139">
    <cfRule type="expression" dxfId="11" priority="170">
      <formula>$D$135</formula>
    </cfRule>
  </conditionalFormatting>
  <conditionalFormatting sqref="G140:G146">
    <cfRule type="expression" dxfId="10" priority="169">
      <formula>$D$135</formula>
    </cfRule>
  </conditionalFormatting>
  <conditionalFormatting sqref="H133">
    <cfRule type="expression" dxfId="9" priority="168">
      <formula>$D$133</formula>
    </cfRule>
  </conditionalFormatting>
  <conditionalFormatting sqref="H135">
    <cfRule type="expression" dxfId="8" priority="171">
      <formula>$D$135</formula>
    </cfRule>
  </conditionalFormatting>
  <conditionalFormatting sqref="J155:R156">
    <cfRule type="expression" dxfId="7" priority="174">
      <formula>J246&lt;&gt;0</formula>
    </cfRule>
  </conditionalFormatting>
  <conditionalFormatting sqref="J157:R157">
    <cfRule type="cellIs" dxfId="6" priority="163" operator="lessThan">
      <formula>0</formula>
    </cfRule>
  </conditionalFormatting>
  <conditionalFormatting sqref="J158:R158">
    <cfRule type="cellIs" dxfId="5" priority="162" operator="greaterThan">
      <formula>0</formula>
    </cfRule>
  </conditionalFormatting>
  <conditionalFormatting sqref="J159:R159">
    <cfRule type="expression" dxfId="4" priority="172">
      <formula>J249&lt;&gt;0</formula>
    </cfRule>
  </conditionalFormatting>
  <conditionalFormatting sqref="J170:R170">
    <cfRule type="cellIs" dxfId="3" priority="165" operator="lessThan">
      <formula>0</formula>
    </cfRule>
  </conditionalFormatting>
  <conditionalFormatting sqref="J171:R171">
    <cfRule type="cellIs" dxfId="2" priority="166" operator="greaterThan">
      <formula>0</formula>
    </cfRule>
  </conditionalFormatting>
  <conditionalFormatting sqref="J172:R172">
    <cfRule type="expression" dxfId="1" priority="173">
      <formula>J248&lt;&gt;0</formula>
    </cfRule>
  </conditionalFormatting>
  <conditionalFormatting sqref="J174:R174">
    <cfRule type="cellIs" dxfId="0" priority="164" operator="lessThan">
      <formula>0</formula>
    </cfRule>
  </conditionalFormatting>
  <dataValidations disablePrompts="1" count="8">
    <dataValidation errorStyle="warning" allowBlank="1" showInputMessage="1" showErrorMessage="1" errorTitle="Invalid entry" error="TGR value should not be a formula, it should be hardcoded." promptTitle="TGR value" prompt="TGR value should be hardcoded fo data table to work as expected" sqref="G95" xr:uid="{6883D08F-11FF-424A-A2CC-225844104CB5}"/>
    <dataValidation type="custom" errorStyle="warning" allowBlank="1" showInputMessage="1" showErrorMessage="1" errorTitle="Invalid entry" error="_x000a_WACC value should not be a formula, it should be hardcoded." promptTitle="WACC value" prompt="WACC value needs to be hardcoded for data table to function as expected. " sqref="G94" xr:uid="{A8671C09-EC55-4D39-B182-6F1DE6C9DD8D}">
      <formula1>D94=1</formula1>
    </dataValidation>
    <dataValidation allowBlank="1" showInputMessage="1" showErrorMessage="1" errorTitle="Valuation date limit" error="valuation date cannot be before than the last reported year end date" sqref="H109" xr:uid="{66BB5B59-3AE2-46E8-B8CA-976A7FDB125B}"/>
    <dataValidation allowBlank="1" showInputMessage="1" showErrorMessage="1" errorTitle="Last reported date" error="Valuation date is before the last reported year end date" promptTitle="Last reported year-end date" prompt="The last reported financial year end date available" sqref="H108" xr:uid="{EC255FC7-12C5-4555-BAAA-77F82552CBA0}"/>
    <dataValidation type="whole" operator="greaterThanOrEqual" allowBlank="1" showInputMessage="1" showErrorMessage="1" errorTitle="Fade to terminal period" error="Integer value required and should be greater than or equal to one." promptTitle="Fade to terminal period" prompt="This cell takes integer values greater than or equal to one._x000a_" sqref="H137" xr:uid="{F138C0D7-5F91-42EC-98DC-2AC3956D44B7}">
      <formula1>1</formula1>
    </dataValidation>
    <dataValidation type="whole" operator="greaterThanOrEqual" allowBlank="1" showInputMessage="1" showErrorMessage="1" errorTitle="Invalid entry" error="Integer value required and should be greater than or equal to zero" promptTitle="Optional growth periods" prompt="_x000a_This cell takes integer values greater than or equal to zero" sqref="H135" xr:uid="{8A11EF69-2BF6-4C31-89DC-D0BBE36E0148}">
      <formula1>0</formula1>
    </dataValidation>
    <dataValidation type="whole" operator="greaterThanOrEqual" allowBlank="1" showInputMessage="1" showErrorMessage="1" errorTitle="Invalid entry" error="Integer value required and should be greater than or equal to zero" promptTitle="Additional explicit periods" prompt="_x000a_This cell takes integer values greater than or equal to zero" sqref="H133" xr:uid="{0056B678-68C9-42AF-83E5-6446B58B87D0}">
      <formula1>0</formula1>
    </dataValidation>
    <dataValidation allowBlank="1" showInputMessage="1" showErrorMessage="1" promptTitle="Formula" prompt="=(1+inflation)^((av useful life +1))/2" sqref="H143:I143" xr:uid="{3BCD0274-03A2-48C4-891D-90EAACE4A29D}"/>
  </dataValidations>
  <hyperlinks>
    <hyperlink ref="AK8" location="DCF!B146" display="Model forecasts" xr:uid="{883DB3BA-7F8D-4DAA-8E4A-40619D16140C}"/>
    <hyperlink ref="AK7" location="DCF!B103" display="Assumptions" xr:uid="{FD4B2EB0-8742-48E7-8909-B04DF832EDB8}"/>
    <hyperlink ref="AK6" location="DCF!B59" display="Valuation Summary" xr:uid="{144F650E-98EB-416B-A63A-1E59FD0E7FFA}"/>
  </hyperlinks>
  <pageMargins left="0.7" right="0.7" top="0.75" bottom="0.75" header="0.3" footer="0.3"/>
  <pageSetup paperSize="9" scale="95" orientation="landscape" r:id="rId1"/>
  <ignoredErrors>
    <ignoredError sqref="H119:H122 H124:H12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locked="0" defaultSize="0" print="0" autoFill="0" autoPict="0" macro="[0]!DCFBase.NewCalculate">
                <anchor moveWithCells="1" sizeWithCells="1">
                  <from>
                    <xdr:col>1</xdr:col>
                    <xdr:colOff>114300</xdr:colOff>
                    <xdr:row>128</xdr:row>
                    <xdr:rowOff>66675</xdr:rowOff>
                  </from>
                  <to>
                    <xdr:col>4</xdr:col>
                    <xdr:colOff>476250</xdr:colOff>
                    <xdr:row>130</xdr:row>
                    <xdr:rowOff>85725</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1</xdr:col>
                    <xdr:colOff>85725</xdr:colOff>
                    <xdr:row>133</xdr:row>
                    <xdr:rowOff>9525</xdr:rowOff>
                  </from>
                  <to>
                    <xdr:col>5</xdr:col>
                    <xdr:colOff>28575</xdr:colOff>
                    <xdr:row>135</xdr:row>
                    <xdr:rowOff>9525</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1</xdr:col>
                    <xdr:colOff>85725</xdr:colOff>
                    <xdr:row>131</xdr:row>
                    <xdr:rowOff>85725</xdr:rowOff>
                  </from>
                  <to>
                    <xdr:col>5</xdr:col>
                    <xdr:colOff>28575</xdr:colOff>
                    <xdr:row>133</xdr:row>
                    <xdr:rowOff>19050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negative="1" xr2:uid="{A880B87C-4A42-4D48-8A88-5AD4394342D4}">
          <x14:colorSeries rgb="FF376092"/>
          <x14:colorNegative rgb="FFD00000"/>
          <x14:colorAxis rgb="FF000000"/>
          <x14:colorMarkers rgb="FFD00000"/>
          <x14:colorFirst rgb="FFD00000"/>
          <x14:colorLast rgb="FFD00000"/>
          <x14:colorHigh rgb="FFD00000"/>
          <x14:colorLow rgb="FFD00000"/>
          <x14:sparklines>
            <x14:sparkline>
              <xm:f>DCF!M34:AD34</xm:f>
              <xm:sqref>H34</xm:sqref>
            </x14:sparkline>
          </x14:sparklines>
        </x14:sparklineGroup>
        <x14:sparklineGroup manualMax="0" manualMin="0" displayEmptyCellsAs="gap" xr2:uid="{477179E0-CE73-431F-A62A-617C95D307E8}">
          <x14:colorSeries rgb="FF376092"/>
          <x14:colorNegative rgb="FFD00000"/>
          <x14:colorAxis rgb="FF000000"/>
          <x14:colorMarkers rgb="FFD00000"/>
          <x14:colorFirst rgb="FFD00000"/>
          <x14:colorLast rgb="FFD00000"/>
          <x14:colorHigh rgb="FFD00000"/>
          <x14:colorLow rgb="FFD00000"/>
          <x14:sparklines>
            <x14:sparkline>
              <xm:f>DCF!M22:AD22</xm:f>
              <xm:sqref>H22</xm:sqref>
            </x14:sparkline>
          </x14:sparklines>
        </x14:sparklineGroup>
        <x14:sparklineGroup manualMax="0" manualMin="0" displayEmptyCellsAs="gap" high="1" xr2:uid="{D7548304-33FE-4950-9B56-A8A4012ADAB0}">
          <x14:colorSeries rgb="FF376092"/>
          <x14:colorNegative rgb="FFD00000"/>
          <x14:colorAxis rgb="FF000000"/>
          <x14:colorMarkers rgb="FFD00000"/>
          <x14:colorFirst rgb="FFD00000"/>
          <x14:colorLast rgb="FFD00000"/>
          <x14:colorHigh rgb="FFD00000"/>
          <x14:colorLow rgb="FFD00000"/>
          <x14:sparklines>
            <x14:sparkline>
              <xm:f>DCF!M27:AD27</xm:f>
              <xm:sqref>H27</xm:sqref>
            </x14:sparkline>
          </x14:sparklines>
        </x14:sparklineGroup>
        <x14:sparklineGroup manualMax="0" manualMin="0" displayEmptyCellsAs="gap" high="1" xr2:uid="{B793F64B-1806-4F27-813E-91F8BE2F3053}">
          <x14:colorSeries rgb="FF376092"/>
          <x14:colorNegative rgb="FFD00000"/>
          <x14:colorAxis rgb="FF000000"/>
          <x14:colorMarkers rgb="FFD00000"/>
          <x14:colorFirst rgb="FFD00000"/>
          <x14:colorLast rgb="FFD00000"/>
          <x14:colorHigh rgb="FFD00000"/>
          <x14:colorLow rgb="FFD00000"/>
          <x14:sparklines>
            <x14:sparkline>
              <xm:f>DCF!M17:AD17</xm:f>
              <xm:sqref>H17</xm:sqref>
            </x14:sparkline>
          </x14:sparklines>
        </x14:sparklineGroup>
        <x14:sparklineGroup manualMax="0" manualMin="0" displayEmptyCellsAs="gap" high="1" xr2:uid="{7066A1DB-46A7-42B2-9CB8-D07D2E3A16FE}">
          <x14:colorSeries rgb="FF376092"/>
          <x14:colorNegative rgb="FFD00000"/>
          <x14:colorAxis rgb="FF000000"/>
          <x14:colorMarkers rgb="FFD00000"/>
          <x14:colorFirst rgb="FFD00000"/>
          <x14:colorLast rgb="FFD00000"/>
          <x14:colorHigh rgb="FFD00000"/>
          <x14:colorLow rgb="FFD00000"/>
          <x14:sparklines>
            <x14:sparkline>
              <xm:f>DCF!M15:AD15</xm:f>
              <xm:sqref>H15</xm:sqref>
            </x14:sparkline>
          </x14:sparklines>
        </x14:sparklineGroup>
        <x14:sparklineGroup manualMax="0" manualMin="0" displayEmptyCellsAs="gap" xr2:uid="{45574B82-BCD1-4FBE-A05D-BAD7AC77490D}">
          <x14:colorSeries rgb="FF376092"/>
          <x14:colorNegative rgb="FFD00000"/>
          <x14:colorAxis rgb="FF000000"/>
          <x14:colorMarkers rgb="FFD00000"/>
          <x14:colorFirst rgb="FFD00000"/>
          <x14:colorLast rgb="FFD00000"/>
          <x14:colorHigh rgb="FFD00000"/>
          <x14:colorLow rgb="FFD00000"/>
          <x14:sparklines>
            <x14:sparkline>
              <xm:f>DCF!M25:AD25</xm:f>
              <xm:sqref>H25</xm:sqref>
            </x14:sparkline>
          </x14:sparklines>
        </x14:sparklineGroup>
        <x14:sparklineGroup manualMax="0" manualMin="0" displayEmptyCellsAs="gap" high="1" xr2:uid="{22DBBC21-4E54-4BCE-804F-3D28B0F83327}">
          <x14:colorSeries rgb="FF376092"/>
          <x14:colorNegative rgb="FFD00000"/>
          <x14:colorAxis rgb="FF000000"/>
          <x14:colorMarkers rgb="FFD00000"/>
          <x14:colorFirst rgb="FFD00000"/>
          <x14:colorLast rgb="FFD00000"/>
          <x14:colorHigh rgb="FFD00000"/>
          <x14:colorLow rgb="FFD00000"/>
          <x14:sparklines>
            <x14:sparkline>
              <xm:f>DCF!M11:AD11</xm:f>
              <xm:sqref>H11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76D3-520C-4928-A2D5-B3B5AC7120DC}">
  <sheetPr codeName="Sheet3"/>
  <dimension ref="A1:BX209"/>
  <sheetViews>
    <sheetView zoomScale="140" zoomScaleNormal="140" workbookViewId="0">
      <pane ySplit="4" topLeftCell="A129" activePane="bottomLeft" state="frozen"/>
      <selection pane="bottomLeft" activeCell="R36" sqref="R36:T36"/>
    </sheetView>
  </sheetViews>
  <sheetFormatPr defaultColWidth="0" defaultRowHeight="11.25" outlineLevelRow="2" outlineLevelCol="1"/>
  <cols>
    <col min="1" max="4" width="3.1640625" style="7" customWidth="1"/>
    <col min="5" max="5" width="42.6640625" style="7" customWidth="1"/>
    <col min="6" max="6" width="1" style="7" customWidth="1"/>
    <col min="7" max="7" width="11.6640625" style="285" bestFit="1" customWidth="1"/>
    <col min="8" max="8" width="10.83203125" style="285" hidden="1" customWidth="1"/>
    <col min="9" max="9" width="11.1640625" style="285" bestFit="1" customWidth="1"/>
    <col min="10" max="10" width="11.5" style="285" hidden="1" customWidth="1"/>
    <col min="11" max="11" width="13" style="285" customWidth="1"/>
    <col min="12" max="12" width="11.5" style="285" hidden="1" customWidth="1"/>
    <col min="13" max="14" width="11.5" style="285" customWidth="1" outlineLevel="1"/>
    <col min="15" max="15" width="11.5" style="285" bestFit="1" customWidth="1"/>
    <col min="16" max="16" width="13.33203125" style="285" hidden="1" customWidth="1" outlineLevel="1"/>
    <col min="17" max="17" width="11.5" style="285" hidden="1" customWidth="1" outlineLevel="1"/>
    <col min="18" max="18" width="14" style="285" bestFit="1" customWidth="1" collapsed="1"/>
    <col min="19" max="19" width="11.5" style="285" bestFit="1" customWidth="1"/>
    <col min="20" max="20" width="12.1640625" style="285" bestFit="1" customWidth="1"/>
    <col min="21" max="21" width="12.6640625" style="285" bestFit="1" customWidth="1"/>
    <col min="22" max="24" width="12.6640625" style="285" customWidth="1"/>
    <col min="25" max="27" width="12.6640625" style="10" customWidth="1"/>
    <col min="28" max="28" width="9.33203125" style="10" customWidth="1"/>
    <col min="29" max="29" width="9.83203125" style="10" bestFit="1" customWidth="1"/>
    <col min="30" max="31" width="9.83203125" style="10" customWidth="1"/>
    <col min="32" max="32" width="13.33203125" style="10" customWidth="1"/>
    <col min="33" max="34" width="9.83203125" style="10" customWidth="1"/>
    <col min="35" max="36" width="9.33203125" style="10" customWidth="1"/>
    <col min="37" max="37" width="0" style="10" hidden="1" customWidth="1"/>
    <col min="38" max="76" width="0" style="7" hidden="1" customWidth="1"/>
    <col min="77" max="16384" width="9.33203125" style="7" hidden="1"/>
  </cols>
  <sheetData>
    <row r="1" spans="1:37" s="3" customFormat="1">
      <c r="A1" s="2" t="s">
        <v>0</v>
      </c>
      <c r="G1" s="279"/>
      <c r="H1" s="279"/>
      <c r="I1" s="279"/>
      <c r="J1" s="279"/>
      <c r="K1" s="279"/>
      <c r="L1" s="279"/>
      <c r="M1" s="279"/>
      <c r="N1" s="279"/>
      <c r="O1" s="279"/>
      <c r="P1" s="279"/>
      <c r="Q1" s="279"/>
      <c r="R1" s="279"/>
      <c r="S1" s="279"/>
      <c r="T1" s="279"/>
      <c r="U1" s="279"/>
      <c r="V1" s="279"/>
      <c r="W1" s="279"/>
      <c r="X1" s="279"/>
      <c r="Y1" s="4"/>
      <c r="Z1" s="4"/>
      <c r="AA1" s="4"/>
      <c r="AB1" s="9"/>
      <c r="AC1" s="4"/>
      <c r="AD1" s="4"/>
      <c r="AE1" s="4"/>
      <c r="AF1" s="4"/>
      <c r="AG1" s="4"/>
      <c r="AH1" s="4"/>
      <c r="AI1" s="4"/>
      <c r="AJ1" s="4"/>
      <c r="AK1" s="4"/>
    </row>
    <row r="2" spans="1:37" s="3" customFormat="1">
      <c r="A2" s="2" t="s">
        <v>184</v>
      </c>
      <c r="G2" s="279"/>
      <c r="H2" s="279"/>
      <c r="I2" s="279"/>
      <c r="J2" s="279"/>
      <c r="K2" s="279"/>
      <c r="L2" s="279"/>
      <c r="M2" s="279"/>
      <c r="N2" s="279"/>
      <c r="O2" s="279"/>
      <c r="P2" s="279"/>
      <c r="Q2" s="279"/>
      <c r="R2" s="279"/>
      <c r="S2" s="279"/>
      <c r="T2" s="279"/>
      <c r="U2" s="279"/>
      <c r="V2" s="279"/>
      <c r="W2" s="279"/>
      <c r="X2" s="279"/>
      <c r="Y2" s="4"/>
      <c r="Z2" s="4"/>
      <c r="AA2" s="4"/>
      <c r="AB2" s="9"/>
      <c r="AC2" s="4"/>
      <c r="AD2" s="4"/>
      <c r="AE2" s="4"/>
      <c r="AF2" s="4"/>
      <c r="AG2" s="4"/>
      <c r="AH2" s="4"/>
      <c r="AI2" s="4"/>
      <c r="AJ2" s="4"/>
      <c r="AK2" s="4"/>
    </row>
    <row r="3" spans="1:37" s="3" customFormat="1">
      <c r="A3" s="2" t="s">
        <v>2</v>
      </c>
      <c r="G3" s="279"/>
      <c r="H3" s="279"/>
      <c r="I3" s="279"/>
      <c r="J3" s="279"/>
      <c r="K3" s="279"/>
      <c r="L3" s="279"/>
      <c r="M3" s="279"/>
      <c r="N3" s="279"/>
      <c r="O3" s="279"/>
      <c r="P3" s="279"/>
      <c r="Q3" s="279"/>
      <c r="R3" s="279"/>
      <c r="S3" s="279"/>
      <c r="T3" s="279"/>
      <c r="U3" s="279"/>
      <c r="V3" s="279"/>
      <c r="W3" s="279"/>
      <c r="X3" s="279"/>
      <c r="Y3" s="4"/>
      <c r="Z3" s="4"/>
      <c r="AA3" s="4"/>
      <c r="AB3" s="9"/>
      <c r="AC3" s="4"/>
      <c r="AD3" s="4"/>
      <c r="AE3" s="4"/>
      <c r="AF3" s="4"/>
      <c r="AG3" s="4"/>
      <c r="AH3" s="4"/>
      <c r="AI3" s="4"/>
      <c r="AJ3" s="4"/>
      <c r="AK3" s="4"/>
    </row>
    <row r="4" spans="1:37" s="5" customFormat="1">
      <c r="G4" s="272">
        <v>2021</v>
      </c>
      <c r="H4" s="272" t="s">
        <v>76</v>
      </c>
      <c r="I4" s="272">
        <v>2022</v>
      </c>
      <c r="J4" s="272" t="s">
        <v>75</v>
      </c>
      <c r="K4" s="272">
        <v>2023</v>
      </c>
      <c r="L4" s="272" t="s">
        <v>504</v>
      </c>
      <c r="M4" s="272" t="s">
        <v>520</v>
      </c>
      <c r="N4" s="272" t="s">
        <v>521</v>
      </c>
      <c r="O4" s="272">
        <v>2024</v>
      </c>
      <c r="P4" s="279" t="s">
        <v>519</v>
      </c>
      <c r="Q4" s="279" t="s">
        <v>516</v>
      </c>
      <c r="R4" s="272" t="s">
        <v>482</v>
      </c>
      <c r="S4" s="272" t="s">
        <v>491</v>
      </c>
      <c r="T4" s="272" t="s">
        <v>511</v>
      </c>
      <c r="U4" s="272" t="s">
        <v>512</v>
      </c>
      <c r="V4" s="272" t="s">
        <v>517</v>
      </c>
      <c r="W4" s="272" t="s">
        <v>524</v>
      </c>
      <c r="X4" s="272"/>
      <c r="Y4" s="272"/>
      <c r="Z4" s="272"/>
      <c r="AA4" s="4" t="s">
        <v>510</v>
      </c>
      <c r="AB4" s="4" t="s">
        <v>507</v>
      </c>
      <c r="AC4" s="4" t="s">
        <v>523</v>
      </c>
      <c r="AD4" s="4"/>
      <c r="AE4" s="4"/>
      <c r="AF4" s="279" t="s">
        <v>518</v>
      </c>
      <c r="AG4" s="4"/>
      <c r="AH4" s="4"/>
      <c r="AI4" s="4"/>
      <c r="AJ4" s="4"/>
      <c r="AK4" s="4"/>
    </row>
    <row r="5" spans="1:37" outlineLevel="1"/>
    <row r="6" spans="1:37" ht="18" outlineLevel="1">
      <c r="A6" s="6" t="s">
        <v>1</v>
      </c>
    </row>
    <row r="7" spans="1:37" outlineLevel="1">
      <c r="K7" s="296"/>
      <c r="O7" s="296"/>
      <c r="P7" s="296"/>
      <c r="Q7" s="296"/>
      <c r="AF7" s="236"/>
    </row>
    <row r="8" spans="1:37" s="3" customFormat="1" outlineLevel="1">
      <c r="A8" s="3" t="s">
        <v>11</v>
      </c>
      <c r="G8" s="279">
        <v>10350986</v>
      </c>
      <c r="H8" s="279">
        <v>10543240</v>
      </c>
      <c r="I8" s="279">
        <v>13575577</v>
      </c>
      <c r="J8" s="279">
        <v>15393328</v>
      </c>
      <c r="K8" s="279">
        <v>20302465</v>
      </c>
      <c r="L8" s="279">
        <v>18659671</v>
      </c>
      <c r="M8" s="279">
        <v>10677054</v>
      </c>
      <c r="N8" s="279">
        <f>O8-M8</f>
        <v>14151820</v>
      </c>
      <c r="O8" s="279">
        <v>24828874</v>
      </c>
      <c r="P8" s="279">
        <v>14874809</v>
      </c>
      <c r="Q8" s="279">
        <f>Assumption!Q18</f>
        <v>17314973.004135605</v>
      </c>
      <c r="R8" s="279">
        <f>Assumption!R18</f>
        <v>32189782.004135605</v>
      </c>
      <c r="S8" s="279">
        <f>Assumption!S18</f>
        <v>35717843.509973548</v>
      </c>
      <c r="T8" s="279">
        <f>Assumption!T18</f>
        <v>41517893.270682819</v>
      </c>
      <c r="U8" s="279">
        <f>Assumption!U18</f>
        <v>47649032.362826988</v>
      </c>
      <c r="V8" s="279">
        <f>Assumption!V18</f>
        <v>53780422.832834795</v>
      </c>
      <c r="W8" s="279">
        <f>Assumption!W18</f>
        <v>57634734.522378981</v>
      </c>
      <c r="X8" s="279"/>
      <c r="Y8" s="4"/>
      <c r="Z8" s="4"/>
      <c r="AA8" s="241">
        <f>(S8/O8)^0.5-1</f>
        <v>0.19940016101776847</v>
      </c>
      <c r="AB8" s="241">
        <f>(T8/R8)^0.5-1</f>
        <v>0.13568695230376693</v>
      </c>
      <c r="AC8" s="241">
        <f>(U8/S8)^0.5-1</f>
        <v>0.15500649841841074</v>
      </c>
      <c r="AD8" s="241"/>
      <c r="AE8" s="241"/>
      <c r="AF8" s="4">
        <v>14701.516857937049</v>
      </c>
      <c r="AG8" s="241">
        <f>P8/1000/AF8-1</f>
        <v>1.1787364782661403E-2</v>
      </c>
      <c r="AH8" s="241"/>
      <c r="AI8" s="4"/>
      <c r="AJ8" s="4"/>
      <c r="AK8" s="4"/>
    </row>
    <row r="9" spans="1:37" s="13" customFormat="1" outlineLevel="1">
      <c r="B9" s="304" t="s">
        <v>429</v>
      </c>
      <c r="C9" s="304"/>
      <c r="D9" s="304"/>
      <c r="E9" s="304"/>
      <c r="F9" s="304"/>
      <c r="G9" s="310"/>
      <c r="H9" s="310"/>
      <c r="I9" s="310">
        <f>I8/G8-1</f>
        <v>0.31152500834220054</v>
      </c>
      <c r="J9" s="310">
        <f>J8/H8-1</f>
        <v>0.46001874186682645</v>
      </c>
      <c r="K9" s="310">
        <f>K8/I8-1</f>
        <v>0.49551396599938258</v>
      </c>
      <c r="L9" s="310">
        <f>L8/J8-1</f>
        <v>0.21219212635500262</v>
      </c>
      <c r="M9" s="310"/>
      <c r="N9" s="310"/>
      <c r="O9" s="310">
        <f>O8/K8-1</f>
        <v>0.22294874046082591</v>
      </c>
      <c r="P9" s="310">
        <f>P8/M8-1</f>
        <v>0.3931566703699354</v>
      </c>
      <c r="Q9" s="310">
        <f>Q8/N8-1</f>
        <v>0.22351563291050947</v>
      </c>
      <c r="R9" s="310">
        <f>R8/O8-1</f>
        <v>0.29646563932523096</v>
      </c>
      <c r="S9" s="310">
        <f>S8/R8-1</f>
        <v>0.10960190738118936</v>
      </c>
      <c r="T9" s="310">
        <f>T8/S8-1</f>
        <v>0.16238521676398832</v>
      </c>
      <c r="U9" s="310">
        <f>U8/T8-1</f>
        <v>0.14767461952298944</v>
      </c>
      <c r="V9" s="310">
        <f>V8/U8-1</f>
        <v>0.12867817384663538</v>
      </c>
      <c r="W9" s="310">
        <f>W8/V8-1</f>
        <v>7.1667560173792388E-2</v>
      </c>
      <c r="X9" s="310"/>
    </row>
    <row r="10" spans="1:37" outlineLevel="1">
      <c r="B10" s="7" t="s">
        <v>4</v>
      </c>
      <c r="G10" s="285">
        <v>-7107124</v>
      </c>
      <c r="H10" s="285">
        <v>-7572013</v>
      </c>
      <c r="I10" s="285">
        <v>-9728740</v>
      </c>
      <c r="J10" s="285">
        <v>-10817689</v>
      </c>
      <c r="K10" s="285">
        <v>-14303498</v>
      </c>
      <c r="L10" s="285">
        <v>-12619249</v>
      </c>
      <c r="M10" s="285">
        <v>-7274359</v>
      </c>
      <c r="N10" s="285">
        <f>O10-M10</f>
        <v>-9494308</v>
      </c>
      <c r="O10" s="285">
        <v>-16768667</v>
      </c>
      <c r="P10" s="285">
        <f>-10168436</f>
        <v>-10168436</v>
      </c>
      <c r="Q10" s="285">
        <f>Assumption!Q49</f>
        <v>-11796914.711087337</v>
      </c>
      <c r="R10" s="285">
        <f>Assumption!R49</f>
        <v>-22131087.274189845</v>
      </c>
      <c r="S10" s="285">
        <f>Assumption!S49</f>
        <v>-24539253.705529742</v>
      </c>
      <c r="T10" s="285">
        <f>Assumption!T49</f>
        <v>-28525479.751148403</v>
      </c>
      <c r="U10" s="285">
        <f>Assumption!U49</f>
        <v>-32730082.944030911</v>
      </c>
      <c r="V10" s="285">
        <f>Assumption!V49</f>
        <v>-36930642.676811598</v>
      </c>
      <c r="W10" s="285">
        <f>Assumption!W49</f>
        <v>-39524015.19184234</v>
      </c>
    </row>
    <row r="11" spans="1:37" s="11" customFormat="1" outlineLevel="1">
      <c r="A11" s="11" t="s">
        <v>5</v>
      </c>
      <c r="G11" s="338">
        <f t="shared" ref="G11:M11" si="0">SUM(G8,G10)</f>
        <v>3243862</v>
      </c>
      <c r="H11" s="338">
        <f t="shared" si="0"/>
        <v>2971227</v>
      </c>
      <c r="I11" s="338">
        <f t="shared" si="0"/>
        <v>3846837</v>
      </c>
      <c r="J11" s="338">
        <f t="shared" si="0"/>
        <v>4575639</v>
      </c>
      <c r="K11" s="338">
        <f t="shared" si="0"/>
        <v>5998967</v>
      </c>
      <c r="L11" s="338">
        <f t="shared" si="0"/>
        <v>6040422</v>
      </c>
      <c r="M11" s="338">
        <f t="shared" si="0"/>
        <v>3402695</v>
      </c>
      <c r="N11" s="338">
        <f>O11-M11</f>
        <v>4657512</v>
      </c>
      <c r="O11" s="338">
        <f t="shared" ref="O11:U11" si="1">SUM(O8,O10)</f>
        <v>8060207</v>
      </c>
      <c r="P11" s="338">
        <f>SUM(P8,P10)</f>
        <v>4706373</v>
      </c>
      <c r="Q11" s="338">
        <f>SUM(Q8,Q10)</f>
        <v>5518058.2930482682</v>
      </c>
      <c r="R11" s="338">
        <f t="shared" si="1"/>
        <v>10058694.72994576</v>
      </c>
      <c r="S11" s="338">
        <f t="shared" si="1"/>
        <v>11178589.804443806</v>
      </c>
      <c r="T11" s="338">
        <f t="shared" si="1"/>
        <v>12992413.519534416</v>
      </c>
      <c r="U11" s="338">
        <f t="shared" si="1"/>
        <v>14918949.418796077</v>
      </c>
      <c r="V11" s="338">
        <f>SUM(V8,V10)</f>
        <v>16849780.156023197</v>
      </c>
      <c r="W11" s="338">
        <f>SUM(W8,W10)</f>
        <v>18110719.330536641</v>
      </c>
      <c r="X11" s="284"/>
      <c r="Y11" s="269"/>
      <c r="Z11" s="269"/>
      <c r="AA11" s="241">
        <f>(S11/O11)^0.5-1</f>
        <v>0.17766132373638599</v>
      </c>
      <c r="AB11" s="241">
        <f>(T11/R11)^0.5-1</f>
        <v>0.13651220342439574</v>
      </c>
      <c r="AC11" s="241">
        <f>(U11/S11)^0.5-1</f>
        <v>0.15524902511873973</v>
      </c>
      <c r="AD11" s="241"/>
      <c r="AE11" s="241"/>
      <c r="AF11" s="19">
        <v>4431.1740475262004</v>
      </c>
      <c r="AG11" s="241">
        <f>P11/1000/AF11-1</f>
        <v>6.2105200455268683E-2</v>
      </c>
      <c r="AH11" s="241"/>
    </row>
    <row r="12" spans="1:37" s="13" customFormat="1" outlineLevel="1">
      <c r="B12" s="304" t="s">
        <v>429</v>
      </c>
      <c r="C12" s="304"/>
      <c r="D12" s="304"/>
      <c r="E12" s="304"/>
      <c r="F12" s="304"/>
      <c r="G12" s="310"/>
      <c r="H12" s="310"/>
      <c r="I12" s="310">
        <f>I11/G11-1</f>
        <v>0.18588182851181712</v>
      </c>
      <c r="J12" s="310">
        <f>J11/H11-1</f>
        <v>0.53998297672981566</v>
      </c>
      <c r="K12" s="310">
        <f>K11/I11-1</f>
        <v>0.5594544297041959</v>
      </c>
      <c r="L12" s="310">
        <f>L11/J11-1</f>
        <v>0.32012643479959846</v>
      </c>
      <c r="M12" s="310"/>
      <c r="N12" s="310"/>
      <c r="O12" s="310">
        <f>O11/K11-1</f>
        <v>0.34359915632141336</v>
      </c>
      <c r="P12" s="310">
        <f>P11/M11-1</f>
        <v>0.38313101820762663</v>
      </c>
      <c r="Q12" s="310">
        <f>Q11/N11-1</f>
        <v>0.18476523368018549</v>
      </c>
      <c r="R12" s="310">
        <f>R11/O11-1</f>
        <v>0.24794496344147987</v>
      </c>
      <c r="S12" s="310">
        <f>S11/R11-1</f>
        <v>0.11133602366557604</v>
      </c>
      <c r="T12" s="310">
        <f>T11/S11-1</f>
        <v>0.16225872375865902</v>
      </c>
      <c r="U12" s="310">
        <f>U11/T11-1</f>
        <v>0.14828160267259549</v>
      </c>
      <c r="V12" s="310">
        <f>V11/U11-1</f>
        <v>0.12942136091664103</v>
      </c>
      <c r="W12" s="310">
        <f>W11/V11-1</f>
        <v>7.4834161801375476E-2</v>
      </c>
      <c r="X12" s="310"/>
    </row>
    <row r="13" spans="1:37" outlineLevel="1">
      <c r="B13" s="7" t="s">
        <v>151</v>
      </c>
      <c r="G13" s="285">
        <v>-405766</v>
      </c>
      <c r="H13" s="285">
        <v>-528184</v>
      </c>
      <c r="I13" s="285">
        <v>-774431</v>
      </c>
      <c r="J13" s="285">
        <v>-992934</v>
      </c>
      <c r="K13" s="285">
        <v>-1318588</v>
      </c>
      <c r="L13" s="285">
        <v>-1097090</v>
      </c>
      <c r="M13" s="285">
        <v>-651491</v>
      </c>
      <c r="N13" s="285">
        <f t="shared" ref="N13:N23" si="2">O13-M13</f>
        <v>-947983</v>
      </c>
      <c r="O13" s="285">
        <v>-1599474</v>
      </c>
      <c r="P13" s="285">
        <v>-913679</v>
      </c>
      <c r="Q13" s="285">
        <f>Assumption!Q180</f>
        <v>-1159984.0819940844</v>
      </c>
      <c r="R13" s="285">
        <f>Assumption!R180</f>
        <v>-2073663.0819940844</v>
      </c>
      <c r="S13" s="285">
        <f>Assumption!S180</f>
        <v>-2300940.5110465917</v>
      </c>
      <c r="T13" s="285">
        <f>Assumption!T180</f>
        <v>-2674579.2346939347</v>
      </c>
      <c r="U13" s="285">
        <f>Assumption!U180</f>
        <v>-3069546.7055614498</v>
      </c>
      <c r="V13" s="285">
        <f>Assumption!V180</f>
        <v>-3464530.3701700531</v>
      </c>
      <c r="W13" s="285">
        <f>Assumption!W180</f>
        <v>-3712824.8089481462</v>
      </c>
    </row>
    <row r="14" spans="1:37" outlineLevel="1">
      <c r="B14" s="7" t="s">
        <v>152</v>
      </c>
      <c r="G14" s="285">
        <v>-374665</v>
      </c>
      <c r="H14" s="285">
        <v>-337176</v>
      </c>
      <c r="I14" s="285">
        <v>-496506</v>
      </c>
      <c r="J14" s="285">
        <v>-429811</v>
      </c>
      <c r="K14" s="285">
        <v>-610622</v>
      </c>
      <c r="L14" s="285">
        <v>-433470</v>
      </c>
      <c r="M14" s="285">
        <f>-279515</f>
        <v>-279515</v>
      </c>
      <c r="N14" s="285">
        <f t="shared" si="2"/>
        <v>-475600</v>
      </c>
      <c r="O14" s="285">
        <v>-755115</v>
      </c>
      <c r="P14" s="285">
        <v>-437650</v>
      </c>
      <c r="Q14" s="285">
        <f>Assumption!Q181</f>
        <v>-541330.65123907174</v>
      </c>
      <c r="R14" s="285">
        <f>Assumption!R181</f>
        <v>-978980.65123907174</v>
      </c>
      <c r="S14" s="285">
        <f>Assumption!S181</f>
        <v>-1086278.7979041529</v>
      </c>
      <c r="T14" s="285">
        <f>Assumption!T181</f>
        <v>-1262674.4159679434</v>
      </c>
      <c r="U14" s="285">
        <f>Assumption!U181</f>
        <v>-1449139.3799274224</v>
      </c>
      <c r="V14" s="285">
        <f>Assumption!V181</f>
        <v>-1635611.9889857287</v>
      </c>
      <c r="W14" s="285">
        <f>Assumption!W181</f>
        <v>-1752832.3096273397</v>
      </c>
    </row>
    <row r="15" spans="1:37" outlineLevel="1">
      <c r="B15" s="7" t="s">
        <v>153</v>
      </c>
      <c r="G15" s="285">
        <v>-17151</v>
      </c>
      <c r="H15" s="285">
        <v>-23852</v>
      </c>
      <c r="I15" s="285">
        <v>-32304</v>
      </c>
      <c r="J15" s="285">
        <v>-51343</v>
      </c>
      <c r="K15" s="285">
        <v>-85000</v>
      </c>
      <c r="L15" s="285">
        <v>-64805</v>
      </c>
      <c r="M15" s="285">
        <f>-40327</f>
        <v>-40327</v>
      </c>
      <c r="N15" s="285">
        <f t="shared" si="2"/>
        <v>-64543</v>
      </c>
      <c r="O15" s="285">
        <v>-104870</v>
      </c>
      <c r="P15" s="285">
        <v>-41037</v>
      </c>
      <c r="Q15" s="285">
        <f>Assumption!Q182</f>
        <v>-94923.351596036955</v>
      </c>
      <c r="R15" s="285">
        <f>Assumption!R182</f>
        <v>-135960.35159603696</v>
      </c>
      <c r="S15" s="285">
        <f>Assumption!S182</f>
        <v>-150861.86545917974</v>
      </c>
      <c r="T15" s="285">
        <f>Assumption!T182</f>
        <v>-175359.60218318828</v>
      </c>
      <c r="U15" s="285">
        <f>Assumption!U182</f>
        <v>-201255.76471529342</v>
      </c>
      <c r="V15" s="285">
        <f>Assumption!V182</f>
        <v>-227152.98899496548</v>
      </c>
      <c r="W15" s="285">
        <f>Assumption!W182</f>
        <v>-243432.48950241899</v>
      </c>
    </row>
    <row r="16" spans="1:37" outlineLevel="1">
      <c r="C16" s="7" t="s">
        <v>474</v>
      </c>
      <c r="G16" s="285">
        <v>-22554</v>
      </c>
      <c r="H16" s="285">
        <v>-19377</v>
      </c>
      <c r="I16" s="285">
        <v>-24981</v>
      </c>
      <c r="J16" s="285">
        <v>-8687</v>
      </c>
      <c r="K16" s="285">
        <v>-16427</v>
      </c>
      <c r="L16" s="285">
        <v>-8007</v>
      </c>
      <c r="M16" s="285">
        <v>-6521</v>
      </c>
      <c r="N16" s="285">
        <f t="shared" si="2"/>
        <v>-9265</v>
      </c>
      <c r="O16" s="285">
        <v>-15786</v>
      </c>
      <c r="P16" s="339">
        <v>-9266</v>
      </c>
      <c r="Q16" s="285">
        <f>R16-P16</f>
        <v>-11200.006582388094</v>
      </c>
      <c r="R16" s="285">
        <f>O16/O8*R8</f>
        <v>-20466.006582388094</v>
      </c>
      <c r="S16" s="285">
        <f>R16/R8*S8</f>
        <v>-22709.119940293804</v>
      </c>
      <c r="T16" s="285">
        <f>S16/S8*T8</f>
        <v>-26396.745304317825</v>
      </c>
      <c r="U16" s="285">
        <f>T16/T8*U8</f>
        <v>-30294.874623778218</v>
      </c>
      <c r="V16" s="285">
        <f>U16/U8*V8</f>
        <v>-34193.163767278777</v>
      </c>
      <c r="W16" s="285">
        <f>V16/V8*W8</f>
        <v>-36643.704389102561</v>
      </c>
      <c r="AF16" s="282"/>
    </row>
    <row r="17" spans="1:35" outlineLevel="1">
      <c r="A17" s="11" t="s">
        <v>469</v>
      </c>
      <c r="B17" s="11"/>
      <c r="C17" s="11"/>
      <c r="D17" s="11"/>
      <c r="E17" s="11"/>
      <c r="F17" s="11"/>
      <c r="G17" s="338">
        <f>G23-G18-G16</f>
        <v>2468834</v>
      </c>
      <c r="H17" s="338">
        <f t="shared" ref="H17:T17" si="3">H23-H18-H16</f>
        <v>2101392</v>
      </c>
      <c r="I17" s="338">
        <f t="shared" si="3"/>
        <v>2568577</v>
      </c>
      <c r="J17" s="338">
        <f t="shared" si="3"/>
        <v>3110238</v>
      </c>
      <c r="K17" s="338">
        <f t="shared" si="3"/>
        <v>4001184</v>
      </c>
      <c r="L17" s="338">
        <f>L23-L18-L16</f>
        <v>4453064</v>
      </c>
      <c r="M17" s="338">
        <f>M23-M18-M16</f>
        <v>2437883</v>
      </c>
      <c r="N17" s="338">
        <f t="shared" si="2"/>
        <v>3178651</v>
      </c>
      <c r="O17" s="338">
        <f>O23-O18-O16</f>
        <v>5616534</v>
      </c>
      <c r="P17" s="338">
        <f>P23-P18-P16</f>
        <v>3322119</v>
      </c>
      <c r="Q17" s="338">
        <f>Q23-Q18-Q16</f>
        <v>3733020.2148014628</v>
      </c>
      <c r="R17" s="338">
        <f t="shared" si="3"/>
        <v>6890556.6516989544</v>
      </c>
      <c r="S17" s="338">
        <f t="shared" si="3"/>
        <v>7663217.7499741763</v>
      </c>
      <c r="T17" s="338">
        <f t="shared" si="3"/>
        <v>8906197.011993669</v>
      </c>
      <c r="U17" s="338">
        <f>U23-U18-U16</f>
        <v>10229302.443215689</v>
      </c>
      <c r="V17" s="338">
        <f>V23-V18-V16</f>
        <v>11556677.971639728</v>
      </c>
      <c r="W17" s="338">
        <f>W23-W18-W16</f>
        <v>12438273.42684784</v>
      </c>
      <c r="X17" s="284"/>
      <c r="Y17" s="269"/>
      <c r="Z17" s="269"/>
      <c r="AA17" s="241">
        <f>(S17/O17)^0.5-1</f>
        <v>0.16807676982502406</v>
      </c>
      <c r="AB17" s="241">
        <f>(T17/R17)^0.5-1</f>
        <v>0.13689143610828403</v>
      </c>
      <c r="AC17" s="241">
        <f>(U17/S17)^0.5-1</f>
        <v>0.15536026312345985</v>
      </c>
      <c r="AD17" s="241"/>
      <c r="AE17" s="241"/>
      <c r="AF17" s="19"/>
      <c r="AG17" s="241"/>
      <c r="AH17" s="241"/>
    </row>
    <row r="18" spans="1:35" outlineLevel="1">
      <c r="B18" s="7" t="s">
        <v>13</v>
      </c>
      <c r="G18" s="285">
        <f t="shared" ref="G18:M18" si="4">G19+G20+G21+G22</f>
        <v>80346</v>
      </c>
      <c r="H18" s="285">
        <f t="shared" si="4"/>
        <v>43419</v>
      </c>
      <c r="I18" s="285">
        <f t="shared" si="4"/>
        <v>79315</v>
      </c>
      <c r="J18" s="285">
        <f t="shared" si="4"/>
        <v>57360</v>
      </c>
      <c r="K18" s="285">
        <f t="shared" si="4"/>
        <v>130141</v>
      </c>
      <c r="L18" s="285">
        <f t="shared" si="4"/>
        <v>51628</v>
      </c>
      <c r="M18" s="285">
        <f t="shared" si="4"/>
        <v>74796</v>
      </c>
      <c r="N18" s="285">
        <f t="shared" si="2"/>
        <v>34390.99867960182</v>
      </c>
      <c r="O18" s="285">
        <f>O19+O20+O21+O22</f>
        <v>109186.99867960182</v>
      </c>
      <c r="P18" s="285">
        <f>P19+P20+P21</f>
        <v>86864.412499999991</v>
      </c>
      <c r="Q18" s="285">
        <f>Q19+Q20+Q21+Q22</f>
        <v>27303.04118994085</v>
      </c>
      <c r="R18" s="285">
        <f t="shared" ref="R18:W18" si="5">R19+R20+R21</f>
        <v>115268.45368994084</v>
      </c>
      <c r="S18" s="285">
        <f t="shared" si="5"/>
        <v>124088.6074545357</v>
      </c>
      <c r="T18" s="285">
        <f t="shared" si="5"/>
        <v>138588.73185630888</v>
      </c>
      <c r="U18" s="285">
        <f t="shared" si="5"/>
        <v>153916.57958666928</v>
      </c>
      <c r="V18" s="285">
        <f t="shared" si="5"/>
        <v>169245.0557616888</v>
      </c>
      <c r="W18" s="285">
        <f t="shared" si="5"/>
        <v>178880.83498554927</v>
      </c>
    </row>
    <row r="19" spans="1:35" outlineLevel="2">
      <c r="C19" s="7" t="s">
        <v>154</v>
      </c>
      <c r="G19" s="285">
        <f>Assumption!G213</f>
        <v>96960</v>
      </c>
      <c r="H19" s="285">
        <f>Assumption!H213</f>
        <v>47113</v>
      </c>
      <c r="I19" s="285">
        <f>Assumption!I213</f>
        <v>83593</v>
      </c>
      <c r="J19" s="285">
        <f>Assumption!J213</f>
        <v>112843</v>
      </c>
      <c r="K19" s="285">
        <f>Assumption!K213</f>
        <v>193831</v>
      </c>
      <c r="L19" s="285">
        <f>Assumption!L213</f>
        <v>58168</v>
      </c>
      <c r="M19" s="285">
        <v>80889</v>
      </c>
      <c r="N19" s="285">
        <f t="shared" si="2"/>
        <v>31642.99867960182</v>
      </c>
      <c r="O19" s="285">
        <f>Assumption!O213</f>
        <v>112531.99867960182</v>
      </c>
      <c r="P19" s="285">
        <f>158602-P25</f>
        <v>87965.412499999991</v>
      </c>
      <c r="Q19" s="285">
        <f>R19-P19</f>
        <v>27303.04118994085</v>
      </c>
      <c r="R19" s="285">
        <f>Assumption!R213</f>
        <v>115268.45368994084</v>
      </c>
      <c r="S19" s="285">
        <f>Assumption!S213</f>
        <v>124088.6074545357</v>
      </c>
      <c r="T19" s="285">
        <f>Assumption!T213</f>
        <v>138588.73185630888</v>
      </c>
      <c r="U19" s="285">
        <f>Assumption!U213</f>
        <v>153916.57958666928</v>
      </c>
      <c r="V19" s="285">
        <f>Assumption!V213</f>
        <v>169245.0557616888</v>
      </c>
      <c r="W19" s="285">
        <f>Assumption!W213</f>
        <v>178880.83498554927</v>
      </c>
    </row>
    <row r="20" spans="1:35" outlineLevel="2">
      <c r="C20" s="7" t="s">
        <v>155</v>
      </c>
      <c r="G20" s="285">
        <v>-1787</v>
      </c>
      <c r="H20" s="285">
        <v>-3473</v>
      </c>
      <c r="I20" s="285">
        <v>-4098</v>
      </c>
      <c r="J20" s="285">
        <v>4480</v>
      </c>
      <c r="K20" s="285">
        <v>1638</v>
      </c>
      <c r="L20" s="285">
        <v>-3524</v>
      </c>
      <c r="M20" s="285">
        <v>-3077</v>
      </c>
      <c r="N20" s="285">
        <f t="shared" si="2"/>
        <v>2748</v>
      </c>
      <c r="O20" s="285">
        <v>-329</v>
      </c>
      <c r="P20" s="285">
        <v>-1101</v>
      </c>
      <c r="Q20" s="285">
        <f>Assumption!Q192</f>
        <v>0</v>
      </c>
      <c r="R20" s="285">
        <f>Assumption!R192</f>
        <v>0</v>
      </c>
      <c r="S20" s="285">
        <f>Assumption!S192</f>
        <v>0</v>
      </c>
      <c r="T20" s="285">
        <f>Assumption!T192</f>
        <v>0</v>
      </c>
      <c r="U20" s="285">
        <f>Assumption!U192</f>
        <v>0</v>
      </c>
      <c r="V20" s="285">
        <f>Assumption!V192</f>
        <v>0</v>
      </c>
      <c r="W20" s="285">
        <f>Assumption!W192</f>
        <v>0</v>
      </c>
    </row>
    <row r="21" spans="1:35" outlineLevel="2">
      <c r="C21" s="7" t="s">
        <v>88</v>
      </c>
      <c r="G21" s="285">
        <v>-14827</v>
      </c>
      <c r="H21" s="285">
        <v>0</v>
      </c>
      <c r="I21" s="285">
        <v>0</v>
      </c>
      <c r="J21" s="285">
        <v>-59999</v>
      </c>
      <c r="K21" s="285">
        <v>-65524</v>
      </c>
      <c r="L21" s="285">
        <v>0</v>
      </c>
      <c r="M21" s="285">
        <v>0</v>
      </c>
      <c r="N21" s="285">
        <f t="shared" si="2"/>
        <v>0</v>
      </c>
      <c r="O21" s="285">
        <v>0</v>
      </c>
      <c r="P21" s="285">
        <v>0</v>
      </c>
      <c r="Q21" s="285">
        <f>Assumption!Q193</f>
        <v>0</v>
      </c>
      <c r="R21" s="285">
        <f>Assumption!R193</f>
        <v>0</v>
      </c>
      <c r="S21" s="285">
        <f>Assumption!S193</f>
        <v>0</v>
      </c>
      <c r="T21" s="285">
        <f>Assumption!T193</f>
        <v>0</v>
      </c>
      <c r="U21" s="285">
        <f>Assumption!U193</f>
        <v>0</v>
      </c>
      <c r="V21" s="285">
        <f>Assumption!V193</f>
        <v>0</v>
      </c>
      <c r="W21" s="285">
        <f>Assumption!W193</f>
        <v>0</v>
      </c>
    </row>
    <row r="22" spans="1:35" outlineLevel="1">
      <c r="C22" s="7" t="s">
        <v>406</v>
      </c>
      <c r="G22" s="285">
        <v>0</v>
      </c>
      <c r="H22" s="285">
        <v>-221</v>
      </c>
      <c r="I22" s="285">
        <v>-180</v>
      </c>
      <c r="J22" s="285">
        <v>36</v>
      </c>
      <c r="K22" s="285">
        <v>196</v>
      </c>
      <c r="L22" s="285">
        <v>-3016</v>
      </c>
      <c r="M22" s="285">
        <v>-3016</v>
      </c>
      <c r="N22" s="285">
        <f t="shared" si="2"/>
        <v>0</v>
      </c>
      <c r="O22" s="285">
        <v>-3016</v>
      </c>
      <c r="P22" s="285">
        <v>-1154</v>
      </c>
      <c r="Q22" s="285">
        <f>Assumption!Q197</f>
        <v>0</v>
      </c>
      <c r="R22" s="285">
        <f>Assumption!R197</f>
        <v>0</v>
      </c>
      <c r="S22" s="285">
        <f>Assumption!S197</f>
        <v>0</v>
      </c>
      <c r="T22" s="285">
        <f>Assumption!T197</f>
        <v>0</v>
      </c>
      <c r="U22" s="285">
        <f>Assumption!U197</f>
        <v>0</v>
      </c>
      <c r="V22" s="285">
        <f>Assumption!V197</f>
        <v>0</v>
      </c>
      <c r="W22" s="285">
        <f>Assumption!W197</f>
        <v>0</v>
      </c>
    </row>
    <row r="23" spans="1:35" outlineLevel="1">
      <c r="A23" s="11" t="s">
        <v>7</v>
      </c>
      <c r="B23" s="11"/>
      <c r="C23" s="11"/>
      <c r="D23" s="11"/>
      <c r="E23" s="11"/>
      <c r="F23" s="11"/>
      <c r="G23" s="338">
        <f t="shared" ref="G23:M23" si="6">G11+G13+G14+G15+G18</f>
        <v>2526626</v>
      </c>
      <c r="H23" s="338">
        <f t="shared" si="6"/>
        <v>2125434</v>
      </c>
      <c r="I23" s="338">
        <f t="shared" si="6"/>
        <v>2622911</v>
      </c>
      <c r="J23" s="338">
        <f t="shared" si="6"/>
        <v>3158911</v>
      </c>
      <c r="K23" s="338">
        <f t="shared" si="6"/>
        <v>4114898</v>
      </c>
      <c r="L23" s="338">
        <f t="shared" si="6"/>
        <v>4496685</v>
      </c>
      <c r="M23" s="338">
        <f t="shared" si="6"/>
        <v>2506158</v>
      </c>
      <c r="N23" s="338">
        <f t="shared" si="2"/>
        <v>3203776.9986796016</v>
      </c>
      <c r="O23" s="338">
        <f>O11+O13+O14+O15+O18</f>
        <v>5709934.9986796016</v>
      </c>
      <c r="P23" s="338">
        <f t="shared" ref="P23:V23" si="7">P11+P13+P14+P15+P18+P22</f>
        <v>3399717.4125000001</v>
      </c>
      <c r="Q23" s="338">
        <f t="shared" si="7"/>
        <v>3749123.2494090153</v>
      </c>
      <c r="R23" s="338">
        <f t="shared" si="7"/>
        <v>6985359.0988065079</v>
      </c>
      <c r="S23" s="338">
        <f t="shared" si="7"/>
        <v>7764597.2374884179</v>
      </c>
      <c r="T23" s="338">
        <f t="shared" si="7"/>
        <v>9018388.9985456597</v>
      </c>
      <c r="U23" s="338">
        <f t="shared" si="7"/>
        <v>10352924.148178581</v>
      </c>
      <c r="V23" s="338">
        <f t="shared" si="7"/>
        <v>11691729.863634139</v>
      </c>
      <c r="W23" s="338">
        <f t="shared" ref="W23" si="8">W11+W13+W14+W15+W18+W22</f>
        <v>12580510.557444286</v>
      </c>
      <c r="X23" s="284"/>
      <c r="Y23" s="269"/>
      <c r="Z23" s="269"/>
      <c r="AA23" s="241">
        <f>(S23/O23)^0.5-1</f>
        <v>0.1661217196124376</v>
      </c>
      <c r="AB23" s="241">
        <f>(T23/R23)^0.5-1</f>
        <v>0.13624010356538352</v>
      </c>
      <c r="AC23" s="241">
        <f>(U23/S23)^0.5-1</f>
        <v>0.15470766721059825</v>
      </c>
      <c r="AD23" s="241"/>
      <c r="AE23" s="241"/>
      <c r="AF23" s="19"/>
      <c r="AG23" s="241"/>
      <c r="AH23" s="241"/>
    </row>
    <row r="24" spans="1:35" s="13" customFormat="1" outlineLevel="1">
      <c r="B24" s="304" t="s">
        <v>429</v>
      </c>
      <c r="C24" s="304"/>
      <c r="D24" s="304"/>
      <c r="E24" s="304"/>
      <c r="F24" s="304"/>
      <c r="G24" s="310"/>
      <c r="H24" s="310"/>
      <c r="I24" s="310">
        <f>I23/G23-1</f>
        <v>3.8108133138818223E-2</v>
      </c>
      <c r="J24" s="310">
        <f>J23/H23-1</f>
        <v>0.48624280970380629</v>
      </c>
      <c r="K24" s="310">
        <f>K23/I23-1</f>
        <v>0.56882867928038738</v>
      </c>
      <c r="L24" s="310">
        <f>L23/J23-1</f>
        <v>0.42349214650238642</v>
      </c>
      <c r="M24" s="310"/>
      <c r="N24" s="310"/>
      <c r="O24" s="310">
        <f>O23/K23-1</f>
        <v>0.38762491772082841</v>
      </c>
      <c r="P24" s="310">
        <f>P23/M23-1</f>
        <v>0.35654552207003709</v>
      </c>
      <c r="Q24" s="310">
        <f>Q23/N23-1</f>
        <v>0.17021979087625994</v>
      </c>
      <c r="R24" s="310">
        <f>R23/O23-1</f>
        <v>0.22336928536346612</v>
      </c>
      <c r="S24" s="310">
        <f>S23/R23-1</f>
        <v>0.11155305370271473</v>
      </c>
      <c r="T24" s="310">
        <f>T23/S23-1</f>
        <v>0.16147544073551989</v>
      </c>
      <c r="U24" s="310">
        <f>U23/T23-1</f>
        <v>0.14797932866370411</v>
      </c>
      <c r="V24" s="310">
        <f>V23/U23-1</f>
        <v>0.12931667384920398</v>
      </c>
      <c r="W24" s="310">
        <f>W23/V23-1</f>
        <v>7.6017895057137963E-2</v>
      </c>
      <c r="X24" s="310"/>
    </row>
    <row r="25" spans="1:35" outlineLevel="1">
      <c r="B25" s="7" t="s">
        <v>66</v>
      </c>
      <c r="G25" s="285">
        <f>Assumption!G207</f>
        <v>38221</v>
      </c>
      <c r="H25" s="285">
        <f>Assumption!H207</f>
        <v>32715</v>
      </c>
      <c r="I25" s="285">
        <f>Assumption!I207</f>
        <v>44322</v>
      </c>
      <c r="J25" s="285">
        <f>Assumption!J207</f>
        <v>36781</v>
      </c>
      <c r="K25" s="285">
        <f>Assumption!K207</f>
        <v>53801</v>
      </c>
      <c r="L25" s="285">
        <f>Assumption!L207</f>
        <v>77339</v>
      </c>
      <c r="M25" s="285">
        <v>0</v>
      </c>
      <c r="N25" s="285">
        <f>O25-M25</f>
        <v>107015</v>
      </c>
      <c r="O25" s="285">
        <f>Assumption!O207</f>
        <v>107015</v>
      </c>
      <c r="P25" s="285">
        <f>Assumption!P368</f>
        <v>70636.587500000009</v>
      </c>
      <c r="Q25" s="285">
        <f>Assumption!Q207</f>
        <v>70636.587500000009</v>
      </c>
      <c r="R25" s="285">
        <f>Assumption!R207</f>
        <v>141273.17500000002</v>
      </c>
      <c r="S25" s="285">
        <f>Assumption!S207</f>
        <v>246072.76274456695</v>
      </c>
      <c r="T25" s="285">
        <f>Assumption!T207</f>
        <v>342792.82537150139</v>
      </c>
      <c r="U25" s="285">
        <f>Assumption!U207</f>
        <v>470880.28342740651</v>
      </c>
      <c r="V25" s="285">
        <f>Assumption!V207</f>
        <v>622362.75034131878</v>
      </c>
      <c r="W25" s="285">
        <f>Assumption!W207</f>
        <v>797577.14420087077</v>
      </c>
      <c r="AI25" s="13"/>
    </row>
    <row r="26" spans="1:35" outlineLevel="1">
      <c r="B26" s="7" t="s">
        <v>9</v>
      </c>
      <c r="G26" s="285">
        <v>-5973</v>
      </c>
      <c r="H26" s="285">
        <v>-6980</v>
      </c>
      <c r="I26" s="285">
        <v>-9190</v>
      </c>
      <c r="J26" s="285">
        <v>-11037</v>
      </c>
      <c r="K26" s="285">
        <v>-14697</v>
      </c>
      <c r="L26" s="285">
        <v>-5479</v>
      </c>
      <c r="M26" s="285">
        <v>-4405</v>
      </c>
      <c r="N26" s="285">
        <f>O26-M26</f>
        <v>-1962</v>
      </c>
      <c r="O26" s="339">
        <v>-6367</v>
      </c>
      <c r="P26" s="285">
        <v>-2072</v>
      </c>
      <c r="Q26" s="285">
        <f>R26-P26</f>
        <v>-949.25453035396458</v>
      </c>
      <c r="R26" s="285">
        <f>-Assumption!R365</f>
        <v>-3021.2545303539646</v>
      </c>
      <c r="S26" s="285">
        <f>-Assumption!S365</f>
        <v>-2158.6969852190095</v>
      </c>
      <c r="T26" s="285">
        <f>-Assumption!T365</f>
        <v>-1589.8307593263021</v>
      </c>
      <c r="U26" s="285">
        <f>-Assumption!U365</f>
        <v>-1007.4836615683261</v>
      </c>
      <c r="V26" s="285">
        <f>-Assumption!V365</f>
        <v>-502.80054177757313</v>
      </c>
      <c r="W26" s="285">
        <f>-Assumption!W365</f>
        <v>-106.63015239465111</v>
      </c>
      <c r="AI26" s="13"/>
    </row>
    <row r="27" spans="1:35" outlineLevel="1">
      <c r="A27" s="11" t="s">
        <v>12</v>
      </c>
      <c r="B27" s="11"/>
      <c r="C27" s="11"/>
      <c r="D27" s="11"/>
      <c r="E27" s="11"/>
      <c r="F27" s="11"/>
      <c r="G27" s="338">
        <f>G23+G26+G25</f>
        <v>2558874</v>
      </c>
      <c r="H27" s="338">
        <f t="shared" ref="H27:U27" si="9">H23+H26+H25</f>
        <v>2151169</v>
      </c>
      <c r="I27" s="338">
        <f t="shared" si="9"/>
        <v>2658043</v>
      </c>
      <c r="J27" s="338">
        <f t="shared" si="9"/>
        <v>3184655</v>
      </c>
      <c r="K27" s="338">
        <f>K23+K26+K25</f>
        <v>4154002</v>
      </c>
      <c r="L27" s="338">
        <f>L23+L26+L25</f>
        <v>4568545</v>
      </c>
      <c r="M27" s="338">
        <f>M23+M26+M25</f>
        <v>2501753</v>
      </c>
      <c r="N27" s="338">
        <f>O27-M27</f>
        <v>3308829.9986796016</v>
      </c>
      <c r="O27" s="338">
        <f>O23+O26+O25</f>
        <v>5810582.9986796016</v>
      </c>
      <c r="P27" s="338">
        <f>P23+P26+P25</f>
        <v>3468282</v>
      </c>
      <c r="Q27" s="338">
        <f>Q23+Q26+Q25</f>
        <v>3818810.5823786613</v>
      </c>
      <c r="R27" s="338">
        <f t="shared" si="9"/>
        <v>7123611.0192761533</v>
      </c>
      <c r="S27" s="338">
        <f t="shared" si="9"/>
        <v>8008511.3032477666</v>
      </c>
      <c r="T27" s="338">
        <f t="shared" si="9"/>
        <v>9359591.9931578357</v>
      </c>
      <c r="U27" s="338">
        <f t="shared" si="9"/>
        <v>10822796.947944419</v>
      </c>
      <c r="V27" s="338">
        <f>V23+V26+V25</f>
        <v>12313589.813433681</v>
      </c>
      <c r="W27" s="338">
        <f>W23+W26+W25</f>
        <v>13377981.071492761</v>
      </c>
      <c r="X27" s="284"/>
      <c r="Y27" s="269"/>
      <c r="Z27" s="269"/>
      <c r="AA27" s="269"/>
      <c r="AF27" s="19"/>
    </row>
    <row r="28" spans="1:35" s="13" customFormat="1" outlineLevel="1">
      <c r="B28" s="304" t="s">
        <v>429</v>
      </c>
      <c r="C28" s="304"/>
      <c r="D28" s="304"/>
      <c r="E28" s="304"/>
      <c r="F28" s="304"/>
      <c r="G28" s="310"/>
      <c r="H28" s="310"/>
      <c r="I28" s="310">
        <f>I27/G27-1</f>
        <v>3.8754936741707491E-2</v>
      </c>
      <c r="J28" s="310">
        <f>J27/H27-1</f>
        <v>0.4804299429751917</v>
      </c>
      <c r="K28" s="310">
        <f>K27/I27-1</f>
        <v>0.56280466493581938</v>
      </c>
      <c r="L28" s="310">
        <f>L27/J27-1</f>
        <v>0.43454942529096563</v>
      </c>
      <c r="M28" s="310"/>
      <c r="N28" s="310"/>
      <c r="O28" s="310">
        <f>O27/K27-1</f>
        <v>0.39879157465008475</v>
      </c>
      <c r="P28" s="310">
        <f>P27/M27-1</f>
        <v>0.3863406979026307</v>
      </c>
      <c r="Q28" s="310">
        <f>Q27/N27-1</f>
        <v>0.15412716395298909</v>
      </c>
      <c r="R28" s="310">
        <f>R27/O27-1</f>
        <v>0.225971820881816</v>
      </c>
      <c r="S28" s="310">
        <f>S27/R27-1</f>
        <v>0.12422074725544596</v>
      </c>
      <c r="T28" s="310">
        <f>T27/S27-1</f>
        <v>0.16870559817555009</v>
      </c>
      <c r="U28" s="310">
        <f>U27/T27-1</f>
        <v>0.15633213027407966</v>
      </c>
      <c r="V28" s="310">
        <f>V27/U27-1</f>
        <v>0.1377456190538997</v>
      </c>
      <c r="W28" s="310">
        <f>W27/V27-1</f>
        <v>8.6440369882864632E-2</v>
      </c>
      <c r="X28" s="310"/>
    </row>
    <row r="29" spans="1:35" outlineLevel="1">
      <c r="B29" s="7" t="s">
        <v>156</v>
      </c>
      <c r="G29" s="285">
        <v>-646932</v>
      </c>
      <c r="H29" s="285">
        <v>-527751</v>
      </c>
      <c r="I29" s="285">
        <v>-644952</v>
      </c>
      <c r="J29" s="285">
        <v>-731876</v>
      </c>
      <c r="K29" s="285">
        <v>-967397</v>
      </c>
      <c r="L29" s="285">
        <v>-1077573</v>
      </c>
      <c r="M29" s="285">
        <v>-614854</v>
      </c>
      <c r="N29" s="285">
        <f>O29-M29</f>
        <v>-741526</v>
      </c>
      <c r="O29" s="285">
        <v>-1356380</v>
      </c>
      <c r="P29" s="285">
        <v>-750068</v>
      </c>
      <c r="Q29" s="285">
        <f>R29-P29</f>
        <v>-856306.28484677267</v>
      </c>
      <c r="R29" s="285">
        <f t="shared" ref="R29:V29" si="10">-R27*R52</f>
        <v>-1606374.2848467727</v>
      </c>
      <c r="S29" s="285">
        <f t="shared" si="10"/>
        <v>-1805919.2988823715</v>
      </c>
      <c r="T29" s="285">
        <f t="shared" si="10"/>
        <v>-2110587.9944570921</v>
      </c>
      <c r="U29" s="285">
        <f t="shared" si="10"/>
        <v>-2440540.7117614667</v>
      </c>
      <c r="V29" s="285">
        <f t="shared" si="10"/>
        <v>-2776714.5029292949</v>
      </c>
      <c r="W29" s="285">
        <f t="shared" ref="W29" si="11">-W27*W52</f>
        <v>-3016734.7316216179</v>
      </c>
    </row>
    <row r="30" spans="1:35" outlineLevel="1">
      <c r="B30" s="7" t="s">
        <v>10</v>
      </c>
      <c r="G30" s="285">
        <v>-1581</v>
      </c>
      <c r="H30" s="285">
        <v>-6462</v>
      </c>
      <c r="I30" s="285">
        <v>-16376</v>
      </c>
      <c r="J30" s="285">
        <v>-51926</v>
      </c>
      <c r="K30" s="285">
        <v>-49264</v>
      </c>
      <c r="L30" s="285">
        <v>-4907</v>
      </c>
      <c r="M30" s="285">
        <v>-2441</v>
      </c>
      <c r="N30" s="285">
        <f>O30-M30</f>
        <v>-15258</v>
      </c>
      <c r="O30" s="285">
        <v>-17699</v>
      </c>
      <c r="P30" s="285">
        <v>-25330</v>
      </c>
      <c r="Q30" s="285">
        <f>R30-P30</f>
        <v>-13290.657141005664</v>
      </c>
      <c r="R30" s="285">
        <f>-Assumption!R385</f>
        <v>-38620.657141005664</v>
      </c>
      <c r="S30" s="285">
        <f>-Assumption!S385</f>
        <v>-43418.144030557763</v>
      </c>
      <c r="T30" s="285">
        <f>-Assumption!T385</f>
        <v>-50743.027990905204</v>
      </c>
      <c r="U30" s="285">
        <f>-Assumption!U385</f>
        <v>-58675.793653280671</v>
      </c>
      <c r="V30" s="285">
        <f>-Assumption!V385</f>
        <v>-66758.127173530709</v>
      </c>
      <c r="W30" s="285">
        <f>-Assumption!W385</f>
        <v>-72528.724379098014</v>
      </c>
    </row>
    <row r="31" spans="1:35" outlineLevel="1">
      <c r="A31" s="11" t="s">
        <v>407</v>
      </c>
      <c r="B31" s="11"/>
      <c r="C31" s="11"/>
      <c r="D31" s="11"/>
      <c r="E31" s="11"/>
      <c r="F31" s="11"/>
      <c r="G31" s="338">
        <f t="shared" ref="G31:M31" si="12">G27+G29+G30</f>
        <v>1910361</v>
      </c>
      <c r="H31" s="338">
        <f t="shared" si="12"/>
        <v>1616956</v>
      </c>
      <c r="I31" s="338">
        <f t="shared" si="12"/>
        <v>1996715</v>
      </c>
      <c r="J31" s="338">
        <f t="shared" si="12"/>
        <v>2400853</v>
      </c>
      <c r="K31" s="338">
        <f t="shared" si="12"/>
        <v>3137341</v>
      </c>
      <c r="L31" s="338">
        <f t="shared" si="12"/>
        <v>3486065</v>
      </c>
      <c r="M31" s="338">
        <f t="shared" si="12"/>
        <v>1884458</v>
      </c>
      <c r="N31" s="338">
        <f>O31-M31</f>
        <v>2552045.9986796016</v>
      </c>
      <c r="O31" s="338">
        <f t="shared" ref="O31:V31" si="13">O27+O29+O30</f>
        <v>4436503.9986796016</v>
      </c>
      <c r="P31" s="338">
        <f t="shared" si="13"/>
        <v>2692884</v>
      </c>
      <c r="Q31" s="338">
        <f t="shared" si="13"/>
        <v>2949213.6403908832</v>
      </c>
      <c r="R31" s="338">
        <f t="shared" si="13"/>
        <v>5478616.0772883752</v>
      </c>
      <c r="S31" s="338">
        <f t="shared" si="13"/>
        <v>6159173.8603348369</v>
      </c>
      <c r="T31" s="338">
        <f t="shared" si="13"/>
        <v>7198260.970709838</v>
      </c>
      <c r="U31" s="338">
        <f t="shared" si="13"/>
        <v>8323580.4425296718</v>
      </c>
      <c r="V31" s="338">
        <f t="shared" si="13"/>
        <v>9470117.1833308563</v>
      </c>
      <c r="W31" s="338">
        <f t="shared" ref="W31" si="14">W27+W29+W30</f>
        <v>10288717.615492046</v>
      </c>
      <c r="X31" s="284"/>
      <c r="Y31" s="269"/>
      <c r="Z31" s="269"/>
      <c r="AA31" s="271">
        <f>(S31/O31)^0.5-1</f>
        <v>0.17825907416184683</v>
      </c>
      <c r="AB31" s="241">
        <f>(T31/R31)^0.5-1</f>
        <v>0.14624739079421234</v>
      </c>
      <c r="AC31" s="241">
        <f>(U31/S31)^0.5-1</f>
        <v>0.16250240171862718</v>
      </c>
      <c r="AD31" s="241"/>
      <c r="AE31" s="241"/>
      <c r="AF31" s="19">
        <v>2393.9252239478401</v>
      </c>
      <c r="AG31" s="241">
        <f>P31/1000/AF31-1</f>
        <v>0.12488225323894819</v>
      </c>
      <c r="AH31" s="241"/>
    </row>
    <row r="32" spans="1:35" s="13" customFormat="1" outlineLevel="1">
      <c r="B32" s="304" t="s">
        <v>429</v>
      </c>
      <c r="C32" s="304"/>
      <c r="D32" s="304"/>
      <c r="E32" s="304"/>
      <c r="F32" s="304"/>
      <c r="G32" s="310"/>
      <c r="H32" s="310"/>
      <c r="I32" s="310">
        <f>I31/G31-1</f>
        <v>4.5202974725719436E-2</v>
      </c>
      <c r="J32" s="310">
        <f>J31/H31-1</f>
        <v>0.48479797842365535</v>
      </c>
      <c r="K32" s="310">
        <f>K31/I31-1</f>
        <v>0.57125128022777405</v>
      </c>
      <c r="L32" s="310">
        <f>L31/J31-1</f>
        <v>0.45201101441862535</v>
      </c>
      <c r="M32" s="310"/>
      <c r="N32" s="310"/>
      <c r="O32" s="310">
        <f>O31/K31-1</f>
        <v>0.41409684145893011</v>
      </c>
      <c r="P32" s="310">
        <f>P31/M31-1</f>
        <v>0.42899656028417721</v>
      </c>
      <c r="Q32" s="310">
        <f>Q31/N31-1</f>
        <v>0.15562714853759352</v>
      </c>
      <c r="R32" s="310">
        <f>R31/O31-1</f>
        <v>0.23489488095106603</v>
      </c>
      <c r="S32" s="310">
        <f>S31/R31-1</f>
        <v>0.12422074725544596</v>
      </c>
      <c r="T32" s="310">
        <f>T31/S31-1</f>
        <v>0.16870559817555009</v>
      </c>
      <c r="U32" s="310">
        <f>U31/T31-1</f>
        <v>0.15633213027407966</v>
      </c>
      <c r="V32" s="310">
        <f>V31/U31-1</f>
        <v>0.13774561905389993</v>
      </c>
      <c r="W32" s="310">
        <f>W31/V31-1</f>
        <v>8.644036988286441E-2</v>
      </c>
      <c r="X32" s="310"/>
      <c r="AA32" s="13">
        <f>(60/44)^0.5-1</f>
        <v>0.16774841624228443</v>
      </c>
    </row>
    <row r="33" spans="1:33" outlineLevel="1">
      <c r="K33" s="296"/>
      <c r="O33" s="296"/>
      <c r="P33" s="296"/>
      <c r="Q33" s="296"/>
      <c r="R33" s="296"/>
      <c r="S33" s="296"/>
      <c r="AF33" s="236"/>
    </row>
    <row r="34" spans="1:33" outlineLevel="2">
      <c r="A34" s="7" t="s">
        <v>408</v>
      </c>
      <c r="G34" s="285">
        <f>G111</f>
        <v>360000</v>
      </c>
      <c r="I34" s="285">
        <f t="shared" ref="I34:U34" si="15">I111</f>
        <v>360000</v>
      </c>
      <c r="J34" s="285">
        <f t="shared" si="15"/>
        <v>360000</v>
      </c>
      <c r="K34" s="285">
        <f t="shared" si="15"/>
        <v>360000</v>
      </c>
      <c r="L34" s="285">
        <f>L111</f>
        <v>360000</v>
      </c>
      <c r="M34" s="285">
        <f>O34</f>
        <v>360000</v>
      </c>
      <c r="N34" s="285">
        <f>O34</f>
        <v>360000</v>
      </c>
      <c r="O34" s="285">
        <f t="shared" si="15"/>
        <v>360000</v>
      </c>
      <c r="P34" s="285">
        <f>P111</f>
        <v>379619</v>
      </c>
      <c r="Q34" s="285">
        <f>Q111</f>
        <v>379619</v>
      </c>
      <c r="R34" s="340">
        <f>R111</f>
        <v>379619</v>
      </c>
      <c r="S34" s="285">
        <f t="shared" si="15"/>
        <v>379619</v>
      </c>
      <c r="T34" s="285">
        <f t="shared" si="15"/>
        <v>379619</v>
      </c>
      <c r="U34" s="285">
        <f t="shared" si="15"/>
        <v>379619</v>
      </c>
      <c r="V34" s="285">
        <f>V111</f>
        <v>379619</v>
      </c>
      <c r="W34" s="285">
        <f>W111</f>
        <v>379619</v>
      </c>
    </row>
    <row r="35" spans="1:33" outlineLevel="2">
      <c r="A35" s="7" t="s">
        <v>409</v>
      </c>
      <c r="G35" s="285">
        <f>G34</f>
        <v>360000</v>
      </c>
      <c r="I35" s="285">
        <f>I34</f>
        <v>360000</v>
      </c>
      <c r="J35" s="285">
        <f t="shared" ref="J35:U35" si="16">J34</f>
        <v>360000</v>
      </c>
      <c r="K35" s="285">
        <f t="shared" si="16"/>
        <v>360000</v>
      </c>
      <c r="L35" s="285">
        <f>L34</f>
        <v>360000</v>
      </c>
      <c r="M35" s="285">
        <f>M34</f>
        <v>360000</v>
      </c>
      <c r="N35" s="285">
        <f>O35</f>
        <v>360000</v>
      </c>
      <c r="O35" s="285">
        <f t="shared" si="16"/>
        <v>360000</v>
      </c>
      <c r="P35" s="285">
        <f>P34</f>
        <v>379619</v>
      </c>
      <c r="Q35" s="285">
        <f>Q34</f>
        <v>379619</v>
      </c>
      <c r="R35" s="340">
        <f t="shared" si="16"/>
        <v>379619</v>
      </c>
      <c r="S35" s="285">
        <f t="shared" si="16"/>
        <v>379619</v>
      </c>
      <c r="T35" s="285">
        <f t="shared" si="16"/>
        <v>379619</v>
      </c>
      <c r="U35" s="285">
        <f t="shared" si="16"/>
        <v>379619</v>
      </c>
      <c r="V35" s="285">
        <f>V34</f>
        <v>379619</v>
      </c>
      <c r="W35" s="285">
        <f>W34</f>
        <v>379619</v>
      </c>
    </row>
    <row r="36" spans="1:33" outlineLevel="2">
      <c r="A36" s="7" t="s">
        <v>157</v>
      </c>
      <c r="G36" s="333">
        <f>G$31/G34</f>
        <v>5.3065583333333333</v>
      </c>
      <c r="H36" s="333"/>
      <c r="I36" s="333">
        <f t="shared" ref="I36:U37" si="17">I$31/I34</f>
        <v>5.5464305555555553</v>
      </c>
      <c r="J36" s="333">
        <f t="shared" si="17"/>
        <v>6.6690361111111107</v>
      </c>
      <c r="K36" s="333">
        <f t="shared" si="17"/>
        <v>8.7148361111111114</v>
      </c>
      <c r="L36" s="333">
        <f t="shared" ref="L36:N37" si="18">L$31/L34</f>
        <v>9.6835138888888892</v>
      </c>
      <c r="M36" s="333">
        <f t="shared" si="18"/>
        <v>5.2346055555555555</v>
      </c>
      <c r="N36" s="333">
        <f t="shared" si="18"/>
        <v>7.0890166629988931</v>
      </c>
      <c r="O36" s="333">
        <f t="shared" si="17"/>
        <v>12.32362221855445</v>
      </c>
      <c r="P36" s="333">
        <f>P$31/P34</f>
        <v>7.0936491587618109</v>
      </c>
      <c r="Q36" s="333">
        <f>Q$31/Q34</f>
        <v>7.7688778496094324</v>
      </c>
      <c r="R36" s="333">
        <f t="shared" si="17"/>
        <v>14.431880588928308</v>
      </c>
      <c r="S36" s="333">
        <f t="shared" si="17"/>
        <v>16.224619579986346</v>
      </c>
      <c r="T36" s="333">
        <f t="shared" si="17"/>
        <v>18.961803731398685</v>
      </c>
      <c r="U36" s="333">
        <f t="shared" si="17"/>
        <v>21.926142902567236</v>
      </c>
      <c r="V36" s="333">
        <f>V$31/V34</f>
        <v>24.946373030145637</v>
      </c>
      <c r="W36" s="333">
        <f>W$31/W34</f>
        <v>27.102746742107339</v>
      </c>
      <c r="X36" s="333"/>
      <c r="Y36" s="12"/>
      <c r="Z36" s="12"/>
      <c r="AA36" s="12"/>
      <c r="AB36" s="241">
        <f>(T36/R36)^0.5-1</f>
        <v>0.14624739079421234</v>
      </c>
      <c r="AF36" s="12"/>
    </row>
    <row r="37" spans="1:33" outlineLevel="2">
      <c r="A37" s="7" t="s">
        <v>158</v>
      </c>
      <c r="G37" s="333">
        <f>G$31/G35</f>
        <v>5.3065583333333333</v>
      </c>
      <c r="H37" s="333"/>
      <c r="I37" s="333">
        <f t="shared" si="17"/>
        <v>5.5464305555555553</v>
      </c>
      <c r="J37" s="333">
        <f t="shared" si="17"/>
        <v>6.6690361111111107</v>
      </c>
      <c r="K37" s="333">
        <f t="shared" si="17"/>
        <v>8.7148361111111114</v>
      </c>
      <c r="L37" s="333">
        <f t="shared" si="18"/>
        <v>9.6835138888888892</v>
      </c>
      <c r="M37" s="333">
        <f t="shared" si="18"/>
        <v>5.2346055555555555</v>
      </c>
      <c r="N37" s="333">
        <f t="shared" si="18"/>
        <v>7.0890166629988931</v>
      </c>
      <c r="O37" s="333">
        <f t="shared" si="17"/>
        <v>12.32362221855445</v>
      </c>
      <c r="P37" s="333">
        <f>P$31/P35</f>
        <v>7.0936491587618109</v>
      </c>
      <c r="Q37" s="333">
        <f>Q$31/Q35</f>
        <v>7.7688778496094324</v>
      </c>
      <c r="R37" s="333">
        <f t="shared" si="17"/>
        <v>14.431880588928308</v>
      </c>
      <c r="S37" s="333">
        <f t="shared" si="17"/>
        <v>16.224619579986346</v>
      </c>
      <c r="T37" s="333">
        <f t="shared" si="17"/>
        <v>18.961803731398685</v>
      </c>
      <c r="U37" s="333">
        <f t="shared" si="17"/>
        <v>21.926142902567236</v>
      </c>
      <c r="V37" s="333">
        <f>V$31/V35</f>
        <v>24.946373030145637</v>
      </c>
      <c r="W37" s="333">
        <f>W$31/W35</f>
        <v>27.102746742107339</v>
      </c>
      <c r="X37" s="333"/>
      <c r="Y37" s="12"/>
      <c r="Z37" s="12"/>
      <c r="AA37" s="12"/>
      <c r="AF37" s="12"/>
    </row>
    <row r="38" spans="1:33" outlineLevel="2" collapsed="1">
      <c r="A38" s="7" t="s">
        <v>487</v>
      </c>
      <c r="G38" s="285">
        <f>-Assumption!G377</f>
        <v>404400</v>
      </c>
      <c r="I38" s="285">
        <f>-Assumption!I377</f>
        <v>104400</v>
      </c>
      <c r="J38" s="285">
        <f>-Assumption!J377</f>
        <v>100000</v>
      </c>
      <c r="K38" s="285">
        <f>-Assumption!K377</f>
        <v>100000</v>
      </c>
      <c r="L38" s="285">
        <f>-Assumption!L377</f>
        <v>0</v>
      </c>
      <c r="M38" s="285">
        <v>0</v>
      </c>
      <c r="N38" s="285">
        <v>0</v>
      </c>
      <c r="O38" s="285">
        <f t="shared" ref="O38:U38" si="19">O31*O55</f>
        <v>0</v>
      </c>
      <c r="P38" s="285">
        <v>0</v>
      </c>
      <c r="Q38" s="285">
        <f>R38-P38</f>
        <v>0</v>
      </c>
      <c r="R38" s="285">
        <f t="shared" si="19"/>
        <v>0</v>
      </c>
      <c r="S38" s="285">
        <f t="shared" si="19"/>
        <v>0</v>
      </c>
      <c r="T38" s="285">
        <f t="shared" si="19"/>
        <v>0</v>
      </c>
      <c r="U38" s="285">
        <f t="shared" si="19"/>
        <v>0</v>
      </c>
      <c r="V38" s="285">
        <f>V31*V55</f>
        <v>0</v>
      </c>
      <c r="W38" s="285">
        <f>W31*W55</f>
        <v>0</v>
      </c>
    </row>
    <row r="39" spans="1:33" outlineLevel="2">
      <c r="A39" s="7" t="s">
        <v>488</v>
      </c>
      <c r="G39" s="333">
        <f>G38/G34</f>
        <v>1.1233333333333333</v>
      </c>
      <c r="H39" s="333"/>
      <c r="I39" s="333">
        <f t="shared" ref="I39:V39" si="20">I38/I34</f>
        <v>0.28999999999999998</v>
      </c>
      <c r="J39" s="333">
        <f t="shared" si="20"/>
        <v>0.27777777777777779</v>
      </c>
      <c r="K39" s="333">
        <f t="shared" si="20"/>
        <v>0.27777777777777779</v>
      </c>
      <c r="L39" s="333">
        <f t="shared" si="20"/>
        <v>0</v>
      </c>
      <c r="M39" s="333">
        <f t="shared" si="20"/>
        <v>0</v>
      </c>
      <c r="N39" s="333">
        <f t="shared" si="20"/>
        <v>0</v>
      </c>
      <c r="O39" s="333">
        <f t="shared" si="20"/>
        <v>0</v>
      </c>
      <c r="P39" s="333">
        <f t="shared" si="20"/>
        <v>0</v>
      </c>
      <c r="Q39" s="333">
        <f t="shared" si="20"/>
        <v>0</v>
      </c>
      <c r="R39" s="333">
        <f t="shared" si="20"/>
        <v>0</v>
      </c>
      <c r="S39" s="333">
        <f t="shared" si="20"/>
        <v>0</v>
      </c>
      <c r="T39" s="333">
        <f t="shared" si="20"/>
        <v>0</v>
      </c>
      <c r="U39" s="333">
        <f t="shared" si="20"/>
        <v>0</v>
      </c>
      <c r="V39" s="333">
        <f t="shared" si="20"/>
        <v>0</v>
      </c>
      <c r="W39" s="333">
        <f t="shared" ref="W39" si="21">W38/W34</f>
        <v>0</v>
      </c>
      <c r="X39" s="333"/>
      <c r="Y39" s="12"/>
      <c r="Z39" s="12"/>
      <c r="AA39" s="12"/>
      <c r="AF39" s="12"/>
    </row>
    <row r="40" spans="1:33" outlineLevel="1"/>
    <row r="41" spans="1:33" s="232" customFormat="1" outlineLevel="1">
      <c r="A41" s="231" t="s">
        <v>164</v>
      </c>
      <c r="G41" s="341"/>
      <c r="H41" s="341"/>
      <c r="I41" s="341"/>
      <c r="J41" s="341"/>
      <c r="K41" s="341"/>
      <c r="L41" s="341"/>
      <c r="M41" s="341"/>
      <c r="N41" s="341"/>
      <c r="O41" s="341"/>
      <c r="P41" s="341"/>
      <c r="Q41" s="341"/>
      <c r="R41" s="341"/>
      <c r="S41" s="341"/>
      <c r="T41" s="341"/>
      <c r="U41" s="341"/>
      <c r="V41" s="341"/>
      <c r="W41" s="341"/>
      <c r="X41" s="341"/>
    </row>
    <row r="42" spans="1:33" s="232" customFormat="1" outlineLevel="1">
      <c r="A42" s="232" t="s">
        <v>182</v>
      </c>
      <c r="G42" s="249">
        <f t="shared" ref="G42:V42" si="22">IFERROR(G11/G$8,"")</f>
        <v>0.31338676334795545</v>
      </c>
      <c r="H42" s="249">
        <f t="shared" si="22"/>
        <v>0.2818134653104738</v>
      </c>
      <c r="I42" s="249">
        <f t="shared" si="22"/>
        <v>0.28336453028847319</v>
      </c>
      <c r="J42" s="249">
        <f t="shared" si="22"/>
        <v>0.29724819740084796</v>
      </c>
      <c r="K42" s="249">
        <f t="shared" si="22"/>
        <v>0.29547973608130834</v>
      </c>
      <c r="L42" s="249">
        <f t="shared" si="22"/>
        <v>0.32371535382376249</v>
      </c>
      <c r="M42" s="249">
        <f t="shared" si="22"/>
        <v>0.31869230969516499</v>
      </c>
      <c r="N42" s="249">
        <f t="shared" si="22"/>
        <v>0.32911046070399425</v>
      </c>
      <c r="O42" s="249">
        <f t="shared" si="22"/>
        <v>0.32463038799101401</v>
      </c>
      <c r="P42" s="249">
        <f t="shared" si="22"/>
        <v>0.31639888619746309</v>
      </c>
      <c r="Q42" s="249">
        <f t="shared" si="22"/>
        <v>0.31868708612657404</v>
      </c>
      <c r="R42" s="249">
        <f t="shared" si="22"/>
        <v>0.3124809832093135</v>
      </c>
      <c r="S42" s="249">
        <f t="shared" si="22"/>
        <v>0.31296933705760793</v>
      </c>
      <c r="T42" s="249">
        <f t="shared" si="22"/>
        <v>0.31293527912960833</v>
      </c>
      <c r="U42" s="249">
        <f t="shared" si="22"/>
        <v>0.31310078461183982</v>
      </c>
      <c r="V42" s="249">
        <f t="shared" si="22"/>
        <v>0.31330694829970407</v>
      </c>
      <c r="W42" s="249">
        <f t="shared" ref="W42" si="23">IFERROR(W11/W$8,"")</f>
        <v>0.31423271887379706</v>
      </c>
      <c r="X42" s="249"/>
      <c r="Y42" s="233"/>
      <c r="Z42" s="233"/>
      <c r="AA42" s="233"/>
      <c r="AF42" s="233">
        <f>IFERROR(AF11/AF$8,"")</f>
        <v>0.30140930968860535</v>
      </c>
      <c r="AG42" s="232">
        <f>(P42-AF42)*100</f>
        <v>1.4989576508857738</v>
      </c>
    </row>
    <row r="43" spans="1:33" s="232" customFormat="1" outlineLevel="1">
      <c r="A43" s="232" t="s">
        <v>410</v>
      </c>
      <c r="G43" s="249"/>
      <c r="H43" s="249"/>
      <c r="I43" s="249"/>
      <c r="J43" s="249"/>
      <c r="K43" s="249"/>
      <c r="L43" s="249"/>
      <c r="M43" s="249"/>
      <c r="N43" s="249"/>
      <c r="O43" s="249"/>
      <c r="P43" s="249"/>
      <c r="Q43" s="249"/>
      <c r="R43" s="249"/>
      <c r="S43" s="249"/>
      <c r="T43" s="249"/>
      <c r="U43" s="249"/>
      <c r="V43" s="249"/>
      <c r="W43" s="249"/>
      <c r="X43" s="249"/>
      <c r="Y43" s="233"/>
      <c r="Z43" s="233"/>
      <c r="AA43" s="233"/>
      <c r="AF43" s="233"/>
    </row>
    <row r="44" spans="1:33" s="232" customFormat="1" outlineLevel="1">
      <c r="B44" s="232" t="s">
        <v>151</v>
      </c>
      <c r="G44" s="249">
        <f t="shared" ref="G44:U44" si="24">IFERROR(-G13/G$8,"")</f>
        <v>3.9200709961350541E-2</v>
      </c>
      <c r="H44" s="249">
        <f t="shared" si="24"/>
        <v>5.0096934149274797E-2</v>
      </c>
      <c r="I44" s="249">
        <f t="shared" si="24"/>
        <v>5.7045899411862937E-2</v>
      </c>
      <c r="J44" s="249">
        <f t="shared" si="24"/>
        <v>6.4504179992786487E-2</v>
      </c>
      <c r="K44" s="249">
        <f t="shared" ref="K44:N46" si="25">IFERROR(-K13/K$8,"")</f>
        <v>6.4947187447435564E-2</v>
      </c>
      <c r="L44" s="249">
        <f t="shared" si="25"/>
        <v>5.8794712940008431E-2</v>
      </c>
      <c r="M44" s="249">
        <f t="shared" si="25"/>
        <v>6.1017861293948684E-2</v>
      </c>
      <c r="N44" s="249">
        <f t="shared" si="25"/>
        <v>6.6986649067045795E-2</v>
      </c>
      <c r="O44" s="249">
        <f t="shared" si="24"/>
        <v>6.4419916908032157E-2</v>
      </c>
      <c r="P44" s="249">
        <f t="shared" ref="P44:Q46" si="26">IFERROR(-P13/P$8,"")</f>
        <v>6.142458703167214E-2</v>
      </c>
      <c r="Q44" s="249">
        <f t="shared" si="26"/>
        <v>6.6993121024042451E-2</v>
      </c>
      <c r="R44" s="249">
        <f t="shared" si="24"/>
        <v>6.4419916908032157E-2</v>
      </c>
      <c r="S44" s="249">
        <f t="shared" si="24"/>
        <v>6.4419916908032157E-2</v>
      </c>
      <c r="T44" s="249">
        <f t="shared" si="24"/>
        <v>6.4419916908032157E-2</v>
      </c>
      <c r="U44" s="249">
        <f t="shared" si="24"/>
        <v>6.4419916908032157E-2</v>
      </c>
      <c r="V44" s="249">
        <f t="shared" ref="V44:W46" si="27">IFERROR(-V13/V$8,"")</f>
        <v>6.4419916908032157E-2</v>
      </c>
      <c r="W44" s="249">
        <f t="shared" si="27"/>
        <v>6.4419916908032157E-2</v>
      </c>
      <c r="X44" s="249"/>
      <c r="Y44" s="233"/>
      <c r="Z44" s="233"/>
      <c r="AA44" s="233"/>
      <c r="AF44" s="233"/>
    </row>
    <row r="45" spans="1:33" s="232" customFormat="1" outlineLevel="1">
      <c r="B45" s="232" t="s">
        <v>152</v>
      </c>
      <c r="G45" s="249">
        <f t="shared" ref="G45:U45" si="28">IFERROR(-G14/G$8,"")</f>
        <v>3.6196068664376517E-2</v>
      </c>
      <c r="H45" s="249">
        <f t="shared" si="28"/>
        <v>3.1980302070331319E-2</v>
      </c>
      <c r="I45" s="249">
        <f t="shared" si="28"/>
        <v>3.6573473083317196E-2</v>
      </c>
      <c r="J45" s="249">
        <f t="shared" si="28"/>
        <v>2.7921902268307413E-2</v>
      </c>
      <c r="K45" s="249">
        <f t="shared" si="25"/>
        <v>3.0076249361838576E-2</v>
      </c>
      <c r="L45" s="249">
        <f t="shared" si="25"/>
        <v>2.3230313117524954E-2</v>
      </c>
      <c r="M45" s="249">
        <f t="shared" si="25"/>
        <v>2.6179037775775977E-2</v>
      </c>
      <c r="N45" s="249">
        <f t="shared" si="25"/>
        <v>3.3606984825979978E-2</v>
      </c>
      <c r="O45" s="249">
        <f t="shared" si="28"/>
        <v>3.0412776672836633E-2</v>
      </c>
      <c r="P45" s="249">
        <f t="shared" si="26"/>
        <v>2.9422226530774278E-2</v>
      </c>
      <c r="Q45" s="249">
        <f t="shared" si="26"/>
        <v>3.1263730593733947E-2</v>
      </c>
      <c r="R45" s="249">
        <f t="shared" si="28"/>
        <v>3.0412776672836633E-2</v>
      </c>
      <c r="S45" s="249">
        <f t="shared" si="28"/>
        <v>3.0412776672836633E-2</v>
      </c>
      <c r="T45" s="249">
        <f t="shared" si="28"/>
        <v>3.0412776672836633E-2</v>
      </c>
      <c r="U45" s="249">
        <f t="shared" si="28"/>
        <v>3.0412776672836633E-2</v>
      </c>
      <c r="V45" s="249">
        <f t="shared" si="27"/>
        <v>3.0412776672836633E-2</v>
      </c>
      <c r="W45" s="249">
        <f t="shared" si="27"/>
        <v>3.0412776672836633E-2</v>
      </c>
      <c r="X45" s="249"/>
      <c r="Y45" s="233"/>
      <c r="Z45" s="233"/>
      <c r="AA45" s="233"/>
      <c r="AF45" s="233"/>
    </row>
    <row r="46" spans="1:33" s="232" customFormat="1" outlineLevel="1">
      <c r="B46" s="232" t="s">
        <v>153</v>
      </c>
      <c r="G46" s="249">
        <f t="shared" ref="G46:U46" si="29">IFERROR(-G15/G$8,"")</f>
        <v>1.6569435993827061E-3</v>
      </c>
      <c r="H46" s="249">
        <f t="shared" si="29"/>
        <v>2.2623026697675477E-3</v>
      </c>
      <c r="I46" s="249">
        <f t="shared" si="29"/>
        <v>2.379567365718599E-3</v>
      </c>
      <c r="J46" s="249">
        <f t="shared" si="29"/>
        <v>3.3354060928215135E-3</v>
      </c>
      <c r="K46" s="249">
        <f t="shared" si="25"/>
        <v>4.1866837352016123E-3</v>
      </c>
      <c r="L46" s="249">
        <f t="shared" si="25"/>
        <v>3.4729979965884713E-3</v>
      </c>
      <c r="M46" s="249">
        <f t="shared" si="25"/>
        <v>3.7769781814346918E-3</v>
      </c>
      <c r="N46" s="249">
        <f t="shared" si="25"/>
        <v>4.5607561430261265E-3</v>
      </c>
      <c r="O46" s="249">
        <f t="shared" si="29"/>
        <v>4.223711473987906E-3</v>
      </c>
      <c r="P46" s="249">
        <f t="shared" si="26"/>
        <v>2.758825340211091E-3</v>
      </c>
      <c r="Q46" s="249">
        <f t="shared" si="26"/>
        <v>5.4821541779686827E-3</v>
      </c>
      <c r="R46" s="249">
        <f t="shared" si="29"/>
        <v>4.223711473987906E-3</v>
      </c>
      <c r="S46" s="249">
        <f t="shared" si="29"/>
        <v>4.223711473987906E-3</v>
      </c>
      <c r="T46" s="249">
        <f t="shared" si="29"/>
        <v>4.223711473987906E-3</v>
      </c>
      <c r="U46" s="249">
        <f t="shared" si="29"/>
        <v>4.223711473987906E-3</v>
      </c>
      <c r="V46" s="249">
        <f t="shared" si="27"/>
        <v>4.223711473987906E-3</v>
      </c>
      <c r="W46" s="249">
        <f t="shared" si="27"/>
        <v>4.223711473987906E-3</v>
      </c>
      <c r="X46" s="249"/>
      <c r="Y46" s="233"/>
      <c r="Z46" s="233"/>
      <c r="AA46" s="233"/>
      <c r="AF46" s="233"/>
    </row>
    <row r="47" spans="1:33" s="232" customFormat="1" outlineLevel="1">
      <c r="A47" s="232" t="s">
        <v>414</v>
      </c>
      <c r="G47" s="249">
        <f t="shared" ref="G47:U47" si="30">IFERROR(G18/G$8,"")</f>
        <v>7.7621590832023151E-3</v>
      </c>
      <c r="H47" s="249">
        <f t="shared" si="30"/>
        <v>4.1181837841119048E-3</v>
      </c>
      <c r="I47" s="249">
        <f t="shared" si="30"/>
        <v>5.8424772663438172E-3</v>
      </c>
      <c r="J47" s="249">
        <f t="shared" si="30"/>
        <v>3.7262897276014646E-3</v>
      </c>
      <c r="K47" s="249">
        <f t="shared" ref="K47:Q47" si="31">IFERROR(K18/K$8,"")</f>
        <v>6.4101083292102705E-3</v>
      </c>
      <c r="L47" s="249">
        <f t="shared" si="31"/>
        <v>2.7668226304740314E-3</v>
      </c>
      <c r="M47" s="249">
        <f t="shared" si="31"/>
        <v>7.0053031482279664E-3</v>
      </c>
      <c r="N47" s="249">
        <f t="shared" si="31"/>
        <v>2.4301467005375861E-3</v>
      </c>
      <c r="O47" s="249">
        <f t="shared" si="31"/>
        <v>4.3975815689266387E-3</v>
      </c>
      <c r="P47" s="249">
        <f t="shared" si="31"/>
        <v>5.8396993534505209E-3</v>
      </c>
      <c r="Q47" s="249">
        <f t="shared" si="31"/>
        <v>1.5768457267256288E-3</v>
      </c>
      <c r="R47" s="249">
        <f t="shared" si="30"/>
        <v>3.5809019668145516E-3</v>
      </c>
      <c r="S47" s="249">
        <f t="shared" si="30"/>
        <v>3.4741349213842166E-3</v>
      </c>
      <c r="T47" s="249">
        <f t="shared" si="30"/>
        <v>3.3380482712057802E-3</v>
      </c>
      <c r="U47" s="249">
        <f t="shared" si="30"/>
        <v>3.2302141712902037E-3</v>
      </c>
      <c r="V47" s="249">
        <f>IFERROR(V18/V$8,"")</f>
        <v>3.1469640223497626E-3</v>
      </c>
      <c r="W47" s="249">
        <f>IFERROR(W18/W$8,"")</f>
        <v>3.1036984288717712E-3</v>
      </c>
      <c r="X47" s="249"/>
      <c r="Y47" s="233"/>
      <c r="Z47" s="233"/>
      <c r="AA47" s="233"/>
      <c r="AF47" s="233"/>
    </row>
    <row r="48" spans="1:33" s="232" customFormat="1" outlineLevel="1">
      <c r="A48" s="232" t="s">
        <v>243</v>
      </c>
      <c r="G48" s="249">
        <f t="shared" ref="G48:V48" si="32">IFERROR(G23/G$8,"")</f>
        <v>0.244095200206048</v>
      </c>
      <c r="H48" s="249">
        <f t="shared" si="32"/>
        <v>0.20159211020521206</v>
      </c>
      <c r="I48" s="249">
        <f t="shared" si="32"/>
        <v>0.19320806769391827</v>
      </c>
      <c r="J48" s="249">
        <f t="shared" si="32"/>
        <v>0.205212998774534</v>
      </c>
      <c r="K48" s="249">
        <f t="shared" si="32"/>
        <v>0.20267972386604285</v>
      </c>
      <c r="L48" s="249">
        <f t="shared" si="32"/>
        <v>0.24098415240011467</v>
      </c>
      <c r="M48" s="249">
        <f t="shared" si="32"/>
        <v>0.23472373559223358</v>
      </c>
      <c r="N48" s="249">
        <f t="shared" si="32"/>
        <v>0.22638621736847991</v>
      </c>
      <c r="O48" s="249">
        <f t="shared" si="32"/>
        <v>0.22997156450508394</v>
      </c>
      <c r="P48" s="249">
        <f t="shared" si="32"/>
        <v>0.22855536582015945</v>
      </c>
      <c r="Q48" s="249">
        <f t="shared" si="32"/>
        <v>0.21652492605755455</v>
      </c>
      <c r="R48" s="249">
        <f t="shared" si="32"/>
        <v>0.21700548012127138</v>
      </c>
      <c r="S48" s="249">
        <f t="shared" si="32"/>
        <v>0.21738706692413548</v>
      </c>
      <c r="T48" s="249">
        <f t="shared" si="32"/>
        <v>0.21721692234595746</v>
      </c>
      <c r="U48" s="249">
        <f t="shared" si="32"/>
        <v>0.21727459372827332</v>
      </c>
      <c r="V48" s="249">
        <f t="shared" si="32"/>
        <v>0.21739750726719717</v>
      </c>
      <c r="W48" s="249">
        <f t="shared" ref="W48" si="33">IFERROR(W23/W$8,"")</f>
        <v>0.21828001224781216</v>
      </c>
      <c r="X48" s="249"/>
      <c r="Y48" s="233"/>
      <c r="Z48" s="233"/>
      <c r="AA48" s="233"/>
      <c r="AF48" s="233"/>
    </row>
    <row r="49" spans="1:37" s="232" customFormat="1" outlineLevel="1">
      <c r="B49" s="232" t="s">
        <v>470</v>
      </c>
      <c r="G49" s="249">
        <f t="shared" ref="G49:V49" si="34">IFERROR(G17/G$8,"")</f>
        <v>0.23851196398101593</v>
      </c>
      <c r="H49" s="249">
        <f t="shared" si="34"/>
        <v>0.19931178650964979</v>
      </c>
      <c r="I49" s="249">
        <f t="shared" si="34"/>
        <v>0.18920573320750933</v>
      </c>
      <c r="J49" s="249">
        <f t="shared" si="34"/>
        <v>0.20205104445250566</v>
      </c>
      <c r="K49" s="249">
        <f t="shared" si="34"/>
        <v>0.19707872910998739</v>
      </c>
      <c r="L49" s="249">
        <f t="shared" si="34"/>
        <v>0.23864643701381444</v>
      </c>
      <c r="M49" s="249">
        <f t="shared" si="34"/>
        <v>0.22832918143899994</v>
      </c>
      <c r="N49" s="249">
        <f t="shared" si="34"/>
        <v>0.22461075677898673</v>
      </c>
      <c r="O49" s="249">
        <f t="shared" si="34"/>
        <v>0.22620977495797837</v>
      </c>
      <c r="P49" s="249">
        <f t="shared" si="34"/>
        <v>0.22333859883511781</v>
      </c>
      <c r="Q49" s="249">
        <f t="shared" si="34"/>
        <v>0.2155949197212059</v>
      </c>
      <c r="R49" s="249">
        <f t="shared" si="34"/>
        <v>0.21406037017627785</v>
      </c>
      <c r="S49" s="249">
        <f t="shared" si="34"/>
        <v>0.21454872402457231</v>
      </c>
      <c r="T49" s="249">
        <f t="shared" si="34"/>
        <v>0.21451466609657274</v>
      </c>
      <c r="U49" s="249">
        <f t="shared" si="34"/>
        <v>0.21468017157880412</v>
      </c>
      <c r="V49" s="249">
        <f t="shared" si="34"/>
        <v>0.21488633526666845</v>
      </c>
      <c r="W49" s="249">
        <f t="shared" ref="W49" si="35">IFERROR(W17/W$8,"")</f>
        <v>0.21581210584076144</v>
      </c>
      <c r="X49" s="249"/>
      <c r="Y49" s="233"/>
      <c r="Z49" s="233"/>
      <c r="AA49" s="233"/>
      <c r="AF49" s="233"/>
    </row>
    <row r="50" spans="1:37" s="232" customFormat="1" outlineLevel="1">
      <c r="A50" s="232" t="s">
        <v>275</v>
      </c>
      <c r="G50" s="249">
        <f>IFERROR(G63/G$8,"")</f>
        <v>0.25383330631497331</v>
      </c>
      <c r="H50" s="249">
        <f t="shared" ref="H50:U50" si="36">IFERROR(H63/H$8,"")</f>
        <v>0.21431931740148188</v>
      </c>
      <c r="I50" s="249">
        <f t="shared" si="36"/>
        <v>0.20674443524573577</v>
      </c>
      <c r="J50" s="249">
        <f t="shared" si="36"/>
        <v>0.21766332790414133</v>
      </c>
      <c r="K50" s="249">
        <f t="shared" ref="K50:Q50" si="37">IFERROR(K63/K$8,"")</f>
        <v>0.2158690582645999</v>
      </c>
      <c r="L50" s="249">
        <f t="shared" si="37"/>
        <v>0.25696482001209991</v>
      </c>
      <c r="M50" s="249">
        <f t="shared" si="37"/>
        <v>0.23472373559223358</v>
      </c>
      <c r="N50" s="249">
        <f t="shared" si="37"/>
        <v>0.22638621736847991</v>
      </c>
      <c r="O50" s="249">
        <f t="shared" si="37"/>
        <v>0.24686137593994806</v>
      </c>
      <c r="P50" s="249">
        <f t="shared" si="37"/>
        <v>0.22855536582015945</v>
      </c>
      <c r="Q50" s="249">
        <f t="shared" si="37"/>
        <v>0.21652492605755455</v>
      </c>
      <c r="R50" s="249">
        <f t="shared" si="36"/>
        <v>0.24033338619886827</v>
      </c>
      <c r="S50" s="249">
        <f t="shared" si="36"/>
        <v>0.24614806965741778</v>
      </c>
      <c r="T50" s="249">
        <f t="shared" si="36"/>
        <v>0.25522519545679878</v>
      </c>
      <c r="U50" s="249">
        <f t="shared" si="36"/>
        <v>0.25189239992921458</v>
      </c>
      <c r="V50" s="249">
        <f>IFERROR(V63/V$8,"")</f>
        <v>0.248903581120236</v>
      </c>
      <c r="W50" s="249">
        <f>IFERROR(W63/W$8,"")</f>
        <v>0.24792631691235698</v>
      </c>
      <c r="X50" s="249"/>
      <c r="Y50" s="233"/>
      <c r="Z50" s="233"/>
      <c r="AA50" s="233"/>
      <c r="AF50" s="233"/>
    </row>
    <row r="51" spans="1:37" s="232" customFormat="1" outlineLevel="1">
      <c r="B51" s="232" t="s">
        <v>418</v>
      </c>
      <c r="G51" s="249">
        <f t="shared" ref="G51:U51" si="38">G67/G8</f>
        <v>0.24825007008994118</v>
      </c>
      <c r="H51" s="249">
        <f t="shared" si="38"/>
        <v>0.21203899370591961</v>
      </c>
      <c r="I51" s="249">
        <f t="shared" si="38"/>
        <v>0.20274210075932683</v>
      </c>
      <c r="J51" s="249">
        <f t="shared" si="38"/>
        <v>0.21450137358211296</v>
      </c>
      <c r="K51" s="249">
        <f t="shared" ref="K51:Q51" si="39">K67/K8</f>
        <v>0.21026806350854441</v>
      </c>
      <c r="L51" s="249">
        <f t="shared" si="39"/>
        <v>0.25462710462579968</v>
      </c>
      <c r="M51" s="249">
        <f t="shared" si="39"/>
        <v>0.22832918143899994</v>
      </c>
      <c r="N51" s="249">
        <f t="shared" si="39"/>
        <v>0.22461075677898673</v>
      </c>
      <c r="O51" s="249">
        <f t="shared" si="39"/>
        <v>0.24309958639284246</v>
      </c>
      <c r="P51" s="249">
        <f t="shared" si="39"/>
        <v>0.22333859883511781</v>
      </c>
      <c r="Q51" s="249">
        <f t="shared" si="39"/>
        <v>0.2155949197212059</v>
      </c>
      <c r="R51" s="249">
        <f t="shared" si="38"/>
        <v>0.23738827625387474</v>
      </c>
      <c r="S51" s="249">
        <f t="shared" si="38"/>
        <v>0.24330972675785459</v>
      </c>
      <c r="T51" s="249">
        <f t="shared" si="38"/>
        <v>0.25252293920741409</v>
      </c>
      <c r="U51" s="249">
        <f t="shared" si="38"/>
        <v>0.24929797777974538</v>
      </c>
      <c r="V51" s="249">
        <f>V67/V8</f>
        <v>0.24639240911970728</v>
      </c>
      <c r="W51" s="249">
        <f>W67/W8</f>
        <v>0.24545841050530626</v>
      </c>
      <c r="X51" s="249"/>
      <c r="Y51" s="233"/>
      <c r="Z51" s="233"/>
      <c r="AA51" s="233"/>
      <c r="AB51" s="234"/>
      <c r="AC51" s="234"/>
      <c r="AD51" s="234"/>
      <c r="AE51" s="234"/>
      <c r="AF51" s="233"/>
      <c r="AG51" s="234"/>
      <c r="AH51" s="234"/>
      <c r="AI51" s="234"/>
      <c r="AJ51" s="234"/>
      <c r="AK51" s="234"/>
    </row>
    <row r="52" spans="1:37" s="232" customFormat="1" outlineLevel="1">
      <c r="A52" s="232" t="s">
        <v>165</v>
      </c>
      <c r="G52" s="249">
        <f t="shared" ref="G52:Q52" si="40">-G29/G27</f>
        <v>0.25281901336290885</v>
      </c>
      <c r="H52" s="249">
        <f t="shared" si="40"/>
        <v>0.24533218914924862</v>
      </c>
      <c r="I52" s="249">
        <f t="shared" si="40"/>
        <v>0.24264167283975466</v>
      </c>
      <c r="J52" s="249">
        <f t="shared" si="40"/>
        <v>0.22981327647735783</v>
      </c>
      <c r="K52" s="249">
        <f t="shared" si="40"/>
        <v>0.23288313294023449</v>
      </c>
      <c r="L52" s="249">
        <f t="shared" si="40"/>
        <v>0.2358678747828904</v>
      </c>
      <c r="M52" s="249">
        <f t="shared" si="40"/>
        <v>0.2457692665902669</v>
      </c>
      <c r="N52" s="249">
        <f t="shared" si="40"/>
        <v>0.22410519739482179</v>
      </c>
      <c r="O52" s="249">
        <f t="shared" si="40"/>
        <v>0.23343268658381167</v>
      </c>
      <c r="P52" s="249">
        <f t="shared" si="40"/>
        <v>0.21626499805955801</v>
      </c>
      <c r="Q52" s="249">
        <f t="shared" si="40"/>
        <v>0.22423376765479594</v>
      </c>
      <c r="R52" s="342">
        <v>0.22550000000000001</v>
      </c>
      <c r="S52" s="342">
        <f>R52</f>
        <v>0.22550000000000001</v>
      </c>
      <c r="T52" s="342">
        <f>S52</f>
        <v>0.22550000000000001</v>
      </c>
      <c r="U52" s="342">
        <f>T52</f>
        <v>0.22550000000000001</v>
      </c>
      <c r="V52" s="342">
        <f>U52</f>
        <v>0.22550000000000001</v>
      </c>
      <c r="W52" s="342">
        <f>V52</f>
        <v>0.22550000000000001</v>
      </c>
      <c r="X52" s="342"/>
      <c r="Y52" s="242"/>
      <c r="Z52" s="242"/>
      <c r="AA52" s="242"/>
      <c r="AF52" s="242"/>
    </row>
    <row r="53" spans="1:37" s="232" customFormat="1" outlineLevel="1">
      <c r="A53" s="232" t="s">
        <v>411</v>
      </c>
      <c r="G53" s="249">
        <f t="shared" ref="G53:V53" si="41">IFERROR(G31/G$8,"")</f>
        <v>0.1845583599475451</v>
      </c>
      <c r="H53" s="249">
        <f t="shared" si="41"/>
        <v>0.15336424097336301</v>
      </c>
      <c r="I53" s="249">
        <f t="shared" si="41"/>
        <v>0.14708140950473045</v>
      </c>
      <c r="J53" s="249">
        <f t="shared" si="41"/>
        <v>0.15596711770190305</v>
      </c>
      <c r="K53" s="249">
        <f t="shared" si="41"/>
        <v>0.1545300533703666</v>
      </c>
      <c r="L53" s="249">
        <f t="shared" si="41"/>
        <v>0.1868234975847109</v>
      </c>
      <c r="M53" s="249">
        <f t="shared" si="41"/>
        <v>0.17649606342723376</v>
      </c>
      <c r="N53" s="249">
        <f t="shared" si="41"/>
        <v>0.18033341285287699</v>
      </c>
      <c r="O53" s="249">
        <f t="shared" si="41"/>
        <v>0.17868325396792467</v>
      </c>
      <c r="P53" s="249">
        <f t="shared" si="41"/>
        <v>0.18103654305746045</v>
      </c>
      <c r="Q53" s="249">
        <f t="shared" si="41"/>
        <v>0.17032736000723053</v>
      </c>
      <c r="R53" s="249">
        <f t="shared" si="41"/>
        <v>0.17019736500807947</v>
      </c>
      <c r="S53" s="249">
        <f t="shared" si="41"/>
        <v>0.17243968994418718</v>
      </c>
      <c r="T53" s="249">
        <f t="shared" si="41"/>
        <v>0.17337731767311931</v>
      </c>
      <c r="U53" s="249">
        <f t="shared" si="41"/>
        <v>0.17468519358691628</v>
      </c>
      <c r="V53" s="249">
        <f t="shared" si="41"/>
        <v>0.17608855945158217</v>
      </c>
      <c r="W53" s="249">
        <f t="shared" ref="W53" si="42">IFERROR(W31/W$8,"")</f>
        <v>0.17851591927602342</v>
      </c>
      <c r="X53" s="249"/>
      <c r="Y53" s="233"/>
      <c r="Z53" s="233"/>
      <c r="AA53" s="233"/>
      <c r="AF53" s="233"/>
    </row>
    <row r="54" spans="1:37" s="232" customFormat="1" outlineLevel="2">
      <c r="B54" s="232" t="s">
        <v>477</v>
      </c>
      <c r="G54" s="249">
        <f t="shared" ref="G54:V54" si="43">G68/G8</f>
        <v>0.17897512372251301</v>
      </c>
      <c r="H54" s="249">
        <f t="shared" si="43"/>
        <v>0.15108391727780074</v>
      </c>
      <c r="I54" s="249">
        <f t="shared" si="43"/>
        <v>0.14307907501832151</v>
      </c>
      <c r="J54" s="249">
        <f t="shared" si="43"/>
        <v>0.15280516337987471</v>
      </c>
      <c r="K54" s="249">
        <f t="shared" si="43"/>
        <v>0.14892905861431113</v>
      </c>
      <c r="L54" s="249">
        <f t="shared" si="43"/>
        <v>0.18448578219841069</v>
      </c>
      <c r="M54" s="249">
        <f t="shared" si="43"/>
        <v>0.17010150927400011</v>
      </c>
      <c r="N54" s="249">
        <f t="shared" si="43"/>
        <v>0.17855795226338378</v>
      </c>
      <c r="O54" s="249">
        <f t="shared" si="43"/>
        <v>0.17492146442081907</v>
      </c>
      <c r="P54" s="249">
        <f t="shared" si="43"/>
        <v>0.1758197760724188</v>
      </c>
      <c r="Q54" s="249">
        <f t="shared" si="43"/>
        <v>0.16939735367088185</v>
      </c>
      <c r="R54" s="249">
        <f t="shared" si="43"/>
        <v>0.16725225506308594</v>
      </c>
      <c r="S54" s="249">
        <f t="shared" si="43"/>
        <v>0.16960134704462401</v>
      </c>
      <c r="T54" s="249">
        <f t="shared" si="43"/>
        <v>0.17067506142373456</v>
      </c>
      <c r="U54" s="249">
        <f t="shared" si="43"/>
        <v>0.17209077143744711</v>
      </c>
      <c r="V54" s="249">
        <f t="shared" si="43"/>
        <v>0.17357738745105342</v>
      </c>
      <c r="W54" s="249">
        <f t="shared" ref="W54" si="44">W68/W8</f>
        <v>0.1760480128689727</v>
      </c>
      <c r="X54" s="249"/>
      <c r="Y54" s="233"/>
      <c r="Z54" s="233"/>
      <c r="AA54" s="233"/>
      <c r="AB54" s="234"/>
      <c r="AC54" s="234"/>
      <c r="AD54" s="234"/>
      <c r="AE54" s="234"/>
      <c r="AF54" s="233"/>
      <c r="AG54" s="234"/>
      <c r="AH54" s="234"/>
      <c r="AI54" s="234"/>
      <c r="AJ54" s="234"/>
      <c r="AK54" s="234"/>
    </row>
    <row r="55" spans="1:37" s="232" customFormat="1" outlineLevel="2">
      <c r="A55" s="232" t="s">
        <v>211</v>
      </c>
      <c r="G55" s="249">
        <f>-Assumption!G377/Assumption!G376</f>
        <v>0.21168773860019127</v>
      </c>
      <c r="H55" s="249"/>
      <c r="I55" s="249">
        <f>-Assumption!I377/Assumption!I376</f>
        <v>5.2285879557172656E-2</v>
      </c>
      <c r="J55" s="249">
        <f>-Assumption!J377/Assumption!J376</f>
        <v>4.1651862900394153E-2</v>
      </c>
      <c r="K55" s="249">
        <f>-Assumption!K377/Assumption!K376</f>
        <v>3.1874125254475048E-2</v>
      </c>
      <c r="L55" s="249">
        <f>-Assumption!L377/Assumption!L376</f>
        <v>0</v>
      </c>
      <c r="M55" s="249">
        <f>-Assumption!M377/Assumption!M376</f>
        <v>0</v>
      </c>
      <c r="N55" s="249">
        <f>N38/N31</f>
        <v>0</v>
      </c>
      <c r="O55" s="249">
        <f>-Assumption!O377/Assumption!O376</f>
        <v>0</v>
      </c>
      <c r="P55" s="249">
        <f>-Assumption!P377/Assumption!P376</f>
        <v>0</v>
      </c>
      <c r="Q55" s="342">
        <v>0</v>
      </c>
      <c r="R55" s="342">
        <v>0</v>
      </c>
      <c r="S55" s="342">
        <v>0</v>
      </c>
      <c r="T55" s="342">
        <f>S55</f>
        <v>0</v>
      </c>
      <c r="U55" s="342">
        <f>T55</f>
        <v>0</v>
      </c>
      <c r="V55" s="342">
        <f>U55</f>
        <v>0</v>
      </c>
      <c r="W55" s="342">
        <f>V55</f>
        <v>0</v>
      </c>
      <c r="X55" s="342"/>
      <c r="Y55" s="242"/>
      <c r="Z55" s="242"/>
      <c r="AA55" s="242"/>
      <c r="AB55" s="234"/>
      <c r="AC55" s="234"/>
      <c r="AD55" s="234"/>
      <c r="AE55" s="234"/>
      <c r="AF55" s="242"/>
      <c r="AG55" s="234"/>
      <c r="AH55" s="234"/>
      <c r="AI55" s="234"/>
      <c r="AJ55" s="234"/>
      <c r="AK55" s="234"/>
    </row>
    <row r="56" spans="1:37" s="232" customFormat="1" outlineLevel="1">
      <c r="G56" s="341"/>
      <c r="H56" s="341"/>
      <c r="I56" s="341"/>
      <c r="J56" s="341"/>
      <c r="K56" s="249"/>
      <c r="L56" s="341"/>
      <c r="M56" s="249"/>
      <c r="N56" s="249"/>
      <c r="O56" s="249"/>
      <c r="P56" s="249"/>
      <c r="Q56" s="249"/>
      <c r="R56" s="249"/>
      <c r="S56" s="249"/>
      <c r="T56" s="249"/>
      <c r="U56" s="249"/>
      <c r="V56" s="249"/>
      <c r="W56" s="249"/>
      <c r="X56" s="249"/>
      <c r="Y56" s="233"/>
      <c r="Z56" s="233"/>
      <c r="AA56" s="233"/>
      <c r="AF56" s="233"/>
    </row>
    <row r="57" spans="1:37" s="231" customFormat="1" outlineLevel="1">
      <c r="A57" s="231" t="s">
        <v>412</v>
      </c>
      <c r="G57" s="343"/>
      <c r="H57" s="343"/>
      <c r="I57" s="343"/>
      <c r="J57" s="343"/>
      <c r="K57" s="343"/>
      <c r="L57" s="343"/>
      <c r="M57" s="343"/>
      <c r="N57" s="343"/>
      <c r="O57" s="343"/>
      <c r="P57" s="343"/>
      <c r="Q57" s="343"/>
      <c r="R57" s="343"/>
      <c r="S57" s="343"/>
      <c r="T57" s="343"/>
      <c r="U57" s="343"/>
      <c r="V57" s="343"/>
      <c r="W57" s="343"/>
      <c r="X57" s="343"/>
      <c r="Y57" s="235"/>
      <c r="Z57" s="235"/>
      <c r="AA57" s="235"/>
      <c r="AB57" s="235"/>
      <c r="AC57" s="235"/>
      <c r="AD57" s="235"/>
      <c r="AE57" s="235"/>
      <c r="AF57" s="235"/>
      <c r="AG57" s="235"/>
      <c r="AH57" s="235"/>
      <c r="AI57" s="235"/>
      <c r="AJ57" s="235"/>
      <c r="AK57" s="235"/>
    </row>
    <row r="58" spans="1:37" s="232" customFormat="1" outlineLevel="1">
      <c r="A58" s="232" t="s">
        <v>7</v>
      </c>
      <c r="G58" s="288">
        <f t="shared" ref="G58:U58" si="45">G23</f>
        <v>2526626</v>
      </c>
      <c r="H58" s="288">
        <f t="shared" si="45"/>
        <v>2125434</v>
      </c>
      <c r="I58" s="288">
        <f t="shared" si="45"/>
        <v>2622911</v>
      </c>
      <c r="J58" s="288">
        <f t="shared" si="45"/>
        <v>3158911</v>
      </c>
      <c r="K58" s="288">
        <f>K23</f>
        <v>4114898</v>
      </c>
      <c r="L58" s="288">
        <f>L23</f>
        <v>4496685</v>
      </c>
      <c r="M58" s="288">
        <f>M23</f>
        <v>2506158</v>
      </c>
      <c r="N58" s="288">
        <f>N23</f>
        <v>3203776.9986796016</v>
      </c>
      <c r="O58" s="288">
        <f t="shared" si="45"/>
        <v>5709934.9986796016</v>
      </c>
      <c r="P58" s="288">
        <f>P23</f>
        <v>3399717.4125000001</v>
      </c>
      <c r="Q58" s="288">
        <f>Q23</f>
        <v>3749123.2494090153</v>
      </c>
      <c r="R58" s="288">
        <f t="shared" si="45"/>
        <v>6985359.0988065079</v>
      </c>
      <c r="S58" s="288">
        <f t="shared" si="45"/>
        <v>7764597.2374884179</v>
      </c>
      <c r="T58" s="288">
        <f t="shared" si="45"/>
        <v>9018388.9985456597</v>
      </c>
      <c r="U58" s="288">
        <f t="shared" si="45"/>
        <v>10352924.148178581</v>
      </c>
      <c r="V58" s="288">
        <f>V23</f>
        <v>11691729.863634139</v>
      </c>
      <c r="W58" s="288">
        <f>W23</f>
        <v>12580510.557444286</v>
      </c>
      <c r="X58" s="288"/>
      <c r="Y58" s="234"/>
      <c r="Z58" s="234"/>
      <c r="AA58" s="234"/>
      <c r="AB58" s="234"/>
      <c r="AC58" s="234"/>
      <c r="AD58" s="234"/>
      <c r="AE58" s="234"/>
      <c r="AF58" s="234"/>
      <c r="AG58" s="234"/>
      <c r="AH58" s="234"/>
      <c r="AI58" s="234"/>
      <c r="AJ58" s="234"/>
      <c r="AK58" s="234"/>
    </row>
    <row r="59" spans="1:37" s="232" customFormat="1" outlineLevel="1">
      <c r="A59" s="232" t="s">
        <v>8</v>
      </c>
      <c r="G59" s="288">
        <f>SUM(G60:G62)</f>
        <v>100799</v>
      </c>
      <c r="H59" s="288">
        <f t="shared" ref="H59:U59" si="46">SUM(H60:H62)</f>
        <v>134186</v>
      </c>
      <c r="I59" s="288">
        <f t="shared" si="46"/>
        <v>183764</v>
      </c>
      <c r="J59" s="288">
        <f t="shared" si="46"/>
        <v>191652</v>
      </c>
      <c r="K59" s="288">
        <f>SUM(K60:K62)</f>
        <v>267776</v>
      </c>
      <c r="L59" s="288">
        <f>SUM(L60:L62)</f>
        <v>298194</v>
      </c>
      <c r="M59" s="288">
        <f>SUM(M60:M62)</f>
        <v>0</v>
      </c>
      <c r="N59" s="288">
        <f>SUM(N60:N62)</f>
        <v>0</v>
      </c>
      <c r="O59" s="288">
        <f t="shared" si="46"/>
        <v>419355</v>
      </c>
      <c r="P59" s="288">
        <f>SUM(P60:P62)</f>
        <v>0</v>
      </c>
      <c r="Q59" s="288">
        <f>SUM(Q60:Q62)</f>
        <v>0</v>
      </c>
      <c r="R59" s="288">
        <f t="shared" si="46"/>
        <v>750920.21125079435</v>
      </c>
      <c r="S59" s="288">
        <f t="shared" si="46"/>
        <v>1027280.9948172984</v>
      </c>
      <c r="T59" s="288">
        <f t="shared" si="46"/>
        <v>1578023.4264188742</v>
      </c>
      <c r="U59" s="288">
        <f t="shared" si="46"/>
        <v>1649504.9679987226</v>
      </c>
      <c r="V59" s="288">
        <f>SUM(V60:V62)</f>
        <v>1694409.9736189481</v>
      </c>
      <c r="W59" s="288">
        <f>SUM(W60:W62)</f>
        <v>1708656.898910606</v>
      </c>
      <c r="X59" s="288"/>
      <c r="Y59" s="234"/>
      <c r="Z59" s="234"/>
      <c r="AA59" s="234"/>
      <c r="AB59" s="234"/>
      <c r="AC59" s="234"/>
      <c r="AD59" s="234"/>
      <c r="AE59" s="234"/>
      <c r="AF59" s="234"/>
      <c r="AG59" s="234"/>
      <c r="AH59" s="234"/>
      <c r="AI59" s="234"/>
      <c r="AJ59" s="234"/>
      <c r="AK59" s="234"/>
    </row>
    <row r="60" spans="1:37" s="232" customFormat="1" outlineLevel="1">
      <c r="B60" s="232" t="s">
        <v>65</v>
      </c>
      <c r="G60" s="288">
        <f>Assumption!G307</f>
        <v>57239</v>
      </c>
      <c r="H60" s="288">
        <f>Assumption!H307</f>
        <v>79650</v>
      </c>
      <c r="I60" s="288">
        <f>Assumption!I307</f>
        <v>105310</v>
      </c>
      <c r="J60" s="288">
        <f>Assumption!J307</f>
        <v>110108</v>
      </c>
      <c r="K60" s="288">
        <f>Assumption!K307</f>
        <v>160504</v>
      </c>
      <c r="L60" s="288">
        <f>Assumption!L307</f>
        <v>220610</v>
      </c>
      <c r="M60" s="288">
        <f>Assumption!M307</f>
        <v>0</v>
      </c>
      <c r="N60" s="288">
        <f>Assumption!N307</f>
        <v>0</v>
      </c>
      <c r="O60" s="288">
        <f>Assumption!O307</f>
        <v>314887</v>
      </c>
      <c r="P60" s="288">
        <f>Assumption!P307</f>
        <v>0</v>
      </c>
      <c r="Q60" s="288">
        <f>Assumption!Q307</f>
        <v>0</v>
      </c>
      <c r="R60" s="288">
        <f>Assumption!R307</f>
        <v>653484.07095857791</v>
      </c>
      <c r="S60" s="288">
        <f>Assumption!S307</f>
        <v>932411.35483840923</v>
      </c>
      <c r="T60" s="288">
        <f>Assumption!T307</f>
        <v>1484066.4724669221</v>
      </c>
      <c r="U60" s="288">
        <f>Assumption!U307</f>
        <v>1558269.7960902683</v>
      </c>
      <c r="V60" s="288">
        <f>Assumption!V307</f>
        <v>1605017.8899729762</v>
      </c>
      <c r="W60" s="288">
        <f>Assumption!W307</f>
        <v>1621068.0688727058</v>
      </c>
      <c r="X60" s="288"/>
      <c r="Y60" s="234"/>
      <c r="Z60" s="234"/>
      <c r="AA60" s="234"/>
      <c r="AB60" s="234"/>
      <c r="AC60" s="234"/>
      <c r="AD60" s="234"/>
      <c r="AE60" s="234"/>
      <c r="AF60" s="234"/>
      <c r="AG60" s="234"/>
      <c r="AH60" s="234"/>
      <c r="AI60" s="234"/>
      <c r="AJ60" s="234"/>
      <c r="AK60" s="234"/>
    </row>
    <row r="61" spans="1:37" s="232" customFormat="1" outlineLevel="1">
      <c r="B61" s="232" t="s">
        <v>191</v>
      </c>
      <c r="G61" s="288">
        <f>Assumption!G308</f>
        <v>42363</v>
      </c>
      <c r="H61" s="288">
        <f>Assumption!H308</f>
        <v>52827</v>
      </c>
      <c r="I61" s="288">
        <f>Assumption!I308</f>
        <v>75782</v>
      </c>
      <c r="J61" s="288">
        <f>Assumption!J308</f>
        <v>78684</v>
      </c>
      <c r="K61" s="288">
        <f>Assumption!K308</f>
        <v>103472</v>
      </c>
      <c r="L61" s="288">
        <f>Assumption!L308</f>
        <v>74364</v>
      </c>
      <c r="M61" s="288">
        <f>Assumption!M308</f>
        <v>0</v>
      </c>
      <c r="N61" s="288">
        <f>Assumption!N308</f>
        <v>0</v>
      </c>
      <c r="O61" s="288">
        <f>Assumption!O308</f>
        <v>99178</v>
      </c>
      <c r="P61" s="288">
        <f>Assumption!P308</f>
        <v>0</v>
      </c>
      <c r="Q61" s="288">
        <f>Assumption!Q308</f>
        <v>0</v>
      </c>
      <c r="R61" s="288">
        <f>Assumption!R308</f>
        <v>88772.794990936469</v>
      </c>
      <c r="S61" s="288">
        <f>Assumption!S308</f>
        <v>84661.876892085944</v>
      </c>
      <c r="T61" s="288">
        <f>Assumption!T308</f>
        <v>81929.449147207997</v>
      </c>
      <c r="U61" s="288">
        <f>Assumption!U308</f>
        <v>79285.209399750587</v>
      </c>
      <c r="V61" s="288">
        <f>Assumption!V308</f>
        <v>77519.163511856226</v>
      </c>
      <c r="W61" s="288">
        <f>Assumption!W308</f>
        <v>75792.455579953414</v>
      </c>
      <c r="X61" s="288"/>
      <c r="Y61" s="234"/>
      <c r="Z61" s="234"/>
      <c r="AA61" s="234"/>
      <c r="AB61" s="234"/>
      <c r="AC61" s="234"/>
      <c r="AD61" s="234"/>
      <c r="AE61" s="234"/>
      <c r="AF61" s="234"/>
      <c r="AG61" s="234"/>
      <c r="AH61" s="234"/>
      <c r="AI61" s="234"/>
      <c r="AJ61" s="234"/>
      <c r="AK61" s="234"/>
    </row>
    <row r="62" spans="1:37" s="232" customFormat="1" outlineLevel="1">
      <c r="B62" s="232" t="s">
        <v>190</v>
      </c>
      <c r="G62" s="288">
        <f>Assumption!G309</f>
        <v>1197</v>
      </c>
      <c r="H62" s="288">
        <f>Assumption!H309</f>
        <v>1709</v>
      </c>
      <c r="I62" s="288">
        <f>Assumption!I309</f>
        <v>2672</v>
      </c>
      <c r="J62" s="288">
        <f>Assumption!J309</f>
        <v>2860</v>
      </c>
      <c r="K62" s="288">
        <f>Assumption!K309</f>
        <v>3800</v>
      </c>
      <c r="L62" s="288">
        <f>Assumption!L309</f>
        <v>3220</v>
      </c>
      <c r="M62" s="288">
        <f>Assumption!M309</f>
        <v>0</v>
      </c>
      <c r="N62" s="288">
        <f>Assumption!N309</f>
        <v>0</v>
      </c>
      <c r="O62" s="288">
        <f>Assumption!O309</f>
        <v>5290</v>
      </c>
      <c r="P62" s="288">
        <f>Assumption!P309</f>
        <v>0</v>
      </c>
      <c r="Q62" s="288">
        <f>Assumption!Q309</f>
        <v>0</v>
      </c>
      <c r="R62" s="288">
        <f>Assumption!R309</f>
        <v>8663.345301280051</v>
      </c>
      <c r="S62" s="288">
        <f>Assumption!S309</f>
        <v>10207.763086803281</v>
      </c>
      <c r="T62" s="288">
        <f>Assumption!T309</f>
        <v>12027.504804744172</v>
      </c>
      <c r="U62" s="288">
        <f>Assumption!U309</f>
        <v>11949.962508703595</v>
      </c>
      <c r="V62" s="288">
        <f>Assumption!V309</f>
        <v>11872.920134115793</v>
      </c>
      <c r="W62" s="288">
        <f>Assumption!W309</f>
        <v>11796.374457946737</v>
      </c>
      <c r="X62" s="288"/>
      <c r="Y62" s="234"/>
      <c r="Z62" s="234"/>
      <c r="AA62" s="234"/>
      <c r="AB62" s="234"/>
      <c r="AC62" s="234"/>
      <c r="AD62" s="234"/>
      <c r="AE62" s="234"/>
      <c r="AF62" s="234"/>
      <c r="AG62" s="234"/>
      <c r="AH62" s="234"/>
      <c r="AI62" s="234"/>
      <c r="AJ62" s="234"/>
      <c r="AK62" s="234"/>
    </row>
    <row r="63" spans="1:37" s="232" customFormat="1" outlineLevel="1">
      <c r="A63" s="232" t="s">
        <v>274</v>
      </c>
      <c r="G63" s="288">
        <f>SUM(G58:G59)</f>
        <v>2627425</v>
      </c>
      <c r="H63" s="288">
        <f t="shared" ref="H63:U63" si="47">SUM(H58:H59)</f>
        <v>2259620</v>
      </c>
      <c r="I63" s="288">
        <f t="shared" si="47"/>
        <v>2806675</v>
      </c>
      <c r="J63" s="288">
        <f t="shared" si="47"/>
        <v>3350563</v>
      </c>
      <c r="K63" s="288">
        <f>SUM(K58:K59)</f>
        <v>4382674</v>
      </c>
      <c r="L63" s="288">
        <f>SUM(L58:L59)</f>
        <v>4794879</v>
      </c>
      <c r="M63" s="288">
        <f>SUM(M58:M59)</f>
        <v>2506158</v>
      </c>
      <c r="N63" s="288">
        <f>SUM(N58:N59)</f>
        <v>3203776.9986796016</v>
      </c>
      <c r="O63" s="288">
        <f t="shared" si="47"/>
        <v>6129289.9986796016</v>
      </c>
      <c r="P63" s="288">
        <f>SUM(P58:P59)</f>
        <v>3399717.4125000001</v>
      </c>
      <c r="Q63" s="288">
        <f>SUM(Q58:Q59)</f>
        <v>3749123.2494090153</v>
      </c>
      <c r="R63" s="288">
        <f t="shared" si="47"/>
        <v>7736279.310057302</v>
      </c>
      <c r="S63" s="288">
        <f t="shared" si="47"/>
        <v>8791878.2323057167</v>
      </c>
      <c r="T63" s="288">
        <f t="shared" si="47"/>
        <v>10596412.424964534</v>
      </c>
      <c r="U63" s="288">
        <f t="shared" si="47"/>
        <v>12002429.116177304</v>
      </c>
      <c r="V63" s="288">
        <f>SUM(V58:V59)</f>
        <v>13386139.837253088</v>
      </c>
      <c r="W63" s="288">
        <f>SUM(W58:W59)</f>
        <v>14289167.456354892</v>
      </c>
      <c r="X63" s="288"/>
      <c r="Y63" s="234"/>
      <c r="Z63" s="234"/>
      <c r="AA63" s="234"/>
      <c r="AB63" s="244">
        <f>(S63/O63)^0.5-1</f>
        <v>0.19766607324862173</v>
      </c>
      <c r="AC63" s="244">
        <f>(U63/K63)^0.2-1</f>
        <v>0.22322400849485757</v>
      </c>
      <c r="AD63" s="244"/>
      <c r="AE63" s="244"/>
      <c r="AF63" s="234"/>
      <c r="AG63" s="244"/>
      <c r="AH63" s="244"/>
      <c r="AI63" s="234"/>
      <c r="AJ63" s="234"/>
      <c r="AK63" s="234"/>
    </row>
    <row r="64" spans="1:37" s="232" customFormat="1" outlineLevel="1">
      <c r="B64" s="232" t="s">
        <v>413</v>
      </c>
      <c r="G64" s="288">
        <f t="shared" ref="G64:U64" si="48">-G18</f>
        <v>-80346</v>
      </c>
      <c r="H64" s="288">
        <f t="shared" si="48"/>
        <v>-43419</v>
      </c>
      <c r="I64" s="288">
        <f t="shared" si="48"/>
        <v>-79315</v>
      </c>
      <c r="J64" s="288">
        <f t="shared" si="48"/>
        <v>-57360</v>
      </c>
      <c r="K64" s="288">
        <f>-K18</f>
        <v>-130141</v>
      </c>
      <c r="L64" s="288">
        <f>-L18</f>
        <v>-51628</v>
      </c>
      <c r="M64" s="288">
        <f>-M18</f>
        <v>-74796</v>
      </c>
      <c r="N64" s="288">
        <f>-N18</f>
        <v>-34390.99867960182</v>
      </c>
      <c r="O64" s="288">
        <f t="shared" si="48"/>
        <v>-109186.99867960182</v>
      </c>
      <c r="P64" s="288">
        <f>-P18</f>
        <v>-86864.412499999991</v>
      </c>
      <c r="Q64" s="288">
        <f>-Q18</f>
        <v>-27303.04118994085</v>
      </c>
      <c r="R64" s="288">
        <f t="shared" si="48"/>
        <v>-115268.45368994084</v>
      </c>
      <c r="S64" s="288">
        <f t="shared" si="48"/>
        <v>-124088.6074545357</v>
      </c>
      <c r="T64" s="288">
        <f t="shared" si="48"/>
        <v>-138588.73185630888</v>
      </c>
      <c r="U64" s="288">
        <f t="shared" si="48"/>
        <v>-153916.57958666928</v>
      </c>
      <c r="V64" s="288">
        <f>-V18</f>
        <v>-169245.0557616888</v>
      </c>
      <c r="W64" s="288">
        <f>-W18</f>
        <v>-178880.83498554927</v>
      </c>
      <c r="X64" s="288"/>
      <c r="Y64" s="234"/>
      <c r="Z64" s="234"/>
      <c r="AA64" s="234"/>
      <c r="AB64" s="234"/>
      <c r="AC64" s="234"/>
      <c r="AD64" s="234"/>
      <c r="AE64" s="234"/>
      <c r="AF64" s="234"/>
      <c r="AG64" s="234"/>
      <c r="AH64" s="234"/>
      <c r="AI64" s="234"/>
      <c r="AJ64" s="234"/>
      <c r="AK64" s="234"/>
    </row>
    <row r="65" spans="1:37" s="232" customFormat="1" outlineLevel="1">
      <c r="B65" s="232" t="s">
        <v>415</v>
      </c>
      <c r="G65" s="288">
        <f>Assumption!G363</f>
        <v>4800</v>
      </c>
      <c r="H65" s="288">
        <f>Assumption!H363</f>
        <v>0</v>
      </c>
      <c r="I65" s="288">
        <f>Assumption!I363</f>
        <v>5912</v>
      </c>
      <c r="J65" s="288">
        <f>Assumption!J363</f>
        <v>5976</v>
      </c>
      <c r="K65" s="288">
        <f>Assumption!K363</f>
        <v>7456</v>
      </c>
      <c r="L65" s="288">
        <f>Assumption!L363</f>
        <v>3239</v>
      </c>
      <c r="M65" s="288">
        <f>Assumption!M363</f>
        <v>0</v>
      </c>
      <c r="N65" s="288">
        <f>Assumption!N363</f>
        <v>0</v>
      </c>
      <c r="O65" s="288">
        <f>Assumption!O363</f>
        <v>4127</v>
      </c>
      <c r="P65" s="288">
        <f>Assumption!P363</f>
        <v>0</v>
      </c>
      <c r="Q65" s="288">
        <f>Assumption!Q363</f>
        <v>0</v>
      </c>
      <c r="R65" s="288">
        <f>Assumption!R363</f>
        <v>3021.2545303539646</v>
      </c>
      <c r="S65" s="288">
        <f>Assumption!S363</f>
        <v>2158.6969852190095</v>
      </c>
      <c r="T65" s="288">
        <f>Assumption!T363</f>
        <v>1589.8307593263021</v>
      </c>
      <c r="U65" s="288">
        <f>Assumption!U363</f>
        <v>1007.4836615683261</v>
      </c>
      <c r="V65" s="288">
        <f>Assumption!V363</f>
        <v>502.80054177757313</v>
      </c>
      <c r="W65" s="288">
        <f>Assumption!W363</f>
        <v>106.63015239465111</v>
      </c>
      <c r="X65" s="288"/>
      <c r="Y65" s="234"/>
      <c r="Z65" s="234"/>
      <c r="AA65" s="234"/>
      <c r="AB65" s="234"/>
      <c r="AC65" s="234"/>
      <c r="AD65" s="234"/>
      <c r="AE65" s="234"/>
      <c r="AF65" s="234"/>
      <c r="AG65" s="234"/>
      <c r="AH65" s="234"/>
      <c r="AI65" s="234"/>
      <c r="AJ65" s="234"/>
      <c r="AK65" s="234"/>
    </row>
    <row r="66" spans="1:37" s="232" customFormat="1" outlineLevel="1">
      <c r="A66" s="232" t="s">
        <v>416</v>
      </c>
      <c r="G66" s="288">
        <f t="shared" ref="G66:V66" si="49">G17</f>
        <v>2468834</v>
      </c>
      <c r="H66" s="288">
        <f t="shared" si="49"/>
        <v>2101392</v>
      </c>
      <c r="I66" s="288">
        <f t="shared" si="49"/>
        <v>2568577</v>
      </c>
      <c r="J66" s="288">
        <f t="shared" si="49"/>
        <v>3110238</v>
      </c>
      <c r="K66" s="288">
        <f t="shared" si="49"/>
        <v>4001184</v>
      </c>
      <c r="L66" s="288">
        <f t="shared" si="49"/>
        <v>4453064</v>
      </c>
      <c r="M66" s="288">
        <f t="shared" si="49"/>
        <v>2437883</v>
      </c>
      <c r="N66" s="288">
        <f t="shared" si="49"/>
        <v>3178651</v>
      </c>
      <c r="O66" s="288">
        <f t="shared" si="49"/>
        <v>5616534</v>
      </c>
      <c r="P66" s="288">
        <f t="shared" si="49"/>
        <v>3322119</v>
      </c>
      <c r="Q66" s="288">
        <f t="shared" si="49"/>
        <v>3733020.2148014628</v>
      </c>
      <c r="R66" s="288">
        <f t="shared" si="49"/>
        <v>6890556.6516989544</v>
      </c>
      <c r="S66" s="288">
        <f t="shared" si="49"/>
        <v>7663217.7499741763</v>
      </c>
      <c r="T66" s="288">
        <f t="shared" si="49"/>
        <v>8906197.011993669</v>
      </c>
      <c r="U66" s="288">
        <f t="shared" si="49"/>
        <v>10229302.443215689</v>
      </c>
      <c r="V66" s="288">
        <f t="shared" si="49"/>
        <v>11556677.971639728</v>
      </c>
      <c r="W66" s="288">
        <f t="shared" ref="W66" si="50">W17</f>
        <v>12438273.42684784</v>
      </c>
      <c r="X66" s="288"/>
      <c r="Y66" s="234"/>
      <c r="Z66" s="234"/>
      <c r="AA66" s="234"/>
      <c r="AB66" s="234"/>
      <c r="AC66" s="234"/>
      <c r="AD66" s="234"/>
      <c r="AE66" s="234"/>
      <c r="AF66" s="234"/>
      <c r="AG66" s="234"/>
      <c r="AH66" s="234"/>
      <c r="AI66" s="234"/>
      <c r="AJ66" s="234"/>
      <c r="AK66" s="234"/>
    </row>
    <row r="67" spans="1:37" s="232" customFormat="1" outlineLevel="1">
      <c r="A67" s="232" t="s">
        <v>417</v>
      </c>
      <c r="G67" s="288">
        <f t="shared" ref="G67:U67" si="51">G66+G59</f>
        <v>2569633</v>
      </c>
      <c r="H67" s="288">
        <f t="shared" si="51"/>
        <v>2235578</v>
      </c>
      <c r="I67" s="288">
        <f t="shared" si="51"/>
        <v>2752341</v>
      </c>
      <c r="J67" s="288">
        <f t="shared" si="51"/>
        <v>3301890</v>
      </c>
      <c r="K67" s="288">
        <f t="shared" ref="K67:Q67" si="52">K66+K59</f>
        <v>4268960</v>
      </c>
      <c r="L67" s="288">
        <f t="shared" si="52"/>
        <v>4751258</v>
      </c>
      <c r="M67" s="288">
        <f t="shared" si="52"/>
        <v>2437883</v>
      </c>
      <c r="N67" s="288">
        <f t="shared" si="52"/>
        <v>3178651</v>
      </c>
      <c r="O67" s="288">
        <f t="shared" si="52"/>
        <v>6035889</v>
      </c>
      <c r="P67" s="288">
        <f t="shared" si="52"/>
        <v>3322119</v>
      </c>
      <c r="Q67" s="288">
        <f t="shared" si="52"/>
        <v>3733020.2148014628</v>
      </c>
      <c r="R67" s="288">
        <f t="shared" si="51"/>
        <v>7641476.8629497485</v>
      </c>
      <c r="S67" s="288">
        <f t="shared" si="51"/>
        <v>8690498.7447914742</v>
      </c>
      <c r="T67" s="288">
        <f t="shared" si="51"/>
        <v>10484220.438412543</v>
      </c>
      <c r="U67" s="288">
        <f t="shared" si="51"/>
        <v>11878807.411214411</v>
      </c>
      <c r="V67" s="288">
        <f>V66+V59</f>
        <v>13251087.945258677</v>
      </c>
      <c r="W67" s="288">
        <f>W66+W59</f>
        <v>14146930.325758446</v>
      </c>
      <c r="X67" s="288"/>
      <c r="Y67" s="234"/>
      <c r="Z67" s="234"/>
      <c r="AA67" s="234"/>
      <c r="AB67" s="234"/>
      <c r="AC67" s="234"/>
      <c r="AD67" s="234"/>
      <c r="AE67" s="234"/>
      <c r="AF67" s="234"/>
      <c r="AG67" s="234"/>
      <c r="AH67" s="234"/>
      <c r="AI67" s="234"/>
      <c r="AJ67" s="234"/>
      <c r="AK67" s="234"/>
    </row>
    <row r="68" spans="1:37" s="232" customFormat="1" outlineLevel="1">
      <c r="A68" s="232" t="s">
        <v>440</v>
      </c>
      <c r="G68" s="288">
        <f>G66+G26+G29+G30+G25</f>
        <v>1852569</v>
      </c>
      <c r="H68" s="288">
        <f t="shared" ref="H68:U68" si="53">H66+H26+H29+H30+H25</f>
        <v>1592914</v>
      </c>
      <c r="I68" s="288">
        <f t="shared" si="53"/>
        <v>1942381</v>
      </c>
      <c r="J68" s="288">
        <f t="shared" si="53"/>
        <v>2352180</v>
      </c>
      <c r="K68" s="288">
        <f t="shared" si="53"/>
        <v>3023627</v>
      </c>
      <c r="L68" s="288">
        <f t="shared" si="53"/>
        <v>3442444</v>
      </c>
      <c r="M68" s="288">
        <f>M66+M26+M29+M30+M25</f>
        <v>1816183</v>
      </c>
      <c r="N68" s="288">
        <f>N66+N26+N29+N30+N25</f>
        <v>2526920</v>
      </c>
      <c r="O68" s="288">
        <f t="shared" si="53"/>
        <v>4343103</v>
      </c>
      <c r="P68" s="288">
        <f>P66+P26+P29+P30+P25</f>
        <v>2615285.5874999999</v>
      </c>
      <c r="Q68" s="288">
        <f>Q66+Q26+Q29+Q30+Q25</f>
        <v>2933110.6057833307</v>
      </c>
      <c r="R68" s="288">
        <f t="shared" si="53"/>
        <v>5383813.6301808218</v>
      </c>
      <c r="S68" s="288">
        <f t="shared" si="53"/>
        <v>6057794.3728205953</v>
      </c>
      <c r="T68" s="288">
        <f t="shared" si="53"/>
        <v>7086068.9841578463</v>
      </c>
      <c r="U68" s="288">
        <f t="shared" si="53"/>
        <v>8199958.7375667794</v>
      </c>
      <c r="V68" s="288">
        <f>V66+V26+V29+V30+V25</f>
        <v>9335065.2913364451</v>
      </c>
      <c r="W68" s="288">
        <f>W66+W26+W29+W30+W25</f>
        <v>10146480.4848956</v>
      </c>
      <c r="X68" s="288"/>
      <c r="Y68" s="234"/>
      <c r="Z68" s="234"/>
      <c r="AA68" s="234"/>
      <c r="AB68" s="244">
        <f>(S68/O68)^0.5-1</f>
        <v>0.18101985568324053</v>
      </c>
      <c r="AC68" s="244">
        <f>(U68/K68)^0.2-1</f>
        <v>0.22083420982593127</v>
      </c>
      <c r="AD68" s="244"/>
      <c r="AE68" s="244"/>
      <c r="AF68" s="234"/>
      <c r="AG68" s="244"/>
      <c r="AH68" s="244"/>
      <c r="AI68" s="234"/>
      <c r="AJ68" s="234"/>
      <c r="AK68" s="234"/>
    </row>
    <row r="69" spans="1:37" outlineLevel="1">
      <c r="R69" s="285">
        <f>+R31-R18</f>
        <v>5363347.623598434</v>
      </c>
    </row>
    <row r="70" spans="1:37" outlineLevel="1"/>
    <row r="72" spans="1:37" ht="18" outlineLevel="1" collapsed="1">
      <c r="A72" s="6" t="s">
        <v>14</v>
      </c>
    </row>
    <row r="73" spans="1:37" outlineLevel="1"/>
    <row r="74" spans="1:37" outlineLevel="1">
      <c r="A74" s="3" t="s">
        <v>43</v>
      </c>
    </row>
    <row r="75" spans="1:37" outlineLevel="1">
      <c r="B75" s="10" t="s">
        <v>16</v>
      </c>
      <c r="C75" s="10"/>
      <c r="D75" s="10"/>
      <c r="E75" s="10"/>
      <c r="F75" s="10"/>
      <c r="G75" s="285">
        <v>1251915</v>
      </c>
      <c r="I75" s="285">
        <v>1541156</v>
      </c>
      <c r="J75" s="285">
        <v>2374925</v>
      </c>
      <c r="K75" s="285">
        <v>2231714</v>
      </c>
      <c r="L75" s="285">
        <v>1839769</v>
      </c>
      <c r="M75" s="320"/>
      <c r="N75" s="320"/>
      <c r="O75" s="285">
        <f>2215352</f>
        <v>2215352</v>
      </c>
      <c r="P75" s="285">
        <v>2991706</v>
      </c>
      <c r="R75" s="285">
        <f>Assumption!R221</f>
        <v>2923795.2220680998</v>
      </c>
      <c r="S75" s="285">
        <f>Assumption!S221</f>
        <v>3241944.3224111204</v>
      </c>
      <c r="T75" s="285">
        <f>Assumption!T221</f>
        <v>3768574.9629154252</v>
      </c>
      <c r="U75" s="285">
        <f>Assumption!U221</f>
        <v>4324055.9735740926</v>
      </c>
      <c r="V75" s="285">
        <f>Assumption!V221</f>
        <v>4879002.7922529513</v>
      </c>
      <c r="W75" s="285">
        <f>Assumption!W221</f>
        <v>5221619.9476844706</v>
      </c>
    </row>
    <row r="76" spans="1:37" outlineLevel="1">
      <c r="B76" s="10" t="s">
        <v>77</v>
      </c>
      <c r="C76" s="10"/>
      <c r="D76" s="10"/>
      <c r="E76" s="10"/>
      <c r="F76" s="10"/>
      <c r="G76" s="285">
        <v>2030</v>
      </c>
      <c r="I76" s="285">
        <v>15410</v>
      </c>
      <c r="J76" s="285">
        <v>28888</v>
      </c>
      <c r="K76" s="285">
        <v>28473</v>
      </c>
      <c r="L76" s="285">
        <v>21506</v>
      </c>
      <c r="M76" s="320"/>
      <c r="N76" s="320"/>
      <c r="O76" s="285">
        <v>25624</v>
      </c>
      <c r="P76" s="285">
        <v>34750</v>
      </c>
      <c r="R76" s="285">
        <f>Assumption!R227</f>
        <v>33220.635542069722</v>
      </c>
      <c r="S76" s="285">
        <f>Assumption!S227</f>
        <v>36861.68056189589</v>
      </c>
      <c r="T76" s="285">
        <f>Assumption!T227</f>
        <v>42847.472550224251</v>
      </c>
      <c r="U76" s="285">
        <f>Assumption!U227</f>
        <v>49174.956756600346</v>
      </c>
      <c r="V76" s="285">
        <f>Assumption!V227</f>
        <v>55502.700391026956</v>
      </c>
      <c r="W76" s="285">
        <f>Assumption!W227</f>
        <v>59480.443511108839</v>
      </c>
    </row>
    <row r="77" spans="1:37" outlineLevel="1">
      <c r="B77" s="10" t="s">
        <v>167</v>
      </c>
      <c r="C77" s="10"/>
      <c r="D77" s="10"/>
      <c r="E77" s="10"/>
      <c r="F77" s="10"/>
      <c r="G77" s="285">
        <v>181892</v>
      </c>
      <c r="I77" s="285">
        <v>304539</v>
      </c>
      <c r="J77" s="285">
        <v>431517</v>
      </c>
      <c r="K77" s="285">
        <v>404428</v>
      </c>
      <c r="L77" s="285">
        <v>490867</v>
      </c>
      <c r="M77" s="320"/>
      <c r="N77" s="320"/>
      <c r="O77" s="285">
        <v>512505</v>
      </c>
      <c r="P77" s="285">
        <v>485200</v>
      </c>
      <c r="R77" s="285">
        <f>Assumption!R233</f>
        <v>664445.12248237745</v>
      </c>
      <c r="S77" s="285">
        <f>Assumption!S233</f>
        <v>737269.57525657397</v>
      </c>
      <c r="T77" s="285">
        <f>Assumption!T233</f>
        <v>856991.25504810642</v>
      </c>
      <c r="U77" s="285">
        <f>Assumption!U233</f>
        <v>983547.11257186474</v>
      </c>
      <c r="V77" s="285">
        <f>Assumption!V233</f>
        <v>1110108.1589097434</v>
      </c>
      <c r="W77" s="285">
        <f>Assumption!W233</f>
        <v>1189666.9021878252</v>
      </c>
    </row>
    <row r="78" spans="1:37" outlineLevel="1">
      <c r="B78" s="10" t="s">
        <v>79</v>
      </c>
      <c r="C78" s="10"/>
      <c r="D78" s="10"/>
      <c r="E78" s="10"/>
      <c r="F78" s="10"/>
      <c r="G78" s="285">
        <v>900237</v>
      </c>
      <c r="I78" s="285">
        <v>1865676</v>
      </c>
      <c r="J78" s="285">
        <v>2574790</v>
      </c>
      <c r="K78" s="285">
        <v>746046</v>
      </c>
      <c r="L78" s="285">
        <v>2842603</v>
      </c>
      <c r="M78" s="320"/>
      <c r="N78" s="320"/>
      <c r="O78" s="285">
        <v>3491643</v>
      </c>
      <c r="P78" s="285">
        <v>5113517</v>
      </c>
      <c r="R78" s="285">
        <f>Assumption!R328</f>
        <v>3703047.5438350989</v>
      </c>
      <c r="S78" s="285">
        <f>Assumption!S328</f>
        <v>3927251.7585283369</v>
      </c>
      <c r="T78" s="285">
        <f>Assumption!T328</f>
        <v>4165030.6112166764</v>
      </c>
      <c r="U78" s="285">
        <f>Assumption!U328</f>
        <v>4417205.9900923185</v>
      </c>
      <c r="V78" s="285">
        <f>Assumption!V328</f>
        <v>4684649.5452785539</v>
      </c>
      <c r="W78" s="285">
        <f>Assumption!W328</f>
        <v>4968285.7017088979</v>
      </c>
    </row>
    <row r="79" spans="1:37" outlineLevel="1">
      <c r="B79" s="10" t="s">
        <v>170</v>
      </c>
      <c r="C79" s="10"/>
      <c r="D79" s="10"/>
      <c r="E79" s="10"/>
      <c r="F79" s="10"/>
      <c r="G79" s="285">
        <v>61865</v>
      </c>
      <c r="I79" s="285">
        <v>65146</v>
      </c>
      <c r="J79" s="285">
        <v>169906</v>
      </c>
      <c r="K79" s="285">
        <v>115620</v>
      </c>
      <c r="L79" s="285">
        <v>331759</v>
      </c>
      <c r="M79" s="320"/>
      <c r="N79" s="320"/>
      <c r="O79" s="285">
        <v>1315804</v>
      </c>
      <c r="P79" s="285">
        <v>1350469</v>
      </c>
      <c r="R79" s="285">
        <f>Assumption!R354</f>
        <v>1295944.4440333496</v>
      </c>
      <c r="S79" s="285">
        <f>Assumption!S354</f>
        <v>3135145.689928968</v>
      </c>
      <c r="T79" s="285">
        <f>Assumption!T354</f>
        <v>4367429.5237527844</v>
      </c>
      <c r="U79" s="285">
        <f>Assumption!U354</f>
        <v>5999356.7536460683</v>
      </c>
      <c r="V79" s="285">
        <f>Assumption!V354</f>
        <v>7929353.3853250658</v>
      </c>
      <c r="W79" s="285">
        <f>Assumption!W354</f>
        <v>10161711.999888634</v>
      </c>
    </row>
    <row r="80" spans="1:37" outlineLevel="1">
      <c r="B80" s="10" t="s">
        <v>15</v>
      </c>
      <c r="C80" s="10"/>
      <c r="D80" s="10"/>
      <c r="E80" s="10"/>
      <c r="F80" s="10"/>
      <c r="G80" s="285">
        <v>2675827</v>
      </c>
      <c r="I80" s="285">
        <v>2764138</v>
      </c>
      <c r="J80" s="285">
        <v>3759213</v>
      </c>
      <c r="K80" s="285">
        <v>5621904</v>
      </c>
      <c r="L80" s="285">
        <v>5980396</v>
      </c>
      <c r="M80" s="320"/>
      <c r="N80" s="320"/>
      <c r="O80" s="285">
        <v>4335123</v>
      </c>
      <c r="P80" s="285">
        <v>8405472</v>
      </c>
      <c r="R80" s="285">
        <f t="shared" ref="R80:W80" si="54">R206</f>
        <v>12374764.597331483</v>
      </c>
      <c r="S80" s="285">
        <f t="shared" si="54"/>
        <v>15908900.164043333</v>
      </c>
      <c r="T80" s="285">
        <f t="shared" si="54"/>
        <v>21792586.222214248</v>
      </c>
      <c r="U80" s="285">
        <f t="shared" si="54"/>
        <v>28576351.59864942</v>
      </c>
      <c r="V80" s="285">
        <f t="shared" si="54"/>
        <v>36380487.959167756</v>
      </c>
      <c r="W80" s="285">
        <f t="shared" si="54"/>
        <v>44703290.516425252</v>
      </c>
    </row>
    <row r="81" spans="1:32" outlineLevel="1">
      <c r="A81" s="11" t="s">
        <v>17</v>
      </c>
      <c r="B81" s="19"/>
      <c r="C81" s="19"/>
      <c r="D81" s="19"/>
      <c r="E81" s="19"/>
      <c r="F81" s="19"/>
      <c r="G81" s="338">
        <f>SUM(G75:G80)</f>
        <v>5073766</v>
      </c>
      <c r="H81" s="338"/>
      <c r="I81" s="338">
        <f t="shared" ref="I81:U81" si="55">SUM(I75:I80)</f>
        <v>6556065</v>
      </c>
      <c r="J81" s="338">
        <f t="shared" si="55"/>
        <v>9339239</v>
      </c>
      <c r="K81" s="338">
        <f>SUM(K75:K80)</f>
        <v>9148185</v>
      </c>
      <c r="L81" s="338">
        <f>SUM(L75:L80)</f>
        <v>11506900</v>
      </c>
      <c r="M81" s="351"/>
      <c r="N81" s="351"/>
      <c r="O81" s="338">
        <f t="shared" si="55"/>
        <v>11896051</v>
      </c>
      <c r="P81" s="338">
        <f t="shared" si="55"/>
        <v>18381114</v>
      </c>
      <c r="Q81" s="338"/>
      <c r="R81" s="338">
        <f t="shared" si="55"/>
        <v>20995217.565292478</v>
      </c>
      <c r="S81" s="338">
        <f t="shared" si="55"/>
        <v>26987373.190730229</v>
      </c>
      <c r="T81" s="338">
        <f t="shared" si="55"/>
        <v>34993460.047697462</v>
      </c>
      <c r="U81" s="338">
        <f t="shared" si="55"/>
        <v>44349692.385290362</v>
      </c>
      <c r="V81" s="338">
        <f>SUM(V75:V80)</f>
        <v>55039104.5413251</v>
      </c>
      <c r="W81" s="338">
        <f>SUM(W75:W80)</f>
        <v>66304055.511406191</v>
      </c>
      <c r="X81" s="284"/>
      <c r="Y81" s="269"/>
      <c r="Z81" s="269"/>
      <c r="AA81" s="269"/>
      <c r="AF81" s="19"/>
    </row>
    <row r="82" spans="1:32" outlineLevel="1">
      <c r="B82" s="10" t="s">
        <v>18</v>
      </c>
      <c r="C82" s="10"/>
      <c r="D82" s="10"/>
      <c r="E82" s="10"/>
      <c r="F82" s="10"/>
      <c r="G82" s="285">
        <v>1033497</v>
      </c>
      <c r="I82" s="285">
        <v>1701086</v>
      </c>
      <c r="J82" s="285">
        <v>3013946</v>
      </c>
      <c r="K82" s="285">
        <v>3390053</v>
      </c>
      <c r="L82" s="285">
        <v>5156514</v>
      </c>
      <c r="M82" s="320"/>
      <c r="N82" s="320"/>
      <c r="O82" s="285">
        <v>5317826</v>
      </c>
      <c r="P82" s="285">
        <f>17529+5382169</f>
        <v>5399698</v>
      </c>
      <c r="R82" s="285">
        <f>Assumption!R278</f>
        <v>6525581.0290414216</v>
      </c>
      <c r="S82" s="285">
        <f>Assumption!S278</f>
        <v>7420332.36233461</v>
      </c>
      <c r="T82" s="285">
        <f>Assumption!T278</f>
        <v>7791348.9804513408</v>
      </c>
      <c r="U82" s="285">
        <f>Assumption!U278</f>
        <v>8025089.4498648802</v>
      </c>
      <c r="V82" s="285">
        <f>Assumption!V278</f>
        <v>8105340.3443635283</v>
      </c>
      <c r="W82" s="285">
        <f>Assumption!W278</f>
        <v>8024286.9409198938</v>
      </c>
    </row>
    <row r="83" spans="1:32" outlineLevel="1">
      <c r="B83" s="10" t="s">
        <v>19</v>
      </c>
      <c r="C83" s="10"/>
      <c r="D83" s="10"/>
      <c r="E83" s="10"/>
      <c r="F83" s="10"/>
      <c r="G83" s="285">
        <v>166031</v>
      </c>
      <c r="I83" s="285">
        <v>445560</v>
      </c>
      <c r="J83" s="285">
        <v>439265</v>
      </c>
      <c r="K83" s="285">
        <v>426986</v>
      </c>
      <c r="L83" s="285">
        <v>378520</v>
      </c>
      <c r="M83" s="320"/>
      <c r="N83" s="320"/>
      <c r="O83" s="285">
        <v>382189</v>
      </c>
      <c r="P83" s="285">
        <v>393800</v>
      </c>
      <c r="R83" s="285">
        <f>Assumption!R292</f>
        <v>364490.47335744026</v>
      </c>
      <c r="S83" s="285">
        <f>Assumption!S292</f>
        <v>352726.69113684236</v>
      </c>
      <c r="T83" s="285">
        <f>Assumption!T292</f>
        <v>341342.58021700283</v>
      </c>
      <c r="U83" s="285">
        <f>Assumption!U292</f>
        <v>333739.31266282283</v>
      </c>
      <c r="V83" s="285">
        <f>Assumption!V292</f>
        <v>326305.40481015941</v>
      </c>
      <c r="W83" s="285">
        <f>Assumption!W292</f>
        <v>319037.08424033946</v>
      </c>
    </row>
    <row r="84" spans="1:32" outlineLevel="1">
      <c r="B84" s="10" t="s">
        <v>78</v>
      </c>
      <c r="C84" s="10"/>
      <c r="D84" s="10"/>
      <c r="E84" s="10"/>
      <c r="F84" s="10"/>
      <c r="G84" s="285">
        <v>9029</v>
      </c>
      <c r="I84" s="285">
        <v>20591</v>
      </c>
      <c r="J84" s="285">
        <v>23844</v>
      </c>
      <c r="K84" s="285">
        <v>25624</v>
      </c>
      <c r="L84" s="285">
        <v>27428</v>
      </c>
      <c r="M84" s="320"/>
      <c r="N84" s="320"/>
      <c r="O84" s="285">
        <v>41964</v>
      </c>
      <c r="P84" s="285">
        <v>41773</v>
      </c>
      <c r="R84" s="285">
        <f>Assumption!R285</f>
        <v>49444.937870746173</v>
      </c>
      <c r="S84" s="285">
        <f>Assumption!S285</f>
        <v>58259.505315078386</v>
      </c>
      <c r="T84" s="285">
        <f>Assumption!T285</f>
        <v>57883.901573349889</v>
      </c>
      <c r="U84" s="285">
        <f>Assumption!U285</f>
        <v>57510.719379316273</v>
      </c>
      <c r="V84" s="285">
        <f>Assumption!V285</f>
        <v>57139.943121063741</v>
      </c>
      <c r="W84" s="285">
        <f>Assumption!W285</f>
        <v>56771.557287329757</v>
      </c>
    </row>
    <row r="85" spans="1:32" outlineLevel="1">
      <c r="B85" s="10" t="s">
        <v>171</v>
      </c>
      <c r="C85" s="10"/>
      <c r="D85" s="10"/>
      <c r="E85" s="10"/>
      <c r="F85" s="10"/>
      <c r="G85" s="285">
        <v>0</v>
      </c>
      <c r="I85" s="285">
        <v>2820</v>
      </c>
      <c r="J85" s="285">
        <v>2856</v>
      </c>
      <c r="K85" s="285">
        <v>3016</v>
      </c>
      <c r="L85" s="285">
        <v>0</v>
      </c>
      <c r="M85" s="320"/>
      <c r="N85" s="320"/>
      <c r="O85" s="285">
        <v>0</v>
      </c>
      <c r="P85" s="285">
        <v>103846</v>
      </c>
      <c r="R85" s="285">
        <f>Assumption!R199</f>
        <v>0</v>
      </c>
      <c r="S85" s="285">
        <f>Assumption!S199</f>
        <v>0</v>
      </c>
      <c r="T85" s="285">
        <f>Assumption!T199</f>
        <v>0</v>
      </c>
      <c r="U85" s="285">
        <f>Assumption!U199</f>
        <v>0</v>
      </c>
      <c r="V85" s="285">
        <f>Assumption!V199</f>
        <v>0</v>
      </c>
      <c r="W85" s="285">
        <f>Assumption!W199</f>
        <v>0</v>
      </c>
    </row>
    <row r="86" spans="1:32" outlineLevel="1">
      <c r="B86" s="10" t="s">
        <v>80</v>
      </c>
      <c r="C86" s="10"/>
      <c r="D86" s="10"/>
      <c r="E86" s="10"/>
      <c r="F86" s="10"/>
      <c r="G86" s="285">
        <v>11400</v>
      </c>
      <c r="I86" s="285">
        <v>11400</v>
      </c>
      <c r="J86" s="285">
        <v>10480</v>
      </c>
      <c r="K86" s="285">
        <v>10460</v>
      </c>
      <c r="L86" s="285">
        <v>6590</v>
      </c>
      <c r="M86" s="320"/>
      <c r="N86" s="320"/>
      <c r="O86" s="285">
        <v>6590</v>
      </c>
      <c r="P86" s="285">
        <v>6590</v>
      </c>
      <c r="R86" s="285">
        <f>Assumption!R331</f>
        <v>6590</v>
      </c>
      <c r="S86" s="285">
        <f>Assumption!S331</f>
        <v>6590</v>
      </c>
      <c r="T86" s="285">
        <f>Assumption!T331</f>
        <v>6590</v>
      </c>
      <c r="U86" s="285">
        <f>Assumption!U331</f>
        <v>6590</v>
      </c>
      <c r="V86" s="285">
        <f>Assumption!V331</f>
        <v>6590</v>
      </c>
      <c r="W86" s="285">
        <f>Assumption!W331</f>
        <v>6590</v>
      </c>
    </row>
    <row r="87" spans="1:32" outlineLevel="1">
      <c r="B87" s="10" t="s">
        <v>172</v>
      </c>
      <c r="C87" s="10"/>
      <c r="D87" s="10"/>
      <c r="E87" s="10"/>
      <c r="F87" s="10"/>
      <c r="G87" s="285">
        <v>23613</v>
      </c>
      <c r="I87" s="285">
        <v>41598</v>
      </c>
      <c r="J87" s="285">
        <v>117317</v>
      </c>
      <c r="K87" s="285">
        <v>111889</v>
      </c>
      <c r="L87" s="285">
        <v>112119</v>
      </c>
      <c r="M87" s="320"/>
      <c r="N87" s="320"/>
      <c r="O87" s="285">
        <v>76005</v>
      </c>
      <c r="P87" s="285">
        <v>106716</v>
      </c>
      <c r="R87" s="285">
        <f>O87</f>
        <v>76005</v>
      </c>
      <c r="S87" s="285">
        <f t="shared" ref="S87:W88" si="56">R87</f>
        <v>76005</v>
      </c>
      <c r="T87" s="285">
        <f t="shared" si="56"/>
        <v>76005</v>
      </c>
      <c r="U87" s="285">
        <f t="shared" si="56"/>
        <v>76005</v>
      </c>
      <c r="V87" s="285">
        <f t="shared" si="56"/>
        <v>76005</v>
      </c>
      <c r="W87" s="285">
        <f t="shared" si="56"/>
        <v>76005</v>
      </c>
    </row>
    <row r="88" spans="1:32" outlineLevel="1">
      <c r="B88" s="10" t="s">
        <v>170</v>
      </c>
      <c r="C88" s="10"/>
      <c r="D88" s="10"/>
      <c r="E88" s="10"/>
      <c r="F88" s="10"/>
      <c r="K88" s="285">
        <v>300000</v>
      </c>
      <c r="L88" s="285">
        <v>1287420</v>
      </c>
      <c r="M88" s="320"/>
      <c r="N88" s="320"/>
      <c r="O88" s="285">
        <v>1966926</v>
      </c>
      <c r="P88" s="285">
        <v>2742349</v>
      </c>
      <c r="R88" s="285">
        <f>O88</f>
        <v>1966926</v>
      </c>
      <c r="S88" s="285">
        <f t="shared" si="56"/>
        <v>1966926</v>
      </c>
      <c r="T88" s="285">
        <f t="shared" si="56"/>
        <v>1966926</v>
      </c>
      <c r="U88" s="285">
        <f t="shared" si="56"/>
        <v>1966926</v>
      </c>
      <c r="V88" s="285">
        <f t="shared" si="56"/>
        <v>1966926</v>
      </c>
      <c r="W88" s="285">
        <f t="shared" si="56"/>
        <v>1966926</v>
      </c>
    </row>
    <row r="89" spans="1:32" outlineLevel="1">
      <c r="B89" s="10" t="s">
        <v>20</v>
      </c>
      <c r="C89" s="10"/>
      <c r="D89" s="10"/>
      <c r="E89" s="10"/>
      <c r="F89" s="10"/>
      <c r="G89" s="285">
        <v>999047</v>
      </c>
      <c r="I89" s="285">
        <v>1166236</v>
      </c>
      <c r="J89" s="285">
        <v>1143308</v>
      </c>
      <c r="K89" s="285">
        <v>1177353</v>
      </c>
      <c r="L89" s="285">
        <v>144842</v>
      </c>
      <c r="M89" s="320"/>
      <c r="N89" s="320"/>
      <c r="O89" s="285">
        <f>95771</f>
        <v>95771</v>
      </c>
      <c r="P89" s="285">
        <v>117018</v>
      </c>
      <c r="R89" s="285">
        <f>O89</f>
        <v>95771</v>
      </c>
      <c r="S89" s="285">
        <f>R89</f>
        <v>95771</v>
      </c>
      <c r="T89" s="285">
        <f>S89</f>
        <v>95771</v>
      </c>
      <c r="U89" s="285">
        <f>T89</f>
        <v>95771</v>
      </c>
      <c r="V89" s="285">
        <f>U89</f>
        <v>95771</v>
      </c>
      <c r="W89" s="285">
        <f>V89</f>
        <v>95771</v>
      </c>
    </row>
    <row r="90" spans="1:32" outlineLevel="1">
      <c r="A90" s="11" t="s">
        <v>21</v>
      </c>
      <c r="B90" s="19"/>
      <c r="C90" s="19"/>
      <c r="D90" s="19"/>
      <c r="E90" s="19"/>
      <c r="F90" s="19"/>
      <c r="G90" s="338">
        <f>SUM(G82:G89)</f>
        <v>2242617</v>
      </c>
      <c r="H90" s="338"/>
      <c r="I90" s="338">
        <f>SUM(I82:I89)</f>
        <v>3389291</v>
      </c>
      <c r="J90" s="338">
        <f>SUM(J82:J89)</f>
        <v>4751016</v>
      </c>
      <c r="K90" s="338">
        <f>SUM(K82:K89)</f>
        <v>5445381</v>
      </c>
      <c r="L90" s="338">
        <f>SUM(L82:L89)</f>
        <v>7113433</v>
      </c>
      <c r="M90" s="351"/>
      <c r="N90" s="351"/>
      <c r="O90" s="338">
        <f>SUM(O82:O89)</f>
        <v>7887271</v>
      </c>
      <c r="P90" s="338">
        <f>SUM(P82:P89)</f>
        <v>8911790</v>
      </c>
      <c r="Q90" s="338"/>
      <c r="R90" s="338">
        <f t="shared" ref="R90:W90" si="57">SUM(R82:R89)</f>
        <v>9084808.4402696081</v>
      </c>
      <c r="S90" s="338">
        <f t="shared" si="57"/>
        <v>9976610.55878653</v>
      </c>
      <c r="T90" s="338">
        <f t="shared" si="57"/>
        <v>10335867.462241694</v>
      </c>
      <c r="U90" s="338">
        <f t="shared" si="57"/>
        <v>10561631.481907019</v>
      </c>
      <c r="V90" s="338">
        <f t="shared" si="57"/>
        <v>10634077.692294752</v>
      </c>
      <c r="W90" s="338">
        <f t="shared" si="57"/>
        <v>10545387.582447562</v>
      </c>
      <c r="X90" s="284"/>
      <c r="Y90" s="269"/>
      <c r="Z90" s="269"/>
      <c r="AA90" s="269"/>
      <c r="AF90" s="19"/>
    </row>
    <row r="91" spans="1:32" ht="12" outlineLevel="1" thickBot="1">
      <c r="A91" s="16" t="s">
        <v>22</v>
      </c>
      <c r="B91" s="23"/>
      <c r="C91" s="23"/>
      <c r="D91" s="23"/>
      <c r="E91" s="23"/>
      <c r="F91" s="23"/>
      <c r="G91" s="344">
        <f>G90+G81</f>
        <v>7316383</v>
      </c>
      <c r="H91" s="344"/>
      <c r="I91" s="344">
        <f t="shared" ref="I91:T91" si="58">I90+I81</f>
        <v>9945356</v>
      </c>
      <c r="J91" s="344">
        <f t="shared" si="58"/>
        <v>14090255</v>
      </c>
      <c r="K91" s="344">
        <f>K90+K81</f>
        <v>14593566</v>
      </c>
      <c r="L91" s="344">
        <f>L90+L81</f>
        <v>18620333</v>
      </c>
      <c r="M91" s="346"/>
      <c r="N91" s="346"/>
      <c r="O91" s="344">
        <f t="shared" si="58"/>
        <v>19783322</v>
      </c>
      <c r="P91" s="344">
        <f>P90+P81</f>
        <v>27292904</v>
      </c>
      <c r="Q91" s="344"/>
      <c r="R91" s="344">
        <f t="shared" si="58"/>
        <v>30080026.005562086</v>
      </c>
      <c r="S91" s="344">
        <f t="shared" si="58"/>
        <v>36963983.749516755</v>
      </c>
      <c r="T91" s="344">
        <f t="shared" si="58"/>
        <v>45329327.509939156</v>
      </c>
      <c r="U91" s="344">
        <f>U90+U81</f>
        <v>54911323.867197379</v>
      </c>
      <c r="V91" s="344">
        <f>V90+V81</f>
        <v>65673182.233619854</v>
      </c>
      <c r="W91" s="344">
        <f>W90+W81</f>
        <v>76849443.093853757</v>
      </c>
      <c r="X91" s="284"/>
      <c r="Y91" s="269"/>
      <c r="Z91" s="269"/>
      <c r="AA91" s="269"/>
      <c r="AF91" s="23"/>
    </row>
    <row r="92" spans="1:32" outlineLevel="1">
      <c r="B92" s="10"/>
      <c r="C92" s="10"/>
      <c r="D92" s="10"/>
      <c r="E92" s="10"/>
      <c r="F92" s="10"/>
      <c r="M92" s="320"/>
      <c r="N92" s="320"/>
    </row>
    <row r="93" spans="1:32" outlineLevel="1">
      <c r="A93" s="14" t="s">
        <v>44</v>
      </c>
      <c r="B93" s="10"/>
      <c r="C93" s="10"/>
      <c r="D93" s="10"/>
      <c r="E93" s="10"/>
      <c r="F93" s="10"/>
      <c r="M93" s="320"/>
      <c r="N93" s="320"/>
    </row>
    <row r="94" spans="1:32" outlineLevel="1">
      <c r="B94" s="10" t="s">
        <v>81</v>
      </c>
      <c r="C94" s="10"/>
      <c r="D94" s="10"/>
      <c r="E94" s="10"/>
      <c r="F94" s="10"/>
      <c r="G94" s="285">
        <v>596681</v>
      </c>
      <c r="I94" s="285">
        <v>881806</v>
      </c>
      <c r="J94" s="285">
        <v>1607958</v>
      </c>
      <c r="K94" s="285">
        <v>1316780</v>
      </c>
      <c r="L94" s="285">
        <v>1604693</v>
      </c>
      <c r="M94" s="320"/>
      <c r="N94" s="320"/>
      <c r="O94" s="285">
        <v>1767263</v>
      </c>
      <c r="P94" s="285">
        <v>2507498</v>
      </c>
      <c r="R94" s="285">
        <f>Assumption!R239</f>
        <v>2393045.804881182</v>
      </c>
      <c r="S94" s="285">
        <f>Assumption!S239</f>
        <v>2720672.9068937469</v>
      </c>
      <c r="T94" s="285">
        <f>Assumption!T239</f>
        <v>3240778.7379466649</v>
      </c>
      <c r="U94" s="285">
        <f>Assumption!U239</f>
        <v>3808135.0169684673</v>
      </c>
      <c r="V94" s="285">
        <f>Assumption!V239</f>
        <v>4398048.6842912724</v>
      </c>
      <c r="W94" s="285">
        <f>Assumption!W239</f>
        <v>4815176.8767868588</v>
      </c>
    </row>
    <row r="95" spans="1:32" outlineLevel="1">
      <c r="B95" s="10" t="s">
        <v>168</v>
      </c>
      <c r="C95" s="10"/>
      <c r="D95" s="10"/>
      <c r="E95" s="10"/>
      <c r="F95" s="10"/>
      <c r="G95" s="285">
        <v>600753</v>
      </c>
      <c r="I95" s="285">
        <v>910196</v>
      </c>
      <c r="J95" s="285">
        <v>1405197</v>
      </c>
      <c r="K95" s="285">
        <v>1571615</v>
      </c>
      <c r="L95" s="285">
        <v>1762109</v>
      </c>
      <c r="M95" s="320"/>
      <c r="N95" s="320"/>
      <c r="O95" s="285">
        <v>2043625</v>
      </c>
      <c r="P95" s="285">
        <v>2077385</v>
      </c>
      <c r="R95" s="285">
        <f>Assumption!R245</f>
        <v>2697151.9698444852</v>
      </c>
      <c r="S95" s="285">
        <f>Assumption!S245</f>
        <v>2990639.1697064061</v>
      </c>
      <c r="T95" s="285">
        <f>Assumption!T245</f>
        <v>3476447.0876808907</v>
      </c>
      <c r="U95" s="285">
        <f>Assumption!U245</f>
        <v>3988868.9874093845</v>
      </c>
      <c r="V95" s="285">
        <f>Assumption!V245</f>
        <v>4500798.1040114341</v>
      </c>
      <c r="W95" s="285">
        <f>Assumption!W245</f>
        <v>4816856.6736061247</v>
      </c>
    </row>
    <row r="96" spans="1:32" outlineLevel="1">
      <c r="B96" s="10" t="s">
        <v>169</v>
      </c>
      <c r="C96" s="10"/>
      <c r="D96" s="10"/>
      <c r="E96" s="10"/>
      <c r="F96" s="10"/>
      <c r="G96" s="285">
        <v>305817</v>
      </c>
      <c r="I96" s="285">
        <v>198305</v>
      </c>
      <c r="J96" s="285">
        <v>297594</v>
      </c>
      <c r="K96" s="285">
        <v>259271</v>
      </c>
      <c r="L96" s="285">
        <v>410767</v>
      </c>
      <c r="M96" s="320"/>
      <c r="N96" s="320"/>
      <c r="O96" s="285">
        <v>359636</v>
      </c>
      <c r="P96" s="285">
        <v>535386</v>
      </c>
      <c r="R96" s="285">
        <f>Assumption!R252</f>
        <v>466255.71666436875</v>
      </c>
      <c r="S96" s="285">
        <f>Assumption!S252</f>
        <v>517358.23253816686</v>
      </c>
      <c r="T96" s="285">
        <f>Assumption!T252</f>
        <v>601369.56127351103</v>
      </c>
      <c r="U96" s="285">
        <f>Assumption!U252</f>
        <v>690176.58242728387</v>
      </c>
      <c r="V96" s="285">
        <f>Assumption!V252</f>
        <v>778987.24468573858</v>
      </c>
      <c r="W96" s="285">
        <f>Assumption!W252</f>
        <v>834815.3599188705</v>
      </c>
    </row>
    <row r="97" spans="1:32" outlineLevel="1">
      <c r="B97" s="10" t="s">
        <v>173</v>
      </c>
      <c r="C97" s="10"/>
      <c r="D97" s="10"/>
      <c r="E97" s="10"/>
      <c r="F97" s="10"/>
      <c r="G97" s="285">
        <v>30030</v>
      </c>
      <c r="I97" s="285">
        <v>140088</v>
      </c>
      <c r="J97" s="285">
        <v>290192</v>
      </c>
      <c r="K97" s="285">
        <v>259748</v>
      </c>
      <c r="L97" s="285">
        <v>4536</v>
      </c>
      <c r="M97" s="320"/>
      <c r="N97" s="320"/>
      <c r="O97" s="285">
        <v>0</v>
      </c>
      <c r="P97" s="285">
        <v>0</v>
      </c>
      <c r="R97" s="285">
        <f>Assumption!R337</f>
        <v>0</v>
      </c>
      <c r="S97" s="285">
        <f>Assumption!S337</f>
        <v>0</v>
      </c>
      <c r="T97" s="285">
        <f>Assumption!T337</f>
        <v>0</v>
      </c>
      <c r="U97" s="285">
        <f>Assumption!U337</f>
        <v>0</v>
      </c>
      <c r="V97" s="285">
        <f>Assumption!V337</f>
        <v>0</v>
      </c>
      <c r="W97" s="285">
        <f>Assumption!W337</f>
        <v>0</v>
      </c>
    </row>
    <row r="98" spans="1:32" outlineLevel="1">
      <c r="B98" s="10" t="s">
        <v>174</v>
      </c>
      <c r="C98" s="10"/>
      <c r="D98" s="10"/>
      <c r="E98" s="10"/>
      <c r="F98" s="10"/>
      <c r="G98" s="285">
        <v>50321</v>
      </c>
      <c r="I98" s="285">
        <v>78813</v>
      </c>
      <c r="J98" s="285">
        <v>77289</v>
      </c>
      <c r="K98" s="285">
        <v>72065</v>
      </c>
      <c r="L98" s="285">
        <v>50689</v>
      </c>
      <c r="M98" s="320"/>
      <c r="N98" s="320"/>
      <c r="O98" s="285">
        <v>52004</v>
      </c>
      <c r="P98" s="285">
        <v>63719</v>
      </c>
      <c r="R98" s="285">
        <f>Assumption!R345</f>
        <v>37157.040855533975</v>
      </c>
      <c r="S98" s="285">
        <f>Assumption!S345</f>
        <v>27365.307350757594</v>
      </c>
      <c r="T98" s="285">
        <f>Assumption!T345</f>
        <v>17341.531410152638</v>
      </c>
      <c r="U98" s="285">
        <f>Assumption!U345</f>
        <v>8654.5635635464005</v>
      </c>
      <c r="V98" s="285">
        <f>Assumption!V345</f>
        <v>1835.3946645077176</v>
      </c>
      <c r="W98" s="285">
        <f>Assumption!W345</f>
        <v>543.36061264990758</v>
      </c>
    </row>
    <row r="99" spans="1:32" outlineLevel="1">
      <c r="B99" s="10" t="s">
        <v>212</v>
      </c>
      <c r="C99" s="10"/>
      <c r="D99" s="10"/>
      <c r="E99" s="10"/>
      <c r="F99" s="10"/>
      <c r="G99" s="285">
        <v>122576</v>
      </c>
      <c r="I99" s="285">
        <v>129445</v>
      </c>
      <c r="J99" s="285">
        <v>347592</v>
      </c>
      <c r="K99" s="285">
        <v>254834</v>
      </c>
      <c r="L99" s="285">
        <v>456457</v>
      </c>
      <c r="M99" s="320"/>
      <c r="N99" s="320"/>
      <c r="O99" s="285">
        <v>294310</v>
      </c>
      <c r="P99" s="285">
        <v>506549</v>
      </c>
      <c r="R99" s="285">
        <f>O99</f>
        <v>294310</v>
      </c>
      <c r="S99" s="285">
        <f>R99</f>
        <v>294310</v>
      </c>
      <c r="T99" s="285">
        <f>S99</f>
        <v>294310</v>
      </c>
      <c r="U99" s="285">
        <f>T99</f>
        <v>294310</v>
      </c>
      <c r="V99" s="285">
        <f>U99</f>
        <v>294310</v>
      </c>
      <c r="W99" s="285">
        <f>V99</f>
        <v>294310</v>
      </c>
    </row>
    <row r="100" spans="1:32" outlineLevel="1">
      <c r="A100" s="11" t="s">
        <v>23</v>
      </c>
      <c r="B100" s="19"/>
      <c r="C100" s="19"/>
      <c r="D100" s="19"/>
      <c r="E100" s="19"/>
      <c r="F100" s="19"/>
      <c r="G100" s="338">
        <f>SUM(G94:G99)</f>
        <v>1706178</v>
      </c>
      <c r="H100" s="338"/>
      <c r="I100" s="338">
        <f t="shared" ref="I100:U100" si="59">SUM(I94:I99)</f>
        <v>2338653</v>
      </c>
      <c r="J100" s="338">
        <f t="shared" si="59"/>
        <v>4025822</v>
      </c>
      <c r="K100" s="338">
        <f>SUM(K94:K99)</f>
        <v>3734313</v>
      </c>
      <c r="L100" s="338">
        <f>SUM(L94:L99)</f>
        <v>4289251</v>
      </c>
      <c r="M100" s="351"/>
      <c r="N100" s="351"/>
      <c r="O100" s="338">
        <f t="shared" si="59"/>
        <v>4516838</v>
      </c>
      <c r="P100" s="338">
        <f t="shared" si="59"/>
        <v>5690537</v>
      </c>
      <c r="Q100" s="338"/>
      <c r="R100" s="338">
        <f t="shared" si="59"/>
        <v>5887920.5322455708</v>
      </c>
      <c r="S100" s="338">
        <f t="shared" si="59"/>
        <v>6550345.616489077</v>
      </c>
      <c r="T100" s="338">
        <f t="shared" si="59"/>
        <v>7630246.9183112206</v>
      </c>
      <c r="U100" s="338">
        <f t="shared" si="59"/>
        <v>8790145.1503686812</v>
      </c>
      <c r="V100" s="338">
        <f>SUM(V94:V99)</f>
        <v>9973979.4276529532</v>
      </c>
      <c r="W100" s="338">
        <f>SUM(W94:W99)</f>
        <v>10761702.270924503</v>
      </c>
      <c r="X100" s="284"/>
      <c r="Y100" s="269"/>
      <c r="Z100" s="269"/>
      <c r="AA100" s="269"/>
      <c r="AF100" s="19"/>
    </row>
    <row r="101" spans="1:32" outlineLevel="1">
      <c r="B101" s="10" t="s">
        <v>175</v>
      </c>
      <c r="C101" s="10"/>
      <c r="D101" s="10"/>
      <c r="E101" s="10"/>
      <c r="F101" s="10"/>
      <c r="G101" s="285">
        <v>2001</v>
      </c>
      <c r="I101" s="285">
        <v>58024</v>
      </c>
      <c r="J101" s="285">
        <v>116805</v>
      </c>
      <c r="K101" s="285">
        <v>122407</v>
      </c>
      <c r="L101" s="285">
        <v>124754</v>
      </c>
      <c r="M101" s="320"/>
      <c r="N101" s="320"/>
      <c r="O101" s="285">
        <f>134090</f>
        <v>134090</v>
      </c>
      <c r="P101" s="285">
        <v>141773</v>
      </c>
      <c r="R101" s="285">
        <f>Assumption!R263</f>
        <v>239237.74572200034</v>
      </c>
      <c r="S101" s="285">
        <f>Assumption!S263</f>
        <v>265270.10017523367</v>
      </c>
      <c r="T101" s="285">
        <f>Assumption!T263</f>
        <v>308361.32842249307</v>
      </c>
      <c r="U101" s="285">
        <f>Assumption!U263</f>
        <v>353813.22046278411</v>
      </c>
      <c r="V101" s="285">
        <f>Assumption!V263</f>
        <v>399221.40257288999</v>
      </c>
      <c r="W101" s="285">
        <f>Assumption!W263</f>
        <v>427255.84058429865</v>
      </c>
    </row>
    <row r="102" spans="1:32" outlineLevel="1">
      <c r="B102" s="10" t="s">
        <v>174</v>
      </c>
      <c r="C102" s="10"/>
      <c r="D102" s="10"/>
      <c r="E102" s="10"/>
      <c r="F102" s="10"/>
      <c r="G102" s="285">
        <v>62408</v>
      </c>
      <c r="I102" s="285">
        <v>62736</v>
      </c>
      <c r="J102" s="285">
        <v>62072</v>
      </c>
      <c r="K102" s="285">
        <v>54360</v>
      </c>
      <c r="L102" s="285">
        <v>37732</v>
      </c>
      <c r="M102" s="320"/>
      <c r="N102" s="320"/>
      <c r="O102" s="285">
        <v>40548</v>
      </c>
      <c r="P102" s="285">
        <v>47388</v>
      </c>
      <c r="R102" s="285">
        <f>Assumption!R346</f>
        <v>28971.688574151824</v>
      </c>
      <c r="S102" s="285">
        <f>Assumption!S346</f>
        <v>21336.9833562518</v>
      </c>
      <c r="T102" s="285">
        <f>Assumption!T346</f>
        <v>13521.352504016402</v>
      </c>
      <c r="U102" s="285">
        <f>Assumption!U346</f>
        <v>6748.0432923367316</v>
      </c>
      <c r="V102" s="285">
        <f>Assumption!V346</f>
        <v>1431.0742030701276</v>
      </c>
      <c r="W102" s="285">
        <f>Assumption!W346</f>
        <v>423.66329747189542</v>
      </c>
    </row>
    <row r="103" spans="1:32" outlineLevel="1">
      <c r="B103" s="10" t="s">
        <v>168</v>
      </c>
      <c r="C103" s="10"/>
      <c r="D103" s="10"/>
      <c r="E103" s="10"/>
      <c r="F103" s="10"/>
      <c r="G103" s="285">
        <v>0</v>
      </c>
      <c r="I103" s="285">
        <v>0</v>
      </c>
      <c r="K103" s="285">
        <v>60408</v>
      </c>
      <c r="L103" s="285">
        <v>58323</v>
      </c>
      <c r="M103" s="320"/>
      <c r="N103" s="320"/>
      <c r="O103" s="285">
        <v>20712</v>
      </c>
      <c r="P103" s="285">
        <v>19945</v>
      </c>
      <c r="R103" s="285">
        <f>O103</f>
        <v>20712</v>
      </c>
      <c r="S103" s="285">
        <f t="shared" ref="S103:W104" si="60">R103</f>
        <v>20712</v>
      </c>
      <c r="T103" s="285">
        <f t="shared" si="60"/>
        <v>20712</v>
      </c>
      <c r="U103" s="285">
        <f t="shared" si="60"/>
        <v>20712</v>
      </c>
      <c r="V103" s="285">
        <f t="shared" si="60"/>
        <v>20712</v>
      </c>
      <c r="W103" s="285">
        <f t="shared" si="60"/>
        <v>20712</v>
      </c>
    </row>
    <row r="104" spans="1:32" outlineLevel="1">
      <c r="B104" s="10" t="s">
        <v>176</v>
      </c>
      <c r="C104" s="10"/>
      <c r="D104" s="10"/>
      <c r="E104" s="10"/>
      <c r="F104" s="10"/>
      <c r="G104" s="285">
        <v>2559</v>
      </c>
      <c r="I104" s="285">
        <v>81</v>
      </c>
      <c r="J104" s="285">
        <v>4903</v>
      </c>
      <c r="K104" s="285">
        <v>1638</v>
      </c>
      <c r="L104" s="285">
        <v>1654</v>
      </c>
      <c r="M104" s="320"/>
      <c r="N104" s="320"/>
      <c r="O104" s="285">
        <v>2492</v>
      </c>
      <c r="P104" s="285">
        <v>3446</v>
      </c>
      <c r="R104" s="285">
        <f>O104</f>
        <v>2492</v>
      </c>
      <c r="S104" s="285">
        <f t="shared" si="60"/>
        <v>2492</v>
      </c>
      <c r="T104" s="285">
        <f t="shared" si="60"/>
        <v>2492</v>
      </c>
      <c r="U104" s="285">
        <f t="shared" si="60"/>
        <v>2492</v>
      </c>
      <c r="V104" s="285">
        <f t="shared" si="60"/>
        <v>2492</v>
      </c>
      <c r="W104" s="285">
        <f t="shared" si="60"/>
        <v>2492</v>
      </c>
    </row>
    <row r="105" spans="1:32" outlineLevel="1">
      <c r="B105" s="10" t="s">
        <v>515</v>
      </c>
      <c r="C105" s="10"/>
      <c r="D105" s="10"/>
      <c r="E105" s="10"/>
      <c r="F105" s="10"/>
      <c r="G105" s="285">
        <v>0</v>
      </c>
      <c r="I105" s="285">
        <v>0</v>
      </c>
      <c r="K105" s="285">
        <v>0</v>
      </c>
      <c r="M105" s="320"/>
      <c r="N105" s="320"/>
      <c r="O105" s="285">
        <v>0</v>
      </c>
      <c r="P105" s="285">
        <v>5000</v>
      </c>
    </row>
    <row r="106" spans="1:32" outlineLevel="1">
      <c r="B106" s="10" t="s">
        <v>169</v>
      </c>
      <c r="C106" s="10"/>
      <c r="D106" s="10"/>
      <c r="E106" s="10"/>
      <c r="F106" s="10"/>
      <c r="G106" s="285">
        <v>527</v>
      </c>
      <c r="I106" s="285">
        <v>6595</v>
      </c>
      <c r="J106" s="285">
        <v>27011</v>
      </c>
      <c r="K106" s="285">
        <v>24975</v>
      </c>
      <c r="L106" s="285">
        <v>12413</v>
      </c>
      <c r="M106" s="320"/>
      <c r="N106" s="320"/>
      <c r="O106" s="285">
        <v>7822</v>
      </c>
      <c r="P106" s="285">
        <v>3351</v>
      </c>
      <c r="R106" s="285">
        <f>Assumption!R253</f>
        <v>10140.954230801974</v>
      </c>
      <c r="S106" s="285">
        <f>Assumption!S253</f>
        <v>11252.42215716321</v>
      </c>
      <c r="T106" s="285">
        <f>Assumption!T253</f>
        <v>13079.649168274063</v>
      </c>
      <c r="U106" s="285">
        <f>Assumption!U253</f>
        <v>15011.181382693121</v>
      </c>
      <c r="V106" s="285">
        <f>Assumption!V253</f>
        <v>16942.792790298685</v>
      </c>
      <c r="W106" s="285">
        <f>Assumption!W253</f>
        <v>18157.041412109513</v>
      </c>
    </row>
    <row r="107" spans="1:32" outlineLevel="1">
      <c r="A107" s="11" t="s">
        <v>24</v>
      </c>
      <c r="B107" s="19"/>
      <c r="C107" s="19"/>
      <c r="D107" s="19"/>
      <c r="E107" s="19"/>
      <c r="F107" s="19"/>
      <c r="G107" s="338">
        <f>SUM(G101:G106)</f>
        <v>67495</v>
      </c>
      <c r="H107" s="345"/>
      <c r="I107" s="338">
        <f t="shared" ref="I107:U107" si="61">SUM(I101:I106)</f>
        <v>127436</v>
      </c>
      <c r="J107" s="338">
        <f t="shared" si="61"/>
        <v>210791</v>
      </c>
      <c r="K107" s="338">
        <f t="shared" si="61"/>
        <v>263788</v>
      </c>
      <c r="L107" s="338">
        <f>SUM(L101:L106)</f>
        <v>234876</v>
      </c>
      <c r="M107" s="351"/>
      <c r="N107" s="351"/>
      <c r="O107" s="338">
        <f t="shared" si="61"/>
        <v>205664</v>
      </c>
      <c r="P107" s="338">
        <f>SUM(P101:P106)</f>
        <v>220903</v>
      </c>
      <c r="Q107" s="338"/>
      <c r="R107" s="338">
        <f t="shared" si="61"/>
        <v>301554.38852695411</v>
      </c>
      <c r="S107" s="338">
        <f t="shared" si="61"/>
        <v>321063.50568864867</v>
      </c>
      <c r="T107" s="338">
        <f t="shared" si="61"/>
        <v>358166.33009478357</v>
      </c>
      <c r="U107" s="338">
        <f t="shared" si="61"/>
        <v>398776.44513781398</v>
      </c>
      <c r="V107" s="338">
        <f>SUM(V101:V106)</f>
        <v>440799.26956625882</v>
      </c>
      <c r="W107" s="338">
        <f>SUM(W101:W106)</f>
        <v>469040.54529388004</v>
      </c>
      <c r="X107" s="284"/>
      <c r="Y107" s="269"/>
      <c r="Z107" s="269"/>
      <c r="AA107" s="269"/>
      <c r="AF107" s="19"/>
    </row>
    <row r="108" spans="1:32" ht="12" outlineLevel="1" thickBot="1">
      <c r="A108" s="16" t="s">
        <v>25</v>
      </c>
      <c r="B108" s="23"/>
      <c r="C108" s="23"/>
      <c r="D108" s="23"/>
      <c r="E108" s="23"/>
      <c r="F108" s="23"/>
      <c r="G108" s="344">
        <f>G107+G100</f>
        <v>1773673</v>
      </c>
      <c r="H108" s="346"/>
      <c r="I108" s="344">
        <f t="shared" ref="I108:U108" si="62">I107+I100</f>
        <v>2466089</v>
      </c>
      <c r="J108" s="344">
        <f t="shared" si="62"/>
        <v>4236613</v>
      </c>
      <c r="K108" s="344">
        <f t="shared" si="62"/>
        <v>3998101</v>
      </c>
      <c r="L108" s="344">
        <f>L107+L100</f>
        <v>4524127</v>
      </c>
      <c r="M108" s="346"/>
      <c r="N108" s="346"/>
      <c r="O108" s="344">
        <f t="shared" si="62"/>
        <v>4722502</v>
      </c>
      <c r="P108" s="344">
        <f>P107+P100</f>
        <v>5911440</v>
      </c>
      <c r="Q108" s="344"/>
      <c r="R108" s="344">
        <f t="shared" si="62"/>
        <v>6189474.9207725246</v>
      </c>
      <c r="S108" s="344">
        <f t="shared" si="62"/>
        <v>6871409.1221777257</v>
      </c>
      <c r="T108" s="344">
        <f t="shared" si="62"/>
        <v>7988413.2484060042</v>
      </c>
      <c r="U108" s="344">
        <f t="shared" si="62"/>
        <v>9188921.5955064949</v>
      </c>
      <c r="V108" s="344">
        <f>V107+V100</f>
        <v>10414778.697219212</v>
      </c>
      <c r="W108" s="344">
        <f>W107+W100</f>
        <v>11230742.816218384</v>
      </c>
      <c r="X108" s="284"/>
      <c r="Y108" s="269"/>
      <c r="Z108" s="269"/>
      <c r="AA108" s="269"/>
      <c r="AF108" s="23"/>
    </row>
    <row r="109" spans="1:32" outlineLevel="1">
      <c r="A109" s="14"/>
      <c r="B109" s="14"/>
    </row>
    <row r="110" spans="1:32" outlineLevel="1">
      <c r="A110" s="14" t="s">
        <v>45</v>
      </c>
      <c r="B110" s="14"/>
    </row>
    <row r="111" spans="1:32" outlineLevel="2">
      <c r="B111" s="7" t="s">
        <v>26</v>
      </c>
      <c r="G111" s="285">
        <v>360000</v>
      </c>
      <c r="H111" s="320"/>
      <c r="I111" s="285">
        <v>360000</v>
      </c>
      <c r="J111" s="285">
        <v>360000</v>
      </c>
      <c r="K111" s="285">
        <v>360000</v>
      </c>
      <c r="L111" s="285">
        <v>360000</v>
      </c>
      <c r="M111" s="320"/>
      <c r="N111" s="320"/>
      <c r="O111" s="285">
        <v>360000</v>
      </c>
      <c r="P111" s="285">
        <v>379619</v>
      </c>
      <c r="Q111" s="285">
        <f>R111</f>
        <v>379619</v>
      </c>
      <c r="R111" s="285">
        <f>P111</f>
        <v>379619</v>
      </c>
      <c r="S111" s="285">
        <f>R111</f>
        <v>379619</v>
      </c>
      <c r="T111" s="285">
        <f>S111</f>
        <v>379619</v>
      </c>
      <c r="U111" s="285">
        <f>T111</f>
        <v>379619</v>
      </c>
      <c r="V111" s="285">
        <f>U111</f>
        <v>379619</v>
      </c>
      <c r="W111" s="285">
        <f>V111</f>
        <v>379619</v>
      </c>
    </row>
    <row r="112" spans="1:32" outlineLevel="2">
      <c r="B112" s="7" t="s">
        <v>27</v>
      </c>
      <c r="G112" s="285">
        <v>5177351</v>
      </c>
      <c r="H112" s="320"/>
      <c r="I112" s="285">
        <v>7094297</v>
      </c>
      <c r="J112" s="285">
        <v>9403465</v>
      </c>
      <c r="K112" s="285">
        <v>10146993</v>
      </c>
      <c r="L112" s="285">
        <v>13641298</v>
      </c>
      <c r="M112" s="320"/>
      <c r="N112" s="320"/>
      <c r="O112" s="285">
        <v>14595519</v>
      </c>
      <c r="P112" s="285">
        <v>20870625</v>
      </c>
      <c r="R112" s="285">
        <f>Assumption!R379</f>
        <v>23367516.077288374</v>
      </c>
      <c r="S112" s="285">
        <f>Assumption!S379</f>
        <v>29526689.93762321</v>
      </c>
      <c r="T112" s="285">
        <f>Assumption!T379</f>
        <v>36724950.908333048</v>
      </c>
      <c r="U112" s="285">
        <f>Assumption!U379</f>
        <v>45048531.350862719</v>
      </c>
      <c r="V112" s="285">
        <f>Assumption!V379</f>
        <v>54518648.534193575</v>
      </c>
      <c r="W112" s="285">
        <f>Assumption!W379</f>
        <v>64807366.149685621</v>
      </c>
    </row>
    <row r="113" spans="1:37" outlineLevel="2">
      <c r="B113" s="281" t="s">
        <v>28</v>
      </c>
      <c r="C113" s="281"/>
      <c r="D113" s="281"/>
      <c r="E113" s="281"/>
      <c r="G113" s="285">
        <v>5359</v>
      </c>
      <c r="H113" s="320"/>
      <c r="I113" s="285">
        <v>24970</v>
      </c>
      <c r="J113" s="285">
        <v>90177</v>
      </c>
      <c r="K113" s="285">
        <v>88472</v>
      </c>
      <c r="L113" s="285">
        <v>94908</v>
      </c>
      <c r="M113" s="320"/>
      <c r="N113" s="320"/>
      <c r="O113" s="285">
        <v>105301</v>
      </c>
      <c r="P113" s="285">
        <v>131220</v>
      </c>
      <c r="R113" s="285">
        <f>Assumption!R389</f>
        <v>143416.00750118861</v>
      </c>
      <c r="S113" s="285">
        <f>Assumption!S389</f>
        <v>186265.68971582176</v>
      </c>
      <c r="T113" s="285">
        <f>Assumption!T389</f>
        <v>236344.35320010685</v>
      </c>
      <c r="U113" s="285">
        <f>Assumption!U389</f>
        <v>294251.92082816898</v>
      </c>
      <c r="V113" s="285">
        <f>Assumption!V389</f>
        <v>360136.00220706407</v>
      </c>
      <c r="W113" s="285">
        <f>Assumption!W389</f>
        <v>431715.12794974365</v>
      </c>
    </row>
    <row r="114" spans="1:37" outlineLevel="1">
      <c r="A114" s="11" t="s">
        <v>46</v>
      </c>
      <c r="B114" s="11"/>
      <c r="C114" s="11"/>
      <c r="D114" s="11"/>
      <c r="E114" s="11"/>
      <c r="F114" s="11"/>
      <c r="G114" s="338">
        <f>SUM(G111:G113)</f>
        <v>5542710</v>
      </c>
      <c r="H114" s="345"/>
      <c r="I114" s="338">
        <f t="shared" ref="I114:U114" si="63">SUM(I111:I113)</f>
        <v>7479267</v>
      </c>
      <c r="J114" s="338">
        <f t="shared" si="63"/>
        <v>9853642</v>
      </c>
      <c r="K114" s="338">
        <f t="shared" si="63"/>
        <v>10595465</v>
      </c>
      <c r="L114" s="338">
        <f>SUM(L111:L113)</f>
        <v>14096206</v>
      </c>
      <c r="M114" s="351"/>
      <c r="N114" s="351"/>
      <c r="O114" s="338">
        <f t="shared" si="63"/>
        <v>15060820</v>
      </c>
      <c r="P114" s="338">
        <f>SUM(P111:P113)</f>
        <v>21381464</v>
      </c>
      <c r="Q114" s="338"/>
      <c r="R114" s="338">
        <f t="shared" si="63"/>
        <v>23890551.084789563</v>
      </c>
      <c r="S114" s="338">
        <f t="shared" si="63"/>
        <v>30092574.627339032</v>
      </c>
      <c r="T114" s="338">
        <f t="shared" si="63"/>
        <v>37340914.261533156</v>
      </c>
      <c r="U114" s="338">
        <f t="shared" si="63"/>
        <v>45722402.27169089</v>
      </c>
      <c r="V114" s="338">
        <f>SUM(V111:V113)</f>
        <v>55258403.536400639</v>
      </c>
      <c r="W114" s="338">
        <f>SUM(W111:W113)</f>
        <v>65618700.277635366</v>
      </c>
      <c r="X114" s="284"/>
      <c r="Y114" s="269"/>
      <c r="Z114" s="269"/>
      <c r="AA114" s="269"/>
      <c r="AF114" s="19"/>
    </row>
    <row r="115" spans="1:37" ht="12" outlineLevel="1" thickBot="1">
      <c r="A115" s="16" t="s">
        <v>29</v>
      </c>
      <c r="B115" s="16"/>
      <c r="C115" s="16"/>
      <c r="D115" s="16"/>
      <c r="E115" s="16"/>
      <c r="F115" s="16"/>
      <c r="G115" s="344">
        <f>G108+G114</f>
        <v>7316383</v>
      </c>
      <c r="H115" s="346"/>
      <c r="I115" s="344">
        <f t="shared" ref="I115:U115" si="64">I108+I114</f>
        <v>9945356</v>
      </c>
      <c r="J115" s="344">
        <f t="shared" si="64"/>
        <v>14090255</v>
      </c>
      <c r="K115" s="344">
        <f>K108+K114</f>
        <v>14593566</v>
      </c>
      <c r="L115" s="344">
        <f>L108+L114</f>
        <v>18620333</v>
      </c>
      <c r="M115" s="346"/>
      <c r="N115" s="346"/>
      <c r="O115" s="344">
        <f t="shared" si="64"/>
        <v>19783322</v>
      </c>
      <c r="P115" s="344">
        <f>P108+P114</f>
        <v>27292904</v>
      </c>
      <c r="Q115" s="344"/>
      <c r="R115" s="344">
        <f t="shared" si="64"/>
        <v>30080026.005562089</v>
      </c>
      <c r="S115" s="344">
        <f t="shared" si="64"/>
        <v>36963983.749516755</v>
      </c>
      <c r="T115" s="344">
        <f t="shared" si="64"/>
        <v>45329327.509939164</v>
      </c>
      <c r="U115" s="344">
        <f t="shared" si="64"/>
        <v>54911323.867197387</v>
      </c>
      <c r="V115" s="344">
        <f>V108+V114</f>
        <v>65673182.233619854</v>
      </c>
      <c r="W115" s="344">
        <f>W108+W114</f>
        <v>76849443.093853742</v>
      </c>
      <c r="X115" s="284"/>
      <c r="Y115" s="269"/>
      <c r="Z115" s="269"/>
      <c r="AA115" s="269"/>
      <c r="AF115" s="23"/>
    </row>
    <row r="116" spans="1:37" s="17" customFormat="1" outlineLevel="2">
      <c r="A116" s="15"/>
      <c r="B116" s="15" t="s">
        <v>30</v>
      </c>
      <c r="G116" s="347">
        <f t="shared" ref="G116:U116" si="65">ROUND(G91-G115,0)</f>
        <v>0</v>
      </c>
      <c r="H116" s="347">
        <f t="shared" si="65"/>
        <v>0</v>
      </c>
      <c r="I116" s="347">
        <f t="shared" si="65"/>
        <v>0</v>
      </c>
      <c r="J116" s="347">
        <f t="shared" si="65"/>
        <v>0</v>
      </c>
      <c r="K116" s="347">
        <f>ROUND(K91-K115,0)</f>
        <v>0</v>
      </c>
      <c r="L116" s="347">
        <f>ROUND(L91-L115,0)</f>
        <v>0</v>
      </c>
      <c r="M116" s="352"/>
      <c r="N116" s="352"/>
      <c r="O116" s="347">
        <f t="shared" si="65"/>
        <v>0</v>
      </c>
      <c r="P116" s="347">
        <f t="shared" si="65"/>
        <v>0</v>
      </c>
      <c r="Q116" s="347"/>
      <c r="R116" s="347">
        <f t="shared" si="65"/>
        <v>0</v>
      </c>
      <c r="S116" s="347">
        <f t="shared" si="65"/>
        <v>0</v>
      </c>
      <c r="T116" s="347">
        <f t="shared" si="65"/>
        <v>0</v>
      </c>
      <c r="U116" s="347">
        <f t="shared" si="65"/>
        <v>0</v>
      </c>
      <c r="V116" s="347">
        <f>ROUND(V91-V115,0)</f>
        <v>0</v>
      </c>
      <c r="W116" s="347">
        <f>ROUND(W91-W115,0)</f>
        <v>0</v>
      </c>
      <c r="X116" s="347"/>
      <c r="Y116" s="18"/>
      <c r="Z116" s="18"/>
      <c r="AA116" s="18"/>
      <c r="AB116" s="32"/>
      <c r="AC116" s="18"/>
      <c r="AD116" s="18"/>
      <c r="AE116" s="18"/>
      <c r="AF116" s="18"/>
      <c r="AG116" s="18"/>
      <c r="AH116" s="18"/>
      <c r="AI116" s="18"/>
      <c r="AJ116" s="18"/>
      <c r="AK116" s="18"/>
    </row>
    <row r="117" spans="1:37" outlineLevel="1">
      <c r="K117" s="286"/>
      <c r="L117" s="286"/>
      <c r="M117" s="286"/>
      <c r="N117" s="286"/>
      <c r="O117" s="286"/>
      <c r="P117" s="286"/>
      <c r="Q117" s="286"/>
      <c r="R117" s="286"/>
      <c r="S117" s="286"/>
      <c r="T117" s="286"/>
      <c r="U117" s="286"/>
      <c r="V117" s="286"/>
      <c r="W117" s="286"/>
      <c r="X117" s="286"/>
      <c r="Y117" s="13"/>
      <c r="Z117" s="13"/>
      <c r="AA117" s="13"/>
      <c r="AF117" s="13"/>
    </row>
    <row r="118" spans="1:37" s="232" customFormat="1" outlineLevel="1">
      <c r="A118" s="231" t="s">
        <v>164</v>
      </c>
      <c r="G118" s="341"/>
      <c r="H118" s="341"/>
      <c r="I118" s="341"/>
      <c r="J118" s="341"/>
      <c r="K118" s="341"/>
      <c r="L118" s="341"/>
      <c r="M118" s="353"/>
      <c r="N118" s="353"/>
      <c r="O118" s="341"/>
      <c r="P118" s="341"/>
      <c r="Q118" s="341"/>
      <c r="R118" s="341"/>
      <c r="S118" s="341"/>
      <c r="T118" s="341"/>
      <c r="U118" s="341"/>
      <c r="V118" s="341"/>
      <c r="W118" s="341"/>
      <c r="X118" s="341"/>
    </row>
    <row r="119" spans="1:37" s="232" customFormat="1" outlineLevel="1">
      <c r="A119" s="232" t="s">
        <v>450</v>
      </c>
      <c r="G119" s="249">
        <f>IFERROR(G75/G$10,"")*-1</f>
        <v>0.17614931159214331</v>
      </c>
      <c r="H119" s="249"/>
      <c r="I119" s="249">
        <f>IFERROR(I75/I$10,"")*-1</f>
        <v>0.15841270298106436</v>
      </c>
      <c r="J119" s="249">
        <f t="shared" ref="J119:U119" si="66">IFERROR(J75/J$10,"")*-1</f>
        <v>0.2195408834548673</v>
      </c>
      <c r="K119" s="249">
        <f>IFERROR(K75/K$10,"")*-1</f>
        <v>0.15602574978512249</v>
      </c>
      <c r="L119" s="249">
        <f>IFERROR(L75/L$10,"")*-1</f>
        <v>0.14579068849501267</v>
      </c>
      <c r="M119" s="327"/>
      <c r="N119" s="327"/>
      <c r="O119" s="249">
        <f t="shared" si="66"/>
        <v>0.13211258831724668</v>
      </c>
      <c r="P119" s="249">
        <f>IFERROR(P75/P$10,"")*-1</f>
        <v>0.29421496088484012</v>
      </c>
      <c r="Q119" s="249"/>
      <c r="R119" s="249">
        <f t="shared" si="66"/>
        <v>0.13211258831724668</v>
      </c>
      <c r="S119" s="249">
        <f t="shared" si="66"/>
        <v>0.13211258831724665</v>
      </c>
      <c r="T119" s="249">
        <f t="shared" si="66"/>
        <v>0.13211258831724668</v>
      </c>
      <c r="U119" s="249">
        <f t="shared" si="66"/>
        <v>0.13211258831724668</v>
      </c>
      <c r="V119" s="249">
        <f>IFERROR(V75/V$10,"")*-1</f>
        <v>0.13211258831724668</v>
      </c>
      <c r="W119" s="249">
        <f>IFERROR(W75/W$10,"")*-1</f>
        <v>0.13211258831724668</v>
      </c>
      <c r="X119" s="249"/>
      <c r="Y119" s="233"/>
      <c r="Z119" s="233"/>
      <c r="AA119" s="233"/>
      <c r="AF119" s="233"/>
    </row>
    <row r="120" spans="1:37" s="232" customFormat="1" outlineLevel="1">
      <c r="A120" s="232" t="s">
        <v>451</v>
      </c>
      <c r="G120" s="249">
        <f>IFERROR(G76/G$8,"")</f>
        <v>1.9611658251687328E-4</v>
      </c>
      <c r="H120" s="249"/>
      <c r="I120" s="249">
        <f>IFERROR(I76/I$8,"")</f>
        <v>1.1351267058483038E-3</v>
      </c>
      <c r="J120" s="249">
        <f t="shared" ref="J120:U120" si="67">IFERROR(J76/J$8,"")</f>
        <v>1.8766572114879902E-3</v>
      </c>
      <c r="K120" s="249">
        <f>IFERROR(K76/K$8,"")</f>
        <v>1.402440541087006E-3</v>
      </c>
      <c r="L120" s="249">
        <f>IFERROR(L76/L$8,"")</f>
        <v>1.1525390774574751E-3</v>
      </c>
      <c r="M120" s="327"/>
      <c r="N120" s="327"/>
      <c r="O120" s="249">
        <f t="shared" si="67"/>
        <v>1.0320242472534197E-3</v>
      </c>
      <c r="P120" s="249">
        <f>IFERROR(P76/P$8,"")</f>
        <v>2.3361644509183278E-3</v>
      </c>
      <c r="Q120" s="249"/>
      <c r="R120" s="249">
        <f t="shared" si="67"/>
        <v>1.0320242472534197E-3</v>
      </c>
      <c r="S120" s="249">
        <f t="shared" si="67"/>
        <v>1.0320242472534197E-3</v>
      </c>
      <c r="T120" s="249">
        <f t="shared" si="67"/>
        <v>1.0320242472534197E-3</v>
      </c>
      <c r="U120" s="249">
        <f t="shared" si="67"/>
        <v>1.0320242472534194E-3</v>
      </c>
      <c r="V120" s="249">
        <f>IFERROR(V76/V$8,"")</f>
        <v>1.0320242472534197E-3</v>
      </c>
      <c r="W120" s="249">
        <f>IFERROR(W76/W$8,"")</f>
        <v>1.0320242472534194E-3</v>
      </c>
      <c r="X120" s="249"/>
      <c r="Y120" s="233"/>
      <c r="Z120" s="233"/>
      <c r="AA120" s="233"/>
      <c r="AF120" s="233"/>
    </row>
    <row r="121" spans="1:37" s="232" customFormat="1" outlineLevel="1">
      <c r="A121" s="232" t="s">
        <v>452</v>
      </c>
      <c r="G121" s="249">
        <f>IFERROR(G94/G$10,"")*-1</f>
        <v>8.3955338333762008E-2</v>
      </c>
      <c r="H121" s="249"/>
      <c r="I121" s="249">
        <f>IFERROR(I94/I$10,"")*-1</f>
        <v>9.0639281140209318E-2</v>
      </c>
      <c r="J121" s="249">
        <f t="shared" ref="J121:U121" si="68">IFERROR(J94/J$10,"")*-1</f>
        <v>0.1486415444185907</v>
      </c>
      <c r="K121" s="249">
        <f>IFERROR(K94/K$10,"")*-1</f>
        <v>9.2059998190652387E-2</v>
      </c>
      <c r="L121" s="249">
        <f>IFERROR(L94/L$10,"")*-1</f>
        <v>0.12716232162468621</v>
      </c>
      <c r="M121" s="327"/>
      <c r="N121" s="327"/>
      <c r="O121" s="249">
        <f t="shared" si="68"/>
        <v>0.10539078628014976</v>
      </c>
      <c r="P121" s="249">
        <f>IFERROR(P94/P$10,"")*-1</f>
        <v>0.24659623171154343</v>
      </c>
      <c r="Q121" s="249"/>
      <c r="R121" s="249">
        <f t="shared" si="68"/>
        <v>0.10813051230754701</v>
      </c>
      <c r="S121" s="249">
        <f t="shared" si="68"/>
        <v>0.11087023833494428</v>
      </c>
      <c r="T121" s="249">
        <f t="shared" si="68"/>
        <v>0.11360996436234153</v>
      </c>
      <c r="U121" s="249">
        <f t="shared" si="68"/>
        <v>0.1163496903897388</v>
      </c>
      <c r="V121" s="249">
        <f>IFERROR(V94/V$10,"")*-1</f>
        <v>0.11908941641713605</v>
      </c>
      <c r="W121" s="249">
        <f>IFERROR(W94/W$10,"")*-1</f>
        <v>0.1218291424445333</v>
      </c>
      <c r="X121" s="249"/>
      <c r="Y121" s="233"/>
      <c r="Z121" s="233"/>
      <c r="AA121" s="233"/>
      <c r="AF121" s="233"/>
    </row>
    <row r="122" spans="1:37" s="232" customFormat="1" outlineLevel="1">
      <c r="A122" s="232" t="s">
        <v>453</v>
      </c>
      <c r="G122" s="249">
        <f>IFERROR(-(G96+G106)/G$8,"")*-1</f>
        <v>2.9595634657413314E-2</v>
      </c>
      <c r="H122" s="249"/>
      <c r="I122" s="249">
        <f>IFERROR(-(I96+I106)/I$8,"")*-1</f>
        <v>1.5093281117995943E-2</v>
      </c>
      <c r="J122" s="249">
        <f t="shared" ref="J122:U122" si="69">IFERROR(-(J96+J106)/J$8,"")*-1</f>
        <v>2.1087382793376457E-2</v>
      </c>
      <c r="K122" s="249">
        <f>IFERROR(-(K96+K106)/K$8,"")*-1</f>
        <v>1.4000565941130794E-2</v>
      </c>
      <c r="L122" s="249">
        <f>IFERROR(-(L96+L106)/L$8,"")*-1</f>
        <v>2.2678856449291095E-2</v>
      </c>
      <c r="M122" s="327"/>
      <c r="N122" s="327"/>
      <c r="O122" s="249">
        <f t="shared" si="69"/>
        <v>1.4799624018390845E-2</v>
      </c>
      <c r="P122" s="249">
        <f>IFERROR(-(P96+P106)/P$8,"")*-1</f>
        <v>3.6218078497680203E-2</v>
      </c>
      <c r="Q122" s="249"/>
      <c r="R122" s="249">
        <f t="shared" si="69"/>
        <v>1.4799624018390845E-2</v>
      </c>
      <c r="S122" s="249">
        <f t="shared" si="69"/>
        <v>1.4799624018390845E-2</v>
      </c>
      <c r="T122" s="249">
        <f t="shared" si="69"/>
        <v>1.4799624018390843E-2</v>
      </c>
      <c r="U122" s="249">
        <f t="shared" si="69"/>
        <v>1.4799624018390845E-2</v>
      </c>
      <c r="V122" s="249">
        <f>IFERROR(-(V96+V106)/V$8,"")*-1</f>
        <v>1.4799624018390845E-2</v>
      </c>
      <c r="W122" s="249">
        <f>IFERROR(-(W96+W106)/W$8,"")*-1</f>
        <v>1.4799624018390845E-2</v>
      </c>
      <c r="X122" s="249"/>
      <c r="Y122" s="233"/>
      <c r="Z122" s="233"/>
      <c r="AA122" s="233"/>
      <c r="AF122" s="233"/>
    </row>
    <row r="123" spans="1:37" s="232" customFormat="1" outlineLevel="1">
      <c r="G123" s="249"/>
      <c r="H123" s="249"/>
      <c r="I123" s="249"/>
      <c r="J123" s="249"/>
      <c r="K123" s="249"/>
      <c r="L123" s="249"/>
      <c r="M123" s="327"/>
      <c r="N123" s="327"/>
      <c r="O123" s="249"/>
      <c r="P123" s="249"/>
      <c r="Q123" s="249"/>
      <c r="R123" s="249"/>
      <c r="S123" s="249"/>
      <c r="T123" s="249"/>
      <c r="U123" s="249"/>
      <c r="V123" s="249"/>
      <c r="W123" s="249"/>
      <c r="X123" s="249"/>
      <c r="Y123" s="233"/>
      <c r="Z123" s="233"/>
      <c r="AA123" s="233"/>
      <c r="AF123" s="233"/>
    </row>
    <row r="124" spans="1:37" s="232" customFormat="1" outlineLevel="1">
      <c r="A124" s="232" t="s">
        <v>166</v>
      </c>
      <c r="G124" s="348">
        <f>Assumption!G222</f>
        <v>-64.294498731132308</v>
      </c>
      <c r="H124" s="348">
        <f>Assumption!H222</f>
        <v>0</v>
      </c>
      <c r="I124" s="348">
        <f>Assumption!I222</f>
        <v>-57.82063658808849</v>
      </c>
      <c r="J124" s="348">
        <f>Assumption!J222</f>
        <v>41.656342929871954</v>
      </c>
      <c r="K124" s="348">
        <f>Assumption!K222</f>
        <v>-56.989797664433034</v>
      </c>
      <c r="L124" s="348">
        <f>Assumption!L222</f>
        <v>-39.363485893653419</v>
      </c>
      <c r="M124" s="354"/>
      <c r="N124" s="354"/>
      <c r="O124" s="348">
        <f>Assumption!O222</f>
        <v>-48.221094735795035</v>
      </c>
      <c r="P124" s="348">
        <f>Assumption!P222</f>
        <v>0</v>
      </c>
      <c r="Q124" s="348"/>
      <c r="R124" s="348">
        <f>Assumption!R222</f>
        <v>-48.221094735795035</v>
      </c>
      <c r="S124" s="348">
        <f>Assumption!S222</f>
        <v>-48.221094735795035</v>
      </c>
      <c r="T124" s="348">
        <f>Assumption!T222</f>
        <v>-48.221094735795035</v>
      </c>
      <c r="U124" s="348">
        <f>Assumption!U222</f>
        <v>-48.221094735795035</v>
      </c>
      <c r="V124" s="348">
        <f>Assumption!V222</f>
        <v>-48.221094735795035</v>
      </c>
      <c r="W124" s="348">
        <f>Assumption!W222</f>
        <v>-48.221094735795035</v>
      </c>
      <c r="X124" s="348"/>
      <c r="Y124" s="238"/>
      <c r="Z124" s="238"/>
      <c r="AA124" s="238"/>
      <c r="AF124" s="238"/>
    </row>
    <row r="125" spans="1:37" s="232" customFormat="1" outlineLevel="1">
      <c r="A125" s="232" t="s">
        <v>454</v>
      </c>
      <c r="G125" s="348">
        <f>Assumption!G228</f>
        <v>7.1582552618658743E-2</v>
      </c>
      <c r="H125" s="348">
        <f>Assumption!H228</f>
        <v>0</v>
      </c>
      <c r="I125" s="348">
        <f>Assumption!I228</f>
        <v>0.41432124763463091</v>
      </c>
      <c r="J125" s="348">
        <f>Assumption!J228</f>
        <v>0.50669744710175735</v>
      </c>
      <c r="K125" s="348">
        <f>Assumption!K228</f>
        <v>0.51189079749675714</v>
      </c>
      <c r="L125" s="348">
        <f>Assumption!L228</f>
        <v>0.31118555091351829</v>
      </c>
      <c r="M125" s="354"/>
      <c r="N125" s="354"/>
      <c r="O125" s="348">
        <f>Assumption!O228</f>
        <v>0.37668885024749815</v>
      </c>
      <c r="P125" s="348">
        <f>Assumption!P228</f>
        <v>0</v>
      </c>
      <c r="Q125" s="348"/>
      <c r="R125" s="348">
        <f>Assumption!R228</f>
        <v>0.37668885024749815</v>
      </c>
      <c r="S125" s="348">
        <f>Assumption!S228</f>
        <v>0.37668885024749815</v>
      </c>
      <c r="T125" s="348">
        <f>Assumption!T228</f>
        <v>0.37668885024749815</v>
      </c>
      <c r="U125" s="348">
        <f>Assumption!U228</f>
        <v>0.37668885024749815</v>
      </c>
      <c r="V125" s="348">
        <f>Assumption!V228</f>
        <v>0.37668885024749815</v>
      </c>
      <c r="W125" s="348">
        <f>Assumption!W228</f>
        <v>0.37668885024749815</v>
      </c>
      <c r="X125" s="348"/>
      <c r="Y125" s="238"/>
      <c r="Z125" s="238"/>
      <c r="AA125" s="238"/>
      <c r="AF125" s="238"/>
    </row>
    <row r="126" spans="1:37" s="232" customFormat="1" outlineLevel="1">
      <c r="A126" s="232" t="s">
        <v>455</v>
      </c>
      <c r="G126" s="348">
        <f>Assumption!G240</f>
        <v>30.643698491823134</v>
      </c>
      <c r="H126" s="348">
        <f>Assumption!H240</f>
        <v>0</v>
      </c>
      <c r="I126" s="348">
        <f>Assumption!I240</f>
        <v>33.083337616176401</v>
      </c>
      <c r="J126" s="348">
        <f>Assumption!J240</f>
        <v>40.133216993019488</v>
      </c>
      <c r="K126" s="348">
        <f>Assumption!K240</f>
        <v>33.625735989724554</v>
      </c>
      <c r="L126" s="348">
        <f>Assumption!L240</f>
        <v>34.333826838665274</v>
      </c>
      <c r="M126" s="354"/>
      <c r="N126" s="354"/>
      <c r="O126" s="348">
        <f>Assumption!O240</f>
        <v>38.467636992254661</v>
      </c>
      <c r="P126" s="348">
        <f>Assumption!P240</f>
        <v>0</v>
      </c>
      <c r="Q126" s="348"/>
      <c r="R126" s="348">
        <f>Assumption!R240</f>
        <v>39.467636992254661</v>
      </c>
      <c r="S126" s="348">
        <f>Assumption!S240</f>
        <v>40.467636992254661</v>
      </c>
      <c r="T126" s="348">
        <f>Assumption!T240</f>
        <v>41.467636992254661</v>
      </c>
      <c r="U126" s="348">
        <f>Assumption!U240</f>
        <v>42.467636992254661</v>
      </c>
      <c r="V126" s="348">
        <f>Assumption!V240</f>
        <v>43.467636992254661</v>
      </c>
      <c r="W126" s="348">
        <f>Assumption!W240</f>
        <v>44.467636992254661</v>
      </c>
      <c r="X126" s="348"/>
      <c r="Y126" s="238"/>
      <c r="Z126" s="238"/>
      <c r="AA126" s="238"/>
      <c r="AF126" s="238"/>
    </row>
    <row r="127" spans="1:37" s="232" customFormat="1" outlineLevel="1">
      <c r="A127" s="232" t="s">
        <v>456</v>
      </c>
      <c r="G127" s="348">
        <f>Assumption!G258</f>
        <v>10.802406649955859</v>
      </c>
      <c r="H127" s="348">
        <f>Assumption!H258</f>
        <v>0</v>
      </c>
      <c r="I127" s="348">
        <f>Assumption!I258</f>
        <v>5.5090476080685189</v>
      </c>
      <c r="J127" s="348">
        <f>Assumption!J258</f>
        <v>7.6968947195824065</v>
      </c>
      <c r="K127" s="348">
        <f>Assumption!K258</f>
        <v>5.1102065685127398</v>
      </c>
      <c r="L127" s="348">
        <f>Assumption!L258</f>
        <v>8.2777826039912501</v>
      </c>
      <c r="M127" s="354"/>
      <c r="N127" s="354"/>
      <c r="O127" s="348">
        <f>Assumption!O258</f>
        <v>5.4018627667126582</v>
      </c>
      <c r="P127" s="348">
        <f>Assumption!P258</f>
        <v>0</v>
      </c>
      <c r="Q127" s="348"/>
      <c r="R127" s="348">
        <f>Assumption!R258</f>
        <v>5.4018627667126582</v>
      </c>
      <c r="S127" s="348">
        <f>Assumption!S258</f>
        <v>5.4018627667126582</v>
      </c>
      <c r="T127" s="348">
        <f>Assumption!T258</f>
        <v>5.4018627667126582</v>
      </c>
      <c r="U127" s="348">
        <f>Assumption!U258</f>
        <v>5.4018627667126582</v>
      </c>
      <c r="V127" s="348">
        <f>Assumption!V258</f>
        <v>5.4018627667126582</v>
      </c>
      <c r="W127" s="348">
        <f>Assumption!W258</f>
        <v>5.4018627667126582</v>
      </c>
      <c r="X127" s="348"/>
      <c r="Y127" s="238"/>
      <c r="Z127" s="238"/>
      <c r="AA127" s="238"/>
      <c r="AF127" s="238"/>
    </row>
    <row r="128" spans="1:37" s="232" customFormat="1" outlineLevel="1">
      <c r="A128" s="232" t="s">
        <v>457</v>
      </c>
      <c r="G128" s="348">
        <f>G124+G125-G126-G127</f>
        <v>-105.66902132029263</v>
      </c>
      <c r="H128" s="348">
        <f t="shared" ref="H128:U128" si="70">H124+H125-H126-H127</f>
        <v>0</v>
      </c>
      <c r="I128" s="348">
        <f t="shared" si="70"/>
        <v>-95.99870056469878</v>
      </c>
      <c r="J128" s="348">
        <f t="shared" si="70"/>
        <v>-5.667071335628183</v>
      </c>
      <c r="K128" s="348">
        <f>K124+K125-K126-K127</f>
        <v>-95.213849425173564</v>
      </c>
      <c r="L128" s="348">
        <f>L124+L125-L126-L127</f>
        <v>-81.663909785396427</v>
      </c>
      <c r="M128" s="354"/>
      <c r="N128" s="354"/>
      <c r="O128" s="348">
        <f t="shared" si="70"/>
        <v>-91.713905644514853</v>
      </c>
      <c r="P128" s="348">
        <f>P124+P125-P126-P127</f>
        <v>0</v>
      </c>
      <c r="Q128" s="348"/>
      <c r="R128" s="348">
        <f t="shared" si="70"/>
        <v>-92.713905644514853</v>
      </c>
      <c r="S128" s="348">
        <f t="shared" si="70"/>
        <v>-93.713905644514853</v>
      </c>
      <c r="T128" s="348">
        <f t="shared" si="70"/>
        <v>-94.713905644514853</v>
      </c>
      <c r="U128" s="348">
        <f t="shared" si="70"/>
        <v>-95.713905644514853</v>
      </c>
      <c r="V128" s="348">
        <f>V124+V125-V126-V127</f>
        <v>-96.713905644514853</v>
      </c>
      <c r="W128" s="348">
        <f>W124+W125-W126-W127</f>
        <v>-97.713905644514853</v>
      </c>
      <c r="X128" s="348"/>
      <c r="Y128" s="238"/>
      <c r="Z128" s="238"/>
      <c r="AA128" s="238"/>
      <c r="AF128" s="238"/>
    </row>
    <row r="129" spans="1:32" s="232" customFormat="1" outlineLevel="1">
      <c r="G129" s="249"/>
      <c r="H129" s="249"/>
      <c r="I129" s="249"/>
      <c r="J129" s="249"/>
      <c r="K129" s="249"/>
      <c r="L129" s="249"/>
      <c r="M129" s="327"/>
      <c r="N129" s="327"/>
      <c r="O129" s="249"/>
      <c r="P129" s="249"/>
      <c r="Q129" s="249"/>
      <c r="R129" s="249"/>
      <c r="S129" s="249"/>
      <c r="T129" s="249"/>
      <c r="U129" s="249"/>
      <c r="V129" s="249"/>
      <c r="W129" s="249"/>
      <c r="X129" s="249"/>
      <c r="Y129" s="233"/>
      <c r="Z129" s="233"/>
      <c r="AA129" s="233"/>
      <c r="AF129" s="233"/>
    </row>
    <row r="130" spans="1:32" s="232" customFormat="1" outlineLevel="1">
      <c r="A130" s="232" t="s">
        <v>458</v>
      </c>
      <c r="G130" s="312">
        <f>G114/G34</f>
        <v>15.396416666666667</v>
      </c>
      <c r="H130" s="312"/>
      <c r="I130" s="312">
        <f t="shared" ref="I130:U130" si="71">I114/I34</f>
        <v>20.775741666666665</v>
      </c>
      <c r="J130" s="312">
        <f t="shared" si="71"/>
        <v>27.371227777777779</v>
      </c>
      <c r="K130" s="312">
        <f>K114/K34</f>
        <v>29.43184722222222</v>
      </c>
      <c r="L130" s="312">
        <f>L114/L34</f>
        <v>39.156127777777776</v>
      </c>
      <c r="M130" s="334"/>
      <c r="N130" s="334"/>
      <c r="O130" s="312">
        <f t="shared" si="71"/>
        <v>41.835611111111113</v>
      </c>
      <c r="P130" s="312">
        <f>P114/P34</f>
        <v>56.323482228234099</v>
      </c>
      <c r="Q130" s="312"/>
      <c r="R130" s="312">
        <f t="shared" si="71"/>
        <v>62.932969858699281</v>
      </c>
      <c r="S130" s="312">
        <f t="shared" si="71"/>
        <v>79.27046493283801</v>
      </c>
      <c r="T130" s="312">
        <f t="shared" si="71"/>
        <v>98.364186886149412</v>
      </c>
      <c r="U130" s="312">
        <f t="shared" si="71"/>
        <v>120.44287106728297</v>
      </c>
      <c r="V130" s="312">
        <f>V114/V34</f>
        <v>145.56279726884227</v>
      </c>
      <c r="W130" s="312">
        <f>W114/W34</f>
        <v>172.85409918269465</v>
      </c>
      <c r="X130" s="312"/>
      <c r="Y130" s="239"/>
      <c r="Z130" s="239"/>
      <c r="AA130" s="239"/>
      <c r="AF130" s="239"/>
    </row>
    <row r="131" spans="1:32" s="232" customFormat="1" outlineLevel="1">
      <c r="G131" s="288"/>
      <c r="H131" s="288"/>
      <c r="I131" s="288"/>
      <c r="J131" s="288"/>
      <c r="K131" s="288"/>
      <c r="L131" s="288"/>
      <c r="M131" s="320"/>
      <c r="N131" s="320"/>
      <c r="O131" s="288"/>
      <c r="P131" s="288"/>
      <c r="Q131" s="288"/>
      <c r="R131" s="288"/>
      <c r="S131" s="288"/>
      <c r="T131" s="288"/>
      <c r="U131" s="288"/>
      <c r="V131" s="288"/>
      <c r="W131" s="288"/>
      <c r="X131" s="288"/>
      <c r="Y131" s="234"/>
      <c r="Z131" s="234"/>
      <c r="AA131" s="234"/>
      <c r="AF131" s="234"/>
    </row>
    <row r="132" spans="1:32" s="232" customFormat="1" outlineLevel="1">
      <c r="A132" s="232" t="s">
        <v>459</v>
      </c>
      <c r="G132" s="288">
        <f>G79+G80+G88-G98-G97-G102</f>
        <v>2594933</v>
      </c>
      <c r="H132" s="288"/>
      <c r="I132" s="288">
        <f>I79+I80+I88-I98-I97-I102</f>
        <v>2547647</v>
      </c>
      <c r="J132" s="288">
        <f>J79+J80-J98-J97-J102</f>
        <v>3499566</v>
      </c>
      <c r="K132" s="288">
        <f>K79+K80+K88-K98-K97-K102</f>
        <v>5651351</v>
      </c>
      <c r="L132" s="288">
        <f>L79+L80-L98-L97-L102</f>
        <v>6219198</v>
      </c>
      <c r="M132" s="320"/>
      <c r="N132" s="320"/>
      <c r="O132" s="288">
        <f>O79+O80+O88-O98-O97-O102</f>
        <v>7525301</v>
      </c>
      <c r="P132" s="288">
        <f>P79+P80+P88-P98-P97-P102</f>
        <v>12387183</v>
      </c>
      <c r="Q132" s="288"/>
      <c r="R132" s="288">
        <f t="shared" ref="R132:W132" si="72">R79+R80+R88-R98-R97-R102</f>
        <v>15571506.311935145</v>
      </c>
      <c r="S132" s="288">
        <f t="shared" si="72"/>
        <v>20962269.56326529</v>
      </c>
      <c r="T132" s="288">
        <f t="shared" si="72"/>
        <v>28096078.862052862</v>
      </c>
      <c r="U132" s="288">
        <f t="shared" si="72"/>
        <v>36527231.745439604</v>
      </c>
      <c r="V132" s="288">
        <f t="shared" si="72"/>
        <v>46273500.875625245</v>
      </c>
      <c r="W132" s="288">
        <f t="shared" si="72"/>
        <v>56830961.492403761</v>
      </c>
      <c r="X132" s="288"/>
      <c r="Y132" s="234"/>
      <c r="Z132" s="234"/>
      <c r="AA132" s="234"/>
      <c r="AF132" s="234"/>
    </row>
    <row r="133" spans="1:32" s="232" customFormat="1" outlineLevel="1">
      <c r="A133" s="232" t="s">
        <v>52</v>
      </c>
      <c r="G133" s="288">
        <f>Assumption!G267</f>
        <v>-69942</v>
      </c>
      <c r="H133" s="288"/>
      <c r="I133" s="288">
        <f>Assumption!I267</f>
        <v>-193821</v>
      </c>
      <c r="J133" s="288">
        <f>Assumption!J267</f>
        <v>-619235</v>
      </c>
      <c r="K133" s="288">
        <f>Assumption!K267</f>
        <v>-630433</v>
      </c>
      <c r="L133" s="288">
        <f>Assumption!L267</f>
        <v>-1562594</v>
      </c>
      <c r="M133" s="320"/>
      <c r="N133" s="320"/>
      <c r="O133" s="288">
        <f>Assumption!O267</f>
        <v>-1558955</v>
      </c>
      <c r="P133" s="288">
        <f>Assumption!P267</f>
        <v>0</v>
      </c>
      <c r="Q133" s="288"/>
      <c r="R133" s="288">
        <f>Assumption!R267</f>
        <v>-2184371.2112502912</v>
      </c>
      <c r="S133" s="288">
        <f>Assumption!S267</f>
        <v>-2489117.2532411264</v>
      </c>
      <c r="T133" s="288">
        <f>Assumption!T267</f>
        <v>-2971622.6739780772</v>
      </c>
      <c r="U133" s="288">
        <f>Assumption!U267</f>
        <v>-3499226.9457480558</v>
      </c>
      <c r="V133" s="288">
        <f>Assumption!V267</f>
        <v>-4049384.5767979114</v>
      </c>
      <c r="W133" s="288">
        <f>Assumption!W267</f>
        <v>-4441494.4989248579</v>
      </c>
      <c r="X133" s="288"/>
      <c r="Y133" s="234"/>
      <c r="Z133" s="234"/>
      <c r="AA133" s="234"/>
      <c r="AF133" s="234"/>
    </row>
    <row r="134" spans="1:32" s="232" customFormat="1" outlineLevel="1">
      <c r="A134" s="232" t="s">
        <v>460</v>
      </c>
      <c r="G134" s="288">
        <f>G133+G90</f>
        <v>2172675</v>
      </c>
      <c r="H134" s="288"/>
      <c r="I134" s="288">
        <f>I133+I90</f>
        <v>3195470</v>
      </c>
      <c r="J134" s="288">
        <f>J133+J90</f>
        <v>4131781</v>
      </c>
      <c r="K134" s="288">
        <f>K133+K90</f>
        <v>4814948</v>
      </c>
      <c r="L134" s="288">
        <f>L133+L90</f>
        <v>5550839</v>
      </c>
      <c r="M134" s="320"/>
      <c r="N134" s="320"/>
      <c r="O134" s="288">
        <f>O133+O90</f>
        <v>6328316</v>
      </c>
      <c r="P134" s="288">
        <f>P133+P90</f>
        <v>8911790</v>
      </c>
      <c r="Q134" s="288"/>
      <c r="R134" s="288">
        <f t="shared" ref="R134:W134" si="73">R133+R90</f>
        <v>6900437.2290193168</v>
      </c>
      <c r="S134" s="288">
        <f t="shared" si="73"/>
        <v>7487493.3055454036</v>
      </c>
      <c r="T134" s="288">
        <f t="shared" si="73"/>
        <v>7364244.7882636171</v>
      </c>
      <c r="U134" s="288">
        <f t="shared" si="73"/>
        <v>7062404.536158964</v>
      </c>
      <c r="V134" s="288">
        <f t="shared" si="73"/>
        <v>6584693.1154968403</v>
      </c>
      <c r="W134" s="288">
        <f t="shared" si="73"/>
        <v>6103893.0835227044</v>
      </c>
      <c r="X134" s="288"/>
      <c r="Y134" s="234"/>
      <c r="Z134" s="234"/>
      <c r="AA134" s="234"/>
      <c r="AF134" s="234"/>
    </row>
    <row r="135" spans="1:32" s="232" customFormat="1" outlineLevel="1">
      <c r="G135" s="288"/>
      <c r="H135" s="288"/>
      <c r="I135" s="288"/>
      <c r="J135" s="288"/>
      <c r="K135" s="288"/>
      <c r="L135" s="288"/>
      <c r="M135" s="320"/>
      <c r="N135" s="320"/>
      <c r="O135" s="288">
        <f>O114-O80-O79-O78</f>
        <v>5918250</v>
      </c>
      <c r="P135" s="288">
        <f>P114-P80-P79-P78</f>
        <v>6512006</v>
      </c>
      <c r="Q135" s="288"/>
      <c r="R135" s="288"/>
      <c r="S135" s="288"/>
      <c r="T135" s="288"/>
      <c r="U135" s="288"/>
      <c r="V135" s="288"/>
      <c r="W135" s="288"/>
      <c r="X135" s="288"/>
      <c r="Y135" s="234"/>
      <c r="Z135" s="234"/>
      <c r="AA135" s="234"/>
      <c r="AF135" s="234"/>
    </row>
    <row r="136" spans="1:32" s="232" customFormat="1" outlineLevel="1">
      <c r="A136" s="232" t="s">
        <v>481</v>
      </c>
      <c r="G136" s="249" t="str">
        <f>IF(G132&lt;0,-G132/(G114-G132),"net cash")</f>
        <v>net cash</v>
      </c>
      <c r="H136" s="249" t="str">
        <f t="shared" ref="H136:U136" si="74">IF(H132&lt;0,-H132/(H114-H132),"net cash")</f>
        <v>net cash</v>
      </c>
      <c r="I136" s="249" t="str">
        <f t="shared" si="74"/>
        <v>net cash</v>
      </c>
      <c r="J136" s="249" t="str">
        <f t="shared" si="74"/>
        <v>net cash</v>
      </c>
      <c r="K136" s="249" t="str">
        <f>IF(K132&lt;0,-K132/(K114-K132),"net cash")</f>
        <v>net cash</v>
      </c>
      <c r="L136" s="249" t="str">
        <f>IF(L132&lt;0,-L132/(L114-L132),"net cash")</f>
        <v>net cash</v>
      </c>
      <c r="M136" s="327"/>
      <c r="N136" s="327"/>
      <c r="O136" s="249" t="str">
        <f t="shared" si="74"/>
        <v>net cash</v>
      </c>
      <c r="P136" s="249" t="str">
        <f>IF(P132&lt;0,-P132/(P114-P132),"net cash")</f>
        <v>net cash</v>
      </c>
      <c r="Q136" s="249"/>
      <c r="R136" s="249" t="str">
        <f t="shared" si="74"/>
        <v>net cash</v>
      </c>
      <c r="S136" s="249" t="str">
        <f t="shared" si="74"/>
        <v>net cash</v>
      </c>
      <c r="T136" s="249" t="str">
        <f t="shared" si="74"/>
        <v>net cash</v>
      </c>
      <c r="U136" s="249" t="str">
        <f t="shared" si="74"/>
        <v>net cash</v>
      </c>
      <c r="V136" s="249" t="str">
        <f>IF(V132&lt;0,-V132/(V114-V132),"net cash")</f>
        <v>net cash</v>
      </c>
      <c r="W136" s="249" t="str">
        <f>IF(W132&lt;0,-W132/(W114-W132),"net cash")</f>
        <v>net cash</v>
      </c>
      <c r="X136" s="249"/>
      <c r="Y136" s="249"/>
      <c r="Z136" s="249"/>
      <c r="AA136" s="249"/>
      <c r="AF136" s="249"/>
    </row>
    <row r="137" spans="1:32" s="232" customFormat="1" outlineLevel="1">
      <c r="A137" s="232" t="s">
        <v>461</v>
      </c>
      <c r="G137" s="249" t="str">
        <f>IF(G132&lt;0,-G132/(G114),"net cash")</f>
        <v>net cash</v>
      </c>
      <c r="H137" s="249" t="str">
        <f t="shared" ref="H137:U137" si="75">IF(H132&lt;0,-H132/(H114),"net cash")</f>
        <v>net cash</v>
      </c>
      <c r="I137" s="249" t="str">
        <f t="shared" si="75"/>
        <v>net cash</v>
      </c>
      <c r="J137" s="249" t="str">
        <f t="shared" si="75"/>
        <v>net cash</v>
      </c>
      <c r="K137" s="249" t="str">
        <f>IF(K132&lt;0,-K132/(K114),"net cash")</f>
        <v>net cash</v>
      </c>
      <c r="L137" s="249" t="str">
        <f>IF(L132&lt;0,-L132/(L114),"net cash")</f>
        <v>net cash</v>
      </c>
      <c r="M137" s="327"/>
      <c r="N137" s="327"/>
      <c r="O137" s="249" t="str">
        <f t="shared" si="75"/>
        <v>net cash</v>
      </c>
      <c r="P137" s="249" t="str">
        <f>IF(P132&lt;0,-P132/(P114),"net cash")</f>
        <v>net cash</v>
      </c>
      <c r="Q137" s="249"/>
      <c r="R137" s="249" t="str">
        <f t="shared" si="75"/>
        <v>net cash</v>
      </c>
      <c r="S137" s="249" t="str">
        <f t="shared" si="75"/>
        <v>net cash</v>
      </c>
      <c r="T137" s="249" t="str">
        <f t="shared" si="75"/>
        <v>net cash</v>
      </c>
      <c r="U137" s="249" t="str">
        <f t="shared" si="75"/>
        <v>net cash</v>
      </c>
      <c r="V137" s="249" t="str">
        <f>IF(V132&lt;0,-V132/(V114),"net cash")</f>
        <v>net cash</v>
      </c>
      <c r="W137" s="249" t="str">
        <f>IF(W132&lt;0,-W132/(W114),"net cash")</f>
        <v>net cash</v>
      </c>
      <c r="X137" s="249"/>
      <c r="Y137" s="249"/>
      <c r="Z137" s="249"/>
      <c r="AA137" s="249"/>
      <c r="AF137" s="249"/>
    </row>
    <row r="138" spans="1:32" s="232" customFormat="1" outlineLevel="1">
      <c r="G138" s="249"/>
      <c r="H138" s="249"/>
      <c r="I138" s="249"/>
      <c r="J138" s="249"/>
      <c r="K138" s="249"/>
      <c r="L138" s="249"/>
      <c r="M138" s="327"/>
      <c r="N138" s="327"/>
      <c r="O138" s="249"/>
      <c r="P138" s="249"/>
      <c r="Q138" s="249"/>
      <c r="R138" s="249"/>
      <c r="S138" s="249"/>
      <c r="T138" s="249"/>
      <c r="U138" s="249"/>
      <c r="V138" s="249"/>
      <c r="W138" s="249"/>
      <c r="X138" s="249"/>
      <c r="Y138" s="233"/>
      <c r="Z138" s="233"/>
      <c r="AA138" s="233"/>
      <c r="AF138" s="233"/>
    </row>
    <row r="139" spans="1:32" s="232" customFormat="1" outlineLevel="1">
      <c r="A139" s="232" t="s">
        <v>462</v>
      </c>
      <c r="G139" s="249">
        <f>G31/G114</f>
        <v>0.34466190726197116</v>
      </c>
      <c r="H139" s="249"/>
      <c r="I139" s="249">
        <f t="shared" ref="I139:U139" si="76">I31/I114</f>
        <v>0.26696666932735519</v>
      </c>
      <c r="J139" s="249">
        <f t="shared" si="76"/>
        <v>0.24365133216733467</v>
      </c>
      <c r="K139" s="249">
        <f>K31/K114</f>
        <v>0.29610224751815989</v>
      </c>
      <c r="L139" s="249">
        <f>L31/L114</f>
        <v>0.24730519687354172</v>
      </c>
      <c r="M139" s="327"/>
      <c r="N139" s="327"/>
      <c r="O139" s="249">
        <f t="shared" si="76"/>
        <v>0.29457253978731579</v>
      </c>
      <c r="P139" s="249">
        <f>P31/P114</f>
        <v>0.12594479030996195</v>
      </c>
      <c r="Q139" s="249"/>
      <c r="R139" s="249">
        <f t="shared" si="76"/>
        <v>0.22932146093425426</v>
      </c>
      <c r="S139" s="249">
        <f t="shared" si="76"/>
        <v>0.20467420739531014</v>
      </c>
      <c r="T139" s="249">
        <f t="shared" si="76"/>
        <v>0.1927714174402298</v>
      </c>
      <c r="U139" s="249">
        <f t="shared" si="76"/>
        <v>0.18204599996888685</v>
      </c>
      <c r="V139" s="249">
        <f>V31/V114</f>
        <v>0.17137876915123976</v>
      </c>
      <c r="W139" s="249">
        <f>W31/W114</f>
        <v>0.1567955106084099</v>
      </c>
      <c r="X139" s="249"/>
      <c r="Y139" s="233"/>
      <c r="Z139" s="233"/>
      <c r="AA139" s="233"/>
      <c r="AF139" s="233"/>
    </row>
    <row r="140" spans="1:32" s="232" customFormat="1" outlineLevel="1">
      <c r="A140" s="232" t="s">
        <v>463</v>
      </c>
      <c r="G140" s="249">
        <f>G31/G91</f>
        <v>0.26110729851075321</v>
      </c>
      <c r="H140" s="249"/>
      <c r="I140" s="249">
        <f t="shared" ref="I140:U140" si="77">I31/I91</f>
        <v>0.20076857982760998</v>
      </c>
      <c r="J140" s="249">
        <f t="shared" si="77"/>
        <v>0.17039102557050956</v>
      </c>
      <c r="K140" s="249">
        <f>K31/K91</f>
        <v>0.21498110879821972</v>
      </c>
      <c r="L140" s="249">
        <f>L31/L91</f>
        <v>0.1872181877735484</v>
      </c>
      <c r="M140" s="327"/>
      <c r="N140" s="327"/>
      <c r="O140" s="249">
        <f t="shared" si="77"/>
        <v>0.22425475350801052</v>
      </c>
      <c r="P140" s="249">
        <f>P31/P91</f>
        <v>9.8666085514388643E-2</v>
      </c>
      <c r="Q140" s="249"/>
      <c r="R140" s="249">
        <f t="shared" si="77"/>
        <v>0.18213468553103401</v>
      </c>
      <c r="S140" s="249">
        <f t="shared" si="77"/>
        <v>0.16662635450962068</v>
      </c>
      <c r="T140" s="249">
        <f t="shared" si="77"/>
        <v>0.15879920056461255</v>
      </c>
      <c r="U140" s="249">
        <f t="shared" si="77"/>
        <v>0.1515822212310923</v>
      </c>
      <c r="V140" s="249">
        <f>V31/V91</f>
        <v>0.1442006746321918</v>
      </c>
      <c r="W140" s="249">
        <f>W31/W91</f>
        <v>0.13388148568528682</v>
      </c>
      <c r="X140" s="249"/>
      <c r="Y140" s="233"/>
      <c r="Z140" s="233"/>
      <c r="AA140" s="233"/>
      <c r="AF140" s="233"/>
    </row>
    <row r="141" spans="1:32" s="232" customFormat="1" outlineLevel="1">
      <c r="A141" s="232" t="s">
        <v>464</v>
      </c>
      <c r="G141" s="249">
        <f>G31/G134</f>
        <v>0.8792668024439918</v>
      </c>
      <c r="H141" s="249"/>
      <c r="I141" s="249">
        <f t="shared" ref="I141:U141" si="78">I31/I134</f>
        <v>0.62485800210923592</v>
      </c>
      <c r="J141" s="249">
        <f t="shared" si="78"/>
        <v>0.58106976144185762</v>
      </c>
      <c r="K141" s="249">
        <f>K31/K134</f>
        <v>0.65158356850375121</v>
      </c>
      <c r="L141" s="249">
        <f>L31/L134</f>
        <v>0.62802488056310046</v>
      </c>
      <c r="M141" s="327"/>
      <c r="N141" s="327"/>
      <c r="O141" s="249">
        <f>O31/O134</f>
        <v>0.70105601532534112</v>
      </c>
      <c r="P141" s="249">
        <f>P31/P134</f>
        <v>0.30217094433329333</v>
      </c>
      <c r="Q141" s="249"/>
      <c r="R141" s="249">
        <f t="shared" si="78"/>
        <v>0.79395202006163179</v>
      </c>
      <c r="S141" s="249">
        <f t="shared" si="78"/>
        <v>0.82259490713310102</v>
      </c>
      <c r="T141" s="249">
        <f t="shared" si="78"/>
        <v>0.977460850049647</v>
      </c>
      <c r="U141" s="249">
        <f t="shared" si="78"/>
        <v>1.1785759934755344</v>
      </c>
      <c r="V141" s="249">
        <f>V31/V134</f>
        <v>1.4382017532515332</v>
      </c>
      <c r="W141" s="249">
        <f>W31/W134</f>
        <v>1.6855992519374501</v>
      </c>
      <c r="X141" s="249"/>
      <c r="Y141" s="233"/>
      <c r="Z141" s="233"/>
      <c r="AA141" s="233"/>
      <c r="AF141" s="233"/>
    </row>
    <row r="142" spans="1:32" outlineLevel="1"/>
    <row r="143" spans="1:32" outlineLevel="1"/>
    <row r="144" spans="1:32" ht="18">
      <c r="A144" s="6" t="s">
        <v>31</v>
      </c>
    </row>
    <row r="146" spans="1:32" s="3" customFormat="1">
      <c r="A146" s="3" t="s">
        <v>83</v>
      </c>
      <c r="F146" s="3">
        <f>F31-F30</f>
        <v>0</v>
      </c>
      <c r="G146" s="279">
        <f t="shared" ref="G146:U146" si="79">G27</f>
        <v>2558874</v>
      </c>
      <c r="H146" s="279">
        <f t="shared" si="79"/>
        <v>2151169</v>
      </c>
      <c r="I146" s="279">
        <f t="shared" si="79"/>
        <v>2658043</v>
      </c>
      <c r="J146" s="279">
        <f t="shared" si="79"/>
        <v>3184655</v>
      </c>
      <c r="K146" s="279">
        <f t="shared" si="79"/>
        <v>4154002</v>
      </c>
      <c r="L146" s="279">
        <f>L27</f>
        <v>4568545</v>
      </c>
      <c r="M146" s="331"/>
      <c r="N146" s="331"/>
      <c r="O146" s="279">
        <f t="shared" si="79"/>
        <v>5810582.9986796016</v>
      </c>
      <c r="P146" s="279"/>
      <c r="Q146" s="279"/>
      <c r="R146" s="279">
        <f t="shared" si="79"/>
        <v>7123611.0192761533</v>
      </c>
      <c r="S146" s="279">
        <f t="shared" si="79"/>
        <v>8008511.3032477666</v>
      </c>
      <c r="T146" s="279">
        <f t="shared" si="79"/>
        <v>9359591.9931578357</v>
      </c>
      <c r="U146" s="279">
        <f t="shared" si="79"/>
        <v>10822796.947944419</v>
      </c>
      <c r="V146" s="279">
        <f>V27</f>
        <v>12313589.813433681</v>
      </c>
      <c r="W146" s="279">
        <f>W27</f>
        <v>13377981.071492761</v>
      </c>
      <c r="X146" s="279"/>
      <c r="Y146" s="4"/>
      <c r="Z146" s="4"/>
      <c r="AA146" s="4"/>
      <c r="AB146" s="4"/>
      <c r="AF146" s="4"/>
    </row>
    <row r="147" spans="1:32">
      <c r="A147" s="3" t="s">
        <v>84</v>
      </c>
      <c r="B147" s="3"/>
      <c r="C147" s="3"/>
      <c r="D147" s="3"/>
      <c r="E147" s="3"/>
      <c r="M147" s="320"/>
      <c r="N147" s="320"/>
    </row>
    <row r="148" spans="1:32">
      <c r="B148" s="7" t="s">
        <v>92</v>
      </c>
      <c r="G148" s="285">
        <f>SUM(G149:G151)</f>
        <v>100799</v>
      </c>
      <c r="H148" s="285">
        <f t="shared" ref="H148:U148" si="80">SUM(H149:H151)</f>
        <v>134186</v>
      </c>
      <c r="I148" s="285">
        <f t="shared" si="80"/>
        <v>183764</v>
      </c>
      <c r="J148" s="285">
        <f t="shared" si="80"/>
        <v>191652</v>
      </c>
      <c r="K148" s="285">
        <f>SUM(K149:K151)</f>
        <v>267776</v>
      </c>
      <c r="L148" s="285">
        <f>SUM(L149:L151)</f>
        <v>298194</v>
      </c>
      <c r="M148" s="320"/>
      <c r="N148" s="320"/>
      <c r="O148" s="285">
        <f t="shared" si="80"/>
        <v>419355</v>
      </c>
      <c r="R148" s="285">
        <f t="shared" si="80"/>
        <v>750920.21125079435</v>
      </c>
      <c r="S148" s="285">
        <f t="shared" si="80"/>
        <v>1027280.9948172984</v>
      </c>
      <c r="T148" s="285">
        <f t="shared" si="80"/>
        <v>1578023.4264188742</v>
      </c>
      <c r="U148" s="285">
        <f t="shared" si="80"/>
        <v>1649504.9679987226</v>
      </c>
      <c r="V148" s="285">
        <f>SUM(V149:V151)</f>
        <v>1694409.9736189481</v>
      </c>
      <c r="W148" s="285">
        <f>SUM(W149:W151)</f>
        <v>1708656.898910606</v>
      </c>
    </row>
    <row r="149" spans="1:32" outlineLevel="1">
      <c r="C149" s="7" t="s">
        <v>85</v>
      </c>
      <c r="G149" s="285">
        <v>57239</v>
      </c>
      <c r="H149" s="285">
        <v>79650</v>
      </c>
      <c r="I149" s="285">
        <v>105310</v>
      </c>
      <c r="J149" s="285">
        <v>110108</v>
      </c>
      <c r="K149" s="285">
        <v>160504</v>
      </c>
      <c r="L149" s="285">
        <v>220610</v>
      </c>
      <c r="M149" s="320"/>
      <c r="N149" s="320"/>
      <c r="O149" s="285">
        <v>314887</v>
      </c>
      <c r="R149" s="285">
        <f>-Assumption!R275</f>
        <v>653484.07095857791</v>
      </c>
      <c r="S149" s="285">
        <f>-Assumption!S275</f>
        <v>932411.35483840923</v>
      </c>
      <c r="T149" s="285">
        <f>-Assumption!T275</f>
        <v>1484066.4724669221</v>
      </c>
      <c r="U149" s="285">
        <f>-Assumption!U275</f>
        <v>1558269.7960902683</v>
      </c>
      <c r="V149" s="285">
        <f>-Assumption!V275</f>
        <v>1605017.8899729762</v>
      </c>
      <c r="W149" s="285">
        <f>-Assumption!W275</f>
        <v>1621068.0688727058</v>
      </c>
    </row>
    <row r="150" spans="1:32" outlineLevel="1">
      <c r="C150" s="7" t="s">
        <v>19</v>
      </c>
      <c r="G150" s="285">
        <v>42363</v>
      </c>
      <c r="H150" s="285">
        <v>52827</v>
      </c>
      <c r="I150" s="285">
        <v>75782</v>
      </c>
      <c r="J150" s="285">
        <v>78684</v>
      </c>
      <c r="K150" s="285">
        <v>103472</v>
      </c>
      <c r="L150" s="285">
        <v>74364</v>
      </c>
      <c r="M150" s="320"/>
      <c r="N150" s="320"/>
      <c r="O150" s="285">
        <v>99178</v>
      </c>
      <c r="R150" s="285">
        <f>-Assumption!R290</f>
        <v>88772.794990936469</v>
      </c>
      <c r="S150" s="285">
        <f>-Assumption!S290</f>
        <v>84661.876892085944</v>
      </c>
      <c r="T150" s="285">
        <f>-Assumption!T290</f>
        <v>81929.449147207997</v>
      </c>
      <c r="U150" s="285">
        <f>-Assumption!U290</f>
        <v>79285.209399750587</v>
      </c>
      <c r="V150" s="285">
        <f>-Assumption!V290</f>
        <v>77519.163511856226</v>
      </c>
      <c r="W150" s="285">
        <f>-Assumption!W290</f>
        <v>75792.455579953414</v>
      </c>
    </row>
    <row r="151" spans="1:32" outlineLevel="1">
      <c r="C151" s="7" t="s">
        <v>78</v>
      </c>
      <c r="G151" s="285">
        <v>1197</v>
      </c>
      <c r="H151" s="285">
        <v>1709</v>
      </c>
      <c r="I151" s="285">
        <v>2672</v>
      </c>
      <c r="J151" s="285">
        <v>2860</v>
      </c>
      <c r="K151" s="285">
        <v>3800</v>
      </c>
      <c r="L151" s="285">
        <v>3220</v>
      </c>
      <c r="M151" s="320"/>
      <c r="N151" s="320"/>
      <c r="O151" s="285">
        <v>5290</v>
      </c>
      <c r="R151" s="285">
        <f>-Assumption!R283</f>
        <v>8663.345301280051</v>
      </c>
      <c r="S151" s="285">
        <f>-Assumption!S283</f>
        <v>10207.763086803281</v>
      </c>
      <c r="T151" s="285">
        <f>-Assumption!T283</f>
        <v>12027.504804744172</v>
      </c>
      <c r="U151" s="285">
        <f>-Assumption!U283</f>
        <v>11949.962508703595</v>
      </c>
      <c r="V151" s="285">
        <f>-Assumption!V283</f>
        <v>11872.920134115793</v>
      </c>
      <c r="W151" s="285">
        <f>-Assumption!W283</f>
        <v>11796.374457946737</v>
      </c>
    </row>
    <row r="152" spans="1:32">
      <c r="B152" s="7" t="s">
        <v>86</v>
      </c>
      <c r="G152" s="285">
        <f>G153+G154+G155</f>
        <v>18911</v>
      </c>
      <c r="H152" s="285">
        <f t="shared" ref="H152:U152" si="81">H153+H154+H155</f>
        <v>4178</v>
      </c>
      <c r="I152" s="285">
        <f t="shared" si="81"/>
        <v>6174</v>
      </c>
      <c r="J152" s="285">
        <f t="shared" si="81"/>
        <v>56042</v>
      </c>
      <c r="K152" s="285">
        <f>K153+K154+K155</f>
        <v>96075</v>
      </c>
      <c r="L152" s="285">
        <f>L153+L154+L155</f>
        <v>43783</v>
      </c>
      <c r="M152" s="320"/>
      <c r="N152" s="320"/>
      <c r="O152" s="285">
        <f t="shared" si="81"/>
        <v>37324</v>
      </c>
      <c r="R152" s="285">
        <f t="shared" si="81"/>
        <v>0</v>
      </c>
      <c r="S152" s="285">
        <f t="shared" si="81"/>
        <v>0</v>
      </c>
      <c r="T152" s="285">
        <f t="shared" si="81"/>
        <v>0</v>
      </c>
      <c r="U152" s="285">
        <f t="shared" si="81"/>
        <v>0</v>
      </c>
      <c r="V152" s="285">
        <f>V153+V154+V155</f>
        <v>0</v>
      </c>
      <c r="W152" s="285">
        <f>W153+W154+W155</f>
        <v>0</v>
      </c>
    </row>
    <row r="153" spans="1:32" outlineLevel="1">
      <c r="C153" s="7" t="s">
        <v>87</v>
      </c>
      <c r="G153" s="285">
        <v>2297</v>
      </c>
      <c r="H153" s="285">
        <v>705</v>
      </c>
      <c r="I153" s="285">
        <v>2076</v>
      </c>
      <c r="J153" s="285">
        <v>523</v>
      </c>
      <c r="K153" s="285">
        <v>32189</v>
      </c>
      <c r="L153" s="285">
        <v>40259</v>
      </c>
      <c r="M153" s="320"/>
      <c r="N153" s="320"/>
      <c r="O153" s="285">
        <v>36995</v>
      </c>
      <c r="R153" s="285">
        <f>-Assumption!R277</f>
        <v>0</v>
      </c>
      <c r="S153" s="285">
        <f>-Assumption!S277</f>
        <v>0</v>
      </c>
      <c r="T153" s="285">
        <f>-Assumption!T277</f>
        <v>0</v>
      </c>
      <c r="U153" s="285">
        <f>-Assumption!U277</f>
        <v>0</v>
      </c>
      <c r="V153" s="285">
        <f>-Assumption!V277</f>
        <v>0</v>
      </c>
      <c r="W153" s="285">
        <f>-Assumption!W277</f>
        <v>0</v>
      </c>
    </row>
    <row r="154" spans="1:32" outlineLevel="1">
      <c r="C154" s="7" t="s">
        <v>89</v>
      </c>
      <c r="G154" s="285">
        <v>1787</v>
      </c>
      <c r="H154" s="285">
        <v>3473</v>
      </c>
      <c r="I154" s="285">
        <v>4098</v>
      </c>
      <c r="J154" s="285">
        <v>-4480</v>
      </c>
      <c r="K154" s="285">
        <v>-1638</v>
      </c>
      <c r="L154" s="285">
        <v>3524</v>
      </c>
      <c r="M154" s="320"/>
      <c r="N154" s="320"/>
      <c r="O154" s="285">
        <v>329</v>
      </c>
      <c r="R154" s="285">
        <v>0</v>
      </c>
      <c r="S154" s="285">
        <v>0</v>
      </c>
      <c r="T154" s="285">
        <v>0</v>
      </c>
      <c r="U154" s="285">
        <v>0</v>
      </c>
      <c r="V154" s="285">
        <v>0</v>
      </c>
      <c r="W154" s="285">
        <v>0</v>
      </c>
    </row>
    <row r="155" spans="1:32" outlineLevel="1">
      <c r="C155" s="7" t="s">
        <v>230</v>
      </c>
      <c r="G155" s="285">
        <v>14827</v>
      </c>
      <c r="H155" s="285">
        <v>0</v>
      </c>
      <c r="I155" s="285">
        <v>0</v>
      </c>
      <c r="J155" s="285">
        <v>59999</v>
      </c>
      <c r="K155" s="285">
        <v>65524</v>
      </c>
      <c r="L155" s="285">
        <v>0</v>
      </c>
      <c r="M155" s="320"/>
      <c r="N155" s="320"/>
      <c r="O155" s="285">
        <v>0</v>
      </c>
      <c r="R155" s="285">
        <f>Assumption!R284</f>
        <v>0</v>
      </c>
      <c r="S155" s="285">
        <f>Assumption!S284</f>
        <v>0</v>
      </c>
      <c r="T155" s="285">
        <f>Assumption!T284</f>
        <v>0</v>
      </c>
      <c r="U155" s="285">
        <f>Assumption!U284</f>
        <v>0</v>
      </c>
      <c r="V155" s="285">
        <f>Assumption!V284</f>
        <v>0</v>
      </c>
      <c r="W155" s="285">
        <f>Assumption!W284</f>
        <v>0</v>
      </c>
    </row>
    <row r="156" spans="1:32">
      <c r="B156" s="7" t="s">
        <v>9</v>
      </c>
      <c r="G156" s="285">
        <v>5973</v>
      </c>
      <c r="H156" s="285">
        <v>6980</v>
      </c>
      <c r="I156" s="285">
        <v>9190</v>
      </c>
      <c r="J156" s="285">
        <v>11037</v>
      </c>
      <c r="K156" s="285">
        <v>14697</v>
      </c>
      <c r="L156" s="285">
        <v>5479</v>
      </c>
      <c r="M156" s="320"/>
      <c r="N156" s="320"/>
      <c r="O156" s="285">
        <v>6367</v>
      </c>
      <c r="R156" s="285">
        <f>Assumption!R365</f>
        <v>3021.2545303539646</v>
      </c>
      <c r="S156" s="285">
        <f>Assumption!S365</f>
        <v>2158.6969852190095</v>
      </c>
      <c r="T156" s="285">
        <f>Assumption!T365</f>
        <v>1589.8307593263021</v>
      </c>
      <c r="U156" s="285">
        <f>Assumption!U365</f>
        <v>1007.4836615683261</v>
      </c>
      <c r="V156" s="285">
        <f>Assumption!V365</f>
        <v>502.80054177757313</v>
      </c>
      <c r="W156" s="285">
        <f>Assumption!W365</f>
        <v>106.63015239465111</v>
      </c>
    </row>
    <row r="157" spans="1:32">
      <c r="B157" s="7" t="s">
        <v>66</v>
      </c>
      <c r="G157" s="285">
        <v>-38221</v>
      </c>
      <c r="H157" s="285">
        <v>-32715</v>
      </c>
      <c r="I157" s="285">
        <v>-44322</v>
      </c>
      <c r="J157" s="285">
        <v>-36781</v>
      </c>
      <c r="K157" s="285">
        <v>-53801</v>
      </c>
      <c r="L157" s="285">
        <v>-77339</v>
      </c>
      <c r="M157" s="320"/>
      <c r="N157" s="320"/>
      <c r="O157" s="285">
        <v>-107015</v>
      </c>
      <c r="R157" s="285">
        <f>-Assumption!R207</f>
        <v>-141273.17500000002</v>
      </c>
      <c r="S157" s="285">
        <f>-Assumption!S207</f>
        <v>-246072.76274456695</v>
      </c>
      <c r="T157" s="285">
        <f>-Assumption!T207</f>
        <v>-342792.82537150139</v>
      </c>
      <c r="U157" s="285">
        <f>-Assumption!U207</f>
        <v>-470880.28342740651</v>
      </c>
      <c r="V157" s="285">
        <f>-Assumption!V207</f>
        <v>-622362.75034131878</v>
      </c>
      <c r="W157" s="285">
        <f>-Assumption!W207</f>
        <v>-797577.14420087077</v>
      </c>
    </row>
    <row r="158" spans="1:32">
      <c r="B158" s="7" t="s">
        <v>218</v>
      </c>
      <c r="G158" s="285">
        <v>0</v>
      </c>
      <c r="H158" s="285">
        <v>221</v>
      </c>
      <c r="I158" s="285">
        <v>180</v>
      </c>
      <c r="J158" s="285">
        <v>-36</v>
      </c>
      <c r="K158" s="285">
        <v>-196</v>
      </c>
      <c r="L158" s="285">
        <v>3016</v>
      </c>
      <c r="M158" s="320"/>
      <c r="N158" s="320"/>
      <c r="O158" s="285">
        <v>3016</v>
      </c>
      <c r="R158" s="285">
        <f>-Assumption!R197</f>
        <v>0</v>
      </c>
      <c r="S158" s="285">
        <f>-Assumption!S197</f>
        <v>0</v>
      </c>
      <c r="T158" s="285">
        <f>-Assumption!T197</f>
        <v>0</v>
      </c>
      <c r="U158" s="285">
        <f>-Assumption!U197</f>
        <v>0</v>
      </c>
      <c r="V158" s="285">
        <f>-Assumption!V197</f>
        <v>0</v>
      </c>
      <c r="W158" s="285">
        <f>-Assumption!W197</f>
        <v>0</v>
      </c>
    </row>
    <row r="159" spans="1:32">
      <c r="B159" s="7" t="s">
        <v>90</v>
      </c>
      <c r="G159" s="285">
        <v>1156</v>
      </c>
      <c r="H159" s="285">
        <v>265</v>
      </c>
      <c r="I159" s="285">
        <v>303</v>
      </c>
      <c r="J159" s="285">
        <v>-444</v>
      </c>
      <c r="K159" s="285">
        <v>-198</v>
      </c>
      <c r="L159" s="285">
        <v>4937</v>
      </c>
      <c r="M159" s="320"/>
      <c r="N159" s="320"/>
      <c r="O159" s="285">
        <v>5836</v>
      </c>
      <c r="R159" s="285">
        <f>-Assumption!R208</f>
        <v>0</v>
      </c>
      <c r="S159" s="285">
        <f>-Assumption!S208</f>
        <v>0</v>
      </c>
      <c r="T159" s="285">
        <f>-Assumption!T208</f>
        <v>0</v>
      </c>
      <c r="U159" s="285">
        <f>-Assumption!U208</f>
        <v>0</v>
      </c>
      <c r="V159" s="285">
        <f>-Assumption!V208</f>
        <v>0</v>
      </c>
      <c r="W159" s="285">
        <f>-Assumption!W208</f>
        <v>0</v>
      </c>
    </row>
    <row r="160" spans="1:32">
      <c r="A160" s="10"/>
      <c r="B160" s="10" t="s">
        <v>219</v>
      </c>
      <c r="C160" s="10"/>
      <c r="D160" s="10"/>
      <c r="G160" s="285">
        <v>-1248</v>
      </c>
      <c r="H160" s="285">
        <v>-701</v>
      </c>
      <c r="I160" s="285">
        <v>3851</v>
      </c>
      <c r="J160" s="285">
        <v>-158</v>
      </c>
      <c r="K160" s="285">
        <v>-168</v>
      </c>
      <c r="L160" s="285">
        <v>-1005</v>
      </c>
      <c r="M160" s="320"/>
      <c r="N160" s="320"/>
      <c r="O160" s="285">
        <v>-3424</v>
      </c>
      <c r="R160" s="285">
        <f>Assumption!R291</f>
        <v>0</v>
      </c>
      <c r="S160" s="285">
        <f>Assumption!S291</f>
        <v>0</v>
      </c>
      <c r="T160" s="285">
        <f>Assumption!T291</f>
        <v>0</v>
      </c>
      <c r="U160" s="285">
        <f>Assumption!U291</f>
        <v>0</v>
      </c>
      <c r="V160" s="285">
        <f>Assumption!V291</f>
        <v>0</v>
      </c>
      <c r="W160" s="285">
        <f>Assumption!W291</f>
        <v>0</v>
      </c>
    </row>
    <row r="161" spans="1:32">
      <c r="B161" s="7" t="s">
        <v>91</v>
      </c>
      <c r="G161" s="285">
        <v>-25999</v>
      </c>
      <c r="H161" s="285">
        <v>-26199</v>
      </c>
      <c r="I161" s="285">
        <v>-25644</v>
      </c>
      <c r="J161" s="285">
        <v>-44113</v>
      </c>
      <c r="K161" s="285">
        <v>-53333</v>
      </c>
      <c r="L161" s="285">
        <v>-28102</v>
      </c>
      <c r="M161" s="320"/>
      <c r="N161" s="320"/>
      <c r="O161" s="285">
        <v>-45170</v>
      </c>
      <c r="R161" s="285">
        <f>-Assumption!R327</f>
        <v>-211404.54383509865</v>
      </c>
      <c r="S161" s="285">
        <f>-Assumption!S327</f>
        <v>-224204.21469323797</v>
      </c>
      <c r="T161" s="285">
        <f>-Assumption!T327</f>
        <v>-237778.85268833957</v>
      </c>
      <c r="U161" s="285">
        <f>-Assumption!U327</f>
        <v>-252175.37887564208</v>
      </c>
      <c r="V161" s="285">
        <f>-Assumption!V327</f>
        <v>-267443.55518623523</v>
      </c>
      <c r="W161" s="285">
        <f>-Assumption!W327</f>
        <v>-283636.15643034381</v>
      </c>
    </row>
    <row r="162" spans="1:32">
      <c r="B162" s="7" t="s">
        <v>220</v>
      </c>
      <c r="G162" s="285">
        <v>22554</v>
      </c>
      <c r="H162" s="285">
        <v>19377</v>
      </c>
      <c r="I162" s="285">
        <v>24981</v>
      </c>
      <c r="J162" s="285">
        <v>8687</v>
      </c>
      <c r="K162" s="285">
        <v>16427</v>
      </c>
      <c r="L162" s="285">
        <v>8007</v>
      </c>
      <c r="M162" s="320"/>
      <c r="N162" s="320"/>
      <c r="O162" s="285">
        <v>15786</v>
      </c>
      <c r="R162" s="285">
        <v>0</v>
      </c>
      <c r="S162" s="285">
        <v>0</v>
      </c>
      <c r="T162" s="285">
        <v>0</v>
      </c>
      <c r="U162" s="285">
        <v>0</v>
      </c>
      <c r="V162" s="285">
        <v>0</v>
      </c>
      <c r="W162" s="285">
        <v>0</v>
      </c>
    </row>
    <row r="163" spans="1:32">
      <c r="B163" s="7" t="s">
        <v>221</v>
      </c>
      <c r="G163" s="285">
        <v>994</v>
      </c>
      <c r="H163" s="285">
        <v>-252</v>
      </c>
      <c r="I163" s="285">
        <v>163</v>
      </c>
      <c r="J163" s="285">
        <v>-12594</v>
      </c>
      <c r="K163" s="285">
        <v>-31963</v>
      </c>
      <c r="L163" s="285">
        <v>3139</v>
      </c>
      <c r="M163" s="320"/>
      <c r="N163" s="320"/>
      <c r="O163" s="285">
        <v>-5620</v>
      </c>
      <c r="R163" s="285">
        <f t="shared" ref="R163:W163" si="82">-R204</f>
        <v>0</v>
      </c>
      <c r="S163" s="285">
        <f t="shared" si="82"/>
        <v>0</v>
      </c>
      <c r="T163" s="285">
        <f t="shared" si="82"/>
        <v>0</v>
      </c>
      <c r="U163" s="285">
        <f t="shared" si="82"/>
        <v>0</v>
      </c>
      <c r="V163" s="285">
        <f t="shared" si="82"/>
        <v>0</v>
      </c>
      <c r="W163" s="285">
        <f t="shared" si="82"/>
        <v>0</v>
      </c>
    </row>
    <row r="164" spans="1:32">
      <c r="B164" s="7" t="s">
        <v>494</v>
      </c>
      <c r="K164" s="285">
        <v>-1272</v>
      </c>
      <c r="M164" s="320"/>
      <c r="N164" s="320"/>
      <c r="O164" s="285">
        <f>O165-SUM(O156:O163,O152,O148,O146)</f>
        <v>1.3203984126448631E-3</v>
      </c>
    </row>
    <row r="165" spans="1:32">
      <c r="B165" s="11" t="s">
        <v>98</v>
      </c>
      <c r="C165" s="11"/>
      <c r="D165" s="11"/>
      <c r="E165" s="11"/>
      <c r="F165" s="11"/>
      <c r="G165" s="338">
        <f>G146+G148+G152+G157+G156+G158+G159+G160+G161+G162+G163</f>
        <v>2643793</v>
      </c>
      <c r="H165" s="338">
        <f t="shared" ref="H165:U165" si="83">H146+H148+H152+H157+H156+H158+H159+H160+H161+H162+H163</f>
        <v>2256509</v>
      </c>
      <c r="I165" s="338">
        <f t="shared" si="83"/>
        <v>2816683</v>
      </c>
      <c r="J165" s="338">
        <f t="shared" si="83"/>
        <v>3357947</v>
      </c>
      <c r="K165" s="338">
        <f>K146+K148+K152+K157+K156+K158+K159+K160+K161+K162+K163+K164</f>
        <v>4408046</v>
      </c>
      <c r="L165" s="338">
        <f>L146+L148+L152+L157+L156+L158+L159+L160+L161+L162+L163</f>
        <v>4828654</v>
      </c>
      <c r="M165" s="351"/>
      <c r="N165" s="351"/>
      <c r="O165" s="338">
        <v>6137038</v>
      </c>
      <c r="P165" s="338"/>
      <c r="Q165" s="338"/>
      <c r="R165" s="338">
        <f t="shared" si="83"/>
        <v>7524874.7662222032</v>
      </c>
      <c r="S165" s="338">
        <f t="shared" si="83"/>
        <v>8567674.0176124796</v>
      </c>
      <c r="T165" s="338">
        <f t="shared" si="83"/>
        <v>10358633.572276194</v>
      </c>
      <c r="U165" s="338">
        <f t="shared" si="83"/>
        <v>11750253.737301663</v>
      </c>
      <c r="V165" s="338">
        <f>V146+V148+V152+V157+V156+V158+V159+V160+V161+V162+V163</f>
        <v>13118696.282066854</v>
      </c>
      <c r="W165" s="338">
        <f>W146+W148+W152+W157+W156+W158+W159+W160+W161+W162+W163</f>
        <v>14005531.299924549</v>
      </c>
      <c r="X165" s="360"/>
      <c r="Y165" s="303"/>
      <c r="Z165" s="303"/>
      <c r="AA165" s="19"/>
      <c r="AB165" s="19"/>
      <c r="AF165" s="19"/>
    </row>
    <row r="166" spans="1:32">
      <c r="B166" s="7" t="s">
        <v>32</v>
      </c>
      <c r="G166" s="285">
        <v>-842719</v>
      </c>
      <c r="H166" s="285">
        <v>-201997</v>
      </c>
      <c r="I166" s="285">
        <v>-291317</v>
      </c>
      <c r="J166" s="285">
        <v>-834292</v>
      </c>
      <c r="K166" s="285">
        <v>-725819</v>
      </c>
      <c r="L166" s="285">
        <v>351686</v>
      </c>
      <c r="M166" s="320"/>
      <c r="N166" s="320"/>
      <c r="O166" s="285">
        <v>-20633</v>
      </c>
      <c r="R166" s="285">
        <f>-Assumption!R220</f>
        <v>-708443.22206809977</v>
      </c>
      <c r="S166" s="285">
        <f>-Assumption!S220</f>
        <v>-318149.10034302063</v>
      </c>
      <c r="T166" s="285">
        <f>-Assumption!T220</f>
        <v>-526630.64050430479</v>
      </c>
      <c r="U166" s="285">
        <f>-Assumption!U220</f>
        <v>-555481.01065866742</v>
      </c>
      <c r="V166" s="285">
        <f>-Assumption!V220</f>
        <v>-554946.81867885869</v>
      </c>
      <c r="W166" s="285">
        <f>-Assumption!W220</f>
        <v>-342617.15543151926</v>
      </c>
    </row>
    <row r="167" spans="1:32">
      <c r="B167" s="7" t="s">
        <v>93</v>
      </c>
      <c r="G167" s="285">
        <v>294</v>
      </c>
      <c r="H167" s="285">
        <v>-13446</v>
      </c>
      <c r="I167" s="285">
        <v>-14114</v>
      </c>
      <c r="J167" s="285">
        <v>-13975</v>
      </c>
      <c r="K167" s="285">
        <v>-8955</v>
      </c>
      <c r="L167" s="285">
        <v>3954</v>
      </c>
      <c r="M167" s="320"/>
      <c r="N167" s="320"/>
      <c r="O167" s="285">
        <v>5064</v>
      </c>
      <c r="R167" s="285">
        <f>-Assumption!R226</f>
        <v>-7596.6355420697219</v>
      </c>
      <c r="S167" s="285">
        <f>-Assumption!S226</f>
        <v>-3641.0450198261678</v>
      </c>
      <c r="T167" s="285">
        <f>-Assumption!T226</f>
        <v>-5985.7919883283612</v>
      </c>
      <c r="U167" s="285">
        <f>-Assumption!U226</f>
        <v>-6327.4842063760952</v>
      </c>
      <c r="V167" s="285">
        <f>-Assumption!V226</f>
        <v>-6327.7436344266098</v>
      </c>
      <c r="W167" s="285">
        <f>-Assumption!W226</f>
        <v>-3977.7431200818828</v>
      </c>
    </row>
    <row r="168" spans="1:32">
      <c r="B168" s="7" t="s">
        <v>94</v>
      </c>
      <c r="G168" s="285">
        <v>-88419</v>
      </c>
      <c r="H168" s="285">
        <v>-105918</v>
      </c>
      <c r="I168" s="285">
        <v>-62411</v>
      </c>
      <c r="J168" s="285">
        <v>-8692</v>
      </c>
      <c r="K168" s="285">
        <v>50804</v>
      </c>
      <c r="L168" s="285">
        <v>20990</v>
      </c>
      <c r="M168" s="320"/>
      <c r="N168" s="320"/>
      <c r="O168" s="285">
        <v>2314</v>
      </c>
      <c r="R168" s="285">
        <f>-Assumption!R232</f>
        <v>-151940.12248237745</v>
      </c>
      <c r="S168" s="285">
        <f>-Assumption!S232</f>
        <v>-72824.452774196514</v>
      </c>
      <c r="T168" s="285">
        <f>-Assumption!T232</f>
        <v>-119721.67979153246</v>
      </c>
      <c r="U168" s="285">
        <f>-Assumption!U232</f>
        <v>-126555.85752375831</v>
      </c>
      <c r="V168" s="285">
        <f>-Assumption!V232</f>
        <v>-126561.04633787868</v>
      </c>
      <c r="W168" s="285">
        <f>-Assumption!W232</f>
        <v>-79558.743278081762</v>
      </c>
    </row>
    <row r="169" spans="1:32">
      <c r="B169" s="7" t="s">
        <v>493</v>
      </c>
      <c r="K169" s="285">
        <v>-11986</v>
      </c>
      <c r="L169" s="285">
        <v>9427</v>
      </c>
      <c r="M169" s="320"/>
      <c r="N169" s="320"/>
      <c r="O169" s="285">
        <v>3257</v>
      </c>
    </row>
    <row r="170" spans="1:32">
      <c r="B170" s="7" t="s">
        <v>95</v>
      </c>
      <c r="G170" s="285">
        <v>-57825</v>
      </c>
      <c r="H170" s="285">
        <v>57796</v>
      </c>
      <c r="I170" s="285">
        <v>59969</v>
      </c>
      <c r="J170" s="285">
        <v>-14633</v>
      </c>
      <c r="K170" s="285">
        <v>-14633</v>
      </c>
      <c r="L170" s="285">
        <v>16415</v>
      </c>
      <c r="M170" s="320"/>
      <c r="N170" s="320"/>
      <c r="O170" s="285">
        <v>16414</v>
      </c>
      <c r="R170" s="285">
        <f>-Assumption!R358</f>
        <v>19859.555966650369</v>
      </c>
      <c r="S170" s="285">
        <f>-Assumption!S358</f>
        <v>-1839201.2458956183</v>
      </c>
      <c r="T170" s="285">
        <f>-Assumption!T358</f>
        <v>-1232283.8338238164</v>
      </c>
      <c r="U170" s="285">
        <f>-Assumption!U358</f>
        <v>-1631927.2298932839</v>
      </c>
      <c r="V170" s="285">
        <f>-Assumption!V358</f>
        <v>-1929996.6316789975</v>
      </c>
      <c r="W170" s="285">
        <f>-Assumption!W358</f>
        <v>-2232358.6145635685</v>
      </c>
    </row>
    <row r="171" spans="1:32">
      <c r="B171" s="7" t="s">
        <v>222</v>
      </c>
      <c r="G171" s="285">
        <v>261205</v>
      </c>
      <c r="H171" s="285">
        <v>552484</v>
      </c>
      <c r="I171" s="285">
        <v>286160</v>
      </c>
      <c r="J171" s="285">
        <v>735593</v>
      </c>
      <c r="K171" s="285">
        <v>466094</v>
      </c>
      <c r="L171" s="285">
        <v>284677</v>
      </c>
      <c r="M171" s="320"/>
      <c r="N171" s="320"/>
      <c r="O171" s="285">
        <v>452782</v>
      </c>
      <c r="R171" s="285">
        <f>Assumption!R238</f>
        <v>625782.80488118203</v>
      </c>
      <c r="S171" s="285">
        <f>Assumption!S238</f>
        <v>327627.10201256489</v>
      </c>
      <c r="T171" s="285">
        <f>Assumption!T238</f>
        <v>520105.83105291799</v>
      </c>
      <c r="U171" s="285">
        <f>Assumption!U238</f>
        <v>567356.27902180236</v>
      </c>
      <c r="V171" s="285">
        <f>Assumption!V238</f>
        <v>589913.66732280515</v>
      </c>
      <c r="W171" s="285">
        <f>Assumption!W238</f>
        <v>417128.19249558635</v>
      </c>
    </row>
    <row r="172" spans="1:32">
      <c r="B172" s="7" t="s">
        <v>96</v>
      </c>
      <c r="G172" s="285">
        <v>194118</v>
      </c>
      <c r="H172" s="285">
        <v>183140</v>
      </c>
      <c r="I172" s="285">
        <v>295306</v>
      </c>
      <c r="J172" s="285">
        <v>239102</v>
      </c>
      <c r="K172" s="285">
        <v>343320</v>
      </c>
      <c r="L172" s="285">
        <v>261199</v>
      </c>
      <c r="M172" s="320"/>
      <c r="N172" s="320"/>
      <c r="O172" s="285">
        <v>522647</v>
      </c>
      <c r="R172" s="285">
        <f>Assumption!R244</f>
        <v>653526.96984448517</v>
      </c>
      <c r="S172" s="285">
        <f>Assumption!S244</f>
        <v>293487.1998619209</v>
      </c>
      <c r="T172" s="285">
        <f>Assumption!T244</f>
        <v>485807.91797448462</v>
      </c>
      <c r="U172" s="285">
        <f>Assumption!U244</f>
        <v>512421.89972849376</v>
      </c>
      <c r="V172" s="285">
        <f>Assumption!V244</f>
        <v>511929.11660204967</v>
      </c>
      <c r="W172" s="285">
        <f>Assumption!W244</f>
        <v>316058.56959469058</v>
      </c>
    </row>
    <row r="173" spans="1:32">
      <c r="B173" s="7" t="s">
        <v>223</v>
      </c>
      <c r="G173" s="285">
        <v>131801</v>
      </c>
      <c r="H173" s="285">
        <v>-29420</v>
      </c>
      <c r="I173" s="285">
        <v>-101444</v>
      </c>
      <c r="J173" s="285">
        <v>119705</v>
      </c>
      <c r="K173" s="285">
        <v>79559</v>
      </c>
      <c r="L173" s="285">
        <v>138934</v>
      </c>
      <c r="M173" s="320"/>
      <c r="N173" s="320"/>
      <c r="O173" s="285">
        <v>83212</v>
      </c>
      <c r="R173" s="285">
        <f>Assumption!R250</f>
        <v>108938.67089517071</v>
      </c>
      <c r="S173" s="285">
        <f>Assumption!S250</f>
        <v>52213.98380015936</v>
      </c>
      <c r="T173" s="285">
        <f>Assumption!T250</f>
        <v>85838.555746454978</v>
      </c>
      <c r="U173" s="285">
        <f>Assumption!U250</f>
        <v>90738.553368191933</v>
      </c>
      <c r="V173" s="285">
        <f>Assumption!V250</f>
        <v>90742.273666060297</v>
      </c>
      <c r="W173" s="285">
        <f>Assumption!W250</f>
        <v>57042.363854942727</v>
      </c>
    </row>
    <row r="174" spans="1:32">
      <c r="A174" s="10"/>
      <c r="B174" s="10" t="s">
        <v>97</v>
      </c>
      <c r="C174" s="10"/>
      <c r="D174" s="10"/>
      <c r="E174" s="10"/>
      <c r="G174" s="285">
        <v>2001</v>
      </c>
      <c r="H174" s="285">
        <v>54287</v>
      </c>
      <c r="I174" s="285">
        <v>56023</v>
      </c>
      <c r="J174" s="285">
        <v>58781</v>
      </c>
      <c r="K174" s="285">
        <v>64383</v>
      </c>
      <c r="L174" s="285">
        <v>2347</v>
      </c>
      <c r="M174" s="320"/>
      <c r="N174" s="320"/>
      <c r="O174" s="285">
        <v>11683</v>
      </c>
      <c r="R174" s="285">
        <f>Assumption!R262</f>
        <v>105147.74572200034</v>
      </c>
      <c r="S174" s="285">
        <f>Assumption!S262</f>
        <v>26032.354453233333</v>
      </c>
      <c r="T174" s="285">
        <f>Assumption!T262</f>
        <v>43091.228247259394</v>
      </c>
      <c r="U174" s="285">
        <f>Assumption!U262</f>
        <v>45451.892040291044</v>
      </c>
      <c r="V174" s="285">
        <f>Assumption!V262</f>
        <v>45408.182110105874</v>
      </c>
      <c r="W174" s="285">
        <f>Assumption!W262</f>
        <v>28034.438011408667</v>
      </c>
    </row>
    <row r="175" spans="1:32">
      <c r="B175" s="11" t="s">
        <v>99</v>
      </c>
      <c r="C175" s="11"/>
      <c r="D175" s="11"/>
      <c r="E175" s="11"/>
      <c r="F175" s="11"/>
      <c r="G175" s="338">
        <f>G165+SUM(G166:G174)</f>
        <v>2244249</v>
      </c>
      <c r="H175" s="338">
        <f t="shared" ref="H175:U175" si="84">H165+SUM(H166:H174)</f>
        <v>2753435</v>
      </c>
      <c r="I175" s="338">
        <f t="shared" si="84"/>
        <v>3044855</v>
      </c>
      <c r="J175" s="338">
        <f t="shared" si="84"/>
        <v>3639536</v>
      </c>
      <c r="K175" s="338">
        <f t="shared" si="84"/>
        <v>4650813</v>
      </c>
      <c r="L175" s="338">
        <f>L165+SUM(L166:L174)</f>
        <v>5918283</v>
      </c>
      <c r="M175" s="351"/>
      <c r="N175" s="351"/>
      <c r="O175" s="338">
        <f t="shared" si="84"/>
        <v>7213778</v>
      </c>
      <c r="P175" s="338"/>
      <c r="Q175" s="338"/>
      <c r="R175" s="338">
        <f t="shared" si="84"/>
        <v>8170150.5334391445</v>
      </c>
      <c r="S175" s="338">
        <f t="shared" si="84"/>
        <v>7033218.8137076963</v>
      </c>
      <c r="T175" s="338">
        <f t="shared" si="84"/>
        <v>9608855.1591893286</v>
      </c>
      <c r="U175" s="338">
        <f t="shared" si="84"/>
        <v>10645930.779178355</v>
      </c>
      <c r="V175" s="338">
        <f>V165+SUM(V166:V174)</f>
        <v>11738857.281437714</v>
      </c>
      <c r="W175" s="338">
        <f>W165+SUM(W166:W174)</f>
        <v>12165282.607487926</v>
      </c>
      <c r="X175" s="360"/>
      <c r="Y175" s="303"/>
      <c r="Z175" s="303"/>
      <c r="AA175" s="19"/>
      <c r="AB175" s="19"/>
      <c r="AF175" s="19"/>
    </row>
    <row r="176" spans="1:32">
      <c r="B176" s="25" t="s">
        <v>100</v>
      </c>
      <c r="G176" s="285">
        <v>-590081</v>
      </c>
      <c r="H176" s="285">
        <v>-407172</v>
      </c>
      <c r="I176" s="285">
        <v>-658546</v>
      </c>
      <c r="J176" s="285">
        <v>-584626</v>
      </c>
      <c r="K176" s="285">
        <v>-910742</v>
      </c>
      <c r="L176" s="285">
        <v>-876164</v>
      </c>
      <c r="M176" s="320"/>
      <c r="N176" s="320"/>
      <c r="O176" s="285">
        <f>-1280166</f>
        <v>-1280166</v>
      </c>
      <c r="R176" s="285">
        <f t="shared" ref="R176:W176" si="85">R29</f>
        <v>-1606374.2848467727</v>
      </c>
      <c r="S176" s="285">
        <f t="shared" si="85"/>
        <v>-1805919.2988823715</v>
      </c>
      <c r="T176" s="285">
        <f t="shared" si="85"/>
        <v>-2110587.9944570921</v>
      </c>
      <c r="U176" s="285">
        <f t="shared" si="85"/>
        <v>-2440540.7117614667</v>
      </c>
      <c r="V176" s="285">
        <f t="shared" si="85"/>
        <v>-2776714.5029292949</v>
      </c>
      <c r="W176" s="285">
        <f t="shared" si="85"/>
        <v>-3016734.7316216179</v>
      </c>
    </row>
    <row r="177" spans="1:32">
      <c r="B177" s="25" t="s">
        <v>101</v>
      </c>
      <c r="G177" s="285">
        <v>38221</v>
      </c>
      <c r="H177" s="285">
        <v>32715</v>
      </c>
      <c r="I177" s="285">
        <v>44322</v>
      </c>
      <c r="J177" s="285">
        <v>36781</v>
      </c>
      <c r="K177" s="285">
        <f>-K157</f>
        <v>53801</v>
      </c>
      <c r="L177" s="285">
        <v>58635</v>
      </c>
      <c r="M177" s="320"/>
      <c r="N177" s="320"/>
      <c r="O177" s="285">
        <v>75096</v>
      </c>
      <c r="R177" s="285">
        <f t="shared" ref="R177:W177" si="86">-R157</f>
        <v>141273.17500000002</v>
      </c>
      <c r="S177" s="285">
        <f t="shared" si="86"/>
        <v>246072.76274456695</v>
      </c>
      <c r="T177" s="285">
        <f t="shared" si="86"/>
        <v>342792.82537150139</v>
      </c>
      <c r="U177" s="285">
        <f t="shared" si="86"/>
        <v>470880.28342740651</v>
      </c>
      <c r="V177" s="285">
        <f t="shared" si="86"/>
        <v>622362.75034131878</v>
      </c>
      <c r="W177" s="285">
        <f t="shared" si="86"/>
        <v>797577.14420087077</v>
      </c>
    </row>
    <row r="178" spans="1:32">
      <c r="A178" s="11" t="s">
        <v>33</v>
      </c>
      <c r="B178" s="11"/>
      <c r="C178" s="11"/>
      <c r="D178" s="11"/>
      <c r="E178" s="11"/>
      <c r="F178" s="11"/>
      <c r="G178" s="338">
        <f>G175+G176+G177</f>
        <v>1692389</v>
      </c>
      <c r="H178" s="338">
        <f t="shared" ref="H178:U178" si="87">H175+H176+H177</f>
        <v>2378978</v>
      </c>
      <c r="I178" s="338">
        <f t="shared" si="87"/>
        <v>2430631</v>
      </c>
      <c r="J178" s="338">
        <f t="shared" si="87"/>
        <v>3091691</v>
      </c>
      <c r="K178" s="338">
        <f>K175+K176+K177</f>
        <v>3793872</v>
      </c>
      <c r="L178" s="338">
        <f>L175+L176+L177</f>
        <v>5100754</v>
      </c>
      <c r="M178" s="351"/>
      <c r="N178" s="351"/>
      <c r="O178" s="338">
        <f t="shared" si="87"/>
        <v>6008708</v>
      </c>
      <c r="P178" s="338"/>
      <c r="Q178" s="338"/>
      <c r="R178" s="338">
        <f t="shared" si="87"/>
        <v>6705049.4235923719</v>
      </c>
      <c r="S178" s="338">
        <f t="shared" si="87"/>
        <v>5473372.2775698919</v>
      </c>
      <c r="T178" s="338">
        <f t="shared" si="87"/>
        <v>7841059.9901037375</v>
      </c>
      <c r="U178" s="338">
        <f t="shared" si="87"/>
        <v>8676270.3508442938</v>
      </c>
      <c r="V178" s="338">
        <f>V175+V176+V177</f>
        <v>9584505.5288497377</v>
      </c>
      <c r="W178" s="338">
        <f>W175+W176+W177</f>
        <v>9946125.0200671796</v>
      </c>
      <c r="X178" s="360"/>
      <c r="Y178" s="303"/>
      <c r="Z178" s="303"/>
      <c r="AA178" s="19"/>
      <c r="AB178" s="19"/>
      <c r="AF178" s="19"/>
    </row>
    <row r="179" spans="1:32">
      <c r="B179" s="7" t="s">
        <v>34</v>
      </c>
      <c r="G179" s="285">
        <f>G180+G181+G182+G183</f>
        <v>-947300</v>
      </c>
      <c r="H179" s="285">
        <f t="shared" ref="H179:U179" si="88">H180+H181+H182+H183</f>
        <v>-862251</v>
      </c>
      <c r="I179" s="285">
        <f t="shared" si="88"/>
        <v>-1259066</v>
      </c>
      <c r="J179" s="285">
        <f t="shared" si="88"/>
        <v>-1322083</v>
      </c>
      <c r="K179" s="285">
        <f t="shared" si="88"/>
        <v>-1686013</v>
      </c>
      <c r="L179" s="285">
        <f>L180+L181+L182+L183</f>
        <v>-1150598</v>
      </c>
      <c r="M179" s="320"/>
      <c r="N179" s="320"/>
      <c r="O179" s="285">
        <f t="shared" si="88"/>
        <v>-1391617</v>
      </c>
      <c r="R179" s="285">
        <f>R180+R181+R182+R183</f>
        <v>-1877383.3831720261</v>
      </c>
      <c r="S179" s="285">
        <f t="shared" si="88"/>
        <v>-1846185.0186627337</v>
      </c>
      <c r="T179" s="285">
        <f t="shared" si="88"/>
        <v>-1866734.9916466682</v>
      </c>
      <c r="U179" s="285">
        <f t="shared" si="88"/>
        <v>-1803587.0458184783</v>
      </c>
      <c r="V179" s="285">
        <f>V180+V181+V182+V183</f>
        <v>-1696770.9283474882</v>
      </c>
      <c r="W179" s="285">
        <f>W180+W181+W182+W183</f>
        <v>-1551442.6540532834</v>
      </c>
    </row>
    <row r="180" spans="1:32" outlineLevel="1">
      <c r="C180" s="7" t="s">
        <v>102</v>
      </c>
      <c r="G180" s="285">
        <v>-944523</v>
      </c>
      <c r="H180" s="285">
        <v>-693221</v>
      </c>
      <c r="I180" s="285">
        <v>-997293</v>
      </c>
      <c r="J180" s="285">
        <v>-1312960</v>
      </c>
      <c r="K180" s="285">
        <v>-1685292</v>
      </c>
      <c r="L180" s="285">
        <v>-1194951</v>
      </c>
      <c r="M180" s="320"/>
      <c r="N180" s="320"/>
      <c r="O180" s="285">
        <v>-1438614</v>
      </c>
      <c r="R180" s="285">
        <f>-Assumption!R274</f>
        <v>-1861239.0999999999</v>
      </c>
      <c r="S180" s="285">
        <f>-Assumption!S274</f>
        <v>-1827162.6881315983</v>
      </c>
      <c r="T180" s="285">
        <f>-Assumption!T274</f>
        <v>-1855083.0905836525</v>
      </c>
      <c r="U180" s="285">
        <f>-Assumption!U274</f>
        <v>-1792010.2655038084</v>
      </c>
      <c r="V180" s="285">
        <f>-Assumption!V274</f>
        <v>-1685268.784471625</v>
      </c>
      <c r="W180" s="285">
        <f>-Assumption!W274</f>
        <v>-1540014.6654290706</v>
      </c>
    </row>
    <row r="181" spans="1:32" outlineLevel="1">
      <c r="C181" s="7" t="s">
        <v>35</v>
      </c>
      <c r="G181" s="285">
        <v>5073</v>
      </c>
      <c r="H181" s="285">
        <v>456</v>
      </c>
      <c r="I181" s="285">
        <v>893</v>
      </c>
      <c r="J181" s="285">
        <v>1133</v>
      </c>
      <c r="K181" s="285">
        <v>4753</v>
      </c>
      <c r="L181" s="285">
        <v>49846</v>
      </c>
      <c r="M181" s="320"/>
      <c r="N181" s="320"/>
      <c r="O181" s="285">
        <v>58195</v>
      </c>
      <c r="R181" s="285">
        <v>0</v>
      </c>
      <c r="S181" s="285">
        <v>0</v>
      </c>
      <c r="T181" s="285">
        <v>0</v>
      </c>
      <c r="U181" s="285">
        <v>0</v>
      </c>
      <c r="V181" s="285">
        <v>0</v>
      </c>
      <c r="W181" s="285">
        <v>0</v>
      </c>
    </row>
    <row r="182" spans="1:32" outlineLevel="1">
      <c r="C182" s="7" t="s">
        <v>224</v>
      </c>
      <c r="G182" s="285">
        <v>-7177</v>
      </c>
      <c r="H182" s="285">
        <v>-6438</v>
      </c>
      <c r="I182" s="285">
        <v>-8723</v>
      </c>
      <c r="J182" s="285">
        <v>-10215</v>
      </c>
      <c r="K182" s="285">
        <v>-5433</v>
      </c>
      <c r="L182" s="285">
        <v>-4623</v>
      </c>
      <c r="M182" s="320"/>
      <c r="N182" s="320"/>
      <c r="O182" s="285">
        <v>-9858</v>
      </c>
      <c r="R182" s="285">
        <f>-Assumption!R282</f>
        <v>-16144.283172026226</v>
      </c>
      <c r="S182" s="285">
        <f>-Assumption!S282</f>
        <v>-19022.330531135489</v>
      </c>
      <c r="T182" s="285">
        <f>-Assumption!T282</f>
        <v>-11651.901063015677</v>
      </c>
      <c r="U182" s="285">
        <f>-Assumption!U282</f>
        <v>-11576.780314669979</v>
      </c>
      <c r="V182" s="285">
        <f>-Assumption!V282</f>
        <v>-11502.143875863256</v>
      </c>
      <c r="W182" s="285">
        <f>-Assumption!W282</f>
        <v>-11427.988624212749</v>
      </c>
    </row>
    <row r="183" spans="1:32" outlineLevel="1">
      <c r="C183" s="7" t="s">
        <v>103</v>
      </c>
      <c r="G183" s="285">
        <v>-673</v>
      </c>
      <c r="H183" s="285">
        <v>-163048</v>
      </c>
      <c r="I183" s="285">
        <v>-253943</v>
      </c>
      <c r="J183" s="285">
        <v>-41</v>
      </c>
      <c r="K183" s="285">
        <v>-41</v>
      </c>
      <c r="L183" s="285">
        <v>-870</v>
      </c>
      <c r="M183" s="320"/>
      <c r="N183" s="320"/>
      <c r="O183" s="285">
        <v>-1340</v>
      </c>
      <c r="R183" s="285">
        <v>0</v>
      </c>
      <c r="S183" s="285">
        <v>0</v>
      </c>
      <c r="T183" s="285">
        <v>0</v>
      </c>
      <c r="U183" s="285">
        <v>0</v>
      </c>
      <c r="V183" s="285">
        <v>0</v>
      </c>
      <c r="W183" s="285">
        <v>0</v>
      </c>
    </row>
    <row r="184" spans="1:32">
      <c r="B184" s="7" t="s">
        <v>106</v>
      </c>
      <c r="G184" s="285">
        <v>0</v>
      </c>
      <c r="H184" s="285">
        <v>-3000</v>
      </c>
      <c r="I184" s="285">
        <v>-3000</v>
      </c>
      <c r="J184" s="285">
        <v>0</v>
      </c>
      <c r="K184" s="285">
        <v>0</v>
      </c>
      <c r="L184" s="285">
        <v>0</v>
      </c>
      <c r="M184" s="320"/>
      <c r="N184" s="320"/>
      <c r="O184" s="285">
        <v>0</v>
      </c>
      <c r="R184" s="285">
        <v>0</v>
      </c>
      <c r="S184" s="285">
        <v>0</v>
      </c>
      <c r="T184" s="285">
        <v>0</v>
      </c>
      <c r="U184" s="285">
        <v>0</v>
      </c>
      <c r="V184" s="285">
        <v>0</v>
      </c>
      <c r="W184" s="285">
        <v>0</v>
      </c>
    </row>
    <row r="185" spans="1:32">
      <c r="B185" s="7" t="s">
        <v>104</v>
      </c>
      <c r="G185" s="285">
        <f>-2150000-11400</f>
        <v>-2161400</v>
      </c>
      <c r="H185" s="285">
        <v>-3415906</v>
      </c>
      <c r="I185" s="285">
        <v>-4336000</v>
      </c>
      <c r="J185" s="285">
        <v>-5001000</v>
      </c>
      <c r="K185" s="285">
        <v>-5161000</v>
      </c>
      <c r="L185" s="285">
        <v>-2503000</v>
      </c>
      <c r="M185" s="320"/>
      <c r="N185" s="320"/>
      <c r="O185" s="285">
        <v>-3213000</v>
      </c>
      <c r="R185" s="285">
        <f>Assumption!R325</f>
        <v>0</v>
      </c>
      <c r="S185" s="285">
        <f>Assumption!S325</f>
        <v>0</v>
      </c>
      <c r="T185" s="285">
        <f>Assumption!T325</f>
        <v>0</v>
      </c>
      <c r="U185" s="285">
        <f>Assumption!U325</f>
        <v>0</v>
      </c>
      <c r="V185" s="285">
        <f>Assumption!V325</f>
        <v>0</v>
      </c>
      <c r="W185" s="285">
        <f>Assumption!W325</f>
        <v>0</v>
      </c>
    </row>
    <row r="186" spans="1:32">
      <c r="B186" s="7" t="s">
        <v>105</v>
      </c>
      <c r="G186" s="285">
        <v>1277070</v>
      </c>
      <c r="H186" s="285">
        <v>2733751</v>
      </c>
      <c r="I186" s="285">
        <v>3396205</v>
      </c>
      <c r="J186" s="285">
        <v>4335999</v>
      </c>
      <c r="K186" s="285">
        <v>6333963</v>
      </c>
      <c r="L186" s="285">
        <v>434545</v>
      </c>
      <c r="M186" s="320"/>
      <c r="N186" s="320"/>
      <c r="O186" s="285">
        <v>512573</v>
      </c>
      <c r="R186" s="285">
        <f>-Assumption!R326</f>
        <v>0</v>
      </c>
      <c r="S186" s="285">
        <f>-Assumption!S326</f>
        <v>0</v>
      </c>
      <c r="T186" s="285">
        <f>-Assumption!T326</f>
        <v>0</v>
      </c>
      <c r="U186" s="285">
        <f>-Assumption!U326</f>
        <v>0</v>
      </c>
      <c r="V186" s="285">
        <f>-Assumption!V326</f>
        <v>0</v>
      </c>
      <c r="W186" s="285">
        <f>-Assumption!W326</f>
        <v>0</v>
      </c>
    </row>
    <row r="187" spans="1:32">
      <c r="B187" s="7" t="s">
        <v>107</v>
      </c>
      <c r="G187" s="285">
        <v>0</v>
      </c>
      <c r="H187" s="285">
        <v>0</v>
      </c>
      <c r="I187" s="285">
        <v>0</v>
      </c>
      <c r="J187" s="285">
        <v>-10056</v>
      </c>
      <c r="K187" s="285">
        <f>K188-SUM(K184:K186,K179)</f>
        <v>-312294</v>
      </c>
      <c r="L187" s="285">
        <f>-1280000+10056+3000</f>
        <v>-1266944</v>
      </c>
      <c r="M187" s="320"/>
      <c r="N187" s="320"/>
      <c r="O187" s="285">
        <f>-2940000+10056+3000</f>
        <v>-2926944</v>
      </c>
      <c r="R187" s="285">
        <v>0</v>
      </c>
      <c r="S187" s="285">
        <v>0</v>
      </c>
      <c r="T187" s="285">
        <v>0</v>
      </c>
      <c r="U187" s="285">
        <v>0</v>
      </c>
      <c r="V187" s="285">
        <v>0</v>
      </c>
      <c r="W187" s="285">
        <v>0</v>
      </c>
    </row>
    <row r="188" spans="1:32">
      <c r="A188" s="11" t="s">
        <v>36</v>
      </c>
      <c r="B188" s="11"/>
      <c r="C188" s="11"/>
      <c r="D188" s="11"/>
      <c r="E188" s="11"/>
      <c r="F188" s="11"/>
      <c r="G188" s="338">
        <f>SUM(G180:G187)</f>
        <v>-1831630</v>
      </c>
      <c r="H188" s="338">
        <f t="shared" ref="H188:U188" si="89">SUM(H180:H187)</f>
        <v>-1547406</v>
      </c>
      <c r="I188" s="338">
        <f t="shared" si="89"/>
        <v>-2201861</v>
      </c>
      <c r="J188" s="338">
        <f t="shared" si="89"/>
        <v>-1997140</v>
      </c>
      <c r="K188" s="338">
        <v>-825344</v>
      </c>
      <c r="L188" s="338">
        <f>SUM(L180:L187)</f>
        <v>-4485997</v>
      </c>
      <c r="M188" s="351"/>
      <c r="N188" s="351"/>
      <c r="O188" s="338">
        <f t="shared" si="89"/>
        <v>-7018988</v>
      </c>
      <c r="P188" s="338"/>
      <c r="Q188" s="338"/>
      <c r="R188" s="338">
        <f t="shared" si="89"/>
        <v>-1877383.3831720261</v>
      </c>
      <c r="S188" s="338">
        <f t="shared" si="89"/>
        <v>-1846185.0186627337</v>
      </c>
      <c r="T188" s="338">
        <f t="shared" si="89"/>
        <v>-1866734.9916466682</v>
      </c>
      <c r="U188" s="338">
        <f t="shared" si="89"/>
        <v>-1803587.0458184783</v>
      </c>
      <c r="V188" s="338">
        <f>SUM(V180:V187)</f>
        <v>-1696770.9283474882</v>
      </c>
      <c r="W188" s="338">
        <f>SUM(W180:W187)</f>
        <v>-1551442.6540532834</v>
      </c>
      <c r="X188" s="360"/>
      <c r="Y188" s="303"/>
      <c r="Z188" s="303"/>
      <c r="AA188" s="19"/>
      <c r="AB188" s="19"/>
      <c r="AF188" s="19"/>
    </row>
    <row r="189" spans="1:32">
      <c r="B189" s="280" t="s">
        <v>109</v>
      </c>
      <c r="G189" s="285">
        <v>30000</v>
      </c>
      <c r="H189" s="285">
        <v>90000</v>
      </c>
      <c r="I189" s="285">
        <v>140000</v>
      </c>
      <c r="J189" s="285">
        <v>240000</v>
      </c>
      <c r="K189" s="285">
        <v>259537</v>
      </c>
      <c r="L189" s="285">
        <v>4536</v>
      </c>
      <c r="M189" s="320"/>
      <c r="N189" s="320"/>
      <c r="O189" s="285">
        <v>4536</v>
      </c>
      <c r="R189" s="285">
        <f>Assumption!R335</f>
        <v>0</v>
      </c>
      <c r="S189" s="285">
        <f>Assumption!S335</f>
        <v>0</v>
      </c>
      <c r="T189" s="285">
        <f>Assumption!T335</f>
        <v>0</v>
      </c>
      <c r="U189" s="285">
        <f>Assumption!U335</f>
        <v>0</v>
      </c>
      <c r="V189" s="285">
        <f>Assumption!V335</f>
        <v>0</v>
      </c>
      <c r="W189" s="285">
        <f>Assumption!W335</f>
        <v>0</v>
      </c>
    </row>
    <row r="190" spans="1:32">
      <c r="B190" s="280" t="s">
        <v>110</v>
      </c>
      <c r="G190" s="285">
        <v>0</v>
      </c>
      <c r="H190" s="285">
        <v>-30000</v>
      </c>
      <c r="I190" s="285">
        <v>-30000</v>
      </c>
      <c r="J190" s="285">
        <v>-90000</v>
      </c>
      <c r="K190" s="285">
        <v>-140000</v>
      </c>
      <c r="L190" s="285">
        <v>-259537</v>
      </c>
      <c r="M190" s="320"/>
      <c r="N190" s="320"/>
      <c r="O190" s="285">
        <v>-264073</v>
      </c>
      <c r="R190" s="285">
        <f>Assumption!R336</f>
        <v>0</v>
      </c>
      <c r="S190" s="285">
        <f>Assumption!S336</f>
        <v>0</v>
      </c>
      <c r="T190" s="285">
        <f>Assumption!T336</f>
        <v>0</v>
      </c>
      <c r="U190" s="285">
        <f>Assumption!U336</f>
        <v>0</v>
      </c>
      <c r="V190" s="285">
        <f>Assumption!V336</f>
        <v>0</v>
      </c>
      <c r="W190" s="285">
        <f>Assumption!W336</f>
        <v>0</v>
      </c>
    </row>
    <row r="191" spans="1:32">
      <c r="B191" s="280" t="s">
        <v>114</v>
      </c>
      <c r="G191" s="285">
        <v>-1143</v>
      </c>
      <c r="H191" s="285">
        <v>-2238</v>
      </c>
      <c r="I191" s="285">
        <v>-3220</v>
      </c>
      <c r="J191" s="285">
        <v>-4957</v>
      </c>
      <c r="K191" s="285">
        <v>-7118</v>
      </c>
      <c r="L191" s="285">
        <v>-2451</v>
      </c>
      <c r="M191" s="320"/>
      <c r="N191" s="320"/>
      <c r="O191" s="285">
        <v>-2451</v>
      </c>
      <c r="R191" s="285">
        <f>-Assumption!R361</f>
        <v>0</v>
      </c>
      <c r="S191" s="285">
        <f>-Assumption!S361</f>
        <v>0</v>
      </c>
      <c r="T191" s="285">
        <f>-Assumption!T361</f>
        <v>0</v>
      </c>
      <c r="U191" s="285">
        <f>-Assumption!U361</f>
        <v>0</v>
      </c>
      <c r="V191" s="285">
        <f>-Assumption!V361</f>
        <v>0</v>
      </c>
      <c r="W191" s="285">
        <f>-Assumption!W361</f>
        <v>0</v>
      </c>
    </row>
    <row r="192" spans="1:32">
      <c r="B192" s="280" t="s">
        <v>111</v>
      </c>
      <c r="G192" s="285">
        <v>-50</v>
      </c>
      <c r="H192" s="285">
        <v>0</v>
      </c>
      <c r="I192" s="285">
        <v>0</v>
      </c>
      <c r="J192" s="285">
        <v>0</v>
      </c>
      <c r="K192" s="285">
        <v>0</v>
      </c>
      <c r="L192" s="285">
        <v>0</v>
      </c>
      <c r="M192" s="320"/>
      <c r="N192" s="320"/>
      <c r="O192" s="285">
        <v>0</v>
      </c>
      <c r="R192" s="285">
        <v>0</v>
      </c>
      <c r="S192" s="285">
        <v>0</v>
      </c>
      <c r="T192" s="285">
        <v>0</v>
      </c>
      <c r="U192" s="285">
        <v>0</v>
      </c>
      <c r="V192" s="285">
        <v>0</v>
      </c>
      <c r="W192" s="285">
        <v>0</v>
      </c>
    </row>
    <row r="193" spans="1:32">
      <c r="B193" s="280" t="s">
        <v>112</v>
      </c>
      <c r="G193" s="285">
        <v>-41710</v>
      </c>
      <c r="H193" s="285">
        <v>-47821</v>
      </c>
      <c r="I193" s="285">
        <v>-76399</v>
      </c>
      <c r="J193" s="285">
        <v>-74378</v>
      </c>
      <c r="K193" s="285">
        <v>-99875</v>
      </c>
      <c r="L193" s="285">
        <v>-62027</v>
      </c>
      <c r="M193" s="320"/>
      <c r="N193" s="320"/>
      <c r="O193" s="285">
        <v>-83490</v>
      </c>
      <c r="R193" s="285">
        <f>Assumption!R342</f>
        <v>-97497.53891869096</v>
      </c>
      <c r="S193" s="285">
        <f>Assumption!S342</f>
        <v>-90324.533394164449</v>
      </c>
      <c r="T193" s="285">
        <f>Assumption!T342</f>
        <v>-88384.745020208822</v>
      </c>
      <c r="U193" s="285">
        <f>Assumption!U342</f>
        <v>-87142.218903856497</v>
      </c>
      <c r="V193" s="285">
        <f>Assumption!V342</f>
        <v>-82221.393647498073</v>
      </c>
      <c r="W193" s="285">
        <f>Assumption!W342</f>
        <v>-70823.57996758951</v>
      </c>
    </row>
    <row r="194" spans="1:32">
      <c r="B194" s="280" t="s">
        <v>113</v>
      </c>
      <c r="G194" s="285">
        <v>-4800</v>
      </c>
      <c r="H194" s="285">
        <v>-4684</v>
      </c>
      <c r="I194" s="285">
        <v>-5912</v>
      </c>
      <c r="J194" s="285">
        <v>-5976</v>
      </c>
      <c r="K194" s="285">
        <v>-7456</v>
      </c>
      <c r="L194" s="285">
        <v>-3239</v>
      </c>
      <c r="M194" s="320"/>
      <c r="N194" s="320"/>
      <c r="O194" s="285">
        <v>-4127</v>
      </c>
      <c r="R194" s="285">
        <f>-Assumption!R363</f>
        <v>-3021.2545303539646</v>
      </c>
      <c r="S194" s="285">
        <f>-Assumption!S363</f>
        <v>-2158.6969852190095</v>
      </c>
      <c r="T194" s="285">
        <f>-Assumption!T363</f>
        <v>-1589.8307593263021</v>
      </c>
      <c r="U194" s="285">
        <f>-Assumption!U363</f>
        <v>-1007.4836615683261</v>
      </c>
      <c r="V194" s="285">
        <f>-Assumption!V363</f>
        <v>-502.80054177757313</v>
      </c>
      <c r="W194" s="285">
        <f>-Assumption!W363</f>
        <v>-106.63015239465111</v>
      </c>
    </row>
    <row r="195" spans="1:32">
      <c r="B195" s="280" t="s">
        <v>492</v>
      </c>
      <c r="G195" s="285">
        <v>28900</v>
      </c>
      <c r="H195" s="285">
        <v>-42560</v>
      </c>
      <c r="I195" s="285">
        <v>-63250</v>
      </c>
      <c r="J195" s="285">
        <f>-93321+13250</f>
        <v>-80071</v>
      </c>
      <c r="K195" s="285">
        <f>-89035+63250</f>
        <v>-25785</v>
      </c>
      <c r="L195" s="285">
        <f>-3735+72409</f>
        <v>68674</v>
      </c>
      <c r="M195" s="320"/>
      <c r="N195" s="320"/>
      <c r="O195" s="285">
        <f>-7035+85374</f>
        <v>78339</v>
      </c>
      <c r="R195" s="285">
        <v>0</v>
      </c>
      <c r="S195" s="285">
        <v>0</v>
      </c>
      <c r="T195" s="285">
        <v>0</v>
      </c>
      <c r="U195" s="285">
        <v>0</v>
      </c>
      <c r="V195" s="285">
        <v>0</v>
      </c>
      <c r="W195" s="285">
        <v>0</v>
      </c>
    </row>
    <row r="196" spans="1:32">
      <c r="B196" s="280" t="s">
        <v>117</v>
      </c>
      <c r="G196" s="285">
        <v>1328</v>
      </c>
      <c r="H196" s="285">
        <v>3920</v>
      </c>
      <c r="I196" s="285">
        <v>3920</v>
      </c>
      <c r="J196" s="285">
        <v>13241</v>
      </c>
      <c r="K196" s="285">
        <v>13241</v>
      </c>
      <c r="L196" s="285">
        <v>0</v>
      </c>
      <c r="M196" s="320"/>
      <c r="N196" s="320"/>
      <c r="O196" s="285">
        <v>0</v>
      </c>
      <c r="R196" s="285">
        <v>0</v>
      </c>
      <c r="S196" s="285">
        <v>0</v>
      </c>
      <c r="T196" s="285">
        <v>0</v>
      </c>
      <c r="U196" s="285">
        <v>0</v>
      </c>
      <c r="V196" s="285">
        <v>0</v>
      </c>
      <c r="W196" s="285">
        <v>0</v>
      </c>
    </row>
    <row r="197" spans="1:32">
      <c r="B197" s="280" t="s">
        <v>3</v>
      </c>
      <c r="G197" s="285">
        <f t="shared" ref="G197:L197" si="90">SUM(G198:G201)</f>
        <v>714123</v>
      </c>
      <c r="H197" s="285">
        <f t="shared" si="90"/>
        <v>-104400</v>
      </c>
      <c r="I197" s="285">
        <f t="shared" si="90"/>
        <v>-104400</v>
      </c>
      <c r="J197" s="285">
        <f t="shared" si="90"/>
        <v>-100645</v>
      </c>
      <c r="K197" s="285">
        <f t="shared" si="90"/>
        <v>-103863</v>
      </c>
      <c r="L197" s="285">
        <f t="shared" si="90"/>
        <v>-3118</v>
      </c>
      <c r="M197" s="320"/>
      <c r="N197" s="320"/>
      <c r="O197" s="285">
        <f>SUM(O198:O201)</f>
        <v>-6172</v>
      </c>
      <c r="R197" s="285">
        <f t="shared" ref="R197:W197" si="91">SUM(R198:R201)</f>
        <v>3312494.350360183</v>
      </c>
      <c r="S197" s="285">
        <f t="shared" si="91"/>
        <v>-568.46181592460539</v>
      </c>
      <c r="T197" s="285">
        <f t="shared" si="91"/>
        <v>-664.36450662012544</v>
      </c>
      <c r="U197" s="285">
        <f t="shared" si="91"/>
        <v>-768.22602521853753</v>
      </c>
      <c r="V197" s="285">
        <f t="shared" si="91"/>
        <v>-874.04579463558196</v>
      </c>
      <c r="W197" s="285">
        <f t="shared" si="91"/>
        <v>-949.5986364184439</v>
      </c>
    </row>
    <row r="198" spans="1:32" outlineLevel="1">
      <c r="B198" s="280" t="s">
        <v>108</v>
      </c>
      <c r="G198" s="285">
        <v>1120000</v>
      </c>
      <c r="H198" s="285">
        <v>0</v>
      </c>
      <c r="I198" s="285">
        <v>0</v>
      </c>
      <c r="J198" s="285">
        <v>0</v>
      </c>
      <c r="K198" s="349">
        <v>0</v>
      </c>
      <c r="L198" s="285">
        <v>0</v>
      </c>
      <c r="M198" s="320"/>
      <c r="N198" s="320"/>
      <c r="O198" s="350">
        <v>0</v>
      </c>
      <c r="P198" s="350"/>
      <c r="Q198" s="350"/>
      <c r="R198" s="349">
        <f>3313*1000</f>
        <v>3313000</v>
      </c>
      <c r="S198" s="349">
        <v>0</v>
      </c>
      <c r="T198" s="349">
        <v>0</v>
      </c>
      <c r="U198" s="349">
        <v>0</v>
      </c>
      <c r="V198" s="349">
        <v>0</v>
      </c>
      <c r="W198" s="349">
        <v>0</v>
      </c>
      <c r="X198" s="349"/>
      <c r="Y198" s="259"/>
      <c r="Z198" s="259"/>
      <c r="AA198" s="259"/>
      <c r="AB198" s="259"/>
      <c r="AF198" s="260"/>
    </row>
    <row r="199" spans="1:32" outlineLevel="1">
      <c r="B199" s="280" t="s">
        <v>115</v>
      </c>
      <c r="G199" s="285">
        <v>-404400</v>
      </c>
      <c r="H199" s="285">
        <v>-104400</v>
      </c>
      <c r="I199" s="285">
        <v>-104400</v>
      </c>
      <c r="J199" s="285">
        <v>-100000</v>
      </c>
      <c r="K199" s="285">
        <v>-100000</v>
      </c>
      <c r="L199" s="285">
        <v>0</v>
      </c>
      <c r="M199" s="320"/>
      <c r="N199" s="320"/>
      <c r="O199" s="285">
        <v>0</v>
      </c>
      <c r="R199" s="285">
        <f>Assumption!R377</f>
        <v>0</v>
      </c>
      <c r="S199" s="285">
        <f>Assumption!S377</f>
        <v>0</v>
      </c>
      <c r="T199" s="285">
        <f>Assumption!T377</f>
        <v>0</v>
      </c>
      <c r="U199" s="285">
        <f>Assumption!U377</f>
        <v>0</v>
      </c>
      <c r="V199" s="285">
        <f>Assumption!V377</f>
        <v>0</v>
      </c>
      <c r="W199" s="285">
        <f>Assumption!W377</f>
        <v>0</v>
      </c>
    </row>
    <row r="200" spans="1:32" outlineLevel="1">
      <c r="B200" s="280" t="s">
        <v>116</v>
      </c>
      <c r="G200" s="285">
        <v>-1477</v>
      </c>
      <c r="H200" s="285">
        <v>0</v>
      </c>
      <c r="I200" s="285">
        <v>0</v>
      </c>
      <c r="J200" s="285">
        <v>-645</v>
      </c>
      <c r="K200" s="285">
        <v>-645</v>
      </c>
      <c r="L200" s="285">
        <v>-527</v>
      </c>
      <c r="M200" s="320"/>
      <c r="N200" s="320"/>
      <c r="O200" s="285">
        <v>-527</v>
      </c>
      <c r="R200" s="285">
        <f>Assumption!R387</f>
        <v>-505.64963981708053</v>
      </c>
      <c r="S200" s="285">
        <f>Assumption!S387</f>
        <v>-568.46181592460539</v>
      </c>
      <c r="T200" s="285">
        <f>Assumption!T387</f>
        <v>-664.36450662012544</v>
      </c>
      <c r="U200" s="285">
        <f>Assumption!U387</f>
        <v>-768.22602521853753</v>
      </c>
      <c r="V200" s="285">
        <f>Assumption!V387</f>
        <v>-874.04579463558196</v>
      </c>
      <c r="W200" s="285">
        <f>Assumption!W387</f>
        <v>-949.5986364184439</v>
      </c>
    </row>
    <row r="201" spans="1:32" outlineLevel="1">
      <c r="B201" s="280" t="s">
        <v>3</v>
      </c>
      <c r="K201" s="285">
        <v>-3218</v>
      </c>
      <c r="L201" s="285">
        <v>-2591</v>
      </c>
      <c r="M201" s="320"/>
      <c r="N201" s="320"/>
      <c r="O201" s="285">
        <v>-5645</v>
      </c>
    </row>
    <row r="202" spans="1:32">
      <c r="A202" s="11" t="s">
        <v>37</v>
      </c>
      <c r="B202" s="11"/>
      <c r="C202" s="11"/>
      <c r="D202" s="11"/>
      <c r="E202" s="11"/>
      <c r="F202" s="11"/>
      <c r="G202" s="338">
        <f>SUM(G189:G197)</f>
        <v>726648</v>
      </c>
      <c r="H202" s="338">
        <f t="shared" ref="H202:U202" si="92">SUM(H189:H197)</f>
        <v>-137783</v>
      </c>
      <c r="I202" s="338">
        <f t="shared" si="92"/>
        <v>-139261</v>
      </c>
      <c r="J202" s="338">
        <f t="shared" si="92"/>
        <v>-102786</v>
      </c>
      <c r="K202" s="338">
        <f t="shared" si="92"/>
        <v>-111319</v>
      </c>
      <c r="L202" s="338">
        <f t="shared" si="92"/>
        <v>-257162</v>
      </c>
      <c r="M202" s="351"/>
      <c r="N202" s="351"/>
      <c r="O202" s="338">
        <f t="shared" si="92"/>
        <v>-277438</v>
      </c>
      <c r="P202" s="338"/>
      <c r="Q202" s="338"/>
      <c r="R202" s="338">
        <f t="shared" si="92"/>
        <v>3211975.5569111379</v>
      </c>
      <c r="S202" s="338">
        <f t="shared" si="92"/>
        <v>-93051.69219530806</v>
      </c>
      <c r="T202" s="338">
        <f t="shared" si="92"/>
        <v>-90638.940286155252</v>
      </c>
      <c r="U202" s="338">
        <f t="shared" si="92"/>
        <v>-88917.928590643365</v>
      </c>
      <c r="V202" s="338">
        <f>SUM(V189:V197)</f>
        <v>-83598.239983911233</v>
      </c>
      <c r="W202" s="338">
        <f>SUM(W189:W197)</f>
        <v>-71879.808756402606</v>
      </c>
      <c r="X202" s="360"/>
      <c r="Y202" s="303"/>
      <c r="Z202" s="303"/>
      <c r="AA202" s="19"/>
      <c r="AB202" s="19"/>
      <c r="AF202" s="19"/>
    </row>
    <row r="203" spans="1:32">
      <c r="A203" s="11" t="s">
        <v>39</v>
      </c>
      <c r="B203" s="11"/>
      <c r="C203" s="11"/>
      <c r="D203" s="11"/>
      <c r="E203" s="11"/>
      <c r="F203" s="11"/>
      <c r="G203" s="338">
        <f t="shared" ref="G203:U203" si="93">G178+G188+G202</f>
        <v>587407</v>
      </c>
      <c r="H203" s="338">
        <f t="shared" si="93"/>
        <v>693789</v>
      </c>
      <c r="I203" s="338">
        <f t="shared" si="93"/>
        <v>89509</v>
      </c>
      <c r="J203" s="338">
        <f t="shared" si="93"/>
        <v>991765</v>
      </c>
      <c r="K203" s="338">
        <f t="shared" si="93"/>
        <v>2857209</v>
      </c>
      <c r="L203" s="338">
        <f t="shared" si="93"/>
        <v>357595</v>
      </c>
      <c r="M203" s="351"/>
      <c r="N203" s="351"/>
      <c r="O203" s="338">
        <f t="shared" si="93"/>
        <v>-1287718</v>
      </c>
      <c r="P203" s="338"/>
      <c r="Q203" s="338"/>
      <c r="R203" s="338">
        <f t="shared" si="93"/>
        <v>8039641.5973314838</v>
      </c>
      <c r="S203" s="338">
        <f t="shared" si="93"/>
        <v>3534135.56671185</v>
      </c>
      <c r="T203" s="338">
        <f t="shared" si="93"/>
        <v>5883686.0581709146</v>
      </c>
      <c r="U203" s="338">
        <f t="shared" si="93"/>
        <v>6783765.3764351727</v>
      </c>
      <c r="V203" s="338">
        <f>V178+V188+V202</f>
        <v>7804136.3605183382</v>
      </c>
      <c r="W203" s="338">
        <f>W178+W188+W202</f>
        <v>8322802.557257493</v>
      </c>
      <c r="X203" s="360"/>
      <c r="Y203" s="303"/>
      <c r="Z203" s="303"/>
      <c r="AA203" s="19"/>
      <c r="AB203" s="19"/>
      <c r="AF203" s="19"/>
    </row>
    <row r="204" spans="1:32">
      <c r="B204" s="7" t="s">
        <v>38</v>
      </c>
      <c r="G204" s="285">
        <v>-1066</v>
      </c>
      <c r="H204" s="285">
        <v>1361</v>
      </c>
      <c r="I204" s="285">
        <v>-1198</v>
      </c>
      <c r="J204" s="285">
        <v>3310</v>
      </c>
      <c r="K204" s="285">
        <v>557</v>
      </c>
      <c r="L204" s="285">
        <v>897</v>
      </c>
      <c r="M204" s="320"/>
      <c r="N204" s="320"/>
      <c r="O204" s="285">
        <v>937</v>
      </c>
      <c r="R204" s="285">
        <f>Assumption!R209</f>
        <v>0</v>
      </c>
      <c r="S204" s="285">
        <f>Assumption!S209</f>
        <v>0</v>
      </c>
      <c r="T204" s="285">
        <f>Assumption!T209</f>
        <v>0</v>
      </c>
      <c r="U204" s="285">
        <f>Assumption!U209</f>
        <v>0</v>
      </c>
      <c r="V204" s="285">
        <f>Assumption!V209</f>
        <v>0</v>
      </c>
      <c r="W204" s="285">
        <f>Assumption!W209</f>
        <v>0</v>
      </c>
    </row>
    <row r="205" spans="1:32">
      <c r="B205" s="7" t="s">
        <v>40</v>
      </c>
      <c r="G205" s="285">
        <v>2089486</v>
      </c>
      <c r="H205" s="285">
        <f>G206</f>
        <v>2675827</v>
      </c>
      <c r="I205" s="285">
        <f>G206</f>
        <v>2675827</v>
      </c>
      <c r="J205" s="285">
        <f>I206</f>
        <v>2764138</v>
      </c>
      <c r="K205" s="285">
        <f>I206</f>
        <v>2764138</v>
      </c>
      <c r="L205" s="285">
        <f>K206</f>
        <v>5621904</v>
      </c>
      <c r="M205" s="320"/>
      <c r="N205" s="320"/>
      <c r="O205" s="285">
        <f>K206</f>
        <v>5621904</v>
      </c>
      <c r="R205" s="285">
        <f>O206</f>
        <v>4335123</v>
      </c>
      <c r="S205" s="285">
        <f>R206</f>
        <v>12374764.597331483</v>
      </c>
      <c r="T205" s="285">
        <f>S206</f>
        <v>15908900.164043333</v>
      </c>
      <c r="U205" s="285">
        <f>T206</f>
        <v>21792586.222214248</v>
      </c>
      <c r="V205" s="285">
        <f>U206</f>
        <v>28576351.59864942</v>
      </c>
      <c r="W205" s="285">
        <f>V206</f>
        <v>36380487.959167756</v>
      </c>
    </row>
    <row r="206" spans="1:32" ht="12" thickBot="1">
      <c r="A206" s="16" t="s">
        <v>41</v>
      </c>
      <c r="B206" s="16"/>
      <c r="C206" s="16"/>
      <c r="D206" s="16"/>
      <c r="E206" s="16"/>
      <c r="F206" s="16"/>
      <c r="G206" s="344">
        <f>SUM(G203:G205)</f>
        <v>2675827</v>
      </c>
      <c r="H206" s="344">
        <f>SUM(H203:H205)</f>
        <v>3370977</v>
      </c>
      <c r="I206" s="344">
        <f>SUM(I203:I205)</f>
        <v>2764138</v>
      </c>
      <c r="J206" s="344">
        <f>SUM(J203:J205)</f>
        <v>3759213</v>
      </c>
      <c r="K206" s="344">
        <f t="shared" ref="K206:U206" si="94">SUM(K203:K205)</f>
        <v>5621904</v>
      </c>
      <c r="L206" s="344">
        <f>SUM(L203:L205)</f>
        <v>5980396</v>
      </c>
      <c r="M206" s="346"/>
      <c r="N206" s="346"/>
      <c r="O206" s="344">
        <f t="shared" si="94"/>
        <v>4335123</v>
      </c>
      <c r="P206" s="344"/>
      <c r="Q206" s="344"/>
      <c r="R206" s="344">
        <f t="shared" si="94"/>
        <v>12374764.597331483</v>
      </c>
      <c r="S206" s="344">
        <f t="shared" si="94"/>
        <v>15908900.164043333</v>
      </c>
      <c r="T206" s="344">
        <f t="shared" si="94"/>
        <v>21792586.222214248</v>
      </c>
      <c r="U206" s="344">
        <f t="shared" si="94"/>
        <v>28576351.59864942</v>
      </c>
      <c r="V206" s="344">
        <f>SUM(V203:V205)</f>
        <v>36380487.959167756</v>
      </c>
      <c r="W206" s="344">
        <f>SUM(W203:W205)</f>
        <v>44703290.516425252</v>
      </c>
      <c r="X206" s="344"/>
      <c r="Y206" s="23"/>
      <c r="Z206" s="23"/>
      <c r="AA206" s="23"/>
      <c r="AB206" s="23"/>
      <c r="AF206" s="23"/>
    </row>
    <row r="207" spans="1:32">
      <c r="O207" s="286">
        <f>O206/K206-1</f>
        <v>-0.22888704609683841</v>
      </c>
      <c r="R207" s="286">
        <f>R206/O206-1</f>
        <v>1.8545359837152215</v>
      </c>
      <c r="S207" s="286">
        <f>S206/R206-1</f>
        <v>0.28559214512039754</v>
      </c>
      <c r="T207" s="286">
        <f>T206/S206-1</f>
        <v>0.36983612930509113</v>
      </c>
      <c r="U207" s="286">
        <f>U206/T206-1</f>
        <v>0.31128776122588642</v>
      </c>
      <c r="V207" s="286">
        <f>V206/U206-1</f>
        <v>0.27309771625595403</v>
      </c>
      <c r="W207" s="286">
        <f>W206/V206-1</f>
        <v>0.22877105349985216</v>
      </c>
      <c r="X207" s="286"/>
      <c r="Y207" s="13"/>
      <c r="Z207" s="13"/>
      <c r="AA207" s="13"/>
    </row>
    <row r="209" spans="18:18">
      <c r="R209" s="296">
        <f ca="1">+R198/DCF!H68</f>
        <v>1.9325058962267543E-2</v>
      </c>
    </row>
  </sheetData>
  <pageMargins left="0.7" right="0.7" top="0.75" bottom="0.75" header="0.3" footer="0.3"/>
  <pageSetup paperSize="0" orientation="portrait" horizontalDpi="203" verticalDpi="20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4259-096B-4EE5-B0EE-5885B598FB13}">
  <sheetPr codeName="Sheet4"/>
  <dimension ref="A1:BF392"/>
  <sheetViews>
    <sheetView tabSelected="1" zoomScale="120" zoomScaleNormal="120" workbookViewId="0">
      <pane xSplit="5" ySplit="4" topLeftCell="I291" activePane="bottomRight" state="frozen"/>
      <selection pane="topRight" activeCell="F1" sqref="F1"/>
      <selection pane="bottomLeft" activeCell="A5" sqref="A5"/>
      <selection pane="bottomRight" activeCell="R86" sqref="R86"/>
    </sheetView>
  </sheetViews>
  <sheetFormatPr defaultColWidth="9.33203125" defaultRowHeight="11.25" outlineLevelCol="1"/>
  <cols>
    <col min="1" max="4" width="3.1640625" style="7" customWidth="1"/>
    <col min="5" max="5" width="44" style="7" customWidth="1"/>
    <col min="6" max="6" width="1" style="7" customWidth="1"/>
    <col min="7" max="7" width="10.83203125" style="285" bestFit="1" customWidth="1"/>
    <col min="8" max="8" width="10.83203125" style="285" hidden="1" customWidth="1"/>
    <col min="9" max="9" width="13.33203125" style="285" bestFit="1" customWidth="1"/>
    <col min="10" max="10" width="11.83203125" style="285" hidden="1" customWidth="1"/>
    <col min="11" max="11" width="11.5" style="285" customWidth="1" collapsed="1"/>
    <col min="12" max="12" width="11.33203125" style="285" customWidth="1"/>
    <col min="13" max="14" width="11.83203125" style="285" customWidth="1" outlineLevel="1"/>
    <col min="15" max="15" width="15" style="285" bestFit="1" customWidth="1"/>
    <col min="16" max="17" width="14.83203125" style="285" customWidth="1" outlineLevel="1"/>
    <col min="18" max="18" width="11.6640625" style="285" bestFit="1" customWidth="1"/>
    <col min="19" max="19" width="12.33203125" style="285" bestFit="1" customWidth="1"/>
    <col min="20" max="21" width="12.5" style="285" bestFit="1" customWidth="1"/>
    <col min="22" max="23" width="12.1640625" style="285" customWidth="1"/>
    <col min="24" max="16384" width="9.33203125" style="7"/>
  </cols>
  <sheetData>
    <row r="1" spans="1:24" s="3" customFormat="1">
      <c r="A1" s="2" t="s">
        <v>0</v>
      </c>
      <c r="G1" s="279"/>
      <c r="H1" s="279"/>
      <c r="I1" s="279"/>
      <c r="J1" s="279"/>
      <c r="K1" s="279"/>
      <c r="L1" s="279"/>
      <c r="M1" s="279"/>
      <c r="N1" s="279"/>
      <c r="O1" s="279"/>
      <c r="P1" s="279"/>
      <c r="Q1" s="279"/>
      <c r="R1" s="279"/>
      <c r="S1" s="279"/>
      <c r="T1" s="279"/>
      <c r="U1" s="279"/>
      <c r="V1" s="279"/>
      <c r="W1" s="279"/>
    </row>
    <row r="2" spans="1:24" s="3" customFormat="1">
      <c r="A2" s="2" t="s">
        <v>184</v>
      </c>
      <c r="G2" s="279"/>
      <c r="H2" s="279"/>
      <c r="I2" s="279"/>
      <c r="J2" s="279"/>
      <c r="K2" s="279"/>
      <c r="L2" s="279"/>
      <c r="M2" s="279"/>
      <c r="N2" s="279"/>
      <c r="O2" s="279"/>
      <c r="P2" s="279"/>
      <c r="Q2" s="279"/>
      <c r="R2" s="279"/>
      <c r="S2" s="279"/>
      <c r="T2" s="279"/>
      <c r="U2" s="279"/>
      <c r="V2" s="279"/>
      <c r="W2" s="279"/>
    </row>
    <row r="3" spans="1:24" s="3" customFormat="1">
      <c r="A3" s="2" t="s">
        <v>2</v>
      </c>
      <c r="G3" s="279"/>
      <c r="H3" s="279"/>
      <c r="I3" s="272">
        <v>2022</v>
      </c>
      <c r="J3" s="272" t="s">
        <v>75</v>
      </c>
      <c r="K3" s="272">
        <v>2023</v>
      </c>
      <c r="L3" s="272" t="s">
        <v>504</v>
      </c>
      <c r="M3" s="272" t="s">
        <v>520</v>
      </c>
      <c r="N3" s="272" t="s">
        <v>521</v>
      </c>
      <c r="O3" s="272">
        <v>2024</v>
      </c>
      <c r="P3" s="279" t="s">
        <v>519</v>
      </c>
      <c r="Q3" s="279" t="s">
        <v>516</v>
      </c>
      <c r="R3" s="272" t="s">
        <v>482</v>
      </c>
      <c r="S3" s="272" t="s">
        <v>491</v>
      </c>
      <c r="T3" s="272" t="s">
        <v>511</v>
      </c>
      <c r="U3" s="279"/>
      <c r="V3" s="279"/>
      <c r="W3" s="279"/>
    </row>
    <row r="4" spans="1:24" s="5" customFormat="1">
      <c r="G4" s="272">
        <v>2021</v>
      </c>
      <c r="H4" s="272" t="s">
        <v>76</v>
      </c>
      <c r="I4" s="272">
        <v>2022</v>
      </c>
      <c r="J4" s="272" t="s">
        <v>75</v>
      </c>
      <c r="K4" s="272">
        <v>2023</v>
      </c>
      <c r="L4" s="272" t="s">
        <v>504</v>
      </c>
      <c r="M4" s="272" t="s">
        <v>520</v>
      </c>
      <c r="N4" s="272" t="s">
        <v>521</v>
      </c>
      <c r="O4" s="272">
        <v>2024</v>
      </c>
      <c r="P4" s="279" t="s">
        <v>519</v>
      </c>
      <c r="Q4" s="279" t="s">
        <v>516</v>
      </c>
      <c r="R4" s="272" t="s">
        <v>482</v>
      </c>
      <c r="S4" s="272" t="s">
        <v>491</v>
      </c>
      <c r="T4" s="272" t="s">
        <v>511</v>
      </c>
      <c r="U4" s="272" t="s">
        <v>512</v>
      </c>
      <c r="V4" s="272" t="s">
        <v>517</v>
      </c>
      <c r="W4" s="272" t="s">
        <v>524</v>
      </c>
    </row>
    <row r="6" spans="1:24" ht="18">
      <c r="A6" s="6" t="s">
        <v>162</v>
      </c>
    </row>
    <row r="8" spans="1:24" ht="12.75">
      <c r="A8" s="8" t="s">
        <v>50</v>
      </c>
      <c r="O8" s="296"/>
    </row>
    <row r="10" spans="1:24">
      <c r="A10" s="7" t="s">
        <v>135</v>
      </c>
      <c r="G10" s="285">
        <f t="shared" ref="G10:U10" si="0">G12+G14</f>
        <v>10154604</v>
      </c>
      <c r="H10" s="285">
        <f t="shared" si="0"/>
        <v>10336970</v>
      </c>
      <c r="I10" s="285">
        <f>I12+I14</f>
        <v>13299430</v>
      </c>
      <c r="J10" s="285">
        <f t="shared" si="0"/>
        <v>15109557</v>
      </c>
      <c r="K10" s="285">
        <f t="shared" si="0"/>
        <v>19896747</v>
      </c>
      <c r="L10" s="285">
        <f>L12+L14</f>
        <v>18216311</v>
      </c>
      <c r="M10" s="285">
        <f t="shared" si="0"/>
        <v>10384198</v>
      </c>
      <c r="N10" s="285">
        <f>O10-M10</f>
        <v>13824631</v>
      </c>
      <c r="O10" s="285">
        <f>O12+O14</f>
        <v>24208829</v>
      </c>
      <c r="P10" s="285">
        <f>P12+P14</f>
        <v>14494688</v>
      </c>
      <c r="Q10" s="285">
        <f>R10-P10</f>
        <v>16857843.928891193</v>
      </c>
      <c r="R10" s="285">
        <f t="shared" si="0"/>
        <v>31352531.928891193</v>
      </c>
      <c r="S10" s="285">
        <f t="shared" si="0"/>
        <v>34787573.664699629</v>
      </c>
      <c r="T10" s="285">
        <f t="shared" si="0"/>
        <v>40436920.246107183</v>
      </c>
      <c r="U10" s="285">
        <f t="shared" si="0"/>
        <v>46406425.465405852</v>
      </c>
      <c r="V10" s="285">
        <f>V12+V14</f>
        <v>52375105.409484282</v>
      </c>
      <c r="W10" s="285">
        <f>W12+W14</f>
        <v>56115158.988212451</v>
      </c>
      <c r="X10" s="240"/>
    </row>
    <row r="11" spans="1:24" s="13" customFormat="1">
      <c r="B11" s="304" t="s">
        <v>429</v>
      </c>
      <c r="C11" s="304"/>
      <c r="D11" s="304"/>
      <c r="E11" s="304"/>
      <c r="F11" s="304"/>
      <c r="G11" s="310"/>
      <c r="H11" s="310"/>
      <c r="I11" s="310">
        <f>I10/G10-1</f>
        <v>0.30969459764260621</v>
      </c>
      <c r="J11" s="310"/>
      <c r="K11" s="310">
        <f>K10/I10-1</f>
        <v>0.49606013190038967</v>
      </c>
      <c r="L11" s="310">
        <f>L10/J10-1</f>
        <v>0.20561516131809832</v>
      </c>
      <c r="M11" s="355"/>
      <c r="N11" s="355"/>
      <c r="O11" s="310">
        <f>O10/K10-1</f>
        <v>0.21672296481429854</v>
      </c>
      <c r="P11" s="310">
        <f>P10/M10-1</f>
        <v>0.39584087283389624</v>
      </c>
      <c r="Q11" s="310">
        <f>Q10/N10-1</f>
        <v>0.21940642964656298</v>
      </c>
      <c r="R11" s="310">
        <f>R10/O10-1</f>
        <v>0.29508667804176714</v>
      </c>
      <c r="S11" s="310">
        <f>S10/R10-1</f>
        <v>0.10956186070073226</v>
      </c>
      <c r="T11" s="310">
        <f>T10/S10-1</f>
        <v>0.16239553341255819</v>
      </c>
      <c r="U11" s="310">
        <f>U10/T10-1</f>
        <v>0.14762512038421982</v>
      </c>
      <c r="V11" s="310">
        <f>V10/U10-1</f>
        <v>0.12861753268473231</v>
      </c>
      <c r="W11" s="310">
        <f>W10/V10-1</f>
        <v>7.1408993824209288E-2</v>
      </c>
      <c r="X11" s="240">
        <f>(U10/K10)^0.2-1</f>
        <v>0.18456584946162824</v>
      </c>
    </row>
    <row r="12" spans="1:24">
      <c r="B12" s="7" t="s">
        <v>133</v>
      </c>
      <c r="G12" s="285">
        <v>9457660</v>
      </c>
      <c r="H12" s="285">
        <v>9776336</v>
      </c>
      <c r="I12" s="285">
        <v>12551043</v>
      </c>
      <c r="J12" s="285">
        <v>14504715</v>
      </c>
      <c r="K12" s="285">
        <v>19160210</v>
      </c>
      <c r="L12" s="285">
        <v>17595055</v>
      </c>
      <c r="M12" s="285">
        <v>9926304</v>
      </c>
      <c r="N12" s="285">
        <f>O12-M12</f>
        <v>13526153</v>
      </c>
      <c r="O12" s="285">
        <v>23452457</v>
      </c>
      <c r="P12" s="285">
        <v>13843184</v>
      </c>
      <c r="Q12" s="285">
        <f>R12-P12</f>
        <v>16647651.406679045</v>
      </c>
      <c r="R12" s="285">
        <f t="shared" ref="R12:W12" si="1">R136*R91/10^3</f>
        <v>30490835.406679045</v>
      </c>
      <c r="S12" s="285">
        <f t="shared" si="1"/>
        <v>33878414.078091979</v>
      </c>
      <c r="T12" s="285">
        <f t="shared" si="1"/>
        <v>39366697.652161002</v>
      </c>
      <c r="U12" s="285">
        <f t="shared" si="1"/>
        <v>45253053.424225219</v>
      </c>
      <c r="V12" s="285">
        <f t="shared" si="1"/>
        <v>51178618.571052514</v>
      </c>
      <c r="W12" s="285">
        <f t="shared" si="1"/>
        <v>55339651.640834175</v>
      </c>
    </row>
    <row r="13" spans="1:24" s="13" customFormat="1">
      <c r="C13" s="304" t="s">
        <v>429</v>
      </c>
      <c r="D13" s="304"/>
      <c r="E13" s="304"/>
      <c r="F13" s="304"/>
      <c r="G13" s="310"/>
      <c r="H13" s="310"/>
      <c r="I13" s="310">
        <f>I12/G12-1</f>
        <v>0.32707699367496823</v>
      </c>
      <c r="J13" s="310"/>
      <c r="K13" s="310">
        <f>K12/I12-1</f>
        <v>0.52658308954881283</v>
      </c>
      <c r="L13" s="310">
        <f>L12/J12-1</f>
        <v>0.21305761609242246</v>
      </c>
      <c r="M13" s="355"/>
      <c r="N13" s="355"/>
      <c r="O13" s="310">
        <f>O12/K12-1</f>
        <v>0.22401878685045729</v>
      </c>
      <c r="P13" s="310">
        <f>P12/M12-1</f>
        <v>0.39459601479060091</v>
      </c>
      <c r="Q13" s="310">
        <f>Q12/N12-1</f>
        <v>0.23077503312871328</v>
      </c>
      <c r="R13" s="310">
        <f>R12/O12-1</f>
        <v>0.30011262387898396</v>
      </c>
      <c r="S13" s="310">
        <f>S12/R12-1</f>
        <v>0.11110153678081525</v>
      </c>
      <c r="T13" s="310">
        <f>T12/S12-1</f>
        <v>0.16199942421797453</v>
      </c>
      <c r="U13" s="310">
        <f>U12/T12-1</f>
        <v>0.1495262778726143</v>
      </c>
      <c r="V13" s="310">
        <f>V12/U12-1</f>
        <v>0.13094288005889942</v>
      </c>
      <c r="W13" s="310">
        <f>W12/V12-1</f>
        <v>8.1304130239560957E-2</v>
      </c>
    </row>
    <row r="14" spans="1:24">
      <c r="B14" s="7" t="s">
        <v>134</v>
      </c>
      <c r="G14" s="285">
        <v>696944</v>
      </c>
      <c r="H14" s="285">
        <v>560634</v>
      </c>
      <c r="I14" s="285">
        <v>748387</v>
      </c>
      <c r="J14" s="285">
        <v>604842</v>
      </c>
      <c r="K14" s="285">
        <v>736537</v>
      </c>
      <c r="L14" s="285">
        <v>621256</v>
      </c>
      <c r="M14" s="285">
        <v>457894</v>
      </c>
      <c r="N14" s="285">
        <f>O14-M14</f>
        <v>298478</v>
      </c>
      <c r="O14" s="285">
        <v>756372</v>
      </c>
      <c r="P14" s="285">
        <v>651504</v>
      </c>
      <c r="Q14" s="285">
        <f>R14-P14</f>
        <v>210192.52221214864</v>
      </c>
      <c r="R14" s="285">
        <f t="shared" ref="R14:W14" si="2">R138*R75/10^3</f>
        <v>861696.52221214864</v>
      </c>
      <c r="S14" s="285">
        <f t="shared" si="2"/>
        <v>909159.58660765039</v>
      </c>
      <c r="T14" s="285">
        <f t="shared" si="2"/>
        <v>1070222.5939461808</v>
      </c>
      <c r="U14" s="285">
        <f t="shared" si="2"/>
        <v>1153372.0411806332</v>
      </c>
      <c r="V14" s="285">
        <f t="shared" si="2"/>
        <v>1196486.8384317651</v>
      </c>
      <c r="W14" s="285">
        <f t="shared" si="2"/>
        <v>775507.34737827536</v>
      </c>
    </row>
    <row r="15" spans="1:24" s="13" customFormat="1">
      <c r="C15" s="304" t="s">
        <v>429</v>
      </c>
      <c r="D15" s="304"/>
      <c r="E15" s="304"/>
      <c r="F15" s="304"/>
      <c r="G15" s="310"/>
      <c r="H15" s="310"/>
      <c r="I15" s="310">
        <f>I14/G14-1</f>
        <v>7.381224316444368E-2</v>
      </c>
      <c r="J15" s="310"/>
      <c r="K15" s="310">
        <f>K14/I14-1</f>
        <v>-1.5834053771644929E-2</v>
      </c>
      <c r="L15" s="310">
        <f>L14/J14-1</f>
        <v>2.713766570443199E-2</v>
      </c>
      <c r="M15" s="355"/>
      <c r="N15" s="355"/>
      <c r="O15" s="310">
        <f>O14/K14-1</f>
        <v>2.6930079547938579E-2</v>
      </c>
      <c r="P15" s="310">
        <f>P14/M14-1</f>
        <v>0.42282711719306221</v>
      </c>
      <c r="Q15" s="310">
        <f>Q14/N14-1</f>
        <v>-0.29578554462255624</v>
      </c>
      <c r="R15" s="310">
        <f>R14/O14-1</f>
        <v>0.1392496314143683</v>
      </c>
      <c r="S15" s="310">
        <f>S14/R14-1</f>
        <v>5.5080951555490199E-2</v>
      </c>
      <c r="T15" s="310">
        <f>T14/S14-1</f>
        <v>0.17715592478049458</v>
      </c>
      <c r="U15" s="310">
        <f>U14/T14-1</f>
        <v>7.7693601036640025E-2</v>
      </c>
      <c r="V15" s="310">
        <f>V14/U14-1</f>
        <v>3.7381517595135971E-2</v>
      </c>
      <c r="W15" s="310">
        <f>W14/V14-1</f>
        <v>-0.35184632001908811</v>
      </c>
    </row>
    <row r="16" spans="1:24">
      <c r="A16" s="7" t="s">
        <v>136</v>
      </c>
      <c r="G16" s="285">
        <v>196382</v>
      </c>
      <c r="H16" s="285">
        <v>206270</v>
      </c>
      <c r="I16" s="285">
        <v>276147</v>
      </c>
      <c r="J16" s="285">
        <v>283771</v>
      </c>
      <c r="K16" s="285">
        <v>405718</v>
      </c>
      <c r="L16" s="285">
        <v>443360</v>
      </c>
      <c r="M16" s="285">
        <v>292856</v>
      </c>
      <c r="N16" s="285">
        <f>O16-M16</f>
        <v>327189</v>
      </c>
      <c r="O16" s="285">
        <v>620045</v>
      </c>
      <c r="P16" s="285">
        <v>380121</v>
      </c>
      <c r="Q16" s="285">
        <f>R16-P16</f>
        <v>457129.07524441241</v>
      </c>
      <c r="R16" s="285">
        <f>R27*R141</f>
        <v>837250.07524441241</v>
      </c>
      <c r="S16" s="285">
        <f t="shared" ref="S16:W16" si="3">S27*S141</f>
        <v>930269.84527391975</v>
      </c>
      <c r="T16" s="285">
        <f t="shared" si="3"/>
        <v>1080973.0245756388</v>
      </c>
      <c r="U16" s="285">
        <f t="shared" si="3"/>
        <v>1242606.8974211365</v>
      </c>
      <c r="V16" s="285">
        <f t="shared" si="3"/>
        <v>1405317.4233505132</v>
      </c>
      <c r="W16" s="285">
        <f t="shared" si="3"/>
        <v>1519575.5341665277</v>
      </c>
    </row>
    <row r="17" spans="1:25" s="13" customFormat="1">
      <c r="A17" s="306"/>
      <c r="B17" s="306" t="s">
        <v>429</v>
      </c>
      <c r="C17" s="306"/>
      <c r="D17" s="306"/>
      <c r="E17" s="306"/>
      <c r="F17" s="306"/>
      <c r="G17" s="311"/>
      <c r="H17" s="311"/>
      <c r="I17" s="311">
        <f>I16/G16-1</f>
        <v>0.40617266348239656</v>
      </c>
      <c r="J17" s="311"/>
      <c r="K17" s="311">
        <f>K16/I16-1</f>
        <v>0.4692102394739035</v>
      </c>
      <c r="L17" s="311"/>
      <c r="M17" s="355"/>
      <c r="N17" s="355"/>
      <c r="O17" s="311">
        <f>O16/K16-1</f>
        <v>0.52826593841042291</v>
      </c>
      <c r="P17" s="311">
        <f>P16/M16-1</f>
        <v>0.29797921162619168</v>
      </c>
      <c r="Q17" s="311">
        <f>Q16/N16-1</f>
        <v>0.39714072063673411</v>
      </c>
      <c r="R17" s="311">
        <f>R16/O16-1</f>
        <v>0.35030534113558276</v>
      </c>
      <c r="S17" s="311">
        <f>S16/R16-1</f>
        <v>0.11110153678081525</v>
      </c>
      <c r="T17" s="311">
        <f>T16/S16-1</f>
        <v>0.16199942421797431</v>
      </c>
      <c r="U17" s="311">
        <f>U16/T16-1</f>
        <v>0.14952627787261474</v>
      </c>
      <c r="V17" s="311">
        <f>V16/U16-1</f>
        <v>0.1309428800588992</v>
      </c>
      <c r="W17" s="311">
        <f>W16/V16-1</f>
        <v>8.1304130239560957E-2</v>
      </c>
    </row>
    <row r="18" spans="1:25">
      <c r="A18" s="14" t="s">
        <v>11</v>
      </c>
      <c r="B18" s="14"/>
      <c r="C18" s="14"/>
      <c r="D18" s="14"/>
      <c r="E18" s="14"/>
      <c r="F18" s="14"/>
      <c r="G18" s="305">
        <f t="shared" ref="G18:U18" si="4">G10+G16</f>
        <v>10350986</v>
      </c>
      <c r="H18" s="305">
        <f t="shared" si="4"/>
        <v>10543240</v>
      </c>
      <c r="I18" s="305">
        <f t="shared" si="4"/>
        <v>13575577</v>
      </c>
      <c r="J18" s="305">
        <f t="shared" si="4"/>
        <v>15393328</v>
      </c>
      <c r="K18" s="305">
        <f t="shared" si="4"/>
        <v>20302465</v>
      </c>
      <c r="L18" s="305">
        <f>L10+L16</f>
        <v>18659671</v>
      </c>
      <c r="M18" s="305">
        <f t="shared" si="4"/>
        <v>10677054</v>
      </c>
      <c r="N18" s="285">
        <f>O18-M18</f>
        <v>14151820</v>
      </c>
      <c r="O18" s="305">
        <f>O10+O16</f>
        <v>24828874</v>
      </c>
      <c r="P18" s="305">
        <f>P10+P16</f>
        <v>14874809</v>
      </c>
      <c r="Q18" s="305">
        <f>Q10+Q16</f>
        <v>17314973.004135605</v>
      </c>
      <c r="R18" s="305">
        <f t="shared" si="4"/>
        <v>32189782.004135605</v>
      </c>
      <c r="S18" s="305">
        <f t="shared" si="4"/>
        <v>35717843.509973548</v>
      </c>
      <c r="T18" s="305">
        <f t="shared" si="4"/>
        <v>41517893.270682819</v>
      </c>
      <c r="U18" s="305">
        <f t="shared" si="4"/>
        <v>47649032.362826988</v>
      </c>
      <c r="V18" s="305">
        <f>V10+V16</f>
        <v>53780422.832834795</v>
      </c>
      <c r="W18" s="305">
        <f>W10+W16</f>
        <v>57634734.522378981</v>
      </c>
    </row>
    <row r="19" spans="1:25" s="13" customFormat="1">
      <c r="A19" s="304"/>
      <c r="B19" s="304" t="s">
        <v>429</v>
      </c>
      <c r="C19" s="304"/>
      <c r="D19" s="304"/>
      <c r="E19" s="304"/>
      <c r="F19" s="304"/>
      <c r="G19" s="310"/>
      <c r="H19" s="310"/>
      <c r="I19" s="310">
        <f>I18/G18-1</f>
        <v>0.31152500834220054</v>
      </c>
      <c r="J19" s="310"/>
      <c r="K19" s="310">
        <f>K18/I18-1</f>
        <v>0.49551396599938258</v>
      </c>
      <c r="L19" s="310"/>
      <c r="M19" s="355"/>
      <c r="N19" s="355"/>
      <c r="O19" s="310">
        <f>O18/K18-1</f>
        <v>0.22294874046082591</v>
      </c>
      <c r="P19" s="310"/>
      <c r="Q19" s="310"/>
      <c r="R19" s="310">
        <f>R18/O18-1</f>
        <v>0.29646563932523096</v>
      </c>
      <c r="S19" s="310">
        <f>S18/R18-1</f>
        <v>0.10960190738118936</v>
      </c>
      <c r="T19" s="310">
        <f>T18/S18-1</f>
        <v>0.16238521676398832</v>
      </c>
      <c r="U19" s="310">
        <f>U18/T18-1</f>
        <v>0.14767461952298944</v>
      </c>
      <c r="V19" s="310">
        <f>V18/U18-1</f>
        <v>0.12867817384663538</v>
      </c>
      <c r="W19" s="310">
        <f>W18/V18-1</f>
        <v>7.1667560173792388E-2</v>
      </c>
    </row>
    <row r="20" spans="1:25">
      <c r="K20" s="296"/>
      <c r="X20" s="240"/>
    </row>
    <row r="21" spans="1:25">
      <c r="A21" s="231" t="s">
        <v>444</v>
      </c>
      <c r="B21" s="232"/>
      <c r="C21" s="232"/>
      <c r="D21" s="232"/>
      <c r="E21" s="232"/>
      <c r="F21" s="232"/>
      <c r="G21" s="288"/>
      <c r="H21" s="288"/>
      <c r="I21" s="288"/>
      <c r="J21" s="288"/>
      <c r="K21" s="312"/>
      <c r="L21" s="288"/>
      <c r="M21" s="288"/>
      <c r="N21" s="288"/>
      <c r="O21" s="288"/>
      <c r="P21" s="288"/>
      <c r="Q21" s="288"/>
      <c r="R21" s="288"/>
      <c r="S21" s="288"/>
      <c r="T21" s="288"/>
      <c r="U21" s="288"/>
      <c r="V21" s="288"/>
      <c r="W21" s="288"/>
    </row>
    <row r="22" spans="1:25">
      <c r="A22" s="232"/>
      <c r="B22" s="232" t="s">
        <v>497</v>
      </c>
      <c r="C22" s="232"/>
      <c r="D22" s="232"/>
      <c r="E22" s="232"/>
      <c r="F22" s="232"/>
      <c r="G22" s="313">
        <f>G31*G27</f>
        <v>22689713.578976922</v>
      </c>
      <c r="H22" s="313"/>
      <c r="I22" s="313">
        <f>I31*I27</f>
        <v>29477389.130495153</v>
      </c>
      <c r="J22" s="288"/>
      <c r="K22" s="288">
        <v>44700000</v>
      </c>
      <c r="L22" s="288"/>
      <c r="M22" s="313">
        <f>M27-M24</f>
        <v>23157668.355409466</v>
      </c>
      <c r="N22" s="313">
        <f>N27-N24</f>
        <v>32367369.031959131</v>
      </c>
      <c r="O22" s="313">
        <f>O27-O24</f>
        <v>55483721.655217171</v>
      </c>
      <c r="P22" s="313">
        <f>P27-P24</f>
        <v>32811842.803234681</v>
      </c>
      <c r="Q22" s="288">
        <f>R22-P22</f>
        <v>40205440.881598741</v>
      </c>
      <c r="R22" s="288">
        <f>R92*R109/1000</f>
        <v>73017283.684833422</v>
      </c>
      <c r="S22" s="288">
        <f t="shared" ref="R22:W22" si="5">S92*S109/1000</f>
        <v>81540238.296764389</v>
      </c>
      <c r="T22" s="288">
        <f t="shared" si="5"/>
        <v>94651197.663866416</v>
      </c>
      <c r="U22" s="288">
        <f t="shared" si="5"/>
        <v>108016222.19448079</v>
      </c>
      <c r="V22" s="288">
        <f t="shared" si="5"/>
        <v>120855163.49097136</v>
      </c>
      <c r="W22" s="288">
        <f t="shared" si="5"/>
        <v>128793656.3495461</v>
      </c>
    </row>
    <row r="23" spans="1:25">
      <c r="A23" s="307"/>
      <c r="B23" s="308"/>
      <c r="C23" s="308" t="s">
        <v>429</v>
      </c>
      <c r="D23" s="308"/>
      <c r="E23" s="308"/>
      <c r="F23" s="308"/>
      <c r="G23" s="314"/>
      <c r="H23" s="309"/>
      <c r="I23" s="314">
        <f>I22/G22-1</f>
        <v>0.29915210378888735</v>
      </c>
      <c r="J23" s="309"/>
      <c r="K23" s="314">
        <f>K22/I22-1</f>
        <v>0.51641652529384441</v>
      </c>
      <c r="L23" s="309"/>
      <c r="M23" s="355"/>
      <c r="N23" s="355"/>
      <c r="O23" s="314">
        <f>O22/K22-1</f>
        <v>0.24124656946794576</v>
      </c>
      <c r="P23" s="314">
        <f>P22/M22-1</f>
        <v>0.41688888102459032</v>
      </c>
      <c r="Q23" s="314">
        <f>Q22/N22-1</f>
        <v>0.24215968378215713</v>
      </c>
      <c r="R23" s="314">
        <f>R22/O22-1</f>
        <v>0.31601272421075155</v>
      </c>
      <c r="S23" s="314">
        <f>S22/R22-1</f>
        <v>0.11672516672516653</v>
      </c>
      <c r="T23" s="314">
        <f>T22/S22-1</f>
        <v>0.16079128097939699</v>
      </c>
      <c r="U23" s="314">
        <f>U22/T22-1</f>
        <v>0.14120290984671335</v>
      </c>
      <c r="V23" s="314">
        <f>V22/U22-1</f>
        <v>0.11886123246723379</v>
      </c>
      <c r="W23" s="314">
        <f>W22/V22-1</f>
        <v>6.5686004877795856E-2</v>
      </c>
      <c r="X23" s="240">
        <f>(U22/K22)^0.2-1</f>
        <v>0.19298859596482454</v>
      </c>
    </row>
    <row r="24" spans="1:25">
      <c r="A24" s="232"/>
      <c r="B24" s="232" t="s">
        <v>496</v>
      </c>
      <c r="C24" s="232"/>
      <c r="D24" s="232"/>
      <c r="E24" s="232"/>
      <c r="F24" s="232"/>
      <c r="G24" s="288">
        <f>G27-G22</f>
        <v>110286.42102307826</v>
      </c>
      <c r="H24" s="288"/>
      <c r="I24" s="288">
        <f>I27-I22</f>
        <v>1222610.8695048466</v>
      </c>
      <c r="J24" s="288"/>
      <c r="K24" s="288">
        <v>3142000</v>
      </c>
      <c r="L24" s="288"/>
      <c r="M24" s="313">
        <f>K24/K27*M27</f>
        <v>1627771.6772415333</v>
      </c>
      <c r="N24" s="288">
        <f>O24-M24</f>
        <v>1448013.4680408703</v>
      </c>
      <c r="O24" s="337">
        <f>O93*O113/1000</f>
        <v>3075785.1452824036</v>
      </c>
      <c r="P24" s="313">
        <f>P93*P113/1000</f>
        <v>1796117.1967653197</v>
      </c>
      <c r="Q24" s="288">
        <f>R24-P24</f>
        <v>1413687.635098866</v>
      </c>
      <c r="R24" s="288">
        <f t="shared" ref="R24:W24" si="6">R93*R113/1000</f>
        <v>3209804.8318641856</v>
      </c>
      <c r="S24" s="288">
        <f t="shared" si="6"/>
        <v>3155796.898465557</v>
      </c>
      <c r="T24" s="288">
        <f t="shared" si="6"/>
        <v>3765546.4665360767</v>
      </c>
      <c r="U24" s="288">
        <f t="shared" si="6"/>
        <v>5116411.3660822734</v>
      </c>
      <c r="V24" s="288">
        <f t="shared" si="6"/>
        <v>7091382.9366599107</v>
      </c>
      <c r="W24" s="288">
        <f t="shared" si="6"/>
        <v>9555472.7525393367</v>
      </c>
    </row>
    <row r="25" spans="1:25">
      <c r="A25" s="308"/>
      <c r="B25" s="308"/>
      <c r="C25" s="308" t="s">
        <v>429</v>
      </c>
      <c r="D25" s="308"/>
      <c r="E25" s="308"/>
      <c r="F25" s="308"/>
      <c r="G25" s="314"/>
      <c r="H25" s="309"/>
      <c r="I25" s="314">
        <f>I24/G24-1</f>
        <v>10.085778812688156</v>
      </c>
      <c r="J25" s="309"/>
      <c r="K25" s="314">
        <f>K24/I24-1</f>
        <v>1.5699100820790997</v>
      </c>
      <c r="L25" s="309"/>
      <c r="M25" s="355"/>
      <c r="N25" s="355"/>
      <c r="O25" s="314">
        <f>O24/K24-1</f>
        <v>-2.1074110349330488E-2</v>
      </c>
      <c r="P25" s="314">
        <f>P24/M24-1</f>
        <v>0.10342084327764534</v>
      </c>
      <c r="Q25" s="314">
        <f>Q24/N24-1</f>
        <v>-2.3705465245738577E-2</v>
      </c>
      <c r="R25" s="314">
        <f>R24/O24-1</f>
        <v>4.3572512464773228E-2</v>
      </c>
      <c r="S25" s="314">
        <f>S24/R24-1</f>
        <v>-1.6825924387203983E-2</v>
      </c>
      <c r="T25" s="314">
        <f>T24/S24-1</f>
        <v>0.19321571941686044</v>
      </c>
      <c r="U25" s="314">
        <f>U24/T24-1</f>
        <v>0.35874338865584532</v>
      </c>
      <c r="V25" s="314">
        <f>V24/U24-1</f>
        <v>0.38600718927139521</v>
      </c>
      <c r="W25" s="314">
        <f>W24/V24-1</f>
        <v>0.34747662591184625</v>
      </c>
      <c r="X25" s="240">
        <f>(U24/K24)^0.2-1</f>
        <v>0.10243211162043586</v>
      </c>
    </row>
    <row r="26" spans="1:25">
      <c r="A26" s="308"/>
      <c r="B26" s="308" t="s">
        <v>522</v>
      </c>
      <c r="C26" s="308"/>
      <c r="D26" s="308"/>
      <c r="E26" s="308"/>
      <c r="F26" s="308"/>
      <c r="G26" s="314"/>
      <c r="H26" s="309"/>
      <c r="I26" s="314"/>
      <c r="J26" s="309"/>
      <c r="K26" s="314"/>
      <c r="L26" s="309"/>
      <c r="M26" s="336">
        <f>M22+M24</f>
        <v>24785440.032651</v>
      </c>
      <c r="N26" s="336">
        <f t="shared" ref="N26:V26" si="7">N22+N24</f>
        <v>33815382.5</v>
      </c>
      <c r="O26" s="336">
        <f t="shared" si="7"/>
        <v>58559506.800499573</v>
      </c>
      <c r="P26" s="336">
        <f t="shared" si="7"/>
        <v>34607960</v>
      </c>
      <c r="Q26" s="336">
        <f t="shared" si="7"/>
        <v>41619128.516697608</v>
      </c>
      <c r="R26" s="336">
        <f>R22+R24</f>
        <v>76227088.516697615</v>
      </c>
      <c r="S26" s="336">
        <f t="shared" si="7"/>
        <v>84696035.195229948</v>
      </c>
      <c r="T26" s="336">
        <f t="shared" si="7"/>
        <v>98416744.13040249</v>
      </c>
      <c r="U26" s="336">
        <f t="shared" si="7"/>
        <v>113132633.56056306</v>
      </c>
      <c r="V26" s="336">
        <f t="shared" si="7"/>
        <v>127946546.42763127</v>
      </c>
      <c r="W26" s="336">
        <f t="shared" ref="W26" si="8">W22+W24</f>
        <v>138349129.10208544</v>
      </c>
      <c r="X26" s="240"/>
    </row>
    <row r="27" spans="1:25">
      <c r="A27" s="232"/>
      <c r="B27" s="237" t="s">
        <v>206</v>
      </c>
      <c r="C27" s="237"/>
      <c r="D27" s="237"/>
      <c r="E27" s="237"/>
      <c r="F27" s="237"/>
      <c r="G27" s="289">
        <v>22800000</v>
      </c>
      <c r="H27" s="289"/>
      <c r="I27" s="289">
        <v>30700000</v>
      </c>
      <c r="J27" s="289"/>
      <c r="K27" s="289">
        <f>K22+K24</f>
        <v>47842000</v>
      </c>
      <c r="L27" s="289">
        <v>44900000</v>
      </c>
      <c r="M27" s="289">
        <f>M12/M137</f>
        <v>24785440.032651</v>
      </c>
      <c r="N27" s="289">
        <f>N12/N137</f>
        <v>33815382.5</v>
      </c>
      <c r="O27" s="289">
        <f>O12/O137</f>
        <v>58559506.800499573</v>
      </c>
      <c r="P27" s="289">
        <f>P12/P137</f>
        <v>34607960</v>
      </c>
      <c r="Q27" s="289">
        <f>R27-P27</f>
        <v>41619128.516697615</v>
      </c>
      <c r="R27" s="289">
        <f t="shared" ref="R27:W27" si="9">R22+R24</f>
        <v>76227088.516697615</v>
      </c>
      <c r="S27" s="289">
        <f t="shared" si="9"/>
        <v>84696035.195229948</v>
      </c>
      <c r="T27" s="289">
        <f t="shared" si="9"/>
        <v>98416744.13040249</v>
      </c>
      <c r="U27" s="289">
        <f t="shared" si="9"/>
        <v>113132633.56056306</v>
      </c>
      <c r="V27" s="289">
        <f t="shared" si="9"/>
        <v>127946546.42763127</v>
      </c>
      <c r="W27" s="289">
        <f t="shared" si="9"/>
        <v>138349129.10208544</v>
      </c>
    </row>
    <row r="28" spans="1:25">
      <c r="A28" s="232"/>
      <c r="B28" s="232"/>
      <c r="C28" s="232"/>
      <c r="D28" s="232"/>
      <c r="E28" s="232"/>
      <c r="F28" s="232"/>
      <c r="G28" s="288"/>
      <c r="H28" s="288"/>
      <c r="I28" s="288"/>
      <c r="J28" s="288"/>
      <c r="K28" s="288"/>
      <c r="L28" s="288"/>
      <c r="M28" s="288"/>
      <c r="N28" s="288"/>
      <c r="O28" s="288"/>
      <c r="P28" s="288"/>
      <c r="Q28" s="288"/>
      <c r="R28" s="288"/>
      <c r="S28" s="288"/>
      <c r="T28" s="288"/>
      <c r="U28" s="288"/>
      <c r="V28" s="288"/>
      <c r="W28" s="288"/>
    </row>
    <row r="29" spans="1:25">
      <c r="A29" s="231" t="s">
        <v>447</v>
      </c>
      <c r="B29" s="232"/>
      <c r="C29" s="232"/>
      <c r="D29" s="232"/>
      <c r="E29" s="232"/>
      <c r="F29" s="232"/>
      <c r="G29" s="288"/>
      <c r="H29" s="288"/>
      <c r="I29" s="288"/>
      <c r="J29" s="288"/>
      <c r="K29" s="315"/>
      <c r="L29" s="288"/>
      <c r="M29" s="288"/>
      <c r="N29" s="288"/>
      <c r="O29" s="288"/>
      <c r="P29" s="288"/>
      <c r="Q29" s="288"/>
      <c r="R29" s="288"/>
      <c r="S29" s="288"/>
      <c r="T29" s="288"/>
      <c r="U29" s="288"/>
      <c r="V29" s="288"/>
      <c r="W29" s="288"/>
    </row>
    <row r="30" spans="1:25">
      <c r="A30" s="232"/>
      <c r="B30" s="232" t="s">
        <v>497</v>
      </c>
      <c r="C30" s="232"/>
      <c r="D30" s="232"/>
      <c r="E30" s="232"/>
      <c r="F30" s="232"/>
      <c r="G30" s="288">
        <v>10300917</v>
      </c>
      <c r="H30" s="288"/>
      <c r="I30" s="288">
        <v>13034937</v>
      </c>
      <c r="J30" s="288">
        <v>14222007</v>
      </c>
      <c r="K30" s="288">
        <v>18815533</v>
      </c>
      <c r="L30" s="288">
        <v>17707309</v>
      </c>
      <c r="M30" s="313">
        <f>L30/L34*M18</f>
        <v>10132112.961031629</v>
      </c>
      <c r="N30" s="288">
        <f>O30-M30</f>
        <v>13392646.882347146</v>
      </c>
      <c r="O30" s="313">
        <f>O22/O27*O18</f>
        <v>23524759.843378775</v>
      </c>
      <c r="P30" s="313">
        <f>P22/P27*P18</f>
        <v>14102821.854744991</v>
      </c>
      <c r="Q30" s="288">
        <f>R30-P30</f>
        <v>16731498.202409698</v>
      </c>
      <c r="R30" s="288">
        <f t="shared" ref="R30:W30" si="10">R22/R27*R18</f>
        <v>30834320.057154689</v>
      </c>
      <c r="S30" s="288">
        <f t="shared" si="10"/>
        <v>34386987.118539996</v>
      </c>
      <c r="T30" s="288">
        <f t="shared" si="10"/>
        <v>39929367.276607119</v>
      </c>
      <c r="U30" s="288">
        <f t="shared" si="10"/>
        <v>45494109.922755964</v>
      </c>
      <c r="V30" s="288">
        <f t="shared" si="10"/>
        <v>50799665.763171852</v>
      </c>
      <c r="W30" s="288">
        <f t="shared" si="10"/>
        <v>53654029.049906805</v>
      </c>
    </row>
    <row r="31" spans="1:25">
      <c r="A31" s="232"/>
      <c r="B31" s="232"/>
      <c r="C31" s="232" t="s">
        <v>446</v>
      </c>
      <c r="D31" s="232"/>
      <c r="E31" s="232"/>
      <c r="F31" s="232"/>
      <c r="G31" s="249">
        <f>G30/G34</f>
        <v>0.9951628762709176</v>
      </c>
      <c r="H31" s="288"/>
      <c r="I31" s="249">
        <f>I30/I34</f>
        <v>0.96017554170993979</v>
      </c>
      <c r="J31" s="249">
        <f t="shared" ref="J31:U31" si="11">J30/J34</f>
        <v>0.92390722785871904</v>
      </c>
      <c r="K31" s="249">
        <f t="shared" si="11"/>
        <v>0.92676101153234347</v>
      </c>
      <c r="L31" s="249">
        <f t="shared" si="11"/>
        <v>0.94896147954591481</v>
      </c>
      <c r="M31" s="249">
        <f t="shared" si="11"/>
        <v>0.94896147954591492</v>
      </c>
      <c r="N31" s="249">
        <f t="shared" si="11"/>
        <v>0.94635508947592228</v>
      </c>
      <c r="O31" s="249">
        <f t="shared" si="11"/>
        <v>0.94747590419842542</v>
      </c>
      <c r="P31" s="249">
        <f t="shared" si="11"/>
        <v>0.94810103812055613</v>
      </c>
      <c r="Q31" s="249">
        <f t="shared" si="11"/>
        <v>0.96630229792523803</v>
      </c>
      <c r="R31" s="249">
        <f t="shared" si="11"/>
        <v>0.95789154624263151</v>
      </c>
      <c r="S31" s="249">
        <f t="shared" si="11"/>
        <v>0.9627397328435594</v>
      </c>
      <c r="T31" s="249">
        <f t="shared" si="11"/>
        <v>0.96173876203883846</v>
      </c>
      <c r="U31" s="249">
        <f t="shared" si="11"/>
        <v>0.9547751059525782</v>
      </c>
      <c r="V31" s="249">
        <f>V30/V34</f>
        <v>0.94457542517045645</v>
      </c>
      <c r="W31" s="249">
        <f>W30/W34</f>
        <v>0.93093217995258559</v>
      </c>
      <c r="X31" s="13"/>
    </row>
    <row r="32" spans="1:25">
      <c r="A32" s="232"/>
      <c r="B32" s="232" t="s">
        <v>496</v>
      </c>
      <c r="C32" s="232"/>
      <c r="D32" s="232"/>
      <c r="E32" s="232"/>
      <c r="F32" s="232"/>
      <c r="G32" s="288">
        <v>50069</v>
      </c>
      <c r="H32" s="288"/>
      <c r="I32" s="288">
        <v>540640</v>
      </c>
      <c r="J32" s="288">
        <v>1171321</v>
      </c>
      <c r="K32" s="288">
        <v>1486932</v>
      </c>
      <c r="L32" s="288">
        <v>952362</v>
      </c>
      <c r="M32" s="313">
        <f>M18-M30</f>
        <v>544941.03896837123</v>
      </c>
      <c r="N32" s="288">
        <f>O32-M32</f>
        <v>759173.11765285395</v>
      </c>
      <c r="O32" s="313">
        <f>O18-O30</f>
        <v>1304114.1566212252</v>
      </c>
      <c r="P32" s="313">
        <f>P18-P30</f>
        <v>771987.14525500871</v>
      </c>
      <c r="Q32" s="288">
        <f>R32-P32</f>
        <v>583474.80172590725</v>
      </c>
      <c r="R32" s="288">
        <f t="shared" ref="R32:W32" si="12">R18-R30</f>
        <v>1355461.946980916</v>
      </c>
      <c r="S32" s="288">
        <f t="shared" si="12"/>
        <v>1330856.3914335519</v>
      </c>
      <c r="T32" s="288">
        <f t="shared" si="12"/>
        <v>1588525.9940757006</v>
      </c>
      <c r="U32" s="288">
        <f t="shared" si="12"/>
        <v>2154922.440071024</v>
      </c>
      <c r="V32" s="288">
        <f t="shared" si="12"/>
        <v>2980757.0696629435</v>
      </c>
      <c r="W32" s="288">
        <f t="shared" si="12"/>
        <v>3980705.472472176</v>
      </c>
      <c r="X32" s="240">
        <f>(S32-O32)/(S18-O18)</f>
        <v>2.4559013401435903E-3</v>
      </c>
      <c r="Y32" s="240">
        <f>(T32/R32)^(0.5)-1</f>
        <v>8.2563793715514144E-2</v>
      </c>
    </row>
    <row r="33" spans="1:25">
      <c r="A33" s="232"/>
      <c r="B33" s="232"/>
      <c r="C33" s="232" t="s">
        <v>446</v>
      </c>
      <c r="D33" s="232"/>
      <c r="E33" s="232"/>
      <c r="F33" s="232"/>
      <c r="G33" s="249">
        <f>G32/G34</f>
        <v>4.8371237290824277E-3</v>
      </c>
      <c r="H33" s="288"/>
      <c r="I33" s="249">
        <f>I32/I34</f>
        <v>3.9824458290060157E-2</v>
      </c>
      <c r="J33" s="249">
        <f t="shared" ref="J33:U33" si="13">J32/J34</f>
        <v>7.6092772141280948E-2</v>
      </c>
      <c r="K33" s="249">
        <f t="shared" si="13"/>
        <v>7.3238988467656516E-2</v>
      </c>
      <c r="L33" s="249">
        <f t="shared" si="13"/>
        <v>5.1038520454085176E-2</v>
      </c>
      <c r="M33" s="249">
        <f t="shared" si="13"/>
        <v>5.1038520454085107E-2</v>
      </c>
      <c r="N33" s="249">
        <f t="shared" si="13"/>
        <v>5.364491052407775E-2</v>
      </c>
      <c r="O33" s="249">
        <f t="shared" si="13"/>
        <v>5.2524095801574619E-2</v>
      </c>
      <c r="P33" s="249">
        <f t="shared" si="13"/>
        <v>5.1898961879443879E-2</v>
      </c>
      <c r="Q33" s="249">
        <f t="shared" si="13"/>
        <v>3.3697702074761936E-2</v>
      </c>
      <c r="R33" s="249">
        <f t="shared" si="13"/>
        <v>4.2108453757368471E-2</v>
      </c>
      <c r="S33" s="249">
        <f t="shared" si="13"/>
        <v>3.7260267156440582E-2</v>
      </c>
      <c r="T33" s="249">
        <f t="shared" si="13"/>
        <v>3.8261237961161487E-2</v>
      </c>
      <c r="U33" s="249">
        <f t="shared" si="13"/>
        <v>4.5224894047421825E-2</v>
      </c>
      <c r="V33" s="249">
        <f>V32/V34</f>
        <v>5.5424574829543528E-2</v>
      </c>
      <c r="W33" s="249">
        <f>W32/W34</f>
        <v>6.9067820047414435E-2</v>
      </c>
      <c r="X33" s="13"/>
    </row>
    <row r="34" spans="1:25">
      <c r="A34" s="232"/>
      <c r="B34" s="237" t="s">
        <v>206</v>
      </c>
      <c r="C34" s="237"/>
      <c r="D34" s="237"/>
      <c r="E34" s="237"/>
      <c r="F34" s="237"/>
      <c r="G34" s="289">
        <f>G30+G32</f>
        <v>10350986</v>
      </c>
      <c r="H34" s="289"/>
      <c r="I34" s="289">
        <f>I30+I32</f>
        <v>13575577</v>
      </c>
      <c r="J34" s="289">
        <f t="shared" ref="J34:U34" si="14">J30+J32</f>
        <v>15393328</v>
      </c>
      <c r="K34" s="289">
        <f t="shared" si="14"/>
        <v>20302465</v>
      </c>
      <c r="L34" s="289">
        <f t="shared" si="14"/>
        <v>18659671</v>
      </c>
      <c r="M34" s="356">
        <f t="shared" si="14"/>
        <v>10677054</v>
      </c>
      <c r="N34" s="357">
        <f>O34-M34</f>
        <v>14151820</v>
      </c>
      <c r="O34" s="356">
        <f t="shared" si="14"/>
        <v>24828874</v>
      </c>
      <c r="P34" s="289">
        <f>P30+P32</f>
        <v>14874809</v>
      </c>
      <c r="Q34" s="289">
        <f>R34-P34</f>
        <v>17314973.004135605</v>
      </c>
      <c r="R34" s="289">
        <f t="shared" si="14"/>
        <v>32189782.004135605</v>
      </c>
      <c r="S34" s="289">
        <f t="shared" si="14"/>
        <v>35717843.509973548</v>
      </c>
      <c r="T34" s="289">
        <f t="shared" si="14"/>
        <v>41517893.270682819</v>
      </c>
      <c r="U34" s="289">
        <f t="shared" si="14"/>
        <v>47649032.362826988</v>
      </c>
      <c r="V34" s="289">
        <f>V30+V32</f>
        <v>53780422.832834795</v>
      </c>
      <c r="W34" s="289">
        <f>W30+W32</f>
        <v>57634734.522378981</v>
      </c>
      <c r="Y34" s="240">
        <f>(T34/R34)^(0.5)-1</f>
        <v>0.13568695230376693</v>
      </c>
    </row>
    <row r="35" spans="1:25">
      <c r="A35" s="232"/>
      <c r="B35" s="237"/>
      <c r="C35" s="237"/>
      <c r="D35" s="237"/>
      <c r="E35" s="237"/>
      <c r="F35" s="237"/>
      <c r="G35" s="289"/>
      <c r="H35" s="289"/>
      <c r="I35" s="289"/>
      <c r="J35" s="289"/>
      <c r="K35" s="289"/>
      <c r="L35" s="289"/>
      <c r="M35" s="289"/>
      <c r="N35" s="289"/>
      <c r="O35" s="289"/>
      <c r="P35" s="289"/>
      <c r="Q35" s="289"/>
      <c r="R35" s="289"/>
      <c r="S35" s="289"/>
      <c r="T35" s="289"/>
      <c r="U35" s="289"/>
      <c r="V35" s="289"/>
      <c r="W35" s="289"/>
    </row>
    <row r="36" spans="1:25" s="245" customFormat="1">
      <c r="A36" s="245" t="s">
        <v>479</v>
      </c>
      <c r="C36" s="14"/>
      <c r="D36" s="14"/>
      <c r="E36" s="14"/>
      <c r="F36" s="14"/>
      <c r="G36" s="290">
        <f>360.5*1000</f>
        <v>360500</v>
      </c>
      <c r="H36" s="290"/>
      <c r="I36" s="290">
        <f>421.3*1000</f>
        <v>421300</v>
      </c>
      <c r="J36" s="290"/>
      <c r="K36" s="290">
        <f>517.5*1000</f>
        <v>517500</v>
      </c>
      <c r="L36" s="290"/>
      <c r="M36" s="290"/>
      <c r="N36" s="290"/>
      <c r="O36" s="290">
        <v>627900</v>
      </c>
      <c r="P36" s="290">
        <v>627900</v>
      </c>
      <c r="Q36" s="290">
        <f>R36</f>
        <v>746400</v>
      </c>
      <c r="R36" s="290">
        <v>746400</v>
      </c>
      <c r="S36" s="290">
        <v>876200</v>
      </c>
      <c r="T36" s="290">
        <v>1016800</v>
      </c>
      <c r="U36" s="290">
        <v>1163400</v>
      </c>
      <c r="V36" s="290">
        <v>1163400</v>
      </c>
      <c r="W36" s="290">
        <v>1163400</v>
      </c>
      <c r="X36" s="256">
        <f>(U36/K36)^0.2-1</f>
        <v>0.17588199642702951</v>
      </c>
    </row>
    <row r="37" spans="1:25" s="246" customFormat="1">
      <c r="B37" s="246" t="s">
        <v>480</v>
      </c>
      <c r="C37" s="247"/>
      <c r="D37" s="247"/>
      <c r="E37" s="247"/>
      <c r="F37" s="247"/>
      <c r="G37" s="302">
        <f>G22/1000/G36</f>
        <v>6.2939566099797284E-2</v>
      </c>
      <c r="H37" s="291"/>
      <c r="I37" s="302">
        <f>I22/1000/I36</f>
        <v>6.9967693165191441E-2</v>
      </c>
      <c r="J37" s="291"/>
      <c r="K37" s="302">
        <f>K22/1000/K36</f>
        <v>8.6376811594202893E-2</v>
      </c>
      <c r="L37" s="291"/>
      <c r="M37" s="302"/>
      <c r="N37" s="302"/>
      <c r="O37" s="302">
        <f>O22/1000/O36</f>
        <v>8.8363945939189642E-2</v>
      </c>
      <c r="P37" s="302">
        <f>P22/1000/P36</f>
        <v>5.2256478425282173E-2</v>
      </c>
      <c r="Q37" s="302"/>
      <c r="R37" s="302">
        <f t="shared" ref="R37:W37" si="15">R22/1000/R36</f>
        <v>9.7825942771748969E-2</v>
      </c>
      <c r="S37" s="302">
        <f t="shared" si="15"/>
        <v>9.3061216955905496E-2</v>
      </c>
      <c r="T37" s="302">
        <f t="shared" si="15"/>
        <v>9.3087330511276961E-2</v>
      </c>
      <c r="U37" s="302">
        <f t="shared" si="15"/>
        <v>9.2845300149974899E-2</v>
      </c>
      <c r="V37" s="302">
        <f t="shared" si="15"/>
        <v>0.10388100695459117</v>
      </c>
      <c r="W37" s="302">
        <f t="shared" si="15"/>
        <v>0.11070453528412076</v>
      </c>
    </row>
    <row r="38" spans="1:25">
      <c r="K38" s="296"/>
    </row>
    <row r="39" spans="1:25" ht="12.75">
      <c r="A39" s="8" t="s">
        <v>149</v>
      </c>
    </row>
    <row r="41" spans="1:25">
      <c r="A41" s="7" t="s">
        <v>135</v>
      </c>
      <c r="G41" s="285">
        <f t="shared" ref="G41:U41" si="16">SUM(G43,G45)</f>
        <v>-7051166</v>
      </c>
      <c r="H41" s="285">
        <f t="shared" si="16"/>
        <v>-7529000</v>
      </c>
      <c r="I41" s="285">
        <f>SUM(I43,I45)</f>
        <v>-9668582</v>
      </c>
      <c r="J41" s="285">
        <f t="shared" si="16"/>
        <v>-10762792</v>
      </c>
      <c r="K41" s="285">
        <f t="shared" si="16"/>
        <v>-14210446.52</v>
      </c>
      <c r="L41" s="285">
        <f>SUM(L43,L45)</f>
        <v>-12541860</v>
      </c>
      <c r="M41" s="285">
        <f>SUM(M43,M45)</f>
        <v>-7217017.6100000003</v>
      </c>
      <c r="N41" s="285">
        <f>O41-M41</f>
        <v>-9430120.5700000003</v>
      </c>
      <c r="O41" s="285">
        <f>SUM(O43,O45)</f>
        <v>-16647138.18</v>
      </c>
      <c r="P41" s="285">
        <f>SUM(P43,P45)</f>
        <v>-10268411.630102508</v>
      </c>
      <c r="Q41" s="285">
        <f>R41-P41</f>
        <v>-11706569.609534401</v>
      </c>
      <c r="R41" s="285">
        <f>SUM(R43,R45)</f>
        <v>-21974981.239636909</v>
      </c>
      <c r="S41" s="285">
        <f t="shared" si="16"/>
        <v>-24378317.022297353</v>
      </c>
      <c r="T41" s="285">
        <f t="shared" si="16"/>
        <v>-28338471.417896818</v>
      </c>
      <c r="U41" s="285">
        <f t="shared" si="16"/>
        <v>-32515111.950777054</v>
      </c>
      <c r="V41" s="285">
        <f>SUM(V43,V45)</f>
        <v>-36687522.762571961</v>
      </c>
      <c r="W41" s="285">
        <f>SUM(W43,W45)</f>
        <v>-39261128.624431528</v>
      </c>
    </row>
    <row r="42" spans="1:25" s="13" customFormat="1">
      <c r="A42" s="304"/>
      <c r="B42" s="304" t="s">
        <v>429</v>
      </c>
      <c r="C42" s="304"/>
      <c r="D42" s="304"/>
      <c r="E42" s="304"/>
      <c r="F42" s="304"/>
      <c r="G42" s="310"/>
      <c r="H42" s="310"/>
      <c r="I42" s="310">
        <f>I41/G41-1</f>
        <v>0.37120328751301557</v>
      </c>
      <c r="J42" s="310"/>
      <c r="K42" s="310">
        <f>K41/I41-1</f>
        <v>0.46975497751376571</v>
      </c>
      <c r="L42" s="310">
        <f>L41/J41-1</f>
        <v>0.165298000741815</v>
      </c>
      <c r="M42" s="310"/>
      <c r="N42" s="310"/>
      <c r="O42" s="310">
        <f>O41/K41-1</f>
        <v>0.17147185745152793</v>
      </c>
      <c r="P42" s="310"/>
      <c r="Q42" s="310"/>
      <c r="R42" s="310">
        <f>R41/O41-1</f>
        <v>0.32004558393332871</v>
      </c>
      <c r="S42" s="310">
        <f>S41/R41-1</f>
        <v>0.10936690941630833</v>
      </c>
      <c r="T42" s="310">
        <f>T41/S41-1</f>
        <v>0.16244576653824616</v>
      </c>
      <c r="U42" s="310">
        <f>U41/T41-1</f>
        <v>0.14738411508824467</v>
      </c>
      <c r="V42" s="310">
        <f>V41/U41-1</f>
        <v>0.12832220347607293</v>
      </c>
      <c r="W42" s="310">
        <f>W41/V41-1</f>
        <v>7.0149349644427872E-2</v>
      </c>
    </row>
    <row r="43" spans="1:25">
      <c r="B43" s="7" t="s">
        <v>133</v>
      </c>
      <c r="G43" s="285">
        <v>-6483793</v>
      </c>
      <c r="H43" s="285">
        <v>-7068431</v>
      </c>
      <c r="I43" s="285">
        <v>-9060836</v>
      </c>
      <c r="J43" s="285">
        <v>-10295459</v>
      </c>
      <c r="K43" s="285">
        <f>K54-K12</f>
        <v>-13642069.52</v>
      </c>
      <c r="L43" s="285">
        <v>-12044122</v>
      </c>
      <c r="M43" s="285">
        <f>M54-M12</f>
        <v>-6863666.1584938299</v>
      </c>
      <c r="N43" s="285">
        <f>O43-M43</f>
        <v>-9177814.4295061696</v>
      </c>
      <c r="O43" s="285">
        <f>O54-O12</f>
        <v>-16041480.588</v>
      </c>
      <c r="P43" s="285">
        <f>P54-P12</f>
        <v>-9765653.6030000001</v>
      </c>
      <c r="Q43" s="285">
        <f>-Q142*Q91/1000</f>
        <v>-11528891.978218151</v>
      </c>
      <c r="R43" s="285">
        <f>P43+Q43</f>
        <v>-21294545.581218153</v>
      </c>
      <c r="S43" s="285">
        <f t="shared" ref="S43:W43" si="17">S91*S142/1000*-1</f>
        <v>-23660402.320340607</v>
      </c>
      <c r="T43" s="285">
        <f t="shared" si="17"/>
        <v>-27493373.873001412</v>
      </c>
      <c r="U43" s="285">
        <f t="shared" si="17"/>
        <v>-31604355.734391499</v>
      </c>
      <c r="V43" s="285">
        <f t="shared" si="17"/>
        <v>-35742721.096658707</v>
      </c>
      <c r="W43" s="285">
        <f t="shared" si="17"/>
        <v>-38648751.947817758</v>
      </c>
    </row>
    <row r="44" spans="1:25" s="13" customFormat="1">
      <c r="A44" s="304"/>
      <c r="B44" s="304"/>
      <c r="C44" s="304" t="s">
        <v>429</v>
      </c>
      <c r="D44" s="304"/>
      <c r="E44" s="304"/>
      <c r="F44" s="304"/>
      <c r="G44" s="310"/>
      <c r="H44" s="310"/>
      <c r="I44" s="310">
        <f>I43/G43-1</f>
        <v>0.39745917243193918</v>
      </c>
      <c r="J44" s="310"/>
      <c r="K44" s="310">
        <f>K43/I43-1</f>
        <v>0.50560825954691158</v>
      </c>
      <c r="L44" s="310">
        <f>L43/J43-1</f>
        <v>0.16984798832184178</v>
      </c>
      <c r="M44" s="310"/>
      <c r="N44" s="310"/>
      <c r="O44" s="310">
        <f>O43/K43-1</f>
        <v>0.17588321658105732</v>
      </c>
      <c r="P44" s="310"/>
      <c r="Q44" s="310"/>
      <c r="R44" s="310">
        <f>R43/O43-1</f>
        <v>0.32746759031381201</v>
      </c>
      <c r="S44" s="310">
        <f>S43/R43-1</f>
        <v>0.11110153678081525</v>
      </c>
      <c r="T44" s="310">
        <f>T43/S43-1</f>
        <v>0.16199942421797431</v>
      </c>
      <c r="U44" s="310">
        <f>U43/T43-1</f>
        <v>0.14952627787261452</v>
      </c>
      <c r="V44" s="310">
        <f>V43/U43-1</f>
        <v>0.1309428800588992</v>
      </c>
      <c r="W44" s="310">
        <f>W43/V43-1</f>
        <v>8.1304130239561179E-2</v>
      </c>
    </row>
    <row r="45" spans="1:25">
      <c r="B45" s="7" t="s">
        <v>134</v>
      </c>
      <c r="G45" s="285">
        <v>-567373</v>
      </c>
      <c r="H45" s="285">
        <v>-460569</v>
      </c>
      <c r="I45" s="285">
        <v>-607746</v>
      </c>
      <c r="J45" s="285">
        <v>-467333</v>
      </c>
      <c r="K45" s="285">
        <v>-568377</v>
      </c>
      <c r="L45" s="285">
        <v>-497738</v>
      </c>
      <c r="M45" s="285">
        <f>M55-M14</f>
        <v>-353351.45150617009</v>
      </c>
      <c r="N45" s="285">
        <f>O45-M45</f>
        <v>-252306.14049383043</v>
      </c>
      <c r="O45" s="285">
        <f>O55-O14</f>
        <v>-605657.59200000053</v>
      </c>
      <c r="P45" s="285">
        <f>P55-P14</f>
        <v>-502758.02710250812</v>
      </c>
      <c r="Q45" s="285">
        <f>-Q75*Q144/1000</f>
        <v>-177677.63131624754</v>
      </c>
      <c r="R45" s="285">
        <f>P45+Q45</f>
        <v>-680435.65841875563</v>
      </c>
      <c r="S45" s="285">
        <f t="shared" ref="S45:W45" si="18">S75*S144/1000*-1</f>
        <v>-717914.7019567471</v>
      </c>
      <c r="T45" s="285">
        <f t="shared" si="18"/>
        <v>-845097.54489540763</v>
      </c>
      <c r="U45" s="285">
        <f t="shared" si="18"/>
        <v>-910756.21638555545</v>
      </c>
      <c r="V45" s="285">
        <f t="shared" si="18"/>
        <v>-944801.66591325169</v>
      </c>
      <c r="W45" s="285">
        <f t="shared" si="18"/>
        <v>-612376.67661377019</v>
      </c>
    </row>
    <row r="46" spans="1:25" s="13" customFormat="1">
      <c r="A46" s="304"/>
      <c r="B46" s="304"/>
      <c r="C46" s="304" t="s">
        <v>429</v>
      </c>
      <c r="D46" s="304"/>
      <c r="E46" s="304"/>
      <c r="F46" s="304"/>
      <c r="G46" s="310"/>
      <c r="H46" s="310"/>
      <c r="I46" s="310">
        <f>I45/G45-1</f>
        <v>7.1157774515177907E-2</v>
      </c>
      <c r="J46" s="310"/>
      <c r="K46" s="310">
        <f>K45/I45-1</f>
        <v>-6.477870689399845E-2</v>
      </c>
      <c r="L46" s="310">
        <f>L45/J45-1</f>
        <v>6.5060674080366754E-2</v>
      </c>
      <c r="M46" s="310"/>
      <c r="N46" s="310"/>
      <c r="O46" s="310">
        <f>O45/K45-1</f>
        <v>6.559130999319196E-2</v>
      </c>
      <c r="P46" s="310"/>
      <c r="Q46" s="310"/>
      <c r="R46" s="310">
        <f>R45/O45-1</f>
        <v>0.12346591111294947</v>
      </c>
      <c r="S46" s="310">
        <f>S45/R45-1</f>
        <v>5.5080951555489976E-2</v>
      </c>
      <c r="T46" s="310">
        <f>T45/S45-1</f>
        <v>0.17715592478049436</v>
      </c>
      <c r="U46" s="310">
        <f>U45/T45-1</f>
        <v>7.7693601036640025E-2</v>
      </c>
      <c r="V46" s="310">
        <f>V45/U45-1</f>
        <v>3.7381517595136193E-2</v>
      </c>
      <c r="W46" s="310">
        <f>W45/V45-1</f>
        <v>-0.35184632001908811</v>
      </c>
    </row>
    <row r="47" spans="1:25">
      <c r="A47" s="7" t="s">
        <v>136</v>
      </c>
      <c r="G47" s="285">
        <v>-55958</v>
      </c>
      <c r="H47" s="285">
        <v>-43013</v>
      </c>
      <c r="I47" s="285">
        <v>-60158</v>
      </c>
      <c r="J47" s="285">
        <v>-54897</v>
      </c>
      <c r="K47" s="285">
        <v>-82912</v>
      </c>
      <c r="L47" s="285">
        <v>-77389</v>
      </c>
      <c r="M47" s="285">
        <f>M56-M16</f>
        <v>-53592.648000000016</v>
      </c>
      <c r="N47" s="285">
        <f>O47-M47</f>
        <v>-67936.171999999933</v>
      </c>
      <c r="O47" s="285">
        <f>O56-O16</f>
        <v>-121528.81999999995</v>
      </c>
      <c r="P47" s="285">
        <f>P56-P16</f>
        <v>-65760.933000000019</v>
      </c>
      <c r="Q47" s="285">
        <f>Q56-Q16</f>
        <v>-90345.101552936889</v>
      </c>
      <c r="R47" s="285">
        <f>P47+Q47</f>
        <v>-156106.03455293691</v>
      </c>
      <c r="S47" s="285">
        <f t="shared" ref="S47:W47" si="19">S56-S16</f>
        <v>-160936.68323238811</v>
      </c>
      <c r="T47" s="285">
        <f t="shared" si="19"/>
        <v>-187008.3332515856</v>
      </c>
      <c r="U47" s="285">
        <f t="shared" si="19"/>
        <v>-214970.99325385666</v>
      </c>
      <c r="V47" s="285">
        <f t="shared" si="19"/>
        <v>-243119.91423963895</v>
      </c>
      <c r="W47" s="285">
        <f t="shared" si="19"/>
        <v>-262886.56741080945</v>
      </c>
    </row>
    <row r="48" spans="1:25" s="13" customFormat="1">
      <c r="A48" s="304"/>
      <c r="B48" s="304" t="s">
        <v>429</v>
      </c>
      <c r="C48" s="304"/>
      <c r="D48" s="304"/>
      <c r="E48" s="304"/>
      <c r="F48" s="304"/>
      <c r="G48" s="310"/>
      <c r="H48" s="310"/>
      <c r="I48" s="310">
        <f>I47/G47-1</f>
        <v>7.5056292219164433E-2</v>
      </c>
      <c r="J48" s="310"/>
      <c r="K48" s="310">
        <f>K47/I47-1</f>
        <v>0.37823730842115766</v>
      </c>
      <c r="L48" s="310">
        <f>L47/J47-1</f>
        <v>0.40971273475781911</v>
      </c>
      <c r="M48" s="310"/>
      <c r="N48" s="310"/>
      <c r="O48" s="310">
        <f>O47/K47-1</f>
        <v>0.46575670590505536</v>
      </c>
      <c r="P48" s="310"/>
      <c r="Q48" s="310"/>
      <c r="R48" s="310">
        <f>R47/O47-1</f>
        <v>0.28451863971802727</v>
      </c>
      <c r="S48" s="310">
        <f>S47/R47-1</f>
        <v>3.0944663307125975E-2</v>
      </c>
      <c r="T48" s="310">
        <f>T47/S47-1</f>
        <v>0.16199942421797497</v>
      </c>
      <c r="U48" s="310">
        <f>U47/T47-1</f>
        <v>0.1495262778726143</v>
      </c>
      <c r="V48" s="310">
        <f>V47/U47-1</f>
        <v>0.13094288005889965</v>
      </c>
      <c r="W48" s="310">
        <f>W47/V47-1</f>
        <v>8.1304130239560957E-2</v>
      </c>
    </row>
    <row r="49" spans="1:24">
      <c r="A49" s="11" t="s">
        <v>51</v>
      </c>
      <c r="B49" s="11"/>
      <c r="C49" s="11"/>
      <c r="D49" s="11"/>
      <c r="E49" s="11"/>
      <c r="F49" s="11"/>
      <c r="G49" s="287">
        <f t="shared" ref="G49:U49" si="20">G41+G47</f>
        <v>-7107124</v>
      </c>
      <c r="H49" s="287">
        <f t="shared" si="20"/>
        <v>-7572013</v>
      </c>
      <c r="I49" s="287">
        <f t="shared" si="20"/>
        <v>-9728740</v>
      </c>
      <c r="J49" s="287">
        <f t="shared" si="20"/>
        <v>-10817689</v>
      </c>
      <c r="K49" s="287">
        <f t="shared" si="20"/>
        <v>-14293358.52</v>
      </c>
      <c r="L49" s="287">
        <f>L41+L47</f>
        <v>-12619249</v>
      </c>
      <c r="M49" s="287">
        <f>M41+M47</f>
        <v>-7270610.2580000004</v>
      </c>
      <c r="N49" s="287">
        <f>O49-M49</f>
        <v>-9498056.7419999987</v>
      </c>
      <c r="O49" s="287">
        <f>O41+O47</f>
        <v>-16768667</v>
      </c>
      <c r="P49" s="287">
        <f>P41+P47</f>
        <v>-10334172.563102508</v>
      </c>
      <c r="Q49" s="287">
        <f>R49-P49</f>
        <v>-11796914.711087337</v>
      </c>
      <c r="R49" s="287">
        <f>R41+R47</f>
        <v>-22131087.274189845</v>
      </c>
      <c r="S49" s="287">
        <f t="shared" si="20"/>
        <v>-24539253.705529742</v>
      </c>
      <c r="T49" s="287">
        <f t="shared" si="20"/>
        <v>-28525479.751148403</v>
      </c>
      <c r="U49" s="287">
        <f t="shared" si="20"/>
        <v>-32730082.944030911</v>
      </c>
      <c r="V49" s="287">
        <f>V41+V47</f>
        <v>-36930642.676811598</v>
      </c>
      <c r="W49" s="287">
        <f>W41+W47</f>
        <v>-39524015.19184234</v>
      </c>
    </row>
    <row r="51" spans="1:24" ht="12.75">
      <c r="A51" s="8" t="s">
        <v>137</v>
      </c>
    </row>
    <row r="53" spans="1:24">
      <c r="A53" s="7" t="s">
        <v>135</v>
      </c>
      <c r="G53" s="285">
        <f t="shared" ref="G53:L53" si="21">G10+G41</f>
        <v>3103438</v>
      </c>
      <c r="H53" s="285">
        <f t="shared" si="21"/>
        <v>2807970</v>
      </c>
      <c r="I53" s="285">
        <f t="shared" si="21"/>
        <v>3630848</v>
      </c>
      <c r="J53" s="285">
        <f t="shared" si="21"/>
        <v>4346765</v>
      </c>
      <c r="K53" s="285">
        <f t="shared" si="21"/>
        <v>5686300.4800000004</v>
      </c>
      <c r="L53" s="285">
        <f t="shared" si="21"/>
        <v>5674451</v>
      </c>
      <c r="M53" s="285">
        <f>M63*M10</f>
        <v>3167180.39</v>
      </c>
      <c r="N53" s="285">
        <f t="shared" ref="N53:N59" si="22">O53-M53</f>
        <v>4394510.43</v>
      </c>
      <c r="O53" s="285">
        <f>O54+O55</f>
        <v>7561690.8200000003</v>
      </c>
      <c r="P53" s="285">
        <f>P63*P10</f>
        <v>4391890.4639999997</v>
      </c>
      <c r="Q53" s="285">
        <f t="shared" ref="Q53:Q59" si="23">R53-P53</f>
        <v>4985660.2252542842</v>
      </c>
      <c r="R53" s="285">
        <f t="shared" ref="R53:W53" si="24">R10+R41</f>
        <v>9377550.6892542839</v>
      </c>
      <c r="S53" s="285">
        <f t="shared" si="24"/>
        <v>10409256.642402276</v>
      </c>
      <c r="T53" s="285">
        <f t="shared" si="24"/>
        <v>12098448.828210365</v>
      </c>
      <c r="U53" s="285">
        <f t="shared" si="24"/>
        <v>13891313.514628798</v>
      </c>
      <c r="V53" s="285">
        <f t="shared" si="24"/>
        <v>15687582.646912321</v>
      </c>
      <c r="W53" s="285">
        <f t="shared" si="24"/>
        <v>16854030.363780923</v>
      </c>
    </row>
    <row r="54" spans="1:24">
      <c r="B54" s="7" t="s">
        <v>133</v>
      </c>
      <c r="G54" s="285">
        <f t="shared" ref="G54:L54" si="25">G12+G43</f>
        <v>2973867</v>
      </c>
      <c r="H54" s="285">
        <f t="shared" si="25"/>
        <v>2707905</v>
      </c>
      <c r="I54" s="285">
        <f t="shared" si="25"/>
        <v>3490207</v>
      </c>
      <c r="J54" s="285">
        <f t="shared" si="25"/>
        <v>4209256</v>
      </c>
      <c r="K54" s="285">
        <f>K64*K12</f>
        <v>5518140.4799999995</v>
      </c>
      <c r="L54" s="285">
        <f t="shared" si="25"/>
        <v>5550933</v>
      </c>
      <c r="M54" s="285">
        <f>M53-M55</f>
        <v>3062637.8415061701</v>
      </c>
      <c r="N54" s="285">
        <f t="shared" si="22"/>
        <v>4348338.5704938304</v>
      </c>
      <c r="O54" s="285">
        <f>O12*O64</f>
        <v>7410976.4120000005</v>
      </c>
      <c r="P54" s="285">
        <f>P53-P56</f>
        <v>4077530.3969999999</v>
      </c>
      <c r="Q54" s="285">
        <f>Q12+Q43</f>
        <v>5118759.4284608942</v>
      </c>
      <c r="R54" s="285">
        <f>P54+Q54</f>
        <v>9196289.825460894</v>
      </c>
      <c r="S54" s="285">
        <f t="shared" ref="S54:W54" si="26">S12+S43</f>
        <v>10218011.757751372</v>
      </c>
      <c r="T54" s="285">
        <f t="shared" si="26"/>
        <v>11873323.779159591</v>
      </c>
      <c r="U54" s="285">
        <f t="shared" si="26"/>
        <v>13648697.689833719</v>
      </c>
      <c r="V54" s="285">
        <f t="shared" si="26"/>
        <v>15435897.474393807</v>
      </c>
      <c r="W54" s="285">
        <f t="shared" si="26"/>
        <v>16690899.693016417</v>
      </c>
    </row>
    <row r="55" spans="1:24">
      <c r="B55" s="7" t="s">
        <v>134</v>
      </c>
      <c r="G55" s="285">
        <f t="shared" ref="G55:L55" si="27">G14+G45</f>
        <v>129571</v>
      </c>
      <c r="H55" s="285">
        <f t="shared" si="27"/>
        <v>100065</v>
      </c>
      <c r="I55" s="285">
        <f t="shared" si="27"/>
        <v>140641</v>
      </c>
      <c r="J55" s="285">
        <f t="shared" si="27"/>
        <v>137509</v>
      </c>
      <c r="K55" s="285">
        <f t="shared" si="27"/>
        <v>168160</v>
      </c>
      <c r="L55" s="285">
        <f t="shared" si="27"/>
        <v>123518</v>
      </c>
      <c r="M55" s="285">
        <f>M65*M14</f>
        <v>104542.54849382992</v>
      </c>
      <c r="N55" s="285">
        <f t="shared" si="22"/>
        <v>46171.859506169552</v>
      </c>
      <c r="O55" s="285">
        <f>O57-O54-O56</f>
        <v>150714.40799999947</v>
      </c>
      <c r="P55" s="285">
        <f>P65*P14</f>
        <v>148745.97289749191</v>
      </c>
      <c r="Q55" s="285">
        <f>Q45+Q14</f>
        <v>32514.890895901102</v>
      </c>
      <c r="R55" s="285">
        <f>P55+Q55</f>
        <v>181260.86379339301</v>
      </c>
      <c r="S55" s="285">
        <f t="shared" ref="S55:W55" si="28">S14+S45</f>
        <v>191244.88465090329</v>
      </c>
      <c r="T55" s="285">
        <f t="shared" si="28"/>
        <v>225125.04905077314</v>
      </c>
      <c r="U55" s="285">
        <f t="shared" si="28"/>
        <v>242615.82479507779</v>
      </c>
      <c r="V55" s="285">
        <f t="shared" si="28"/>
        <v>251685.1725185134</v>
      </c>
      <c r="W55" s="285">
        <f t="shared" si="28"/>
        <v>163130.67076450516</v>
      </c>
    </row>
    <row r="56" spans="1:24">
      <c r="A56" s="7" t="s">
        <v>136</v>
      </c>
      <c r="G56" s="285">
        <f t="shared" ref="G56:L56" si="29">G16+G47</f>
        <v>140424</v>
      </c>
      <c r="H56" s="285">
        <f t="shared" si="29"/>
        <v>163257</v>
      </c>
      <c r="I56" s="285">
        <f t="shared" si="29"/>
        <v>215989</v>
      </c>
      <c r="J56" s="285">
        <f t="shared" si="29"/>
        <v>228874</v>
      </c>
      <c r="K56" s="285">
        <f t="shared" si="29"/>
        <v>322806</v>
      </c>
      <c r="L56" s="285">
        <f t="shared" si="29"/>
        <v>365971</v>
      </c>
      <c r="M56" s="285">
        <f>M66*M16</f>
        <v>239263.35199999998</v>
      </c>
      <c r="N56" s="285">
        <f t="shared" si="22"/>
        <v>259252.82800000007</v>
      </c>
      <c r="O56" s="285">
        <f>O66*O16</f>
        <v>498516.18000000005</v>
      </c>
      <c r="P56" s="285">
        <f>P66*P16</f>
        <v>314360.06699999998</v>
      </c>
      <c r="Q56" s="285">
        <f>Q66*Q16</f>
        <v>366783.97369147552</v>
      </c>
      <c r="R56" s="285">
        <f>P56+Q56</f>
        <v>681144.0406914755</v>
      </c>
      <c r="S56" s="285">
        <f t="shared" ref="S56:W56" si="30">S16*S66</f>
        <v>769333.16204153164</v>
      </c>
      <c r="T56" s="285">
        <f t="shared" si="30"/>
        <v>893964.69132405322</v>
      </c>
      <c r="U56" s="285">
        <f t="shared" si="30"/>
        <v>1027635.9041672798</v>
      </c>
      <c r="V56" s="285">
        <f t="shared" si="30"/>
        <v>1162197.5091108743</v>
      </c>
      <c r="W56" s="285">
        <f t="shared" si="30"/>
        <v>1256688.9667557182</v>
      </c>
    </row>
    <row r="57" spans="1:24">
      <c r="A57" s="11" t="s">
        <v>138</v>
      </c>
      <c r="B57" s="11"/>
      <c r="C57" s="11"/>
      <c r="D57" s="11"/>
      <c r="E57" s="11"/>
      <c r="F57" s="11"/>
      <c r="G57" s="287">
        <f t="shared" ref="G57:U57" si="31">G53+G56</f>
        <v>3243862</v>
      </c>
      <c r="H57" s="287">
        <f t="shared" si="31"/>
        <v>2971227</v>
      </c>
      <c r="I57" s="287">
        <f t="shared" si="31"/>
        <v>3846837</v>
      </c>
      <c r="J57" s="287">
        <f t="shared" si="31"/>
        <v>4575639</v>
      </c>
      <c r="K57" s="287">
        <f>K53+K56</f>
        <v>6009106.4800000004</v>
      </c>
      <c r="L57" s="287">
        <f>L53+L56</f>
        <v>6040422</v>
      </c>
      <c r="M57" s="287">
        <f>FS!M11</f>
        <v>3402695</v>
      </c>
      <c r="N57" s="287">
        <f t="shared" si="22"/>
        <v>4657512</v>
      </c>
      <c r="O57" s="287">
        <f>FS!O11</f>
        <v>8060207</v>
      </c>
      <c r="P57" s="287">
        <f>FS!P11</f>
        <v>4706373</v>
      </c>
      <c r="Q57" s="287">
        <f t="shared" si="23"/>
        <v>5352321.7299457602</v>
      </c>
      <c r="R57" s="287">
        <f t="shared" si="31"/>
        <v>10058694.72994576</v>
      </c>
      <c r="S57" s="287">
        <f t="shared" si="31"/>
        <v>11178589.804443808</v>
      </c>
      <c r="T57" s="287">
        <f t="shared" si="31"/>
        <v>12992413.519534418</v>
      </c>
      <c r="U57" s="287">
        <f t="shared" si="31"/>
        <v>14918949.418796077</v>
      </c>
      <c r="V57" s="287">
        <f>V53+V56</f>
        <v>16849780.156023197</v>
      </c>
      <c r="W57" s="287">
        <f>W53+W56</f>
        <v>18110719.330536641</v>
      </c>
    </row>
    <row r="58" spans="1:24">
      <c r="A58" s="7" t="s">
        <v>495</v>
      </c>
      <c r="G58" s="285">
        <v>3223345</v>
      </c>
      <c r="I58" s="285">
        <v>3614312</v>
      </c>
      <c r="J58" s="285">
        <v>4071554</v>
      </c>
      <c r="K58" s="285">
        <v>5402693</v>
      </c>
      <c r="L58" s="285">
        <v>5664364</v>
      </c>
      <c r="M58" s="285">
        <f>M30*M68</f>
        <v>3191615.5827249633</v>
      </c>
      <c r="N58" s="285">
        <f t="shared" si="22"/>
        <v>4453931.3663731385</v>
      </c>
      <c r="O58" s="285">
        <f>O30*O68</f>
        <v>7645546.9490981018</v>
      </c>
      <c r="P58" s="285">
        <f>P30*P68</f>
        <v>4442388.884244672</v>
      </c>
      <c r="Q58" s="285">
        <f t="shared" si="23"/>
        <v>5116250.333473281</v>
      </c>
      <c r="R58" s="285">
        <f t="shared" ref="R58:W58" si="32">R30*R68</f>
        <v>9558639.217717953</v>
      </c>
      <c r="S58" s="285">
        <f t="shared" si="32"/>
        <v>10763126.96810302</v>
      </c>
      <c r="T58" s="285">
        <f t="shared" si="32"/>
        <v>12497891.957578028</v>
      </c>
      <c r="U58" s="285">
        <f t="shared" si="32"/>
        <v>14239656.405822616</v>
      </c>
      <c r="V58" s="285">
        <f t="shared" si="32"/>
        <v>15900295.38387279</v>
      </c>
      <c r="W58" s="285">
        <f t="shared" si="32"/>
        <v>16793711.092620831</v>
      </c>
    </row>
    <row r="59" spans="1:24">
      <c r="A59" s="7" t="s">
        <v>496</v>
      </c>
      <c r="G59" s="285">
        <f>G57-G58</f>
        <v>20517</v>
      </c>
      <c r="I59" s="285">
        <f>I57-I58</f>
        <v>232525</v>
      </c>
      <c r="J59" s="285">
        <f>J57-J58</f>
        <v>504085</v>
      </c>
      <c r="K59" s="285">
        <f>K57-K58</f>
        <v>606413.48000000045</v>
      </c>
      <c r="L59" s="285">
        <f>L57-L58</f>
        <v>376058</v>
      </c>
      <c r="M59" s="285">
        <f>M57-M58</f>
        <v>211079.41727503669</v>
      </c>
      <c r="N59" s="285">
        <f t="shared" si="22"/>
        <v>203580.6336268615</v>
      </c>
      <c r="O59" s="285">
        <f>O57-O58</f>
        <v>414660.05090189818</v>
      </c>
      <c r="P59" s="285">
        <f>P57-P58</f>
        <v>263984.11575532798</v>
      </c>
      <c r="Q59" s="285">
        <f t="shared" si="23"/>
        <v>236071.39647247922</v>
      </c>
      <c r="R59" s="285">
        <f t="shared" ref="R59:W59" si="33">R57-R58</f>
        <v>500055.51222780719</v>
      </c>
      <c r="S59" s="285">
        <f t="shared" si="33"/>
        <v>415462.83634078875</v>
      </c>
      <c r="T59" s="285">
        <f t="shared" si="33"/>
        <v>494521.56195639074</v>
      </c>
      <c r="U59" s="285">
        <f t="shared" si="33"/>
        <v>679293.0129734613</v>
      </c>
      <c r="V59" s="285">
        <f t="shared" si="33"/>
        <v>949484.77215040661</v>
      </c>
      <c r="W59" s="285">
        <f t="shared" si="33"/>
        <v>1317008.2379158102</v>
      </c>
      <c r="X59" s="236">
        <f>(S59-O59)/(S57-O57)</f>
        <v>2.5743646281866696E-4</v>
      </c>
    </row>
    <row r="61" spans="1:24" ht="12.75">
      <c r="A61" s="8" t="s">
        <v>139</v>
      </c>
    </row>
    <row r="63" spans="1:24">
      <c r="A63" s="7" t="s">
        <v>135</v>
      </c>
      <c r="G63" s="286">
        <f t="shared" ref="G63:N63" si="34">G53/G10</f>
        <v>0.3056188109354141</v>
      </c>
      <c r="H63" s="286">
        <f t="shared" si="34"/>
        <v>0.27164343129563112</v>
      </c>
      <c r="I63" s="286">
        <f t="shared" si="34"/>
        <v>0.27300779055944502</v>
      </c>
      <c r="J63" s="286">
        <f t="shared" si="34"/>
        <v>0.28768315311957854</v>
      </c>
      <c r="K63" s="286">
        <f t="shared" si="34"/>
        <v>0.28579046011893305</v>
      </c>
      <c r="L63" s="286">
        <f t="shared" si="34"/>
        <v>0.31150384948961402</v>
      </c>
      <c r="M63" s="286">
        <v>0.30499999999999999</v>
      </c>
      <c r="N63" s="286">
        <f t="shared" si="34"/>
        <v>0.31787542322106099</v>
      </c>
      <c r="O63" s="286">
        <f t="shared" ref="O63:V63" si="35">O53/O10</f>
        <v>0.31235260573735313</v>
      </c>
      <c r="P63" s="286">
        <v>0.30299999999999999</v>
      </c>
      <c r="Q63" s="286">
        <f t="shared" si="35"/>
        <v>0.29574720505685753</v>
      </c>
      <c r="R63" s="286">
        <f t="shared" si="35"/>
        <v>0.29910026758039659</v>
      </c>
      <c r="S63" s="286">
        <f t="shared" si="35"/>
        <v>0.29922341646278638</v>
      </c>
      <c r="T63" s="286">
        <f t="shared" si="35"/>
        <v>0.29919313228051952</v>
      </c>
      <c r="U63" s="286">
        <f t="shared" si="35"/>
        <v>0.29934030417801133</v>
      </c>
      <c r="V63" s="286">
        <f t="shared" si="35"/>
        <v>0.29952364819625843</v>
      </c>
      <c r="W63" s="286">
        <f t="shared" ref="W63" si="36">W53/W10</f>
        <v>0.30034719080669947</v>
      </c>
    </row>
    <row r="64" spans="1:24">
      <c r="B64" s="7" t="s">
        <v>133</v>
      </c>
      <c r="G64" s="286">
        <f t="shared" ref="G64:L64" si="37">G54/G12</f>
        <v>0.314440041194122</v>
      </c>
      <c r="H64" s="286">
        <f t="shared" si="37"/>
        <v>0.27698567234186716</v>
      </c>
      <c r="I64" s="286">
        <f t="shared" si="37"/>
        <v>0.27808103278747431</v>
      </c>
      <c r="J64" s="286">
        <f t="shared" si="37"/>
        <v>0.29019915248248584</v>
      </c>
      <c r="K64" s="286">
        <v>0.28799999999999998</v>
      </c>
      <c r="L64" s="286">
        <f t="shared" si="37"/>
        <v>0.31548256029890215</v>
      </c>
      <c r="M64" s="286">
        <f>M54/M12</f>
        <v>0.30853758272023202</v>
      </c>
      <c r="N64" s="286">
        <f t="shared" ref="N64" si="38">N54/N12</f>
        <v>0.32147637029492648</v>
      </c>
      <c r="O64" s="316">
        <v>0.316</v>
      </c>
      <c r="P64" s="316">
        <f>P54/P12</f>
        <v>0.29455148447062468</v>
      </c>
      <c r="Q64" s="286">
        <f t="shared" ref="Q64:V64" si="39">Q54/Q12</f>
        <v>0.30747637029492614</v>
      </c>
      <c r="R64" s="286">
        <f t="shared" si="39"/>
        <v>0.30160832600363707</v>
      </c>
      <c r="S64" s="286">
        <f t="shared" si="39"/>
        <v>0.30160832600363702</v>
      </c>
      <c r="T64" s="286">
        <f t="shared" si="39"/>
        <v>0.30160832600363707</v>
      </c>
      <c r="U64" s="286">
        <f t="shared" si="39"/>
        <v>0.30160832600363696</v>
      </c>
      <c r="V64" s="286">
        <f t="shared" si="39"/>
        <v>0.30160832600363718</v>
      </c>
      <c r="W64" s="286">
        <f t="shared" ref="W64" si="40">W54/W12</f>
        <v>0.30160832600363696</v>
      </c>
    </row>
    <row r="65" spans="1:24">
      <c r="B65" s="7" t="s">
        <v>134</v>
      </c>
      <c r="G65" s="286">
        <f t="shared" ref="G65:L65" si="41">G55/G14</f>
        <v>0.18591307192543446</v>
      </c>
      <c r="H65" s="286">
        <f t="shared" si="41"/>
        <v>0.17848542899645758</v>
      </c>
      <c r="I65" s="286">
        <f t="shared" si="41"/>
        <v>0.18792549843864204</v>
      </c>
      <c r="J65" s="286">
        <f t="shared" si="41"/>
        <v>0.22734697656578082</v>
      </c>
      <c r="K65" s="286">
        <f t="shared" si="41"/>
        <v>0.22831168020072312</v>
      </c>
      <c r="L65" s="286">
        <f t="shared" si="41"/>
        <v>0.19881981019096798</v>
      </c>
      <c r="M65" s="286">
        <f>K65</f>
        <v>0.22831168020072312</v>
      </c>
      <c r="N65" s="286">
        <f t="shared" ref="N65" si="42">N55/N14</f>
        <v>0.15469099734710615</v>
      </c>
      <c r="O65" s="286">
        <f t="shared" ref="O65:V65" si="43">O55/O14</f>
        <v>0.19925963414827555</v>
      </c>
      <c r="P65" s="286">
        <f>M65</f>
        <v>0.22831168020072312</v>
      </c>
      <c r="Q65" s="286">
        <f t="shared" si="43"/>
        <v>0.15469099734710645</v>
      </c>
      <c r="R65" s="286">
        <f t="shared" si="43"/>
        <v>0.21035348190574082</v>
      </c>
      <c r="S65" s="286">
        <f t="shared" si="43"/>
        <v>0.21035348190574094</v>
      </c>
      <c r="T65" s="286">
        <f t="shared" si="43"/>
        <v>0.21035348190574102</v>
      </c>
      <c r="U65" s="286">
        <f t="shared" si="43"/>
        <v>0.21035348190574091</v>
      </c>
      <c r="V65" s="286">
        <f t="shared" si="43"/>
        <v>0.21035348190574088</v>
      </c>
      <c r="W65" s="286">
        <f t="shared" ref="W65" si="44">W55/W14</f>
        <v>0.21035348190574091</v>
      </c>
    </row>
    <row r="66" spans="1:24">
      <c r="A66" s="7" t="s">
        <v>136</v>
      </c>
      <c r="G66" s="286">
        <f t="shared" ref="G66:L66" si="45">G56/G16</f>
        <v>0.71505535130510944</v>
      </c>
      <c r="H66" s="286">
        <f t="shared" si="45"/>
        <v>0.79147234207591988</v>
      </c>
      <c r="I66" s="286">
        <f t="shared" si="45"/>
        <v>0.78215225948498446</v>
      </c>
      <c r="J66" s="286">
        <f t="shared" si="45"/>
        <v>0.80654471387139626</v>
      </c>
      <c r="K66" s="286">
        <f t="shared" si="45"/>
        <v>0.79564130750915663</v>
      </c>
      <c r="L66" s="286">
        <f t="shared" si="45"/>
        <v>0.82544884518224471</v>
      </c>
      <c r="M66" s="286">
        <v>0.81699999999999995</v>
      </c>
      <c r="N66" s="286">
        <f t="shared" ref="N66" si="46">N56/N16</f>
        <v>0.7923641320460042</v>
      </c>
      <c r="O66" s="316">
        <v>0.80400000000000005</v>
      </c>
      <c r="P66" s="316">
        <v>0.82699999999999996</v>
      </c>
      <c r="Q66" s="326">
        <f>N66+1%</f>
        <v>0.80236413204600421</v>
      </c>
      <c r="R66" s="316">
        <f>P66</f>
        <v>0.82699999999999996</v>
      </c>
      <c r="S66" s="316">
        <f>R66</f>
        <v>0.82699999999999996</v>
      </c>
      <c r="T66" s="316">
        <f>S66</f>
        <v>0.82699999999999996</v>
      </c>
      <c r="U66" s="316">
        <f>T66</f>
        <v>0.82699999999999996</v>
      </c>
      <c r="V66" s="316">
        <f>U66</f>
        <v>0.82699999999999996</v>
      </c>
      <c r="W66" s="316">
        <f>V66</f>
        <v>0.82699999999999996</v>
      </c>
    </row>
    <row r="67" spans="1:24">
      <c r="A67" s="11" t="s">
        <v>138</v>
      </c>
      <c r="B67" s="11"/>
      <c r="C67" s="11"/>
      <c r="D67" s="11"/>
      <c r="E67" s="11"/>
      <c r="F67" s="11"/>
      <c r="G67" s="292">
        <f t="shared" ref="G67:M67" si="47">G57/G18</f>
        <v>0.31338676334795545</v>
      </c>
      <c r="H67" s="292">
        <f t="shared" si="47"/>
        <v>0.2818134653104738</v>
      </c>
      <c r="I67" s="292">
        <f t="shared" si="47"/>
        <v>0.28336453028847319</v>
      </c>
      <c r="J67" s="292">
        <f t="shared" si="47"/>
        <v>0.29724819740084796</v>
      </c>
      <c r="K67" s="292">
        <f t="shared" si="47"/>
        <v>0.29597915721071311</v>
      </c>
      <c r="L67" s="292">
        <f t="shared" si="47"/>
        <v>0.32371535382376249</v>
      </c>
      <c r="M67" s="292">
        <f t="shared" si="47"/>
        <v>0.31869230969516499</v>
      </c>
      <c r="N67" s="292">
        <f t="shared" ref="N67" si="48">N57/N18</f>
        <v>0.32911046070399425</v>
      </c>
      <c r="O67" s="292">
        <f t="shared" ref="O67:V67" si="49">O57/O18</f>
        <v>0.32463038799101401</v>
      </c>
      <c r="P67" s="292">
        <f t="shared" si="49"/>
        <v>0.31639888619746309</v>
      </c>
      <c r="Q67" s="292">
        <f t="shared" si="49"/>
        <v>0.30911522233776406</v>
      </c>
      <c r="R67" s="292">
        <f t="shared" si="49"/>
        <v>0.3124809832093135</v>
      </c>
      <c r="S67" s="292">
        <f t="shared" si="49"/>
        <v>0.31296933705760799</v>
      </c>
      <c r="T67" s="292">
        <f t="shared" si="49"/>
        <v>0.31293527912960839</v>
      </c>
      <c r="U67" s="292">
        <f t="shared" si="49"/>
        <v>0.31310078461183982</v>
      </c>
      <c r="V67" s="292">
        <f t="shared" si="49"/>
        <v>0.31330694829970407</v>
      </c>
      <c r="W67" s="292">
        <f t="shared" ref="W67" si="50">W57/W18</f>
        <v>0.31423271887379706</v>
      </c>
    </row>
    <row r="68" spans="1:24">
      <c r="A68" s="7" t="s">
        <v>495</v>
      </c>
      <c r="G68" s="286">
        <f>G58/G30</f>
        <v>0.31291825766579812</v>
      </c>
      <c r="H68" s="286"/>
      <c r="I68" s="286">
        <f>I58/I30</f>
        <v>0.27727882382553903</v>
      </c>
      <c r="J68" s="286">
        <f>J58/J30</f>
        <v>0.28628547292938333</v>
      </c>
      <c r="K68" s="286">
        <f>K58/K30</f>
        <v>0.28714004540822735</v>
      </c>
      <c r="L68" s="286">
        <f t="shared" ref="L68" si="51">L58/L30</f>
        <v>0.31988847091333866</v>
      </c>
      <c r="M68" s="286">
        <v>0.315</v>
      </c>
      <c r="N68" s="286">
        <f t="shared" ref="N68" si="52">N58/N30</f>
        <v>0.33256542978400089</v>
      </c>
      <c r="O68" s="317">
        <v>0.32500000000000001</v>
      </c>
      <c r="P68" s="317">
        <v>0.315</v>
      </c>
      <c r="Q68" s="286">
        <f t="shared" ref="Q68" si="53">Q58/Q30</f>
        <v>0.30578554721037654</v>
      </c>
      <c r="R68" s="317">
        <v>0.31</v>
      </c>
      <c r="S68" s="317">
        <v>0.313</v>
      </c>
      <c r="T68" s="317">
        <f>S68</f>
        <v>0.313</v>
      </c>
      <c r="U68" s="317">
        <f>T68</f>
        <v>0.313</v>
      </c>
      <c r="V68" s="317">
        <f>U68</f>
        <v>0.313</v>
      </c>
      <c r="W68" s="317">
        <f>V68</f>
        <v>0.313</v>
      </c>
    </row>
    <row r="69" spans="1:24">
      <c r="A69" s="7" t="s">
        <v>496</v>
      </c>
      <c r="G69" s="286">
        <f>G59/G32</f>
        <v>0.40977451117457908</v>
      </c>
      <c r="H69" s="286"/>
      <c r="I69" s="286">
        <f t="shared" ref="I69:U69" si="54">I59/I32</f>
        <v>0.4300921130511986</v>
      </c>
      <c r="J69" s="286">
        <f>J59/J32</f>
        <v>0.43035598268962993</v>
      </c>
      <c r="K69" s="286">
        <f t="shared" si="54"/>
        <v>0.4078286565895417</v>
      </c>
      <c r="L69" s="286">
        <f t="shared" ref="L69:M69" si="55">L59/L32</f>
        <v>0.39486875788828196</v>
      </c>
      <c r="M69" s="286">
        <f t="shared" si="55"/>
        <v>0.38734358798638374</v>
      </c>
      <c r="N69" s="286">
        <f t="shared" ref="N69" si="56">N59/N32</f>
        <v>0.26816101478444676</v>
      </c>
      <c r="O69" s="286">
        <f t="shared" si="54"/>
        <v>0.31796300101229141</v>
      </c>
      <c r="P69" s="286">
        <f t="shared" si="54"/>
        <v>0.34195403042381844</v>
      </c>
      <c r="Q69" s="286">
        <f t="shared" si="54"/>
        <v>0.40459570108972071</v>
      </c>
      <c r="R69" s="286">
        <f t="shared" si="54"/>
        <v>0.36891888654019711</v>
      </c>
      <c r="S69" s="286">
        <f t="shared" si="54"/>
        <v>0.31217706058672995</v>
      </c>
      <c r="T69" s="286">
        <f t="shared" si="54"/>
        <v>0.31130844808374253</v>
      </c>
      <c r="U69" s="286">
        <f t="shared" si="54"/>
        <v>0.31522852068451823</v>
      </c>
      <c r="V69" s="286">
        <f>V59/V32</f>
        <v>0.31853812637531442</v>
      </c>
      <c r="W69" s="286">
        <f>W59/W32</f>
        <v>0.33084794818992119</v>
      </c>
      <c r="X69" s="27" t="s">
        <v>509</v>
      </c>
    </row>
    <row r="70" spans="1:24">
      <c r="G70" s="293">
        <f t="shared" ref="G70:L70" si="57">G69-G68</f>
        <v>9.6856253508780965E-2</v>
      </c>
      <c r="H70" s="293">
        <f t="shared" si="57"/>
        <v>0</v>
      </c>
      <c r="I70" s="293">
        <f t="shared" si="57"/>
        <v>0.15281328922565957</v>
      </c>
      <c r="J70" s="293">
        <f t="shared" si="57"/>
        <v>0.1440705097602466</v>
      </c>
      <c r="K70" s="293">
        <f t="shared" si="57"/>
        <v>0.12068861118131435</v>
      </c>
      <c r="L70" s="293">
        <f t="shared" si="57"/>
        <v>7.49802869749433E-2</v>
      </c>
      <c r="M70" s="293"/>
      <c r="N70" s="293"/>
      <c r="O70" s="293"/>
      <c r="P70" s="293"/>
      <c r="Q70" s="293"/>
      <c r="R70" s="293"/>
      <c r="S70" s="293"/>
      <c r="T70" s="293"/>
      <c r="U70" s="293"/>
      <c r="V70" s="293"/>
      <c r="W70" s="293"/>
    </row>
    <row r="71" spans="1:24">
      <c r="X71" s="33"/>
    </row>
    <row r="72" spans="1:24" ht="12.75">
      <c r="A72" s="8" t="s">
        <v>47</v>
      </c>
    </row>
    <row r="73" spans="1:24">
      <c r="A73" s="27" t="s">
        <v>505</v>
      </c>
      <c r="O73" s="300"/>
      <c r="P73" s="300"/>
      <c r="Q73" s="300"/>
      <c r="R73" s="300"/>
      <c r="S73" s="300"/>
      <c r="T73" s="300"/>
      <c r="U73" s="300"/>
      <c r="V73" s="300"/>
      <c r="W73" s="300"/>
    </row>
    <row r="74" spans="1:24" s="3" customFormat="1">
      <c r="A74" s="3" t="s">
        <v>48</v>
      </c>
      <c r="G74" s="279">
        <v>12509</v>
      </c>
      <c r="H74" s="279">
        <v>19954</v>
      </c>
      <c r="I74" s="279">
        <v>19954</v>
      </c>
      <c r="J74" s="279">
        <v>28929</v>
      </c>
      <c r="K74" s="279">
        <f>I78</f>
        <v>28929</v>
      </c>
      <c r="L74" s="279">
        <f>K78</f>
        <v>37516</v>
      </c>
      <c r="M74" s="279">
        <f>K78</f>
        <v>37516</v>
      </c>
      <c r="N74" s="279">
        <f>M78</f>
        <v>43197</v>
      </c>
      <c r="O74" s="279">
        <f>K78</f>
        <v>37516</v>
      </c>
      <c r="P74" s="279">
        <f>O78</f>
        <v>46462</v>
      </c>
      <c r="Q74" s="279">
        <f>P78</f>
        <v>52996</v>
      </c>
      <c r="R74" s="279">
        <f>O78</f>
        <v>46462</v>
      </c>
      <c r="S74" s="279">
        <f>R78</f>
        <v>54300</v>
      </c>
      <c r="T74" s="279">
        <f>S78</f>
        <v>62300</v>
      </c>
      <c r="U74" s="279">
        <f>T78</f>
        <v>71800</v>
      </c>
      <c r="V74" s="279">
        <f>U78</f>
        <v>81800</v>
      </c>
      <c r="W74" s="279">
        <f>V78</f>
        <v>91800</v>
      </c>
    </row>
    <row r="75" spans="1:24">
      <c r="B75" s="7" t="s">
        <v>118</v>
      </c>
      <c r="G75" s="285">
        <v>8022</v>
      </c>
      <c r="H75" s="285">
        <v>7190</v>
      </c>
      <c r="I75" s="285">
        <v>9671</v>
      </c>
      <c r="J75" s="285">
        <v>8020</v>
      </c>
      <c r="K75" s="285">
        <v>9894</v>
      </c>
      <c r="L75" s="285">
        <v>9064</v>
      </c>
      <c r="M75" s="285">
        <v>6480</v>
      </c>
      <c r="N75" s="285">
        <f>O75-M75</f>
        <v>4075</v>
      </c>
      <c r="O75" s="285">
        <v>10555</v>
      </c>
      <c r="P75" s="285">
        <v>7721</v>
      </c>
      <c r="Q75" s="318">
        <f>R75-P75</f>
        <v>2491</v>
      </c>
      <c r="R75" s="318">
        <f>R78-R77-R76-R74</f>
        <v>10212</v>
      </c>
      <c r="S75" s="318">
        <f t="shared" ref="R75:W75" si="58">S78-S77-S76-S74</f>
        <v>10774.486677284665</v>
      </c>
      <c r="T75" s="318">
        <f t="shared" si="58"/>
        <v>12683.250828634147</v>
      </c>
      <c r="U75" s="318">
        <f t="shared" si="58"/>
        <v>13668.658258361684</v>
      </c>
      <c r="V75" s="318">
        <f t="shared" si="58"/>
        <v>14179.613447548531</v>
      </c>
      <c r="W75" s="318">
        <f t="shared" si="58"/>
        <v>9190.5686367354065</v>
      </c>
    </row>
    <row r="76" spans="1:24">
      <c r="B76" s="7" t="s">
        <v>119</v>
      </c>
      <c r="G76" s="285">
        <v>-371</v>
      </c>
      <c r="H76" s="285">
        <v>-287</v>
      </c>
      <c r="I76" s="285">
        <v>-432</v>
      </c>
      <c r="J76" s="285">
        <v>-453</v>
      </c>
      <c r="K76" s="285">
        <v>-666</v>
      </c>
      <c r="L76" s="285">
        <v>-584</v>
      </c>
      <c r="M76" s="285">
        <v>-500</v>
      </c>
      <c r="N76" s="285">
        <f>O76-M76</f>
        <v>-250</v>
      </c>
      <c r="O76" s="285">
        <v>-750</v>
      </c>
      <c r="P76" s="285">
        <v>-550</v>
      </c>
      <c r="Q76" s="318">
        <f>P76</f>
        <v>-550</v>
      </c>
      <c r="R76" s="318">
        <f>P76+Q76</f>
        <v>-1100</v>
      </c>
      <c r="S76" s="318">
        <f>R76/R74*S74</f>
        <v>-1285.5666996685463</v>
      </c>
      <c r="T76" s="318">
        <f>S76/S74*T74</f>
        <v>-1474.9687917007445</v>
      </c>
      <c r="U76" s="318">
        <f>T76/T74*U74</f>
        <v>-1699.88377598898</v>
      </c>
      <c r="V76" s="318">
        <f>U76/U74*V74</f>
        <v>-1936.6363910292278</v>
      </c>
      <c r="W76" s="318">
        <f>V76/V74*W74</f>
        <v>-2173.3890060694757</v>
      </c>
    </row>
    <row r="77" spans="1:24">
      <c r="B77" s="7" t="s">
        <v>120</v>
      </c>
      <c r="G77" s="285">
        <v>-206</v>
      </c>
      <c r="H77" s="285">
        <v>-183</v>
      </c>
      <c r="I77" s="285">
        <v>-264</v>
      </c>
      <c r="J77" s="285">
        <v>-403</v>
      </c>
      <c r="K77" s="285">
        <v>-641</v>
      </c>
      <c r="L77" s="285">
        <v>-714</v>
      </c>
      <c r="M77" s="285">
        <f>-799-M76</f>
        <v>-299</v>
      </c>
      <c r="N77" s="285">
        <f>O77-M77</f>
        <v>-560</v>
      </c>
      <c r="O77" s="285">
        <f>-1609-O76</f>
        <v>-859</v>
      </c>
      <c r="P77" s="285">
        <f>-1187-P76</f>
        <v>-637</v>
      </c>
      <c r="Q77" s="318">
        <f>P77</f>
        <v>-637</v>
      </c>
      <c r="R77" s="318">
        <f>P77+Q77</f>
        <v>-1274</v>
      </c>
      <c r="S77" s="318">
        <f>R77/R74*S74</f>
        <v>-1488.9199776161165</v>
      </c>
      <c r="T77" s="318">
        <f>S77/S74*T74</f>
        <v>-1708.2820369334081</v>
      </c>
      <c r="U77" s="318">
        <f>T77/T74*U74</f>
        <v>-1968.7744823726919</v>
      </c>
      <c r="V77" s="318">
        <f>U77/U74*V74</f>
        <v>-2242.9770565193062</v>
      </c>
      <c r="W77" s="318">
        <f>V77/V74*W74</f>
        <v>-2517.1796306659207</v>
      </c>
    </row>
    <row r="78" spans="1:24">
      <c r="A78" s="11" t="s">
        <v>49</v>
      </c>
      <c r="B78" s="11"/>
      <c r="C78" s="11"/>
      <c r="D78" s="11"/>
      <c r="E78" s="11"/>
      <c r="F78" s="11"/>
      <c r="G78" s="287">
        <f t="shared" ref="G78:P78" si="59">SUM(G74:G77)</f>
        <v>19954</v>
      </c>
      <c r="H78" s="287">
        <f t="shared" si="59"/>
        <v>26674</v>
      </c>
      <c r="I78" s="287">
        <f t="shared" si="59"/>
        <v>28929</v>
      </c>
      <c r="J78" s="287">
        <f t="shared" si="59"/>
        <v>36093</v>
      </c>
      <c r="K78" s="287">
        <f t="shared" si="59"/>
        <v>37516</v>
      </c>
      <c r="L78" s="287">
        <f t="shared" si="59"/>
        <v>45282</v>
      </c>
      <c r="M78" s="287">
        <f t="shared" si="59"/>
        <v>43197</v>
      </c>
      <c r="N78" s="287">
        <f t="shared" si="59"/>
        <v>46462</v>
      </c>
      <c r="O78" s="287">
        <f t="shared" si="59"/>
        <v>46462</v>
      </c>
      <c r="P78" s="287">
        <f t="shared" si="59"/>
        <v>52996</v>
      </c>
      <c r="Q78" s="287">
        <f t="shared" ref="Q78:V78" si="60">Q88-Q89</f>
        <v>54300</v>
      </c>
      <c r="R78" s="287">
        <f>R88-R89</f>
        <v>54300</v>
      </c>
      <c r="S78" s="287">
        <f t="shared" si="60"/>
        <v>62300</v>
      </c>
      <c r="T78" s="287">
        <f t="shared" si="60"/>
        <v>71800</v>
      </c>
      <c r="U78" s="287">
        <f t="shared" si="60"/>
        <v>81800</v>
      </c>
      <c r="V78" s="287">
        <f t="shared" si="60"/>
        <v>91800</v>
      </c>
      <c r="W78" s="287">
        <f t="shared" ref="W78" si="61">W88-W89</f>
        <v>96300</v>
      </c>
    </row>
    <row r="79" spans="1:24" s="13" customFormat="1">
      <c r="B79" s="13" t="s">
        <v>429</v>
      </c>
      <c r="G79" s="286"/>
      <c r="H79" s="286"/>
      <c r="I79" s="286">
        <f>I78/G78-1</f>
        <v>0.44978450436002815</v>
      </c>
      <c r="J79" s="286"/>
      <c r="K79" s="286">
        <f>K78/I78-1</f>
        <v>0.29683017041722848</v>
      </c>
      <c r="L79" s="286"/>
      <c r="M79" s="286"/>
      <c r="N79" s="286"/>
      <c r="O79" s="286">
        <f>O78/K78-1</f>
        <v>0.23845825781000096</v>
      </c>
      <c r="P79" s="319"/>
      <c r="Q79" s="286"/>
      <c r="R79" s="286">
        <f>R78/O78-1</f>
        <v>0.16869699969867846</v>
      </c>
      <c r="S79" s="286">
        <f>S78/R78-1</f>
        <v>0.1473296500920811</v>
      </c>
      <c r="T79" s="286">
        <f>T78/S78-1</f>
        <v>0.15248796147672561</v>
      </c>
      <c r="U79" s="286">
        <f>U78/T78-1</f>
        <v>0.13927576601671299</v>
      </c>
      <c r="V79" s="286">
        <f>V78/U78-1</f>
        <v>0.12224938875305624</v>
      </c>
      <c r="W79" s="286">
        <f>W78/V78-1</f>
        <v>4.9019607843137303E-2</v>
      </c>
    </row>
    <row r="80" spans="1:24">
      <c r="O80" s="300"/>
      <c r="P80" s="319">
        <f>P86-O86</f>
        <v>6697</v>
      </c>
      <c r="Q80" s="300"/>
      <c r="R80" s="300"/>
      <c r="S80" s="300"/>
      <c r="T80" s="300"/>
      <c r="U80" s="300"/>
      <c r="V80" s="300"/>
      <c r="W80" s="300"/>
    </row>
    <row r="81" spans="1:25" s="3" customFormat="1">
      <c r="A81" s="3" t="s">
        <v>123</v>
      </c>
      <c r="G81" s="279"/>
      <c r="H81" s="279"/>
      <c r="I81" s="279">
        <f>(I87-G87)</f>
        <v>1525</v>
      </c>
      <c r="J81" s="279"/>
      <c r="K81" s="279"/>
      <c r="L81" s="279"/>
      <c r="M81" s="279"/>
      <c r="N81" s="279"/>
      <c r="O81" s="279"/>
      <c r="P81" s="319">
        <f>P87-O87</f>
        <v>-162</v>
      </c>
      <c r="Q81" s="319"/>
      <c r="R81" s="319">
        <f>I86*18%*0.54</f>
        <v>2642.6736000000001</v>
      </c>
      <c r="S81" s="319">
        <f>K86*18%*0.54</f>
        <v>3230.3448000000003</v>
      </c>
      <c r="T81" s="300"/>
      <c r="U81" s="300"/>
      <c r="V81" s="300"/>
      <c r="W81" s="300"/>
    </row>
    <row r="82" spans="1:25">
      <c r="B82" s="7" t="s">
        <v>72</v>
      </c>
      <c r="G82" s="285">
        <v>782</v>
      </c>
      <c r="H82" s="320"/>
      <c r="I82" s="285">
        <v>1190</v>
      </c>
      <c r="J82" s="285">
        <v>1444</v>
      </c>
      <c r="K82" s="285">
        <v>1513</v>
      </c>
      <c r="L82" s="285">
        <v>1942</v>
      </c>
      <c r="M82" s="285">
        <v>1812</v>
      </c>
      <c r="N82" s="285">
        <f>O82</f>
        <v>1983</v>
      </c>
      <c r="O82" s="285">
        <v>1983</v>
      </c>
      <c r="P82" s="285">
        <v>2356</v>
      </c>
      <c r="Q82" s="320"/>
      <c r="R82" s="320"/>
      <c r="S82" s="320"/>
      <c r="T82" s="320"/>
      <c r="U82" s="320"/>
      <c r="V82" s="320"/>
      <c r="W82" s="320"/>
      <c r="X82" s="240"/>
    </row>
    <row r="83" spans="1:25">
      <c r="B83" s="7" t="s">
        <v>73</v>
      </c>
      <c r="G83" s="285">
        <v>4172</v>
      </c>
      <c r="H83" s="320"/>
      <c r="I83" s="285">
        <v>5710</v>
      </c>
      <c r="J83" s="285">
        <v>6725</v>
      </c>
      <c r="K83" s="285">
        <v>6886</v>
      </c>
      <c r="L83" s="285">
        <v>7960</v>
      </c>
      <c r="M83" s="285">
        <v>7671</v>
      </c>
      <c r="N83" s="285">
        <f>O83</f>
        <v>8143</v>
      </c>
      <c r="O83" s="285">
        <v>8143</v>
      </c>
      <c r="P83" s="285">
        <v>8878</v>
      </c>
      <c r="Q83" s="320"/>
      <c r="R83" s="320"/>
      <c r="S83" s="320"/>
      <c r="T83" s="320"/>
      <c r="U83" s="320"/>
      <c r="V83" s="320"/>
      <c r="W83" s="320"/>
      <c r="X83" s="240"/>
    </row>
    <row r="84" spans="1:25">
      <c r="B84" s="7" t="s">
        <v>74</v>
      </c>
      <c r="G84" s="285">
        <v>3187</v>
      </c>
      <c r="H84" s="320"/>
      <c r="I84" s="285">
        <v>4739</v>
      </c>
      <c r="J84" s="285">
        <v>5714</v>
      </c>
      <c r="K84" s="285">
        <v>5955</v>
      </c>
      <c r="L84" s="285">
        <v>7446</v>
      </c>
      <c r="M84" s="285">
        <v>7033</v>
      </c>
      <c r="N84" s="285">
        <f>O84</f>
        <v>7600</v>
      </c>
      <c r="O84" s="285">
        <v>7600</v>
      </c>
      <c r="P84" s="285">
        <v>9243</v>
      </c>
      <c r="Q84" s="320"/>
      <c r="R84" s="320"/>
      <c r="S84" s="320"/>
      <c r="T84" s="320"/>
      <c r="U84" s="320"/>
      <c r="V84" s="320"/>
      <c r="W84" s="320"/>
      <c r="X84" s="240"/>
    </row>
    <row r="85" spans="1:25">
      <c r="B85" s="7" t="s">
        <v>124</v>
      </c>
      <c r="G85" s="285">
        <v>11590</v>
      </c>
      <c r="H85" s="320"/>
      <c r="I85" s="285">
        <v>15549</v>
      </c>
      <c r="J85" s="285">
        <v>18297</v>
      </c>
      <c r="K85" s="285">
        <v>18880</v>
      </c>
      <c r="L85" s="285">
        <v>23162</v>
      </c>
      <c r="M85" s="285">
        <v>22097</v>
      </c>
      <c r="N85" s="285">
        <f>O85</f>
        <v>23858</v>
      </c>
      <c r="O85" s="285">
        <v>23858</v>
      </c>
      <c r="P85" s="285">
        <v>27804</v>
      </c>
      <c r="Q85" s="320"/>
      <c r="R85" s="320"/>
      <c r="S85" s="320"/>
      <c r="T85" s="320"/>
      <c r="U85" s="320"/>
      <c r="V85" s="320"/>
      <c r="W85" s="320"/>
      <c r="X85" s="240"/>
    </row>
    <row r="86" spans="1:25">
      <c r="B86" s="11" t="s">
        <v>498</v>
      </c>
      <c r="C86" s="11"/>
      <c r="D86" s="11"/>
      <c r="E86" s="11"/>
      <c r="F86" s="11"/>
      <c r="G86" s="287">
        <f>SUM(G82:G85)</f>
        <v>19731</v>
      </c>
      <c r="H86" s="321"/>
      <c r="I86" s="287">
        <f t="shared" ref="I86:P86" si="62">SUM(I82:I85)</f>
        <v>27188</v>
      </c>
      <c r="J86" s="287">
        <f t="shared" si="62"/>
        <v>32180</v>
      </c>
      <c r="K86" s="287">
        <f t="shared" si="62"/>
        <v>33234</v>
      </c>
      <c r="L86" s="287">
        <f t="shared" si="62"/>
        <v>40510</v>
      </c>
      <c r="M86" s="287">
        <f t="shared" si="62"/>
        <v>38613</v>
      </c>
      <c r="N86" s="287">
        <f t="shared" si="62"/>
        <v>41584</v>
      </c>
      <c r="O86" s="287">
        <f t="shared" si="62"/>
        <v>41584</v>
      </c>
      <c r="P86" s="287">
        <f t="shared" si="62"/>
        <v>48281</v>
      </c>
      <c r="Q86" s="322">
        <f>R86</f>
        <v>49584</v>
      </c>
      <c r="R86" s="322">
        <f>O86+8000</f>
        <v>49584</v>
      </c>
      <c r="S86" s="322">
        <f>R86+8000</f>
        <v>57584</v>
      </c>
      <c r="T86" s="322">
        <f>S86+8000</f>
        <v>65584</v>
      </c>
      <c r="U86" s="322">
        <f>T86+8000</f>
        <v>73584</v>
      </c>
      <c r="V86" s="322">
        <f>U86+7000</f>
        <v>80584</v>
      </c>
      <c r="W86" s="322">
        <f>V86+1500</f>
        <v>82084</v>
      </c>
      <c r="X86" s="240"/>
      <c r="Y86" s="240">
        <f>(T86/R86)^0.5-1</f>
        <v>0.15008031763522456</v>
      </c>
    </row>
    <row r="87" spans="1:25">
      <c r="B87" s="7" t="s">
        <v>499</v>
      </c>
      <c r="G87" s="285">
        <v>270</v>
      </c>
      <c r="H87" s="320"/>
      <c r="I87" s="285">
        <v>1795</v>
      </c>
      <c r="J87" s="285">
        <v>3973</v>
      </c>
      <c r="K87" s="285">
        <v>4331</v>
      </c>
      <c r="L87" s="285">
        <v>4792</v>
      </c>
      <c r="M87" s="285">
        <v>4605</v>
      </c>
      <c r="N87" s="285">
        <f>O87</f>
        <v>4895</v>
      </c>
      <c r="O87" s="285">
        <v>4895</v>
      </c>
      <c r="P87" s="285">
        <v>4733</v>
      </c>
      <c r="Q87" s="323">
        <f>P87</f>
        <v>4733</v>
      </c>
      <c r="R87" s="323">
        <f>Q87</f>
        <v>4733</v>
      </c>
      <c r="S87" s="323">
        <f>R87</f>
        <v>4733</v>
      </c>
      <c r="T87" s="323">
        <f>S87+1500</f>
        <v>6233</v>
      </c>
      <c r="U87" s="323">
        <f>T87+2000</f>
        <v>8233</v>
      </c>
      <c r="V87" s="323">
        <f>U87+3000</f>
        <v>11233</v>
      </c>
      <c r="W87" s="323">
        <f>V87+3000</f>
        <v>14233</v>
      </c>
      <c r="X87" s="240"/>
      <c r="Y87" s="240">
        <f>(T87/R87)^0.5-1</f>
        <v>0.14757297241745371</v>
      </c>
    </row>
    <row r="88" spans="1:25">
      <c r="B88" s="11" t="s">
        <v>143</v>
      </c>
      <c r="C88" s="11"/>
      <c r="D88" s="11"/>
      <c r="E88" s="11"/>
      <c r="F88" s="11"/>
      <c r="G88" s="287">
        <f>SUM(G86:G87)</f>
        <v>20001</v>
      </c>
      <c r="H88" s="321"/>
      <c r="I88" s="287">
        <f t="shared" ref="I88:U88" si="63">SUM(I86:I87)</f>
        <v>28983</v>
      </c>
      <c r="J88" s="287">
        <f t="shared" si="63"/>
        <v>36153</v>
      </c>
      <c r="K88" s="287">
        <f t="shared" ref="K88:Q88" si="64">SUM(K86:K87)</f>
        <v>37565</v>
      </c>
      <c r="L88" s="287">
        <f t="shared" si="64"/>
        <v>45302</v>
      </c>
      <c r="M88" s="287">
        <f t="shared" si="64"/>
        <v>43218</v>
      </c>
      <c r="N88" s="287">
        <f t="shared" si="64"/>
        <v>46479</v>
      </c>
      <c r="O88" s="287">
        <f t="shared" si="64"/>
        <v>46479</v>
      </c>
      <c r="P88" s="287">
        <f t="shared" si="64"/>
        <v>53014</v>
      </c>
      <c r="Q88" s="287">
        <f t="shared" si="64"/>
        <v>54317</v>
      </c>
      <c r="R88" s="287">
        <f>SUM(R86:R87)</f>
        <v>54317</v>
      </c>
      <c r="S88" s="287">
        <f t="shared" si="63"/>
        <v>62317</v>
      </c>
      <c r="T88" s="287">
        <f t="shared" si="63"/>
        <v>71817</v>
      </c>
      <c r="U88" s="287">
        <f t="shared" si="63"/>
        <v>81817</v>
      </c>
      <c r="V88" s="287">
        <f>SUM(V86:V87)</f>
        <v>91817</v>
      </c>
      <c r="W88" s="287">
        <f>SUM(W86:W87)</f>
        <v>96317</v>
      </c>
    </row>
    <row r="89" spans="1:25" s="26" customFormat="1">
      <c r="B89" s="268" t="s">
        <v>506</v>
      </c>
      <c r="C89" s="268"/>
      <c r="D89" s="268"/>
      <c r="E89" s="268"/>
      <c r="F89" s="268"/>
      <c r="G89" s="294">
        <f>G88-G78</f>
        <v>47</v>
      </c>
      <c r="H89" s="324"/>
      <c r="I89" s="294">
        <f t="shared" ref="I89:O89" si="65">I88-I78</f>
        <v>54</v>
      </c>
      <c r="J89" s="294">
        <f t="shared" si="65"/>
        <v>60</v>
      </c>
      <c r="K89" s="294">
        <f t="shared" si="65"/>
        <v>49</v>
      </c>
      <c r="L89" s="294">
        <f t="shared" si="65"/>
        <v>20</v>
      </c>
      <c r="M89" s="294">
        <f t="shared" si="65"/>
        <v>21</v>
      </c>
      <c r="N89" s="294">
        <f t="shared" si="65"/>
        <v>17</v>
      </c>
      <c r="O89" s="294">
        <f t="shared" si="65"/>
        <v>17</v>
      </c>
      <c r="P89" s="294">
        <f>O89</f>
        <v>17</v>
      </c>
      <c r="Q89" s="294">
        <f>P89</f>
        <v>17</v>
      </c>
      <c r="R89" s="294">
        <f>O89</f>
        <v>17</v>
      </c>
      <c r="S89" s="294">
        <f>R89</f>
        <v>17</v>
      </c>
      <c r="T89" s="294">
        <f>S89</f>
        <v>17</v>
      </c>
      <c r="U89" s="294">
        <f>T89</f>
        <v>17</v>
      </c>
      <c r="V89" s="294">
        <f>U89</f>
        <v>17</v>
      </c>
      <c r="W89" s="294">
        <f>V89</f>
        <v>17</v>
      </c>
    </row>
    <row r="90" spans="1:25">
      <c r="G90" s="296"/>
      <c r="I90" s="296"/>
      <c r="K90" s="296"/>
      <c r="O90" s="296"/>
      <c r="P90" s="319"/>
      <c r="Q90" s="319"/>
      <c r="R90" s="319"/>
      <c r="S90" s="319"/>
    </row>
    <row r="91" spans="1:25">
      <c r="B91" s="7" t="s">
        <v>140</v>
      </c>
      <c r="G91" s="285">
        <f t="shared" ref="G91:U91" si="66">G74+(G75+G76+G77)*0.5</f>
        <v>16231.5</v>
      </c>
      <c r="H91" s="285">
        <f t="shared" si="66"/>
        <v>23314</v>
      </c>
      <c r="I91" s="285">
        <f t="shared" si="66"/>
        <v>24441.5</v>
      </c>
      <c r="J91" s="285">
        <f t="shared" si="66"/>
        <v>32511</v>
      </c>
      <c r="K91" s="285">
        <f t="shared" si="66"/>
        <v>33222.5</v>
      </c>
      <c r="L91" s="285">
        <f>L74+(L75+L76+L77)*0.5</f>
        <v>41399</v>
      </c>
      <c r="M91" s="285">
        <f t="shared" si="66"/>
        <v>40356.5</v>
      </c>
      <c r="N91" s="285">
        <f>AVERAGE(M88:N88)</f>
        <v>44848.5</v>
      </c>
      <c r="O91" s="285">
        <f t="shared" si="66"/>
        <v>41989</v>
      </c>
      <c r="P91" s="285">
        <f t="shared" si="66"/>
        <v>49729</v>
      </c>
      <c r="Q91" s="285">
        <f t="shared" si="66"/>
        <v>53648</v>
      </c>
      <c r="R91" s="285">
        <f t="shared" si="66"/>
        <v>50381</v>
      </c>
      <c r="S91" s="285">
        <f t="shared" si="66"/>
        <v>58300</v>
      </c>
      <c r="T91" s="285">
        <f t="shared" si="66"/>
        <v>67050</v>
      </c>
      <c r="U91" s="285">
        <f t="shared" si="66"/>
        <v>76800</v>
      </c>
      <c r="V91" s="285">
        <f>V74+(V75+V76+V77)*0.5</f>
        <v>86800</v>
      </c>
      <c r="W91" s="285">
        <f>W74+(W75+W76+W77)*0.5</f>
        <v>94050</v>
      </c>
    </row>
    <row r="92" spans="1:25">
      <c r="C92" s="7" t="s">
        <v>443</v>
      </c>
      <c r="G92" s="285">
        <f>G91-G93</f>
        <v>16131.5</v>
      </c>
      <c r="I92" s="285">
        <f>AVERAGE(I86,G86)</f>
        <v>23459.5</v>
      </c>
      <c r="J92" s="285">
        <f>AVERAGE(I86,J86)</f>
        <v>29684</v>
      </c>
      <c r="K92" s="285">
        <f>AVERAGE(K86,I86)</f>
        <v>30211</v>
      </c>
      <c r="L92" s="285">
        <f>AVERAGE(K86,L86)</f>
        <v>36872</v>
      </c>
      <c r="M92" s="323">
        <f>K86+(M86-K86)*1/4</f>
        <v>34578.75</v>
      </c>
      <c r="N92" s="323">
        <f>AVERAGE(M86:N86)</f>
        <v>40098.5</v>
      </c>
      <c r="O92" s="323">
        <f>AVERAGE(O86,K86)</f>
        <v>37409</v>
      </c>
      <c r="P92" s="323">
        <f>O86+(P86-O86)/4</f>
        <v>43258.25</v>
      </c>
      <c r="Q92" s="323">
        <f>P86+(Q86-P86)/4</f>
        <v>48606.75</v>
      </c>
      <c r="R92" s="323">
        <f>AVERAGE(R86,O86)</f>
        <v>45584</v>
      </c>
      <c r="S92" s="323">
        <f t="shared" ref="S92:W93" si="67">AVERAGE(S86,R86)</f>
        <v>53584</v>
      </c>
      <c r="T92" s="323">
        <f t="shared" si="67"/>
        <v>61584</v>
      </c>
      <c r="U92" s="323">
        <f t="shared" si="67"/>
        <v>69584</v>
      </c>
      <c r="V92" s="323">
        <f t="shared" si="67"/>
        <v>77084</v>
      </c>
      <c r="W92" s="323">
        <f t="shared" si="67"/>
        <v>81334</v>
      </c>
    </row>
    <row r="93" spans="1:25">
      <c r="C93" s="7" t="s">
        <v>445</v>
      </c>
      <c r="G93" s="323">
        <v>100</v>
      </c>
      <c r="I93" s="285">
        <f>AVERAGE(I87,G87)</f>
        <v>1032.5</v>
      </c>
      <c r="J93" s="285">
        <f>AVERAGE(I87,J87)</f>
        <v>2884</v>
      </c>
      <c r="K93" s="285">
        <f>AVERAGE(K87,I87)</f>
        <v>3063</v>
      </c>
      <c r="L93" s="285">
        <f>AVERAGE(K87,L87)</f>
        <v>4561.5</v>
      </c>
      <c r="M93" s="323">
        <f>K87+(M87-K87)/4</f>
        <v>4399.5</v>
      </c>
      <c r="N93" s="323">
        <f>AVERAGE(M87:N87)</f>
        <v>4750</v>
      </c>
      <c r="O93" s="323">
        <f>AVERAGE(O87,K87)</f>
        <v>4613</v>
      </c>
      <c r="P93" s="323">
        <f>O87+(P87-O87)/4</f>
        <v>4854.5</v>
      </c>
      <c r="Q93" s="323">
        <f>AVERAGE(P87:Q87)</f>
        <v>4733</v>
      </c>
      <c r="R93" s="323">
        <f>AVERAGE(R87,O87)</f>
        <v>4814</v>
      </c>
      <c r="S93" s="323">
        <f t="shared" si="67"/>
        <v>4733</v>
      </c>
      <c r="T93" s="323">
        <f t="shared" si="67"/>
        <v>5483</v>
      </c>
      <c r="U93" s="323">
        <f t="shared" si="67"/>
        <v>7233</v>
      </c>
      <c r="V93" s="323">
        <f t="shared" si="67"/>
        <v>9733</v>
      </c>
      <c r="W93" s="323">
        <f t="shared" si="67"/>
        <v>12733</v>
      </c>
    </row>
    <row r="94" spans="1:25">
      <c r="O94" s="285">
        <f>O86-K86</f>
        <v>8350</v>
      </c>
      <c r="R94" s="285">
        <f>R86-O86</f>
        <v>8000</v>
      </c>
      <c r="S94" s="285">
        <f>S86-R86</f>
        <v>8000</v>
      </c>
    </row>
    <row r="95" spans="1:25">
      <c r="A95" s="3" t="s">
        <v>147</v>
      </c>
      <c r="O95" s="285">
        <f>O87-K87</f>
        <v>564</v>
      </c>
      <c r="R95" s="285">
        <f>R87-O87</f>
        <v>-162</v>
      </c>
      <c r="S95" s="285">
        <f>S87-R87</f>
        <v>0</v>
      </c>
    </row>
    <row r="96" spans="1:25">
      <c r="B96" s="7" t="s">
        <v>72</v>
      </c>
      <c r="I96" s="286">
        <f t="shared" ref="I96:K102" si="68">I82/G82-1</f>
        <v>0.52173913043478271</v>
      </c>
      <c r="J96" s="286">
        <f t="shared" ref="J96:L102" si="69">J82/I82-1</f>
        <v>0.21344537815126041</v>
      </c>
      <c r="K96" s="286">
        <f t="shared" si="68"/>
        <v>0.27142857142857135</v>
      </c>
      <c r="L96" s="286">
        <f>L82/J82-1</f>
        <v>0.34487534626038774</v>
      </c>
      <c r="M96" s="327"/>
      <c r="N96" s="327"/>
      <c r="O96" s="286">
        <f t="shared" ref="O96:O102" si="70">O82/K82-1</f>
        <v>0.31064111037673503</v>
      </c>
      <c r="P96" s="286">
        <f>P82/M82-1</f>
        <v>0.30022075055187636</v>
      </c>
      <c r="Q96" s="325"/>
      <c r="R96" s="325"/>
      <c r="S96" s="325"/>
      <c r="T96" s="325"/>
      <c r="U96" s="325"/>
      <c r="V96" s="325"/>
      <c r="W96" s="325"/>
    </row>
    <row r="97" spans="1:23">
      <c r="B97" s="7" t="s">
        <v>73</v>
      </c>
      <c r="I97" s="286">
        <f t="shared" si="68"/>
        <v>0.36864813039309685</v>
      </c>
      <c r="J97" s="286">
        <f t="shared" si="69"/>
        <v>0.17775831873905434</v>
      </c>
      <c r="K97" s="286">
        <f t="shared" si="68"/>
        <v>0.20595446584938704</v>
      </c>
      <c r="L97" s="286">
        <f>L83/J83-1</f>
        <v>0.18364312267658001</v>
      </c>
      <c r="M97" s="327"/>
      <c r="N97" s="327"/>
      <c r="O97" s="286">
        <f t="shared" si="70"/>
        <v>0.18254429276793505</v>
      </c>
      <c r="P97" s="286">
        <f t="shared" ref="P97:P99" si="71">P83/M83-1</f>
        <v>0.15734584799895712</v>
      </c>
      <c r="Q97" s="325"/>
      <c r="R97" s="325"/>
      <c r="S97" s="325"/>
      <c r="T97" s="325"/>
      <c r="U97" s="325"/>
      <c r="V97" s="325"/>
      <c r="W97" s="325"/>
    </row>
    <row r="98" spans="1:23">
      <c r="B98" s="7" t="s">
        <v>74</v>
      </c>
      <c r="I98" s="286">
        <f t="shared" si="68"/>
        <v>0.48697834954502661</v>
      </c>
      <c r="J98" s="286">
        <f t="shared" si="69"/>
        <v>0.20573960751213338</v>
      </c>
      <c r="K98" s="286">
        <f t="shared" si="68"/>
        <v>0.25659421818949135</v>
      </c>
      <c r="L98" s="286">
        <f>L84/J84-1</f>
        <v>0.3031151557577878</v>
      </c>
      <c r="M98" s="327"/>
      <c r="N98" s="327"/>
      <c r="O98" s="286">
        <f t="shared" si="70"/>
        <v>0.27623845507976497</v>
      </c>
      <c r="P98" s="286">
        <f t="shared" si="71"/>
        <v>0.3142329020332717</v>
      </c>
      <c r="Q98" s="325"/>
      <c r="R98" s="325"/>
      <c r="S98" s="325"/>
      <c r="T98" s="325"/>
      <c r="U98" s="325"/>
      <c r="V98" s="325"/>
      <c r="W98" s="325"/>
    </row>
    <row r="99" spans="1:23">
      <c r="B99" s="7" t="s">
        <v>124</v>
      </c>
      <c r="I99" s="286">
        <f t="shared" si="68"/>
        <v>0.34158757549611729</v>
      </c>
      <c r="J99" s="286">
        <f t="shared" si="69"/>
        <v>0.17673162261238673</v>
      </c>
      <c r="K99" s="286">
        <f t="shared" si="68"/>
        <v>0.2142259952408514</v>
      </c>
      <c r="L99" s="286">
        <f>L85/J85-1</f>
        <v>0.26589058315570857</v>
      </c>
      <c r="M99" s="327"/>
      <c r="N99" s="327"/>
      <c r="O99" s="286">
        <f t="shared" si="70"/>
        <v>0.26366525423728815</v>
      </c>
      <c r="P99" s="286">
        <f t="shared" si="71"/>
        <v>0.25827035344164373</v>
      </c>
      <c r="Q99" s="325"/>
      <c r="R99" s="325"/>
      <c r="S99" s="325"/>
      <c r="T99" s="325"/>
      <c r="U99" s="325"/>
      <c r="V99" s="325"/>
      <c r="W99" s="325"/>
    </row>
    <row r="100" spans="1:23">
      <c r="B100" s="11" t="s">
        <v>122</v>
      </c>
      <c r="C100" s="11"/>
      <c r="D100" s="11"/>
      <c r="E100" s="11"/>
      <c r="F100" s="11"/>
      <c r="G100" s="287"/>
      <c r="H100" s="287"/>
      <c r="I100" s="295">
        <f t="shared" si="68"/>
        <v>0.3779332015609953</v>
      </c>
      <c r="J100" s="295">
        <f t="shared" si="69"/>
        <v>0.18361041636015885</v>
      </c>
      <c r="K100" s="295">
        <f t="shared" si="68"/>
        <v>0.22237751949389439</v>
      </c>
      <c r="L100" s="295">
        <f t="shared" si="69"/>
        <v>0.21893241860745016</v>
      </c>
      <c r="M100" s="358"/>
      <c r="N100" s="358"/>
      <c r="O100" s="295">
        <f t="shared" si="70"/>
        <v>0.25124872118914365</v>
      </c>
      <c r="P100" s="295">
        <f>P86/M86-1</f>
        <v>0.25038199570092967</v>
      </c>
      <c r="Q100" s="295"/>
      <c r="R100" s="295">
        <f>R86/O86-1</f>
        <v>0.19238168526356292</v>
      </c>
      <c r="S100" s="295">
        <f t="shared" ref="S100:W101" si="72">S86/R86-1</f>
        <v>0.16134236850596961</v>
      </c>
      <c r="T100" s="295">
        <f t="shared" si="72"/>
        <v>0.13892747985551535</v>
      </c>
      <c r="U100" s="295">
        <f t="shared" si="72"/>
        <v>0.12198097096852889</v>
      </c>
      <c r="V100" s="295">
        <f t="shared" si="72"/>
        <v>9.5129375951293671E-2</v>
      </c>
      <c r="W100" s="295">
        <f t="shared" si="72"/>
        <v>1.8614116946292114E-2</v>
      </c>
    </row>
    <row r="101" spans="1:23">
      <c r="B101" s="7" t="s">
        <v>121</v>
      </c>
      <c r="I101" s="286">
        <f t="shared" si="68"/>
        <v>5.6481481481481479</v>
      </c>
      <c r="J101" s="286">
        <f t="shared" si="69"/>
        <v>1.2133704735376045</v>
      </c>
      <c r="K101" s="286">
        <f t="shared" si="68"/>
        <v>1.4128133704735375</v>
      </c>
      <c r="L101" s="286">
        <f t="shared" si="69"/>
        <v>0.10644193027014537</v>
      </c>
      <c r="M101" s="327"/>
      <c r="N101" s="327"/>
      <c r="O101" s="286">
        <f t="shared" si="70"/>
        <v>0.13022396675132764</v>
      </c>
      <c r="P101" s="286">
        <f>P87/M87-1</f>
        <v>2.7795874049945768E-2</v>
      </c>
      <c r="Q101" s="286"/>
      <c r="R101" s="286">
        <f>R87/O87-1</f>
        <v>-3.3094994892747698E-2</v>
      </c>
      <c r="S101" s="286">
        <f t="shared" si="72"/>
        <v>0</v>
      </c>
      <c r="T101" s="286">
        <f t="shared" si="72"/>
        <v>0.31692372702302984</v>
      </c>
      <c r="U101" s="286">
        <f t="shared" si="72"/>
        <v>0.3208727739451307</v>
      </c>
      <c r="V101" s="286">
        <f t="shared" si="72"/>
        <v>0.36438722215474306</v>
      </c>
      <c r="W101" s="286">
        <f t="shared" si="72"/>
        <v>0.26707023947298136</v>
      </c>
    </row>
    <row r="102" spans="1:23">
      <c r="B102" s="11" t="s">
        <v>148</v>
      </c>
      <c r="C102" s="11"/>
      <c r="D102" s="11"/>
      <c r="E102" s="11"/>
      <c r="F102" s="11"/>
      <c r="G102" s="287"/>
      <c r="H102" s="287"/>
      <c r="I102" s="295">
        <f t="shared" si="68"/>
        <v>0.4490775461226939</v>
      </c>
      <c r="J102" s="295">
        <f t="shared" si="69"/>
        <v>0.24738639892350678</v>
      </c>
      <c r="K102" s="295">
        <f t="shared" si="68"/>
        <v>0.2961046130490288</v>
      </c>
      <c r="L102" s="295">
        <f t="shared" si="69"/>
        <v>0.20596299747105018</v>
      </c>
      <c r="M102" s="358"/>
      <c r="N102" s="358"/>
      <c r="O102" s="295">
        <f t="shared" si="70"/>
        <v>0.23729535471848795</v>
      </c>
      <c r="P102" s="295">
        <f>P78/43218-1</f>
        <v>0.22624832245823501</v>
      </c>
      <c r="Q102" s="295"/>
      <c r="R102" s="295">
        <f>R88/O88-1</f>
        <v>0.16863529766130947</v>
      </c>
      <c r="S102" s="295">
        <f>S88/R88-1</f>
        <v>0.1472835392234475</v>
      </c>
      <c r="T102" s="295">
        <f>T88/S88-1</f>
        <v>0.15244636295071978</v>
      </c>
      <c r="U102" s="295">
        <f>U88/T88-1</f>
        <v>0.13924279766629066</v>
      </c>
      <c r="V102" s="295">
        <f>V88/U88-1</f>
        <v>0.12222398767982212</v>
      </c>
      <c r="W102" s="295">
        <f>W88/V88-1</f>
        <v>4.9010531818726388E-2</v>
      </c>
    </row>
    <row r="105" spans="1:23" ht="12.75">
      <c r="A105" s="8" t="s">
        <v>428</v>
      </c>
    </row>
    <row r="106" spans="1:23">
      <c r="I106" s="286"/>
      <c r="K106" s="286"/>
      <c r="L106" s="296"/>
      <c r="M106" s="296"/>
      <c r="N106" s="296"/>
    </row>
    <row r="107" spans="1:23">
      <c r="B107" s="7" t="s">
        <v>468</v>
      </c>
      <c r="G107" s="285">
        <f>G27/G91*1000</f>
        <v>1404676.0927825524</v>
      </c>
      <c r="I107" s="285">
        <f t="shared" ref="I107:V107" si="73">I27/I91*1000</f>
        <v>1256060.3890923227</v>
      </c>
      <c r="K107" s="285">
        <f t="shared" si="73"/>
        <v>1440048.1601324405</v>
      </c>
      <c r="M107" s="285">
        <f t="shared" si="73"/>
        <v>614162.27950022917</v>
      </c>
      <c r="N107" s="285">
        <f t="shared" si="73"/>
        <v>753991.38209750608</v>
      </c>
      <c r="O107" s="285">
        <f t="shared" si="73"/>
        <v>1394639.2340970153</v>
      </c>
      <c r="P107" s="285">
        <f t="shared" si="73"/>
        <v>695931.14681574132</v>
      </c>
      <c r="Q107" s="285">
        <f t="shared" si="73"/>
        <v>775781.5485516258</v>
      </c>
      <c r="R107" s="285">
        <f t="shared" si="73"/>
        <v>1513012.6142136443</v>
      </c>
      <c r="S107" s="285">
        <f>S27/S91*1000</f>
        <v>1452762.1817363626</v>
      </c>
      <c r="T107" s="285">
        <f t="shared" si="73"/>
        <v>1467811.2472841535</v>
      </c>
      <c r="U107" s="285">
        <f t="shared" si="73"/>
        <v>1473081.1661531648</v>
      </c>
      <c r="V107" s="285">
        <f t="shared" si="73"/>
        <v>1474038.5533137245</v>
      </c>
      <c r="W107" s="285">
        <f t="shared" ref="W107" si="74">W27/W91*1000</f>
        <v>1471016.7900274901</v>
      </c>
    </row>
    <row r="108" spans="1:23">
      <c r="C108" s="7" t="s">
        <v>466</v>
      </c>
      <c r="I108" s="286">
        <f>I107/G107-1</f>
        <v>-0.10580069273894577</v>
      </c>
      <c r="K108" s="286">
        <f>K107/I107-1</f>
        <v>0.14648003602205351</v>
      </c>
      <c r="L108" s="286"/>
      <c r="M108" s="320"/>
      <c r="N108" s="320"/>
      <c r="O108" s="286">
        <f>O107/K107-1</f>
        <v>-3.1532921809537928E-2</v>
      </c>
      <c r="P108" s="286">
        <f>P107/M107-1</f>
        <v>0.13313886255282736</v>
      </c>
      <c r="Q108" s="286">
        <f>Q107/N107-1</f>
        <v>2.8899755317497444E-2</v>
      </c>
      <c r="R108" s="286">
        <f>R107/O107-1</f>
        <v>8.4877420068618648E-2</v>
      </c>
      <c r="S108" s="286">
        <f>S107/R107-1</f>
        <v>-3.9821500436462376E-2</v>
      </c>
      <c r="T108" s="286">
        <f>T107/S107-1</f>
        <v>1.0358932616076233E-2</v>
      </c>
      <c r="U108" s="286">
        <f>U107/T107-1</f>
        <v>3.5903246270676537E-3</v>
      </c>
      <c r="V108" s="286">
        <f>V107/U107-1</f>
        <v>6.4992152676812687E-4</v>
      </c>
      <c r="W108" s="286">
        <f>W107/V107-1</f>
        <v>-2.0499893163861138E-3</v>
      </c>
    </row>
    <row r="109" spans="1:23">
      <c r="B109" s="7" t="s">
        <v>465</v>
      </c>
      <c r="G109" s="285">
        <f t="shared" ref="G109:P109" si="75">G22/G92*1000</f>
        <v>1406547.0401994188</v>
      </c>
      <c r="I109" s="285">
        <f t="shared" si="75"/>
        <v>1256522.480466129</v>
      </c>
      <c r="K109" s="285">
        <f t="shared" si="75"/>
        <v>1479593.5255370559</v>
      </c>
      <c r="M109" s="285">
        <f t="shared" si="75"/>
        <v>669708.08243240335</v>
      </c>
      <c r="N109" s="285">
        <f t="shared" si="75"/>
        <v>807196.50440687628</v>
      </c>
      <c r="O109" s="285">
        <f>O22/O92*1000</f>
        <v>1483165.0580132366</v>
      </c>
      <c r="P109" s="285">
        <f>P22/P92*1000</f>
        <v>758510.63792998285</v>
      </c>
      <c r="Q109" s="285">
        <f>Q22/Q92*1000</f>
        <v>827157.56312855193</v>
      </c>
      <c r="R109" s="285">
        <f>O109*(1+R110)</f>
        <v>1601818.2626542957</v>
      </c>
      <c r="S109" s="285">
        <f>R109*(1+S110)</f>
        <v>1521727.3495215809</v>
      </c>
      <c r="T109" s="285">
        <f>S109*(1+T110)</f>
        <v>1536944.6230167968</v>
      </c>
      <c r="U109" s="285">
        <f>T109*(1+U110)</f>
        <v>1552314.0692469648</v>
      </c>
      <c r="V109" s="285">
        <f>U109*(1+V110)</f>
        <v>1567837.2099394344</v>
      </c>
      <c r="W109" s="285">
        <f>V109*(1+W110)</f>
        <v>1583515.5820388289</v>
      </c>
    </row>
    <row r="110" spans="1:23">
      <c r="C110" s="7" t="s">
        <v>466</v>
      </c>
      <c r="I110" s="286">
        <f>I109/G109-1</f>
        <v>-0.1066616013866265</v>
      </c>
      <c r="J110" s="286"/>
      <c r="K110" s="286">
        <f>K109/I109-1</f>
        <v>0.17753048476154176</v>
      </c>
      <c r="L110" s="286"/>
      <c r="M110" s="320"/>
      <c r="N110" s="320"/>
      <c r="O110" s="286">
        <f>O109/K109-1</f>
        <v>2.4138605735546381E-3</v>
      </c>
      <c r="P110" s="286">
        <f>P109/M109-1</f>
        <v>0.13259890066586255</v>
      </c>
      <c r="Q110" s="286">
        <f>Q109/N109-1</f>
        <v>2.4728871610194769E-2</v>
      </c>
      <c r="R110" s="286">
        <f t="shared" ref="R110:W110" si="76">(1+R111)*(1+R112)-1</f>
        <v>8.0000000000000071E-2</v>
      </c>
      <c r="S110" s="286">
        <f t="shared" si="76"/>
        <v>-5.0000000000000044E-2</v>
      </c>
      <c r="T110" s="286">
        <f t="shared" si="76"/>
        <v>1.0000000000000009E-2</v>
      </c>
      <c r="U110" s="286">
        <f t="shared" si="76"/>
        <v>1.0000000000000009E-2</v>
      </c>
      <c r="V110" s="286">
        <f t="shared" si="76"/>
        <v>1.0000000000000009E-2</v>
      </c>
      <c r="W110" s="286">
        <f t="shared" si="76"/>
        <v>1.0000000000000009E-2</v>
      </c>
    </row>
    <row r="111" spans="1:23">
      <c r="D111" s="7" t="s">
        <v>490</v>
      </c>
      <c r="I111" s="326">
        <v>-0.13</v>
      </c>
      <c r="J111" s="286"/>
      <c r="K111" s="326">
        <v>0.16</v>
      </c>
      <c r="L111" s="286"/>
      <c r="M111" s="320"/>
      <c r="N111" s="320"/>
      <c r="O111" s="316">
        <f>O110-O112</f>
        <v>2.4138605735546381E-3</v>
      </c>
      <c r="P111" s="316">
        <f>P110-P112</f>
        <v>0.13259890066586255</v>
      </c>
      <c r="Q111" s="316">
        <f>Q110-Q112</f>
        <v>2.4728871610194769E-2</v>
      </c>
      <c r="R111" s="316">
        <v>0.08</v>
      </c>
      <c r="S111" s="316">
        <v>-0.05</v>
      </c>
      <c r="T111" s="316">
        <v>0.01</v>
      </c>
      <c r="U111" s="316">
        <f t="shared" ref="U111:W112" si="77">T111</f>
        <v>0.01</v>
      </c>
      <c r="V111" s="316">
        <f t="shared" si="77"/>
        <v>0.01</v>
      </c>
      <c r="W111" s="316">
        <f t="shared" si="77"/>
        <v>0.01</v>
      </c>
    </row>
    <row r="112" spans="1:23">
      <c r="D112" s="7" t="s">
        <v>478</v>
      </c>
      <c r="G112" s="296"/>
      <c r="I112" s="286">
        <f>(1+I110)/(1+I111)-1</f>
        <v>2.6825745532613299E-2</v>
      </c>
      <c r="J112" s="286"/>
      <c r="K112" s="286">
        <f>(1+K110)/(1+K111)-1</f>
        <v>1.5112486863398056E-2</v>
      </c>
      <c r="L112" s="286"/>
      <c r="M112" s="320"/>
      <c r="N112" s="320"/>
      <c r="O112" s="359">
        <v>0</v>
      </c>
      <c r="P112" s="359">
        <v>0</v>
      </c>
      <c r="Q112" s="359">
        <v>0</v>
      </c>
      <c r="R112" s="359">
        <v>0</v>
      </c>
      <c r="S112" s="316">
        <v>0</v>
      </c>
      <c r="T112" s="316">
        <f>S112</f>
        <v>0</v>
      </c>
      <c r="U112" s="316">
        <f t="shared" si="77"/>
        <v>0</v>
      </c>
      <c r="V112" s="316">
        <f t="shared" si="77"/>
        <v>0</v>
      </c>
      <c r="W112" s="316">
        <f t="shared" si="77"/>
        <v>0</v>
      </c>
    </row>
    <row r="113" spans="2:23">
      <c r="B113" s="7" t="s">
        <v>467</v>
      </c>
      <c r="G113" s="285">
        <f>G24/G93*1000</f>
        <v>1102864.2102307826</v>
      </c>
      <c r="I113" s="285">
        <f>I24/I93*1000</f>
        <v>1184126.7501257593</v>
      </c>
      <c r="K113" s="285">
        <f>K24/K93*1000</f>
        <v>1025791.7074763305</v>
      </c>
      <c r="M113" s="285">
        <f>M24/M93*1000</f>
        <v>369990.15279953025</v>
      </c>
      <c r="N113" s="285">
        <f>N24/N93*1000</f>
        <v>304844.94064018322</v>
      </c>
      <c r="O113" s="285">
        <f>K113*(1+O114)</f>
        <v>666764.60985961487</v>
      </c>
      <c r="P113" s="285">
        <f>M113*(1+P114)</f>
        <v>369990.15279953025</v>
      </c>
      <c r="Q113" s="285">
        <f>Q24/Q93*1000</f>
        <v>298687.43610793701</v>
      </c>
      <c r="R113" s="285">
        <f>O113*(1+R114)</f>
        <v>666764.60985961487</v>
      </c>
      <c r="S113" s="285">
        <f>R113*(1+S114)</f>
        <v>666764.60985961487</v>
      </c>
      <c r="T113" s="285">
        <f>S113*(1+T114)</f>
        <v>686767.54815540335</v>
      </c>
      <c r="U113" s="285">
        <f>T113*(1+U114)</f>
        <v>707370.57460006548</v>
      </c>
      <c r="V113" s="285">
        <f>U113*(1+V114)</f>
        <v>728591.69183806749</v>
      </c>
      <c r="W113" s="285">
        <f>V113*(1+W114)</f>
        <v>750449.44259320956</v>
      </c>
    </row>
    <row r="114" spans="2:23">
      <c r="C114" s="7" t="s">
        <v>466</v>
      </c>
      <c r="I114" s="286">
        <f>I113/G113-1</f>
        <v>7.3683177984324777E-2</v>
      </c>
      <c r="J114" s="286"/>
      <c r="K114" s="286">
        <f>K113/I113-1</f>
        <v>-0.13371460667754775</v>
      </c>
      <c r="L114" s="286"/>
      <c r="M114" s="320"/>
      <c r="N114" s="320"/>
      <c r="O114" s="286">
        <f>(1+O115)*(1+O116)-1</f>
        <v>-0.35</v>
      </c>
      <c r="P114" s="286">
        <f>(1+P115)*(1+P116)-1</f>
        <v>0</v>
      </c>
      <c r="Q114" s="286">
        <f>Q113/N113-1</f>
        <v>-2.0198808349304653E-2</v>
      </c>
      <c r="R114" s="286">
        <f t="shared" ref="R114:W114" si="78">(1+R115)*(1+R116)-1</f>
        <v>0</v>
      </c>
      <c r="S114" s="286">
        <f t="shared" si="78"/>
        <v>0</v>
      </c>
      <c r="T114" s="286">
        <f t="shared" si="78"/>
        <v>3.0000000000000027E-2</v>
      </c>
      <c r="U114" s="286">
        <f t="shared" si="78"/>
        <v>3.0000000000000027E-2</v>
      </c>
      <c r="V114" s="286">
        <f t="shared" si="78"/>
        <v>3.0000000000000027E-2</v>
      </c>
      <c r="W114" s="286">
        <f t="shared" si="78"/>
        <v>3.0000000000000027E-2</v>
      </c>
    </row>
    <row r="115" spans="2:23">
      <c r="D115" s="7" t="s">
        <v>490</v>
      </c>
      <c r="I115" s="286"/>
      <c r="J115" s="286"/>
      <c r="K115" s="326">
        <v>0.1</v>
      </c>
      <c r="L115" s="286"/>
      <c r="M115" s="320"/>
      <c r="N115" s="320"/>
      <c r="O115" s="316">
        <v>-0.35</v>
      </c>
      <c r="P115" s="316">
        <v>0</v>
      </c>
      <c r="Q115" s="361">
        <f>Q114-Q116</f>
        <v>-2.0198808349304653E-2</v>
      </c>
      <c r="R115" s="316">
        <v>0</v>
      </c>
      <c r="S115" s="316">
        <v>0</v>
      </c>
      <c r="T115" s="316">
        <v>0.03</v>
      </c>
      <c r="U115" s="316">
        <v>0.03</v>
      </c>
      <c r="V115" s="316">
        <v>0.03</v>
      </c>
      <c r="W115" s="316">
        <v>0.03</v>
      </c>
    </row>
    <row r="116" spans="2:23">
      <c r="D116" s="7" t="s">
        <v>478</v>
      </c>
      <c r="I116" s="286"/>
      <c r="J116" s="286"/>
      <c r="K116" s="286">
        <f>(1+K114)/(1+K115)-1</f>
        <v>-0.21246782425231625</v>
      </c>
      <c r="L116" s="286"/>
      <c r="M116" s="320"/>
      <c r="N116" s="320"/>
      <c r="O116" s="359">
        <v>0</v>
      </c>
      <c r="P116" s="359">
        <v>0</v>
      </c>
      <c r="Q116" s="359">
        <v>0</v>
      </c>
      <c r="R116" s="359">
        <v>0</v>
      </c>
      <c r="S116" s="316">
        <f>R116</f>
        <v>0</v>
      </c>
      <c r="T116" s="316">
        <f>S116</f>
        <v>0</v>
      </c>
      <c r="U116" s="316">
        <f>T116</f>
        <v>0</v>
      </c>
      <c r="V116" s="316">
        <f>U116</f>
        <v>0</v>
      </c>
      <c r="W116" s="316">
        <f>V116</f>
        <v>0</v>
      </c>
    </row>
    <row r="117" spans="2:23">
      <c r="B117" s="7" t="s">
        <v>430</v>
      </c>
      <c r="O117" s="296"/>
      <c r="P117" s="296"/>
      <c r="Q117" s="296"/>
    </row>
    <row r="118" spans="2:23">
      <c r="C118" s="7" t="s">
        <v>431</v>
      </c>
      <c r="K118" s="285">
        <f>-K$109*K119</f>
        <v>-665817.08649167523</v>
      </c>
      <c r="M118" s="285">
        <f>M$109*M119*-1</f>
        <v>-301368.6370945815</v>
      </c>
      <c r="N118" s="285">
        <f>O118-M118</f>
        <v>-366055.63901137502</v>
      </c>
      <c r="O118" s="285">
        <f>O$109*O119*-1</f>
        <v>-667424.27610595652</v>
      </c>
      <c r="P118" s="285">
        <f>P$109*P119*-1</f>
        <v>-341329.78706849227</v>
      </c>
      <c r="Q118" s="285">
        <f>R118-P118</f>
        <v>-379488.43112594076</v>
      </c>
      <c r="R118" s="285">
        <f t="shared" ref="R118:W118" si="79">R$109*R119*-1</f>
        <v>-720818.21819443302</v>
      </c>
      <c r="S118" s="285">
        <f t="shared" si="79"/>
        <v>-684777.30728471139</v>
      </c>
      <c r="T118" s="285">
        <f t="shared" si="79"/>
        <v>-691625.08035755856</v>
      </c>
      <c r="U118" s="285">
        <f t="shared" si="79"/>
        <v>-698541.33116113418</v>
      </c>
      <c r="V118" s="285">
        <f t="shared" si="79"/>
        <v>-705526.74447274546</v>
      </c>
      <c r="W118" s="285">
        <f t="shared" si="79"/>
        <v>-712582.01191747305</v>
      </c>
    </row>
    <row r="119" spans="2:23">
      <c r="D119" s="7" t="s">
        <v>432</v>
      </c>
      <c r="K119" s="316">
        <v>0.45</v>
      </c>
      <c r="M119" s="316">
        <f>K119</f>
        <v>0.45</v>
      </c>
      <c r="N119" s="316">
        <f>N118/N$109*-1</f>
        <v>0.45349011921248439</v>
      </c>
      <c r="O119" s="316">
        <f>K119</f>
        <v>0.45</v>
      </c>
      <c r="P119" s="316">
        <v>0.45</v>
      </c>
      <c r="Q119" s="316">
        <f>Q118/Q$109*-1</f>
        <v>0.45878614672953538</v>
      </c>
      <c r="R119" s="316">
        <f>O119</f>
        <v>0.45</v>
      </c>
      <c r="S119" s="316">
        <f>R119</f>
        <v>0.45</v>
      </c>
      <c r="T119" s="316">
        <f>S119</f>
        <v>0.45</v>
      </c>
      <c r="U119" s="316">
        <f>T119</f>
        <v>0.45</v>
      </c>
      <c r="V119" s="316">
        <f>U119</f>
        <v>0.45</v>
      </c>
      <c r="W119" s="316">
        <f>V119</f>
        <v>0.45</v>
      </c>
    </row>
    <row r="120" spans="2:23">
      <c r="C120" s="7" t="s">
        <v>401</v>
      </c>
      <c r="K120" s="285">
        <f>-K$109*K121</f>
        <v>-227857.40293270661</v>
      </c>
      <c r="M120" s="285">
        <f>M$109*M121*-1</f>
        <v>-103135.04469459012</v>
      </c>
      <c r="N120" s="285">
        <f>O120-M120</f>
        <v>-125272.37423944831</v>
      </c>
      <c r="O120" s="285">
        <f>O$109*O121*-1</f>
        <v>-228407.41893403843</v>
      </c>
      <c r="P120" s="285">
        <f>P$109*P121*-1</f>
        <v>-116810.63824121736</v>
      </c>
      <c r="Q120" s="285">
        <f>R120-P120</f>
        <v>-129869.37420754417</v>
      </c>
      <c r="R120" s="285">
        <f t="shared" ref="R120:W120" si="80">R$109*R121*-1</f>
        <v>-246680.01244876152</v>
      </c>
      <c r="S120" s="285">
        <f t="shared" si="80"/>
        <v>-234346.01182632346</v>
      </c>
      <c r="T120" s="285">
        <f t="shared" si="80"/>
        <v>-236689.47194458669</v>
      </c>
      <c r="U120" s="285">
        <f t="shared" si="80"/>
        <v>-239056.36666403257</v>
      </c>
      <c r="V120" s="285">
        <f t="shared" si="80"/>
        <v>-241446.93033067291</v>
      </c>
      <c r="W120" s="285">
        <f t="shared" si="80"/>
        <v>-243861.39963397963</v>
      </c>
    </row>
    <row r="121" spans="2:23">
      <c r="D121" s="7" t="s">
        <v>432</v>
      </c>
      <c r="K121" s="316">
        <v>0.154</v>
      </c>
      <c r="M121" s="316">
        <f>K121</f>
        <v>0.154</v>
      </c>
      <c r="N121" s="316">
        <f>N120/N$109*-1</f>
        <v>0.15519439635271684</v>
      </c>
      <c r="O121" s="316">
        <f>K121</f>
        <v>0.154</v>
      </c>
      <c r="P121" s="316">
        <v>0.154</v>
      </c>
      <c r="Q121" s="316">
        <f>Q120/Q$109*-1</f>
        <v>0.1570068146585521</v>
      </c>
      <c r="R121" s="316">
        <f>O121</f>
        <v>0.154</v>
      </c>
      <c r="S121" s="316">
        <f>R121</f>
        <v>0.154</v>
      </c>
      <c r="T121" s="316">
        <f>S121</f>
        <v>0.154</v>
      </c>
      <c r="U121" s="316">
        <f>T121</f>
        <v>0.154</v>
      </c>
      <c r="V121" s="316">
        <f>U121</f>
        <v>0.154</v>
      </c>
      <c r="W121" s="316">
        <f>V121</f>
        <v>0.154</v>
      </c>
    </row>
    <row r="122" spans="2:23">
      <c r="C122" s="7" t="s">
        <v>402</v>
      </c>
      <c r="K122" s="285">
        <f>-K$109*K123</f>
        <v>-147959.3525537056</v>
      </c>
      <c r="M122" s="285">
        <f>M$109*M123*-1</f>
        <v>-66970.808243240332</v>
      </c>
      <c r="N122" s="285">
        <f>O122-M122</f>
        <v>-81345.697558083324</v>
      </c>
      <c r="O122" s="285">
        <f>O$109*O123*-1</f>
        <v>-148316.50580132366</v>
      </c>
      <c r="P122" s="285">
        <f>P$109*P123*-1</f>
        <v>-75851.063792998291</v>
      </c>
      <c r="Q122" s="285">
        <f>R122-P122</f>
        <v>-84330.762472431292</v>
      </c>
      <c r="R122" s="285">
        <f t="shared" ref="R122:W122" si="81">R$109*R123*-1</f>
        <v>-160181.82626542958</v>
      </c>
      <c r="S122" s="285">
        <f t="shared" si="81"/>
        <v>-152172.73495215809</v>
      </c>
      <c r="T122" s="285">
        <f t="shared" si="81"/>
        <v>-153694.46230167968</v>
      </c>
      <c r="U122" s="285">
        <f t="shared" si="81"/>
        <v>-155231.40692469649</v>
      </c>
      <c r="V122" s="285">
        <f t="shared" si="81"/>
        <v>-156783.72099394345</v>
      </c>
      <c r="W122" s="285">
        <f t="shared" si="81"/>
        <v>-158351.55820388289</v>
      </c>
    </row>
    <row r="123" spans="2:23">
      <c r="D123" s="7" t="s">
        <v>432</v>
      </c>
      <c r="K123" s="316">
        <v>0.1</v>
      </c>
      <c r="M123" s="316">
        <f>K123</f>
        <v>0.1</v>
      </c>
      <c r="N123" s="316">
        <f>N122/N$109*-1</f>
        <v>0.10077558204721875</v>
      </c>
      <c r="O123" s="316">
        <f>K123</f>
        <v>0.1</v>
      </c>
      <c r="P123" s="316">
        <v>0.1</v>
      </c>
      <c r="Q123" s="316">
        <f>Q122/Q$109*-1</f>
        <v>0.10195247705100788</v>
      </c>
      <c r="R123" s="316">
        <f>O123</f>
        <v>0.1</v>
      </c>
      <c r="S123" s="316">
        <f>R123</f>
        <v>0.1</v>
      </c>
      <c r="T123" s="316">
        <f>S123</f>
        <v>0.1</v>
      </c>
      <c r="U123" s="316">
        <f>T123</f>
        <v>0.1</v>
      </c>
      <c r="V123" s="316">
        <f>U123</f>
        <v>0.1</v>
      </c>
      <c r="W123" s="316">
        <f>V123</f>
        <v>0.1</v>
      </c>
    </row>
    <row r="124" spans="2:23">
      <c r="C124" s="7" t="s">
        <v>403</v>
      </c>
      <c r="K124" s="285">
        <f>-K$109*K125</f>
        <v>-56473.035325841833</v>
      </c>
      <c r="M124" s="285">
        <f>M$109*M125*-1</f>
        <v>-25561.377192076463</v>
      </c>
      <c r="N124" s="285">
        <f>O124-M124</f>
        <v>-31047.97616720738</v>
      </c>
      <c r="O124" s="285">
        <f>O$109*O125*-1</f>
        <v>-56609.353359283843</v>
      </c>
      <c r="P124" s="285">
        <f>P$109*P125*-1</f>
        <v>-28950.787707251257</v>
      </c>
      <c r="Q124" s="285">
        <f>R124-P124</f>
        <v>-32187.313920775297</v>
      </c>
      <c r="R124" s="285">
        <f t="shared" ref="R124:W124" si="82">R$109*R125*-1</f>
        <v>-61138.101628026554</v>
      </c>
      <c r="S124" s="285">
        <f t="shared" si="82"/>
        <v>-58081.196546625222</v>
      </c>
      <c r="T124" s="285">
        <f t="shared" si="82"/>
        <v>-58662.008512091481</v>
      </c>
      <c r="U124" s="285">
        <f t="shared" si="82"/>
        <v>-59248.628597212395</v>
      </c>
      <c r="V124" s="285">
        <f t="shared" si="82"/>
        <v>-59841.11488318452</v>
      </c>
      <c r="W124" s="285">
        <f t="shared" si="82"/>
        <v>-60439.526032016372</v>
      </c>
    </row>
    <row r="125" spans="2:23">
      <c r="D125" s="7" t="s">
        <v>432</v>
      </c>
      <c r="K125" s="316">
        <v>3.8167938931297711E-2</v>
      </c>
      <c r="M125" s="316">
        <f>K125</f>
        <v>3.8167938931297711E-2</v>
      </c>
      <c r="N125" s="316">
        <f>N124/N$109*-1</f>
        <v>3.8463962613442274E-2</v>
      </c>
      <c r="O125" s="316">
        <f>K125</f>
        <v>3.8167938931297711E-2</v>
      </c>
      <c r="P125" s="316">
        <f>O125</f>
        <v>3.8167938931297711E-2</v>
      </c>
      <c r="Q125" s="316">
        <f>Q124/Q$109*-1</f>
        <v>3.8913159179773997E-2</v>
      </c>
      <c r="R125" s="316">
        <f>O125</f>
        <v>3.8167938931297711E-2</v>
      </c>
      <c r="S125" s="316">
        <f>R125</f>
        <v>3.8167938931297711E-2</v>
      </c>
      <c r="T125" s="316">
        <f>S125</f>
        <v>3.8167938931297711E-2</v>
      </c>
      <c r="U125" s="316">
        <f>T125</f>
        <v>3.8167938931297711E-2</v>
      </c>
      <c r="V125" s="316">
        <f>U125</f>
        <v>3.8167938931297711E-2</v>
      </c>
      <c r="W125" s="316">
        <f>V125</f>
        <v>3.8167938931297711E-2</v>
      </c>
    </row>
    <row r="126" spans="2:23">
      <c r="C126" s="7" t="s">
        <v>471</v>
      </c>
      <c r="K126" s="285">
        <f>-20%*10%*K109</f>
        <v>-29591.870510741122</v>
      </c>
      <c r="M126" s="285">
        <f>M$109*M127*-1</f>
        <v>-13394.161648648069</v>
      </c>
      <c r="N126" s="285">
        <f>O126-M126</f>
        <v>-16269.13951161667</v>
      </c>
      <c r="O126" s="285">
        <f>O$109*O127*-1</f>
        <v>-29663.301160264738</v>
      </c>
      <c r="P126" s="285">
        <f>P$109*P127*-1</f>
        <v>-15170.21275859966</v>
      </c>
      <c r="Q126" s="285">
        <f>R126-P126</f>
        <v>-16866.152494486258</v>
      </c>
      <c r="R126" s="285">
        <f t="shared" ref="R126:W126" si="83">R$109*R127*-1</f>
        <v>-32036.365253085918</v>
      </c>
      <c r="S126" s="285">
        <f t="shared" si="83"/>
        <v>-30434.546990431623</v>
      </c>
      <c r="T126" s="285">
        <f t="shared" si="83"/>
        <v>-30738.892460335941</v>
      </c>
      <c r="U126" s="285">
        <f t="shared" si="83"/>
        <v>-31046.281384939302</v>
      </c>
      <c r="V126" s="285">
        <f t="shared" si="83"/>
        <v>-31356.744198788696</v>
      </c>
      <c r="W126" s="285">
        <f t="shared" si="83"/>
        <v>-31670.311640776585</v>
      </c>
    </row>
    <row r="127" spans="2:23">
      <c r="D127" s="7" t="s">
        <v>432</v>
      </c>
      <c r="K127" s="286">
        <f>K126/K$109*-1</f>
        <v>2.0000000000000004E-2</v>
      </c>
      <c r="M127" s="316">
        <f>K127</f>
        <v>2.0000000000000004E-2</v>
      </c>
      <c r="N127" s="316">
        <f>N126/N$109*-1</f>
        <v>2.0155116409443754E-2</v>
      </c>
      <c r="O127" s="316">
        <f>K127</f>
        <v>2.0000000000000004E-2</v>
      </c>
      <c r="P127" s="316">
        <f>O127</f>
        <v>2.0000000000000004E-2</v>
      </c>
      <c r="Q127" s="316">
        <f>Q126/Q$109*-1</f>
        <v>2.0390495410201576E-2</v>
      </c>
      <c r="R127" s="316">
        <f>O127</f>
        <v>2.0000000000000004E-2</v>
      </c>
      <c r="S127" s="316">
        <f>R127</f>
        <v>2.0000000000000004E-2</v>
      </c>
      <c r="T127" s="316">
        <f>S127</f>
        <v>2.0000000000000004E-2</v>
      </c>
      <c r="U127" s="316">
        <f>T127</f>
        <v>2.0000000000000004E-2</v>
      </c>
      <c r="V127" s="316">
        <f>U127</f>
        <v>2.0000000000000004E-2</v>
      </c>
      <c r="W127" s="316">
        <f>V127</f>
        <v>2.0000000000000004E-2</v>
      </c>
    </row>
    <row r="128" spans="2:23">
      <c r="C128" s="7" t="s">
        <v>404</v>
      </c>
      <c r="K128" s="285">
        <f>-K$109*K129</f>
        <v>-29591.870510741119</v>
      </c>
      <c r="M128" s="285">
        <f>M$109*M129*-1</f>
        <v>-13394.161648648067</v>
      </c>
      <c r="N128" s="285">
        <f>O128-M128</f>
        <v>-16269.139511616664</v>
      </c>
      <c r="O128" s="285">
        <f>O$109*O129*-1</f>
        <v>-29663.301160264731</v>
      </c>
      <c r="P128" s="285">
        <f>P$109*P129*-1</f>
        <v>-15170.212758599657</v>
      </c>
      <c r="Q128" s="285">
        <f>R128-P128</f>
        <v>-16866.152494486258</v>
      </c>
      <c r="R128" s="285">
        <f t="shared" ref="R128:W128" si="84">R$109*R129*-1</f>
        <v>-32036.365253085914</v>
      </c>
      <c r="S128" s="285">
        <f t="shared" si="84"/>
        <v>-30434.546990431616</v>
      </c>
      <c r="T128" s="285">
        <f t="shared" si="84"/>
        <v>-30738.892460335937</v>
      </c>
      <c r="U128" s="285">
        <f t="shared" si="84"/>
        <v>-31046.281384939295</v>
      </c>
      <c r="V128" s="285">
        <f t="shared" si="84"/>
        <v>-31356.744198788689</v>
      </c>
      <c r="W128" s="285">
        <f t="shared" si="84"/>
        <v>-31670.311640776577</v>
      </c>
    </row>
    <row r="129" spans="1:24">
      <c r="D129" s="7" t="s">
        <v>432</v>
      </c>
      <c r="K129" s="316">
        <v>0.02</v>
      </c>
      <c r="M129" s="316">
        <f>K129</f>
        <v>0.02</v>
      </c>
      <c r="N129" s="316">
        <f>N128/N$109*-1</f>
        <v>2.0155116409443747E-2</v>
      </c>
      <c r="O129" s="316">
        <f>K129</f>
        <v>0.02</v>
      </c>
      <c r="P129" s="316">
        <f>O129</f>
        <v>0.02</v>
      </c>
      <c r="Q129" s="316">
        <f>Q128/Q$109*-1</f>
        <v>2.0390495410201576E-2</v>
      </c>
      <c r="R129" s="316">
        <f>O129</f>
        <v>0.02</v>
      </c>
      <c r="S129" s="316">
        <f>R129</f>
        <v>0.02</v>
      </c>
      <c r="T129" s="316">
        <f>S129</f>
        <v>0.02</v>
      </c>
      <c r="U129" s="316">
        <f>T129</f>
        <v>0.02</v>
      </c>
      <c r="V129" s="316">
        <f>U129</f>
        <v>0.02</v>
      </c>
      <c r="W129" s="316">
        <f>V129</f>
        <v>0.02</v>
      </c>
    </row>
    <row r="130" spans="1:24">
      <c r="B130" s="7" t="s">
        <v>405</v>
      </c>
      <c r="K130" s="285">
        <f>K109+K118+K120+K122+K124+K126+K128</f>
        <v>322302.90721164434</v>
      </c>
      <c r="L130" s="285">
        <f t="shared" ref="L130:M130" si="85">L109+L118+L120+L122+L124+L126+L128</f>
        <v>0</v>
      </c>
      <c r="M130" s="285">
        <f t="shared" si="85"/>
        <v>145883.89191061875</v>
      </c>
      <c r="N130" s="285">
        <f>N109+N118+N120+N122+N124+N126+N128</f>
        <v>170936.53840752886</v>
      </c>
      <c r="O130" s="285">
        <f t="shared" ref="O130:U130" si="86">O109+O118+O120+O122+O124+O126+O128</f>
        <v>323080.90149210463</v>
      </c>
      <c r="P130" s="285">
        <f>P109+P118+P120+P122+P124+P126+P128</f>
        <v>165227.93560282435</v>
      </c>
      <c r="Q130" s="285">
        <f>Q109+Q118+Q120+Q122+Q124+Q126+Q128</f>
        <v>167549.37641288794</v>
      </c>
      <c r="R130" s="285">
        <f t="shared" si="86"/>
        <v>348927.37361147313</v>
      </c>
      <c r="S130" s="285">
        <f t="shared" si="86"/>
        <v>331481.00493089948</v>
      </c>
      <c r="T130" s="285">
        <f t="shared" si="86"/>
        <v>334795.81498020852</v>
      </c>
      <c r="U130" s="285">
        <f t="shared" si="86"/>
        <v>338143.77313001052</v>
      </c>
      <c r="V130" s="285">
        <f>V109+V118+V120+V122+V124+V126+V128</f>
        <v>341525.21086131071</v>
      </c>
      <c r="W130" s="285">
        <f>W109+W118+W120+W122+W124+W126+W128</f>
        <v>344940.46296992374</v>
      </c>
    </row>
    <row r="131" spans="1:24">
      <c r="B131" s="7" t="s">
        <v>433</v>
      </c>
      <c r="K131" s="286">
        <f>K130/K109</f>
        <v>0.2178320610687022</v>
      </c>
      <c r="L131" s="286" t="e">
        <f t="shared" ref="L131:M131" si="87">L130/L109</f>
        <v>#DIV/0!</v>
      </c>
      <c r="M131" s="286">
        <f t="shared" si="87"/>
        <v>0.21783206106870223</v>
      </c>
      <c r="N131" s="286">
        <f>N130/N109</f>
        <v>0.21176570695525015</v>
      </c>
      <c r="O131" s="286">
        <f t="shared" ref="O131:U131" si="88">O130/O109</f>
        <v>0.21783206106870223</v>
      </c>
      <c r="P131" s="286">
        <f>P130/P109</f>
        <v>0.21783206106870229</v>
      </c>
      <c r="Q131" s="286">
        <f>Q130/Q109</f>
        <v>0.20256041156072752</v>
      </c>
      <c r="R131" s="286">
        <f t="shared" si="88"/>
        <v>0.21783206106870229</v>
      </c>
      <c r="S131" s="286">
        <f t="shared" si="88"/>
        <v>0.21783206106870229</v>
      </c>
      <c r="T131" s="286">
        <f t="shared" si="88"/>
        <v>0.21783206106870232</v>
      </c>
      <c r="U131" s="286">
        <f t="shared" si="88"/>
        <v>0.21783206106870226</v>
      </c>
      <c r="V131" s="286">
        <f>V130/V109</f>
        <v>0.21783206106870232</v>
      </c>
      <c r="W131" s="286">
        <f>W130/W109</f>
        <v>0.21783206106870223</v>
      </c>
    </row>
    <row r="134" spans="1:24" ht="12.75">
      <c r="A134" s="8" t="s">
        <v>434</v>
      </c>
    </row>
    <row r="136" spans="1:24">
      <c r="B136" s="7" t="s">
        <v>142</v>
      </c>
      <c r="G136" s="285">
        <f>G12/G91*10^3</f>
        <v>582673.19717832608</v>
      </c>
      <c r="H136" s="320"/>
      <c r="I136" s="285">
        <f t="shared" ref="I136:O136" si="89">I12/I91*10^3</f>
        <v>513513.614139885</v>
      </c>
      <c r="J136" s="285">
        <f t="shared" si="89"/>
        <v>446147.91916582076</v>
      </c>
      <c r="K136" s="285">
        <f t="shared" si="89"/>
        <v>576723.90699074429</v>
      </c>
      <c r="L136" s="285">
        <f t="shared" si="89"/>
        <v>425011.59448295849</v>
      </c>
      <c r="M136" s="285">
        <f t="shared" si="89"/>
        <v>245965.43307769505</v>
      </c>
      <c r="N136" s="285">
        <f t="shared" si="89"/>
        <v>301596.5528390024</v>
      </c>
      <c r="O136" s="285">
        <f t="shared" si="89"/>
        <v>558538.11712591397</v>
      </c>
      <c r="P136" s="285">
        <f>P107*P137</f>
        <v>278372.45872629655</v>
      </c>
      <c r="Q136" s="285">
        <f>Q107*Q137</f>
        <v>310312.61942065036</v>
      </c>
      <c r="R136" s="285">
        <f t="shared" ref="R136:W136" si="90">R107*R137</f>
        <v>605205.04568545776</v>
      </c>
      <c r="S136" s="285">
        <f t="shared" si="90"/>
        <v>581104.87269454508</v>
      </c>
      <c r="T136" s="285">
        <f t="shared" si="90"/>
        <v>587124.49891366146</v>
      </c>
      <c r="U136" s="285">
        <f t="shared" si="90"/>
        <v>589232.46646126593</v>
      </c>
      <c r="V136" s="285">
        <f t="shared" si="90"/>
        <v>589615.42132548976</v>
      </c>
      <c r="W136" s="285">
        <f t="shared" si="90"/>
        <v>588406.71601099602</v>
      </c>
    </row>
    <row r="137" spans="1:24">
      <c r="C137" s="7" t="s">
        <v>442</v>
      </c>
      <c r="G137" s="286">
        <f>G136/G109</f>
        <v>0.41425788155347815</v>
      </c>
      <c r="H137" s="327"/>
      <c r="I137" s="286">
        <f>I136/I107</f>
        <v>0.40882876221498365</v>
      </c>
      <c r="J137" s="286" t="e">
        <f>J136/J107</f>
        <v>#DIV/0!</v>
      </c>
      <c r="K137" s="286">
        <f>K136/K107</f>
        <v>0.40048931900840268</v>
      </c>
      <c r="L137" s="286" t="e">
        <f t="shared" ref="L137" si="91">L136/L107</f>
        <v>#DIV/0!</v>
      </c>
      <c r="M137" s="326">
        <f>K137</f>
        <v>0.40048931900840268</v>
      </c>
      <c r="N137" s="326">
        <v>0.4</v>
      </c>
      <c r="O137" s="326">
        <f>M137</f>
        <v>0.40048931900840268</v>
      </c>
      <c r="P137" s="335">
        <v>0.4</v>
      </c>
      <c r="Q137" s="286">
        <f>P137</f>
        <v>0.4</v>
      </c>
      <c r="R137" s="335">
        <f>P137</f>
        <v>0.4</v>
      </c>
      <c r="S137" s="335">
        <v>0.4</v>
      </c>
      <c r="T137" s="335">
        <f t="shared" ref="T137:W137" si="92">S137</f>
        <v>0.4</v>
      </c>
      <c r="U137" s="335">
        <f t="shared" si="92"/>
        <v>0.4</v>
      </c>
      <c r="V137" s="335">
        <f t="shared" si="92"/>
        <v>0.4</v>
      </c>
      <c r="W137" s="335">
        <f t="shared" si="92"/>
        <v>0.4</v>
      </c>
    </row>
    <row r="138" spans="1:24">
      <c r="B138" s="7" t="s">
        <v>141</v>
      </c>
      <c r="G138" s="285">
        <f t="shared" ref="G138:Q138" si="93">G14/G75*10^3</f>
        <v>86879.082523061588</v>
      </c>
      <c r="H138" s="285">
        <f t="shared" si="93"/>
        <v>77974.13073713491</v>
      </c>
      <c r="I138" s="285">
        <f t="shared" si="93"/>
        <v>77384.655154585867</v>
      </c>
      <c r="J138" s="285">
        <f t="shared" si="93"/>
        <v>75416.70822942644</v>
      </c>
      <c r="K138" s="285">
        <f t="shared" si="93"/>
        <v>74442.793612290276</v>
      </c>
      <c r="L138" s="285">
        <f t="shared" si="93"/>
        <v>68541.041482789049</v>
      </c>
      <c r="M138" s="285">
        <f t="shared" si="93"/>
        <v>70662.654320987655</v>
      </c>
      <c r="N138" s="285">
        <f t="shared" si="93"/>
        <v>73246.134969325154</v>
      </c>
      <c r="O138" s="285">
        <f t="shared" si="93"/>
        <v>71660.066319279969</v>
      </c>
      <c r="P138" s="285">
        <f t="shared" si="93"/>
        <v>84380.779691749776</v>
      </c>
      <c r="Q138" s="285">
        <f t="shared" si="93"/>
        <v>84380.779691749747</v>
      </c>
      <c r="R138" s="323">
        <f>P138</f>
        <v>84380.779691749776</v>
      </c>
      <c r="S138" s="323">
        <f t="shared" ref="S138:W138" si="94">R138</f>
        <v>84380.779691749776</v>
      </c>
      <c r="T138" s="323">
        <f t="shared" si="94"/>
        <v>84380.779691749776</v>
      </c>
      <c r="U138" s="323">
        <f t="shared" si="94"/>
        <v>84380.779691749776</v>
      </c>
      <c r="V138" s="323">
        <f t="shared" si="94"/>
        <v>84380.779691749776</v>
      </c>
      <c r="W138" s="323">
        <f t="shared" si="94"/>
        <v>84380.779691749776</v>
      </c>
    </row>
    <row r="139" spans="1:24">
      <c r="C139" s="7" t="s">
        <v>442</v>
      </c>
      <c r="G139" s="286">
        <f>G138/G109</f>
        <v>6.1767633815321216E-2</v>
      </c>
      <c r="H139" s="327"/>
      <c r="I139" s="286">
        <f t="shared" ref="I139:U139" si="95">I138/I107</f>
        <v>6.1609024396117595E-2</v>
      </c>
      <c r="J139" s="286" t="e">
        <f t="shared" si="95"/>
        <v>#DIV/0!</v>
      </c>
      <c r="K139" s="286">
        <f t="shared" si="95"/>
        <v>5.1694655549189276E-2</v>
      </c>
      <c r="L139" s="286" t="e">
        <f t="shared" ref="L139:N139" si="96">L138/L107</f>
        <v>#DIV/0!</v>
      </c>
      <c r="M139" s="286">
        <f t="shared" si="96"/>
        <v>0.11505534722596275</v>
      </c>
      <c r="N139" s="286">
        <f t="shared" si="96"/>
        <v>9.7144525399698756E-2</v>
      </c>
      <c r="O139" s="286">
        <f>O138/O107</f>
        <v>5.1382511381646012E-2</v>
      </c>
      <c r="P139" s="286">
        <f>P138/P107</f>
        <v>0.12124874720414103</v>
      </c>
      <c r="Q139" s="286">
        <f>Q138/Q107</f>
        <v>0.10876873760311466</v>
      </c>
      <c r="R139" s="286">
        <f t="shared" si="95"/>
        <v>5.5770043751819522E-2</v>
      </c>
      <c r="S139" s="286">
        <f t="shared" si="95"/>
        <v>5.8082995794188852E-2</v>
      </c>
      <c r="T139" s="286">
        <f t="shared" si="95"/>
        <v>5.7487486792240465E-2</v>
      </c>
      <c r="U139" s="286">
        <f t="shared" si="95"/>
        <v>5.7281826440089195E-2</v>
      </c>
      <c r="V139" s="286">
        <f>V138/V107</f>
        <v>5.724462192800648E-2</v>
      </c>
      <c r="W139" s="286">
        <f>W138/W107</f>
        <v>5.736221385357055E-2</v>
      </c>
    </row>
    <row r="140" spans="1:24">
      <c r="B140" s="7" t="s">
        <v>438</v>
      </c>
      <c r="G140" s="285">
        <f>G16/G91*10^3</f>
        <v>12098.820195299262</v>
      </c>
      <c r="H140" s="320"/>
      <c r="I140" s="285">
        <f t="shared" ref="I140:P140" si="97">I16/I91*10^3</f>
        <v>11298.283656895035</v>
      </c>
      <c r="J140" s="285">
        <f t="shared" si="97"/>
        <v>8728.4611362308151</v>
      </c>
      <c r="K140" s="285">
        <f t="shared" si="97"/>
        <v>12212.145383399804</v>
      </c>
      <c r="L140" s="285">
        <f t="shared" si="97"/>
        <v>10709.437426024782</v>
      </c>
      <c r="M140" s="285">
        <f t="shared" si="97"/>
        <v>7256.7244433982132</v>
      </c>
      <c r="N140" s="285">
        <f t="shared" si="97"/>
        <v>7295.4279407338036</v>
      </c>
      <c r="O140" s="285">
        <f t="shared" si="97"/>
        <v>14766.84369715878</v>
      </c>
      <c r="P140" s="285">
        <f t="shared" si="97"/>
        <v>7643.8496651853047</v>
      </c>
      <c r="Q140" s="285">
        <f>R140-P140</f>
        <v>8974.5198638913789</v>
      </c>
      <c r="R140" s="285">
        <f t="shared" ref="R140:W140" si="98">R107*R141</f>
        <v>16618.369529076685</v>
      </c>
      <c r="S140" s="285">
        <f t="shared" si="98"/>
        <v>15956.601119621264</v>
      </c>
      <c r="T140" s="285">
        <f t="shared" si="98"/>
        <v>16121.894475401028</v>
      </c>
      <c r="U140" s="285">
        <f t="shared" si="98"/>
        <v>16179.777310171046</v>
      </c>
      <c r="V140" s="285">
        <f t="shared" si="98"/>
        <v>16190.292895743241</v>
      </c>
      <c r="W140" s="285">
        <f t="shared" si="98"/>
        <v>16157.102968277806</v>
      </c>
      <c r="X140" s="33"/>
    </row>
    <row r="141" spans="1:24">
      <c r="C141" s="7" t="s">
        <v>442</v>
      </c>
      <c r="G141" s="286">
        <f>G140/G109</f>
        <v>8.6017885285826663E-3</v>
      </c>
      <c r="H141" s="320"/>
      <c r="I141" s="286">
        <f>I140/I107</f>
        <v>8.9950162866449506E-3</v>
      </c>
      <c r="J141" s="286" t="e">
        <f>J140/J107</f>
        <v>#DIV/0!</v>
      </c>
      <c r="K141" s="286">
        <f>K140/K107</f>
        <v>8.4803728941097774E-3</v>
      </c>
      <c r="L141" s="286" t="e">
        <f t="shared" ref="L141:N141" si="99">L140/L107</f>
        <v>#DIV/0!</v>
      </c>
      <c r="M141" s="286">
        <f t="shared" si="99"/>
        <v>1.1815646589861117E-2</v>
      </c>
      <c r="N141" s="286">
        <f t="shared" si="99"/>
        <v>9.6757444633370614E-3</v>
      </c>
      <c r="O141" s="286">
        <f>O140/O107</f>
        <v>1.058828931248291E-2</v>
      </c>
      <c r="P141" s="286">
        <f>P140/P107</f>
        <v>1.0983629199756357E-2</v>
      </c>
      <c r="Q141" s="286">
        <f>Q140/Q107</f>
        <v>1.1568359521629113E-2</v>
      </c>
      <c r="R141" s="316">
        <f>P141</f>
        <v>1.0983629199756357E-2</v>
      </c>
      <c r="S141" s="316">
        <f>R141</f>
        <v>1.0983629199756357E-2</v>
      </c>
      <c r="T141" s="316">
        <f>S141</f>
        <v>1.0983629199756357E-2</v>
      </c>
      <c r="U141" s="316">
        <f>T141</f>
        <v>1.0983629199756357E-2</v>
      </c>
      <c r="V141" s="316">
        <f>U141</f>
        <v>1.0983629199756357E-2</v>
      </c>
      <c r="W141" s="316">
        <f>V141</f>
        <v>1.0983629199756357E-2</v>
      </c>
      <c r="X141" s="33"/>
    </row>
    <row r="142" spans="1:24">
      <c r="B142" s="7" t="s">
        <v>436</v>
      </c>
      <c r="G142" s="285">
        <f>G43/G91*1000*-1</f>
        <v>399457.41305486247</v>
      </c>
      <c r="H142" s="320"/>
      <c r="I142" s="285">
        <f>I43/I91*1000*-1</f>
        <v>370715.21796943725</v>
      </c>
      <c r="J142" s="285">
        <f>J43/J91*1000*-1</f>
        <v>316676.17114207498</v>
      </c>
      <c r="K142" s="285">
        <f>K43/K91*1000*-1</f>
        <v>410627.42177740991</v>
      </c>
      <c r="L142" s="285">
        <f t="shared" ref="L142:N142" si="100">L43/L91*1000*-1</f>
        <v>290927.84849875601</v>
      </c>
      <c r="M142" s="285">
        <f t="shared" si="100"/>
        <v>170075.85292316801</v>
      </c>
      <c r="N142" s="285">
        <f t="shared" si="100"/>
        <v>204640.38773885791</v>
      </c>
      <c r="O142" s="285">
        <f>O43/O91*1000*-1</f>
        <v>382040.07211412513</v>
      </c>
      <c r="P142" s="285">
        <f>P43/P91*1000*-1</f>
        <v>196377.43777272821</v>
      </c>
      <c r="Q142" s="285">
        <f>(1-Q143)*Q136</f>
        <v>214898.82154447792</v>
      </c>
      <c r="R142" s="285">
        <f>R43/R91*1000*-1</f>
        <v>422670.16496731213</v>
      </c>
      <c r="S142" s="285">
        <f t="shared" ref="S142:W142" si="101">S136*(1-S143)</f>
        <v>405838.80480858672</v>
      </c>
      <c r="T142" s="285">
        <f t="shared" si="101"/>
        <v>410042.8616405878</v>
      </c>
      <c r="U142" s="285">
        <f t="shared" si="101"/>
        <v>411515.04862488928</v>
      </c>
      <c r="V142" s="285">
        <f t="shared" si="101"/>
        <v>411782.50111357961</v>
      </c>
      <c r="W142" s="285">
        <f t="shared" si="101"/>
        <v>410938.35138562205</v>
      </c>
    </row>
    <row r="143" spans="1:24" s="13" customFormat="1">
      <c r="C143" s="13" t="s">
        <v>435</v>
      </c>
      <c r="G143" s="286">
        <f>(G136-G142)/G136</f>
        <v>0.314440041194122</v>
      </c>
      <c r="H143" s="327"/>
      <c r="I143" s="286">
        <f>(I136-I142)/I136</f>
        <v>0.27808103278747426</v>
      </c>
      <c r="J143" s="286">
        <f>(J136-J142)/J136</f>
        <v>0.29019915248248584</v>
      </c>
      <c r="K143" s="286">
        <f>(K136-K142)/K136</f>
        <v>0.28800000000000003</v>
      </c>
      <c r="L143" s="286">
        <f t="shared" ref="L143:N143" si="102">(L136-L142)/L136</f>
        <v>0.31548256029890209</v>
      </c>
      <c r="M143" s="286">
        <f t="shared" si="102"/>
        <v>0.30853758272023207</v>
      </c>
      <c r="N143" s="286">
        <f t="shared" si="102"/>
        <v>0.32147637029492643</v>
      </c>
      <c r="O143" s="286">
        <f>(O136-O142)/O136</f>
        <v>0.31600000000000006</v>
      </c>
      <c r="P143" s="286">
        <f>(P136-P142)/P136</f>
        <v>0.29455148447062462</v>
      </c>
      <c r="Q143" s="316">
        <f>N143-1.4%</f>
        <v>0.30747637029492642</v>
      </c>
      <c r="R143" s="286">
        <f>(R136-R142)/R136</f>
        <v>0.30160832600363713</v>
      </c>
      <c r="S143" s="316">
        <f>R143</f>
        <v>0.30160832600363713</v>
      </c>
      <c r="T143" s="316">
        <f>S143</f>
        <v>0.30160832600363713</v>
      </c>
      <c r="U143" s="316">
        <f>T143</f>
        <v>0.30160832600363713</v>
      </c>
      <c r="V143" s="316">
        <f>U143</f>
        <v>0.30160832600363713</v>
      </c>
      <c r="W143" s="316">
        <f>V143</f>
        <v>0.30160832600363713</v>
      </c>
    </row>
    <row r="144" spans="1:24">
      <c r="B144" s="7" t="s">
        <v>437</v>
      </c>
      <c r="G144" s="285">
        <f t="shared" ref="G144:K144" si="103">G45/G75*1000*-1</f>
        <v>70727.125405135885</v>
      </c>
      <c r="H144" s="285">
        <f t="shared" si="103"/>
        <v>64056.884561891522</v>
      </c>
      <c r="I144" s="285">
        <f t="shared" si="103"/>
        <v>62842.1052631579</v>
      </c>
      <c r="J144" s="285">
        <f t="shared" si="103"/>
        <v>58270.947630922688</v>
      </c>
      <c r="K144" s="285">
        <f t="shared" si="103"/>
        <v>57446.634323832623</v>
      </c>
      <c r="L144" s="285">
        <f t="shared" ref="L144:N144" si="104">L45/L75*1000*-1</f>
        <v>54913.724624889677</v>
      </c>
      <c r="M144" s="285">
        <f t="shared" si="104"/>
        <v>54529.544985520079</v>
      </c>
      <c r="N144" s="285">
        <f t="shared" si="104"/>
        <v>61915.617299099496</v>
      </c>
      <c r="O144" s="285">
        <f>O45/O75*1000*-1</f>
        <v>57381.107721459077</v>
      </c>
      <c r="P144" s="285">
        <f>P45/P75*1000*-1</f>
        <v>65115.662103679329</v>
      </c>
      <c r="Q144" s="285">
        <f>(1-Q145)*Q138</f>
        <v>71327.832724306529</v>
      </c>
      <c r="R144" s="285">
        <f>R45/R75*1000*-1</f>
        <v>66630.988877668977</v>
      </c>
      <c r="S144" s="285">
        <f t="shared" ref="S144:V144" si="105">S138*(1-S145)</f>
        <v>66630.988877668977</v>
      </c>
      <c r="T144" s="285">
        <f t="shared" si="105"/>
        <v>66630.988877668977</v>
      </c>
      <c r="U144" s="285">
        <f t="shared" si="105"/>
        <v>66630.988877668977</v>
      </c>
      <c r="V144" s="285">
        <f t="shared" si="105"/>
        <v>66630.988877668977</v>
      </c>
      <c r="W144" s="285">
        <f t="shared" ref="W144" si="106">W138*(1-W145)</f>
        <v>66630.988877668977</v>
      </c>
    </row>
    <row r="145" spans="1:23" s="13" customFormat="1">
      <c r="C145" s="13" t="s">
        <v>435</v>
      </c>
      <c r="G145" s="286">
        <f>(G138-G144)/G138</f>
        <v>0.18591307192543444</v>
      </c>
      <c r="H145" s="327"/>
      <c r="I145" s="286">
        <f>(I138-I144)/I138</f>
        <v>0.18792549843864187</v>
      </c>
      <c r="J145" s="286">
        <f>(J138-J144)/J138</f>
        <v>0.22734697656578096</v>
      </c>
      <c r="K145" s="286">
        <f>(K138-K144)/K138</f>
        <v>0.22831168020072315</v>
      </c>
      <c r="L145" s="286">
        <f t="shared" ref="L145:N145" si="107">(L138-L144)/L138</f>
        <v>0.19881981019096784</v>
      </c>
      <c r="M145" s="286">
        <f t="shared" si="107"/>
        <v>0.22831168020072307</v>
      </c>
      <c r="N145" s="286">
        <f t="shared" si="107"/>
        <v>0.15469099734710617</v>
      </c>
      <c r="O145" s="286">
        <f>(O138-O144)/O138</f>
        <v>0.19925963414827558</v>
      </c>
      <c r="P145" s="286">
        <f>(P138-P144)/P138</f>
        <v>0.22831168020072312</v>
      </c>
      <c r="Q145" s="316">
        <f>N145</f>
        <v>0.15469099734710617</v>
      </c>
      <c r="R145" s="286">
        <f>(R138-R144)/R138</f>
        <v>0.21035348190574094</v>
      </c>
      <c r="S145" s="316">
        <f>R145</f>
        <v>0.21035348190574094</v>
      </c>
      <c r="T145" s="316">
        <f>S145</f>
        <v>0.21035348190574094</v>
      </c>
      <c r="U145" s="316">
        <f>T145</f>
        <v>0.21035348190574094</v>
      </c>
      <c r="V145" s="316">
        <f>U145</f>
        <v>0.21035348190574094</v>
      </c>
      <c r="W145" s="316">
        <f>V145</f>
        <v>0.21035348190574094</v>
      </c>
    </row>
    <row r="148" spans="1:23" ht="12.75">
      <c r="A148" s="8" t="s">
        <v>125</v>
      </c>
    </row>
    <row r="150" spans="1:23">
      <c r="A150" s="3" t="s">
        <v>146</v>
      </c>
    </row>
    <row r="151" spans="1:23">
      <c r="B151" s="7" t="s">
        <v>126</v>
      </c>
      <c r="G151" s="285">
        <v>127851</v>
      </c>
      <c r="H151" s="320"/>
      <c r="I151" s="285">
        <v>255677</v>
      </c>
      <c r="J151" s="285">
        <v>417676</v>
      </c>
      <c r="K151" s="285">
        <v>580209</v>
      </c>
      <c r="L151" s="285">
        <v>480720</v>
      </c>
      <c r="M151" s="318"/>
      <c r="N151" s="318"/>
      <c r="O151" s="318"/>
      <c r="P151" s="318"/>
      <c r="Q151" s="318"/>
      <c r="R151" s="318"/>
      <c r="S151" s="318"/>
      <c r="T151" s="318"/>
      <c r="U151" s="318"/>
      <c r="V151" s="318"/>
      <c r="W151" s="318"/>
    </row>
    <row r="152" spans="1:23">
      <c r="B152" s="7" t="s">
        <v>127</v>
      </c>
      <c r="G152" s="285">
        <v>76825</v>
      </c>
      <c r="H152" s="320"/>
      <c r="I152" s="285">
        <v>233837</v>
      </c>
      <c r="J152" s="285">
        <v>264877</v>
      </c>
      <c r="K152" s="285">
        <v>359765</v>
      </c>
      <c r="L152" s="285">
        <v>337637</v>
      </c>
      <c r="M152" s="318"/>
      <c r="N152" s="318"/>
      <c r="O152" s="318"/>
      <c r="P152" s="318"/>
      <c r="Q152" s="318"/>
      <c r="R152" s="318"/>
      <c r="S152" s="318"/>
      <c r="T152" s="318"/>
      <c r="U152" s="318"/>
      <c r="V152" s="318"/>
      <c r="W152" s="318"/>
    </row>
    <row r="153" spans="1:23">
      <c r="B153" s="7" t="s">
        <v>128</v>
      </c>
      <c r="H153" s="320"/>
      <c r="J153" s="285">
        <v>2696</v>
      </c>
      <c r="K153" s="285">
        <v>3856</v>
      </c>
      <c r="L153" s="285">
        <v>3190</v>
      </c>
      <c r="M153" s="318"/>
      <c r="N153" s="318"/>
      <c r="O153" s="318"/>
      <c r="P153" s="318"/>
      <c r="Q153" s="318"/>
      <c r="R153" s="318"/>
      <c r="S153" s="318"/>
      <c r="T153" s="318"/>
      <c r="U153" s="318"/>
      <c r="V153" s="318"/>
      <c r="W153" s="318"/>
    </row>
    <row r="154" spans="1:23">
      <c r="B154" s="7" t="s">
        <v>129</v>
      </c>
      <c r="G154" s="285">
        <v>3640</v>
      </c>
      <c r="H154" s="320"/>
      <c r="I154" s="285">
        <v>6087</v>
      </c>
      <c r="J154" s="285">
        <v>11250</v>
      </c>
      <c r="K154" s="285">
        <v>14333</v>
      </c>
      <c r="L154" s="285">
        <v>11388</v>
      </c>
      <c r="M154" s="318"/>
      <c r="N154" s="318"/>
      <c r="O154" s="318"/>
      <c r="P154" s="318"/>
      <c r="Q154" s="318"/>
      <c r="R154" s="318"/>
      <c r="S154" s="318"/>
      <c r="T154" s="318"/>
      <c r="U154" s="318"/>
      <c r="V154" s="318"/>
      <c r="W154" s="318"/>
    </row>
    <row r="155" spans="1:23">
      <c r="B155" s="7" t="s">
        <v>130</v>
      </c>
      <c r="G155" s="285">
        <v>35575</v>
      </c>
      <c r="H155" s="320"/>
      <c r="I155" s="285">
        <v>101062</v>
      </c>
      <c r="J155" s="285">
        <v>103921</v>
      </c>
      <c r="K155" s="285">
        <v>231509</v>
      </c>
      <c r="L155" s="285">
        <v>164145</v>
      </c>
      <c r="M155" s="318"/>
      <c r="N155" s="318"/>
      <c r="O155" s="318"/>
      <c r="P155" s="318"/>
      <c r="Q155" s="318"/>
      <c r="R155" s="318"/>
      <c r="S155" s="318"/>
      <c r="T155" s="318"/>
      <c r="U155" s="318"/>
      <c r="V155" s="318"/>
      <c r="W155" s="318"/>
    </row>
    <row r="156" spans="1:23">
      <c r="B156" s="7" t="s">
        <v>131</v>
      </c>
      <c r="G156" s="285">
        <v>11625</v>
      </c>
      <c r="H156" s="320"/>
      <c r="I156" s="285">
        <v>16101</v>
      </c>
      <c r="J156" s="285">
        <v>8714</v>
      </c>
      <c r="K156" s="285">
        <v>13099</v>
      </c>
      <c r="L156" s="285">
        <v>18490</v>
      </c>
      <c r="M156" s="318"/>
      <c r="N156" s="318"/>
      <c r="O156" s="318"/>
      <c r="P156" s="318"/>
      <c r="Q156" s="318"/>
      <c r="R156" s="318"/>
      <c r="S156" s="318"/>
      <c r="T156" s="318"/>
      <c r="U156" s="318"/>
      <c r="V156" s="318"/>
      <c r="W156" s="318"/>
    </row>
    <row r="157" spans="1:23">
      <c r="B157" s="7" t="s">
        <v>132</v>
      </c>
      <c r="G157" s="285">
        <v>65389</v>
      </c>
      <c r="H157" s="320"/>
      <c r="I157" s="285">
        <v>90309</v>
      </c>
      <c r="J157" s="285">
        <v>105475</v>
      </c>
      <c r="K157" s="285">
        <v>146856</v>
      </c>
      <c r="L157" s="285">
        <v>109282</v>
      </c>
      <c r="M157" s="318"/>
      <c r="N157" s="318"/>
      <c r="O157" s="318"/>
      <c r="P157" s="318"/>
      <c r="Q157" s="318"/>
      <c r="R157" s="318"/>
      <c r="S157" s="318"/>
      <c r="T157" s="318"/>
      <c r="U157" s="318"/>
      <c r="V157" s="318"/>
      <c r="W157" s="318"/>
    </row>
    <row r="159" spans="1:23">
      <c r="A159" s="3" t="s">
        <v>144</v>
      </c>
    </row>
    <row r="160" spans="1:23">
      <c r="B160" s="7" t="s">
        <v>126</v>
      </c>
      <c r="G160" s="285">
        <v>75112</v>
      </c>
      <c r="H160" s="320"/>
      <c r="I160" s="285">
        <v>156486</v>
      </c>
      <c r="J160" s="285">
        <v>190122</v>
      </c>
      <c r="K160" s="285">
        <v>244666</v>
      </c>
      <c r="L160" s="285">
        <v>223695</v>
      </c>
      <c r="M160" s="318"/>
      <c r="N160" s="318"/>
      <c r="O160" s="318"/>
      <c r="P160" s="318"/>
      <c r="Q160" s="318"/>
      <c r="R160" s="318"/>
      <c r="S160" s="318"/>
      <c r="T160" s="318"/>
      <c r="U160" s="318"/>
      <c r="V160" s="318"/>
      <c r="W160" s="318"/>
    </row>
    <row r="161" spans="1:23">
      <c r="B161" s="7" t="s">
        <v>127</v>
      </c>
      <c r="G161" s="285">
        <v>63879</v>
      </c>
      <c r="H161" s="320"/>
      <c r="I161" s="285">
        <v>147110</v>
      </c>
      <c r="J161" s="285">
        <v>161763</v>
      </c>
      <c r="K161" s="285">
        <v>198617</v>
      </c>
      <c r="L161" s="285">
        <v>176747</v>
      </c>
      <c r="M161" s="318"/>
      <c r="N161" s="318"/>
      <c r="O161" s="318"/>
      <c r="P161" s="318"/>
      <c r="Q161" s="318"/>
      <c r="R161" s="318"/>
      <c r="S161" s="318"/>
      <c r="T161" s="318"/>
      <c r="U161" s="318"/>
      <c r="V161" s="318"/>
      <c r="W161" s="318"/>
    </row>
    <row r="162" spans="1:23">
      <c r="B162" s="7" t="s">
        <v>128</v>
      </c>
      <c r="H162" s="320"/>
      <c r="J162" s="285">
        <v>908</v>
      </c>
      <c r="K162" s="285">
        <v>908</v>
      </c>
      <c r="L162" s="285">
        <v>2131</v>
      </c>
      <c r="M162" s="318"/>
      <c r="N162" s="318"/>
      <c r="O162" s="318"/>
      <c r="P162" s="318"/>
      <c r="Q162" s="318"/>
      <c r="R162" s="318"/>
      <c r="S162" s="318"/>
      <c r="T162" s="318"/>
      <c r="U162" s="318"/>
      <c r="V162" s="318"/>
      <c r="W162" s="318"/>
    </row>
    <row r="163" spans="1:23">
      <c r="B163" s="7" t="s">
        <v>129</v>
      </c>
      <c r="G163" s="285">
        <v>848</v>
      </c>
      <c r="H163" s="320"/>
      <c r="I163" s="285">
        <v>4349</v>
      </c>
      <c r="J163" s="285">
        <v>6595</v>
      </c>
      <c r="K163" s="285">
        <v>8384</v>
      </c>
      <c r="L163" s="285">
        <v>7213</v>
      </c>
      <c r="M163" s="318"/>
      <c r="N163" s="318"/>
      <c r="O163" s="318"/>
      <c r="P163" s="318"/>
      <c r="Q163" s="318"/>
      <c r="R163" s="318"/>
      <c r="S163" s="318"/>
      <c r="T163" s="318"/>
      <c r="U163" s="318"/>
      <c r="V163" s="318"/>
      <c r="W163" s="318"/>
    </row>
    <row r="164" spans="1:23">
      <c r="B164" s="7" t="s">
        <v>130</v>
      </c>
      <c r="G164" s="285">
        <v>30417</v>
      </c>
      <c r="H164" s="320"/>
      <c r="I164" s="285">
        <v>70658</v>
      </c>
      <c r="J164" s="285">
        <v>64407</v>
      </c>
      <c r="K164" s="285">
        <v>136391</v>
      </c>
      <c r="L164" s="285">
        <v>81597</v>
      </c>
      <c r="M164" s="318"/>
      <c r="N164" s="318"/>
      <c r="O164" s="318"/>
      <c r="P164" s="318"/>
      <c r="Q164" s="318"/>
      <c r="R164" s="318"/>
      <c r="S164" s="318"/>
      <c r="T164" s="318"/>
      <c r="U164" s="318"/>
      <c r="V164" s="318"/>
      <c r="W164" s="318"/>
    </row>
    <row r="165" spans="1:23">
      <c r="B165" s="7" t="s">
        <v>131</v>
      </c>
      <c r="G165" s="285">
        <v>2699</v>
      </c>
      <c r="H165" s="320"/>
      <c r="I165" s="285">
        <v>5364</v>
      </c>
      <c r="J165" s="285">
        <v>3972</v>
      </c>
      <c r="K165" s="285">
        <v>6330</v>
      </c>
      <c r="L165" s="285">
        <v>8271</v>
      </c>
      <c r="M165" s="318"/>
      <c r="N165" s="318"/>
      <c r="O165" s="318"/>
      <c r="P165" s="318"/>
      <c r="Q165" s="318"/>
      <c r="R165" s="318"/>
      <c r="S165" s="318"/>
      <c r="T165" s="318"/>
      <c r="U165" s="318"/>
      <c r="V165" s="318"/>
      <c r="W165" s="318"/>
    </row>
    <row r="166" spans="1:23">
      <c r="B166" s="7" t="s">
        <v>132</v>
      </c>
      <c r="G166" s="285">
        <v>11529</v>
      </c>
      <c r="H166" s="320"/>
      <c r="I166" s="285">
        <v>38835</v>
      </c>
      <c r="J166" s="285">
        <v>62857</v>
      </c>
      <c r="K166" s="285">
        <v>80102</v>
      </c>
      <c r="L166" s="285">
        <v>64683</v>
      </c>
      <c r="M166" s="318"/>
      <c r="N166" s="318"/>
      <c r="O166" s="318"/>
      <c r="P166" s="318"/>
      <c r="Q166" s="318"/>
      <c r="R166" s="318"/>
      <c r="S166" s="318"/>
      <c r="T166" s="318"/>
      <c r="U166" s="318"/>
      <c r="V166" s="318"/>
      <c r="W166" s="318"/>
    </row>
    <row r="168" spans="1:23">
      <c r="A168" s="3" t="s">
        <v>145</v>
      </c>
    </row>
    <row r="169" spans="1:23">
      <c r="B169" s="7" t="s">
        <v>126</v>
      </c>
      <c r="G169" s="286">
        <f t="shared" ref="G169:G175" si="108">IFERROR(G160/G151,0)</f>
        <v>0.58749638250776293</v>
      </c>
      <c r="H169" s="320"/>
      <c r="I169" s="286">
        <f t="shared" ref="I169:J175" si="109">IFERROR(I160/I151,0)</f>
        <v>0.6120456669939025</v>
      </c>
      <c r="J169" s="286">
        <f t="shared" si="109"/>
        <v>0.45519014738696978</v>
      </c>
      <c r="K169" s="286">
        <f t="shared" ref="K169:L175" si="110">IFERROR(K160/K151,0)</f>
        <v>0.42168597867320223</v>
      </c>
      <c r="L169" s="286">
        <f t="shared" si="110"/>
        <v>0.4653332501248128</v>
      </c>
      <c r="M169" s="318"/>
      <c r="N169" s="318"/>
      <c r="O169" s="328"/>
      <c r="P169" s="328"/>
      <c r="Q169" s="328"/>
      <c r="R169" s="328"/>
      <c r="S169" s="328"/>
      <c r="T169" s="328"/>
      <c r="U169" s="328"/>
      <c r="V169" s="328"/>
      <c r="W169" s="328"/>
    </row>
    <row r="170" spans="1:23">
      <c r="B170" s="7" t="s">
        <v>127</v>
      </c>
      <c r="G170" s="286">
        <f t="shared" si="108"/>
        <v>0.83148714611129193</v>
      </c>
      <c r="H170" s="320"/>
      <c r="I170" s="286">
        <f t="shared" si="109"/>
        <v>0.62911344226961519</v>
      </c>
      <c r="J170" s="286">
        <f t="shared" si="109"/>
        <v>0.61070987665973264</v>
      </c>
      <c r="K170" s="286">
        <f t="shared" si="110"/>
        <v>0.55207427070448767</v>
      </c>
      <c r="L170" s="286">
        <f t="shared" si="110"/>
        <v>0.52348231976945658</v>
      </c>
      <c r="M170" s="318"/>
      <c r="N170" s="318"/>
      <c r="O170" s="328"/>
      <c r="P170" s="328"/>
      <c r="Q170" s="328"/>
      <c r="R170" s="328"/>
      <c r="S170" s="328"/>
      <c r="T170" s="328"/>
      <c r="U170" s="328"/>
      <c r="V170" s="328"/>
      <c r="W170" s="328"/>
    </row>
    <row r="171" spans="1:23">
      <c r="B171" s="7" t="s">
        <v>128</v>
      </c>
      <c r="G171" s="286">
        <f t="shared" si="108"/>
        <v>0</v>
      </c>
      <c r="H171" s="320"/>
      <c r="I171" s="286">
        <f t="shared" si="109"/>
        <v>0</v>
      </c>
      <c r="J171" s="286">
        <f t="shared" si="109"/>
        <v>0.33679525222551931</v>
      </c>
      <c r="K171" s="286">
        <f t="shared" si="110"/>
        <v>0.23547717842323651</v>
      </c>
      <c r="L171" s="286">
        <f t="shared" si="110"/>
        <v>0.66802507836990599</v>
      </c>
      <c r="M171" s="318"/>
      <c r="N171" s="318"/>
      <c r="O171" s="328"/>
      <c r="P171" s="328"/>
      <c r="Q171" s="328"/>
      <c r="R171" s="328"/>
      <c r="S171" s="328"/>
      <c r="T171" s="328"/>
      <c r="U171" s="328"/>
      <c r="V171" s="328"/>
      <c r="W171" s="328"/>
    </row>
    <row r="172" spans="1:23">
      <c r="B172" s="7" t="s">
        <v>129</v>
      </c>
      <c r="G172" s="286">
        <f t="shared" si="108"/>
        <v>0.23296703296703297</v>
      </c>
      <c r="H172" s="320"/>
      <c r="I172" s="286">
        <f t="shared" si="109"/>
        <v>0.71447346804665679</v>
      </c>
      <c r="J172" s="286">
        <f t="shared" si="109"/>
        <v>0.5862222222222222</v>
      </c>
      <c r="K172" s="286">
        <f t="shared" si="110"/>
        <v>0.58494383590316057</v>
      </c>
      <c r="L172" s="286">
        <f t="shared" si="110"/>
        <v>0.63338602037232172</v>
      </c>
      <c r="M172" s="318"/>
      <c r="N172" s="318"/>
      <c r="O172" s="328"/>
      <c r="P172" s="328"/>
      <c r="Q172" s="328"/>
      <c r="R172" s="328"/>
      <c r="S172" s="328"/>
      <c r="T172" s="328"/>
      <c r="U172" s="328"/>
      <c r="V172" s="328"/>
      <c r="W172" s="328"/>
    </row>
    <row r="173" spans="1:23">
      <c r="B173" s="7" t="s">
        <v>130</v>
      </c>
      <c r="G173" s="286">
        <f t="shared" si="108"/>
        <v>0.85501054111033026</v>
      </c>
      <c r="H173" s="320"/>
      <c r="I173" s="286">
        <f t="shared" si="109"/>
        <v>0.69915497417426931</v>
      </c>
      <c r="J173" s="286">
        <f t="shared" si="109"/>
        <v>0.6197688628862309</v>
      </c>
      <c r="K173" s="286">
        <f t="shared" si="110"/>
        <v>0.58913908314579566</v>
      </c>
      <c r="L173" s="286">
        <f t="shared" si="110"/>
        <v>0.49710317097688017</v>
      </c>
      <c r="M173" s="318"/>
      <c r="N173" s="318"/>
      <c r="O173" s="328"/>
      <c r="P173" s="328"/>
      <c r="Q173" s="328"/>
      <c r="R173" s="328"/>
      <c r="S173" s="328"/>
      <c r="T173" s="328"/>
      <c r="U173" s="328"/>
      <c r="V173" s="328"/>
      <c r="W173" s="328"/>
    </row>
    <row r="174" spans="1:23">
      <c r="B174" s="7" t="s">
        <v>131</v>
      </c>
      <c r="G174" s="286">
        <f t="shared" si="108"/>
        <v>0.2321720430107527</v>
      </c>
      <c r="H174" s="320"/>
      <c r="I174" s="286">
        <f t="shared" si="109"/>
        <v>0.33314700950251536</v>
      </c>
      <c r="J174" s="286">
        <f t="shared" si="109"/>
        <v>0.45581822354831308</v>
      </c>
      <c r="K174" s="286">
        <f t="shared" si="110"/>
        <v>0.4832429956485228</v>
      </c>
      <c r="L174" s="286">
        <f t="shared" si="110"/>
        <v>0.44732287723093567</v>
      </c>
      <c r="M174" s="318"/>
      <c r="N174" s="318"/>
      <c r="O174" s="328"/>
      <c r="P174" s="328"/>
      <c r="Q174" s="328"/>
      <c r="R174" s="328"/>
      <c r="S174" s="328"/>
      <c r="T174" s="328"/>
      <c r="U174" s="328"/>
      <c r="V174" s="328"/>
      <c r="W174" s="328"/>
    </row>
    <row r="175" spans="1:23">
      <c r="B175" s="7" t="s">
        <v>132</v>
      </c>
      <c r="G175" s="286">
        <f t="shared" si="108"/>
        <v>0.176314058939577</v>
      </c>
      <c r="H175" s="320"/>
      <c r="I175" s="286">
        <f t="shared" si="109"/>
        <v>0.43002358568913396</v>
      </c>
      <c r="J175" s="286">
        <f t="shared" si="109"/>
        <v>0.59594216639013986</v>
      </c>
      <c r="K175" s="286">
        <f t="shared" si="110"/>
        <v>0.54544587895625651</v>
      </c>
      <c r="L175" s="286">
        <f t="shared" si="110"/>
        <v>0.59189070478212336</v>
      </c>
      <c r="M175" s="318"/>
      <c r="N175" s="318"/>
      <c r="O175" s="328"/>
      <c r="P175" s="328"/>
      <c r="Q175" s="328"/>
      <c r="R175" s="328"/>
      <c r="S175" s="328"/>
      <c r="T175" s="328"/>
      <c r="U175" s="328"/>
      <c r="V175" s="328"/>
      <c r="W175" s="328"/>
    </row>
    <row r="178" spans="1:23" ht="12.75">
      <c r="A178" s="8" t="s">
        <v>150</v>
      </c>
    </row>
    <row r="180" spans="1:23">
      <c r="B180" s="7" t="s">
        <v>159</v>
      </c>
      <c r="G180" s="285">
        <f>FS!G13</f>
        <v>-405766</v>
      </c>
      <c r="H180" s="285">
        <f>FS!H13</f>
        <v>-528184</v>
      </c>
      <c r="I180" s="285">
        <f>FS!I13</f>
        <v>-774431</v>
      </c>
      <c r="J180" s="285">
        <f>FS!J13</f>
        <v>-992934</v>
      </c>
      <c r="K180" s="285">
        <f>FS!K13</f>
        <v>-1318588</v>
      </c>
      <c r="L180" s="285">
        <f>FS!L13</f>
        <v>-1097090</v>
      </c>
      <c r="M180" s="285">
        <f>FS!M13</f>
        <v>-651491</v>
      </c>
      <c r="N180" s="285">
        <f>FS!N13</f>
        <v>-947983</v>
      </c>
      <c r="O180" s="285">
        <f>FS!O13</f>
        <v>-1599474</v>
      </c>
      <c r="P180" s="285">
        <f>FS!P13</f>
        <v>-913679</v>
      </c>
      <c r="Q180" s="285">
        <f>R180-P180</f>
        <v>-1159984.0819940844</v>
      </c>
      <c r="R180" s="285">
        <f t="shared" ref="R180:U182" si="111">R$18*R185*-1</f>
        <v>-2073663.0819940844</v>
      </c>
      <c r="S180" s="285">
        <f t="shared" si="111"/>
        <v>-2300940.5110465917</v>
      </c>
      <c r="T180" s="285">
        <f t="shared" si="111"/>
        <v>-2674579.2346939347</v>
      </c>
      <c r="U180" s="285">
        <f t="shared" si="111"/>
        <v>-3069546.7055614498</v>
      </c>
      <c r="V180" s="285">
        <f t="shared" ref="V180:W182" si="112">V$18*V185*-1</f>
        <v>-3464530.3701700531</v>
      </c>
      <c r="W180" s="285">
        <f t="shared" si="112"/>
        <v>-3712824.8089481462</v>
      </c>
    </row>
    <row r="181" spans="1:23">
      <c r="B181" s="7" t="s">
        <v>6</v>
      </c>
      <c r="G181" s="285">
        <f>FS!G14</f>
        <v>-374665</v>
      </c>
      <c r="H181" s="285">
        <f>FS!H14</f>
        <v>-337176</v>
      </c>
      <c r="I181" s="285">
        <f>FS!I14</f>
        <v>-496506</v>
      </c>
      <c r="J181" s="285">
        <f>FS!J14</f>
        <v>-429811</v>
      </c>
      <c r="K181" s="285">
        <f>FS!K14</f>
        <v>-610622</v>
      </c>
      <c r="L181" s="285">
        <f>FS!L14</f>
        <v>-433470</v>
      </c>
      <c r="M181" s="285">
        <f>FS!M14</f>
        <v>-279515</v>
      </c>
      <c r="N181" s="285">
        <f>FS!N14</f>
        <v>-475600</v>
      </c>
      <c r="O181" s="285">
        <f>FS!O14</f>
        <v>-755115</v>
      </c>
      <c r="P181" s="285">
        <f>FS!P14</f>
        <v>-437650</v>
      </c>
      <c r="Q181" s="285">
        <f>R181-P181</f>
        <v>-541330.65123907174</v>
      </c>
      <c r="R181" s="285">
        <f t="shared" si="111"/>
        <v>-978980.65123907174</v>
      </c>
      <c r="S181" s="285">
        <f t="shared" si="111"/>
        <v>-1086278.7979041529</v>
      </c>
      <c r="T181" s="285">
        <f t="shared" si="111"/>
        <v>-1262674.4159679434</v>
      </c>
      <c r="U181" s="285">
        <f t="shared" si="111"/>
        <v>-1449139.3799274224</v>
      </c>
      <c r="V181" s="285">
        <f t="shared" si="112"/>
        <v>-1635611.9889857287</v>
      </c>
      <c r="W181" s="285">
        <f t="shared" si="112"/>
        <v>-1752832.3096273397</v>
      </c>
    </row>
    <row r="182" spans="1:23">
      <c r="B182" s="7" t="s">
        <v>160</v>
      </c>
      <c r="G182" s="285">
        <f>FS!G15</f>
        <v>-17151</v>
      </c>
      <c r="H182" s="285">
        <f>FS!H15</f>
        <v>-23852</v>
      </c>
      <c r="I182" s="285">
        <f>FS!I15</f>
        <v>-32304</v>
      </c>
      <c r="J182" s="285">
        <f>FS!J15</f>
        <v>-51343</v>
      </c>
      <c r="K182" s="285">
        <f>FS!K15</f>
        <v>-85000</v>
      </c>
      <c r="L182" s="285">
        <f>FS!L15</f>
        <v>-64805</v>
      </c>
      <c r="M182" s="285">
        <f>FS!M15</f>
        <v>-40327</v>
      </c>
      <c r="N182" s="285">
        <f>FS!N15</f>
        <v>-64543</v>
      </c>
      <c r="O182" s="285">
        <f>FS!O15</f>
        <v>-104870</v>
      </c>
      <c r="P182" s="285">
        <f>FS!P15</f>
        <v>-41037</v>
      </c>
      <c r="Q182" s="285">
        <f>R182-P182</f>
        <v>-94923.351596036955</v>
      </c>
      <c r="R182" s="285">
        <f t="shared" si="111"/>
        <v>-135960.35159603696</v>
      </c>
      <c r="S182" s="285">
        <f t="shared" si="111"/>
        <v>-150861.86545917974</v>
      </c>
      <c r="T182" s="285">
        <f t="shared" si="111"/>
        <v>-175359.60218318828</v>
      </c>
      <c r="U182" s="285">
        <f t="shared" si="111"/>
        <v>-201255.76471529342</v>
      </c>
      <c r="V182" s="285">
        <f t="shared" si="112"/>
        <v>-227152.98899496548</v>
      </c>
      <c r="W182" s="285">
        <f t="shared" si="112"/>
        <v>-243432.48950241899</v>
      </c>
    </row>
    <row r="184" spans="1:23">
      <c r="A184" s="7" t="s">
        <v>161</v>
      </c>
    </row>
    <row r="185" spans="1:23">
      <c r="B185" s="7" t="s">
        <v>159</v>
      </c>
      <c r="G185" s="286">
        <f t="shared" ref="G185:J187" si="113">G180/G$18*-1</f>
        <v>3.9200709961350541E-2</v>
      </c>
      <c r="H185" s="286">
        <f t="shared" si="113"/>
        <v>5.0096934149274797E-2</v>
      </c>
      <c r="I185" s="286">
        <f t="shared" si="113"/>
        <v>5.7045899411862937E-2</v>
      </c>
      <c r="J185" s="286">
        <f t="shared" si="113"/>
        <v>6.4504179992786487E-2</v>
      </c>
      <c r="K185" s="286">
        <f t="shared" ref="K185:L187" si="114">K180/K$18*-1</f>
        <v>6.4947187447435564E-2</v>
      </c>
      <c r="L185" s="286">
        <f t="shared" si="114"/>
        <v>5.8794712940008431E-2</v>
      </c>
      <c r="M185" s="286">
        <f t="shared" ref="M185:N185" si="115">M180/M$18*-1</f>
        <v>6.1017861293948684E-2</v>
      </c>
      <c r="N185" s="286">
        <f t="shared" si="115"/>
        <v>6.6986649067045795E-2</v>
      </c>
      <c r="O185" s="286">
        <f t="shared" ref="O185:Q187" si="116">O180/O$18*-1</f>
        <v>6.4419916908032157E-2</v>
      </c>
      <c r="P185" s="286">
        <f t="shared" si="116"/>
        <v>6.142458703167214E-2</v>
      </c>
      <c r="Q185" s="286">
        <f t="shared" si="116"/>
        <v>6.6993121024042451E-2</v>
      </c>
      <c r="R185" s="328">
        <f>O185</f>
        <v>6.4419916908032157E-2</v>
      </c>
      <c r="S185" s="328">
        <f t="shared" ref="S185:W187" si="117">R185</f>
        <v>6.4419916908032157E-2</v>
      </c>
      <c r="T185" s="328">
        <f t="shared" si="117"/>
        <v>6.4419916908032157E-2</v>
      </c>
      <c r="U185" s="328">
        <f t="shared" si="117"/>
        <v>6.4419916908032157E-2</v>
      </c>
      <c r="V185" s="328">
        <f t="shared" si="117"/>
        <v>6.4419916908032157E-2</v>
      </c>
      <c r="W185" s="328">
        <f t="shared" si="117"/>
        <v>6.4419916908032157E-2</v>
      </c>
    </row>
    <row r="186" spans="1:23">
      <c r="B186" s="7" t="s">
        <v>6</v>
      </c>
      <c r="G186" s="286">
        <f t="shared" si="113"/>
        <v>3.6196068664376517E-2</v>
      </c>
      <c r="H186" s="286">
        <f t="shared" si="113"/>
        <v>3.1980302070331319E-2</v>
      </c>
      <c r="I186" s="286">
        <f t="shared" si="113"/>
        <v>3.6573473083317196E-2</v>
      </c>
      <c r="J186" s="286">
        <f t="shared" si="113"/>
        <v>2.7921902268307413E-2</v>
      </c>
      <c r="K186" s="286">
        <f t="shared" si="114"/>
        <v>3.0076249361838576E-2</v>
      </c>
      <c r="L186" s="286">
        <f t="shared" si="114"/>
        <v>2.3230313117524954E-2</v>
      </c>
      <c r="M186" s="286">
        <f t="shared" ref="M186:N186" si="118">M181/M$18*-1</f>
        <v>2.6179037775775977E-2</v>
      </c>
      <c r="N186" s="286">
        <f t="shared" si="118"/>
        <v>3.3606984825979978E-2</v>
      </c>
      <c r="O186" s="286">
        <f t="shared" si="116"/>
        <v>3.0412776672836633E-2</v>
      </c>
      <c r="P186" s="286">
        <f t="shared" si="116"/>
        <v>2.9422226530774278E-2</v>
      </c>
      <c r="Q186" s="286">
        <f t="shared" si="116"/>
        <v>3.1263730593733947E-2</v>
      </c>
      <c r="R186" s="328">
        <f>O186</f>
        <v>3.0412776672836633E-2</v>
      </c>
      <c r="S186" s="328">
        <f t="shared" si="117"/>
        <v>3.0412776672836633E-2</v>
      </c>
      <c r="T186" s="328">
        <f t="shared" si="117"/>
        <v>3.0412776672836633E-2</v>
      </c>
      <c r="U186" s="328">
        <f t="shared" si="117"/>
        <v>3.0412776672836633E-2</v>
      </c>
      <c r="V186" s="328">
        <f t="shared" si="117"/>
        <v>3.0412776672836633E-2</v>
      </c>
      <c r="W186" s="328">
        <f t="shared" si="117"/>
        <v>3.0412776672836633E-2</v>
      </c>
    </row>
    <row r="187" spans="1:23">
      <c r="B187" s="7" t="s">
        <v>160</v>
      </c>
      <c r="G187" s="286">
        <f t="shared" si="113"/>
        <v>1.6569435993827061E-3</v>
      </c>
      <c r="H187" s="286">
        <f t="shared" si="113"/>
        <v>2.2623026697675477E-3</v>
      </c>
      <c r="I187" s="286">
        <f t="shared" si="113"/>
        <v>2.379567365718599E-3</v>
      </c>
      <c r="J187" s="286">
        <f t="shared" si="113"/>
        <v>3.3354060928215135E-3</v>
      </c>
      <c r="K187" s="286">
        <f t="shared" si="114"/>
        <v>4.1866837352016123E-3</v>
      </c>
      <c r="L187" s="286">
        <f t="shared" si="114"/>
        <v>3.4729979965884713E-3</v>
      </c>
      <c r="M187" s="286">
        <f t="shared" ref="M187:N187" si="119">M182/M$18*-1</f>
        <v>3.7769781814346918E-3</v>
      </c>
      <c r="N187" s="286">
        <f t="shared" si="119"/>
        <v>4.5607561430261265E-3</v>
      </c>
      <c r="O187" s="286">
        <f t="shared" si="116"/>
        <v>4.223711473987906E-3</v>
      </c>
      <c r="P187" s="286">
        <f t="shared" si="116"/>
        <v>2.758825340211091E-3</v>
      </c>
      <c r="Q187" s="286">
        <f t="shared" si="116"/>
        <v>5.4821541779686827E-3</v>
      </c>
      <c r="R187" s="328">
        <f>O187</f>
        <v>4.223711473987906E-3</v>
      </c>
      <c r="S187" s="328">
        <f t="shared" si="117"/>
        <v>4.223711473987906E-3</v>
      </c>
      <c r="T187" s="328">
        <f t="shared" si="117"/>
        <v>4.223711473987906E-3</v>
      </c>
      <c r="U187" s="328">
        <f t="shared" si="117"/>
        <v>4.223711473987906E-3</v>
      </c>
      <c r="V187" s="328">
        <f t="shared" si="117"/>
        <v>4.223711473987906E-3</v>
      </c>
      <c r="W187" s="328">
        <f t="shared" si="117"/>
        <v>4.223711473987906E-3</v>
      </c>
    </row>
    <row r="189" spans="1:23" ht="12.75">
      <c r="A189" s="8" t="s">
        <v>163</v>
      </c>
    </row>
    <row r="191" spans="1:23" s="3" customFormat="1">
      <c r="A191" s="3" t="s">
        <v>425</v>
      </c>
      <c r="G191" s="279"/>
      <c r="H191" s="279"/>
      <c r="I191" s="279"/>
      <c r="J191" s="279"/>
      <c r="K191" s="279"/>
      <c r="L191" s="279"/>
      <c r="M191" s="279"/>
      <c r="N191" s="279"/>
      <c r="O191" s="279"/>
      <c r="P191" s="279"/>
      <c r="Q191" s="279"/>
      <c r="R191" s="279"/>
      <c r="S191" s="279"/>
      <c r="T191" s="279"/>
      <c r="U191" s="279"/>
      <c r="V191" s="279"/>
      <c r="W191" s="279"/>
    </row>
    <row r="192" spans="1:23">
      <c r="B192" s="7" t="s">
        <v>155</v>
      </c>
      <c r="G192" s="285">
        <f>FS!G20</f>
        <v>-1787</v>
      </c>
      <c r="H192" s="285">
        <f>FS!H20</f>
        <v>-3473</v>
      </c>
      <c r="I192" s="285">
        <f>FS!I20</f>
        <v>-4098</v>
      </c>
      <c r="J192" s="285">
        <f>FS!J20</f>
        <v>4480</v>
      </c>
      <c r="K192" s="285">
        <f>FS!K20</f>
        <v>1638</v>
      </c>
      <c r="L192" s="285">
        <f>FS!L20</f>
        <v>-3524</v>
      </c>
      <c r="O192" s="285">
        <f>FS!O20</f>
        <v>-329</v>
      </c>
      <c r="P192" s="285">
        <f>FS!P20</f>
        <v>-1101</v>
      </c>
      <c r="Q192" s="318"/>
      <c r="R192" s="318">
        <v>0</v>
      </c>
      <c r="S192" s="318">
        <v>0</v>
      </c>
      <c r="T192" s="318">
        <v>0</v>
      </c>
      <c r="U192" s="318">
        <v>0</v>
      </c>
      <c r="V192" s="318">
        <v>0</v>
      </c>
      <c r="W192" s="318">
        <v>0</v>
      </c>
    </row>
    <row r="193" spans="1:58">
      <c r="B193" s="7" t="s">
        <v>231</v>
      </c>
      <c r="G193" s="285">
        <f>FS!G21</f>
        <v>-14827</v>
      </c>
      <c r="H193" s="285">
        <f>FS!H21</f>
        <v>0</v>
      </c>
      <c r="I193" s="285">
        <f>FS!I21</f>
        <v>0</v>
      </c>
      <c r="J193" s="285">
        <f>FS!J21</f>
        <v>-59999</v>
      </c>
      <c r="K193" s="285">
        <f>FS!K21</f>
        <v>-65524</v>
      </c>
      <c r="L193" s="285">
        <f>FS!L21</f>
        <v>0</v>
      </c>
      <c r="O193" s="285">
        <f>FS!O21</f>
        <v>0</v>
      </c>
      <c r="P193" s="285">
        <f>FS!P21</f>
        <v>0</v>
      </c>
      <c r="Q193" s="318"/>
      <c r="R193" s="318">
        <f t="shared" ref="R193:W193" si="120">R277+R284</f>
        <v>0</v>
      </c>
      <c r="S193" s="318">
        <f t="shared" si="120"/>
        <v>0</v>
      </c>
      <c r="T193" s="318">
        <f t="shared" si="120"/>
        <v>0</v>
      </c>
      <c r="U193" s="318">
        <f t="shared" si="120"/>
        <v>0</v>
      </c>
      <c r="V193" s="318">
        <f t="shared" si="120"/>
        <v>0</v>
      </c>
      <c r="W193" s="318">
        <f t="shared" si="120"/>
        <v>0</v>
      </c>
    </row>
    <row r="195" spans="1:58">
      <c r="A195" s="3" t="s">
        <v>171</v>
      </c>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row>
    <row r="196" spans="1:58">
      <c r="B196" s="7" t="s">
        <v>53</v>
      </c>
      <c r="I196" s="285">
        <f>G199</f>
        <v>0</v>
      </c>
      <c r="J196" s="285">
        <f>I199</f>
        <v>2820</v>
      </c>
      <c r="K196" s="285">
        <f>I199</f>
        <v>2820</v>
      </c>
      <c r="L196" s="285">
        <f>K199</f>
        <v>3016</v>
      </c>
      <c r="O196" s="285">
        <f>K199</f>
        <v>3016</v>
      </c>
      <c r="P196" s="285">
        <f>O199</f>
        <v>0</v>
      </c>
      <c r="R196" s="285">
        <f>O199</f>
        <v>0</v>
      </c>
      <c r="S196" s="285">
        <f>R199</f>
        <v>0</v>
      </c>
      <c r="T196" s="285">
        <f>S199</f>
        <v>0</v>
      </c>
      <c r="U196" s="285">
        <f>T199</f>
        <v>0</v>
      </c>
      <c r="V196" s="285">
        <f>U199</f>
        <v>0</v>
      </c>
      <c r="W196" s="285">
        <f>V199</f>
        <v>0</v>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row>
    <row r="197" spans="1:58">
      <c r="C197" s="7" t="s">
        <v>406</v>
      </c>
      <c r="G197" s="285">
        <f>FS!G22</f>
        <v>0</v>
      </c>
      <c r="I197" s="285">
        <f>FS!I22</f>
        <v>-180</v>
      </c>
      <c r="J197" s="285">
        <f>FS!J22</f>
        <v>36</v>
      </c>
      <c r="K197" s="285">
        <f>FS!K22</f>
        <v>196</v>
      </c>
      <c r="L197" s="285">
        <f>FS!L22</f>
        <v>-3016</v>
      </c>
      <c r="O197" s="285">
        <f>FS!O22</f>
        <v>-3016</v>
      </c>
      <c r="P197" s="285">
        <f>FS!P22</f>
        <v>-1154</v>
      </c>
      <c r="R197" s="285">
        <f t="shared" ref="R197:W197" si="121">R196*R200</f>
        <v>0</v>
      </c>
      <c r="S197" s="285">
        <f t="shared" si="121"/>
        <v>0</v>
      </c>
      <c r="T197" s="285">
        <f t="shared" si="121"/>
        <v>0</v>
      </c>
      <c r="U197" s="285">
        <f t="shared" si="121"/>
        <v>0</v>
      </c>
      <c r="V197" s="285">
        <f t="shared" si="121"/>
        <v>0</v>
      </c>
      <c r="W197" s="285">
        <f t="shared" si="121"/>
        <v>0</v>
      </c>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row>
    <row r="198" spans="1:58">
      <c r="C198" s="7" t="s">
        <v>420</v>
      </c>
      <c r="I198" s="285">
        <f>I199-I197</f>
        <v>3000</v>
      </c>
      <c r="J198" s="285">
        <v>0</v>
      </c>
      <c r="K198" s="285">
        <f>K199-K197</f>
        <v>2820</v>
      </c>
      <c r="L198" s="285">
        <v>0</v>
      </c>
      <c r="O198" s="285">
        <v>0</v>
      </c>
      <c r="P198" s="285">
        <f>P199-P197</f>
        <v>105000</v>
      </c>
      <c r="R198" s="285">
        <v>0</v>
      </c>
      <c r="S198" s="285">
        <v>0</v>
      </c>
      <c r="T198" s="285">
        <v>0</v>
      </c>
      <c r="U198" s="285">
        <v>0</v>
      </c>
      <c r="V198" s="285">
        <v>0</v>
      </c>
      <c r="W198" s="285">
        <v>0</v>
      </c>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row>
    <row r="199" spans="1:58">
      <c r="B199" s="7" t="s">
        <v>55</v>
      </c>
      <c r="G199" s="285">
        <f>FS!G85</f>
        <v>0</v>
      </c>
      <c r="I199" s="285">
        <f>FS!I85</f>
        <v>2820</v>
      </c>
      <c r="J199" s="285">
        <f>FS!J85</f>
        <v>2856</v>
      </c>
      <c r="K199" s="285">
        <f>FS!K85</f>
        <v>3016</v>
      </c>
      <c r="L199" s="285">
        <f>FS!L85</f>
        <v>0</v>
      </c>
      <c r="O199" s="285">
        <f>FS!O85</f>
        <v>0</v>
      </c>
      <c r="P199" s="285">
        <f>FS!P85</f>
        <v>103846</v>
      </c>
      <c r="R199" s="285">
        <f t="shared" ref="R199:W199" si="122">SUM(R196:R198)</f>
        <v>0</v>
      </c>
      <c r="S199" s="285">
        <f t="shared" si="122"/>
        <v>0</v>
      </c>
      <c r="T199" s="285">
        <f t="shared" si="122"/>
        <v>0</v>
      </c>
      <c r="U199" s="285">
        <f t="shared" si="122"/>
        <v>0</v>
      </c>
      <c r="V199" s="285">
        <f t="shared" si="122"/>
        <v>0</v>
      </c>
      <c r="W199" s="285">
        <f t="shared" si="122"/>
        <v>0</v>
      </c>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row>
    <row r="200" spans="1:58">
      <c r="B200" s="7" t="s">
        <v>419</v>
      </c>
      <c r="J200" s="296">
        <f>J197/J196</f>
        <v>1.276595744680851E-2</v>
      </c>
      <c r="K200" s="296">
        <f>K197/K196</f>
        <v>6.9503546099290783E-2</v>
      </c>
      <c r="L200" s="296">
        <f>L197/L196</f>
        <v>-1</v>
      </c>
      <c r="M200" s="296"/>
      <c r="N200" s="296"/>
      <c r="O200" s="296">
        <f>O197/O196</f>
        <v>-1</v>
      </c>
      <c r="P200" s="296"/>
      <c r="Q200" s="329"/>
      <c r="R200" s="329">
        <v>0</v>
      </c>
      <c r="S200" s="329">
        <f>R200</f>
        <v>0</v>
      </c>
      <c r="T200" s="329">
        <f>S200</f>
        <v>0</v>
      </c>
      <c r="U200" s="329">
        <f>T200</f>
        <v>0</v>
      </c>
      <c r="V200" s="329">
        <f>U200</f>
        <v>0</v>
      </c>
      <c r="W200" s="329">
        <f>V200</f>
        <v>0</v>
      </c>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row>
    <row r="201" spans="1:58">
      <c r="G201" s="297"/>
      <c r="H201" s="297"/>
      <c r="I201" s="297"/>
      <c r="J201" s="297"/>
      <c r="K201" s="297"/>
      <c r="L201" s="297"/>
      <c r="M201" s="297"/>
      <c r="N201" s="297"/>
      <c r="O201" s="297"/>
      <c r="P201" s="297"/>
      <c r="Q201" s="297"/>
      <c r="R201" s="297"/>
      <c r="S201" s="297"/>
      <c r="T201" s="297"/>
      <c r="U201" s="297"/>
      <c r="V201" s="297"/>
      <c r="W201" s="297"/>
      <c r="X201" s="34"/>
    </row>
    <row r="202" spans="1:58" ht="12.75">
      <c r="A202" s="8" t="s">
        <v>225</v>
      </c>
      <c r="X202" s="34"/>
    </row>
    <row r="203" spans="1:58">
      <c r="X203" s="34"/>
    </row>
    <row r="204" spans="1:58">
      <c r="B204" s="7" t="s">
        <v>226</v>
      </c>
      <c r="G204" s="285">
        <v>79441</v>
      </c>
      <c r="H204" s="285">
        <v>10001</v>
      </c>
      <c r="I204" s="285">
        <v>46890</v>
      </c>
      <c r="J204" s="285">
        <v>68004</v>
      </c>
      <c r="K204" s="285">
        <v>115821</v>
      </c>
      <c r="L204" s="285">
        <v>22468</v>
      </c>
      <c r="O204" s="285">
        <v>32784</v>
      </c>
      <c r="P204" s="330"/>
      <c r="Q204" s="285">
        <f>R204-P204</f>
        <v>80474.455010339021</v>
      </c>
      <c r="R204" s="285">
        <f t="shared" ref="R204:W204" si="123">R18*R205</f>
        <v>80474.455010339021</v>
      </c>
      <c r="S204" s="285">
        <f t="shared" si="123"/>
        <v>89294.608774933877</v>
      </c>
      <c r="T204" s="285">
        <f t="shared" si="123"/>
        <v>103794.73317670706</v>
      </c>
      <c r="U204" s="285">
        <f t="shared" si="123"/>
        <v>119122.58090706747</v>
      </c>
      <c r="V204" s="285">
        <f t="shared" si="123"/>
        <v>134451.05708208698</v>
      </c>
      <c r="W204" s="285">
        <f t="shared" si="123"/>
        <v>144086.83630594745</v>
      </c>
      <c r="X204" s="34"/>
    </row>
    <row r="205" spans="1:58" s="27" customFormat="1">
      <c r="C205" s="27" t="s">
        <v>232</v>
      </c>
      <c r="G205" s="298">
        <f t="shared" ref="G205:L205" si="124">G204/G18</f>
        <v>7.67472779887829E-3</v>
      </c>
      <c r="H205" s="298">
        <f t="shared" si="124"/>
        <v>9.4856988933193212E-4</v>
      </c>
      <c r="I205" s="298">
        <f t="shared" si="124"/>
        <v>3.4539968356409453E-3</v>
      </c>
      <c r="J205" s="298">
        <f t="shared" si="124"/>
        <v>4.417758135212866E-3</v>
      </c>
      <c r="K205" s="298">
        <f t="shared" si="124"/>
        <v>5.7047752575857171E-3</v>
      </c>
      <c r="L205" s="298">
        <f t="shared" si="124"/>
        <v>1.204094112913352E-3</v>
      </c>
      <c r="M205" s="298"/>
      <c r="N205" s="298"/>
      <c r="O205" s="298">
        <f>O204/O18</f>
        <v>1.3203981783467104E-3</v>
      </c>
      <c r="P205" s="330"/>
      <c r="Q205" s="330"/>
      <c r="R205" s="330">
        <v>2.5000000000000001E-3</v>
      </c>
      <c r="S205" s="330">
        <f>R205</f>
        <v>2.5000000000000001E-3</v>
      </c>
      <c r="T205" s="330">
        <f>S205</f>
        <v>2.5000000000000001E-3</v>
      </c>
      <c r="U205" s="330">
        <f>T205</f>
        <v>2.5000000000000001E-3</v>
      </c>
      <c r="V205" s="330">
        <f>U205</f>
        <v>2.5000000000000001E-3</v>
      </c>
      <c r="W205" s="330">
        <f>V205</f>
        <v>2.5000000000000001E-3</v>
      </c>
      <c r="X205" s="35"/>
    </row>
    <row r="206" spans="1:58">
      <c r="B206" s="7" t="s">
        <v>227</v>
      </c>
      <c r="G206" s="285">
        <v>25999</v>
      </c>
      <c r="H206" s="285">
        <v>26199</v>
      </c>
      <c r="I206" s="285">
        <v>25644</v>
      </c>
      <c r="J206" s="285">
        <v>44113</v>
      </c>
      <c r="K206" s="285">
        <v>53333</v>
      </c>
      <c r="L206" s="285">
        <v>28102</v>
      </c>
      <c r="O206" s="285">
        <v>45170</v>
      </c>
      <c r="P206" s="318"/>
      <c r="Q206" s="318"/>
      <c r="R206" s="318">
        <v>0</v>
      </c>
      <c r="S206" s="318">
        <v>0</v>
      </c>
      <c r="T206" s="318">
        <v>0</v>
      </c>
      <c r="U206" s="318">
        <v>0</v>
      </c>
      <c r="V206" s="318">
        <v>0</v>
      </c>
      <c r="W206" s="318">
        <v>0</v>
      </c>
      <c r="X206" s="34"/>
    </row>
    <row r="207" spans="1:58">
      <c r="B207" s="7" t="s">
        <v>66</v>
      </c>
      <c r="G207" s="285">
        <v>38221</v>
      </c>
      <c r="H207" s="285">
        <v>32715</v>
      </c>
      <c r="I207" s="285">
        <v>44322</v>
      </c>
      <c r="J207" s="285">
        <v>36781</v>
      </c>
      <c r="K207" s="285">
        <v>53801</v>
      </c>
      <c r="L207" s="285">
        <v>77339</v>
      </c>
      <c r="O207" s="285">
        <v>107015</v>
      </c>
      <c r="P207" s="330"/>
      <c r="Q207" s="285">
        <f t="shared" ref="Q207:V207" si="125">Q368</f>
        <v>70636.587500000009</v>
      </c>
      <c r="R207" s="285">
        <f t="shared" si="125"/>
        <v>141273.17500000002</v>
      </c>
      <c r="S207" s="285">
        <f t="shared" si="125"/>
        <v>246072.76274456695</v>
      </c>
      <c r="T207" s="285">
        <f t="shared" si="125"/>
        <v>342792.82537150139</v>
      </c>
      <c r="U207" s="285">
        <f t="shared" si="125"/>
        <v>470880.28342740651</v>
      </c>
      <c r="V207" s="285">
        <f t="shared" si="125"/>
        <v>622362.75034131878</v>
      </c>
      <c r="W207" s="285">
        <f t="shared" ref="W207" si="126">W368</f>
        <v>797577.14420087077</v>
      </c>
      <c r="X207" s="34"/>
    </row>
    <row r="208" spans="1:58">
      <c r="B208" s="7" t="s">
        <v>229</v>
      </c>
      <c r="G208" s="285">
        <v>-1156</v>
      </c>
      <c r="H208" s="285">
        <v>-265</v>
      </c>
      <c r="I208" s="285">
        <v>-303</v>
      </c>
      <c r="J208" s="285">
        <v>444</v>
      </c>
      <c r="K208" s="285">
        <v>198</v>
      </c>
      <c r="L208" s="285">
        <v>-4937</v>
      </c>
      <c r="O208" s="285">
        <v>-5836</v>
      </c>
      <c r="P208" s="330"/>
      <c r="R208" s="285">
        <f t="shared" ref="R208:W208" si="127">R276</f>
        <v>0</v>
      </c>
      <c r="S208" s="285">
        <f t="shared" si="127"/>
        <v>0</v>
      </c>
      <c r="T208" s="285">
        <f t="shared" si="127"/>
        <v>0</v>
      </c>
      <c r="U208" s="285">
        <f t="shared" si="127"/>
        <v>0</v>
      </c>
      <c r="V208" s="285">
        <f t="shared" si="127"/>
        <v>0</v>
      </c>
      <c r="W208" s="285">
        <f t="shared" si="127"/>
        <v>0</v>
      </c>
      <c r="X208" s="34"/>
    </row>
    <row r="209" spans="1:58">
      <c r="B209" s="7" t="s">
        <v>228</v>
      </c>
      <c r="G209" s="285">
        <v>-994</v>
      </c>
      <c r="H209" s="285">
        <v>252</v>
      </c>
      <c r="I209" s="285">
        <v>-163</v>
      </c>
      <c r="J209" s="285">
        <v>12594</v>
      </c>
      <c r="K209" s="285">
        <v>31963</v>
      </c>
      <c r="L209" s="285">
        <v>-3139</v>
      </c>
      <c r="O209" s="285">
        <v>5620</v>
      </c>
      <c r="P209" s="330"/>
      <c r="R209" s="285">
        <v>0</v>
      </c>
      <c r="S209" s="285">
        <f>R209/2</f>
        <v>0</v>
      </c>
      <c r="T209" s="285">
        <f>S209/2</f>
        <v>0</v>
      </c>
      <c r="U209" s="285">
        <f>T209/2</f>
        <v>0</v>
      </c>
      <c r="V209" s="285">
        <f>U209/2</f>
        <v>0</v>
      </c>
      <c r="W209" s="285">
        <f>V209/2</f>
        <v>0</v>
      </c>
    </row>
    <row r="210" spans="1:58">
      <c r="B210" s="7" t="s">
        <v>3</v>
      </c>
      <c r="G210" s="285">
        <f t="shared" ref="G210:O210" si="128">G211-SUM(G204:G209)</f>
        <v>-6330.0076747277926</v>
      </c>
      <c r="H210" s="285">
        <f t="shared" si="128"/>
        <v>10925.999051430117</v>
      </c>
      <c r="I210" s="285">
        <f t="shared" si="128"/>
        <v>11524.996546003167</v>
      </c>
      <c r="J210" s="285">
        <f t="shared" si="128"/>
        <v>-12312.004417758144</v>
      </c>
      <c r="K210" s="285">
        <f t="shared" si="128"/>
        <v>-7484.005704775278</v>
      </c>
      <c r="L210" s="285">
        <f t="shared" si="128"/>
        <v>15673.998795905878</v>
      </c>
      <c r="O210" s="285">
        <f t="shared" si="128"/>
        <v>34793.99867960182</v>
      </c>
      <c r="P210" s="330"/>
      <c r="R210" s="285">
        <f>O210</f>
        <v>34793.99867960182</v>
      </c>
      <c r="S210" s="285">
        <f>R210</f>
        <v>34793.99867960182</v>
      </c>
      <c r="T210" s="285">
        <f>S210</f>
        <v>34793.99867960182</v>
      </c>
      <c r="U210" s="285">
        <f>T210</f>
        <v>34793.99867960182</v>
      </c>
      <c r="V210" s="285">
        <f>U210</f>
        <v>34793.99867960182</v>
      </c>
      <c r="W210" s="285">
        <f>V210</f>
        <v>34793.99867960182</v>
      </c>
    </row>
    <row r="211" spans="1:58">
      <c r="B211" s="11" t="s">
        <v>206</v>
      </c>
      <c r="C211" s="11"/>
      <c r="D211" s="11"/>
      <c r="E211" s="11"/>
      <c r="F211" s="11"/>
      <c r="G211" s="287">
        <v>135181</v>
      </c>
      <c r="H211" s="287">
        <v>79828</v>
      </c>
      <c r="I211" s="287">
        <v>127915</v>
      </c>
      <c r="J211" s="287">
        <v>149624</v>
      </c>
      <c r="K211" s="287">
        <v>247632</v>
      </c>
      <c r="L211" s="287">
        <v>135507</v>
      </c>
      <c r="M211" s="287"/>
      <c r="N211" s="287"/>
      <c r="O211" s="287">
        <v>219547</v>
      </c>
      <c r="P211" s="287">
        <f t="shared" ref="P211:V211" si="129">SUM(P206:P210,P204)</f>
        <v>0</v>
      </c>
      <c r="Q211" s="287">
        <f t="shared" si="129"/>
        <v>151111.04251033903</v>
      </c>
      <c r="R211" s="287">
        <f t="shared" si="129"/>
        <v>256541.62868994084</v>
      </c>
      <c r="S211" s="287">
        <f t="shared" si="129"/>
        <v>370161.37019910268</v>
      </c>
      <c r="T211" s="287">
        <f t="shared" si="129"/>
        <v>481381.55722781026</v>
      </c>
      <c r="U211" s="287">
        <f t="shared" si="129"/>
        <v>624796.86301407579</v>
      </c>
      <c r="V211" s="287">
        <f t="shared" si="129"/>
        <v>791607.80610300764</v>
      </c>
      <c r="W211" s="287">
        <f t="shared" ref="W211" si="130">SUM(W206:W210,W204)</f>
        <v>976457.9791864201</v>
      </c>
    </row>
    <row r="212" spans="1:58">
      <c r="B212" s="7" t="s">
        <v>448</v>
      </c>
      <c r="G212" s="285">
        <f t="shared" ref="G212:U212" si="131">-G207</f>
        <v>-38221</v>
      </c>
      <c r="H212" s="285">
        <f t="shared" si="131"/>
        <v>-32715</v>
      </c>
      <c r="I212" s="285">
        <f t="shared" si="131"/>
        <v>-44322</v>
      </c>
      <c r="J212" s="285">
        <f t="shared" si="131"/>
        <v>-36781</v>
      </c>
      <c r="K212" s="285">
        <f t="shared" si="131"/>
        <v>-53801</v>
      </c>
      <c r="L212" s="285">
        <f>-L207</f>
        <v>-77339</v>
      </c>
      <c r="O212" s="285">
        <f t="shared" si="131"/>
        <v>-107015</v>
      </c>
      <c r="P212" s="285">
        <f t="shared" si="131"/>
        <v>0</v>
      </c>
      <c r="Q212" s="285">
        <f t="shared" si="131"/>
        <v>-70636.587500000009</v>
      </c>
      <c r="R212" s="285">
        <f t="shared" si="131"/>
        <v>-141273.17500000002</v>
      </c>
      <c r="S212" s="285">
        <f t="shared" si="131"/>
        <v>-246072.76274456695</v>
      </c>
      <c r="T212" s="285">
        <f t="shared" si="131"/>
        <v>-342792.82537150139</v>
      </c>
      <c r="U212" s="285">
        <f t="shared" si="131"/>
        <v>-470880.28342740651</v>
      </c>
      <c r="V212" s="285">
        <f>-V207</f>
        <v>-622362.75034131878</v>
      </c>
      <c r="W212" s="285">
        <f>-W207</f>
        <v>-797577.14420087077</v>
      </c>
      <c r="X212" s="34"/>
    </row>
    <row r="213" spans="1:58">
      <c r="B213" s="11" t="s">
        <v>449</v>
      </c>
      <c r="C213" s="11"/>
      <c r="D213" s="11"/>
      <c r="E213" s="11"/>
      <c r="F213" s="11"/>
      <c r="G213" s="287">
        <f t="shared" ref="G213:L213" si="132">SUM(G211:G212)</f>
        <v>96960</v>
      </c>
      <c r="H213" s="287">
        <f t="shared" si="132"/>
        <v>47113</v>
      </c>
      <c r="I213" s="287">
        <f t="shared" si="132"/>
        <v>83593</v>
      </c>
      <c r="J213" s="287">
        <f t="shared" si="132"/>
        <v>112843</v>
      </c>
      <c r="K213" s="287">
        <f t="shared" si="132"/>
        <v>193831</v>
      </c>
      <c r="L213" s="287">
        <f t="shared" si="132"/>
        <v>58168</v>
      </c>
      <c r="M213" s="287"/>
      <c r="N213" s="287"/>
      <c r="O213" s="287">
        <f>SUM(O204,O206,O208:O210)</f>
        <v>112531.99867960182</v>
      </c>
      <c r="P213" s="287">
        <f>FS!P19</f>
        <v>87965.412499999991</v>
      </c>
      <c r="Q213" s="287">
        <f t="shared" ref="Q213:V213" si="133">SUM(Q204,Q206,Q208:Q210)</f>
        <v>80474.455010339021</v>
      </c>
      <c r="R213" s="287">
        <f t="shared" si="133"/>
        <v>115268.45368994084</v>
      </c>
      <c r="S213" s="287">
        <f t="shared" si="133"/>
        <v>124088.6074545357</v>
      </c>
      <c r="T213" s="287">
        <f t="shared" si="133"/>
        <v>138588.73185630888</v>
      </c>
      <c r="U213" s="287">
        <f t="shared" si="133"/>
        <v>153916.57958666928</v>
      </c>
      <c r="V213" s="287">
        <f t="shared" si="133"/>
        <v>169245.0557616888</v>
      </c>
      <c r="W213" s="287">
        <f t="shared" ref="W213" si="134">SUM(W204,W206,W208:W210)</f>
        <v>178880.83498554927</v>
      </c>
      <c r="X213" s="34"/>
    </row>
    <row r="214" spans="1:58">
      <c r="X214" s="34"/>
    </row>
    <row r="215" spans="1:58">
      <c r="X215" s="34"/>
    </row>
    <row r="216" spans="1:58" ht="12.75">
      <c r="A216" s="8" t="s">
        <v>52</v>
      </c>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row>
    <row r="217" spans="1:58">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row>
    <row r="218" spans="1:58">
      <c r="B218" s="3" t="s">
        <v>16</v>
      </c>
      <c r="C218" s="3"/>
      <c r="D218" s="3"/>
      <c r="E218" s="3"/>
      <c r="F218" s="3"/>
      <c r="G218" s="279"/>
      <c r="H218" s="279"/>
      <c r="K218" s="279"/>
      <c r="O218" s="279"/>
      <c r="P218" s="279"/>
      <c r="Q218" s="279"/>
      <c r="R218" s="279"/>
      <c r="S218" s="279"/>
      <c r="T218" s="279"/>
      <c r="U218" s="279"/>
      <c r="V218" s="279"/>
      <c r="W218" s="279"/>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row>
    <row r="219" spans="1:58">
      <c r="B219" s="7" t="s">
        <v>53</v>
      </c>
      <c r="H219" s="320"/>
      <c r="I219" s="285">
        <f>G221</f>
        <v>1251915</v>
      </c>
      <c r="J219" s="285">
        <f>I221</f>
        <v>1541156</v>
      </c>
      <c r="K219" s="285">
        <f>I221</f>
        <v>1541156</v>
      </c>
      <c r="L219" s="285">
        <f>K221</f>
        <v>2231714</v>
      </c>
      <c r="O219" s="285">
        <f>K221</f>
        <v>2231714</v>
      </c>
      <c r="R219" s="285">
        <f>O221</f>
        <v>2215352</v>
      </c>
      <c r="S219" s="285">
        <f>R221</f>
        <v>2923795.2220680998</v>
      </c>
      <c r="T219" s="285">
        <f>S221</f>
        <v>3241944.3224111204</v>
      </c>
      <c r="U219" s="285">
        <f>T221</f>
        <v>3768574.9629154252</v>
      </c>
      <c r="V219" s="285">
        <f>U221</f>
        <v>4324055.9735740926</v>
      </c>
      <c r="W219" s="285">
        <f>V221</f>
        <v>4879002.7922529513</v>
      </c>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row>
    <row r="220" spans="1:58">
      <c r="C220" s="7" t="s">
        <v>58</v>
      </c>
      <c r="H220" s="320"/>
      <c r="I220" s="285">
        <f t="shared" ref="I220:U220" si="135">I221-I219</f>
        <v>289241</v>
      </c>
      <c r="J220" s="285">
        <f t="shared" si="135"/>
        <v>833769</v>
      </c>
      <c r="K220" s="285">
        <f t="shared" si="135"/>
        <v>690558</v>
      </c>
      <c r="L220" s="285">
        <f>L221-L219</f>
        <v>-391945</v>
      </c>
      <c r="O220" s="285">
        <f t="shared" si="135"/>
        <v>-16362</v>
      </c>
      <c r="R220" s="285">
        <f t="shared" si="135"/>
        <v>708443.22206809977</v>
      </c>
      <c r="S220" s="285">
        <f t="shared" si="135"/>
        <v>318149.10034302063</v>
      </c>
      <c r="T220" s="285">
        <f t="shared" si="135"/>
        <v>526630.64050430479</v>
      </c>
      <c r="U220" s="285">
        <f t="shared" si="135"/>
        <v>555481.01065866742</v>
      </c>
      <c r="V220" s="285">
        <f>V221-V219</f>
        <v>554946.81867885869</v>
      </c>
      <c r="W220" s="285">
        <f>W221-W219</f>
        <v>342617.15543151926</v>
      </c>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row>
    <row r="221" spans="1:58">
      <c r="B221" s="7" t="s">
        <v>55</v>
      </c>
      <c r="G221" s="285">
        <f>FS!G75</f>
        <v>1251915</v>
      </c>
      <c r="H221" s="320"/>
      <c r="I221" s="285">
        <f>FS!I75</f>
        <v>1541156</v>
      </c>
      <c r="J221" s="285">
        <f>FS!J75</f>
        <v>2374925</v>
      </c>
      <c r="K221" s="285">
        <f>FS!K75</f>
        <v>2231714</v>
      </c>
      <c r="L221" s="285">
        <f>FS!L75</f>
        <v>1839769</v>
      </c>
      <c r="O221" s="285">
        <f>FS!O75</f>
        <v>2215352</v>
      </c>
      <c r="R221" s="285">
        <f t="shared" ref="R221:W221" si="136">R222*R$49/365</f>
        <v>2923795.2220680998</v>
      </c>
      <c r="S221" s="285">
        <f t="shared" si="136"/>
        <v>3241944.3224111204</v>
      </c>
      <c r="T221" s="285">
        <f t="shared" si="136"/>
        <v>3768574.9629154252</v>
      </c>
      <c r="U221" s="285">
        <f t="shared" si="136"/>
        <v>4324055.9735740926</v>
      </c>
      <c r="V221" s="285">
        <f t="shared" si="136"/>
        <v>4879002.7922529513</v>
      </c>
      <c r="W221" s="285">
        <f t="shared" si="136"/>
        <v>5221619.9476844706</v>
      </c>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row>
    <row r="222" spans="1:58">
      <c r="B222" s="20" t="s">
        <v>166</v>
      </c>
      <c r="D222" s="20"/>
      <c r="E222" s="20"/>
      <c r="F222" s="20"/>
      <c r="G222" s="285">
        <f>G221/G$49*365</f>
        <v>-64.294498731132308</v>
      </c>
      <c r="H222" s="320"/>
      <c r="I222" s="285">
        <f>I221/I49*365</f>
        <v>-57.82063658808849</v>
      </c>
      <c r="J222" s="285">
        <f>J221/J18*270</f>
        <v>41.656342929871954</v>
      </c>
      <c r="K222" s="285">
        <f>K221/K49*365</f>
        <v>-56.989797664433034</v>
      </c>
      <c r="L222" s="285">
        <f>L221/L49*270</f>
        <v>-39.363485893653419</v>
      </c>
      <c r="O222" s="285">
        <f>O221/O49*365</f>
        <v>-48.221094735795035</v>
      </c>
      <c r="P222" s="318"/>
      <c r="Q222" s="318"/>
      <c r="R222" s="318">
        <f>O222</f>
        <v>-48.221094735795035</v>
      </c>
      <c r="S222" s="318">
        <f>R222</f>
        <v>-48.221094735795035</v>
      </c>
      <c r="T222" s="318">
        <f>S222</f>
        <v>-48.221094735795035</v>
      </c>
      <c r="U222" s="318">
        <f>T222</f>
        <v>-48.221094735795035</v>
      </c>
      <c r="V222" s="318">
        <f>U222</f>
        <v>-48.221094735795035</v>
      </c>
      <c r="W222" s="318">
        <f>V222</f>
        <v>-48.221094735795035</v>
      </c>
      <c r="X222" s="10"/>
      <c r="Y222" s="10"/>
      <c r="Z222" s="10"/>
      <c r="AA222" s="10"/>
      <c r="AB222" s="10"/>
      <c r="AC222" s="10"/>
      <c r="AD222" s="10"/>
      <c r="AE222" s="10"/>
      <c r="AF222" s="10"/>
      <c r="AG222" s="10"/>
      <c r="AH222" s="10"/>
      <c r="AI222" s="10"/>
      <c r="AJ222" s="10"/>
      <c r="AK222" s="10"/>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c r="B223" s="20"/>
      <c r="C223" s="20"/>
      <c r="D223" s="20"/>
      <c r="E223" s="20"/>
      <c r="F223" s="20"/>
      <c r="H223" s="320"/>
      <c r="X223" s="10"/>
      <c r="Y223" s="10"/>
      <c r="Z223" s="10"/>
      <c r="AA223" s="10"/>
      <c r="AB223" s="10"/>
      <c r="AC223" s="10"/>
      <c r="AD223" s="10"/>
      <c r="AE223" s="10"/>
      <c r="AF223" s="10"/>
      <c r="AG223" s="10"/>
      <c r="AH223" s="10"/>
      <c r="AI223" s="10"/>
      <c r="AJ223" s="10"/>
      <c r="AK223" s="10"/>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c r="B224" s="3" t="s">
        <v>77</v>
      </c>
      <c r="C224" s="3"/>
      <c r="D224" s="3"/>
      <c r="E224" s="3"/>
      <c r="F224" s="3"/>
      <c r="G224" s="279"/>
      <c r="H224" s="331"/>
      <c r="K224" s="279"/>
      <c r="O224" s="279"/>
      <c r="P224" s="279"/>
      <c r="Q224" s="279"/>
      <c r="R224" s="279"/>
      <c r="S224" s="279"/>
      <c r="T224" s="279"/>
      <c r="U224" s="279"/>
      <c r="V224" s="279"/>
      <c r="W224" s="279"/>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row>
    <row r="225" spans="2:58">
      <c r="B225" s="7" t="s">
        <v>53</v>
      </c>
      <c r="H225" s="320"/>
      <c r="I225" s="285">
        <f>G227</f>
        <v>2030</v>
      </c>
      <c r="J225" s="285">
        <f>I227</f>
        <v>15410</v>
      </c>
      <c r="K225" s="285">
        <f>I227</f>
        <v>15410</v>
      </c>
      <c r="L225" s="285">
        <f>K227</f>
        <v>28473</v>
      </c>
      <c r="O225" s="285">
        <f>K227</f>
        <v>28473</v>
      </c>
      <c r="R225" s="285">
        <f>O227</f>
        <v>25624</v>
      </c>
      <c r="S225" s="285">
        <f>R227</f>
        <v>33220.635542069722</v>
      </c>
      <c r="T225" s="285">
        <f>S227</f>
        <v>36861.68056189589</v>
      </c>
      <c r="U225" s="285">
        <f>T227</f>
        <v>42847.472550224251</v>
      </c>
      <c r="V225" s="285">
        <f>U227</f>
        <v>49174.956756600346</v>
      </c>
      <c r="W225" s="285">
        <f>V227</f>
        <v>55502.700391026956</v>
      </c>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row>
    <row r="226" spans="2:58">
      <c r="C226" s="7" t="s">
        <v>54</v>
      </c>
      <c r="H226" s="320"/>
      <c r="I226" s="285">
        <f t="shared" ref="I226:U226" si="137">I227-I225</f>
        <v>13380</v>
      </c>
      <c r="J226" s="285">
        <f t="shared" si="137"/>
        <v>13478</v>
      </c>
      <c r="K226" s="285">
        <f>K227-K225</f>
        <v>13063</v>
      </c>
      <c r="L226" s="285">
        <f>L227-L225</f>
        <v>-6967</v>
      </c>
      <c r="O226" s="285">
        <f t="shared" si="137"/>
        <v>-2849</v>
      </c>
      <c r="R226" s="285">
        <f t="shared" si="137"/>
        <v>7596.6355420697219</v>
      </c>
      <c r="S226" s="285">
        <f t="shared" si="137"/>
        <v>3641.0450198261678</v>
      </c>
      <c r="T226" s="285">
        <f t="shared" si="137"/>
        <v>5985.7919883283612</v>
      </c>
      <c r="U226" s="285">
        <f t="shared" si="137"/>
        <v>6327.4842063760952</v>
      </c>
      <c r="V226" s="285">
        <f>V227-V225</f>
        <v>6327.7436344266098</v>
      </c>
      <c r="W226" s="285">
        <f>W227-W225</f>
        <v>3977.7431200818828</v>
      </c>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row>
    <row r="227" spans="2:58">
      <c r="B227" s="7" t="s">
        <v>55</v>
      </c>
      <c r="G227" s="285">
        <f>FS!G76</f>
        <v>2030</v>
      </c>
      <c r="H227" s="320"/>
      <c r="I227" s="285">
        <f>FS!I76</f>
        <v>15410</v>
      </c>
      <c r="J227" s="285">
        <f>FS!J76</f>
        <v>28888</v>
      </c>
      <c r="K227" s="285">
        <f>FS!K76</f>
        <v>28473</v>
      </c>
      <c r="L227" s="285">
        <f>FS!L76</f>
        <v>21506</v>
      </c>
      <c r="O227" s="285">
        <f>FS!O76</f>
        <v>25624</v>
      </c>
      <c r="R227" s="285">
        <f t="shared" ref="R227:W227" si="138">R228*R$18/365</f>
        <v>33220.635542069722</v>
      </c>
      <c r="S227" s="285">
        <f t="shared" si="138"/>
        <v>36861.68056189589</v>
      </c>
      <c r="T227" s="285">
        <f t="shared" si="138"/>
        <v>42847.472550224251</v>
      </c>
      <c r="U227" s="285">
        <f t="shared" si="138"/>
        <v>49174.956756600346</v>
      </c>
      <c r="V227" s="285">
        <f t="shared" si="138"/>
        <v>55502.700391026956</v>
      </c>
      <c r="W227" s="285">
        <f t="shared" si="138"/>
        <v>59480.443511108839</v>
      </c>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row>
    <row r="228" spans="2:58">
      <c r="B228" s="20" t="s">
        <v>56</v>
      </c>
      <c r="D228" s="20"/>
      <c r="E228" s="20"/>
      <c r="F228" s="20"/>
      <c r="G228" s="285">
        <f>G227/G$18*365</f>
        <v>7.1582552618658743E-2</v>
      </c>
      <c r="H228" s="320"/>
      <c r="I228" s="285">
        <f>I227/I$18*365</f>
        <v>0.41432124763463091</v>
      </c>
      <c r="J228" s="285">
        <f>J227/J$18*270</f>
        <v>0.50669744710175735</v>
      </c>
      <c r="K228" s="285">
        <f>K227/K$18*365</f>
        <v>0.51189079749675714</v>
      </c>
      <c r="L228" s="285">
        <f>L227/L$18*270</f>
        <v>0.31118555091351829</v>
      </c>
      <c r="O228" s="285">
        <f>O227/O$18*365</f>
        <v>0.37668885024749815</v>
      </c>
      <c r="P228" s="318"/>
      <c r="Q228" s="318"/>
      <c r="R228" s="318">
        <f>O228</f>
        <v>0.37668885024749815</v>
      </c>
      <c r="S228" s="318">
        <f>R228</f>
        <v>0.37668885024749815</v>
      </c>
      <c r="T228" s="318">
        <f>S228</f>
        <v>0.37668885024749815</v>
      </c>
      <c r="U228" s="318">
        <f>T228</f>
        <v>0.37668885024749815</v>
      </c>
      <c r="V228" s="318">
        <f>U228</f>
        <v>0.37668885024749815</v>
      </c>
      <c r="W228" s="318">
        <f>V228</f>
        <v>0.37668885024749815</v>
      </c>
      <c r="X228" s="10"/>
      <c r="Y228" s="10"/>
      <c r="Z228" s="10"/>
      <c r="AA228" s="10"/>
      <c r="AB228" s="10"/>
      <c r="AC228" s="10"/>
      <c r="AD228" s="10"/>
      <c r="AE228" s="10"/>
      <c r="AF228" s="10"/>
      <c r="AG228" s="10"/>
      <c r="AH228" s="10"/>
      <c r="AI228" s="10"/>
      <c r="AJ228" s="10"/>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2:58">
      <c r="H229" s="32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row>
    <row r="230" spans="2:58">
      <c r="B230" s="3" t="str">
        <f>FS!$B$77</f>
        <v>Prepayments, receivables and other current assets</v>
      </c>
      <c r="C230" s="3"/>
      <c r="D230" s="3"/>
      <c r="E230" s="3"/>
      <c r="F230" s="3"/>
      <c r="G230" s="279"/>
      <c r="H230" s="331"/>
      <c r="J230" s="279"/>
      <c r="K230" s="279"/>
      <c r="L230" s="279"/>
      <c r="M230" s="279"/>
      <c r="N230" s="279"/>
      <c r="O230" s="279"/>
      <c r="P230" s="279"/>
      <c r="Q230" s="279"/>
      <c r="R230" s="279"/>
      <c r="S230" s="279"/>
      <c r="T230" s="279"/>
      <c r="U230" s="279"/>
      <c r="V230" s="279"/>
      <c r="W230" s="279"/>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row>
    <row r="231" spans="2:58">
      <c r="B231" s="7" t="s">
        <v>53</v>
      </c>
      <c r="H231" s="320"/>
      <c r="I231" s="285">
        <f>G233</f>
        <v>181892</v>
      </c>
      <c r="J231" s="285">
        <f>I233</f>
        <v>304539</v>
      </c>
      <c r="K231" s="285">
        <f>I233</f>
        <v>304539</v>
      </c>
      <c r="L231" s="285">
        <f>K233</f>
        <v>404428</v>
      </c>
      <c r="O231" s="285">
        <f>K233</f>
        <v>404428</v>
      </c>
      <c r="R231" s="285">
        <f>O233</f>
        <v>512505</v>
      </c>
      <c r="S231" s="285">
        <f>R233</f>
        <v>664445.12248237745</v>
      </c>
      <c r="T231" s="285">
        <f>S233</f>
        <v>737269.57525657397</v>
      </c>
      <c r="U231" s="285">
        <f>T233</f>
        <v>856991.25504810642</v>
      </c>
      <c r="V231" s="285">
        <f>U233</f>
        <v>983547.11257186474</v>
      </c>
      <c r="W231" s="285">
        <f>V233</f>
        <v>1110108.1589097434</v>
      </c>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row>
    <row r="232" spans="2:58">
      <c r="C232" s="7" t="s">
        <v>57</v>
      </c>
      <c r="H232" s="320"/>
      <c r="I232" s="285">
        <f t="shared" ref="I232:U232" si="139">I233-I231</f>
        <v>122647</v>
      </c>
      <c r="J232" s="285">
        <f t="shared" si="139"/>
        <v>126978</v>
      </c>
      <c r="K232" s="285">
        <f>K233-K231</f>
        <v>99889</v>
      </c>
      <c r="L232" s="285">
        <f>L233-L231</f>
        <v>86439</v>
      </c>
      <c r="O232" s="285">
        <f t="shared" si="139"/>
        <v>108077</v>
      </c>
      <c r="R232" s="285">
        <f t="shared" si="139"/>
        <v>151940.12248237745</v>
      </c>
      <c r="S232" s="285">
        <f t="shared" si="139"/>
        <v>72824.452774196514</v>
      </c>
      <c r="T232" s="285">
        <f t="shared" si="139"/>
        <v>119721.67979153246</v>
      </c>
      <c r="U232" s="285">
        <f t="shared" si="139"/>
        <v>126555.85752375831</v>
      </c>
      <c r="V232" s="285">
        <f>V233-V231</f>
        <v>126561.04633787868</v>
      </c>
      <c r="W232" s="285">
        <f>W233-W231</f>
        <v>79558.743278081762</v>
      </c>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row>
    <row r="233" spans="2:58">
      <c r="B233" s="7" t="s">
        <v>55</v>
      </c>
      <c r="G233" s="285">
        <f>FS!G77</f>
        <v>181892</v>
      </c>
      <c r="H233" s="320"/>
      <c r="I233" s="285">
        <f>FS!I77</f>
        <v>304539</v>
      </c>
      <c r="J233" s="285">
        <f>FS!J77</f>
        <v>431517</v>
      </c>
      <c r="K233" s="285">
        <f>FS!K77</f>
        <v>404428</v>
      </c>
      <c r="L233" s="285">
        <f>FS!L77</f>
        <v>490867</v>
      </c>
      <c r="O233" s="285">
        <f>FS!O77</f>
        <v>512505</v>
      </c>
      <c r="R233" s="285">
        <f t="shared" ref="R233:W233" si="140">R234*R$18/365</f>
        <v>664445.12248237745</v>
      </c>
      <c r="S233" s="285">
        <f t="shared" si="140"/>
        <v>737269.57525657397</v>
      </c>
      <c r="T233" s="285">
        <f t="shared" si="140"/>
        <v>856991.25504810642</v>
      </c>
      <c r="U233" s="285">
        <f t="shared" si="140"/>
        <v>983547.11257186474</v>
      </c>
      <c r="V233" s="285">
        <f t="shared" si="140"/>
        <v>1110108.1589097434</v>
      </c>
      <c r="W233" s="285">
        <f t="shared" si="140"/>
        <v>1189666.9021878252</v>
      </c>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row>
    <row r="234" spans="2:58">
      <c r="B234" s="20" t="s">
        <v>177</v>
      </c>
      <c r="D234" s="20"/>
      <c r="E234" s="20"/>
      <c r="F234" s="20"/>
      <c r="G234" s="285">
        <f>G233/G$18*365</f>
        <v>6.4139377639965893</v>
      </c>
      <c r="H234" s="320"/>
      <c r="I234" s="285">
        <f>I233/I$18*365</f>
        <v>8.1879934090462605</v>
      </c>
      <c r="J234" s="285">
        <f>J233/J$18*270</f>
        <v>7.5688369662492736</v>
      </c>
      <c r="K234" s="285">
        <f>K233/K$18*365</f>
        <v>7.2708520861875643</v>
      </c>
      <c r="L234" s="285">
        <f>L233/L$18*270</f>
        <v>7.1027024002727597</v>
      </c>
      <c r="O234" s="285">
        <f>O233/O$18*365</f>
        <v>7.5341445206093516</v>
      </c>
      <c r="P234" s="318"/>
      <c r="Q234" s="318"/>
      <c r="R234" s="318">
        <f>O234</f>
        <v>7.5341445206093516</v>
      </c>
      <c r="S234" s="318">
        <f>R234</f>
        <v>7.5341445206093516</v>
      </c>
      <c r="T234" s="318">
        <f>S234</f>
        <v>7.5341445206093516</v>
      </c>
      <c r="U234" s="318">
        <f>T234</f>
        <v>7.5341445206093516</v>
      </c>
      <c r="V234" s="318">
        <f>U234</f>
        <v>7.5341445206093516</v>
      </c>
      <c r="W234" s="318">
        <f>V234</f>
        <v>7.5341445206093516</v>
      </c>
      <c r="X234" s="10"/>
      <c r="Y234" s="10"/>
      <c r="Z234" s="10"/>
      <c r="AA234" s="10"/>
      <c r="AB234" s="10"/>
      <c r="AC234" s="10"/>
      <c r="AD234" s="10"/>
      <c r="AE234" s="10"/>
      <c r="AF234" s="10"/>
      <c r="AG234" s="10"/>
      <c r="AH234" s="10"/>
      <c r="AI234" s="10"/>
      <c r="AJ234" s="10"/>
      <c r="AK234" s="10"/>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2:58">
      <c r="H235" s="32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row>
    <row r="236" spans="2:58">
      <c r="B236" s="3" t="str">
        <f>FS!$B$94</f>
        <v>Trade payables</v>
      </c>
      <c r="C236" s="3"/>
      <c r="D236" s="3"/>
      <c r="E236" s="3"/>
      <c r="F236" s="3"/>
      <c r="G236" s="279"/>
      <c r="H236" s="331"/>
      <c r="I236" s="279"/>
      <c r="J236" s="279"/>
      <c r="K236" s="279"/>
      <c r="L236" s="279"/>
      <c r="M236" s="279"/>
      <c r="N236" s="279"/>
      <c r="O236" s="279"/>
      <c r="P236" s="279"/>
      <c r="Q236" s="279"/>
      <c r="R236" s="279"/>
      <c r="S236" s="279"/>
      <c r="T236" s="279"/>
      <c r="U236" s="279"/>
      <c r="V236" s="279"/>
      <c r="W236" s="279"/>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row>
    <row r="237" spans="2:58">
      <c r="B237" s="7" t="s">
        <v>53</v>
      </c>
      <c r="H237" s="320"/>
      <c r="I237" s="285">
        <f>G239</f>
        <v>596681</v>
      </c>
      <c r="J237" s="285">
        <f>I239</f>
        <v>881806</v>
      </c>
      <c r="K237" s="285">
        <f>I239</f>
        <v>881806</v>
      </c>
      <c r="L237" s="285">
        <f>K239</f>
        <v>1316780</v>
      </c>
      <c r="O237" s="285">
        <f>K239</f>
        <v>1316780</v>
      </c>
      <c r="R237" s="285">
        <f>O239</f>
        <v>1767263</v>
      </c>
      <c r="S237" s="285">
        <f>R239</f>
        <v>2393045.804881182</v>
      </c>
      <c r="T237" s="285">
        <f>S239</f>
        <v>2720672.9068937469</v>
      </c>
      <c r="U237" s="285">
        <f>T239</f>
        <v>3240778.7379466649</v>
      </c>
      <c r="V237" s="285">
        <f>U239</f>
        <v>3808135.0169684673</v>
      </c>
      <c r="W237" s="285">
        <f>V239</f>
        <v>4398048.6842912724</v>
      </c>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row>
    <row r="238" spans="2:58">
      <c r="C238" s="7" t="s">
        <v>59</v>
      </c>
      <c r="H238" s="320"/>
      <c r="I238" s="285">
        <f t="shared" ref="I238:U238" si="141">I239-I237</f>
        <v>285125</v>
      </c>
      <c r="J238" s="285">
        <f t="shared" si="141"/>
        <v>726152</v>
      </c>
      <c r="K238" s="285">
        <f>K239-K237</f>
        <v>434974</v>
      </c>
      <c r="L238" s="285">
        <f>L239-L237</f>
        <v>287913</v>
      </c>
      <c r="O238" s="285">
        <f t="shared" si="141"/>
        <v>450483</v>
      </c>
      <c r="R238" s="285">
        <f t="shared" si="141"/>
        <v>625782.80488118203</v>
      </c>
      <c r="S238" s="285">
        <f t="shared" si="141"/>
        <v>327627.10201256489</v>
      </c>
      <c r="T238" s="285">
        <f t="shared" si="141"/>
        <v>520105.83105291799</v>
      </c>
      <c r="U238" s="285">
        <f t="shared" si="141"/>
        <v>567356.27902180236</v>
      </c>
      <c r="V238" s="285">
        <f>V239-V237</f>
        <v>589913.66732280515</v>
      </c>
      <c r="W238" s="285">
        <f>W239-W237</f>
        <v>417128.19249558635</v>
      </c>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row>
    <row r="239" spans="2:58">
      <c r="B239" s="7" t="s">
        <v>55</v>
      </c>
      <c r="G239" s="285">
        <f>FS!G94</f>
        <v>596681</v>
      </c>
      <c r="H239" s="320"/>
      <c r="I239" s="285">
        <f>FS!I94</f>
        <v>881806</v>
      </c>
      <c r="J239" s="285">
        <f>FS!J94</f>
        <v>1607958</v>
      </c>
      <c r="K239" s="285">
        <f>FS!K94</f>
        <v>1316780</v>
      </c>
      <c r="L239" s="285">
        <f>FS!L94</f>
        <v>1604693</v>
      </c>
      <c r="O239" s="285">
        <f>FS!O94</f>
        <v>1767263</v>
      </c>
      <c r="R239" s="285">
        <f t="shared" ref="R239:W239" si="142">R240*R$49*-1/365</f>
        <v>2393045.804881182</v>
      </c>
      <c r="S239" s="285">
        <f t="shared" si="142"/>
        <v>2720672.9068937469</v>
      </c>
      <c r="T239" s="285">
        <f t="shared" si="142"/>
        <v>3240778.7379466649</v>
      </c>
      <c r="U239" s="285">
        <f t="shared" si="142"/>
        <v>3808135.0169684673</v>
      </c>
      <c r="V239" s="285">
        <f t="shared" si="142"/>
        <v>4398048.6842912724</v>
      </c>
      <c r="W239" s="285">
        <f t="shared" si="142"/>
        <v>4815176.8767868588</v>
      </c>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row>
    <row r="240" spans="2:58">
      <c r="B240" s="20" t="s">
        <v>178</v>
      </c>
      <c r="C240" s="20"/>
      <c r="D240" s="20"/>
      <c r="E240" s="20"/>
      <c r="F240" s="20"/>
      <c r="G240" s="285">
        <f>G239/G$49*365*-1</f>
        <v>30.643698491823134</v>
      </c>
      <c r="H240" s="320"/>
      <c r="I240" s="285">
        <f>I239/I$49*365*-1</f>
        <v>33.083337616176401</v>
      </c>
      <c r="J240" s="285">
        <f>J239/J$49*270*-1</f>
        <v>40.133216993019488</v>
      </c>
      <c r="K240" s="285">
        <f>K239/K$49*365*-1</f>
        <v>33.625735989724554</v>
      </c>
      <c r="L240" s="285">
        <f>L239/L$49*270*-1</f>
        <v>34.333826838665274</v>
      </c>
      <c r="O240" s="285">
        <f>O239/O$49*365*-1</f>
        <v>38.467636992254661</v>
      </c>
      <c r="P240" s="318"/>
      <c r="Q240" s="318"/>
      <c r="R240" s="318">
        <f>O240+1</f>
        <v>39.467636992254661</v>
      </c>
      <c r="S240" s="318">
        <f>R240+1</f>
        <v>40.467636992254661</v>
      </c>
      <c r="T240" s="318">
        <f>S240+1</f>
        <v>41.467636992254661</v>
      </c>
      <c r="U240" s="318">
        <f>T240+1</f>
        <v>42.467636992254661</v>
      </c>
      <c r="V240" s="318">
        <f>U240+1</f>
        <v>43.467636992254661</v>
      </c>
      <c r="W240" s="318">
        <f>V240+1</f>
        <v>44.467636992254661</v>
      </c>
      <c r="X240" s="10"/>
      <c r="Y240" s="10"/>
      <c r="Z240" s="10"/>
      <c r="AA240" s="10"/>
      <c r="AB240" s="10"/>
      <c r="AC240" s="10"/>
      <c r="AD240" s="10"/>
      <c r="AE240" s="10"/>
      <c r="AF240" s="10"/>
      <c r="AG240" s="10"/>
      <c r="AH240" s="10"/>
      <c r="AI240" s="10"/>
      <c r="AJ240" s="10"/>
      <c r="AK240" s="10"/>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2:58">
      <c r="H241" s="32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row>
    <row r="242" spans="2:58">
      <c r="B242" s="3" t="str">
        <f>FS!$B$95</f>
        <v>Other payable and accruals</v>
      </c>
      <c r="C242" s="3"/>
      <c r="D242" s="3"/>
      <c r="E242" s="3"/>
      <c r="F242" s="3"/>
      <c r="G242" s="279"/>
      <c r="H242" s="331"/>
      <c r="I242" s="279"/>
      <c r="J242" s="279"/>
      <c r="K242" s="279"/>
      <c r="L242" s="279"/>
      <c r="M242" s="279"/>
      <c r="N242" s="279"/>
      <c r="O242" s="279"/>
      <c r="P242" s="279"/>
      <c r="Q242" s="279"/>
      <c r="R242" s="279"/>
      <c r="S242" s="279"/>
      <c r="T242" s="279"/>
      <c r="U242" s="279"/>
      <c r="V242" s="279"/>
      <c r="W242" s="279"/>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row>
    <row r="243" spans="2:58">
      <c r="B243" s="7" t="s">
        <v>53</v>
      </c>
      <c r="H243" s="320"/>
      <c r="I243" s="285">
        <f>G245</f>
        <v>600753</v>
      </c>
      <c r="J243" s="285">
        <f>I245</f>
        <v>910196</v>
      </c>
      <c r="K243" s="285">
        <f>I245</f>
        <v>910196</v>
      </c>
      <c r="L243" s="285">
        <f>K245</f>
        <v>1571615</v>
      </c>
      <c r="O243" s="285">
        <f>K245</f>
        <v>1571615</v>
      </c>
      <c r="R243" s="285">
        <f>O245</f>
        <v>2043625</v>
      </c>
      <c r="S243" s="285">
        <f>R245</f>
        <v>2697151.9698444852</v>
      </c>
      <c r="T243" s="285">
        <f>S245</f>
        <v>2990639.1697064061</v>
      </c>
      <c r="U243" s="285">
        <f>T245</f>
        <v>3476447.0876808907</v>
      </c>
      <c r="V243" s="285">
        <f>U245</f>
        <v>3988868.9874093845</v>
      </c>
      <c r="W243" s="285">
        <f>V245</f>
        <v>4500798.1040114341</v>
      </c>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row>
    <row r="244" spans="2:58">
      <c r="C244" s="7" t="s">
        <v>60</v>
      </c>
      <c r="H244" s="320"/>
      <c r="I244" s="285">
        <f t="shared" ref="I244:U244" si="143">I245-I243</f>
        <v>309443</v>
      </c>
      <c r="J244" s="285">
        <f t="shared" si="143"/>
        <v>495001</v>
      </c>
      <c r="K244" s="285">
        <f>K245-K243</f>
        <v>661419</v>
      </c>
      <c r="L244" s="285">
        <f>L245-L243</f>
        <v>190494</v>
      </c>
      <c r="O244" s="285">
        <f t="shared" si="143"/>
        <v>472010</v>
      </c>
      <c r="R244" s="285">
        <f t="shared" si="143"/>
        <v>653526.96984448517</v>
      </c>
      <c r="S244" s="285">
        <f t="shared" si="143"/>
        <v>293487.1998619209</v>
      </c>
      <c r="T244" s="285">
        <f t="shared" si="143"/>
        <v>485807.91797448462</v>
      </c>
      <c r="U244" s="285">
        <f t="shared" si="143"/>
        <v>512421.89972849376</v>
      </c>
      <c r="V244" s="285">
        <f>V245-V243</f>
        <v>511929.11660204967</v>
      </c>
      <c r="W244" s="285">
        <f>W245-W243</f>
        <v>316058.56959469058</v>
      </c>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row>
    <row r="245" spans="2:58">
      <c r="B245" s="7" t="s">
        <v>55</v>
      </c>
      <c r="D245" s="20"/>
      <c r="E245" s="20"/>
      <c r="F245" s="20"/>
      <c r="G245" s="285">
        <f>FS!G95</f>
        <v>600753</v>
      </c>
      <c r="H245" s="320"/>
      <c r="I245" s="285">
        <f>FS!I95</f>
        <v>910196</v>
      </c>
      <c r="J245" s="285">
        <f>FS!J95</f>
        <v>1405197</v>
      </c>
      <c r="K245" s="285">
        <f>FS!K95</f>
        <v>1571615</v>
      </c>
      <c r="L245" s="285">
        <f>FS!L95</f>
        <v>1762109</v>
      </c>
      <c r="O245" s="285">
        <f>FS!O95</f>
        <v>2043625</v>
      </c>
      <c r="R245" s="285">
        <f t="shared" ref="R245:W245" si="144">R246*R$49*-1/365</f>
        <v>2697151.9698444852</v>
      </c>
      <c r="S245" s="285">
        <f t="shared" si="144"/>
        <v>2990639.1697064061</v>
      </c>
      <c r="T245" s="285">
        <f t="shared" si="144"/>
        <v>3476447.0876808907</v>
      </c>
      <c r="U245" s="285">
        <f t="shared" si="144"/>
        <v>3988868.9874093845</v>
      </c>
      <c r="V245" s="285">
        <f t="shared" si="144"/>
        <v>4500798.1040114341</v>
      </c>
      <c r="W245" s="285">
        <f t="shared" si="144"/>
        <v>4816856.6736061247</v>
      </c>
      <c r="X245" s="10"/>
      <c r="Y245" s="10"/>
      <c r="Z245" s="10"/>
      <c r="AA245" s="10"/>
      <c r="AB245" s="10"/>
      <c r="AC245" s="10"/>
      <c r="AD245" s="10"/>
      <c r="AE245" s="10"/>
      <c r="AF245" s="10"/>
      <c r="AG245" s="10"/>
      <c r="AH245" s="10"/>
      <c r="AI245" s="10"/>
      <c r="AJ245" s="10"/>
      <c r="AK245" s="10"/>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2:58">
      <c r="B246" s="20" t="s">
        <v>179</v>
      </c>
      <c r="G246" s="285">
        <f>G245/G$49*365*-1</f>
        <v>30.852823870809065</v>
      </c>
      <c r="H246" s="320"/>
      <c r="I246" s="285">
        <f>I245/I$49*365*-1</f>
        <v>34.14846526888374</v>
      </c>
      <c r="J246" s="285">
        <f>J245/J$49*270*-1</f>
        <v>35.072480822844874</v>
      </c>
      <c r="K246" s="285">
        <f>K245/K$49*365*-1</f>
        <v>40.133288072032492</v>
      </c>
      <c r="L246" s="285">
        <f>L245/L$49*270*-1</f>
        <v>37.701881466955754</v>
      </c>
      <c r="O246" s="285">
        <f>O245/O$49*365*-1</f>
        <v>44.483149733965135</v>
      </c>
      <c r="P246" s="318"/>
      <c r="Q246" s="318"/>
      <c r="R246" s="318">
        <f>O246</f>
        <v>44.483149733965135</v>
      </c>
      <c r="S246" s="318">
        <f>R246</f>
        <v>44.483149733965135</v>
      </c>
      <c r="T246" s="318">
        <f>S246</f>
        <v>44.483149733965135</v>
      </c>
      <c r="U246" s="318">
        <f>T246</f>
        <v>44.483149733965135</v>
      </c>
      <c r="V246" s="318">
        <f>U246</f>
        <v>44.483149733965135</v>
      </c>
      <c r="W246" s="318">
        <f>V246</f>
        <v>44.483149733965135</v>
      </c>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row>
    <row r="247" spans="2:58">
      <c r="B247" s="20"/>
      <c r="H247" s="32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row>
    <row r="248" spans="2:58">
      <c r="B248" s="3" t="s">
        <v>169</v>
      </c>
      <c r="C248" s="3"/>
      <c r="D248" s="3"/>
      <c r="E248" s="3"/>
      <c r="F248" s="3"/>
      <c r="G248" s="279"/>
      <c r="H248" s="331"/>
      <c r="I248" s="279"/>
      <c r="J248" s="279"/>
      <c r="K248" s="279"/>
      <c r="L248" s="279"/>
      <c r="M248" s="279"/>
      <c r="N248" s="279"/>
      <c r="O248" s="279"/>
      <c r="P248" s="279"/>
      <c r="Q248" s="279"/>
      <c r="R248" s="279"/>
      <c r="S248" s="279"/>
      <c r="T248" s="279"/>
      <c r="U248" s="279"/>
      <c r="V248" s="279"/>
      <c r="W248" s="279"/>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row>
    <row r="249" spans="2:58">
      <c r="B249" s="7" t="s">
        <v>53</v>
      </c>
      <c r="H249" s="320"/>
      <c r="I249" s="285">
        <f>G251</f>
        <v>306344</v>
      </c>
      <c r="J249" s="285">
        <f>I251</f>
        <v>204900</v>
      </c>
      <c r="K249" s="285">
        <f>I251</f>
        <v>204900</v>
      </c>
      <c r="L249" s="285">
        <f>K251</f>
        <v>284246</v>
      </c>
      <c r="O249" s="285">
        <f>K251</f>
        <v>284246</v>
      </c>
      <c r="R249" s="285">
        <f>O251</f>
        <v>367458</v>
      </c>
      <c r="S249" s="285">
        <f>R251</f>
        <v>476396.67089517071</v>
      </c>
      <c r="T249" s="285">
        <f>S251</f>
        <v>528610.65469533007</v>
      </c>
      <c r="U249" s="285">
        <f>T251</f>
        <v>614449.21044178505</v>
      </c>
      <c r="V249" s="285">
        <f>U251</f>
        <v>705187.76380997698</v>
      </c>
      <c r="W249" s="285">
        <f>V251</f>
        <v>795930.03747603728</v>
      </c>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row>
    <row r="250" spans="2:58">
      <c r="C250" s="7" t="s">
        <v>60</v>
      </c>
      <c r="H250" s="320"/>
      <c r="I250" s="285">
        <f t="shared" ref="I250:U250" si="145">I251-I249</f>
        <v>-101444</v>
      </c>
      <c r="J250" s="285">
        <f t="shared" si="145"/>
        <v>119705</v>
      </c>
      <c r="K250" s="285">
        <f>K251-K249</f>
        <v>79346</v>
      </c>
      <c r="L250" s="285">
        <f>L251-L249</f>
        <v>138934</v>
      </c>
      <c r="O250" s="285">
        <f t="shared" si="145"/>
        <v>83212</v>
      </c>
      <c r="R250" s="285">
        <f t="shared" si="145"/>
        <v>108938.67089517071</v>
      </c>
      <c r="S250" s="285">
        <f t="shared" si="145"/>
        <v>52213.98380015936</v>
      </c>
      <c r="T250" s="285">
        <f t="shared" si="145"/>
        <v>85838.555746454978</v>
      </c>
      <c r="U250" s="285">
        <f t="shared" si="145"/>
        <v>90738.553368191933</v>
      </c>
      <c r="V250" s="285">
        <f>V251-V249</f>
        <v>90742.273666060297</v>
      </c>
      <c r="W250" s="285">
        <f>W251-W249</f>
        <v>57042.363854942727</v>
      </c>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row>
    <row r="251" spans="2:58">
      <c r="B251" s="7" t="s">
        <v>55</v>
      </c>
      <c r="G251" s="285">
        <f>SUM(G252:G253)</f>
        <v>306344</v>
      </c>
      <c r="H251" s="320"/>
      <c r="I251" s="285">
        <f>SUM(I252:I253)</f>
        <v>204900</v>
      </c>
      <c r="J251" s="285">
        <f>SUM(J252:J253)</f>
        <v>324605</v>
      </c>
      <c r="K251" s="285">
        <f>SUM(K252:K253)</f>
        <v>284246</v>
      </c>
      <c r="L251" s="285">
        <f>SUM(L252:L253)</f>
        <v>423180</v>
      </c>
      <c r="O251" s="285">
        <f>SUM(O252:O253)</f>
        <v>367458</v>
      </c>
      <c r="R251" s="285">
        <f t="shared" ref="R251:W251" si="146">R18*R255</f>
        <v>476396.67089517071</v>
      </c>
      <c r="S251" s="285">
        <f t="shared" si="146"/>
        <v>528610.65469533007</v>
      </c>
      <c r="T251" s="285">
        <f t="shared" si="146"/>
        <v>614449.21044178505</v>
      </c>
      <c r="U251" s="285">
        <f t="shared" si="146"/>
        <v>705187.76380997698</v>
      </c>
      <c r="V251" s="285">
        <f t="shared" si="146"/>
        <v>795930.03747603728</v>
      </c>
      <c r="W251" s="285">
        <f t="shared" si="146"/>
        <v>852972.40133098001</v>
      </c>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row>
    <row r="252" spans="2:58">
      <c r="B252" s="7" t="s">
        <v>181</v>
      </c>
      <c r="G252" s="285">
        <f>FS!G96</f>
        <v>305817</v>
      </c>
      <c r="H252" s="320"/>
      <c r="I252" s="285">
        <f>FS!I96</f>
        <v>198305</v>
      </c>
      <c r="J252" s="285">
        <f>FS!J96</f>
        <v>297594</v>
      </c>
      <c r="K252" s="285">
        <f>FS!K96</f>
        <v>259271</v>
      </c>
      <c r="L252" s="285">
        <f>FS!L96</f>
        <v>410767</v>
      </c>
      <c r="O252" s="285">
        <f>FS!O96</f>
        <v>359636</v>
      </c>
      <c r="R252" s="285">
        <f t="shared" ref="R252:W252" si="147">R251*R256</f>
        <v>466255.71666436875</v>
      </c>
      <c r="S252" s="285">
        <f t="shared" si="147"/>
        <v>517358.23253816686</v>
      </c>
      <c r="T252" s="285">
        <f t="shared" si="147"/>
        <v>601369.56127351103</v>
      </c>
      <c r="U252" s="285">
        <f t="shared" si="147"/>
        <v>690176.58242728387</v>
      </c>
      <c r="V252" s="285">
        <f t="shared" si="147"/>
        <v>778987.24468573858</v>
      </c>
      <c r="W252" s="285">
        <f t="shared" si="147"/>
        <v>834815.3599188705</v>
      </c>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row>
    <row r="253" spans="2:58">
      <c r="B253" s="7" t="s">
        <v>421</v>
      </c>
      <c r="G253" s="285">
        <f>FS!G106</f>
        <v>527</v>
      </c>
      <c r="H253" s="320"/>
      <c r="I253" s="285">
        <f>FS!I106</f>
        <v>6595</v>
      </c>
      <c r="J253" s="285">
        <f>FS!J106</f>
        <v>27011</v>
      </c>
      <c r="K253" s="285">
        <f>FS!K106</f>
        <v>24975</v>
      </c>
      <c r="L253" s="285">
        <f>FS!L106</f>
        <v>12413</v>
      </c>
      <c r="O253" s="285">
        <f>FS!O106</f>
        <v>7822</v>
      </c>
      <c r="R253" s="285">
        <f t="shared" ref="R253:W253" si="148">R257*R251</f>
        <v>10140.954230801974</v>
      </c>
      <c r="S253" s="285">
        <f t="shared" si="148"/>
        <v>11252.42215716321</v>
      </c>
      <c r="T253" s="285">
        <f t="shared" si="148"/>
        <v>13079.649168274063</v>
      </c>
      <c r="U253" s="285">
        <f t="shared" si="148"/>
        <v>15011.181382693121</v>
      </c>
      <c r="V253" s="285">
        <f t="shared" si="148"/>
        <v>16942.792790298685</v>
      </c>
      <c r="W253" s="285">
        <f t="shared" si="148"/>
        <v>18157.041412109513</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row>
    <row r="254" spans="2:58">
      <c r="H254" s="32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row>
    <row r="255" spans="2:58">
      <c r="B255" s="20" t="s">
        <v>180</v>
      </c>
      <c r="D255" s="20"/>
      <c r="E255" s="20"/>
      <c r="F255" s="20"/>
      <c r="G255" s="286">
        <f>G251/G18</f>
        <v>2.9595634657413314E-2</v>
      </c>
      <c r="H255" s="320"/>
      <c r="I255" s="286">
        <f>I251/I18</f>
        <v>1.5093281117995943E-2</v>
      </c>
      <c r="J255" s="286">
        <f>J251/J18</f>
        <v>2.1087382793376457E-2</v>
      </c>
      <c r="K255" s="286">
        <f>K251/K18</f>
        <v>1.4000565941130794E-2</v>
      </c>
      <c r="L255" s="286">
        <f>L251/L18</f>
        <v>2.2678856449291095E-2</v>
      </c>
      <c r="M255" s="286"/>
      <c r="N255" s="286"/>
      <c r="O255" s="286">
        <f>O251/O18</f>
        <v>1.4799624018390845E-2</v>
      </c>
      <c r="P255" s="328"/>
      <c r="Q255" s="328"/>
      <c r="R255" s="328">
        <f>O255</f>
        <v>1.4799624018390845E-2</v>
      </c>
      <c r="S255" s="328">
        <f t="shared" ref="S255:W257" si="149">R255</f>
        <v>1.4799624018390845E-2</v>
      </c>
      <c r="T255" s="328">
        <f t="shared" si="149"/>
        <v>1.4799624018390845E-2</v>
      </c>
      <c r="U255" s="328">
        <f t="shared" si="149"/>
        <v>1.4799624018390845E-2</v>
      </c>
      <c r="V255" s="328">
        <f t="shared" si="149"/>
        <v>1.4799624018390845E-2</v>
      </c>
      <c r="W255" s="328">
        <f t="shared" si="149"/>
        <v>1.4799624018390845E-2</v>
      </c>
      <c r="X255" s="10"/>
      <c r="Y255" s="10"/>
      <c r="Z255" s="10"/>
      <c r="AA255" s="10"/>
      <c r="AB255" s="10"/>
      <c r="AC255" s="10"/>
      <c r="AD255" s="10"/>
      <c r="AE255" s="10"/>
      <c r="AF255" s="10"/>
      <c r="AG255" s="10"/>
      <c r="AH255" s="10"/>
      <c r="AI255" s="10"/>
      <c r="AJ255" s="10"/>
      <c r="AK255" s="10"/>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2:58">
      <c r="B256" s="7" t="s">
        <v>422</v>
      </c>
      <c r="G256" s="286">
        <f>G252/G251</f>
        <v>0.99827971169665475</v>
      </c>
      <c r="H256" s="320"/>
      <c r="I256" s="286">
        <f>I252/I251</f>
        <v>0.96781356759394832</v>
      </c>
      <c r="J256" s="286">
        <f>J252/J251</f>
        <v>0.91678809630165892</v>
      </c>
      <c r="K256" s="286">
        <f>K252/K251</f>
        <v>0.91213596673304109</v>
      </c>
      <c r="L256" s="286">
        <f>L252/L251</f>
        <v>0.97066732832364477</v>
      </c>
      <c r="M256" s="286"/>
      <c r="N256" s="286"/>
      <c r="O256" s="286">
        <f>O252/O251</f>
        <v>0.97871321348290141</v>
      </c>
      <c r="P256" s="328"/>
      <c r="Q256" s="328"/>
      <c r="R256" s="328">
        <f>O256</f>
        <v>0.97871321348290141</v>
      </c>
      <c r="S256" s="328">
        <f t="shared" si="149"/>
        <v>0.97871321348290141</v>
      </c>
      <c r="T256" s="328">
        <f t="shared" si="149"/>
        <v>0.97871321348290141</v>
      </c>
      <c r="U256" s="328">
        <f t="shared" si="149"/>
        <v>0.97871321348290141</v>
      </c>
      <c r="V256" s="328">
        <f t="shared" si="149"/>
        <v>0.97871321348290141</v>
      </c>
      <c r="W256" s="328">
        <f t="shared" si="149"/>
        <v>0.97871321348290141</v>
      </c>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row>
    <row r="257" spans="1:58">
      <c r="B257" s="7" t="s">
        <v>423</v>
      </c>
      <c r="G257" s="286">
        <f>1-G256</f>
        <v>1.7202883033452521E-3</v>
      </c>
      <c r="H257" s="320"/>
      <c r="I257" s="286">
        <f>1-I256</f>
        <v>3.2186432406051679E-2</v>
      </c>
      <c r="J257" s="286">
        <f>1-J256</f>
        <v>8.3211903698341083E-2</v>
      </c>
      <c r="K257" s="286">
        <f>1-K256</f>
        <v>8.7864033266958907E-2</v>
      </c>
      <c r="L257" s="286">
        <f>1-L256</f>
        <v>2.9332671676355226E-2</v>
      </c>
      <c r="M257" s="286"/>
      <c r="N257" s="286"/>
      <c r="O257" s="286">
        <f>1-O256</f>
        <v>2.1286786517098588E-2</v>
      </c>
      <c r="P257" s="328"/>
      <c r="Q257" s="328"/>
      <c r="R257" s="328">
        <f>O257</f>
        <v>2.1286786517098588E-2</v>
      </c>
      <c r="S257" s="328">
        <f t="shared" si="149"/>
        <v>2.1286786517098588E-2</v>
      </c>
      <c r="T257" s="328">
        <f t="shared" si="149"/>
        <v>2.1286786517098588E-2</v>
      </c>
      <c r="U257" s="328">
        <f t="shared" si="149"/>
        <v>2.1286786517098588E-2</v>
      </c>
      <c r="V257" s="328">
        <f t="shared" si="149"/>
        <v>2.1286786517098588E-2</v>
      </c>
      <c r="W257" s="328">
        <f t="shared" si="149"/>
        <v>2.1286786517098588E-2</v>
      </c>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row>
    <row r="258" spans="1:58">
      <c r="B258" s="7" t="s">
        <v>456</v>
      </c>
      <c r="G258" s="285">
        <f>G251/G$18*365</f>
        <v>10.802406649955859</v>
      </c>
      <c r="H258" s="320"/>
      <c r="I258" s="285">
        <f t="shared" ref="I258:U258" si="150">I251/I$18*365</f>
        <v>5.5090476080685189</v>
      </c>
      <c r="J258" s="285">
        <f t="shared" si="150"/>
        <v>7.6968947195824065</v>
      </c>
      <c r="K258" s="285">
        <f>K251/K$18*365</f>
        <v>5.1102065685127398</v>
      </c>
      <c r="L258" s="285">
        <f>L251/L$18*365</f>
        <v>8.2777826039912501</v>
      </c>
      <c r="O258" s="285">
        <f>O251/O$18*365</f>
        <v>5.4018627667126582</v>
      </c>
      <c r="R258" s="285">
        <f t="shared" si="150"/>
        <v>5.4018627667126582</v>
      </c>
      <c r="S258" s="285">
        <f t="shared" si="150"/>
        <v>5.4018627667126582</v>
      </c>
      <c r="T258" s="285">
        <f t="shared" si="150"/>
        <v>5.4018627667126582</v>
      </c>
      <c r="U258" s="285">
        <f t="shared" si="150"/>
        <v>5.4018627667126582</v>
      </c>
      <c r="V258" s="285">
        <f>V251/V$18*365</f>
        <v>5.4018627667126582</v>
      </c>
      <c r="W258" s="285">
        <f>W251/W$18*365</f>
        <v>5.4018627667126582</v>
      </c>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row>
    <row r="259" spans="1:58">
      <c r="H259" s="32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row>
    <row r="260" spans="1:58">
      <c r="B260" s="3" t="s">
        <v>175</v>
      </c>
      <c r="C260" s="3"/>
      <c r="D260" s="3"/>
      <c r="E260" s="3"/>
      <c r="F260" s="3"/>
      <c r="G260" s="279"/>
      <c r="H260" s="320"/>
      <c r="I260" s="279"/>
      <c r="J260" s="279"/>
      <c r="K260" s="279"/>
      <c r="L260" s="279"/>
      <c r="M260" s="279"/>
      <c r="N260" s="279"/>
      <c r="O260" s="279"/>
      <c r="P260" s="279"/>
      <c r="Q260" s="279"/>
      <c r="R260" s="279"/>
      <c r="S260" s="279"/>
      <c r="T260" s="279"/>
      <c r="U260" s="279"/>
      <c r="V260" s="279"/>
      <c r="W260" s="279"/>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row>
    <row r="261" spans="1:58">
      <c r="B261" s="7" t="s">
        <v>53</v>
      </c>
      <c r="H261" s="320"/>
      <c r="I261" s="285">
        <f>G263</f>
        <v>2001</v>
      </c>
      <c r="J261" s="285">
        <f>I263</f>
        <v>58024</v>
      </c>
      <c r="K261" s="285">
        <f>I263</f>
        <v>58024</v>
      </c>
      <c r="L261" s="285">
        <f>K263</f>
        <v>122407</v>
      </c>
      <c r="O261" s="285">
        <f>K263</f>
        <v>122407</v>
      </c>
      <c r="R261" s="285">
        <f>O263</f>
        <v>134090</v>
      </c>
      <c r="S261" s="285">
        <f>R263</f>
        <v>239237.74572200034</v>
      </c>
      <c r="T261" s="285">
        <f>S263</f>
        <v>265270.10017523367</v>
      </c>
      <c r="U261" s="285">
        <f>T263</f>
        <v>308361.32842249307</v>
      </c>
      <c r="V261" s="285">
        <f>U263</f>
        <v>353813.22046278411</v>
      </c>
      <c r="W261" s="285">
        <f>V263</f>
        <v>399221.40257288999</v>
      </c>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row>
    <row r="262" spans="1:58">
      <c r="C262" s="7" t="s">
        <v>424</v>
      </c>
      <c r="H262" s="320"/>
      <c r="I262" s="285">
        <f t="shared" ref="I262:U262" si="151">I263-I261</f>
        <v>56023</v>
      </c>
      <c r="J262" s="285">
        <f t="shared" si="151"/>
        <v>58781</v>
      </c>
      <c r="K262" s="285">
        <f>K263-K261</f>
        <v>64383</v>
      </c>
      <c r="L262" s="285">
        <f>L263-L261</f>
        <v>2347</v>
      </c>
      <c r="O262" s="285">
        <f t="shared" si="151"/>
        <v>11683</v>
      </c>
      <c r="R262" s="285">
        <f t="shared" si="151"/>
        <v>105147.74572200034</v>
      </c>
      <c r="S262" s="285">
        <f t="shared" si="151"/>
        <v>26032.354453233333</v>
      </c>
      <c r="T262" s="285">
        <f t="shared" si="151"/>
        <v>43091.228247259394</v>
      </c>
      <c r="U262" s="285">
        <f t="shared" si="151"/>
        <v>45451.892040291044</v>
      </c>
      <c r="V262" s="285">
        <f>V263-V261</f>
        <v>45408.182110105874</v>
      </c>
      <c r="W262" s="285">
        <f>W263-W261</f>
        <v>28034.438011408667</v>
      </c>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row>
    <row r="263" spans="1:58">
      <c r="B263" s="7" t="s">
        <v>55</v>
      </c>
      <c r="G263" s="285">
        <f>FS!G101</f>
        <v>2001</v>
      </c>
      <c r="H263" s="320"/>
      <c r="I263" s="285">
        <f>FS!I101</f>
        <v>58024</v>
      </c>
      <c r="J263" s="285">
        <f>FS!J101</f>
        <v>116805</v>
      </c>
      <c r="K263" s="285">
        <f>FS!K101</f>
        <v>122407</v>
      </c>
      <c r="L263" s="285">
        <f>FS!L101</f>
        <v>124754</v>
      </c>
      <c r="O263" s="285">
        <f>FS!O101</f>
        <v>134090</v>
      </c>
      <c r="R263" s="285">
        <f t="shared" ref="R263:W263" si="152">R264*R49/270*-1</f>
        <v>239237.74572200034</v>
      </c>
      <c r="S263" s="285">
        <f t="shared" si="152"/>
        <v>265270.10017523367</v>
      </c>
      <c r="T263" s="285">
        <f t="shared" si="152"/>
        <v>308361.32842249307</v>
      </c>
      <c r="U263" s="285">
        <f t="shared" si="152"/>
        <v>353813.22046278411</v>
      </c>
      <c r="V263" s="285">
        <f t="shared" si="152"/>
        <v>399221.40257288999</v>
      </c>
      <c r="W263" s="285">
        <f t="shared" si="152"/>
        <v>427255.84058429865</v>
      </c>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row>
    <row r="264" spans="1:58">
      <c r="B264" s="20" t="s">
        <v>179</v>
      </c>
      <c r="G264" s="285">
        <f>G263/G$49*365*-1</f>
        <v>0.10276519728655362</v>
      </c>
      <c r="H264" s="320"/>
      <c r="I264" s="285">
        <f>I263/I$49*365*-1</f>
        <v>2.1769273307745913</v>
      </c>
      <c r="J264" s="285">
        <f>J263/J$49*270*-1</f>
        <v>2.9153500345591374</v>
      </c>
      <c r="K264" s="285">
        <f>K263/K$49*365*-1</f>
        <v>3.125826231636426</v>
      </c>
      <c r="L264" s="285">
        <f>L263/L$49*270*-1</f>
        <v>2.6692222334308484</v>
      </c>
      <c r="O264" s="285">
        <f>O263/O$49*365*-1</f>
        <v>2.9187084459366988</v>
      </c>
      <c r="P264" s="318"/>
      <c r="Q264" s="318"/>
      <c r="R264" s="318">
        <f>O264</f>
        <v>2.9187084459366988</v>
      </c>
      <c r="S264" s="318">
        <f>R264</f>
        <v>2.9187084459366988</v>
      </c>
      <c r="T264" s="318">
        <f>S264</f>
        <v>2.9187084459366988</v>
      </c>
      <c r="U264" s="318">
        <f>T264</f>
        <v>2.9187084459366988</v>
      </c>
      <c r="V264" s="318">
        <f>U264</f>
        <v>2.9187084459366988</v>
      </c>
      <c r="W264" s="318">
        <f>V264</f>
        <v>2.9187084459366988</v>
      </c>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row>
    <row r="265" spans="1:58">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row>
    <row r="266" spans="1:58">
      <c r="B266" s="7" t="s">
        <v>441</v>
      </c>
      <c r="I266" s="286">
        <f>I267/I18</f>
        <v>-1.4277183209229339E-2</v>
      </c>
      <c r="J266" s="286">
        <f>J267/J18</f>
        <v>-4.022749336595699E-2</v>
      </c>
      <c r="K266" s="286">
        <f>K267/K18</f>
        <v>-3.1052042202757153E-2</v>
      </c>
      <c r="L266" s="286">
        <f>L267/L18</f>
        <v>-8.3741776583306324E-2</v>
      </c>
      <c r="M266" s="286"/>
      <c r="N266" s="286"/>
      <c r="O266" s="286">
        <f>O267/O18</f>
        <v>-6.2787986277589553E-2</v>
      </c>
      <c r="P266" s="286"/>
      <c r="Q266" s="286"/>
      <c r="R266" s="286">
        <f t="shared" ref="R266:W266" si="153">R267/R18</f>
        <v>-6.7859148936443639E-2</v>
      </c>
      <c r="S266" s="286">
        <f t="shared" si="153"/>
        <v>-6.9688340858150816E-2</v>
      </c>
      <c r="T266" s="286">
        <f t="shared" si="153"/>
        <v>-7.1574505348912784E-2</v>
      </c>
      <c r="U266" s="286">
        <f t="shared" si="153"/>
        <v>-7.343752374870785E-2</v>
      </c>
      <c r="V266" s="286">
        <f t="shared" si="153"/>
        <v>-7.5294770169148303E-2</v>
      </c>
      <c r="W266" s="286">
        <f t="shared" si="153"/>
        <v>-7.7062808317443901E-2</v>
      </c>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row>
    <row r="267" spans="1:58" ht="12" thickBot="1">
      <c r="B267" s="16" t="s">
        <v>400</v>
      </c>
      <c r="C267" s="16"/>
      <c r="D267" s="16"/>
      <c r="E267" s="16"/>
      <c r="F267" s="16"/>
      <c r="G267" s="299">
        <f>G221+G227+G233-G239-G245-G251-G263</f>
        <v>-69942</v>
      </c>
      <c r="H267" s="299"/>
      <c r="I267" s="299">
        <f t="shared" ref="I267:U267" si="154">I221+I227+I233-I239-I245-I251-I263</f>
        <v>-193821</v>
      </c>
      <c r="J267" s="299">
        <f t="shared" si="154"/>
        <v>-619235</v>
      </c>
      <c r="K267" s="299">
        <f>K221+K227+K233-K239-K245-K251-K263</f>
        <v>-630433</v>
      </c>
      <c r="L267" s="299">
        <f>L221+L227+L233-L239-L245-L251-L263</f>
        <v>-1562594</v>
      </c>
      <c r="M267" s="299"/>
      <c r="N267" s="299"/>
      <c r="O267" s="299">
        <f>O221+O227+O233-O239-O245-O251-O263</f>
        <v>-1558955</v>
      </c>
      <c r="P267" s="299"/>
      <c r="Q267" s="299"/>
      <c r="R267" s="299">
        <f t="shared" si="154"/>
        <v>-2184371.2112502912</v>
      </c>
      <c r="S267" s="299">
        <f t="shared" si="154"/>
        <v>-2489117.2532411264</v>
      </c>
      <c r="T267" s="299">
        <f t="shared" si="154"/>
        <v>-2971622.6739780772</v>
      </c>
      <c r="U267" s="299">
        <f t="shared" si="154"/>
        <v>-3499226.9457480558</v>
      </c>
      <c r="V267" s="299">
        <f>V221+V227+V233-V239-V245-V251-V263</f>
        <v>-4049384.5767979114</v>
      </c>
      <c r="W267" s="299">
        <f>W221+W227+W233-W239-W245-W251-W263</f>
        <v>-4441494.4989248579</v>
      </c>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row>
    <row r="268" spans="1:58">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row>
    <row r="269" spans="1:58">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row>
    <row r="270" spans="1:58" ht="12.75">
      <c r="A270" s="8" t="s">
        <v>61</v>
      </c>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row>
    <row r="271" spans="1:58">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row>
    <row r="272" spans="1:58">
      <c r="A272" s="3" t="str">
        <f>FS!$B$82</f>
        <v>Property, plant, and equipment</v>
      </c>
      <c r="B272" s="3"/>
      <c r="C272" s="3"/>
      <c r="D272" s="3"/>
      <c r="E272" s="3"/>
      <c r="F272" s="3"/>
      <c r="G272" s="279"/>
      <c r="H272" s="279"/>
      <c r="I272" s="279"/>
      <c r="J272" s="279"/>
      <c r="K272" s="279"/>
      <c r="L272" s="279"/>
      <c r="M272" s="279"/>
      <c r="N272" s="279"/>
      <c r="O272" s="279"/>
      <c r="P272" s="279"/>
      <c r="Q272" s="279"/>
      <c r="R272" s="279"/>
      <c r="S272" s="279"/>
      <c r="T272" s="279"/>
      <c r="U272" s="279"/>
      <c r="V272" s="279"/>
      <c r="W272" s="279"/>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row>
    <row r="273" spans="1:58">
      <c r="A273" s="7" t="s">
        <v>53</v>
      </c>
      <c r="I273" s="285">
        <f>G278</f>
        <v>1033497</v>
      </c>
      <c r="J273" s="285">
        <f>I278</f>
        <v>1701086</v>
      </c>
      <c r="K273" s="285">
        <f>I278</f>
        <v>1701086</v>
      </c>
      <c r="L273" s="285">
        <f>K278</f>
        <v>3390053</v>
      </c>
      <c r="O273" s="285">
        <f>K278</f>
        <v>3390053</v>
      </c>
      <c r="R273" s="285">
        <f>O278</f>
        <v>5317826</v>
      </c>
      <c r="S273" s="285">
        <f>R278</f>
        <v>6525581.0290414216</v>
      </c>
      <c r="T273" s="285">
        <f>S278</f>
        <v>7420332.36233461</v>
      </c>
      <c r="U273" s="285">
        <f>T278</f>
        <v>7791348.9804513408</v>
      </c>
      <c r="V273" s="285">
        <f>U278</f>
        <v>8025089.4498648802</v>
      </c>
      <c r="W273" s="285">
        <f>V278</f>
        <v>8105340.3443635283</v>
      </c>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row>
    <row r="274" spans="1:58">
      <c r="B274" s="7" t="s">
        <v>188</v>
      </c>
      <c r="G274" s="285">
        <v>685925</v>
      </c>
      <c r="H274" s="320"/>
      <c r="I274" s="285">
        <v>778001</v>
      </c>
      <c r="J274" s="285">
        <v>1486273</v>
      </c>
      <c r="K274" s="285">
        <v>1924441</v>
      </c>
      <c r="L274" s="285">
        <v>2044881</v>
      </c>
      <c r="O274" s="285">
        <v>2325341</v>
      </c>
      <c r="R274" s="285">
        <f t="shared" ref="R274:W274" si="155">R297</f>
        <v>1861239.0999999999</v>
      </c>
      <c r="S274" s="285">
        <f t="shared" si="155"/>
        <v>1827162.6881315983</v>
      </c>
      <c r="T274" s="285">
        <f t="shared" si="155"/>
        <v>1855083.0905836525</v>
      </c>
      <c r="U274" s="285">
        <f t="shared" si="155"/>
        <v>1792010.2655038084</v>
      </c>
      <c r="V274" s="285">
        <f t="shared" si="155"/>
        <v>1685268.784471625</v>
      </c>
      <c r="W274" s="285">
        <f t="shared" si="155"/>
        <v>1540014.6654290706</v>
      </c>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row>
    <row r="275" spans="1:58">
      <c r="B275" s="7" t="s">
        <v>8</v>
      </c>
      <c r="G275" s="285">
        <f>-FS!G149</f>
        <v>-57239</v>
      </c>
      <c r="H275" s="320"/>
      <c r="I275" s="285">
        <f>-FS!I149</f>
        <v>-105310</v>
      </c>
      <c r="J275" s="285">
        <f>-FS!J149</f>
        <v>-110108</v>
      </c>
      <c r="K275" s="285">
        <f>-FS!K149</f>
        <v>-160504</v>
      </c>
      <c r="L275" s="285">
        <f>-FS!L149</f>
        <v>-220610</v>
      </c>
      <c r="O275" s="285">
        <v>-314887</v>
      </c>
      <c r="R275" s="285">
        <f t="shared" ref="R275:W275" si="156">-R307</f>
        <v>-653484.07095857791</v>
      </c>
      <c r="S275" s="285">
        <f t="shared" si="156"/>
        <v>-932411.35483840923</v>
      </c>
      <c r="T275" s="285">
        <f t="shared" si="156"/>
        <v>-1484066.4724669221</v>
      </c>
      <c r="U275" s="285">
        <f t="shared" si="156"/>
        <v>-1558269.7960902683</v>
      </c>
      <c r="V275" s="285">
        <f t="shared" si="156"/>
        <v>-1605017.8899729762</v>
      </c>
      <c r="W275" s="285">
        <f t="shared" si="156"/>
        <v>-1621068.0688727058</v>
      </c>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row>
    <row r="276" spans="1:58">
      <c r="B276" s="7" t="s">
        <v>183</v>
      </c>
      <c r="G276" s="285">
        <v>-3784</v>
      </c>
      <c r="H276" s="320"/>
      <c r="I276" s="285">
        <v>-1657</v>
      </c>
      <c r="J276" s="285">
        <v>-689</v>
      </c>
      <c r="K276" s="285">
        <f>-4555-1672</f>
        <v>-6227</v>
      </c>
      <c r="L276" s="285">
        <v>-54783</v>
      </c>
      <c r="O276" s="285">
        <v>-64031</v>
      </c>
      <c r="P276" s="318"/>
      <c r="Q276" s="318"/>
      <c r="R276" s="318">
        <v>0</v>
      </c>
      <c r="S276" s="318">
        <v>0</v>
      </c>
      <c r="T276" s="318">
        <v>0</v>
      </c>
      <c r="U276" s="318">
        <v>0</v>
      </c>
      <c r="V276" s="318">
        <v>0</v>
      </c>
      <c r="W276" s="318">
        <v>0</v>
      </c>
    </row>
    <row r="277" spans="1:58">
      <c r="B277" s="7" t="s">
        <v>185</v>
      </c>
      <c r="G277" s="285">
        <f>-FS!G155</f>
        <v>-14827</v>
      </c>
      <c r="H277" s="320"/>
      <c r="I277" s="285">
        <v>-3445</v>
      </c>
      <c r="J277" s="285">
        <f>-FS!J155-2617</f>
        <v>-62616</v>
      </c>
      <c r="K277" s="285">
        <f>-65524-3219</f>
        <v>-68743</v>
      </c>
      <c r="L277" s="285">
        <f>-3027</f>
        <v>-3027</v>
      </c>
      <c r="O277" s="285">
        <v>-18650</v>
      </c>
      <c r="P277" s="318"/>
      <c r="Q277" s="318"/>
      <c r="R277" s="318">
        <v>0</v>
      </c>
      <c r="S277" s="318">
        <v>0</v>
      </c>
      <c r="T277" s="318">
        <v>0</v>
      </c>
      <c r="U277" s="318">
        <v>0</v>
      </c>
      <c r="V277" s="318">
        <v>0</v>
      </c>
      <c r="W277" s="318">
        <v>0</v>
      </c>
      <c r="X277" s="10"/>
      <c r="Y277" s="10"/>
      <c r="Z277" s="10"/>
      <c r="AA277" s="10"/>
      <c r="AB277" s="10"/>
      <c r="AC277" s="10"/>
      <c r="AD277" s="10"/>
      <c r="AE277" s="10"/>
      <c r="AF277" s="10"/>
      <c r="AG277" s="10"/>
      <c r="AH277" s="10"/>
      <c r="AI277" s="10"/>
      <c r="AJ277" s="10"/>
      <c r="AK277" s="10"/>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c r="A278" s="10" t="s">
        <v>55</v>
      </c>
      <c r="B278" s="10"/>
      <c r="C278" s="10"/>
      <c r="D278" s="10"/>
      <c r="E278" s="10"/>
      <c r="F278" s="10"/>
      <c r="G278" s="285">
        <f>FS!G82</f>
        <v>1033497</v>
      </c>
      <c r="H278" s="320"/>
      <c r="I278" s="285">
        <f>FS!I82</f>
        <v>1701086</v>
      </c>
      <c r="J278" s="285">
        <f>SUM(J273:J277)</f>
        <v>3013946</v>
      </c>
      <c r="K278" s="285">
        <f>FS!K82</f>
        <v>3390053</v>
      </c>
      <c r="L278" s="285">
        <f>SUM(L273:L277)</f>
        <v>5156514</v>
      </c>
      <c r="O278" s="285">
        <f>FS!O82</f>
        <v>5317826</v>
      </c>
      <c r="R278" s="285">
        <f t="shared" ref="R278:W278" si="157">SUM(R273:R277)</f>
        <v>6525581.0290414216</v>
      </c>
      <c r="S278" s="285">
        <f t="shared" si="157"/>
        <v>7420332.36233461</v>
      </c>
      <c r="T278" s="285">
        <f t="shared" si="157"/>
        <v>7791348.9804513408</v>
      </c>
      <c r="U278" s="285">
        <f t="shared" si="157"/>
        <v>8025089.4498648802</v>
      </c>
      <c r="V278" s="285">
        <f t="shared" si="157"/>
        <v>8105340.3443635283</v>
      </c>
      <c r="W278" s="285">
        <f t="shared" si="157"/>
        <v>8024286.9409198938</v>
      </c>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row>
    <row r="279" spans="1:58">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row>
    <row r="280" spans="1:58">
      <c r="A280" s="3" t="str">
        <f>FS!$B$84</f>
        <v>Other intangible assets</v>
      </c>
      <c r="B280" s="3"/>
      <c r="C280" s="3"/>
      <c r="D280" s="3"/>
      <c r="E280" s="3"/>
      <c r="F280" s="3"/>
      <c r="G280" s="279"/>
      <c r="I280" s="279"/>
      <c r="J280" s="279"/>
      <c r="K280" s="279"/>
      <c r="L280" s="279"/>
      <c r="M280" s="279"/>
      <c r="N280" s="279"/>
      <c r="O280" s="279"/>
      <c r="P280" s="279"/>
      <c r="Q280" s="279"/>
      <c r="R280" s="279"/>
      <c r="S280" s="279"/>
      <c r="T280" s="279"/>
      <c r="U280" s="279"/>
      <c r="V280" s="279"/>
      <c r="W280" s="279"/>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row>
    <row r="281" spans="1:58">
      <c r="A281" s="7" t="s">
        <v>53</v>
      </c>
      <c r="H281" s="320"/>
      <c r="I281" s="285">
        <f>G285</f>
        <v>9029</v>
      </c>
      <c r="J281" s="285">
        <f>I285</f>
        <v>20591</v>
      </c>
      <c r="K281" s="285">
        <f>I285</f>
        <v>20591</v>
      </c>
      <c r="L281" s="285">
        <f>K285</f>
        <v>25624</v>
      </c>
      <c r="O281" s="285">
        <f>K285</f>
        <v>25624</v>
      </c>
      <c r="R281" s="285">
        <f>O285</f>
        <v>41964</v>
      </c>
      <c r="S281" s="285">
        <f>R285</f>
        <v>49444.937870746173</v>
      </c>
      <c r="T281" s="285">
        <f>S285</f>
        <v>58259.505315078386</v>
      </c>
      <c r="U281" s="285">
        <f>T285</f>
        <v>57883.901573349889</v>
      </c>
      <c r="V281" s="285">
        <f>U285</f>
        <v>57510.719379316273</v>
      </c>
      <c r="W281" s="285">
        <f>V285</f>
        <v>57139.943121063741</v>
      </c>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row>
    <row r="282" spans="1:58">
      <c r="B282" s="7" t="s">
        <v>188</v>
      </c>
      <c r="G282" s="285">
        <v>5756</v>
      </c>
      <c r="H282" s="320"/>
      <c r="I282" s="285">
        <v>10790</v>
      </c>
      <c r="J282" s="285">
        <v>3496</v>
      </c>
      <c r="K282" s="285">
        <v>5614</v>
      </c>
      <c r="L282" s="285">
        <v>1997</v>
      </c>
      <c r="O282" s="285">
        <v>2980</v>
      </c>
      <c r="R282" s="285">
        <f t="shared" ref="R282:W282" si="158">R299</f>
        <v>16144.283172026226</v>
      </c>
      <c r="S282" s="285">
        <f t="shared" si="158"/>
        <v>19022.330531135489</v>
      </c>
      <c r="T282" s="285">
        <f t="shared" si="158"/>
        <v>11651.901063015677</v>
      </c>
      <c r="U282" s="285">
        <f t="shared" si="158"/>
        <v>11576.780314669979</v>
      </c>
      <c r="V282" s="285">
        <f t="shared" si="158"/>
        <v>11502.143875863256</v>
      </c>
      <c r="W282" s="285">
        <f t="shared" si="158"/>
        <v>11427.988624212749</v>
      </c>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row>
    <row r="283" spans="1:58">
      <c r="B283" s="7" t="s">
        <v>8</v>
      </c>
      <c r="G283" s="285">
        <v>-1197</v>
      </c>
      <c r="H283" s="320"/>
      <c r="I283" s="285">
        <f>-FS!I151</f>
        <v>-2672</v>
      </c>
      <c r="J283" s="285">
        <f>-FS!J151</f>
        <v>-2860</v>
      </c>
      <c r="K283" s="285">
        <f>-FS!K151</f>
        <v>-3800</v>
      </c>
      <c r="L283" s="285">
        <f>-FS!L151</f>
        <v>-3220</v>
      </c>
      <c r="O283" s="285">
        <v>-5290</v>
      </c>
      <c r="R283" s="285">
        <f t="shared" ref="R283:W283" si="159">-R309</f>
        <v>-8663.345301280051</v>
      </c>
      <c r="S283" s="285">
        <f t="shared" si="159"/>
        <v>-10207.763086803281</v>
      </c>
      <c r="T283" s="285">
        <f t="shared" si="159"/>
        <v>-12027.504804744172</v>
      </c>
      <c r="U283" s="285">
        <f t="shared" si="159"/>
        <v>-11949.962508703595</v>
      </c>
      <c r="V283" s="285">
        <f t="shared" si="159"/>
        <v>-11872.920134115793</v>
      </c>
      <c r="W283" s="285">
        <f t="shared" si="159"/>
        <v>-11796.374457946737</v>
      </c>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row>
    <row r="284" spans="1:58">
      <c r="B284" s="7" t="s">
        <v>186</v>
      </c>
      <c r="H284" s="320"/>
      <c r="I284" s="285">
        <f>3445-1</f>
        <v>3444</v>
      </c>
      <c r="J284" s="285">
        <v>2617</v>
      </c>
      <c r="K284" s="285">
        <v>3219</v>
      </c>
      <c r="L284" s="285">
        <v>3027</v>
      </c>
      <c r="O284" s="285">
        <f>O285-SUM(O281:O283)</f>
        <v>18650</v>
      </c>
      <c r="P284" s="318"/>
      <c r="Q284" s="318"/>
      <c r="R284" s="318">
        <v>0</v>
      </c>
      <c r="S284" s="318">
        <v>0</v>
      </c>
      <c r="T284" s="318">
        <v>0</v>
      </c>
      <c r="U284" s="318">
        <v>0</v>
      </c>
      <c r="V284" s="318">
        <v>0</v>
      </c>
      <c r="W284" s="318">
        <v>0</v>
      </c>
      <c r="X284" s="10"/>
      <c r="Y284" s="10"/>
      <c r="Z284" s="10"/>
      <c r="AA284" s="10"/>
      <c r="AB284" s="10"/>
      <c r="AC284" s="10"/>
      <c r="AD284" s="10"/>
      <c r="AE284" s="10"/>
      <c r="AF284" s="10"/>
      <c r="AG284" s="10"/>
      <c r="AH284" s="10"/>
      <c r="AI284" s="10"/>
      <c r="AJ284" s="10"/>
      <c r="AK284" s="10"/>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c r="A285" s="10" t="s">
        <v>55</v>
      </c>
      <c r="B285" s="10"/>
      <c r="C285" s="10"/>
      <c r="D285" s="10"/>
      <c r="E285" s="10"/>
      <c r="F285" s="10"/>
      <c r="G285" s="285">
        <f>FS!G84</f>
        <v>9029</v>
      </c>
      <c r="H285" s="320"/>
      <c r="I285" s="285">
        <f>FS!I84</f>
        <v>20591</v>
      </c>
      <c r="J285" s="285">
        <f>FS!J84</f>
        <v>23844</v>
      </c>
      <c r="K285" s="285">
        <f>FS!K84</f>
        <v>25624</v>
      </c>
      <c r="L285" s="285">
        <f>FS!L84</f>
        <v>27428</v>
      </c>
      <c r="O285" s="285">
        <f>FS!O84</f>
        <v>41964</v>
      </c>
      <c r="R285" s="285">
        <f t="shared" ref="R285:W285" si="160">SUM(R281:R284)</f>
        <v>49444.937870746173</v>
      </c>
      <c r="S285" s="285">
        <f t="shared" si="160"/>
        <v>58259.505315078386</v>
      </c>
      <c r="T285" s="285">
        <f t="shared" si="160"/>
        <v>57883.901573349889</v>
      </c>
      <c r="U285" s="285">
        <f t="shared" si="160"/>
        <v>57510.719379316273</v>
      </c>
      <c r="V285" s="285">
        <f t="shared" si="160"/>
        <v>57139.943121063741</v>
      </c>
      <c r="W285" s="285">
        <f t="shared" si="160"/>
        <v>56771.557287329757</v>
      </c>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row>
    <row r="286" spans="1:58">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row>
    <row r="287" spans="1:58">
      <c r="A287" s="3" t="str">
        <f>FS!$B$83</f>
        <v>Right-of-use assets</v>
      </c>
      <c r="B287" s="3"/>
      <c r="C287" s="3"/>
      <c r="D287" s="3"/>
      <c r="E287" s="3"/>
      <c r="F287" s="3"/>
      <c r="G287" s="279"/>
      <c r="I287" s="279"/>
      <c r="J287" s="279"/>
      <c r="K287" s="279"/>
      <c r="L287" s="279"/>
      <c r="M287" s="279"/>
      <c r="N287" s="279"/>
      <c r="O287" s="279"/>
      <c r="P287" s="279"/>
      <c r="Q287" s="279"/>
      <c r="R287" s="279"/>
      <c r="S287" s="279"/>
      <c r="T287" s="279"/>
      <c r="U287" s="279"/>
      <c r="V287" s="279"/>
      <c r="W287" s="279"/>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row>
    <row r="288" spans="1:58">
      <c r="A288" s="7" t="s">
        <v>53</v>
      </c>
      <c r="H288" s="320"/>
      <c r="I288" s="285">
        <f>G292</f>
        <v>166031</v>
      </c>
      <c r="J288" s="285">
        <f>I292</f>
        <v>445560</v>
      </c>
      <c r="K288" s="285">
        <f>I292</f>
        <v>445560</v>
      </c>
      <c r="L288" s="285">
        <f>K292</f>
        <v>426986</v>
      </c>
      <c r="O288" s="285">
        <f>K292</f>
        <v>426986</v>
      </c>
      <c r="R288" s="285">
        <f>O292</f>
        <v>382189</v>
      </c>
      <c r="S288" s="285">
        <f>R292</f>
        <v>364490.47335744026</v>
      </c>
      <c r="T288" s="285">
        <f>S292</f>
        <v>352726.69113684236</v>
      </c>
      <c r="U288" s="285">
        <f>T292</f>
        <v>341342.58021700283</v>
      </c>
      <c r="V288" s="285">
        <f>U292</f>
        <v>333739.31266282283</v>
      </c>
      <c r="W288" s="285">
        <f>V292</f>
        <v>326305.40481015941</v>
      </c>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row>
    <row r="289" spans="1:58">
      <c r="B289" s="7" t="s">
        <v>188</v>
      </c>
      <c r="G289" s="285">
        <v>107455</v>
      </c>
      <c r="H289" s="320"/>
      <c r="I289" s="285">
        <v>379477</v>
      </c>
      <c r="J289" s="285">
        <v>79824</v>
      </c>
      <c r="K289" s="285">
        <v>94141</v>
      </c>
      <c r="L289" s="285">
        <v>48279</v>
      </c>
      <c r="O289" s="285">
        <v>79405</v>
      </c>
      <c r="R289" s="285">
        <f t="shared" ref="R289:W289" si="161">R288*R293</f>
        <v>71074.268348376761</v>
      </c>
      <c r="S289" s="285">
        <f t="shared" si="161"/>
        <v>72898.094671488056</v>
      </c>
      <c r="T289" s="285">
        <f t="shared" si="161"/>
        <v>70545.338227368469</v>
      </c>
      <c r="U289" s="285">
        <f t="shared" si="161"/>
        <v>71681.941845570589</v>
      </c>
      <c r="V289" s="285">
        <f t="shared" si="161"/>
        <v>70085.255659192786</v>
      </c>
      <c r="W289" s="285">
        <f t="shared" si="161"/>
        <v>68524.135010133468</v>
      </c>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row>
    <row r="290" spans="1:58">
      <c r="B290" s="7" t="s">
        <v>8</v>
      </c>
      <c r="G290" s="285">
        <v>-42363</v>
      </c>
      <c r="H290" s="320"/>
      <c r="I290" s="285">
        <v>-75782</v>
      </c>
      <c r="J290" s="285">
        <v>-78684</v>
      </c>
      <c r="K290" s="285">
        <f>-FS!K150</f>
        <v>-103472</v>
      </c>
      <c r="L290" s="285">
        <v>-74364</v>
      </c>
      <c r="O290" s="285">
        <v>-99178</v>
      </c>
      <c r="R290" s="285">
        <f t="shared" ref="R290:W290" si="162">-R308</f>
        <v>-88772.794990936469</v>
      </c>
      <c r="S290" s="285">
        <f t="shared" si="162"/>
        <v>-84661.876892085944</v>
      </c>
      <c r="T290" s="285">
        <f t="shared" si="162"/>
        <v>-81929.449147207997</v>
      </c>
      <c r="U290" s="285">
        <f t="shared" si="162"/>
        <v>-79285.209399750587</v>
      </c>
      <c r="V290" s="285">
        <f t="shared" si="162"/>
        <v>-77519.163511856226</v>
      </c>
      <c r="W290" s="285">
        <f t="shared" si="162"/>
        <v>-75792.455579953414</v>
      </c>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row>
    <row r="291" spans="1:58">
      <c r="B291" s="7" t="s">
        <v>187</v>
      </c>
      <c r="G291" s="285">
        <v>-249</v>
      </c>
      <c r="H291" s="320"/>
      <c r="I291" s="285">
        <v>-24166</v>
      </c>
      <c r="J291" s="285">
        <v>-7435</v>
      </c>
      <c r="K291" s="285">
        <f>-8523-720</f>
        <v>-9243</v>
      </c>
      <c r="L291" s="285">
        <v>-22381</v>
      </c>
      <c r="O291" s="285">
        <v>-25024</v>
      </c>
      <c r="P291" s="318"/>
      <c r="Q291" s="318"/>
      <c r="R291" s="318">
        <v>0</v>
      </c>
      <c r="S291" s="318">
        <f>R291</f>
        <v>0</v>
      </c>
      <c r="T291" s="318">
        <f>S291</f>
        <v>0</v>
      </c>
      <c r="U291" s="318">
        <f>T291</f>
        <v>0</v>
      </c>
      <c r="V291" s="318">
        <f>U291</f>
        <v>0</v>
      </c>
      <c r="W291" s="318">
        <f>V291</f>
        <v>0</v>
      </c>
      <c r="X291" s="10"/>
      <c r="Y291" s="10"/>
      <c r="Z291" s="10"/>
      <c r="AA291" s="10"/>
      <c r="AB291" s="10"/>
      <c r="AC291" s="10"/>
      <c r="AD291" s="10"/>
      <c r="AE291" s="10"/>
      <c r="AF291" s="10"/>
      <c r="AG291" s="10"/>
      <c r="AH291" s="10"/>
      <c r="AI291" s="10"/>
      <c r="AJ291" s="10"/>
      <c r="AK291" s="10"/>
      <c r="AL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c r="A292" s="10" t="s">
        <v>55</v>
      </c>
      <c r="B292" s="10"/>
      <c r="C292" s="10"/>
      <c r="D292" s="10"/>
      <c r="E292" s="10"/>
      <c r="F292" s="10"/>
      <c r="G292" s="285">
        <f>FS!G83</f>
        <v>166031</v>
      </c>
      <c r="H292" s="320"/>
      <c r="I292" s="285">
        <f>FS!I83</f>
        <v>445560</v>
      </c>
      <c r="J292" s="285">
        <f>FS!J83</f>
        <v>439265</v>
      </c>
      <c r="K292" s="285">
        <f>FS!K83</f>
        <v>426986</v>
      </c>
      <c r="L292" s="285">
        <f>FS!L83</f>
        <v>378520</v>
      </c>
      <c r="O292" s="285">
        <f>FS!O83</f>
        <v>382189</v>
      </c>
      <c r="R292" s="285">
        <f t="shared" ref="R292:W292" si="163">SUM(R288:R291)</f>
        <v>364490.47335744026</v>
      </c>
      <c r="S292" s="285">
        <f t="shared" si="163"/>
        <v>352726.69113684236</v>
      </c>
      <c r="T292" s="285">
        <f t="shared" si="163"/>
        <v>341342.58021700283</v>
      </c>
      <c r="U292" s="285">
        <f t="shared" si="163"/>
        <v>333739.31266282283</v>
      </c>
      <c r="V292" s="285">
        <f t="shared" si="163"/>
        <v>326305.40481015941</v>
      </c>
      <c r="W292" s="285">
        <f t="shared" si="163"/>
        <v>319037.08424033946</v>
      </c>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row>
    <row r="293" spans="1:58">
      <c r="A293" s="10"/>
      <c r="B293" s="10" t="s">
        <v>472</v>
      </c>
      <c r="C293" s="10"/>
      <c r="D293" s="10"/>
      <c r="E293" s="10"/>
      <c r="F293" s="10"/>
      <c r="H293" s="320"/>
      <c r="I293" s="300">
        <f>I289/I288</f>
        <v>2.2855791990652348</v>
      </c>
      <c r="J293" s="300">
        <f>J289/J288</f>
        <v>0.17915432265014813</v>
      </c>
      <c r="K293" s="300">
        <f>K289/K288</f>
        <v>0.21128691983122364</v>
      </c>
      <c r="L293" s="300">
        <f>L289/L288</f>
        <v>0.11306928096003148</v>
      </c>
      <c r="M293" s="300"/>
      <c r="N293" s="300"/>
      <c r="O293" s="300">
        <f>O289/O288</f>
        <v>0.18596628460886305</v>
      </c>
      <c r="P293" s="332"/>
      <c r="Q293" s="332"/>
      <c r="R293" s="332">
        <f>O293</f>
        <v>0.18596628460886305</v>
      </c>
      <c r="S293" s="332">
        <v>0.2</v>
      </c>
      <c r="T293" s="332">
        <f>S293</f>
        <v>0.2</v>
      </c>
      <c r="U293" s="332">
        <v>0.21</v>
      </c>
      <c r="V293" s="332">
        <f>U293</f>
        <v>0.21</v>
      </c>
      <c r="W293" s="332">
        <f>V293</f>
        <v>0.21</v>
      </c>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row>
    <row r="294" spans="1:58">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row>
    <row r="295" spans="1:58">
      <c r="A295" s="3" t="s">
        <v>63</v>
      </c>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row>
    <row r="296" spans="1:58">
      <c r="A296" s="7" t="s">
        <v>34</v>
      </c>
      <c r="G296" s="285">
        <f t="shared" ref="G296:L296" si="164">SUM(G297:G299)</f>
        <v>952373</v>
      </c>
      <c r="H296" s="285">
        <f t="shared" si="164"/>
        <v>862707</v>
      </c>
      <c r="I296" s="285">
        <f t="shared" si="164"/>
        <v>1259959</v>
      </c>
      <c r="J296" s="285">
        <f t="shared" si="164"/>
        <v>1323216</v>
      </c>
      <c r="K296" s="285">
        <f t="shared" si="164"/>
        <v>1690766</v>
      </c>
      <c r="L296" s="285">
        <f t="shared" si="164"/>
        <v>1200444</v>
      </c>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row>
    <row r="297" spans="1:58">
      <c r="B297" s="7" t="s">
        <v>64</v>
      </c>
      <c r="G297" s="285">
        <f>-FS!G180</f>
        <v>944523</v>
      </c>
      <c r="H297" s="285">
        <f>-FS!H180</f>
        <v>693221</v>
      </c>
      <c r="I297" s="285">
        <f>-FS!I180</f>
        <v>997293</v>
      </c>
      <c r="J297" s="285">
        <f>-FS!J180</f>
        <v>1312960</v>
      </c>
      <c r="K297" s="285">
        <f>-FS!K180</f>
        <v>1685292</v>
      </c>
      <c r="L297" s="285">
        <f>-FS!L180</f>
        <v>1194951</v>
      </c>
      <c r="O297" s="285">
        <f>-FS!O180</f>
        <v>1438614</v>
      </c>
      <c r="R297" s="285">
        <f t="shared" ref="R297:W297" si="165">R273*R304</f>
        <v>1861239.0999999999</v>
      </c>
      <c r="S297" s="285">
        <f t="shared" si="165"/>
        <v>1827162.6881315983</v>
      </c>
      <c r="T297" s="285">
        <f t="shared" si="165"/>
        <v>1855083.0905836525</v>
      </c>
      <c r="U297" s="285">
        <f t="shared" si="165"/>
        <v>1792010.2655038084</v>
      </c>
      <c r="V297" s="285">
        <f t="shared" si="165"/>
        <v>1685268.784471625</v>
      </c>
      <c r="W297" s="285">
        <f t="shared" si="165"/>
        <v>1540014.6654290706</v>
      </c>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row>
    <row r="298" spans="1:58">
      <c r="B298" s="7" t="s">
        <v>439</v>
      </c>
      <c r="G298" s="285">
        <f>-FS!G183</f>
        <v>673</v>
      </c>
      <c r="H298" s="285">
        <f>-FS!H183</f>
        <v>163048</v>
      </c>
      <c r="I298" s="285">
        <f>-FS!I183</f>
        <v>253943</v>
      </c>
      <c r="J298" s="285">
        <f>-FS!J183</f>
        <v>41</v>
      </c>
      <c r="K298" s="285">
        <f>-FS!K183</f>
        <v>41</v>
      </c>
      <c r="L298" s="285">
        <f>-FS!L183</f>
        <v>870</v>
      </c>
      <c r="O298" s="285">
        <f>-FS!O183</f>
        <v>1340</v>
      </c>
      <c r="R298" s="285">
        <v>0</v>
      </c>
      <c r="S298" s="285">
        <v>0</v>
      </c>
      <c r="T298" s="285">
        <v>0</v>
      </c>
      <c r="U298" s="285">
        <v>0</v>
      </c>
      <c r="V298" s="285">
        <v>0</v>
      </c>
      <c r="W298" s="285">
        <v>0</v>
      </c>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row>
    <row r="299" spans="1:58">
      <c r="B299" s="7" t="s">
        <v>189</v>
      </c>
      <c r="G299" s="285">
        <f>-FS!G182</f>
        <v>7177</v>
      </c>
      <c r="H299" s="285">
        <f>-FS!H182</f>
        <v>6438</v>
      </c>
      <c r="I299" s="285">
        <f>-FS!I182</f>
        <v>8723</v>
      </c>
      <c r="J299" s="285">
        <f>-FS!J182</f>
        <v>10215</v>
      </c>
      <c r="K299" s="285">
        <f>-FS!K182</f>
        <v>5433</v>
      </c>
      <c r="L299" s="285">
        <f>-FS!L182</f>
        <v>4623</v>
      </c>
      <c r="O299" s="285">
        <f>-FS!O182</f>
        <v>9858</v>
      </c>
      <c r="R299" s="285">
        <f t="shared" ref="R299:W299" si="166">R281*R305</f>
        <v>16144.283172026226</v>
      </c>
      <c r="S299" s="285">
        <f t="shared" si="166"/>
        <v>19022.330531135489</v>
      </c>
      <c r="T299" s="285">
        <f t="shared" si="166"/>
        <v>11651.901063015677</v>
      </c>
      <c r="U299" s="285">
        <f t="shared" si="166"/>
        <v>11576.780314669979</v>
      </c>
      <c r="V299" s="285">
        <f t="shared" si="166"/>
        <v>11502.143875863256</v>
      </c>
      <c r="W299" s="285">
        <f t="shared" si="166"/>
        <v>11427.988624212749</v>
      </c>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row>
    <row r="300" spans="1:58">
      <c r="A300" s="7" t="s">
        <v>234</v>
      </c>
      <c r="X300" s="32"/>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row>
    <row r="301" spans="1:58">
      <c r="B301" s="7" t="s">
        <v>62</v>
      </c>
      <c r="G301" s="286">
        <f t="shared" ref="G301:L301" si="167">G297/G$18</f>
        <v>9.1249567915558966E-2</v>
      </c>
      <c r="H301" s="286">
        <f t="shared" si="167"/>
        <v>6.5750281697087423E-2</v>
      </c>
      <c r="I301" s="286">
        <f t="shared" si="167"/>
        <v>7.3462291879011848E-2</v>
      </c>
      <c r="J301" s="286">
        <f t="shared" si="167"/>
        <v>8.5294096247413159E-2</v>
      </c>
      <c r="K301" s="286">
        <f t="shared" si="167"/>
        <v>8.3009230652534058E-2</v>
      </c>
      <c r="L301" s="286">
        <f t="shared" si="167"/>
        <v>6.4039231988602591E-2</v>
      </c>
      <c r="M301" s="286"/>
      <c r="N301" s="286"/>
      <c r="O301" s="286">
        <f>O297/O$18</f>
        <v>5.7941169623721159E-2</v>
      </c>
      <c r="P301" s="286"/>
      <c r="Q301" s="286"/>
      <c r="R301" s="286">
        <f t="shared" ref="R301:W301" si="168">R297/R$18</f>
        <v>5.7820804743594592E-2</v>
      </c>
      <c r="S301" s="286">
        <f t="shared" si="168"/>
        <v>5.1155459248859655E-2</v>
      </c>
      <c r="T301" s="286">
        <f t="shared" si="168"/>
        <v>4.4681532333279275E-2</v>
      </c>
      <c r="U301" s="286">
        <f t="shared" si="168"/>
        <v>3.7608534248049726E-2</v>
      </c>
      <c r="V301" s="286">
        <f t="shared" si="168"/>
        <v>3.1336101423187594E-2</v>
      </c>
      <c r="W301" s="286">
        <f t="shared" si="168"/>
        <v>2.672025260793209E-2</v>
      </c>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row>
    <row r="302" spans="1:58">
      <c r="B302" s="7" t="s">
        <v>193</v>
      </c>
      <c r="G302" s="286">
        <f t="shared" ref="G302:U302" si="169">G299/G$18</f>
        <v>6.9336389789339875E-4</v>
      </c>
      <c r="H302" s="286">
        <f t="shared" si="169"/>
        <v>6.1062823192870508E-4</v>
      </c>
      <c r="I302" s="286">
        <f>I299/I$18</f>
        <v>6.4255095750257981E-4</v>
      </c>
      <c r="J302" s="286">
        <f t="shared" si="169"/>
        <v>6.6359919050643242E-4</v>
      </c>
      <c r="K302" s="286">
        <f>K299/K$18</f>
        <v>2.6760297333353365E-4</v>
      </c>
      <c r="L302" s="286">
        <f>L299/L$18</f>
        <v>2.4775356435812829E-4</v>
      </c>
      <c r="M302" s="286"/>
      <c r="N302" s="286"/>
      <c r="O302" s="286">
        <f>O299/O$18</f>
        <v>3.9703773920637719E-4</v>
      </c>
      <c r="P302" s="286"/>
      <c r="Q302" s="286"/>
      <c r="R302" s="286">
        <f t="shared" si="169"/>
        <v>5.0153440523306671E-4</v>
      </c>
      <c r="S302" s="286">
        <f t="shared" si="169"/>
        <v>5.3257220094555418E-4</v>
      </c>
      <c r="T302" s="286">
        <f t="shared" si="169"/>
        <v>2.8064769536954024E-4</v>
      </c>
      <c r="U302" s="286">
        <f t="shared" si="169"/>
        <v>2.429594000255399E-4</v>
      </c>
      <c r="V302" s="286">
        <f>V299/V$18</f>
        <v>2.138723213764099E-4</v>
      </c>
      <c r="W302" s="286">
        <f>W299/W$18</f>
        <v>1.9828300969748332E-4</v>
      </c>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row>
    <row r="303" spans="1:58">
      <c r="A303" s="7" t="s">
        <v>473</v>
      </c>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row>
    <row r="304" spans="1:58">
      <c r="B304" s="7" t="s">
        <v>62</v>
      </c>
      <c r="G304" s="333"/>
      <c r="H304" s="333"/>
      <c r="I304" s="300">
        <f>I297/I273</f>
        <v>0.96496941935970781</v>
      </c>
      <c r="J304" s="300">
        <f>J297/J273</f>
        <v>0.77183634454695416</v>
      </c>
      <c r="K304" s="300">
        <f>K297/K273</f>
        <v>0.99071534302204589</v>
      </c>
      <c r="L304" s="300">
        <f>L297/L273</f>
        <v>0.35248740948887819</v>
      </c>
      <c r="M304" s="300"/>
      <c r="N304" s="300"/>
      <c r="O304" s="300">
        <f>O297/O273</f>
        <v>0.42436327691631959</v>
      </c>
      <c r="P304" s="332"/>
      <c r="Q304" s="332"/>
      <c r="R304" s="332">
        <v>0.35</v>
      </c>
      <c r="S304" s="332">
        <v>0.28000000000000003</v>
      </c>
      <c r="T304" s="332">
        <f>+S304-3%</f>
        <v>0.25</v>
      </c>
      <c r="U304" s="332">
        <f>+T304-2%</f>
        <v>0.23</v>
      </c>
      <c r="V304" s="332">
        <f>+U304-2%</f>
        <v>0.21000000000000002</v>
      </c>
      <c r="W304" s="332">
        <f>+V304-2%</f>
        <v>0.19000000000000003</v>
      </c>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row>
    <row r="305" spans="1:58">
      <c r="B305" s="7" t="s">
        <v>193</v>
      </c>
      <c r="G305" s="333"/>
      <c r="H305" s="333"/>
      <c r="I305" s="300">
        <f>I299/I281</f>
        <v>0.96610920367704067</v>
      </c>
      <c r="J305" s="300">
        <f>J299/J281</f>
        <v>0.49609052498664463</v>
      </c>
      <c r="K305" s="300">
        <f>K299/K281</f>
        <v>0.26385313972123742</v>
      </c>
      <c r="L305" s="300">
        <f>L299/L281</f>
        <v>0.18041679675304403</v>
      </c>
      <c r="M305" s="300"/>
      <c r="N305" s="300"/>
      <c r="O305" s="300">
        <f>O299/O281</f>
        <v>0.38471745238838589</v>
      </c>
      <c r="P305" s="332"/>
      <c r="Q305" s="332"/>
      <c r="R305" s="332">
        <f>O305</f>
        <v>0.38471745238838589</v>
      </c>
      <c r="S305" s="332">
        <f>R305</f>
        <v>0.38471745238838589</v>
      </c>
      <c r="T305" s="332">
        <v>0.2</v>
      </c>
      <c r="U305" s="332">
        <f>T305</f>
        <v>0.2</v>
      </c>
      <c r="V305" s="332">
        <f>U305</f>
        <v>0.2</v>
      </c>
      <c r="W305" s="332">
        <f>V305</f>
        <v>0.2</v>
      </c>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row>
    <row r="306" spans="1:58">
      <c r="A306" s="7" t="s">
        <v>8</v>
      </c>
      <c r="G306" s="285">
        <f t="shared" ref="G306:L306" si="170">SUM(G307:G309)</f>
        <v>100799</v>
      </c>
      <c r="H306" s="285">
        <f t="shared" si="170"/>
        <v>134186</v>
      </c>
      <c r="I306" s="285">
        <f t="shared" si="170"/>
        <v>183764</v>
      </c>
      <c r="J306" s="285">
        <f t="shared" si="170"/>
        <v>191652</v>
      </c>
      <c r="K306" s="285">
        <f t="shared" si="170"/>
        <v>267776</v>
      </c>
      <c r="L306" s="285">
        <f t="shared" si="170"/>
        <v>298194</v>
      </c>
      <c r="O306" s="285">
        <f>SUM(O307:O309)</f>
        <v>419355</v>
      </c>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row>
    <row r="307" spans="1:58">
      <c r="B307" s="7" t="s">
        <v>65</v>
      </c>
      <c r="G307" s="285">
        <f>FS!G149</f>
        <v>57239</v>
      </c>
      <c r="H307" s="285">
        <f>FS!H149</f>
        <v>79650</v>
      </c>
      <c r="I307" s="285">
        <f>FS!I149</f>
        <v>105310</v>
      </c>
      <c r="J307" s="285">
        <f>FS!J149</f>
        <v>110108</v>
      </c>
      <c r="K307" s="285">
        <f>FS!K149</f>
        <v>160504</v>
      </c>
      <c r="L307" s="285">
        <f>FS!L149</f>
        <v>220610</v>
      </c>
      <c r="O307" s="285">
        <f>FS!O149</f>
        <v>314887</v>
      </c>
      <c r="R307" s="285">
        <f t="shared" ref="R307:W307" si="171">R273*R315</f>
        <v>653484.07095857791</v>
      </c>
      <c r="S307" s="285">
        <f t="shared" si="171"/>
        <v>932411.35483840923</v>
      </c>
      <c r="T307" s="285">
        <f t="shared" si="171"/>
        <v>1484066.4724669221</v>
      </c>
      <c r="U307" s="285">
        <f t="shared" si="171"/>
        <v>1558269.7960902683</v>
      </c>
      <c r="V307" s="285">
        <f t="shared" si="171"/>
        <v>1605017.8899729762</v>
      </c>
      <c r="W307" s="285">
        <f t="shared" si="171"/>
        <v>1621068.0688727058</v>
      </c>
      <c r="X307" s="243">
        <f>SUM(U297:U299,U289)/SUM(U307:U309)</f>
        <v>1.1368677415620256</v>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row>
    <row r="308" spans="1:58">
      <c r="B308" s="7" t="s">
        <v>190</v>
      </c>
      <c r="G308" s="285">
        <f>FS!G150</f>
        <v>42363</v>
      </c>
      <c r="H308" s="285">
        <f>FS!H150</f>
        <v>52827</v>
      </c>
      <c r="I308" s="285">
        <f>FS!I150</f>
        <v>75782</v>
      </c>
      <c r="J308" s="285">
        <f>FS!J150</f>
        <v>78684</v>
      </c>
      <c r="K308" s="285">
        <f>FS!K150</f>
        <v>103472</v>
      </c>
      <c r="L308" s="285">
        <f>FS!L150</f>
        <v>74364</v>
      </c>
      <c r="O308" s="285">
        <f>FS!O150</f>
        <v>99178</v>
      </c>
      <c r="R308" s="285">
        <f t="shared" ref="R308:W308" si="172">R288*R316</f>
        <v>88772.794990936469</v>
      </c>
      <c r="S308" s="285">
        <f t="shared" si="172"/>
        <v>84661.876892085944</v>
      </c>
      <c r="T308" s="285">
        <f t="shared" si="172"/>
        <v>81929.449147207997</v>
      </c>
      <c r="U308" s="285">
        <f t="shared" si="172"/>
        <v>79285.209399750587</v>
      </c>
      <c r="V308" s="285">
        <f t="shared" si="172"/>
        <v>77519.163511856226</v>
      </c>
      <c r="W308" s="285">
        <f t="shared" si="172"/>
        <v>75792.455579953414</v>
      </c>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row>
    <row r="309" spans="1:58">
      <c r="B309" s="7" t="s">
        <v>191</v>
      </c>
      <c r="G309" s="285">
        <f>FS!G151</f>
        <v>1197</v>
      </c>
      <c r="H309" s="285">
        <f>FS!H151</f>
        <v>1709</v>
      </c>
      <c r="I309" s="285">
        <f>FS!I151</f>
        <v>2672</v>
      </c>
      <c r="J309" s="285">
        <f>FS!J151</f>
        <v>2860</v>
      </c>
      <c r="K309" s="285">
        <f>FS!K151</f>
        <v>3800</v>
      </c>
      <c r="L309" s="285">
        <f>FS!L151</f>
        <v>3220</v>
      </c>
      <c r="O309" s="285">
        <f>FS!O151</f>
        <v>5290</v>
      </c>
      <c r="R309" s="285">
        <f t="shared" ref="R309:W309" si="173">R281*R317</f>
        <v>8663.345301280051</v>
      </c>
      <c r="S309" s="285">
        <f t="shared" si="173"/>
        <v>10207.763086803281</v>
      </c>
      <c r="T309" s="285">
        <f t="shared" si="173"/>
        <v>12027.504804744172</v>
      </c>
      <c r="U309" s="285">
        <f t="shared" si="173"/>
        <v>11949.962508703595</v>
      </c>
      <c r="V309" s="285">
        <f t="shared" si="173"/>
        <v>11872.920134115793</v>
      </c>
      <c r="W309" s="285">
        <f t="shared" si="173"/>
        <v>11796.374457946737</v>
      </c>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row>
    <row r="310" spans="1:58">
      <c r="A310" s="7" t="s">
        <v>475</v>
      </c>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row>
    <row r="311" spans="1:58">
      <c r="B311" s="7" t="s">
        <v>65</v>
      </c>
      <c r="I311" s="286">
        <f t="shared" ref="I311:U313" si="174">I307/I$18</f>
        <v>7.7573130040807844E-3</v>
      </c>
      <c r="J311" s="286">
        <f t="shared" si="174"/>
        <v>7.1529691305220024E-3</v>
      </c>
      <c r="K311" s="286">
        <f t="shared" ref="K311:L313" si="175">K307/K$18</f>
        <v>7.9056410145270529E-3</v>
      </c>
      <c r="L311" s="286">
        <f t="shared" si="175"/>
        <v>1.1822823671435579E-2</v>
      </c>
      <c r="M311" s="286"/>
      <c r="N311" s="286"/>
      <c r="O311" s="286">
        <f t="shared" si="174"/>
        <v>1.2682290787733669E-2</v>
      </c>
      <c r="P311" s="286"/>
      <c r="Q311" s="286"/>
      <c r="R311" s="286">
        <f t="shared" si="174"/>
        <v>2.0300978455667116E-2</v>
      </c>
      <c r="S311" s="286">
        <f t="shared" si="174"/>
        <v>2.6104917408523012E-2</v>
      </c>
      <c r="T311" s="286">
        <f t="shared" si="174"/>
        <v>3.5745225866623424E-2</v>
      </c>
      <c r="U311" s="286">
        <f t="shared" si="174"/>
        <v>3.2703073259173675E-2</v>
      </c>
      <c r="V311" s="286">
        <f t="shared" ref="V311:W313" si="176">V307/V$18</f>
        <v>2.9843906117321517E-2</v>
      </c>
      <c r="W311" s="286">
        <f t="shared" si="176"/>
        <v>2.8126581692560094E-2</v>
      </c>
    </row>
    <row r="312" spans="1:58">
      <c r="B312" s="7" t="s">
        <v>190</v>
      </c>
      <c r="I312" s="286">
        <f t="shared" si="174"/>
        <v>5.5822305011418664E-3</v>
      </c>
      <c r="J312" s="286">
        <f t="shared" si="174"/>
        <v>5.1115652183855243E-3</v>
      </c>
      <c r="K312" s="286">
        <f t="shared" si="175"/>
        <v>5.0965239935150735E-3</v>
      </c>
      <c r="L312" s="286">
        <f t="shared" si="175"/>
        <v>3.9852792688574203E-3</v>
      </c>
      <c r="M312" s="286"/>
      <c r="N312" s="286"/>
      <c r="O312" s="286">
        <f>O308/O$18</f>
        <v>3.9944622539064799E-3</v>
      </c>
      <c r="P312" s="286"/>
      <c r="Q312" s="286"/>
      <c r="R312" s="286">
        <f t="shared" si="174"/>
        <v>2.757794227358586E-3</v>
      </c>
      <c r="S312" s="286">
        <f t="shared" si="174"/>
        <v>2.370296428126902E-3</v>
      </c>
      <c r="T312" s="286">
        <f t="shared" si="174"/>
        <v>1.9733527569198973E-3</v>
      </c>
      <c r="U312" s="286">
        <f t="shared" si="174"/>
        <v>1.6639416472516723E-3</v>
      </c>
      <c r="V312" s="286">
        <f t="shared" si="176"/>
        <v>1.4414011535909331E-3</v>
      </c>
      <c r="W312" s="286">
        <f t="shared" si="176"/>
        <v>1.3150482293021403E-3</v>
      </c>
    </row>
    <row r="313" spans="1:58">
      <c r="B313" s="7" t="s">
        <v>191</v>
      </c>
      <c r="I313" s="286">
        <f t="shared" si="174"/>
        <v>1.968240465948519E-4</v>
      </c>
      <c r="J313" s="286">
        <f t="shared" si="174"/>
        <v>1.8579478069979409E-4</v>
      </c>
      <c r="K313" s="286">
        <f t="shared" si="175"/>
        <v>1.8716939051489562E-4</v>
      </c>
      <c r="L313" s="286">
        <f t="shared" si="175"/>
        <v>1.7256467169222866E-4</v>
      </c>
      <c r="M313" s="286"/>
      <c r="N313" s="286"/>
      <c r="O313" s="286">
        <f t="shared" si="174"/>
        <v>2.1305839322395369E-4</v>
      </c>
      <c r="P313" s="286"/>
      <c r="Q313" s="286"/>
      <c r="R313" s="286">
        <f t="shared" si="174"/>
        <v>2.6913339457120341E-4</v>
      </c>
      <c r="S313" s="286">
        <f t="shared" si="174"/>
        <v>2.8578889663237792E-4</v>
      </c>
      <c r="T313" s="286">
        <f t="shared" si="174"/>
        <v>2.8969448729801515E-4</v>
      </c>
      <c r="U313" s="286">
        <f t="shared" si="174"/>
        <v>2.5079129451590422E-4</v>
      </c>
      <c r="V313" s="286">
        <f t="shared" si="176"/>
        <v>2.2076658212636752E-4</v>
      </c>
      <c r="W313" s="286">
        <f t="shared" si="176"/>
        <v>2.0467474268258013E-4</v>
      </c>
    </row>
    <row r="314" spans="1:58">
      <c r="A314" s="7" t="s">
        <v>476</v>
      </c>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row>
    <row r="315" spans="1:58">
      <c r="B315" s="7" t="s">
        <v>62</v>
      </c>
      <c r="G315" s="334"/>
      <c r="H315" s="334"/>
      <c r="I315" s="300">
        <f>I307/I273</f>
        <v>0.10189676409317105</v>
      </c>
      <c r="J315" s="300">
        <f>J307/J273*4/3</f>
        <v>8.6304082607620458E-2</v>
      </c>
      <c r="K315" s="300">
        <f>K307/K273</f>
        <v>9.4353842192575796E-2</v>
      </c>
      <c r="L315" s="300">
        <f>L307/L273*4/3</f>
        <v>8.6767571677099642E-2</v>
      </c>
      <c r="M315" s="300"/>
      <c r="N315" s="300"/>
      <c r="O315" s="300">
        <f>O307/O273</f>
        <v>9.2885568455714412E-2</v>
      </c>
      <c r="P315" s="332"/>
      <c r="Q315" s="332"/>
      <c r="R315" s="332">
        <f>O315+3%</f>
        <v>0.12288556845571441</v>
      </c>
      <c r="S315" s="332">
        <f>R315+2%</f>
        <v>0.1428855684557144</v>
      </c>
      <c r="T315" s="332">
        <v>0.2</v>
      </c>
      <c r="U315" s="332">
        <f t="shared" ref="U315:W317" si="177">T315</f>
        <v>0.2</v>
      </c>
      <c r="V315" s="332">
        <f t="shared" si="177"/>
        <v>0.2</v>
      </c>
      <c r="W315" s="332">
        <f t="shared" si="177"/>
        <v>0.2</v>
      </c>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row>
    <row r="316" spans="1:58">
      <c r="B316" s="7" t="s">
        <v>192</v>
      </c>
      <c r="G316" s="334"/>
      <c r="H316" s="334"/>
      <c r="I316" s="300">
        <f>I308/I288</f>
        <v>0.45643283483204944</v>
      </c>
      <c r="J316" s="300">
        <f>J308/J288*4/3</f>
        <v>0.23546099290780143</v>
      </c>
      <c r="K316" s="300">
        <f>K308/K288</f>
        <v>0.23222910494658408</v>
      </c>
      <c r="L316" s="300">
        <f>L308/L288*4/3</f>
        <v>0.2322137025569925</v>
      </c>
      <c r="M316" s="300"/>
      <c r="N316" s="300"/>
      <c r="O316" s="300">
        <f>O308/O288</f>
        <v>0.23227459448319149</v>
      </c>
      <c r="P316" s="332"/>
      <c r="Q316" s="332"/>
      <c r="R316" s="332">
        <f>O316</f>
        <v>0.23227459448319149</v>
      </c>
      <c r="S316" s="332">
        <f>R316</f>
        <v>0.23227459448319149</v>
      </c>
      <c r="T316" s="332">
        <f>S316</f>
        <v>0.23227459448319149</v>
      </c>
      <c r="U316" s="332">
        <f t="shared" si="177"/>
        <v>0.23227459448319149</v>
      </c>
      <c r="V316" s="332">
        <f t="shared" si="177"/>
        <v>0.23227459448319149</v>
      </c>
      <c r="W316" s="332">
        <f t="shared" si="177"/>
        <v>0.23227459448319149</v>
      </c>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row>
    <row r="317" spans="1:58">
      <c r="B317" s="7" t="s">
        <v>193</v>
      </c>
      <c r="G317" s="334"/>
      <c r="H317" s="334"/>
      <c r="I317" s="300">
        <f>I309/I281</f>
        <v>0.29593531952597185</v>
      </c>
      <c r="J317" s="300">
        <f>J309/J281*4/3</f>
        <v>0.18519417868648114</v>
      </c>
      <c r="K317" s="300">
        <f>K309/K281</f>
        <v>0.18454664659317177</v>
      </c>
      <c r="L317" s="300">
        <f>L309/L281*4/3</f>
        <v>0.1675512540326777</v>
      </c>
      <c r="M317" s="300"/>
      <c r="N317" s="300"/>
      <c r="O317" s="300">
        <f>O309/O281</f>
        <v>0.20644708086169217</v>
      </c>
      <c r="P317" s="332"/>
      <c r="Q317" s="332"/>
      <c r="R317" s="332">
        <f>O317</f>
        <v>0.20644708086169217</v>
      </c>
      <c r="S317" s="332">
        <f>R317</f>
        <v>0.20644708086169217</v>
      </c>
      <c r="T317" s="332">
        <f>S317</f>
        <v>0.20644708086169217</v>
      </c>
      <c r="U317" s="332">
        <f t="shared" si="177"/>
        <v>0.20644708086169217</v>
      </c>
      <c r="V317" s="332">
        <f t="shared" si="177"/>
        <v>0.20644708086169217</v>
      </c>
      <c r="W317" s="332">
        <f t="shared" si="177"/>
        <v>0.20644708086169217</v>
      </c>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row>
    <row r="318" spans="1:58">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row>
    <row r="319" spans="1:58">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row>
    <row r="320" spans="1:58" ht="12.75">
      <c r="A320" s="8" t="s">
        <v>194</v>
      </c>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row>
    <row r="321" spans="1:58">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row>
    <row r="322" spans="1:58">
      <c r="A322" s="3" t="s">
        <v>71</v>
      </c>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row>
    <row r="323" spans="1:58">
      <c r="A323" s="3"/>
      <c r="B323" s="7" t="s">
        <v>195</v>
      </c>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row>
    <row r="324" spans="1:58">
      <c r="B324" s="7" t="s">
        <v>53</v>
      </c>
      <c r="H324" s="320"/>
      <c r="I324" s="285">
        <f>G328</f>
        <v>900237</v>
      </c>
      <c r="J324" s="285">
        <f>I328</f>
        <v>1865676</v>
      </c>
      <c r="K324" s="285">
        <f>I328</f>
        <v>1865676</v>
      </c>
      <c r="L324" s="285">
        <f>K328</f>
        <v>746046</v>
      </c>
      <c r="O324" s="285">
        <f>K328</f>
        <v>746046</v>
      </c>
      <c r="R324" s="285">
        <f>O328</f>
        <v>3491643</v>
      </c>
      <c r="S324" s="285">
        <f>R328</f>
        <v>3703047.5438350989</v>
      </c>
      <c r="T324" s="285">
        <f>S328</f>
        <v>3927251.7585283369</v>
      </c>
      <c r="U324" s="285">
        <f>T328</f>
        <v>4165030.6112166764</v>
      </c>
      <c r="V324" s="285">
        <f>U328</f>
        <v>4417205.9900923185</v>
      </c>
      <c r="W324" s="285">
        <f>V328</f>
        <v>4684649.5452785539</v>
      </c>
      <c r="X324" s="10"/>
      <c r="Y324" s="10"/>
      <c r="Z324" s="10"/>
      <c r="AA324" s="10"/>
      <c r="AB324" s="10"/>
      <c r="AC324" s="10"/>
      <c r="AD324" s="10"/>
      <c r="AE324" s="10"/>
      <c r="AF324" s="10"/>
      <c r="AG324" s="10"/>
      <c r="AH324" s="10"/>
      <c r="AI324" s="10"/>
      <c r="AJ324" s="10"/>
      <c r="AK324" s="10"/>
      <c r="AL324" s="24"/>
      <c r="AM324" s="24"/>
      <c r="AN324" s="24"/>
      <c r="AO324" s="24"/>
      <c r="AP324" s="24"/>
      <c r="AQ324" s="24"/>
      <c r="AR324" s="24"/>
      <c r="AS324" s="24"/>
      <c r="AT324" s="24"/>
      <c r="AU324" s="24"/>
      <c r="AV324" s="24"/>
      <c r="AW324" s="24"/>
      <c r="AX324" s="24"/>
      <c r="AY324" s="24"/>
      <c r="AZ324" s="24"/>
      <c r="BA324" s="24"/>
      <c r="BB324" s="24"/>
      <c r="BC324" s="24"/>
      <c r="BD324" s="24"/>
      <c r="BE324" s="24"/>
      <c r="BF324" s="24"/>
    </row>
    <row r="325" spans="1:58">
      <c r="C325" s="7" t="s">
        <v>104</v>
      </c>
      <c r="G325" s="285">
        <f>-FS!G185</f>
        <v>2161400</v>
      </c>
      <c r="H325" s="320"/>
      <c r="I325" s="285">
        <f>-FS!I185</f>
        <v>4336000</v>
      </c>
      <c r="J325" s="285">
        <f>-FS!J185</f>
        <v>5001000</v>
      </c>
      <c r="K325" s="285">
        <f>-FS!K185</f>
        <v>5161000</v>
      </c>
      <c r="L325" s="285">
        <f>-FS!L185</f>
        <v>2503000</v>
      </c>
      <c r="O325" s="285">
        <f>-FS!O185</f>
        <v>3213000</v>
      </c>
      <c r="P325" s="318"/>
      <c r="Q325" s="318"/>
      <c r="R325" s="318"/>
      <c r="S325" s="318">
        <v>0</v>
      </c>
      <c r="T325" s="318">
        <v>0</v>
      </c>
      <c r="U325" s="318">
        <v>0</v>
      </c>
      <c r="V325" s="318">
        <v>0</v>
      </c>
      <c r="W325" s="318">
        <v>0</v>
      </c>
      <c r="X325" s="10"/>
      <c r="Y325" s="10"/>
      <c r="Z325" s="10"/>
      <c r="AA325" s="10"/>
      <c r="AB325" s="10"/>
      <c r="AC325" s="10"/>
      <c r="AD325" s="10"/>
      <c r="AE325" s="10"/>
      <c r="AF325" s="10"/>
      <c r="AG325" s="10"/>
      <c r="AH325" s="10"/>
      <c r="AI325" s="10"/>
      <c r="AJ325" s="10"/>
      <c r="AK325" s="10"/>
      <c r="AL325" s="24"/>
      <c r="AM325" s="24"/>
      <c r="AN325" s="24"/>
      <c r="AO325" s="24"/>
      <c r="AP325" s="24"/>
      <c r="AQ325" s="24"/>
      <c r="AR325" s="24"/>
      <c r="AS325" s="24"/>
      <c r="AT325" s="24"/>
      <c r="AU325" s="24"/>
      <c r="AV325" s="24"/>
      <c r="AW325" s="24"/>
      <c r="AX325" s="24"/>
      <c r="AY325" s="24"/>
      <c r="AZ325" s="24"/>
      <c r="BA325" s="24"/>
      <c r="BB325" s="24"/>
      <c r="BC325" s="24"/>
      <c r="BD325" s="24"/>
      <c r="BE325" s="24"/>
      <c r="BF325" s="24"/>
    </row>
    <row r="326" spans="1:58">
      <c r="C326" s="7" t="s">
        <v>427</v>
      </c>
      <c r="G326" s="285">
        <f>-FS!G186</f>
        <v>-1277070</v>
      </c>
      <c r="H326" s="320"/>
      <c r="I326" s="285">
        <f>-FS!I186</f>
        <v>-3396205</v>
      </c>
      <c r="J326" s="285">
        <f>-FS!J186</f>
        <v>-4335999</v>
      </c>
      <c r="K326" s="285">
        <f>-FS!K186</f>
        <v>-6333963</v>
      </c>
      <c r="L326" s="285">
        <f>-FS!L186</f>
        <v>-434545</v>
      </c>
      <c r="O326" s="285">
        <f>-FS!O186</f>
        <v>-512573</v>
      </c>
      <c r="P326" s="318"/>
      <c r="Q326" s="318"/>
      <c r="R326" s="318">
        <v>0</v>
      </c>
      <c r="S326" s="318">
        <v>0</v>
      </c>
      <c r="T326" s="318">
        <v>0</v>
      </c>
      <c r="U326" s="318">
        <v>0</v>
      </c>
      <c r="V326" s="318">
        <v>0</v>
      </c>
      <c r="W326" s="318">
        <v>0</v>
      </c>
      <c r="X326" s="10"/>
      <c r="Y326" s="10"/>
      <c r="Z326" s="10"/>
      <c r="AA326" s="10"/>
      <c r="AB326" s="10"/>
      <c r="AC326" s="10"/>
      <c r="AD326" s="10"/>
      <c r="AE326" s="10"/>
      <c r="AF326" s="10"/>
      <c r="AG326" s="10"/>
      <c r="AH326" s="10"/>
      <c r="AI326" s="10"/>
      <c r="AJ326" s="10"/>
      <c r="AK326" s="10"/>
      <c r="AL326" s="24"/>
      <c r="AM326" s="24"/>
      <c r="AN326" s="24"/>
      <c r="AO326" s="24"/>
      <c r="AP326" s="24"/>
      <c r="AQ326" s="24"/>
      <c r="AR326" s="24"/>
      <c r="AS326" s="24"/>
      <c r="AT326" s="24"/>
      <c r="AU326" s="24"/>
      <c r="AV326" s="24"/>
      <c r="AW326" s="24"/>
      <c r="AX326" s="24"/>
      <c r="AY326" s="24"/>
      <c r="AZ326" s="24"/>
      <c r="BA326" s="24"/>
      <c r="BB326" s="24"/>
      <c r="BC326" s="24"/>
      <c r="BD326" s="24"/>
      <c r="BE326" s="24"/>
      <c r="BF326" s="24"/>
    </row>
    <row r="327" spans="1:58">
      <c r="C327" s="7" t="s">
        <v>426</v>
      </c>
      <c r="H327" s="320"/>
      <c r="I327" s="285">
        <f>I328-I326-I325-I324</f>
        <v>25644</v>
      </c>
      <c r="J327" s="285">
        <f>J328-J326-J325-J324</f>
        <v>44113</v>
      </c>
      <c r="K327" s="285">
        <f>K328-K326-K325-K324</f>
        <v>53333</v>
      </c>
      <c r="L327" s="285">
        <f>L328-L326-L325-L324</f>
        <v>28102</v>
      </c>
      <c r="O327" s="285">
        <f>O328-O326-O325-O324</f>
        <v>45170</v>
      </c>
      <c r="R327" s="285">
        <f t="shared" ref="R327:W327" si="178">R324*R329</f>
        <v>211404.54383509865</v>
      </c>
      <c r="S327" s="285">
        <f t="shared" si="178"/>
        <v>224204.21469323797</v>
      </c>
      <c r="T327" s="285">
        <f t="shared" si="178"/>
        <v>237778.85268833957</v>
      </c>
      <c r="U327" s="285">
        <f t="shared" si="178"/>
        <v>252175.37887564208</v>
      </c>
      <c r="V327" s="285">
        <f t="shared" si="178"/>
        <v>267443.55518623523</v>
      </c>
      <c r="W327" s="285">
        <f t="shared" si="178"/>
        <v>283636.15643034381</v>
      </c>
      <c r="X327" s="10"/>
      <c r="Y327" s="10"/>
      <c r="Z327" s="10"/>
      <c r="AA327" s="10"/>
      <c r="AB327" s="10"/>
      <c r="AC327" s="10"/>
      <c r="AD327" s="10"/>
      <c r="AE327" s="10"/>
      <c r="AF327" s="10"/>
      <c r="AG327" s="10"/>
      <c r="AH327" s="10"/>
      <c r="AI327" s="10"/>
      <c r="AJ327" s="10"/>
      <c r="AK327" s="10"/>
      <c r="AL327" s="24"/>
      <c r="AM327" s="24"/>
      <c r="AN327" s="24"/>
      <c r="AO327" s="24"/>
      <c r="AP327" s="24"/>
      <c r="AQ327" s="24"/>
      <c r="AR327" s="24"/>
      <c r="AS327" s="24"/>
      <c r="AT327" s="24"/>
      <c r="AU327" s="24"/>
      <c r="AV327" s="24"/>
      <c r="AW327" s="24"/>
      <c r="AX327" s="24"/>
      <c r="AY327" s="24"/>
      <c r="AZ327" s="24"/>
      <c r="BA327" s="24"/>
      <c r="BB327" s="24"/>
      <c r="BC327" s="24"/>
      <c r="BD327" s="24"/>
      <c r="BE327" s="24"/>
      <c r="BF327" s="24"/>
    </row>
    <row r="328" spans="1:58">
      <c r="B328" s="7" t="s">
        <v>55</v>
      </c>
      <c r="G328" s="285">
        <f>FS!G78</f>
        <v>900237</v>
      </c>
      <c r="H328" s="320"/>
      <c r="I328" s="285">
        <f>FS!I78</f>
        <v>1865676</v>
      </c>
      <c r="J328" s="285">
        <f>FS!J78</f>
        <v>2574790</v>
      </c>
      <c r="K328" s="285">
        <f>FS!K78</f>
        <v>746046</v>
      </c>
      <c r="L328" s="285">
        <f>FS!L78</f>
        <v>2842603</v>
      </c>
      <c r="O328" s="285">
        <f>FS!O78</f>
        <v>3491643</v>
      </c>
      <c r="R328" s="285">
        <f t="shared" ref="R328:W328" si="179">SUM(R324:R327)</f>
        <v>3703047.5438350989</v>
      </c>
      <c r="S328" s="285">
        <f t="shared" si="179"/>
        <v>3927251.7585283369</v>
      </c>
      <c r="T328" s="285">
        <f t="shared" si="179"/>
        <v>4165030.6112166764</v>
      </c>
      <c r="U328" s="285">
        <f t="shared" si="179"/>
        <v>4417205.9900923185</v>
      </c>
      <c r="V328" s="285">
        <f t="shared" si="179"/>
        <v>4684649.5452785539</v>
      </c>
      <c r="W328" s="285">
        <f t="shared" si="179"/>
        <v>4968285.7017088979</v>
      </c>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row>
    <row r="329" spans="1:58">
      <c r="B329" s="7" t="s">
        <v>419</v>
      </c>
      <c r="H329" s="320"/>
      <c r="I329" s="286">
        <f>I327/I324</f>
        <v>2.8485832064223088E-2</v>
      </c>
      <c r="J329" s="286">
        <f>J327/J324</f>
        <v>2.3644512766418178E-2</v>
      </c>
      <c r="K329" s="286">
        <f>K327/K324</f>
        <v>2.8586421222120025E-2</v>
      </c>
      <c r="L329" s="286">
        <f>L327/L324</f>
        <v>3.7667918600193556E-2</v>
      </c>
      <c r="M329" s="286"/>
      <c r="N329" s="286"/>
      <c r="O329" s="286">
        <f>O327/O324</f>
        <v>6.0545864464121517E-2</v>
      </c>
      <c r="P329" s="328"/>
      <c r="Q329" s="328"/>
      <c r="R329" s="328">
        <f>O329</f>
        <v>6.0545864464121517E-2</v>
      </c>
      <c r="S329" s="328">
        <f>R329</f>
        <v>6.0545864464121517E-2</v>
      </c>
      <c r="T329" s="328">
        <f>S329</f>
        <v>6.0545864464121517E-2</v>
      </c>
      <c r="U329" s="328">
        <f>T329</f>
        <v>6.0545864464121517E-2</v>
      </c>
      <c r="V329" s="328">
        <f>U329</f>
        <v>6.0545864464121517E-2</v>
      </c>
      <c r="W329" s="328">
        <f>V329</f>
        <v>6.0545864464121517E-2</v>
      </c>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row>
    <row r="330" spans="1:58">
      <c r="H330" s="32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row>
    <row r="331" spans="1:58">
      <c r="B331" s="7" t="s">
        <v>196</v>
      </c>
      <c r="G331" s="285">
        <f>FS!G86</f>
        <v>11400</v>
      </c>
      <c r="H331" s="320"/>
      <c r="I331" s="285">
        <f>FS!I86</f>
        <v>11400</v>
      </c>
      <c r="J331" s="285">
        <f>FS!J86</f>
        <v>10480</v>
      </c>
      <c r="K331" s="285">
        <f>FS!K86</f>
        <v>10460</v>
      </c>
      <c r="L331" s="285">
        <f>FS!L86</f>
        <v>6590</v>
      </c>
      <c r="O331" s="285">
        <f>FS!O86</f>
        <v>6590</v>
      </c>
      <c r="P331" s="318"/>
      <c r="Q331" s="318"/>
      <c r="R331" s="318">
        <f>O331</f>
        <v>6590</v>
      </c>
      <c r="S331" s="318">
        <f>R331</f>
        <v>6590</v>
      </c>
      <c r="T331" s="318">
        <f>S331</f>
        <v>6590</v>
      </c>
      <c r="U331" s="318">
        <f>T331</f>
        <v>6590</v>
      </c>
      <c r="V331" s="318">
        <f>U331</f>
        <v>6590</v>
      </c>
      <c r="W331" s="318">
        <f>V331</f>
        <v>6590</v>
      </c>
      <c r="X331" s="10"/>
      <c r="Y331" s="10"/>
      <c r="Z331" s="10"/>
      <c r="AA331" s="10"/>
      <c r="AB331" s="10"/>
      <c r="AC331" s="10"/>
      <c r="AD331" s="10"/>
      <c r="AE331" s="10"/>
      <c r="AF331" s="10"/>
      <c r="AG331" s="10"/>
      <c r="AH331" s="10"/>
      <c r="AI331" s="10"/>
      <c r="AJ331" s="10"/>
      <c r="AK331" s="10"/>
      <c r="AL331" s="24"/>
      <c r="AM331" s="24"/>
      <c r="AN331" s="24"/>
      <c r="AO331" s="24"/>
      <c r="AP331" s="24"/>
      <c r="AQ331" s="24"/>
      <c r="AR331" s="24"/>
      <c r="AS331" s="24"/>
      <c r="AT331" s="24"/>
      <c r="AU331" s="24"/>
      <c r="AV331" s="24"/>
      <c r="AW331" s="24"/>
      <c r="AX331" s="24"/>
      <c r="AY331" s="24"/>
      <c r="AZ331" s="24"/>
      <c r="BA331" s="24"/>
      <c r="BB331" s="24"/>
      <c r="BC331" s="24"/>
      <c r="BD331" s="24"/>
      <c r="BE331" s="24"/>
      <c r="BF331" s="24"/>
    </row>
    <row r="332" spans="1:58">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row>
    <row r="333" spans="1:58">
      <c r="A333" s="3" t="s">
        <v>82</v>
      </c>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row>
    <row r="334" spans="1:58">
      <c r="A334" s="10" t="s">
        <v>53</v>
      </c>
      <c r="B334" s="10"/>
      <c r="C334" s="10"/>
      <c r="D334" s="10"/>
      <c r="E334" s="10"/>
      <c r="F334" s="10"/>
      <c r="H334" s="320"/>
      <c r="I334" s="285">
        <f>G337</f>
        <v>30030</v>
      </c>
      <c r="J334" s="285">
        <f>I337</f>
        <v>140088</v>
      </c>
      <c r="K334" s="285">
        <f>I337</f>
        <v>140088</v>
      </c>
      <c r="L334" s="285">
        <f>K337</f>
        <v>259748</v>
      </c>
      <c r="O334" s="285">
        <f>K337</f>
        <v>259748</v>
      </c>
      <c r="R334" s="285">
        <f>O337</f>
        <v>0</v>
      </c>
      <c r="S334" s="285">
        <f>R337</f>
        <v>0</v>
      </c>
      <c r="T334" s="285">
        <f>S337</f>
        <v>0</v>
      </c>
      <c r="U334" s="285">
        <f>T337</f>
        <v>0</v>
      </c>
      <c r="V334" s="285">
        <f>U337</f>
        <v>0</v>
      </c>
      <c r="W334" s="285">
        <f>V337</f>
        <v>0</v>
      </c>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row>
    <row r="335" spans="1:58">
      <c r="B335" s="7" t="s">
        <v>197</v>
      </c>
      <c r="G335" s="285">
        <f>FS!G189</f>
        <v>30000</v>
      </c>
      <c r="H335" s="320"/>
      <c r="I335" s="285">
        <f>FS!I189</f>
        <v>140000</v>
      </c>
      <c r="J335" s="285">
        <f>FS!J189</f>
        <v>240000</v>
      </c>
      <c r="K335" s="285">
        <f>FS!K189</f>
        <v>259537</v>
      </c>
      <c r="L335" s="285">
        <f>FS!L189</f>
        <v>4536</v>
      </c>
      <c r="O335" s="285">
        <f>FS!O189</f>
        <v>4536</v>
      </c>
      <c r="P335" s="318"/>
      <c r="Q335" s="318"/>
      <c r="R335" s="318">
        <v>0</v>
      </c>
      <c r="S335" s="318">
        <v>0</v>
      </c>
      <c r="T335" s="318">
        <v>0</v>
      </c>
      <c r="U335" s="318">
        <v>0</v>
      </c>
      <c r="V335" s="318">
        <v>0</v>
      </c>
      <c r="W335" s="318">
        <v>0</v>
      </c>
      <c r="X335" s="10"/>
      <c r="Y335" s="10"/>
      <c r="Z335" s="10"/>
      <c r="AA335" s="10"/>
      <c r="AB335" s="10"/>
      <c r="AC335" s="10"/>
      <c r="AD335" s="10"/>
      <c r="AE335" s="10"/>
      <c r="AF335" s="10"/>
      <c r="AG335" s="10"/>
      <c r="AH335" s="10"/>
      <c r="AI335" s="10"/>
      <c r="AJ335" s="10"/>
      <c r="AK335" s="10"/>
      <c r="AL335" s="24"/>
      <c r="AM335" s="24"/>
      <c r="AN335" s="24"/>
      <c r="AO335" s="24"/>
      <c r="AP335" s="24"/>
      <c r="AQ335" s="24"/>
      <c r="AR335" s="24"/>
      <c r="AS335" s="24"/>
      <c r="AT335" s="24"/>
      <c r="AU335" s="24"/>
      <c r="AV335" s="24"/>
      <c r="AW335" s="24"/>
      <c r="AX335" s="24"/>
      <c r="AY335" s="24"/>
      <c r="AZ335" s="24"/>
      <c r="BA335" s="24"/>
      <c r="BB335" s="24"/>
      <c r="BC335" s="24"/>
      <c r="BD335" s="24"/>
      <c r="BE335" s="24"/>
      <c r="BF335" s="24"/>
    </row>
    <row r="336" spans="1:58">
      <c r="B336" s="7" t="s">
        <v>110</v>
      </c>
      <c r="G336" s="285">
        <f>FS!G190</f>
        <v>0</v>
      </c>
      <c r="H336" s="320"/>
      <c r="I336" s="285">
        <f>FS!I190</f>
        <v>-30000</v>
      </c>
      <c r="J336" s="285">
        <f>FS!J190</f>
        <v>-90000</v>
      </c>
      <c r="K336" s="285">
        <f>FS!K190</f>
        <v>-140000</v>
      </c>
      <c r="L336" s="285">
        <f>FS!L190</f>
        <v>-259537</v>
      </c>
      <c r="O336" s="285">
        <f>FS!O190</f>
        <v>-264073</v>
      </c>
      <c r="P336" s="318"/>
      <c r="Q336" s="318"/>
      <c r="R336" s="318">
        <v>0</v>
      </c>
      <c r="S336" s="318">
        <v>0</v>
      </c>
      <c r="T336" s="318">
        <v>0</v>
      </c>
      <c r="U336" s="318">
        <v>0</v>
      </c>
      <c r="V336" s="318">
        <v>0</v>
      </c>
      <c r="W336" s="318">
        <v>0</v>
      </c>
      <c r="X336" s="10"/>
      <c r="Y336" s="10"/>
      <c r="Z336" s="10"/>
      <c r="AA336" s="10"/>
      <c r="AB336" s="10"/>
      <c r="AC336" s="10"/>
      <c r="AD336" s="10"/>
      <c r="AE336" s="10"/>
      <c r="AF336" s="10"/>
      <c r="AG336" s="10"/>
      <c r="AH336" s="10"/>
      <c r="AI336" s="10"/>
      <c r="AJ336" s="10"/>
      <c r="AK336" s="10"/>
      <c r="AL336" s="24"/>
      <c r="AM336" s="24"/>
      <c r="AN336" s="24"/>
      <c r="AO336" s="24"/>
      <c r="AP336" s="24"/>
      <c r="AQ336" s="24"/>
      <c r="AR336" s="24"/>
      <c r="AS336" s="24"/>
      <c r="AT336" s="24"/>
      <c r="AU336" s="24"/>
      <c r="AV336" s="24"/>
      <c r="AW336" s="24"/>
      <c r="AX336" s="24"/>
      <c r="AY336" s="24"/>
      <c r="AZ336" s="24"/>
      <c r="BA336" s="24"/>
      <c r="BB336" s="24"/>
      <c r="BC336" s="24"/>
      <c r="BD336" s="24"/>
      <c r="BE336" s="24"/>
      <c r="BF336" s="24"/>
    </row>
    <row r="337" spans="1:58">
      <c r="A337" s="7" t="s">
        <v>55</v>
      </c>
      <c r="G337" s="285">
        <f>FS!G97</f>
        <v>30030</v>
      </c>
      <c r="H337" s="320"/>
      <c r="I337" s="285">
        <f>FS!I97</f>
        <v>140088</v>
      </c>
      <c r="J337" s="285">
        <f>FS!J97</f>
        <v>290192</v>
      </c>
      <c r="K337" s="285">
        <f>FS!K97</f>
        <v>259748</v>
      </c>
      <c r="L337" s="285">
        <f>FS!L97</f>
        <v>4536</v>
      </c>
      <c r="O337" s="285">
        <f>FS!O97</f>
        <v>0</v>
      </c>
      <c r="P337" s="318"/>
      <c r="Q337" s="318"/>
      <c r="R337" s="318">
        <f t="shared" ref="R337:W337" si="180">SUM(R334:R336)</f>
        <v>0</v>
      </c>
      <c r="S337" s="318">
        <f t="shared" si="180"/>
        <v>0</v>
      </c>
      <c r="T337" s="318">
        <f t="shared" si="180"/>
        <v>0</v>
      </c>
      <c r="U337" s="318">
        <f t="shared" si="180"/>
        <v>0</v>
      </c>
      <c r="V337" s="318">
        <f t="shared" si="180"/>
        <v>0</v>
      </c>
      <c r="W337" s="318">
        <f t="shared" si="180"/>
        <v>0</v>
      </c>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row>
    <row r="338" spans="1:58">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row>
    <row r="339" spans="1:58">
      <c r="A339" s="3" t="s">
        <v>174</v>
      </c>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row>
    <row r="340" spans="1:58">
      <c r="A340" s="10" t="s">
        <v>53</v>
      </c>
      <c r="B340" s="10"/>
      <c r="C340" s="10"/>
      <c r="D340" s="10"/>
      <c r="E340" s="10"/>
      <c r="F340" s="10"/>
      <c r="G340" s="285">
        <v>60974</v>
      </c>
      <c r="H340" s="320"/>
      <c r="I340" s="285">
        <v>112729</v>
      </c>
      <c r="J340" s="285">
        <v>141549</v>
      </c>
      <c r="K340" s="285">
        <f>I344</f>
        <v>141549</v>
      </c>
      <c r="L340" s="285">
        <f>K344</f>
        <v>126425</v>
      </c>
      <c r="O340" s="285">
        <f>K344</f>
        <v>126425</v>
      </c>
      <c r="R340" s="285">
        <f>O344</f>
        <v>92552</v>
      </c>
      <c r="S340" s="285">
        <f>R344</f>
        <v>66128.729429685802</v>
      </c>
      <c r="T340" s="285">
        <f>S344</f>
        <v>48702.290707009393</v>
      </c>
      <c r="U340" s="285">
        <f>T344</f>
        <v>30862.883914169041</v>
      </c>
      <c r="V340" s="285">
        <f>U344</f>
        <v>15402.606855883132</v>
      </c>
      <c r="W340" s="285">
        <f>V344</f>
        <v>3266.4688675778452</v>
      </c>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row>
    <row r="341" spans="1:58">
      <c r="B341" s="7" t="s">
        <v>198</v>
      </c>
      <c r="G341" s="285">
        <v>94962</v>
      </c>
      <c r="H341" s="320"/>
      <c r="I341" s="285">
        <v>125534</v>
      </c>
      <c r="J341" s="285">
        <v>79783</v>
      </c>
      <c r="K341" s="285">
        <v>94100</v>
      </c>
      <c r="L341" s="285">
        <v>47409</v>
      </c>
      <c r="O341" s="285">
        <v>78065</v>
      </c>
      <c r="R341" s="285">
        <f t="shared" ref="R341:W341" si="181">R289</f>
        <v>71074.268348376761</v>
      </c>
      <c r="S341" s="285">
        <f t="shared" si="181"/>
        <v>72898.094671488056</v>
      </c>
      <c r="T341" s="285">
        <f t="shared" si="181"/>
        <v>70545.338227368469</v>
      </c>
      <c r="U341" s="285">
        <f t="shared" si="181"/>
        <v>71681.941845570589</v>
      </c>
      <c r="V341" s="285">
        <f t="shared" si="181"/>
        <v>70085.255659192786</v>
      </c>
      <c r="W341" s="285">
        <f t="shared" si="181"/>
        <v>68524.135010133468</v>
      </c>
      <c r="X341" s="10"/>
      <c r="Y341" s="10"/>
      <c r="Z341" s="10"/>
      <c r="AA341" s="10"/>
      <c r="AB341" s="10"/>
      <c r="AC341" s="10"/>
      <c r="AD341" s="10"/>
      <c r="AE341" s="10"/>
      <c r="AF341" s="10"/>
      <c r="AG341" s="10"/>
      <c r="AH341" s="10"/>
      <c r="AI341" s="10"/>
      <c r="AJ341" s="10"/>
      <c r="AK341" s="10"/>
      <c r="AL341" s="24"/>
      <c r="AM341" s="24"/>
      <c r="AN341" s="24"/>
      <c r="AO341" s="24"/>
      <c r="AP341" s="24"/>
      <c r="AQ341" s="24"/>
      <c r="AR341" s="24"/>
      <c r="AS341" s="24"/>
      <c r="AT341" s="24"/>
      <c r="AU341" s="24"/>
      <c r="AV341" s="24"/>
      <c r="AW341" s="24"/>
      <c r="AX341" s="24"/>
      <c r="AY341" s="24"/>
      <c r="AZ341" s="24"/>
      <c r="BA341" s="24"/>
      <c r="BB341" s="24"/>
      <c r="BC341" s="24"/>
      <c r="BD341" s="24"/>
      <c r="BE341" s="24"/>
      <c r="BF341" s="24"/>
    </row>
    <row r="342" spans="1:58">
      <c r="B342" s="7" t="s">
        <v>112</v>
      </c>
      <c r="G342" s="285">
        <v>-46510</v>
      </c>
      <c r="H342" s="320"/>
      <c r="I342" s="285">
        <v>-82311</v>
      </c>
      <c r="J342" s="285">
        <v>-80354</v>
      </c>
      <c r="K342" s="285">
        <v>-107331</v>
      </c>
      <c r="L342" s="285">
        <v>-65266</v>
      </c>
      <c r="O342" s="285">
        <v>-87617</v>
      </c>
      <c r="P342" s="318"/>
      <c r="Q342" s="318"/>
      <c r="R342" s="318">
        <f t="shared" ref="R342:W342" si="182">R350*R18</f>
        <v>-97497.53891869096</v>
      </c>
      <c r="S342" s="318">
        <f t="shared" si="182"/>
        <v>-90324.533394164449</v>
      </c>
      <c r="T342" s="318">
        <f t="shared" si="182"/>
        <v>-88384.745020208822</v>
      </c>
      <c r="U342" s="318">
        <f t="shared" si="182"/>
        <v>-87142.218903856497</v>
      </c>
      <c r="V342" s="318">
        <f t="shared" si="182"/>
        <v>-82221.393647498073</v>
      </c>
      <c r="W342" s="318">
        <f t="shared" si="182"/>
        <v>-70823.57996758951</v>
      </c>
      <c r="X342" s="10"/>
      <c r="Y342" s="10"/>
      <c r="Z342" s="10"/>
      <c r="AA342" s="10"/>
      <c r="AB342" s="10"/>
      <c r="AC342" s="10"/>
      <c r="AD342" s="10"/>
      <c r="AE342" s="10"/>
      <c r="AF342" s="10"/>
      <c r="AG342" s="10"/>
      <c r="AH342" s="10"/>
      <c r="AI342" s="10"/>
      <c r="AJ342" s="10"/>
      <c r="AK342" s="10"/>
      <c r="AL342" s="24"/>
      <c r="AM342" s="24"/>
      <c r="AN342" s="24"/>
      <c r="AO342" s="24"/>
      <c r="AP342" s="24"/>
      <c r="AQ342" s="24"/>
      <c r="AR342" s="24"/>
      <c r="AS342" s="24"/>
      <c r="AT342" s="24"/>
      <c r="AU342" s="24"/>
      <c r="AV342" s="24"/>
      <c r="AW342" s="24"/>
      <c r="AX342" s="24"/>
      <c r="AY342" s="24"/>
      <c r="AZ342" s="24"/>
      <c r="BA342" s="24"/>
      <c r="BB342" s="24"/>
      <c r="BC342" s="24"/>
      <c r="BD342" s="24"/>
      <c r="BE342" s="24"/>
      <c r="BF342" s="24"/>
    </row>
    <row r="343" spans="1:58">
      <c r="B343" s="7" t="s">
        <v>201</v>
      </c>
      <c r="G343" s="285">
        <f>G344-G342-G341-G340</f>
        <v>3303</v>
      </c>
      <c r="H343" s="320"/>
      <c r="I343" s="285">
        <f>I344-I342-I341-I340</f>
        <v>-14403</v>
      </c>
      <c r="J343" s="285">
        <f>J344-J342-J341-J340</f>
        <v>-1617</v>
      </c>
      <c r="K343" s="285">
        <f>K344-K342-K341-K340</f>
        <v>-1893</v>
      </c>
      <c r="L343" s="285">
        <f>L344-L342-L341-L340</f>
        <v>-20147</v>
      </c>
      <c r="O343" s="285">
        <f>O344-O342-O341-O340</f>
        <v>-24321</v>
      </c>
      <c r="R343" s="285">
        <f t="shared" ref="R343:W343" si="183">R291</f>
        <v>0</v>
      </c>
      <c r="S343" s="285">
        <f t="shared" si="183"/>
        <v>0</v>
      </c>
      <c r="T343" s="285">
        <f t="shared" si="183"/>
        <v>0</v>
      </c>
      <c r="U343" s="285">
        <f t="shared" si="183"/>
        <v>0</v>
      </c>
      <c r="V343" s="285">
        <f t="shared" si="183"/>
        <v>0</v>
      </c>
      <c r="W343" s="285">
        <f t="shared" si="183"/>
        <v>0</v>
      </c>
      <c r="X343" s="10"/>
      <c r="Y343" s="10"/>
      <c r="Z343" s="10"/>
      <c r="AA343" s="10"/>
      <c r="AB343" s="10"/>
      <c r="AC343" s="10"/>
      <c r="AD343" s="10"/>
      <c r="AE343" s="10"/>
      <c r="AF343" s="10"/>
      <c r="AG343" s="10"/>
      <c r="AH343" s="10"/>
      <c r="AI343" s="10"/>
      <c r="AJ343" s="10"/>
      <c r="AK343" s="10"/>
      <c r="AL343" s="24"/>
      <c r="AM343" s="24"/>
      <c r="AN343" s="24"/>
      <c r="AO343" s="24"/>
      <c r="AP343" s="24"/>
      <c r="AQ343" s="24"/>
      <c r="AR343" s="24"/>
      <c r="AS343" s="24"/>
      <c r="AT343" s="24"/>
      <c r="AU343" s="24"/>
      <c r="AV343" s="24"/>
      <c r="AW343" s="24"/>
      <c r="AX343" s="24"/>
      <c r="AY343" s="24"/>
      <c r="AZ343" s="24"/>
      <c r="BA343" s="24"/>
      <c r="BB343" s="24"/>
      <c r="BC343" s="24"/>
      <c r="BD343" s="24"/>
      <c r="BE343" s="24"/>
      <c r="BF343" s="24"/>
    </row>
    <row r="344" spans="1:58">
      <c r="A344" s="7" t="s">
        <v>55</v>
      </c>
      <c r="G344" s="285">
        <v>112729</v>
      </c>
      <c r="H344" s="320"/>
      <c r="I344" s="285">
        <f>I345+I346</f>
        <v>141549</v>
      </c>
      <c r="J344" s="285">
        <v>139361</v>
      </c>
      <c r="K344" s="285">
        <f>K345+K346</f>
        <v>126425</v>
      </c>
      <c r="L344" s="285">
        <f>L345+L346</f>
        <v>88421</v>
      </c>
      <c r="O344" s="285">
        <f>O345+O346</f>
        <v>92552</v>
      </c>
      <c r="R344" s="285">
        <f t="shared" ref="R344:W344" si="184">SUM(R340:R343)</f>
        <v>66128.729429685802</v>
      </c>
      <c r="S344" s="285">
        <f t="shared" si="184"/>
        <v>48702.290707009393</v>
      </c>
      <c r="T344" s="285">
        <f t="shared" si="184"/>
        <v>30862.883914169041</v>
      </c>
      <c r="U344" s="285">
        <f t="shared" si="184"/>
        <v>15402.606855883132</v>
      </c>
      <c r="V344" s="285">
        <f t="shared" si="184"/>
        <v>3266.4688675778452</v>
      </c>
      <c r="W344" s="285">
        <f t="shared" si="184"/>
        <v>967.02391012180306</v>
      </c>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row>
    <row r="345" spans="1:58">
      <c r="B345" s="7" t="s">
        <v>199</v>
      </c>
      <c r="G345" s="285">
        <v>50321</v>
      </c>
      <c r="H345" s="320"/>
      <c r="I345" s="285">
        <f>FS!I98</f>
        <v>78813</v>
      </c>
      <c r="J345" s="285">
        <v>77289</v>
      </c>
      <c r="K345" s="285">
        <f>FS!K98</f>
        <v>72065</v>
      </c>
      <c r="L345" s="285">
        <f>FS!L98</f>
        <v>50689</v>
      </c>
      <c r="O345" s="285">
        <f>FS!O98</f>
        <v>52004</v>
      </c>
      <c r="R345" s="285">
        <f t="shared" ref="R345:W345" si="185">R344*R348</f>
        <v>37157.040855533975</v>
      </c>
      <c r="S345" s="285">
        <f t="shared" si="185"/>
        <v>27365.307350757594</v>
      </c>
      <c r="T345" s="285">
        <f t="shared" si="185"/>
        <v>17341.531410152638</v>
      </c>
      <c r="U345" s="285">
        <f t="shared" si="185"/>
        <v>8654.5635635464005</v>
      </c>
      <c r="V345" s="285">
        <f t="shared" si="185"/>
        <v>1835.3946645077176</v>
      </c>
      <c r="W345" s="285">
        <f t="shared" si="185"/>
        <v>543.36061264990758</v>
      </c>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row>
    <row r="346" spans="1:58">
      <c r="B346" s="7" t="s">
        <v>200</v>
      </c>
      <c r="G346" s="285">
        <v>62408</v>
      </c>
      <c r="H346" s="320"/>
      <c r="I346" s="285">
        <f>FS!I102</f>
        <v>62736</v>
      </c>
      <c r="J346" s="285">
        <v>62072</v>
      </c>
      <c r="K346" s="285">
        <f>FS!K102</f>
        <v>54360</v>
      </c>
      <c r="L346" s="285">
        <f>FS!L102</f>
        <v>37732</v>
      </c>
      <c r="O346" s="285">
        <f>FS!O102</f>
        <v>40548</v>
      </c>
      <c r="R346" s="285">
        <f t="shared" ref="R346:W346" si="186">R344*R349</f>
        <v>28971.688574151824</v>
      </c>
      <c r="S346" s="285">
        <f t="shared" si="186"/>
        <v>21336.9833562518</v>
      </c>
      <c r="T346" s="285">
        <f t="shared" si="186"/>
        <v>13521.352504016402</v>
      </c>
      <c r="U346" s="285">
        <f t="shared" si="186"/>
        <v>6748.0432923367316</v>
      </c>
      <c r="V346" s="285">
        <f t="shared" si="186"/>
        <v>1431.0742030701276</v>
      </c>
      <c r="W346" s="285">
        <f t="shared" si="186"/>
        <v>423.66329747189542</v>
      </c>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row>
    <row r="347" spans="1:58">
      <c r="H347" s="32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row>
    <row r="348" spans="1:58">
      <c r="B348" s="7" t="s">
        <v>207</v>
      </c>
      <c r="G348" s="286">
        <f>G345/G344</f>
        <v>0.44638912790852397</v>
      </c>
      <c r="H348" s="320"/>
      <c r="I348" s="286">
        <f>I345/I344</f>
        <v>0.55678952164974671</v>
      </c>
      <c r="J348" s="286">
        <f>J345/J344</f>
        <v>0.55459561857334549</v>
      </c>
      <c r="K348" s="286">
        <f>K345/K344</f>
        <v>0.57002175202689342</v>
      </c>
      <c r="L348" s="286">
        <f>L345/L344</f>
        <v>0.57326879361237715</v>
      </c>
      <c r="M348" s="286"/>
      <c r="N348" s="286"/>
      <c r="O348" s="286">
        <f>O345/O344</f>
        <v>0.56188953237099148</v>
      </c>
      <c r="P348" s="316"/>
      <c r="Q348" s="316"/>
      <c r="R348" s="316">
        <f>O348</f>
        <v>0.56188953237099148</v>
      </c>
      <c r="S348" s="316">
        <f>R348</f>
        <v>0.56188953237099148</v>
      </c>
      <c r="T348" s="316">
        <f>S348</f>
        <v>0.56188953237099148</v>
      </c>
      <c r="U348" s="316">
        <f>T348</f>
        <v>0.56188953237099148</v>
      </c>
      <c r="V348" s="316">
        <f>U348</f>
        <v>0.56188953237099148</v>
      </c>
      <c r="W348" s="316">
        <f>V348</f>
        <v>0.56188953237099148</v>
      </c>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row>
    <row r="349" spans="1:58">
      <c r="B349" s="7" t="s">
        <v>208</v>
      </c>
      <c r="G349" s="286">
        <f>1-G348</f>
        <v>0.55361087209147608</v>
      </c>
      <c r="H349" s="320"/>
      <c r="I349" s="286">
        <f t="shared" ref="I349:U349" si="187">1-I348</f>
        <v>0.44321047835025329</v>
      </c>
      <c r="J349" s="286">
        <f t="shared" si="187"/>
        <v>0.44540438142665451</v>
      </c>
      <c r="K349" s="286">
        <f>1-K348</f>
        <v>0.42997824797310658</v>
      </c>
      <c r="L349" s="286">
        <f>1-L348</f>
        <v>0.42673120638762285</v>
      </c>
      <c r="M349" s="286"/>
      <c r="N349" s="286"/>
      <c r="O349" s="286">
        <f>1-O348</f>
        <v>0.43811046762900852</v>
      </c>
      <c r="P349" s="316"/>
      <c r="Q349" s="316"/>
      <c r="R349" s="316">
        <f t="shared" si="187"/>
        <v>0.43811046762900852</v>
      </c>
      <c r="S349" s="316">
        <f t="shared" si="187"/>
        <v>0.43811046762900852</v>
      </c>
      <c r="T349" s="316">
        <f t="shared" si="187"/>
        <v>0.43811046762900852</v>
      </c>
      <c r="U349" s="316">
        <f t="shared" si="187"/>
        <v>0.43811046762900852</v>
      </c>
      <c r="V349" s="316">
        <f>1-V348</f>
        <v>0.43811046762900852</v>
      </c>
      <c r="W349" s="316">
        <f>1-W348</f>
        <v>0.43811046762900852</v>
      </c>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row>
    <row r="350" spans="1:58">
      <c r="B350" s="7" t="s">
        <v>209</v>
      </c>
      <c r="G350" s="286">
        <f>G342/G18</f>
        <v>-4.4932917501772293E-3</v>
      </c>
      <c r="H350" s="320"/>
      <c r="I350" s="286">
        <f>I342/I18</f>
        <v>-6.0631677018221763E-3</v>
      </c>
      <c r="J350" s="286">
        <f>J342/J18</f>
        <v>-5.2200537791437952E-3</v>
      </c>
      <c r="K350" s="286">
        <f>K342/K18</f>
        <v>-5.2865994350932265E-3</v>
      </c>
      <c r="L350" s="286">
        <f>L342/L18</f>
        <v>-3.4977036840574522E-3</v>
      </c>
      <c r="M350" s="286"/>
      <c r="N350" s="286"/>
      <c r="O350" s="286">
        <f>O342/O18</f>
        <v>-3.5288350168436958E-3</v>
      </c>
      <c r="P350" s="316"/>
      <c r="Q350" s="316"/>
      <c r="R350" s="316">
        <f>O350+0.05%</f>
        <v>-3.0288350168436958E-3</v>
      </c>
      <c r="S350" s="316">
        <f>R350+0.05%</f>
        <v>-2.5288350168436958E-3</v>
      </c>
      <c r="T350" s="316">
        <f>S350+0.04%</f>
        <v>-2.1288350168436956E-3</v>
      </c>
      <c r="U350" s="316">
        <f>T350+0.03%</f>
        <v>-1.8288350168436957E-3</v>
      </c>
      <c r="V350" s="316">
        <f>U350+0.03%</f>
        <v>-1.5288350168436958E-3</v>
      </c>
      <c r="W350" s="316">
        <f>V350+0.03%</f>
        <v>-1.2288350168436959E-3</v>
      </c>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row>
    <row r="351" spans="1:58">
      <c r="G351" s="300">
        <f>G342/G340</f>
        <v>-0.76278413750123009</v>
      </c>
      <c r="H351" s="297"/>
      <c r="I351" s="300">
        <f>I342/I340</f>
        <v>-0.73016703776313108</v>
      </c>
      <c r="J351" s="297"/>
      <c r="K351" s="300">
        <f>K342/K340</f>
        <v>-0.75826039039484561</v>
      </c>
      <c r="L351" s="297"/>
      <c r="M351" s="297"/>
      <c r="N351" s="297"/>
      <c r="O351" s="300">
        <f>O342/O340</f>
        <v>-0.69303539648012658</v>
      </c>
      <c r="P351" s="300"/>
      <c r="Q351" s="300"/>
      <c r="R351" s="300">
        <f t="shared" ref="R351:W351" si="188">R342/R340</f>
        <v>-1.0534352463338552</v>
      </c>
      <c r="S351" s="300">
        <f t="shared" si="188"/>
        <v>-1.3658894428057304</v>
      </c>
      <c r="T351" s="300">
        <f t="shared" si="188"/>
        <v>-1.8147964651586337</v>
      </c>
      <c r="U351" s="300">
        <f t="shared" si="188"/>
        <v>-2.823528065173774</v>
      </c>
      <c r="V351" s="300">
        <f t="shared" si="188"/>
        <v>-5.3381479133250123</v>
      </c>
      <c r="W351" s="300">
        <f t="shared" si="188"/>
        <v>-21.68200060639386</v>
      </c>
    </row>
    <row r="352" spans="1:58">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row>
    <row r="353" spans="1:58">
      <c r="A353" s="3" t="s">
        <v>42</v>
      </c>
      <c r="B353" s="3"/>
      <c r="C353" s="3"/>
      <c r="D353" s="3"/>
      <c r="E353" s="3"/>
      <c r="F353" s="3"/>
      <c r="G353" s="279"/>
      <c r="H353" s="279"/>
      <c r="I353" s="279"/>
      <c r="J353" s="279"/>
      <c r="K353" s="279"/>
      <c r="L353" s="279"/>
      <c r="M353" s="279"/>
      <c r="N353" s="279"/>
      <c r="O353" s="279"/>
      <c r="P353" s="279"/>
      <c r="Q353" s="279"/>
      <c r="R353" s="279"/>
      <c r="S353" s="279"/>
      <c r="T353" s="279"/>
      <c r="U353" s="279"/>
      <c r="V353" s="279"/>
      <c r="W353" s="279"/>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row>
    <row r="354" spans="1:58">
      <c r="A354" s="10"/>
      <c r="B354" s="10" t="s">
        <v>42</v>
      </c>
      <c r="C354" s="10"/>
      <c r="D354" s="10"/>
      <c r="E354" s="10"/>
      <c r="F354" s="10"/>
      <c r="G354" s="285">
        <f>FS!G79</f>
        <v>61865</v>
      </c>
      <c r="H354" s="320"/>
      <c r="I354" s="285">
        <f>FS!I79</f>
        <v>65146</v>
      </c>
      <c r="J354" s="285">
        <f>FS!J79</f>
        <v>169906</v>
      </c>
      <c r="K354" s="285">
        <f>FS!K79</f>
        <v>115620</v>
      </c>
      <c r="L354" s="285">
        <f>FS!L79</f>
        <v>331759</v>
      </c>
      <c r="O354" s="285">
        <f>FS!O79</f>
        <v>1315804</v>
      </c>
      <c r="R354" s="285">
        <f>O356*R357</f>
        <v>1295944.4440333496</v>
      </c>
      <c r="S354" s="285">
        <f>R356*S357</f>
        <v>3135145.689928968</v>
      </c>
      <c r="T354" s="285">
        <f>S356*T357</f>
        <v>4367429.5237527844</v>
      </c>
      <c r="U354" s="285">
        <f>T356*U357</f>
        <v>5999356.7536460683</v>
      </c>
      <c r="V354" s="285">
        <f>U356*V357</f>
        <v>7929353.3853250658</v>
      </c>
      <c r="W354" s="285">
        <f>V356*W357</f>
        <v>10161711.999888634</v>
      </c>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row>
    <row r="355" spans="1:58">
      <c r="A355" s="28"/>
      <c r="B355" s="28" t="s">
        <v>15</v>
      </c>
      <c r="C355" s="28"/>
      <c r="D355" s="28"/>
      <c r="E355" s="28"/>
      <c r="F355" s="28"/>
      <c r="G355" s="285">
        <f>FS!G80</f>
        <v>2675827</v>
      </c>
      <c r="H355" s="320"/>
      <c r="I355" s="285">
        <f>FS!I80</f>
        <v>2764138</v>
      </c>
      <c r="J355" s="285">
        <f>FS!J80</f>
        <v>3759213</v>
      </c>
      <c r="K355" s="285">
        <f>FS!K80</f>
        <v>5621904</v>
      </c>
      <c r="L355" s="285">
        <f>FS!L80</f>
        <v>5980396</v>
      </c>
      <c r="O355" s="285">
        <f>FS!O80</f>
        <v>4335123</v>
      </c>
      <c r="R355" s="285">
        <f>FS!R80</f>
        <v>12374764.597331483</v>
      </c>
      <c r="S355" s="285">
        <f>FS!S80</f>
        <v>15908900.164043333</v>
      </c>
      <c r="T355" s="285">
        <f>FS!T80</f>
        <v>21792586.222214248</v>
      </c>
      <c r="U355" s="285">
        <f>FS!U80</f>
        <v>28576351.59864942</v>
      </c>
      <c r="V355" s="285">
        <f>FS!V80</f>
        <v>36380487.959167756</v>
      </c>
      <c r="W355" s="285">
        <f>FS!X80</f>
        <v>0</v>
      </c>
      <c r="X355" s="10"/>
      <c r="Y355" s="10"/>
      <c r="Z355" s="10"/>
      <c r="AA355" s="10"/>
      <c r="AB355" s="10"/>
      <c r="AC355" s="10"/>
      <c r="AD355" s="10"/>
      <c r="AE355" s="10"/>
      <c r="AF355" s="10"/>
      <c r="AG355" s="10"/>
      <c r="AH355" s="10"/>
      <c r="AI355" s="10"/>
      <c r="AJ355" s="10"/>
      <c r="AK355" s="10"/>
      <c r="AL355" s="24"/>
      <c r="AM355" s="24"/>
      <c r="AN355" s="24"/>
      <c r="AO355" s="24"/>
      <c r="AP355" s="24"/>
      <c r="AQ355" s="24"/>
      <c r="AR355" s="24"/>
      <c r="AS355" s="24"/>
      <c r="AT355" s="24"/>
      <c r="AU355" s="24"/>
      <c r="AV355" s="24"/>
      <c r="AW355" s="24"/>
      <c r="AX355" s="24"/>
      <c r="AY355" s="24"/>
      <c r="AZ355" s="24"/>
      <c r="BA355" s="24"/>
      <c r="BB355" s="24"/>
      <c r="BC355" s="24"/>
      <c r="BD355" s="24"/>
      <c r="BE355" s="24"/>
      <c r="BF355" s="24"/>
    </row>
    <row r="356" spans="1:58">
      <c r="A356" s="28" t="s">
        <v>202</v>
      </c>
      <c r="B356" s="28"/>
      <c r="C356" s="28"/>
      <c r="D356" s="28"/>
      <c r="E356" s="28"/>
      <c r="F356" s="28"/>
      <c r="G356" s="285">
        <f>SUM(G354:G355)</f>
        <v>2737692</v>
      </c>
      <c r="H356" s="320"/>
      <c r="I356" s="285">
        <f t="shared" ref="I356:U356" si="189">SUM(I354:I355)</f>
        <v>2829284</v>
      </c>
      <c r="J356" s="285">
        <f t="shared" si="189"/>
        <v>3929119</v>
      </c>
      <c r="K356" s="285">
        <f>SUM(K354:K355)</f>
        <v>5737524</v>
      </c>
      <c r="L356" s="285">
        <f>SUM(L354:L355)</f>
        <v>6312155</v>
      </c>
      <c r="O356" s="285">
        <f t="shared" si="189"/>
        <v>5650927</v>
      </c>
      <c r="R356" s="285">
        <f>SUM(R354:R355)</f>
        <v>13670709.041364832</v>
      </c>
      <c r="S356" s="285">
        <f t="shared" si="189"/>
        <v>19044045.853972301</v>
      </c>
      <c r="T356" s="285">
        <f t="shared" si="189"/>
        <v>26160015.745967031</v>
      </c>
      <c r="U356" s="285">
        <f t="shared" si="189"/>
        <v>34575708.352295488</v>
      </c>
      <c r="V356" s="285">
        <f>SUM(V354:V355)</f>
        <v>44309841.344492823</v>
      </c>
      <c r="W356" s="285">
        <f>SUM(W354:W355)</f>
        <v>10161711.999888634</v>
      </c>
      <c r="X356" s="10"/>
      <c r="Y356" s="10"/>
      <c r="Z356" s="10"/>
      <c r="AA356" s="10"/>
      <c r="AB356" s="10"/>
      <c r="AC356" s="10"/>
      <c r="AD356" s="10"/>
      <c r="AE356" s="10"/>
      <c r="AF356" s="10"/>
      <c r="AG356" s="10"/>
      <c r="AH356" s="10"/>
      <c r="AI356" s="10"/>
      <c r="AJ356" s="10"/>
      <c r="AK356" s="10"/>
      <c r="AL356" s="24"/>
      <c r="AM356" s="24"/>
      <c r="AN356" s="24"/>
      <c r="AO356" s="24"/>
      <c r="AP356" s="24"/>
      <c r="AQ356" s="24"/>
      <c r="AR356" s="24"/>
      <c r="AS356" s="24"/>
      <c r="AT356" s="24"/>
      <c r="AU356" s="24"/>
      <c r="AV356" s="24"/>
      <c r="AW356" s="24"/>
      <c r="AX356" s="24"/>
      <c r="AY356" s="24"/>
      <c r="AZ356" s="24"/>
      <c r="BA356" s="24"/>
      <c r="BB356" s="24"/>
      <c r="BC356" s="24"/>
      <c r="BD356" s="24"/>
      <c r="BE356" s="24"/>
      <c r="BF356" s="24"/>
    </row>
    <row r="357" spans="1:58" s="13" customFormat="1">
      <c r="A357" s="30"/>
      <c r="B357" s="30" t="s">
        <v>210</v>
      </c>
      <c r="C357" s="30"/>
      <c r="D357" s="30"/>
      <c r="E357" s="30"/>
      <c r="F357" s="30"/>
      <c r="G357" s="298"/>
      <c r="H357" s="298"/>
      <c r="I357" s="298">
        <f>I354/G356</f>
        <v>2.3795956594094586E-2</v>
      </c>
      <c r="J357" s="298">
        <f>J354/I356</f>
        <v>6.0052649362877672E-2</v>
      </c>
      <c r="K357" s="298">
        <f>K354/I356</f>
        <v>4.0865462781396279E-2</v>
      </c>
      <c r="L357" s="298">
        <f>L354/K356</f>
        <v>5.7822677517340229E-2</v>
      </c>
      <c r="M357" s="298"/>
      <c r="N357" s="298"/>
      <c r="O357" s="298">
        <f>O354/K356</f>
        <v>0.22933307119935359</v>
      </c>
      <c r="P357" s="316"/>
      <c r="Q357" s="316"/>
      <c r="R357" s="316">
        <f>O357</f>
        <v>0.22933307119935359</v>
      </c>
      <c r="S357" s="316">
        <f>R357</f>
        <v>0.22933307119935359</v>
      </c>
      <c r="T357" s="316">
        <f>S357</f>
        <v>0.22933307119935359</v>
      </c>
      <c r="U357" s="316">
        <f>T357</f>
        <v>0.22933307119935359</v>
      </c>
      <c r="V357" s="316">
        <f>U357</f>
        <v>0.22933307119935359</v>
      </c>
      <c r="W357" s="316">
        <f>V357</f>
        <v>0.22933307119935359</v>
      </c>
      <c r="X357" s="30"/>
      <c r="Y357" s="30"/>
      <c r="Z357" s="30"/>
      <c r="AA357" s="30"/>
      <c r="AB357" s="30"/>
      <c r="AC357" s="30"/>
      <c r="AD357" s="30"/>
      <c r="AE357" s="30"/>
      <c r="AF357" s="30"/>
      <c r="AG357" s="30"/>
      <c r="AH357" s="30"/>
      <c r="AI357" s="30"/>
      <c r="AJ357" s="30"/>
      <c r="AK357" s="30"/>
      <c r="AL357" s="31"/>
      <c r="AM357" s="31"/>
      <c r="AN357" s="31"/>
      <c r="AO357" s="31"/>
      <c r="AP357" s="31"/>
      <c r="AQ357" s="31"/>
      <c r="AR357" s="31"/>
      <c r="AS357" s="31"/>
      <c r="AT357" s="31"/>
      <c r="AU357" s="31"/>
      <c r="AV357" s="31"/>
      <c r="AW357" s="31"/>
      <c r="AX357" s="31"/>
      <c r="AY357" s="31"/>
      <c r="AZ357" s="31"/>
      <c r="BA357" s="31"/>
      <c r="BB357" s="31"/>
      <c r="BC357" s="31"/>
      <c r="BD357" s="31"/>
      <c r="BE357" s="31"/>
      <c r="BF357" s="31"/>
    </row>
    <row r="358" spans="1:58" s="13" customFormat="1">
      <c r="A358" s="30"/>
      <c r="B358" s="30" t="s">
        <v>217</v>
      </c>
      <c r="C358" s="30"/>
      <c r="D358" s="30"/>
      <c r="E358" s="30"/>
      <c r="F358" s="30"/>
      <c r="G358" s="298"/>
      <c r="H358" s="298"/>
      <c r="I358" s="285"/>
      <c r="J358" s="285"/>
      <c r="K358" s="285">
        <f>K354-I354</f>
        <v>50474</v>
      </c>
      <c r="L358" s="285"/>
      <c r="M358" s="285"/>
      <c r="N358" s="285"/>
      <c r="O358" s="285">
        <f>O354-K354</f>
        <v>1200184</v>
      </c>
      <c r="P358" s="285"/>
      <c r="Q358" s="285"/>
      <c r="R358" s="285">
        <f>R354-O354</f>
        <v>-19859.555966650369</v>
      </c>
      <c r="S358" s="285">
        <f>S354-R354</f>
        <v>1839201.2458956183</v>
      </c>
      <c r="T358" s="285">
        <f>T354-S354</f>
        <v>1232283.8338238164</v>
      </c>
      <c r="U358" s="285">
        <f>U354-T354</f>
        <v>1631927.2298932839</v>
      </c>
      <c r="V358" s="285">
        <f>V354-U354</f>
        <v>1929996.6316789975</v>
      </c>
      <c r="W358" s="285">
        <f>W354-V354</f>
        <v>2232358.6145635685</v>
      </c>
      <c r="X358" s="30"/>
      <c r="Y358" s="30"/>
      <c r="Z358" s="30"/>
      <c r="AA358" s="30"/>
      <c r="AB358" s="30"/>
      <c r="AC358" s="30"/>
      <c r="AD358" s="30"/>
      <c r="AE358" s="30"/>
      <c r="AF358" s="30"/>
      <c r="AG358" s="30"/>
      <c r="AH358" s="30"/>
      <c r="AI358" s="30"/>
      <c r="AJ358" s="30"/>
      <c r="AK358" s="30"/>
      <c r="AL358" s="31"/>
      <c r="AM358" s="31"/>
      <c r="AN358" s="31"/>
      <c r="AO358" s="31"/>
      <c r="AP358" s="31"/>
      <c r="AQ358" s="31"/>
      <c r="AR358" s="31"/>
      <c r="AS358" s="31"/>
      <c r="AT358" s="31"/>
      <c r="AU358" s="31"/>
      <c r="AV358" s="31"/>
      <c r="AW358" s="31"/>
      <c r="AX358" s="31"/>
      <c r="AY358" s="31"/>
      <c r="AZ358" s="31"/>
      <c r="BA358" s="31"/>
      <c r="BB358" s="31"/>
      <c r="BC358" s="31"/>
      <c r="BD358" s="31"/>
      <c r="BE358" s="31"/>
      <c r="BF358" s="31"/>
    </row>
    <row r="359" spans="1:58">
      <c r="A359" s="21"/>
      <c r="B359" s="21"/>
      <c r="C359" s="21"/>
      <c r="D359" s="21"/>
      <c r="E359" s="21"/>
      <c r="F359" s="21"/>
      <c r="G359" s="301"/>
      <c r="H359" s="301"/>
      <c r="X359" s="22"/>
      <c r="Y359" s="22"/>
      <c r="Z359" s="22"/>
      <c r="AA359" s="22"/>
      <c r="AB359" s="22"/>
      <c r="AC359" s="22"/>
      <c r="AD359" s="22"/>
      <c r="AE359" s="22"/>
      <c r="AF359" s="22"/>
      <c r="AG359" s="22"/>
      <c r="AH359" s="22"/>
      <c r="AI359" s="22"/>
      <c r="AJ359" s="22"/>
      <c r="AK359" s="22"/>
      <c r="AL359" s="24"/>
      <c r="AM359" s="24"/>
      <c r="AN359" s="24"/>
      <c r="AO359" s="24"/>
      <c r="AP359" s="24"/>
      <c r="AQ359" s="24"/>
      <c r="AR359" s="24"/>
      <c r="AS359" s="24"/>
      <c r="AT359" s="24"/>
      <c r="AU359" s="24"/>
      <c r="AV359" s="24"/>
      <c r="AW359" s="24"/>
      <c r="AX359" s="24"/>
      <c r="AY359" s="24"/>
      <c r="AZ359" s="24"/>
      <c r="BA359" s="24"/>
      <c r="BB359" s="24"/>
      <c r="BC359" s="24"/>
      <c r="BD359" s="24"/>
      <c r="BE359" s="24"/>
      <c r="BF359" s="24"/>
    </row>
    <row r="360" spans="1:58">
      <c r="A360" s="29" t="s">
        <v>9</v>
      </c>
      <c r="B360" s="21"/>
      <c r="C360" s="21"/>
      <c r="D360" s="21"/>
      <c r="E360" s="21"/>
      <c r="F360" s="21"/>
      <c r="G360" s="301"/>
      <c r="H360" s="301"/>
      <c r="I360" s="301"/>
      <c r="J360" s="301"/>
      <c r="K360" s="301"/>
      <c r="L360" s="301"/>
      <c r="M360" s="301"/>
      <c r="N360" s="301"/>
      <c r="O360" s="301"/>
      <c r="P360" s="301"/>
      <c r="Q360" s="301"/>
      <c r="R360" s="301"/>
      <c r="S360" s="301"/>
      <c r="T360" s="301"/>
      <c r="U360" s="301"/>
      <c r="V360" s="301"/>
      <c r="W360" s="301"/>
      <c r="X360" s="22"/>
      <c r="Y360" s="22"/>
      <c r="Z360" s="22"/>
      <c r="AA360" s="22"/>
      <c r="AB360" s="22"/>
      <c r="AC360" s="22"/>
      <c r="AD360" s="22"/>
      <c r="AE360" s="22"/>
      <c r="AF360" s="22"/>
      <c r="AG360" s="22"/>
      <c r="AH360" s="22"/>
      <c r="AI360" s="22"/>
      <c r="AJ360" s="22"/>
      <c r="AK360" s="22"/>
      <c r="AL360" s="24"/>
      <c r="AM360" s="24"/>
      <c r="AN360" s="24"/>
      <c r="AO360" s="24"/>
      <c r="AP360" s="24"/>
      <c r="AQ360" s="24"/>
      <c r="AR360" s="24"/>
      <c r="AS360" s="24"/>
      <c r="AT360" s="24"/>
      <c r="AU360" s="24"/>
      <c r="AV360" s="24"/>
      <c r="AW360" s="24"/>
      <c r="AX360" s="24"/>
      <c r="AY360" s="24"/>
      <c r="AZ360" s="24"/>
      <c r="BA360" s="24"/>
      <c r="BB360" s="24"/>
      <c r="BC360" s="24"/>
      <c r="BD360" s="24"/>
      <c r="BE360" s="24"/>
      <c r="BF360" s="24"/>
    </row>
    <row r="361" spans="1:58">
      <c r="B361" s="7" t="s">
        <v>203</v>
      </c>
      <c r="G361" s="285">
        <v>1173</v>
      </c>
      <c r="H361" s="320"/>
      <c r="I361" s="285">
        <v>3278</v>
      </c>
      <c r="J361" s="285">
        <v>5061</v>
      </c>
      <c r="K361" s="285">
        <v>7241</v>
      </c>
      <c r="L361" s="285">
        <v>2240</v>
      </c>
      <c r="O361" s="285">
        <v>2240</v>
      </c>
      <c r="R361" s="285">
        <f t="shared" ref="R361:W361" si="190">R334*R362</f>
        <v>0</v>
      </c>
      <c r="S361" s="285">
        <f t="shared" si="190"/>
        <v>0</v>
      </c>
      <c r="T361" s="285">
        <f t="shared" si="190"/>
        <v>0</v>
      </c>
      <c r="U361" s="285">
        <f t="shared" si="190"/>
        <v>0</v>
      </c>
      <c r="V361" s="285">
        <f t="shared" si="190"/>
        <v>0</v>
      </c>
      <c r="W361" s="285">
        <f t="shared" si="190"/>
        <v>0</v>
      </c>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row>
    <row r="362" spans="1:58">
      <c r="C362" s="7" t="s">
        <v>67</v>
      </c>
      <c r="H362" s="320"/>
      <c r="I362" s="286">
        <f>I361/I334</f>
        <v>0.10915750915750916</v>
      </c>
      <c r="K362" s="286">
        <f>K361/K334</f>
        <v>5.1688938381588716E-2</v>
      </c>
      <c r="O362" s="286">
        <f>O361/O334</f>
        <v>8.6237430124582286E-3</v>
      </c>
      <c r="P362" s="286"/>
      <c r="Q362" s="286"/>
      <c r="R362" s="316">
        <v>0.05</v>
      </c>
      <c r="S362" s="316">
        <f>R362</f>
        <v>0.05</v>
      </c>
      <c r="T362" s="316">
        <f>S362</f>
        <v>0.05</v>
      </c>
      <c r="U362" s="316">
        <f>T362</f>
        <v>0.05</v>
      </c>
      <c r="V362" s="316">
        <f>U362</f>
        <v>0.05</v>
      </c>
      <c r="W362" s="316">
        <f>V362</f>
        <v>0.05</v>
      </c>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row>
    <row r="363" spans="1:58">
      <c r="B363" s="7" t="s">
        <v>204</v>
      </c>
      <c r="G363" s="285">
        <f>-FS!G194</f>
        <v>4800</v>
      </c>
      <c r="H363" s="320"/>
      <c r="I363" s="285">
        <f>-FS!I194</f>
        <v>5912</v>
      </c>
      <c r="J363" s="285">
        <f>-FS!J194</f>
        <v>5976</v>
      </c>
      <c r="K363" s="285">
        <f>-FS!K194</f>
        <v>7456</v>
      </c>
      <c r="L363" s="285">
        <f>-FS!L194</f>
        <v>3239</v>
      </c>
      <c r="O363" s="285">
        <f>-FS!O194</f>
        <v>4127</v>
      </c>
      <c r="R363" s="285">
        <f t="shared" ref="R363:W363" si="191">R340*R364</f>
        <v>3021.2545303539646</v>
      </c>
      <c r="S363" s="285">
        <f t="shared" si="191"/>
        <v>2158.6969852190095</v>
      </c>
      <c r="T363" s="285">
        <f t="shared" si="191"/>
        <v>1589.8307593263021</v>
      </c>
      <c r="U363" s="290">
        <f t="shared" si="191"/>
        <v>1007.4836615683261</v>
      </c>
      <c r="V363" s="290">
        <f t="shared" si="191"/>
        <v>502.80054177757313</v>
      </c>
      <c r="W363" s="290">
        <f t="shared" si="191"/>
        <v>106.63015239465111</v>
      </c>
      <c r="X363" s="32"/>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row>
    <row r="364" spans="1:58">
      <c r="C364" s="7" t="s">
        <v>205</v>
      </c>
      <c r="H364" s="320"/>
      <c r="I364" s="286">
        <f>I363/I340</f>
        <v>5.2444357707422222E-2</v>
      </c>
      <c r="K364" s="286">
        <f>K363/K340</f>
        <v>5.2674338921504214E-2</v>
      </c>
      <c r="O364" s="286">
        <f>O363/O340</f>
        <v>3.2643859996045084E-2</v>
      </c>
      <c r="P364" s="286"/>
      <c r="Q364" s="286"/>
      <c r="R364" s="316">
        <f>O364</f>
        <v>3.2643859996045084E-2</v>
      </c>
      <c r="S364" s="316">
        <f>R364</f>
        <v>3.2643859996045084E-2</v>
      </c>
      <c r="T364" s="316">
        <f>S364</f>
        <v>3.2643859996045084E-2</v>
      </c>
      <c r="U364" s="316">
        <f>T364</f>
        <v>3.2643859996045084E-2</v>
      </c>
      <c r="V364" s="316">
        <f>U364</f>
        <v>3.2643859996045084E-2</v>
      </c>
      <c r="W364" s="316">
        <f>V364</f>
        <v>3.2643859996045084E-2</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row>
    <row r="365" spans="1:58">
      <c r="B365" s="11" t="s">
        <v>206</v>
      </c>
      <c r="C365" s="11"/>
      <c r="D365" s="11"/>
      <c r="E365" s="11"/>
      <c r="F365" s="11"/>
      <c r="G365" s="287">
        <f>G361+G363</f>
        <v>5973</v>
      </c>
      <c r="H365" s="321"/>
      <c r="I365" s="287">
        <f>I361+I363</f>
        <v>9190</v>
      </c>
      <c r="J365" s="287">
        <f>J361+J363</f>
        <v>11037</v>
      </c>
      <c r="K365" s="287">
        <f>K361+K363</f>
        <v>14697</v>
      </c>
      <c r="L365" s="287">
        <f>L361+L363</f>
        <v>5479</v>
      </c>
      <c r="M365" s="287"/>
      <c r="N365" s="287"/>
      <c r="O365" s="287">
        <f>O361+O363</f>
        <v>6367</v>
      </c>
      <c r="P365" s="287"/>
      <c r="Q365" s="287"/>
      <c r="R365" s="287">
        <f t="shared" ref="R365:W365" si="192">R361+R363</f>
        <v>3021.2545303539646</v>
      </c>
      <c r="S365" s="287">
        <f t="shared" si="192"/>
        <v>2158.6969852190095</v>
      </c>
      <c r="T365" s="287">
        <f t="shared" si="192"/>
        <v>1589.8307593263021</v>
      </c>
      <c r="U365" s="287">
        <f t="shared" si="192"/>
        <v>1007.4836615683261</v>
      </c>
      <c r="V365" s="287">
        <f t="shared" si="192"/>
        <v>502.80054177757313</v>
      </c>
      <c r="W365" s="287">
        <f t="shared" si="192"/>
        <v>106.63015239465111</v>
      </c>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row>
    <row r="366" spans="1:58">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row>
    <row r="367" spans="1:58">
      <c r="A367" s="29" t="s">
        <v>66</v>
      </c>
      <c r="B367" s="21"/>
      <c r="C367" s="21"/>
      <c r="D367" s="21"/>
      <c r="E367" s="21"/>
      <c r="F367" s="21"/>
      <c r="G367" s="301"/>
      <c r="H367" s="301"/>
      <c r="I367" s="301"/>
      <c r="J367" s="301"/>
      <c r="K367" s="301"/>
      <c r="L367" s="301"/>
      <c r="M367" s="301"/>
      <c r="N367" s="301"/>
      <c r="O367" s="301"/>
      <c r="P367" s="301"/>
      <c r="Q367" s="301"/>
      <c r="R367" s="301"/>
      <c r="S367" s="301"/>
      <c r="T367" s="301"/>
      <c r="U367" s="301"/>
      <c r="V367" s="301"/>
      <c r="W367" s="301"/>
      <c r="X367" s="22"/>
      <c r="Y367" s="22"/>
      <c r="Z367" s="22"/>
      <c r="AA367" s="22"/>
      <c r="AB367" s="22"/>
      <c r="AC367" s="22"/>
      <c r="AD367" s="22"/>
      <c r="AE367" s="22"/>
      <c r="AF367" s="22"/>
      <c r="AG367" s="22"/>
      <c r="AH367" s="22"/>
      <c r="AI367" s="22"/>
      <c r="AJ367" s="22"/>
      <c r="AK367" s="22"/>
      <c r="AL367" s="24"/>
      <c r="AM367" s="24"/>
      <c r="AN367" s="24"/>
      <c r="AO367" s="24"/>
      <c r="AP367" s="24"/>
      <c r="AQ367" s="24"/>
      <c r="AR367" s="24"/>
      <c r="AS367" s="24"/>
      <c r="AT367" s="24"/>
      <c r="AU367" s="24"/>
      <c r="AV367" s="24"/>
      <c r="AW367" s="24"/>
      <c r="AX367" s="24"/>
      <c r="AY367" s="24"/>
      <c r="AZ367" s="24"/>
      <c r="BA367" s="24"/>
      <c r="BB367" s="24"/>
      <c r="BC367" s="24"/>
      <c r="BD367" s="24"/>
      <c r="BE367" s="24"/>
      <c r="BF367" s="24"/>
    </row>
    <row r="368" spans="1:58">
      <c r="B368" s="7" t="s">
        <v>66</v>
      </c>
      <c r="G368" s="285">
        <f>G207</f>
        <v>38221</v>
      </c>
      <c r="H368" s="320"/>
      <c r="I368" s="285">
        <f>I207</f>
        <v>44322</v>
      </c>
      <c r="J368" s="285">
        <f>J207</f>
        <v>36781</v>
      </c>
      <c r="K368" s="285">
        <f>K207</f>
        <v>53801</v>
      </c>
      <c r="L368" s="285">
        <f>L207</f>
        <v>77339</v>
      </c>
      <c r="O368" s="285">
        <f>O207</f>
        <v>107015</v>
      </c>
      <c r="P368" s="285">
        <f>O356*P369/2</f>
        <v>70636.587500000009</v>
      </c>
      <c r="Q368" s="285">
        <f>R368-P368</f>
        <v>70636.587500000009</v>
      </c>
      <c r="R368" s="285">
        <f>O356*R369</f>
        <v>141273.17500000002</v>
      </c>
      <c r="S368" s="285">
        <f>R356*S369</f>
        <v>246072.76274456695</v>
      </c>
      <c r="T368" s="285">
        <f>S356*T369</f>
        <v>342792.82537150139</v>
      </c>
      <c r="U368" s="285">
        <f>T356*U369</f>
        <v>470880.28342740651</v>
      </c>
      <c r="V368" s="285">
        <f>U356*V369</f>
        <v>622362.75034131878</v>
      </c>
      <c r="W368" s="285">
        <f>V356*W369</f>
        <v>797577.14420087077</v>
      </c>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row>
    <row r="369" spans="1:58">
      <c r="C369" s="7" t="s">
        <v>233</v>
      </c>
      <c r="H369" s="320"/>
      <c r="I369" s="286">
        <f>I368/G356</f>
        <v>1.618954944529918E-2</v>
      </c>
      <c r="J369" s="286">
        <f>J368/I356</f>
        <v>1.3000108861464597E-2</v>
      </c>
      <c r="K369" s="286">
        <f>K368/I356</f>
        <v>1.9015765119372956E-2</v>
      </c>
      <c r="L369" s="286">
        <f>L368/K356</f>
        <v>1.347950788528292E-2</v>
      </c>
      <c r="M369" s="286"/>
      <c r="N369" s="286"/>
      <c r="O369" s="286">
        <f>O368/K356</f>
        <v>1.8651773831360009E-2</v>
      </c>
      <c r="P369" s="316">
        <v>2.5000000000000001E-2</v>
      </c>
      <c r="Q369" s="316"/>
      <c r="R369" s="316">
        <v>2.5000000000000001E-2</v>
      </c>
      <c r="S369" s="316">
        <v>1.7999999999999999E-2</v>
      </c>
      <c r="T369" s="316">
        <f>S369</f>
        <v>1.7999999999999999E-2</v>
      </c>
      <c r="U369" s="316">
        <f>T369</f>
        <v>1.7999999999999999E-2</v>
      </c>
      <c r="V369" s="316">
        <f>U369</f>
        <v>1.7999999999999999E-2</v>
      </c>
      <c r="W369" s="316">
        <f>V369</f>
        <v>1.7999999999999999E-2</v>
      </c>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row>
    <row r="370" spans="1:58">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row>
    <row r="371" spans="1:58">
      <c r="G371" s="297"/>
      <c r="H371" s="297"/>
      <c r="I371" s="297"/>
      <c r="J371" s="297"/>
      <c r="K371" s="297"/>
      <c r="L371" s="297"/>
      <c r="M371" s="297"/>
      <c r="N371" s="297"/>
      <c r="O371" s="297"/>
      <c r="P371" s="297"/>
      <c r="Q371" s="297"/>
      <c r="R371" s="297"/>
      <c r="S371" s="297"/>
      <c r="T371" s="297"/>
      <c r="U371" s="297"/>
      <c r="V371" s="297"/>
      <c r="W371" s="297"/>
    </row>
    <row r="372" spans="1:58" ht="12.75">
      <c r="A372" s="8" t="s">
        <v>68</v>
      </c>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row>
    <row r="373" spans="1:58">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row>
    <row r="374" spans="1:58">
      <c r="A374" s="3" t="s">
        <v>27</v>
      </c>
      <c r="B374" s="3"/>
      <c r="C374" s="3"/>
      <c r="D374" s="3"/>
      <c r="E374" s="3"/>
      <c r="F374" s="3"/>
      <c r="G374" s="279"/>
      <c r="H374" s="279"/>
      <c r="I374" s="279"/>
      <c r="J374" s="279"/>
      <c r="K374" s="279"/>
      <c r="L374" s="279"/>
      <c r="M374" s="279"/>
      <c r="N374" s="279"/>
      <c r="O374" s="279"/>
      <c r="P374" s="279"/>
      <c r="Q374" s="279"/>
      <c r="R374" s="279"/>
      <c r="S374" s="279"/>
      <c r="T374" s="279"/>
      <c r="U374" s="279"/>
      <c r="V374" s="279"/>
      <c r="W374" s="279"/>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row>
    <row r="375" spans="1:58">
      <c r="A375" s="7" t="s">
        <v>53</v>
      </c>
      <c r="G375" s="285">
        <v>1706101</v>
      </c>
      <c r="I375" s="285">
        <f>G379</f>
        <v>5177351</v>
      </c>
      <c r="J375" s="285">
        <f>I379</f>
        <v>7094297</v>
      </c>
      <c r="K375" s="285">
        <f>I379</f>
        <v>7094297</v>
      </c>
      <c r="L375" s="285">
        <f>K379</f>
        <v>10146993</v>
      </c>
      <c r="M375" s="285">
        <f>K379</f>
        <v>10146993</v>
      </c>
      <c r="O375" s="285">
        <f>K379</f>
        <v>10146993</v>
      </c>
      <c r="P375" s="285">
        <f>O379</f>
        <v>14595519</v>
      </c>
      <c r="R375" s="285">
        <f>O379</f>
        <v>14595519</v>
      </c>
      <c r="S375" s="285">
        <f>R379</f>
        <v>23367516.077288374</v>
      </c>
      <c r="T375" s="285">
        <f>S379</f>
        <v>29526689.93762321</v>
      </c>
      <c r="U375" s="285">
        <f>T379</f>
        <v>36724950.908333048</v>
      </c>
      <c r="V375" s="285">
        <f>U379</f>
        <v>45048531.350862719</v>
      </c>
      <c r="W375" s="285">
        <f>V379</f>
        <v>54518648.534193575</v>
      </c>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row>
    <row r="376" spans="1:58">
      <c r="B376" s="7" t="s">
        <v>69</v>
      </c>
      <c r="G376" s="285">
        <f>FS!G31</f>
        <v>1910361</v>
      </c>
      <c r="I376" s="285">
        <f>FS!I31</f>
        <v>1996715</v>
      </c>
      <c r="J376" s="285">
        <f>FS!J31</f>
        <v>2400853</v>
      </c>
      <c r="K376" s="285">
        <f>FS!K31</f>
        <v>3137341</v>
      </c>
      <c r="L376" s="285">
        <f>FS!L31</f>
        <v>3486065</v>
      </c>
      <c r="M376" s="285">
        <f>FS!M31</f>
        <v>1884458</v>
      </c>
      <c r="O376" s="285">
        <f>FS!O31</f>
        <v>4436503.9986796016</v>
      </c>
      <c r="P376" s="285">
        <f>FS!P31</f>
        <v>2692884</v>
      </c>
      <c r="R376" s="285">
        <f>FS!R31</f>
        <v>5478616.0772883752</v>
      </c>
      <c r="S376" s="285">
        <f>FS!S31</f>
        <v>6159173.8603348369</v>
      </c>
      <c r="T376" s="285">
        <f>FS!T31</f>
        <v>7198260.970709838</v>
      </c>
      <c r="U376" s="285">
        <f>FS!U31</f>
        <v>8323580.4425296718</v>
      </c>
      <c r="V376" s="285">
        <f>FS!V31</f>
        <v>9470117.1833308563</v>
      </c>
      <c r="W376" s="285">
        <f>FS!W31</f>
        <v>10288717.615492046</v>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row>
    <row r="377" spans="1:58">
      <c r="B377" s="7" t="s">
        <v>70</v>
      </c>
      <c r="G377" s="285">
        <f>FS!G199</f>
        <v>-404400</v>
      </c>
      <c r="I377" s="285">
        <f>FS!I199</f>
        <v>-104400</v>
      </c>
      <c r="J377" s="285">
        <f>FS!J199</f>
        <v>-100000</v>
      </c>
      <c r="K377" s="285">
        <f>FS!K199</f>
        <v>-100000</v>
      </c>
      <c r="L377" s="285">
        <f>FS!L199</f>
        <v>0</v>
      </c>
      <c r="M377" s="285">
        <v>0</v>
      </c>
      <c r="O377" s="285">
        <f>FS!O199</f>
        <v>0</v>
      </c>
      <c r="P377" s="285">
        <v>0</v>
      </c>
      <c r="R377" s="285">
        <f>-FS!R38</f>
        <v>0</v>
      </c>
      <c r="S377" s="285">
        <f>-FS!S38</f>
        <v>0</v>
      </c>
      <c r="T377" s="285">
        <f>-FS!T38</f>
        <v>0</v>
      </c>
      <c r="U377" s="285">
        <f>-FS!U38</f>
        <v>0</v>
      </c>
      <c r="V377" s="285">
        <f>-FS!V38</f>
        <v>0</v>
      </c>
      <c r="W377" s="285">
        <f>-FS!X38</f>
        <v>0</v>
      </c>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row>
    <row r="378" spans="1:58">
      <c r="B378" s="7" t="s">
        <v>3</v>
      </c>
      <c r="G378" s="285">
        <f>G379-G377-G376-G375</f>
        <v>1965289</v>
      </c>
      <c r="I378" s="285">
        <f>I379-I377-I376-I375</f>
        <v>24631</v>
      </c>
      <c r="J378" s="285">
        <f>J379-J377-J376-J375</f>
        <v>8315</v>
      </c>
      <c r="K378" s="285">
        <f>K379-K377-K376-K375</f>
        <v>15355</v>
      </c>
      <c r="L378" s="285">
        <f>L379-L377-L376-L375</f>
        <v>8240</v>
      </c>
      <c r="M378" s="285">
        <f>M379-M377-M376-M375</f>
        <v>-12031451</v>
      </c>
      <c r="O378" s="285">
        <f>O379-O377-O376-O375</f>
        <v>12022.001320399344</v>
      </c>
      <c r="P378" s="285">
        <f>P379-P377-P376-P375</f>
        <v>3582222</v>
      </c>
      <c r="R378" s="285">
        <f>FS!R198-(FS!R111-FS!L111)</f>
        <v>3293381</v>
      </c>
      <c r="S378" s="285">
        <v>0</v>
      </c>
      <c r="T378" s="285">
        <v>0</v>
      </c>
      <c r="U378" s="285">
        <v>0</v>
      </c>
      <c r="V378" s="285">
        <v>0</v>
      </c>
      <c r="W378" s="285">
        <v>0</v>
      </c>
      <c r="X378" s="10"/>
      <c r="Y378" s="10"/>
      <c r="Z378" s="10"/>
      <c r="AA378" s="10"/>
      <c r="AB378" s="10"/>
      <c r="AC378" s="10"/>
      <c r="AD378" s="10"/>
      <c r="AE378" s="10"/>
      <c r="AF378" s="10"/>
      <c r="AG378" s="10"/>
      <c r="AH378" s="10"/>
      <c r="AI378" s="10"/>
      <c r="AJ378" s="10"/>
      <c r="AK378" s="10"/>
      <c r="AL378" s="24"/>
      <c r="AM378" s="24"/>
      <c r="AN378" s="24"/>
      <c r="AO378" s="24"/>
      <c r="AP378" s="24"/>
      <c r="AQ378" s="24"/>
      <c r="AR378" s="24"/>
      <c r="AS378" s="24"/>
      <c r="AT378" s="24"/>
      <c r="AU378" s="24"/>
      <c r="AV378" s="24"/>
      <c r="AW378" s="24"/>
      <c r="AX378" s="24"/>
      <c r="AY378" s="24"/>
      <c r="AZ378" s="24"/>
      <c r="BA378" s="24"/>
      <c r="BB378" s="24"/>
      <c r="BC378" s="24"/>
      <c r="BD378" s="24"/>
      <c r="BE378" s="24"/>
      <c r="BF378" s="24"/>
    </row>
    <row r="379" spans="1:58">
      <c r="A379" s="7" t="s">
        <v>55</v>
      </c>
      <c r="G379" s="285">
        <f>FS!G112</f>
        <v>5177351</v>
      </c>
      <c r="H379" s="285">
        <f>FS!H112</f>
        <v>0</v>
      </c>
      <c r="I379" s="285">
        <f>FS!I112</f>
        <v>7094297</v>
      </c>
      <c r="J379" s="285">
        <f>FS!J112</f>
        <v>9403465</v>
      </c>
      <c r="K379" s="285">
        <f>FS!K112</f>
        <v>10146993</v>
      </c>
      <c r="L379" s="285">
        <f>FS!L112</f>
        <v>13641298</v>
      </c>
      <c r="M379" s="285">
        <f>FS!M112</f>
        <v>0</v>
      </c>
      <c r="O379" s="285">
        <f>FS!O112</f>
        <v>14595519</v>
      </c>
      <c r="P379" s="285">
        <f>FS!P112</f>
        <v>20870625</v>
      </c>
      <c r="R379" s="285">
        <f t="shared" ref="R379:W379" si="193">SUM(R375:R378)</f>
        <v>23367516.077288374</v>
      </c>
      <c r="S379" s="285">
        <f t="shared" si="193"/>
        <v>29526689.93762321</v>
      </c>
      <c r="T379" s="285">
        <f t="shared" si="193"/>
        <v>36724950.908333048</v>
      </c>
      <c r="U379" s="285">
        <f t="shared" si="193"/>
        <v>45048531.350862719</v>
      </c>
      <c r="V379" s="285">
        <f t="shared" si="193"/>
        <v>54518648.534193575</v>
      </c>
      <c r="W379" s="285">
        <f t="shared" si="193"/>
        <v>64807366.149685621</v>
      </c>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row>
    <row r="380" spans="1:58">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row>
    <row r="382" spans="1:58">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row>
    <row r="383" spans="1:58">
      <c r="A383" s="3" t="s">
        <v>10</v>
      </c>
    </row>
    <row r="384" spans="1:58">
      <c r="A384" s="7" t="s">
        <v>53</v>
      </c>
      <c r="J384" s="285">
        <f>I389</f>
        <v>24970</v>
      </c>
      <c r="L384" s="285">
        <f>K389</f>
        <v>88472</v>
      </c>
      <c r="O384" s="285">
        <f>K389</f>
        <v>88472</v>
      </c>
      <c r="R384" s="285">
        <f>O389</f>
        <v>105301</v>
      </c>
      <c r="S384" s="285">
        <f>R389</f>
        <v>143416.00750118861</v>
      </c>
      <c r="T384" s="285">
        <f>S389</f>
        <v>186265.68971582176</v>
      </c>
      <c r="U384" s="285">
        <f>T389</f>
        <v>236344.35320010685</v>
      </c>
      <c r="V384" s="285">
        <f>U389</f>
        <v>294251.92082816898</v>
      </c>
      <c r="W384" s="285">
        <f>V389</f>
        <v>360136.00220706407</v>
      </c>
    </row>
    <row r="385" spans="1:23">
      <c r="B385" s="7" t="s">
        <v>213</v>
      </c>
      <c r="G385" s="285">
        <f>-FS!G30</f>
        <v>1581</v>
      </c>
      <c r="H385" s="285">
        <f>-FS!H30</f>
        <v>6462</v>
      </c>
      <c r="I385" s="285">
        <f>-FS!I30</f>
        <v>16376</v>
      </c>
      <c r="J385" s="285">
        <f>-FS!J30</f>
        <v>51926</v>
      </c>
      <c r="K385" s="285">
        <f>-FS!K30</f>
        <v>49264</v>
      </c>
      <c r="L385" s="285">
        <f>-FS!L30</f>
        <v>4907</v>
      </c>
      <c r="O385" s="285">
        <f>-FS!O30</f>
        <v>17699</v>
      </c>
      <c r="R385" s="285">
        <f>(FS!R27+FS!R29)*R386</f>
        <v>38620.657141005664</v>
      </c>
      <c r="S385" s="285">
        <f>(FS!S27+FS!S29)*S386</f>
        <v>43418.144030557763</v>
      </c>
      <c r="T385" s="285">
        <f>(FS!T27+FS!T29)*T386</f>
        <v>50743.027990905204</v>
      </c>
      <c r="U385" s="285">
        <f>(FS!U27+FS!U29)*U386</f>
        <v>58675.793653280671</v>
      </c>
      <c r="V385" s="285">
        <f>(FS!V27+FS!V29)*V386</f>
        <v>66758.127173530709</v>
      </c>
      <c r="W385" s="285">
        <f>(FS!W27+FS!W29)*W386</f>
        <v>72528.724379098014</v>
      </c>
    </row>
    <row r="386" spans="1:23">
      <c r="C386" s="7" t="s">
        <v>215</v>
      </c>
      <c r="G386" s="286">
        <f>G385/(FS!G27+FS!G29)</f>
        <v>8.2690792921542595E-4</v>
      </c>
      <c r="H386" s="286">
        <f>H385/(FS!H27+FS!H29)</f>
        <v>3.9804905452569825E-3</v>
      </c>
      <c r="I386" s="286">
        <f>I385/(FS!I27+FS!I29)</f>
        <v>8.1347539679030908E-3</v>
      </c>
      <c r="J386" s="286">
        <f>J385/(FS!J27+FS!J29)</f>
        <v>2.1170272576534616E-2</v>
      </c>
      <c r="K386" s="286">
        <f>K385/(FS!K27+FS!K29)</f>
        <v>1.5459713394035344E-2</v>
      </c>
      <c r="L386" s="286">
        <f>L385/(FS!L27+FS!L29)</f>
        <v>1.4056257111199975E-3</v>
      </c>
      <c r="M386" s="286"/>
      <c r="N386" s="286"/>
      <c r="O386" s="286">
        <f>O385/(FS!O27+FS!O29)</f>
        <v>3.9735503759587678E-3</v>
      </c>
      <c r="P386" s="328"/>
      <c r="Q386" s="328"/>
      <c r="R386" s="328">
        <v>7.0000000000000001E-3</v>
      </c>
      <c r="S386" s="328">
        <f>R386</f>
        <v>7.0000000000000001E-3</v>
      </c>
      <c r="T386" s="328">
        <f>S386</f>
        <v>7.0000000000000001E-3</v>
      </c>
      <c r="U386" s="328">
        <f>T386</f>
        <v>7.0000000000000001E-3</v>
      </c>
      <c r="V386" s="328">
        <f>U386</f>
        <v>7.0000000000000001E-3</v>
      </c>
      <c r="W386" s="328">
        <f>V386</f>
        <v>7.0000000000000001E-3</v>
      </c>
    </row>
    <row r="387" spans="1:23">
      <c r="B387" s="7" t="s">
        <v>214</v>
      </c>
      <c r="G387" s="285">
        <f>FS!G200</f>
        <v>-1477</v>
      </c>
      <c r="H387" s="285">
        <f>FS!H200</f>
        <v>0</v>
      </c>
      <c r="I387" s="285">
        <f>FS!I200</f>
        <v>0</v>
      </c>
      <c r="J387" s="285">
        <f>FS!J200</f>
        <v>-645</v>
      </c>
      <c r="K387" s="285">
        <f>FS!K200</f>
        <v>-645</v>
      </c>
      <c r="L387" s="285">
        <f>FS!L200</f>
        <v>-527</v>
      </c>
      <c r="O387" s="285">
        <f>FS!O200</f>
        <v>-527</v>
      </c>
      <c r="R387" s="285">
        <f t="shared" ref="R387:W387" si="194">R385*R388*-1</f>
        <v>-505.64963981708053</v>
      </c>
      <c r="S387" s="285">
        <f t="shared" si="194"/>
        <v>-568.46181592460539</v>
      </c>
      <c r="T387" s="285">
        <f t="shared" si="194"/>
        <v>-664.36450662012544</v>
      </c>
      <c r="U387" s="285">
        <f t="shared" si="194"/>
        <v>-768.22602521853753</v>
      </c>
      <c r="V387" s="285">
        <f t="shared" si="194"/>
        <v>-874.04579463558196</v>
      </c>
      <c r="W387" s="285">
        <f t="shared" si="194"/>
        <v>-949.5986364184439</v>
      </c>
    </row>
    <row r="388" spans="1:23">
      <c r="C388" s="7" t="s">
        <v>216</v>
      </c>
      <c r="G388" s="286">
        <f>G387/G385*-1</f>
        <v>0.93421884882985451</v>
      </c>
      <c r="H388" s="286"/>
      <c r="I388" s="286"/>
      <c r="J388" s="286">
        <f>J387/J385*-1</f>
        <v>1.2421522936486538E-2</v>
      </c>
      <c r="K388" s="286">
        <f>K387/K385*-1</f>
        <v>1.3092724910685288E-2</v>
      </c>
      <c r="L388" s="286">
        <f>L387/L385*-1</f>
        <v>0.10739759527206032</v>
      </c>
      <c r="M388" s="286"/>
      <c r="N388" s="286"/>
      <c r="O388" s="286">
        <f>O387/O385*-1</f>
        <v>2.9775693542008024E-2</v>
      </c>
      <c r="P388" s="286"/>
      <c r="Q388" s="286"/>
      <c r="R388" s="328">
        <f>+K388</f>
        <v>1.3092724910685288E-2</v>
      </c>
      <c r="S388" s="328">
        <f>+R388</f>
        <v>1.3092724910685288E-2</v>
      </c>
      <c r="T388" s="328">
        <f>+S388</f>
        <v>1.3092724910685288E-2</v>
      </c>
      <c r="U388" s="328">
        <f>+T388</f>
        <v>1.3092724910685288E-2</v>
      </c>
      <c r="V388" s="328">
        <f>+U388</f>
        <v>1.3092724910685288E-2</v>
      </c>
      <c r="W388" s="328">
        <f>+V388</f>
        <v>1.3092724910685288E-2</v>
      </c>
    </row>
    <row r="389" spans="1:23">
      <c r="A389" s="7" t="s">
        <v>55</v>
      </c>
      <c r="G389" s="285">
        <f>FS!G113</f>
        <v>5359</v>
      </c>
      <c r="H389" s="285">
        <f>FS!H113</f>
        <v>0</v>
      </c>
      <c r="I389" s="285">
        <f>FS!I113</f>
        <v>24970</v>
      </c>
      <c r="J389" s="285">
        <f>FS!J113</f>
        <v>90177</v>
      </c>
      <c r="K389" s="285">
        <f>FS!K113</f>
        <v>88472</v>
      </c>
      <c r="L389" s="285">
        <f>FS!L113</f>
        <v>94908</v>
      </c>
      <c r="O389" s="285">
        <f>FS!O113</f>
        <v>105301</v>
      </c>
      <c r="R389" s="285">
        <f t="shared" ref="R389:W389" si="195">R384+R385+R387</f>
        <v>143416.00750118861</v>
      </c>
      <c r="S389" s="285">
        <f t="shared" si="195"/>
        <v>186265.68971582176</v>
      </c>
      <c r="T389" s="285">
        <f t="shared" si="195"/>
        <v>236344.35320010685</v>
      </c>
      <c r="U389" s="285">
        <f t="shared" si="195"/>
        <v>294251.92082816898</v>
      </c>
      <c r="V389" s="285">
        <f t="shared" si="195"/>
        <v>360136.00220706407</v>
      </c>
      <c r="W389" s="285">
        <f t="shared" si="195"/>
        <v>431715.12794974365</v>
      </c>
    </row>
    <row r="392" spans="1:23">
      <c r="H392" s="297"/>
    </row>
  </sheetData>
  <pageMargins left="0.7" right="0.7" top="0.75" bottom="0.75" header="0.3" footer="0.3"/>
  <pageSetup paperSize="0" scale="95"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97</vt:i4>
      </vt:variant>
    </vt:vector>
  </HeadingPairs>
  <TitlesOfParts>
    <vt:vector size="101" baseType="lpstr">
      <vt:lpstr>VA-Disclaimer</vt:lpstr>
      <vt:lpstr>DCF</vt:lpstr>
      <vt:lpstr>FS</vt:lpstr>
      <vt:lpstr>Assumption</vt:lpstr>
      <vt:lpstr>DCF!add_factors</vt:lpstr>
      <vt:lpstr>DCF!AddToExplicitPeriods</vt:lpstr>
      <vt:lpstr>DCF!Calculate</vt:lpstr>
      <vt:lpstr>DCF!CoE</vt:lpstr>
      <vt:lpstr>dcf_mixue</vt:lpstr>
      <vt:lpstr>DCF!DCFTitle</vt:lpstr>
      <vt:lpstr>DCF!Discount_rates</vt:lpstr>
      <vt:lpstr>DCF!End_of_period_assumptions</vt:lpstr>
      <vt:lpstr>DCF!End_of_period_diluted_shares</vt:lpstr>
      <vt:lpstr>DCF!EntireDCF</vt:lpstr>
      <vt:lpstr>DCF!ExplicitPeriodChk</vt:lpstr>
      <vt:lpstr>DCF!FadeToTerminalPeriod</vt:lpstr>
      <vt:lpstr>DCF!FCFF</vt:lpstr>
      <vt:lpstr>DCF!FY5Period</vt:lpstr>
      <vt:lpstr>DCF!Inputs___Assumptions</vt:lpstr>
      <vt:lpstr>DCF!Key_items</vt:lpstr>
      <vt:lpstr>DCF!KeyitemsFY5</vt:lpstr>
      <vt:lpstr>DCF!Last_row</vt:lpstr>
      <vt:lpstr>DCF!Lastforecast</vt:lpstr>
      <vt:lpstr>DCF!MarkersFCF</vt:lpstr>
      <vt:lpstr>DCF!MarkersKeyItems</vt:lpstr>
      <vt:lpstr>mixue_dcf</vt:lpstr>
      <vt:lpstr>DCF!modelForecasts</vt:lpstr>
      <vt:lpstr>DCF!ModelParameters</vt:lpstr>
      <vt:lpstr>DCF!Net_acquisitions</vt:lpstr>
      <vt:lpstr>DCF!NPVYr5</vt:lpstr>
      <vt:lpstr>DCF!OneYr_Fwd_Value</vt:lpstr>
      <vt:lpstr>DCF!Operating_model</vt:lpstr>
      <vt:lpstr>DCF!OptionalGrowthPeriod</vt:lpstr>
      <vt:lpstr>DCF!OptPeriodChk</vt:lpstr>
      <vt:lpstr>DCF!Other_non_EBIT_PL_items</vt:lpstr>
      <vt:lpstr>DCF!Output___Implied_valuations</vt:lpstr>
      <vt:lpstr>DCF!PenCap_Sales</vt:lpstr>
      <vt:lpstr>DCF!PenCapDepr</vt:lpstr>
      <vt:lpstr>DCF!PenCWC</vt:lpstr>
      <vt:lpstr>DCF!PenEBITDAMargin</vt:lpstr>
      <vt:lpstr>DCF!PenGR</vt:lpstr>
      <vt:lpstr>DCF!PenOtherItems</vt:lpstr>
      <vt:lpstr>DCF!PenOtherItemsGR</vt:lpstr>
      <vt:lpstr>DCF!PenRevenue</vt:lpstr>
      <vt:lpstr>DCF!PenTaxRate</vt:lpstr>
      <vt:lpstr>DCF!PenWC</vt:lpstr>
      <vt:lpstr>DCF!Print_Area</vt:lpstr>
      <vt:lpstr>DCF!PT</vt:lpstr>
      <vt:lpstr>DCF!St1CapexCAGR</vt:lpstr>
      <vt:lpstr>DCF!St1DACAGR</vt:lpstr>
      <vt:lpstr>DCF!St1EBITCAGR</vt:lpstr>
      <vt:lpstr>DCF!St1EBITDACAGR</vt:lpstr>
      <vt:lpstr>DCF!St1FCFCAGR</vt:lpstr>
      <vt:lpstr>DCF!St1NOPATCAGR</vt:lpstr>
      <vt:lpstr>DCF!St1RevCAGR</vt:lpstr>
      <vt:lpstr>DCF!St1RICAGR</vt:lpstr>
      <vt:lpstr>DCF!St1TaxCAGR</vt:lpstr>
      <vt:lpstr>DCF!St1WCCAGR</vt:lpstr>
      <vt:lpstr>DCF!St2Cap_Sales</vt:lpstr>
      <vt:lpstr>DCF!St2CapDepr</vt:lpstr>
      <vt:lpstr>DCF!St2CapexCAGR</vt:lpstr>
      <vt:lpstr>DCF!St2DACAGR</vt:lpstr>
      <vt:lpstr>DCF!St2EBITCAGR</vt:lpstr>
      <vt:lpstr>DCF!St2EBITDACAGR</vt:lpstr>
      <vt:lpstr>DCF!St2EBITDAMargin</vt:lpstr>
      <vt:lpstr>DCF!St2FCFCAGR</vt:lpstr>
      <vt:lpstr>DCF!St2GR</vt:lpstr>
      <vt:lpstr>DCF!St2NOPATCAGR</vt:lpstr>
      <vt:lpstr>DCF!St2OtherItems</vt:lpstr>
      <vt:lpstr>DCF!St2RevCAGR</vt:lpstr>
      <vt:lpstr>DCF!St2RICAGR</vt:lpstr>
      <vt:lpstr>DCF!St2TaxCAGR</vt:lpstr>
      <vt:lpstr>DCF!St2TaxRate</vt:lpstr>
      <vt:lpstr>DCF!St2WC</vt:lpstr>
      <vt:lpstr>DCF!St2WCCAGR</vt:lpstr>
      <vt:lpstr>DCF!St3CapexCAGR</vt:lpstr>
      <vt:lpstr>DCF!St3DACAGR</vt:lpstr>
      <vt:lpstr>DCF!St3EBITCAGR</vt:lpstr>
      <vt:lpstr>DCF!St3EBITDACAGR</vt:lpstr>
      <vt:lpstr>DCF!St3FCFCAGR</vt:lpstr>
      <vt:lpstr>DCF!St3NOPATCAGR</vt:lpstr>
      <vt:lpstr>DCF!St3RevCAGR</vt:lpstr>
      <vt:lpstr>DCF!St3RICAGR</vt:lpstr>
      <vt:lpstr>DCF!St3TaxCAGR</vt:lpstr>
      <vt:lpstr>DCF!St3WCCAGR</vt:lpstr>
      <vt:lpstr>DCF!Stage_2__Optional</vt:lpstr>
      <vt:lpstr>DCF!Stage2CAGRCells</vt:lpstr>
      <vt:lpstr>DCF!Stage3CAGRCells</vt:lpstr>
      <vt:lpstr>DCF!StageOnePeriod</vt:lpstr>
      <vt:lpstr>DCF!StageThreePeriod</vt:lpstr>
      <vt:lpstr>DCF!StageTwoPeriod</vt:lpstr>
      <vt:lpstr>DCF!Terminal_Period</vt:lpstr>
      <vt:lpstr>DCF!Terminal_period_assumptions</vt:lpstr>
      <vt:lpstr>DCF!Terminal_Value</vt:lpstr>
      <vt:lpstr>DCF!Visible_periods</vt:lpstr>
      <vt:lpstr>DCF!WACC</vt:lpstr>
      <vt:lpstr>wacc</vt:lpstr>
      <vt:lpstr>DCF!WACC_estimate</vt:lpstr>
      <vt:lpstr>DCF!Year0</vt:lpstr>
      <vt:lpstr>DCF!Yr0Rev</vt:lpstr>
      <vt:lpstr>DCF!Yr5DF</vt:lpstr>
    </vt:vector>
  </TitlesOfParts>
  <Company/>
  <LinksUpToDate>false</LinksUpToDate>
  <SharedDoc>false</SharedDoc>
  <HyperlinkBase>http://wire.swissbank.com/WIRE/GIND/</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Younes-XT</dc:creator>
  <cp:lastModifiedBy>Peter Wilson</cp:lastModifiedBy>
  <cp:lastPrinted>2025-10-08T09:45:39Z</cp:lastPrinted>
  <dcterms:created xsi:type="dcterms:W3CDTF">2023-11-14T03:27:17Z</dcterms:created>
  <dcterms:modified xsi:type="dcterms:W3CDTF">2025-11-15T02:22:53Z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c8d7f2-ca33-4e66-89fa-dd8f3c1a21f6_Enabled">
    <vt:lpwstr>true</vt:lpwstr>
  </property>
  <property fmtid="{D5CDD505-2E9C-101B-9397-08002B2CF9AE}" pid="3" name="MSIP_Label_79c8d7f2-ca33-4e66-89fa-dd8f3c1a21f6_SetDate">
    <vt:lpwstr>2023-11-14T03:27:50Z</vt:lpwstr>
  </property>
  <property fmtid="{D5CDD505-2E9C-101B-9397-08002B2CF9AE}" pid="4" name="MSIP_Label_79c8d7f2-ca33-4e66-89fa-dd8f3c1a21f6_Method">
    <vt:lpwstr>Privileged</vt:lpwstr>
  </property>
  <property fmtid="{D5CDD505-2E9C-101B-9397-08002B2CF9AE}" pid="5" name="MSIP_Label_79c8d7f2-ca33-4e66-89fa-dd8f3c1a21f6_Name">
    <vt:lpwstr>Internal-MayLeave</vt:lpwstr>
  </property>
  <property fmtid="{D5CDD505-2E9C-101B-9397-08002B2CF9AE}" pid="6" name="MSIP_Label_79c8d7f2-ca33-4e66-89fa-dd8f3c1a21f6_SiteId">
    <vt:lpwstr>fb6ea403-7cf1-4905-810a-fe5547e98204</vt:lpwstr>
  </property>
  <property fmtid="{D5CDD505-2E9C-101B-9397-08002B2CF9AE}" pid="7" name="MSIP_Label_79c8d7f2-ca33-4e66-89fa-dd8f3c1a21f6_ActionId">
    <vt:lpwstr>9cfe918a-4462-42bf-bdcb-24250b3d2cf4</vt:lpwstr>
  </property>
  <property fmtid="{D5CDD505-2E9C-101B-9397-08002B2CF9AE}" pid="8" name="MSIP_Label_79c8d7f2-ca33-4e66-89fa-dd8f3c1a21f6_ContentBits">
    <vt:lpwstr>0</vt:lpwstr>
  </property>
</Properties>
</file>