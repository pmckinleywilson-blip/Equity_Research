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5168fc8d63cfa0/Documents/Models- old/"/>
    </mc:Choice>
  </mc:AlternateContent>
  <xr:revisionPtr revIDLastSave="1486" documentId="8_{0F9B4576-7EC4-4E4C-9023-58D5A18D1B46}" xr6:coauthVersionLast="47" xr6:coauthVersionMax="47" xr10:uidLastSave="{065B18E2-B2AB-43FE-86C6-BD0E1163548C}"/>
  <bookViews>
    <workbookView xWindow="-23148" yWindow="-108" windowWidth="23256" windowHeight="12456" firstSheet="1" activeTab="2" xr2:uid="{3A0DFEB1-5DED-456C-8770-C4CCC75148C6}"/>
  </bookViews>
  <sheets>
    <sheet name="Value" sheetId="1" r:id="rId1"/>
    <sheet name="Annual" sheetId="2" r:id="rId2"/>
    <sheet name="Qrtly" sheetId="3" r:id="rId3"/>
    <sheet name="Vs cons" sheetId="4" r:id="rId4"/>
    <sheet name="Import" sheetId="5" r:id="rId5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82" i="3" l="1"/>
  <c r="D3" i="5" l="1"/>
  <c r="C3" i="5"/>
  <c r="D13" i="5"/>
  <c r="C13" i="5"/>
  <c r="D12" i="5"/>
  <c r="C12" i="5"/>
  <c r="E3" i="5"/>
  <c r="D8" i="5"/>
  <c r="C8" i="5"/>
  <c r="A3" i="5"/>
  <c r="O8" i="5"/>
  <c r="AF287" i="2"/>
  <c r="AF286" i="2"/>
  <c r="AF285" i="2"/>
  <c r="AF284" i="2"/>
  <c r="AF283" i="2"/>
  <c r="AF282" i="2"/>
  <c r="AF281" i="2"/>
  <c r="AF280" i="2"/>
  <c r="AF279" i="2"/>
  <c r="AF278" i="2"/>
  <c r="AF277" i="2"/>
  <c r="AF276" i="2"/>
  <c r="AF275" i="2"/>
  <c r="AF274" i="2"/>
  <c r="AF273" i="2"/>
  <c r="AF272" i="2"/>
  <c r="AF271" i="2"/>
  <c r="AF270" i="2"/>
  <c r="AF269" i="2"/>
  <c r="AF268" i="2"/>
  <c r="AF267" i="2"/>
  <c r="AF266" i="2"/>
  <c r="AF265" i="2"/>
  <c r="AF264" i="2"/>
  <c r="AF263" i="2"/>
  <c r="AF262" i="2"/>
  <c r="AF261" i="2"/>
  <c r="AF260" i="2"/>
  <c r="AF259" i="2"/>
  <c r="AF258" i="2"/>
  <c r="AF257" i="2"/>
  <c r="AF256" i="2"/>
  <c r="AF255" i="2"/>
  <c r="AF254" i="2"/>
  <c r="AF253" i="2"/>
  <c r="AF252" i="2"/>
  <c r="AF251" i="2"/>
  <c r="AF250" i="2"/>
  <c r="AF248" i="2"/>
  <c r="AF245" i="2"/>
  <c r="AF244" i="2"/>
  <c r="AF243" i="2"/>
  <c r="AF242" i="2"/>
  <c r="AF241" i="2"/>
  <c r="AF240" i="2"/>
  <c r="AF239" i="2"/>
  <c r="AF238" i="2"/>
  <c r="AF237" i="2"/>
  <c r="AF236" i="2"/>
  <c r="AF235" i="2"/>
  <c r="AF234" i="2"/>
  <c r="AF233" i="2"/>
  <c r="AF232" i="2"/>
  <c r="AF231" i="2"/>
  <c r="AF230" i="2"/>
  <c r="AF229" i="2"/>
  <c r="AF228" i="2"/>
  <c r="AF227" i="2"/>
  <c r="AF226" i="2"/>
  <c r="AF225" i="2"/>
  <c r="AF224" i="2"/>
  <c r="AF223" i="2"/>
  <c r="AF222" i="2"/>
  <c r="AF221" i="2"/>
  <c r="AF220" i="2"/>
  <c r="AF219" i="2"/>
  <c r="AF217" i="2"/>
  <c r="AF216" i="2"/>
  <c r="AF215" i="2"/>
  <c r="AF213" i="2"/>
  <c r="AF212" i="2"/>
  <c r="AF209" i="2"/>
  <c r="AF208" i="2"/>
  <c r="AF204" i="2"/>
  <c r="AF203" i="2"/>
  <c r="AF202" i="2"/>
  <c r="AF201" i="2"/>
  <c r="AF198" i="2"/>
  <c r="AF197" i="2"/>
  <c r="AF196" i="2"/>
  <c r="AF195" i="2"/>
  <c r="AF193" i="2"/>
  <c r="AF191" i="2"/>
  <c r="AF184" i="2"/>
  <c r="AF183" i="2"/>
  <c r="AF182" i="2"/>
  <c r="AF181" i="2"/>
  <c r="AF180" i="2"/>
  <c r="AF176" i="2"/>
  <c r="AF172" i="2"/>
  <c r="AF171" i="2"/>
  <c r="AF170" i="2"/>
  <c r="AF169" i="2"/>
  <c r="AF168" i="2"/>
  <c r="AF163" i="2"/>
  <c r="AF162" i="2"/>
  <c r="AF161" i="2"/>
  <c r="AF160" i="2"/>
  <c r="AF158" i="2"/>
  <c r="AF157" i="2"/>
  <c r="AF156" i="2"/>
  <c r="AF155" i="2"/>
  <c r="AF150" i="2"/>
  <c r="AF149" i="2"/>
  <c r="AF143" i="2"/>
  <c r="AF142" i="2"/>
  <c r="AF141" i="2"/>
  <c r="AF140" i="2"/>
  <c r="AF139" i="2"/>
  <c r="AF138" i="2"/>
  <c r="AF137" i="2"/>
  <c r="AF136" i="2"/>
  <c r="AF135" i="2"/>
  <c r="AF134" i="2"/>
  <c r="AF133" i="2"/>
  <c r="AF132" i="2"/>
  <c r="AF131" i="2"/>
  <c r="AF130" i="2"/>
  <c r="AF129" i="2"/>
  <c r="AF128" i="2"/>
  <c r="AF127" i="2"/>
  <c r="AF126" i="2"/>
  <c r="AF123" i="2"/>
  <c r="AF122" i="2"/>
  <c r="AF121" i="2"/>
  <c r="AF120" i="2"/>
  <c r="AF119" i="2"/>
  <c r="AF118" i="2"/>
  <c r="AF117" i="2"/>
  <c r="AF116" i="2"/>
  <c r="AF115" i="2"/>
  <c r="AF114" i="2"/>
  <c r="AF113" i="2"/>
  <c r="AF112" i="2"/>
  <c r="AF111" i="2"/>
  <c r="AF110" i="2"/>
  <c r="AF109" i="2"/>
  <c r="AF108" i="2"/>
  <c r="AF107" i="2"/>
  <c r="AF106" i="2"/>
  <c r="AF105" i="2"/>
  <c r="AF104" i="2"/>
  <c r="AF103" i="2"/>
  <c r="AF102" i="2"/>
  <c r="AF101" i="2"/>
  <c r="AF100" i="2"/>
  <c r="AF97" i="2"/>
  <c r="AF96" i="2"/>
  <c r="AF91" i="2"/>
  <c r="AF89" i="2"/>
  <c r="AF86" i="2"/>
  <c r="AF85" i="2"/>
  <c r="AF80" i="2"/>
  <c r="AF78" i="2"/>
  <c r="AF73" i="2"/>
  <c r="AF72" i="2"/>
  <c r="AF68" i="2"/>
  <c r="AF67" i="2"/>
  <c r="AF63" i="2"/>
  <c r="AF62" i="2"/>
  <c r="AF60" i="2"/>
  <c r="AF59" i="2"/>
  <c r="AF57" i="2"/>
  <c r="AF56" i="2"/>
  <c r="AF55" i="2"/>
  <c r="AF54" i="2"/>
  <c r="AF46" i="2"/>
  <c r="AF45" i="2"/>
  <c r="AF42" i="2"/>
  <c r="AF41" i="2"/>
  <c r="AF40" i="2"/>
  <c r="AF39" i="2"/>
  <c r="AF34" i="2"/>
  <c r="AF33" i="2"/>
  <c r="AF25" i="2"/>
  <c r="AF24" i="2"/>
  <c r="AF23" i="2"/>
  <c r="AF22" i="2"/>
  <c r="AF21" i="2"/>
  <c r="AF15" i="2"/>
  <c r="AF14" i="2"/>
  <c r="AF13" i="2"/>
  <c r="AF12" i="2"/>
  <c r="AD15" i="2"/>
  <c r="AD14" i="2"/>
  <c r="AD13" i="2"/>
  <c r="AD12" i="2"/>
  <c r="AD287" i="2"/>
  <c r="AD286" i="2"/>
  <c r="AD285" i="2"/>
  <c r="AD284" i="2"/>
  <c r="AD283" i="2"/>
  <c r="AD282" i="2"/>
  <c r="AD281" i="2"/>
  <c r="AD280" i="2"/>
  <c r="AD279" i="2"/>
  <c r="AD278" i="2"/>
  <c r="AD277" i="2"/>
  <c r="AD276" i="2"/>
  <c r="AD275" i="2"/>
  <c r="AD274" i="2"/>
  <c r="AD273" i="2"/>
  <c r="AD272" i="2"/>
  <c r="AD271" i="2"/>
  <c r="AD270" i="2"/>
  <c r="AD269" i="2"/>
  <c r="AD268" i="2"/>
  <c r="AD267" i="2"/>
  <c r="AD266" i="2"/>
  <c r="AD265" i="2"/>
  <c r="AD264" i="2"/>
  <c r="AD263" i="2"/>
  <c r="AD262" i="2"/>
  <c r="AD261" i="2"/>
  <c r="AD260" i="2"/>
  <c r="AD259" i="2"/>
  <c r="AD258" i="2"/>
  <c r="AD257" i="2"/>
  <c r="AD256" i="2"/>
  <c r="AD255" i="2"/>
  <c r="AD254" i="2"/>
  <c r="AD253" i="2"/>
  <c r="AD252" i="2"/>
  <c r="AD251" i="2"/>
  <c r="AD250" i="2"/>
  <c r="AD248" i="2"/>
  <c r="AD245" i="2"/>
  <c r="AD244" i="2"/>
  <c r="AD243" i="2"/>
  <c r="AD242" i="2"/>
  <c r="AD241" i="2"/>
  <c r="AD240" i="2"/>
  <c r="AD239" i="2"/>
  <c r="AD238" i="2"/>
  <c r="AD237" i="2"/>
  <c r="AD236" i="2"/>
  <c r="AD235" i="2"/>
  <c r="AD234" i="2"/>
  <c r="AD233" i="2"/>
  <c r="AD232" i="2"/>
  <c r="AD231" i="2"/>
  <c r="AD230" i="2"/>
  <c r="AD229" i="2"/>
  <c r="AD228" i="2"/>
  <c r="AD227" i="2"/>
  <c r="AD226" i="2"/>
  <c r="AD225" i="2"/>
  <c r="AD224" i="2"/>
  <c r="AD223" i="2"/>
  <c r="AD222" i="2"/>
  <c r="AD221" i="2"/>
  <c r="AD220" i="2"/>
  <c r="AD219" i="2"/>
  <c r="AD217" i="2"/>
  <c r="AD216" i="2"/>
  <c r="AD215" i="2"/>
  <c r="AD213" i="2"/>
  <c r="AD212" i="2"/>
  <c r="AD209" i="2"/>
  <c r="AD208" i="2"/>
  <c r="AD204" i="2"/>
  <c r="AD203" i="2"/>
  <c r="AD202" i="2"/>
  <c r="AD201" i="2"/>
  <c r="AD198" i="2"/>
  <c r="AD197" i="2"/>
  <c r="AD196" i="2"/>
  <c r="AD195" i="2"/>
  <c r="AD193" i="2"/>
  <c r="AD191" i="2"/>
  <c r="AD184" i="2"/>
  <c r="AD183" i="2"/>
  <c r="AD182" i="2"/>
  <c r="AD181" i="2"/>
  <c r="AD180" i="2"/>
  <c r="AD176" i="2"/>
  <c r="AD172" i="2"/>
  <c r="AD171" i="2"/>
  <c r="AD170" i="2"/>
  <c r="AD169" i="2"/>
  <c r="AD168" i="2"/>
  <c r="AD163" i="2"/>
  <c r="AD162" i="2"/>
  <c r="AD161" i="2"/>
  <c r="AD160" i="2"/>
  <c r="AD158" i="2"/>
  <c r="AD157" i="2"/>
  <c r="AD156" i="2"/>
  <c r="AD155" i="2"/>
  <c r="AD150" i="2"/>
  <c r="AD149" i="2"/>
  <c r="AD143" i="2"/>
  <c r="AD142" i="2"/>
  <c r="AD141" i="2"/>
  <c r="AD140" i="2"/>
  <c r="AD139" i="2"/>
  <c r="AD138" i="2"/>
  <c r="AD137" i="2"/>
  <c r="AD136" i="2"/>
  <c r="AD135" i="2"/>
  <c r="AD134" i="2"/>
  <c r="AD133" i="2"/>
  <c r="AD132" i="2"/>
  <c r="AD131" i="2"/>
  <c r="AD130" i="2"/>
  <c r="AD129" i="2"/>
  <c r="AD128" i="2"/>
  <c r="AD127" i="2"/>
  <c r="AD126" i="2"/>
  <c r="AD123" i="2"/>
  <c r="AD122" i="2"/>
  <c r="AD121" i="2"/>
  <c r="AD120" i="2"/>
  <c r="AD119" i="2"/>
  <c r="AD118" i="2"/>
  <c r="AD117" i="2"/>
  <c r="AD116" i="2"/>
  <c r="AD115" i="2"/>
  <c r="AD114" i="2"/>
  <c r="AD113" i="2"/>
  <c r="AD112" i="2"/>
  <c r="AD111" i="2"/>
  <c r="AD110" i="2"/>
  <c r="AD109" i="2"/>
  <c r="AD108" i="2"/>
  <c r="AD107" i="2"/>
  <c r="AD106" i="2"/>
  <c r="AD105" i="2"/>
  <c r="AD104" i="2"/>
  <c r="AD103" i="2"/>
  <c r="AD102" i="2"/>
  <c r="AD101" i="2"/>
  <c r="AD100" i="2"/>
  <c r="AD97" i="2"/>
  <c r="AD96" i="2"/>
  <c r="AD91" i="2"/>
  <c r="AD89" i="2"/>
  <c r="AD80" i="2"/>
  <c r="AD78" i="2"/>
  <c r="AD73" i="2"/>
  <c r="AD72" i="2"/>
  <c r="AD68" i="2"/>
  <c r="AD67" i="2"/>
  <c r="AD63" i="2"/>
  <c r="AD62" i="2"/>
  <c r="AD60" i="2"/>
  <c r="AD59" i="2"/>
  <c r="AD57" i="2"/>
  <c r="AD56" i="2"/>
  <c r="AD55" i="2"/>
  <c r="AD54" i="2"/>
  <c r="AD46" i="2"/>
  <c r="AD45" i="2"/>
  <c r="AD42" i="2"/>
  <c r="AD41" i="2"/>
  <c r="AD40" i="2"/>
  <c r="AD39" i="2"/>
  <c r="AD34" i="2"/>
  <c r="AD33" i="2"/>
  <c r="AD25" i="2"/>
  <c r="AD24" i="2"/>
  <c r="AD23" i="2"/>
  <c r="AD22" i="2"/>
  <c r="AD21" i="2"/>
  <c r="T158" i="3"/>
  <c r="U158" i="3"/>
  <c r="S158" i="3"/>
  <c r="R8" i="3"/>
  <c r="R7" i="3"/>
  <c r="R16" i="3"/>
  <c r="R15" i="3"/>
  <c r="R14" i="3"/>
  <c r="S26" i="3"/>
  <c r="T26" i="3" s="1"/>
  <c r="T36" i="3" s="1"/>
  <c r="R35" i="3"/>
  <c r="T185" i="3"/>
  <c r="U185" i="3"/>
  <c r="V185" i="3"/>
  <c r="W185" i="3"/>
  <c r="X185" i="3"/>
  <c r="S172" i="3"/>
  <c r="N173" i="3"/>
  <c r="O173" i="3"/>
  <c r="P173" i="3"/>
  <c r="Q173" i="3"/>
  <c r="R173" i="3"/>
  <c r="T145" i="3"/>
  <c r="U145" i="3" s="1"/>
  <c r="S145" i="3"/>
  <c r="R136" i="3"/>
  <c r="Q139" i="3"/>
  <c r="R139" i="3"/>
  <c r="T129" i="3"/>
  <c r="U129" i="3"/>
  <c r="V129" i="3"/>
  <c r="S129" i="3"/>
  <c r="L133" i="3"/>
  <c r="M133" i="3"/>
  <c r="R76" i="3"/>
  <c r="Q76" i="3"/>
  <c r="O76" i="3"/>
  <c r="P76" i="3"/>
  <c r="R75" i="3"/>
  <c r="R56" i="3"/>
  <c r="R29" i="3"/>
  <c r="R28" i="3" s="1"/>
  <c r="R9" i="3" l="1"/>
  <c r="R201" i="3" l="1"/>
  <c r="R200" i="3"/>
  <c r="R198" i="3"/>
  <c r="BO198" i="3" s="1"/>
  <c r="R192" i="3"/>
  <c r="R205" i="3" s="1"/>
  <c r="R186" i="3"/>
  <c r="R187" i="3" s="1"/>
  <c r="BO187" i="3" s="1"/>
  <c r="R185" i="3"/>
  <c r="BO185" i="3" s="1"/>
  <c r="R178" i="3"/>
  <c r="BO178" i="3" s="1"/>
  <c r="R171" i="3"/>
  <c r="BO171" i="3" s="1"/>
  <c r="R169" i="3"/>
  <c r="R162" i="3"/>
  <c r="BO162" i="3" s="1"/>
  <c r="R157" i="3"/>
  <c r="R155" i="3"/>
  <c r="R153" i="3"/>
  <c r="R160" i="3" s="1"/>
  <c r="R152" i="3"/>
  <c r="BO152" i="3" s="1"/>
  <c r="R146" i="3"/>
  <c r="R145" i="3"/>
  <c r="R144" i="3"/>
  <c r="R143" i="3"/>
  <c r="BO143" i="3" s="1"/>
  <c r="R140" i="3"/>
  <c r="BO140" i="3" s="1"/>
  <c r="R130" i="3"/>
  <c r="BO130" i="3" s="1"/>
  <c r="R84" i="3"/>
  <c r="BO84" i="3" s="1"/>
  <c r="R81" i="3"/>
  <c r="BO81" i="3" s="1"/>
  <c r="R71" i="3"/>
  <c r="R58" i="3"/>
  <c r="R61" i="3" s="1"/>
  <c r="BO61" i="3" s="1"/>
  <c r="R57" i="3"/>
  <c r="R52" i="3"/>
  <c r="BO52" i="3" s="1"/>
  <c r="R49" i="3"/>
  <c r="BO49" i="3" s="1"/>
  <c r="R45" i="3"/>
  <c r="BO45" i="3" s="1"/>
  <c r="R44" i="3"/>
  <c r="BO44" i="3" s="1"/>
  <c r="R43" i="3"/>
  <c r="R39" i="3"/>
  <c r="R36" i="3"/>
  <c r="R34" i="3"/>
  <c r="BO34" i="3" s="1"/>
  <c r="R33" i="3"/>
  <c r="R30" i="3"/>
  <c r="BO30" i="3" s="1"/>
  <c r="R37" i="3"/>
  <c r="BO37" i="3" s="1"/>
  <c r="R19" i="3"/>
  <c r="R18" i="3"/>
  <c r="BO18" i="3" s="1"/>
  <c r="R11" i="3"/>
  <c r="BO11" i="3" s="1"/>
  <c r="BQ195" i="3"/>
  <c r="BQ194" i="3"/>
  <c r="BQ193" i="3"/>
  <c r="BQ191" i="3"/>
  <c r="BQ190" i="3"/>
  <c r="BQ189" i="3"/>
  <c r="BQ188" i="3"/>
  <c r="BQ185" i="3"/>
  <c r="BQ181" i="3"/>
  <c r="BQ180" i="3"/>
  <c r="BQ179" i="3"/>
  <c r="BQ178" i="3"/>
  <c r="BQ177" i="3"/>
  <c r="BQ176" i="3"/>
  <c r="BQ175" i="3"/>
  <c r="BQ174" i="3"/>
  <c r="BQ173" i="3"/>
  <c r="BQ171" i="3"/>
  <c r="BQ170" i="3"/>
  <c r="BQ169" i="3"/>
  <c r="BQ167" i="3"/>
  <c r="BQ166" i="3"/>
  <c r="BQ165" i="3"/>
  <c r="BQ164" i="3"/>
  <c r="BQ163" i="3"/>
  <c r="BQ161" i="3"/>
  <c r="BQ159" i="3"/>
  <c r="BQ158" i="3"/>
  <c r="BQ156" i="3"/>
  <c r="BQ152" i="3"/>
  <c r="BQ150" i="3"/>
  <c r="BQ149" i="3"/>
  <c r="BQ147" i="3"/>
  <c r="BQ145" i="3"/>
  <c r="BQ144" i="3"/>
  <c r="BQ142" i="3"/>
  <c r="BQ141" i="3"/>
  <c r="BQ140" i="3"/>
  <c r="BQ137" i="3"/>
  <c r="BQ135" i="3"/>
  <c r="BQ134" i="3"/>
  <c r="BQ133" i="3"/>
  <c r="BQ132" i="3"/>
  <c r="BQ131" i="3"/>
  <c r="BQ129" i="3"/>
  <c r="BQ128" i="3"/>
  <c r="BQ127" i="3"/>
  <c r="BQ126" i="3"/>
  <c r="BQ125" i="3"/>
  <c r="BQ124" i="3"/>
  <c r="BQ123" i="3"/>
  <c r="BQ122" i="3"/>
  <c r="BQ121" i="3"/>
  <c r="BQ120" i="3"/>
  <c r="BQ119" i="3"/>
  <c r="BQ118" i="3"/>
  <c r="BQ117" i="3"/>
  <c r="BQ116" i="3"/>
  <c r="BQ115" i="3"/>
  <c r="BQ114" i="3"/>
  <c r="BQ113" i="3"/>
  <c r="BQ112" i="3"/>
  <c r="BQ111" i="3"/>
  <c r="BQ110" i="3"/>
  <c r="BQ109" i="3"/>
  <c r="BQ108" i="3"/>
  <c r="BQ107" i="3"/>
  <c r="BQ106" i="3"/>
  <c r="BQ105" i="3"/>
  <c r="BQ104" i="3"/>
  <c r="BQ103" i="3"/>
  <c r="BQ102" i="3"/>
  <c r="BQ101" i="3"/>
  <c r="BQ100" i="3"/>
  <c r="BQ99" i="3"/>
  <c r="BQ98" i="3"/>
  <c r="BQ97" i="3"/>
  <c r="BQ96" i="3"/>
  <c r="BQ95" i="3"/>
  <c r="BQ94" i="3"/>
  <c r="BQ93" i="3"/>
  <c r="BQ92" i="3"/>
  <c r="BQ91" i="3"/>
  <c r="BQ90" i="3"/>
  <c r="BQ89" i="3"/>
  <c r="BQ88" i="3"/>
  <c r="BQ87" i="3"/>
  <c r="BQ86" i="3"/>
  <c r="BQ85" i="3"/>
  <c r="BQ80" i="3"/>
  <c r="BQ78" i="3"/>
  <c r="BQ77" i="3"/>
  <c r="BQ75" i="3"/>
  <c r="BQ74" i="3"/>
  <c r="BQ73" i="3"/>
  <c r="BQ72" i="3"/>
  <c r="BQ69" i="3"/>
  <c r="BQ68" i="3"/>
  <c r="BQ67" i="3"/>
  <c r="BQ66" i="3"/>
  <c r="BQ65" i="3"/>
  <c r="BQ63" i="3"/>
  <c r="BQ62" i="3"/>
  <c r="BQ60" i="3"/>
  <c r="BQ59" i="3"/>
  <c r="BQ54" i="3"/>
  <c r="BQ53" i="3"/>
  <c r="BQ51" i="3"/>
  <c r="BQ50" i="3"/>
  <c r="BQ49" i="3"/>
  <c r="BQ47" i="3"/>
  <c r="BQ46" i="3"/>
  <c r="BQ41" i="3"/>
  <c r="BQ40" i="3"/>
  <c r="BQ38" i="3"/>
  <c r="BQ36" i="3"/>
  <c r="BQ35" i="3"/>
  <c r="BQ33" i="3"/>
  <c r="BQ32" i="3"/>
  <c r="BQ31" i="3"/>
  <c r="BQ26" i="3"/>
  <c r="BQ23" i="3"/>
  <c r="BQ22" i="3"/>
  <c r="BQ21" i="3"/>
  <c r="BQ20" i="3"/>
  <c r="BQ16" i="3"/>
  <c r="BQ13" i="3"/>
  <c r="BQ12" i="3"/>
  <c r="BQ9" i="3"/>
  <c r="BO201" i="3"/>
  <c r="BO200" i="3"/>
  <c r="BO197" i="3"/>
  <c r="BO195" i="3"/>
  <c r="BO194" i="3"/>
  <c r="BO191" i="3"/>
  <c r="BO190" i="3"/>
  <c r="BO189" i="3"/>
  <c r="BO188" i="3"/>
  <c r="BO184" i="3"/>
  <c r="BO183" i="3"/>
  <c r="BO182" i="3"/>
  <c r="BO181" i="3"/>
  <c r="BO180" i="3"/>
  <c r="BO179" i="3"/>
  <c r="BO177" i="3"/>
  <c r="BO176" i="3"/>
  <c r="BO175" i="3"/>
  <c r="BO174" i="3"/>
  <c r="BO173" i="3"/>
  <c r="BO172" i="3"/>
  <c r="BO170" i="3"/>
  <c r="BO169" i="3"/>
  <c r="BO168" i="3"/>
  <c r="BO167" i="3"/>
  <c r="BO166" i="3"/>
  <c r="BO165" i="3"/>
  <c r="BO164" i="3"/>
  <c r="BO163" i="3"/>
  <c r="BO161" i="3"/>
  <c r="BO160" i="3"/>
  <c r="BO159" i="3"/>
  <c r="BO157" i="3"/>
  <c r="BO156" i="3"/>
  <c r="BO155" i="3"/>
  <c r="BO154" i="3"/>
  <c r="BO150" i="3"/>
  <c r="BO149" i="3"/>
  <c r="BO148" i="3"/>
  <c r="BO147" i="3"/>
  <c r="BO146" i="3"/>
  <c r="BO145" i="3"/>
  <c r="BO144" i="3"/>
  <c r="BO142" i="3"/>
  <c r="BO141" i="3"/>
  <c r="BO139" i="3"/>
  <c r="BO138" i="3"/>
  <c r="BO137" i="3"/>
  <c r="BO136" i="3"/>
  <c r="BO135" i="3"/>
  <c r="BO134" i="3"/>
  <c r="BO133" i="3"/>
  <c r="BO132" i="3"/>
  <c r="BO131" i="3"/>
  <c r="BO129" i="3"/>
  <c r="BO128" i="3"/>
  <c r="BO127" i="3"/>
  <c r="BO126" i="3"/>
  <c r="BO125" i="3"/>
  <c r="BO124" i="3"/>
  <c r="BO123" i="3"/>
  <c r="BO122" i="3"/>
  <c r="BO121" i="3"/>
  <c r="BO120" i="3"/>
  <c r="BO119" i="3"/>
  <c r="BO118" i="3"/>
  <c r="BO117" i="3"/>
  <c r="BO116" i="3"/>
  <c r="BO115" i="3"/>
  <c r="BO114" i="3"/>
  <c r="BO113" i="3"/>
  <c r="BO112" i="3"/>
  <c r="BO111" i="3"/>
  <c r="BO110" i="3"/>
  <c r="BO109" i="3"/>
  <c r="BO108" i="3"/>
  <c r="BO107" i="3"/>
  <c r="BO106" i="3"/>
  <c r="BO105" i="3"/>
  <c r="BO104" i="3"/>
  <c r="BO103" i="3"/>
  <c r="BO102" i="3"/>
  <c r="BO101" i="3"/>
  <c r="BO100" i="3"/>
  <c r="BO99" i="3"/>
  <c r="BO98" i="3"/>
  <c r="BO97" i="3"/>
  <c r="BO96" i="3"/>
  <c r="BO95" i="3"/>
  <c r="BO94" i="3"/>
  <c r="BO93" i="3"/>
  <c r="BO92" i="3"/>
  <c r="BO91" i="3"/>
  <c r="BO90" i="3"/>
  <c r="BO89" i="3"/>
  <c r="BO88" i="3"/>
  <c r="BO87" i="3"/>
  <c r="BO86" i="3"/>
  <c r="BO85" i="3"/>
  <c r="BO83" i="3"/>
  <c r="BO82" i="3"/>
  <c r="BO80" i="3"/>
  <c r="BO79" i="3"/>
  <c r="BO78" i="3"/>
  <c r="BO76" i="3"/>
  <c r="BO75" i="3"/>
  <c r="BO74" i="3"/>
  <c r="BO73" i="3"/>
  <c r="BO72" i="3"/>
  <c r="BO71" i="3"/>
  <c r="BO69" i="3"/>
  <c r="BO68" i="3"/>
  <c r="BO67" i="3"/>
  <c r="BO66" i="3"/>
  <c r="BO65" i="3"/>
  <c r="BO64" i="3"/>
  <c r="BO63" i="3"/>
  <c r="BO62" i="3"/>
  <c r="BO60" i="3"/>
  <c r="BO59" i="3"/>
  <c r="BO58" i="3"/>
  <c r="BO57" i="3"/>
  <c r="BO56" i="3"/>
  <c r="BO55" i="3"/>
  <c r="BO53" i="3"/>
  <c r="BO51" i="3"/>
  <c r="BO50" i="3"/>
  <c r="BO48" i="3"/>
  <c r="BO47" i="3"/>
  <c r="BO46" i="3"/>
  <c r="BO43" i="3"/>
  <c r="BO42" i="3"/>
  <c r="BO41" i="3"/>
  <c r="BO40" i="3"/>
  <c r="BO39" i="3"/>
  <c r="BO38" i="3"/>
  <c r="BO36" i="3"/>
  <c r="BO35" i="3"/>
  <c r="BO33" i="3"/>
  <c r="BO32" i="3"/>
  <c r="BO31" i="3"/>
  <c r="BO29" i="3"/>
  <c r="BO28" i="3"/>
  <c r="BO27" i="3"/>
  <c r="BO26" i="3"/>
  <c r="BO25" i="3"/>
  <c r="BO24" i="3"/>
  <c r="BO23" i="3"/>
  <c r="BO22" i="3"/>
  <c r="BO21" i="3"/>
  <c r="BO20" i="3"/>
  <c r="BO19" i="3"/>
  <c r="BO17" i="3"/>
  <c r="BO16" i="3"/>
  <c r="BO15" i="3"/>
  <c r="BO14" i="3"/>
  <c r="BO13" i="3"/>
  <c r="BO12" i="3"/>
  <c r="BO10" i="3"/>
  <c r="BO9" i="3"/>
  <c r="BO8" i="3"/>
  <c r="BO7" i="3"/>
  <c r="R56" i="2"/>
  <c r="R23" i="2"/>
  <c r="C27" i="1"/>
  <c r="D27" i="1"/>
  <c r="D34" i="1"/>
  <c r="C34" i="1"/>
  <c r="C29" i="1"/>
  <c r="C23" i="1" s="1"/>
  <c r="J34" i="1"/>
  <c r="J29" i="1"/>
  <c r="J24" i="1"/>
  <c r="Q29" i="1"/>
  <c r="Q24" i="1"/>
  <c r="T209" i="2"/>
  <c r="U209" i="2"/>
  <c r="V209" i="2" s="1"/>
  <c r="W209" i="2" s="1"/>
  <c r="X209" i="2" s="1"/>
  <c r="Y209" i="2" s="1"/>
  <c r="Z209" i="2" s="1"/>
  <c r="S209" i="2"/>
  <c r="Z100" i="2"/>
  <c r="K7" i="1"/>
  <c r="R246" i="2" s="1"/>
  <c r="K10" i="1"/>
  <c r="Q246" i="2"/>
  <c r="AF246" i="2" s="1"/>
  <c r="P246" i="2"/>
  <c r="AD246" i="2" s="1"/>
  <c r="L218" i="2"/>
  <c r="M218" i="2"/>
  <c r="N218" i="2"/>
  <c r="O218" i="2"/>
  <c r="L215" i="2"/>
  <c r="M215" i="2"/>
  <c r="N215" i="2"/>
  <c r="O215" i="2"/>
  <c r="L204" i="2"/>
  <c r="M204" i="2"/>
  <c r="N204" i="2"/>
  <c r="O204" i="2"/>
  <c r="L207" i="2"/>
  <c r="M207" i="2"/>
  <c r="N207" i="2"/>
  <c r="L206" i="2"/>
  <c r="M206" i="2"/>
  <c r="N206" i="2"/>
  <c r="L189" i="2"/>
  <c r="M189" i="2"/>
  <c r="N189" i="2"/>
  <c r="L190" i="2"/>
  <c r="M190" i="2"/>
  <c r="N190" i="2"/>
  <c r="Q195" i="2"/>
  <c r="R195" i="2"/>
  <c r="Q196" i="2"/>
  <c r="R196" i="2"/>
  <c r="S196" i="2" s="1"/>
  <c r="P196" i="2"/>
  <c r="P195" i="2"/>
  <c r="L193" i="2"/>
  <c r="M193" i="2"/>
  <c r="N193" i="2"/>
  <c r="O193" i="2"/>
  <c r="L186" i="2"/>
  <c r="M186" i="2"/>
  <c r="N186" i="2"/>
  <c r="O186" i="2"/>
  <c r="L185" i="2"/>
  <c r="M185" i="2"/>
  <c r="N185" i="2"/>
  <c r="Q176" i="2"/>
  <c r="R176" i="2"/>
  <c r="S176" i="2" s="1"/>
  <c r="T176" i="2" s="1"/>
  <c r="U176" i="2" s="1"/>
  <c r="V176" i="2" s="1"/>
  <c r="W176" i="2" s="1"/>
  <c r="X176" i="2" s="1"/>
  <c r="Y176" i="2" s="1"/>
  <c r="Z176" i="2" s="1"/>
  <c r="P176" i="2"/>
  <c r="Q163" i="2"/>
  <c r="R163" i="2" s="1"/>
  <c r="P163" i="2"/>
  <c r="Q160" i="2"/>
  <c r="R160" i="2"/>
  <c r="S160" i="2" s="1"/>
  <c r="T160" i="2" s="1"/>
  <c r="U160" i="2" s="1"/>
  <c r="V160" i="2" s="1"/>
  <c r="W160" i="2" s="1"/>
  <c r="X160" i="2" s="1"/>
  <c r="Y160" i="2" s="1"/>
  <c r="Z160" i="2" s="1"/>
  <c r="Q161" i="2"/>
  <c r="R161" i="2" s="1"/>
  <c r="S161" i="2" s="1"/>
  <c r="T161" i="2" s="1"/>
  <c r="U161" i="2" s="1"/>
  <c r="V161" i="2" s="1"/>
  <c r="W161" i="2" s="1"/>
  <c r="X161" i="2" s="1"/>
  <c r="Y161" i="2" s="1"/>
  <c r="Z161" i="2" s="1"/>
  <c r="P161" i="2"/>
  <c r="P162" i="2"/>
  <c r="Q162" i="2" s="1"/>
  <c r="R162" i="2" s="1"/>
  <c r="S162" i="2" s="1"/>
  <c r="T162" i="2" s="1"/>
  <c r="U162" i="2" s="1"/>
  <c r="V162" i="2" s="1"/>
  <c r="W162" i="2" s="1"/>
  <c r="X162" i="2" s="1"/>
  <c r="Y162" i="2" s="1"/>
  <c r="Z162" i="2" s="1"/>
  <c r="P160" i="2"/>
  <c r="Q149" i="2"/>
  <c r="R149" i="2"/>
  <c r="S149" i="2" s="1"/>
  <c r="T149" i="2" s="1"/>
  <c r="U149" i="2" s="1"/>
  <c r="V149" i="2" s="1"/>
  <c r="W149" i="2" s="1"/>
  <c r="X149" i="2" s="1"/>
  <c r="Y149" i="2" s="1"/>
  <c r="Z149" i="2" s="1"/>
  <c r="Q150" i="2"/>
  <c r="R150" i="2"/>
  <c r="S150" i="2" s="1"/>
  <c r="T150" i="2" s="1"/>
  <c r="U150" i="2" s="1"/>
  <c r="V150" i="2" s="1"/>
  <c r="W150" i="2" s="1"/>
  <c r="X150" i="2" s="1"/>
  <c r="Y150" i="2" s="1"/>
  <c r="Z150" i="2" s="1"/>
  <c r="P150" i="2"/>
  <c r="P149" i="2"/>
  <c r="M178" i="2"/>
  <c r="N178" i="2"/>
  <c r="M177" i="2"/>
  <c r="N177" i="2"/>
  <c r="O177" i="2"/>
  <c r="M166" i="2"/>
  <c r="N166" i="2"/>
  <c r="O166" i="2"/>
  <c r="O66" i="2" s="1"/>
  <c r="M165" i="2"/>
  <c r="N165" i="2"/>
  <c r="M162" i="2"/>
  <c r="N162" i="2"/>
  <c r="O162" i="2"/>
  <c r="M154" i="2"/>
  <c r="N154" i="2"/>
  <c r="O154" i="2"/>
  <c r="M153" i="2"/>
  <c r="N153" i="2"/>
  <c r="M152" i="2"/>
  <c r="N152" i="2"/>
  <c r="M150" i="2"/>
  <c r="N150" i="2"/>
  <c r="O150" i="2"/>
  <c r="M130" i="2"/>
  <c r="N130" i="2"/>
  <c r="O130" i="2"/>
  <c r="Q130" i="2"/>
  <c r="R130" i="2"/>
  <c r="S130" i="2"/>
  <c r="T130" i="2"/>
  <c r="U130" i="2"/>
  <c r="V130" i="2"/>
  <c r="W130" i="2"/>
  <c r="X130" i="2"/>
  <c r="Y130" i="2"/>
  <c r="Z130" i="2"/>
  <c r="P130" i="2"/>
  <c r="M128" i="2"/>
  <c r="N128" i="2"/>
  <c r="O128" i="2"/>
  <c r="Q128" i="2"/>
  <c r="R128" i="2"/>
  <c r="S128" i="2"/>
  <c r="T128" i="2"/>
  <c r="U128" i="2"/>
  <c r="V128" i="2"/>
  <c r="W128" i="2"/>
  <c r="X128" i="2"/>
  <c r="Y128" i="2"/>
  <c r="Z128" i="2"/>
  <c r="P128" i="2"/>
  <c r="M125" i="2"/>
  <c r="N125" i="2"/>
  <c r="O125" i="2"/>
  <c r="M124" i="2"/>
  <c r="N124" i="2"/>
  <c r="M123" i="2"/>
  <c r="N123" i="2"/>
  <c r="O123" i="2"/>
  <c r="Q123" i="2"/>
  <c r="R123" i="2"/>
  <c r="S123" i="2"/>
  <c r="T123" i="2"/>
  <c r="U123" i="2"/>
  <c r="V123" i="2"/>
  <c r="W123" i="2"/>
  <c r="X123" i="2"/>
  <c r="Y123" i="2"/>
  <c r="Z123" i="2"/>
  <c r="P123" i="2"/>
  <c r="Q121" i="2"/>
  <c r="R121" i="2"/>
  <c r="S121" i="2"/>
  <c r="T121" i="2"/>
  <c r="U121" i="2"/>
  <c r="V121" i="2"/>
  <c r="W121" i="2"/>
  <c r="X121" i="2"/>
  <c r="Y121" i="2"/>
  <c r="Z121" i="2"/>
  <c r="O121" i="2"/>
  <c r="P121" i="2"/>
  <c r="M119" i="2"/>
  <c r="N119" i="2"/>
  <c r="O119" i="2"/>
  <c r="Q119" i="2"/>
  <c r="R119" i="2"/>
  <c r="S119" i="2"/>
  <c r="T119" i="2"/>
  <c r="U119" i="2"/>
  <c r="V119" i="2"/>
  <c r="W119" i="2"/>
  <c r="X119" i="2"/>
  <c r="Y119" i="2"/>
  <c r="Z119" i="2"/>
  <c r="P119" i="2"/>
  <c r="Q115" i="2"/>
  <c r="R115" i="2"/>
  <c r="S115" i="2"/>
  <c r="T115" i="2"/>
  <c r="U115" i="2"/>
  <c r="V115" i="2"/>
  <c r="W115" i="2"/>
  <c r="X115" i="2"/>
  <c r="Y115" i="2"/>
  <c r="Z115" i="2"/>
  <c r="P115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M112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M110" i="2"/>
  <c r="Q107" i="2"/>
  <c r="R107" i="2"/>
  <c r="S107" i="2" s="1"/>
  <c r="T107" i="2" s="1"/>
  <c r="U107" i="2" s="1"/>
  <c r="V107" i="2" s="1"/>
  <c r="W107" i="2" s="1"/>
  <c r="X107" i="2" s="1"/>
  <c r="Y107" i="2" s="1"/>
  <c r="Z107" i="2" s="1"/>
  <c r="P107" i="2"/>
  <c r="O85" i="2"/>
  <c r="L94" i="2"/>
  <c r="M94" i="2"/>
  <c r="M179" i="2" s="1"/>
  <c r="N94" i="2"/>
  <c r="N179" i="2" s="1"/>
  <c r="O94" i="2"/>
  <c r="P94" i="2" s="1"/>
  <c r="L92" i="2"/>
  <c r="M92" i="2"/>
  <c r="N92" i="2"/>
  <c r="P74" i="2"/>
  <c r="AD74" i="2" s="1"/>
  <c r="Q74" i="2"/>
  <c r="AF74" i="2" s="1"/>
  <c r="R74" i="2"/>
  <c r="S74" i="2"/>
  <c r="T74" i="2"/>
  <c r="U74" i="2"/>
  <c r="V74" i="2"/>
  <c r="W74" i="2"/>
  <c r="X74" i="2"/>
  <c r="Y74" i="2"/>
  <c r="Z74" i="2"/>
  <c r="P75" i="2"/>
  <c r="AD75" i="2" s="1"/>
  <c r="Q75" i="2"/>
  <c r="AF75" i="2" s="1"/>
  <c r="R75" i="2"/>
  <c r="S75" i="2"/>
  <c r="T75" i="2"/>
  <c r="U75" i="2"/>
  <c r="V75" i="2"/>
  <c r="W75" i="2"/>
  <c r="X75" i="2"/>
  <c r="Y75" i="2"/>
  <c r="Z75" i="2"/>
  <c r="P69" i="2"/>
  <c r="AD69" i="2" s="1"/>
  <c r="Q69" i="2"/>
  <c r="AF69" i="2" s="1"/>
  <c r="R69" i="2"/>
  <c r="S69" i="2"/>
  <c r="T69" i="2"/>
  <c r="U69" i="2"/>
  <c r="V69" i="2"/>
  <c r="W69" i="2"/>
  <c r="X69" i="2"/>
  <c r="Y69" i="2"/>
  <c r="Z69" i="2"/>
  <c r="O65" i="2"/>
  <c r="N58" i="2"/>
  <c r="Q48" i="2"/>
  <c r="AF48" i="2" s="1"/>
  <c r="R48" i="2"/>
  <c r="S48" i="2"/>
  <c r="T48" i="2"/>
  <c r="U48" i="2"/>
  <c r="V48" i="2"/>
  <c r="W48" i="2"/>
  <c r="X48" i="2"/>
  <c r="Y48" i="2"/>
  <c r="Z48" i="2"/>
  <c r="Q49" i="2"/>
  <c r="AF49" i="2" s="1"/>
  <c r="R49" i="2"/>
  <c r="S49" i="2"/>
  <c r="T49" i="2"/>
  <c r="U49" i="2"/>
  <c r="V49" i="2"/>
  <c r="W49" i="2"/>
  <c r="X49" i="2"/>
  <c r="Y49" i="2"/>
  <c r="Z49" i="2"/>
  <c r="P48" i="2"/>
  <c r="AD48" i="2" s="1"/>
  <c r="N26" i="2"/>
  <c r="N27" i="2"/>
  <c r="N28" i="2"/>
  <c r="N29" i="2"/>
  <c r="N30" i="2"/>
  <c r="N31" i="2"/>
  <c r="N32" i="2" s="1"/>
  <c r="F32" i="2"/>
  <c r="G32" i="2"/>
  <c r="H32" i="2"/>
  <c r="I32" i="2"/>
  <c r="J32" i="2"/>
  <c r="K32" i="2"/>
  <c r="L32" i="2"/>
  <c r="M32" i="2"/>
  <c r="O19" i="2"/>
  <c r="O20" i="2" s="1"/>
  <c r="Z18" i="2"/>
  <c r="Y18" i="2"/>
  <c r="X18" i="2"/>
  <c r="W18" i="2"/>
  <c r="V18" i="2"/>
  <c r="U18" i="2"/>
  <c r="T18" i="2"/>
  <c r="S18" i="2"/>
  <c r="R18" i="2"/>
  <c r="Q18" i="2"/>
  <c r="AF18" i="2" s="1"/>
  <c r="P18" i="2"/>
  <c r="AD18" i="2" s="1"/>
  <c r="O18" i="2"/>
  <c r="O17" i="2"/>
  <c r="P125" i="2" s="1"/>
  <c r="AD125" i="2" s="1"/>
  <c r="O16" i="2"/>
  <c r="P9" i="2"/>
  <c r="AD9" i="2" s="1"/>
  <c r="O84" i="2"/>
  <c r="O83" i="2"/>
  <c r="O82" i="2"/>
  <c r="O81" i="2"/>
  <c r="O79" i="2"/>
  <c r="K24" i="1" s="1"/>
  <c r="O76" i="2"/>
  <c r="O190" i="2" s="1"/>
  <c r="O75" i="2"/>
  <c r="O74" i="2"/>
  <c r="O71" i="2"/>
  <c r="O70" i="2"/>
  <c r="O69" i="2"/>
  <c r="O64" i="2"/>
  <c r="O189" i="2" s="1"/>
  <c r="O50" i="2"/>
  <c r="O49" i="2"/>
  <c r="O48" i="2"/>
  <c r="O47" i="2"/>
  <c r="O43" i="2"/>
  <c r="O35" i="2"/>
  <c r="O185" i="2" s="1"/>
  <c r="O31" i="2"/>
  <c r="O30" i="2"/>
  <c r="O29" i="2"/>
  <c r="O28" i="2"/>
  <c r="O27" i="2"/>
  <c r="O26" i="2"/>
  <c r="O10" i="2"/>
  <c r="O165" i="2" s="1"/>
  <c r="P165" i="2" s="1"/>
  <c r="O9" i="2"/>
  <c r="O8" i="2"/>
  <c r="O7" i="2"/>
  <c r="S83" i="3"/>
  <c r="BQ83" i="3" s="1"/>
  <c r="T64" i="3"/>
  <c r="AD94" i="2" l="1"/>
  <c r="Q94" i="2"/>
  <c r="O179" i="2"/>
  <c r="Y246" i="2"/>
  <c r="T246" i="2"/>
  <c r="Q165" i="2"/>
  <c r="AD165" i="2"/>
  <c r="BO192" i="3"/>
  <c r="BO186" i="3"/>
  <c r="BO153" i="3"/>
  <c r="R54" i="3"/>
  <c r="BO54" i="3" s="1"/>
  <c r="O32" i="2"/>
  <c r="O53" i="2"/>
  <c r="O58" i="2" s="1"/>
  <c r="R77" i="3"/>
  <c r="BO77" i="3" s="1"/>
  <c r="R70" i="3"/>
  <c r="BO70" i="3" s="1"/>
  <c r="R151" i="3"/>
  <c r="R193" i="3"/>
  <c r="BO193" i="3" s="1"/>
  <c r="R196" i="3"/>
  <c r="BO196" i="3" s="1"/>
  <c r="R199" i="3"/>
  <c r="BO199" i="3" s="1"/>
  <c r="BQ64" i="3"/>
  <c r="U64" i="3"/>
  <c r="V64" i="3" s="1"/>
  <c r="P83" i="2"/>
  <c r="AD83" i="2" s="1"/>
  <c r="O44" i="2"/>
  <c r="P64" i="2"/>
  <c r="T83" i="3"/>
  <c r="Q34" i="1"/>
  <c r="O77" i="2"/>
  <c r="O153" i="2"/>
  <c r="P153" i="2" s="1"/>
  <c r="R24" i="1"/>
  <c r="R34" i="1" s="1"/>
  <c r="K29" i="1"/>
  <c r="R29" i="1"/>
  <c r="O206" i="2"/>
  <c r="P206" i="2" s="1"/>
  <c r="O11" i="2"/>
  <c r="O36" i="2"/>
  <c r="O178" i="2"/>
  <c r="K34" i="1"/>
  <c r="O37" i="2"/>
  <c r="O92" i="2"/>
  <c r="O38" i="2"/>
  <c r="O124" i="2"/>
  <c r="O207" i="2"/>
  <c r="P207" i="2" s="1"/>
  <c r="AD207" i="2" s="1"/>
  <c r="O51" i="2"/>
  <c r="O152" i="2"/>
  <c r="P152" i="2" s="1"/>
  <c r="O52" i="2"/>
  <c r="X246" i="2"/>
  <c r="W246" i="2"/>
  <c r="V246" i="2"/>
  <c r="U246" i="2"/>
  <c r="S246" i="2"/>
  <c r="Z246" i="2"/>
  <c r="T196" i="2"/>
  <c r="S195" i="2"/>
  <c r="N188" i="2"/>
  <c r="L188" i="2"/>
  <c r="M188" i="2"/>
  <c r="O188" i="2"/>
  <c r="S163" i="2"/>
  <c r="AF94" i="2" l="1"/>
  <c r="R94" i="2"/>
  <c r="S94" i="2" s="1"/>
  <c r="T94" i="2" s="1"/>
  <c r="U94" i="2" s="1"/>
  <c r="V94" i="2" s="1"/>
  <c r="W94" i="2" s="1"/>
  <c r="X94" i="2" s="1"/>
  <c r="Y94" i="2" s="1"/>
  <c r="Z94" i="2" s="1"/>
  <c r="R165" i="2"/>
  <c r="S165" i="2" s="1"/>
  <c r="T165" i="2" s="1"/>
  <c r="U165" i="2" s="1"/>
  <c r="V165" i="2" s="1"/>
  <c r="W165" i="2" s="1"/>
  <c r="X165" i="2" s="1"/>
  <c r="Y165" i="2" s="1"/>
  <c r="Z165" i="2" s="1"/>
  <c r="AF165" i="2"/>
  <c r="Q153" i="2"/>
  <c r="AD153" i="2"/>
  <c r="P189" i="2"/>
  <c r="AD189" i="2" s="1"/>
  <c r="AD64" i="2"/>
  <c r="Q206" i="2"/>
  <c r="AD206" i="2"/>
  <c r="Q152" i="2"/>
  <c r="AD152" i="2"/>
  <c r="R158" i="3"/>
  <c r="BO158" i="3" s="1"/>
  <c r="BO151" i="3"/>
  <c r="P61" i="2"/>
  <c r="AD61" i="2" s="1"/>
  <c r="U83" i="3"/>
  <c r="V83" i="3" s="1"/>
  <c r="Q207" i="2"/>
  <c r="AF207" i="2" s="1"/>
  <c r="O93" i="2"/>
  <c r="D29" i="1"/>
  <c r="D23" i="1" s="1"/>
  <c r="U196" i="2"/>
  <c r="T195" i="2"/>
  <c r="N187" i="2"/>
  <c r="N194" i="2"/>
  <c r="M187" i="2"/>
  <c r="M194" i="2"/>
  <c r="L187" i="2"/>
  <c r="L194" i="2"/>
  <c r="O187" i="2"/>
  <c r="O194" i="2"/>
  <c r="T163" i="2"/>
  <c r="W64" i="3"/>
  <c r="Q64" i="2" s="1"/>
  <c r="AF64" i="2" s="1"/>
  <c r="R152" i="2" l="1"/>
  <c r="S152" i="2" s="1"/>
  <c r="T152" i="2" s="1"/>
  <c r="U152" i="2" s="1"/>
  <c r="V152" i="2" s="1"/>
  <c r="W152" i="2" s="1"/>
  <c r="X152" i="2" s="1"/>
  <c r="Y152" i="2" s="1"/>
  <c r="Z152" i="2" s="1"/>
  <c r="AF152" i="2"/>
  <c r="R206" i="2"/>
  <c r="S206" i="2" s="1"/>
  <c r="T206" i="2" s="1"/>
  <c r="U206" i="2" s="1"/>
  <c r="V206" i="2" s="1"/>
  <c r="AF206" i="2"/>
  <c r="R153" i="2"/>
  <c r="S153" i="2" s="1"/>
  <c r="T153" i="2" s="1"/>
  <c r="U153" i="2" s="1"/>
  <c r="V153" i="2" s="1"/>
  <c r="W153" i="2" s="1"/>
  <c r="X153" i="2" s="1"/>
  <c r="Y153" i="2" s="1"/>
  <c r="Z153" i="2" s="1"/>
  <c r="AF153" i="2"/>
  <c r="Q83" i="2"/>
  <c r="AF83" i="2" s="1"/>
  <c r="Q189" i="2"/>
  <c r="AF189" i="2" s="1"/>
  <c r="Q61" i="2"/>
  <c r="AF61" i="2" s="1"/>
  <c r="W83" i="3"/>
  <c r="X83" i="3" s="1"/>
  <c r="R207" i="2"/>
  <c r="V196" i="2"/>
  <c r="U195" i="2"/>
  <c r="U163" i="2"/>
  <c r="X64" i="3"/>
  <c r="Y83" i="3" l="1"/>
  <c r="Z83" i="3" s="1"/>
  <c r="S207" i="2"/>
  <c r="W206" i="2"/>
  <c r="W196" i="2"/>
  <c r="V195" i="2"/>
  <c r="V163" i="2"/>
  <c r="Y64" i="3"/>
  <c r="AA83" i="3" l="1"/>
  <c r="R83" i="2" s="1"/>
  <c r="AB83" i="3"/>
  <c r="AC83" i="3" s="1"/>
  <c r="T207" i="2"/>
  <c r="X206" i="2"/>
  <c r="X196" i="2"/>
  <c r="W195" i="2"/>
  <c r="W163" i="2"/>
  <c r="Z64" i="3"/>
  <c r="R64" i="2" l="1"/>
  <c r="U207" i="2"/>
  <c r="Y206" i="2"/>
  <c r="Y196" i="2"/>
  <c r="X195" i="2"/>
  <c r="X163" i="2"/>
  <c r="AD83" i="3"/>
  <c r="AE83" i="3" s="1"/>
  <c r="AA64" i="3"/>
  <c r="AB64" i="3" s="1"/>
  <c r="AF83" i="3" l="1"/>
  <c r="AG83" i="3" s="1"/>
  <c r="AH83" i="3" s="1"/>
  <c r="S83" i="2"/>
  <c r="R61" i="2"/>
  <c r="R189" i="2"/>
  <c r="AC64" i="3"/>
  <c r="AD64" i="3" s="1"/>
  <c r="AE64" i="3" s="1"/>
  <c r="AF64" i="3" s="1"/>
  <c r="S64" i="2"/>
  <c r="V207" i="2"/>
  <c r="Z206" i="2"/>
  <c r="Y195" i="2"/>
  <c r="Z196" i="2"/>
  <c r="Y163" i="2"/>
  <c r="T83" i="2" l="1"/>
  <c r="S189" i="2"/>
  <c r="S61" i="2"/>
  <c r="AG64" i="3"/>
  <c r="AH64" i="3" s="1"/>
  <c r="AI64" i="3" s="1"/>
  <c r="AJ64" i="3" s="1"/>
  <c r="T64" i="2"/>
  <c r="W207" i="2"/>
  <c r="Z195" i="2"/>
  <c r="Z163" i="2"/>
  <c r="AI83" i="3"/>
  <c r="AJ83" i="3"/>
  <c r="T61" i="2" l="1"/>
  <c r="T189" i="2"/>
  <c r="AK83" i="3"/>
  <c r="AK64" i="3"/>
  <c r="AL64" i="3" s="1"/>
  <c r="AM64" i="3" s="1"/>
  <c r="AN64" i="3" s="1"/>
  <c r="U64" i="2"/>
  <c r="X207" i="2"/>
  <c r="AL83" i="3"/>
  <c r="U189" i="2" l="1"/>
  <c r="U61" i="2"/>
  <c r="AO64" i="3"/>
  <c r="AP64" i="3" s="1"/>
  <c r="AQ64" i="3" s="1"/>
  <c r="AR64" i="3" s="1"/>
  <c r="V64" i="2"/>
  <c r="Y207" i="2"/>
  <c r="AM83" i="3"/>
  <c r="U83" i="2" s="1"/>
  <c r="V189" i="2" l="1"/>
  <c r="V61" i="2"/>
  <c r="AS64" i="3"/>
  <c r="AT64" i="3" s="1"/>
  <c r="AU64" i="3" s="1"/>
  <c r="AV64" i="3" s="1"/>
  <c r="Z207" i="2"/>
  <c r="AN83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S27" i="3"/>
  <c r="S23" i="3"/>
  <c r="W23" i="3" s="1"/>
  <c r="AA23" i="3" s="1"/>
  <c r="AE23" i="3" s="1"/>
  <c r="AI23" i="3" s="1"/>
  <c r="AM23" i="3" s="1"/>
  <c r="AQ23" i="3" s="1"/>
  <c r="AU23" i="3" s="1"/>
  <c r="AY23" i="3" s="1"/>
  <c r="BC23" i="3" s="1"/>
  <c r="BG23" i="3" s="1"/>
  <c r="T23" i="3"/>
  <c r="X23" i="3" s="1"/>
  <c r="U23" i="3"/>
  <c r="Y23" i="3" s="1"/>
  <c r="AC23" i="3" s="1"/>
  <c r="AG23" i="3" s="1"/>
  <c r="AK23" i="3" s="1"/>
  <c r="AO23" i="3" s="1"/>
  <c r="AS23" i="3" s="1"/>
  <c r="AW23" i="3" s="1"/>
  <c r="BA23" i="3" s="1"/>
  <c r="BE23" i="3" s="1"/>
  <c r="S25" i="3"/>
  <c r="T25" i="3"/>
  <c r="U25" i="3"/>
  <c r="Y25" i="3" s="1"/>
  <c r="AC25" i="3" s="1"/>
  <c r="AG25" i="3" s="1"/>
  <c r="AK25" i="3" s="1"/>
  <c r="AO25" i="3" s="1"/>
  <c r="AS25" i="3" s="1"/>
  <c r="AW25" i="3" s="1"/>
  <c r="BA25" i="3" s="1"/>
  <c r="BE25" i="3" s="1"/>
  <c r="P26" i="2"/>
  <c r="AD26" i="2" s="1"/>
  <c r="AG9" i="3"/>
  <c r="AK9" i="3" s="1"/>
  <c r="W9" i="3"/>
  <c r="AA9" i="3" s="1"/>
  <c r="AE9" i="3" s="1"/>
  <c r="AI9" i="3" s="1"/>
  <c r="AM9" i="3" s="1"/>
  <c r="AQ9" i="3" s="1"/>
  <c r="AU9" i="3" s="1"/>
  <c r="AY9" i="3" s="1"/>
  <c r="BC9" i="3" s="1"/>
  <c r="BG9" i="3" s="1"/>
  <c r="X9" i="3"/>
  <c r="Y9" i="3"/>
  <c r="AC9" i="3" s="1"/>
  <c r="V9" i="3"/>
  <c r="Q9" i="2" s="1"/>
  <c r="AF9" i="2" s="1"/>
  <c r="T136" i="3"/>
  <c r="S137" i="3"/>
  <c r="T137" i="3"/>
  <c r="U137" i="3"/>
  <c r="U152" i="3" s="1"/>
  <c r="V137" i="3"/>
  <c r="Z137" i="3" s="1"/>
  <c r="AD137" i="3" s="1"/>
  <c r="Y137" i="3"/>
  <c r="AC137" i="3" s="1"/>
  <c r="S138" i="3"/>
  <c r="BQ138" i="3" s="1"/>
  <c r="T138" i="3"/>
  <c r="U138" i="3"/>
  <c r="X158" i="3"/>
  <c r="AB158" i="3" s="1"/>
  <c r="AF158" i="3" s="1"/>
  <c r="AJ158" i="3" s="1"/>
  <c r="W158" i="3"/>
  <c r="AA158" i="3" s="1"/>
  <c r="AE158" i="3" s="1"/>
  <c r="V158" i="3"/>
  <c r="Z158" i="3" s="1"/>
  <c r="AD158" i="3" s="1"/>
  <c r="AH158" i="3" s="1"/>
  <c r="AL158" i="3" s="1"/>
  <c r="V152" i="3"/>
  <c r="T140" i="3"/>
  <c r="X140" i="3" s="1"/>
  <c r="V140" i="3"/>
  <c r="Z140" i="3" s="1"/>
  <c r="M130" i="3"/>
  <c r="N130" i="3"/>
  <c r="O130" i="3"/>
  <c r="P130" i="3"/>
  <c r="Z194" i="3"/>
  <c r="AD194" i="3" s="1"/>
  <c r="X194" i="3"/>
  <c r="V194" i="3"/>
  <c r="U194" i="3"/>
  <c r="Y194" i="3" s="1"/>
  <c r="T194" i="3"/>
  <c r="S194" i="3"/>
  <c r="W194" i="3" s="1"/>
  <c r="S192" i="3"/>
  <c r="BQ192" i="3" s="1"/>
  <c r="T192" i="3"/>
  <c r="X192" i="3" s="1"/>
  <c r="S184" i="3"/>
  <c r="T184" i="3"/>
  <c r="V184" i="3"/>
  <c r="U184" i="3"/>
  <c r="Y185" i="3"/>
  <c r="Z185" i="3"/>
  <c r="AA185" i="3"/>
  <c r="AB185" i="3"/>
  <c r="AC185" i="3"/>
  <c r="AD185" i="3"/>
  <c r="AE185" i="3"/>
  <c r="AF185" i="3"/>
  <c r="AG185" i="3"/>
  <c r="AH185" i="3"/>
  <c r="AI185" i="3"/>
  <c r="AJ185" i="3"/>
  <c r="AK185" i="3"/>
  <c r="AL185" i="3"/>
  <c r="AM185" i="3"/>
  <c r="AN185" i="3"/>
  <c r="AO185" i="3"/>
  <c r="AP185" i="3"/>
  <c r="AQ185" i="3"/>
  <c r="AR185" i="3"/>
  <c r="AS185" i="3"/>
  <c r="AT185" i="3"/>
  <c r="AU185" i="3"/>
  <c r="AV185" i="3"/>
  <c r="AW185" i="3"/>
  <c r="AX185" i="3"/>
  <c r="AY185" i="3"/>
  <c r="AZ185" i="3"/>
  <c r="BA185" i="3"/>
  <c r="BB185" i="3"/>
  <c r="BC185" i="3"/>
  <c r="BD185" i="3"/>
  <c r="BE185" i="3"/>
  <c r="BF185" i="3"/>
  <c r="BG185" i="3"/>
  <c r="T177" i="3"/>
  <c r="U177" i="3"/>
  <c r="Y177" i="3" s="1"/>
  <c r="AC177" i="3" s="1"/>
  <c r="AG177" i="3" s="1"/>
  <c r="AK177" i="3" s="1"/>
  <c r="AO177" i="3" s="1"/>
  <c r="AS177" i="3" s="1"/>
  <c r="AW177" i="3" s="1"/>
  <c r="BA177" i="3" s="1"/>
  <c r="BE177" i="3" s="1"/>
  <c r="V177" i="3"/>
  <c r="Z177" i="3" s="1"/>
  <c r="AD177" i="3" s="1"/>
  <c r="AH177" i="3" s="1"/>
  <c r="AL177" i="3" s="1"/>
  <c r="AP177" i="3" s="1"/>
  <c r="AT177" i="3" s="1"/>
  <c r="AX177" i="3" s="1"/>
  <c r="BB177" i="3" s="1"/>
  <c r="BF177" i="3" s="1"/>
  <c r="S178" i="3"/>
  <c r="S177" i="3" s="1"/>
  <c r="W177" i="3" s="1"/>
  <c r="T178" i="3"/>
  <c r="U178" i="3"/>
  <c r="V178" i="3"/>
  <c r="W178" i="3"/>
  <c r="X178" i="3"/>
  <c r="Y178" i="3"/>
  <c r="Z178" i="3"/>
  <c r="AA178" i="3"/>
  <c r="AB178" i="3"/>
  <c r="AC178" i="3"/>
  <c r="AD178" i="3"/>
  <c r="AE178" i="3"/>
  <c r="AF178" i="3"/>
  <c r="AG178" i="3"/>
  <c r="AH178" i="3"/>
  <c r="AI178" i="3"/>
  <c r="AJ178" i="3"/>
  <c r="AK178" i="3"/>
  <c r="AL178" i="3"/>
  <c r="AM178" i="3"/>
  <c r="AN178" i="3"/>
  <c r="AO178" i="3"/>
  <c r="AP178" i="3"/>
  <c r="AQ178" i="3"/>
  <c r="AR178" i="3"/>
  <c r="AS178" i="3"/>
  <c r="AT178" i="3"/>
  <c r="AU178" i="3"/>
  <c r="AV178" i="3"/>
  <c r="AW178" i="3"/>
  <c r="AX178" i="3"/>
  <c r="AY178" i="3"/>
  <c r="AZ178" i="3"/>
  <c r="BA178" i="3"/>
  <c r="BB178" i="3"/>
  <c r="BC178" i="3"/>
  <c r="BD178" i="3"/>
  <c r="BE178" i="3"/>
  <c r="BF178" i="3"/>
  <c r="BG178" i="3"/>
  <c r="T182" i="3"/>
  <c r="X182" i="3" s="1"/>
  <c r="U182" i="3"/>
  <c r="Y182" i="3" s="1"/>
  <c r="S183" i="3"/>
  <c r="BQ183" i="3" s="1"/>
  <c r="T183" i="3"/>
  <c r="U183" i="3"/>
  <c r="Y183" i="3" s="1"/>
  <c r="AC183" i="3" s="1"/>
  <c r="AG183" i="3" s="1"/>
  <c r="AK183" i="3" s="1"/>
  <c r="AO183" i="3" s="1"/>
  <c r="AS183" i="3" s="1"/>
  <c r="AW183" i="3" s="1"/>
  <c r="BA183" i="3" s="1"/>
  <c r="BE183" i="3" s="1"/>
  <c r="V183" i="3"/>
  <c r="Z183" i="3" s="1"/>
  <c r="AD183" i="3" s="1"/>
  <c r="AH183" i="3" s="1"/>
  <c r="AL183" i="3" s="1"/>
  <c r="AP183" i="3" s="1"/>
  <c r="AT183" i="3" s="1"/>
  <c r="AX183" i="3" s="1"/>
  <c r="BB183" i="3" s="1"/>
  <c r="BF183" i="3" s="1"/>
  <c r="X183" i="3"/>
  <c r="AB183" i="3" s="1"/>
  <c r="AF183" i="3" s="1"/>
  <c r="AJ183" i="3" s="1"/>
  <c r="AN183" i="3" s="1"/>
  <c r="AR183" i="3" s="1"/>
  <c r="AV183" i="3" s="1"/>
  <c r="AZ183" i="3" s="1"/>
  <c r="BD183" i="3" s="1"/>
  <c r="V182" i="3"/>
  <c r="Z182" i="3" s="1"/>
  <c r="BQ172" i="3"/>
  <c r="T172" i="3"/>
  <c r="U172" i="3" s="1"/>
  <c r="V172" i="3" s="1"/>
  <c r="W172" i="3" s="1"/>
  <c r="X172" i="3" s="1"/>
  <c r="Y172" i="3" s="1"/>
  <c r="Z172" i="3" s="1"/>
  <c r="AA172" i="3" s="1"/>
  <c r="AB172" i="3" s="1"/>
  <c r="AC172" i="3" s="1"/>
  <c r="AD172" i="3" s="1"/>
  <c r="AE172" i="3" s="1"/>
  <c r="AF172" i="3" s="1"/>
  <c r="AG172" i="3" s="1"/>
  <c r="AH172" i="3" s="1"/>
  <c r="AI172" i="3" s="1"/>
  <c r="AJ172" i="3" s="1"/>
  <c r="AK172" i="3" s="1"/>
  <c r="AL172" i="3" s="1"/>
  <c r="AM172" i="3" s="1"/>
  <c r="AN172" i="3" s="1"/>
  <c r="AO172" i="3" s="1"/>
  <c r="AP172" i="3" s="1"/>
  <c r="AQ172" i="3" s="1"/>
  <c r="AR172" i="3" s="1"/>
  <c r="AS172" i="3" s="1"/>
  <c r="AT172" i="3" s="1"/>
  <c r="AU172" i="3" s="1"/>
  <c r="AV172" i="3" s="1"/>
  <c r="AW172" i="3" s="1"/>
  <c r="AX172" i="3" s="1"/>
  <c r="AY172" i="3" s="1"/>
  <c r="AZ172" i="3" s="1"/>
  <c r="BA172" i="3" s="1"/>
  <c r="BB172" i="3" s="1"/>
  <c r="BC172" i="3" s="1"/>
  <c r="BD172" i="3" s="1"/>
  <c r="BE172" i="3" s="1"/>
  <c r="BF172" i="3" s="1"/>
  <c r="BG172" i="3" s="1"/>
  <c r="X170" i="3"/>
  <c r="AB170" i="3" s="1"/>
  <c r="AF170" i="3" s="1"/>
  <c r="AJ170" i="3" s="1"/>
  <c r="AN170" i="3" s="1"/>
  <c r="AR170" i="3" s="1"/>
  <c r="AV170" i="3" s="1"/>
  <c r="AZ170" i="3" s="1"/>
  <c r="BD170" i="3" s="1"/>
  <c r="U170" i="3"/>
  <c r="Y170" i="3" s="1"/>
  <c r="AC170" i="3" s="1"/>
  <c r="AG170" i="3" s="1"/>
  <c r="AK170" i="3" s="1"/>
  <c r="AO170" i="3" s="1"/>
  <c r="AS170" i="3" s="1"/>
  <c r="AW170" i="3" s="1"/>
  <c r="BA170" i="3" s="1"/>
  <c r="BE170" i="3" s="1"/>
  <c r="T170" i="3"/>
  <c r="S170" i="3"/>
  <c r="W170" i="3" s="1"/>
  <c r="AA170" i="3" s="1"/>
  <c r="AE170" i="3" s="1"/>
  <c r="AI170" i="3" s="1"/>
  <c r="AM170" i="3" s="1"/>
  <c r="AQ170" i="3" s="1"/>
  <c r="AU170" i="3" s="1"/>
  <c r="AY170" i="3" s="1"/>
  <c r="BC170" i="3" s="1"/>
  <c r="BG170" i="3" s="1"/>
  <c r="V170" i="3"/>
  <c r="Z170" i="3" s="1"/>
  <c r="AD170" i="3" s="1"/>
  <c r="AH170" i="3" s="1"/>
  <c r="AL170" i="3" s="1"/>
  <c r="AP170" i="3" s="1"/>
  <c r="AT170" i="3" s="1"/>
  <c r="AX170" i="3" s="1"/>
  <c r="BB170" i="3" s="1"/>
  <c r="BF170" i="3" s="1"/>
  <c r="S168" i="3"/>
  <c r="BQ168" i="3" s="1"/>
  <c r="T168" i="3"/>
  <c r="X168" i="3" s="1"/>
  <c r="U168" i="3"/>
  <c r="Y168" i="3" s="1"/>
  <c r="AC168" i="3" s="1"/>
  <c r="Q205" i="3"/>
  <c r="Q201" i="3"/>
  <c r="Q200" i="3"/>
  <c r="Q199" i="3"/>
  <c r="Q198" i="3"/>
  <c r="Q192" i="3"/>
  <c r="Q186" i="3"/>
  <c r="Q187" i="3" s="1"/>
  <c r="Q185" i="3"/>
  <c r="Q178" i="3"/>
  <c r="Q171" i="3"/>
  <c r="Q169" i="3"/>
  <c r="N162" i="3"/>
  <c r="O162" i="3"/>
  <c r="P162" i="3"/>
  <c r="T130" i="3" s="1"/>
  <c r="Q162" i="3"/>
  <c r="U136" i="3" s="1"/>
  <c r="U143" i="3" s="1"/>
  <c r="Q158" i="3"/>
  <c r="Q157" i="3"/>
  <c r="Q155" i="3"/>
  <c r="Q151" i="3"/>
  <c r="Q152" i="3"/>
  <c r="Q153" i="3"/>
  <c r="Q160" i="3" s="1"/>
  <c r="S160" i="3" s="1"/>
  <c r="BQ160" i="3" s="1"/>
  <c r="Q146" i="3"/>
  <c r="Q145" i="3"/>
  <c r="Q144" i="3"/>
  <c r="Q143" i="3"/>
  <c r="N140" i="3"/>
  <c r="O140" i="3"/>
  <c r="S140" i="3" s="1"/>
  <c r="W140" i="3" s="1"/>
  <c r="P140" i="3"/>
  <c r="Q140" i="3"/>
  <c r="U140" i="3" s="1"/>
  <c r="Y140" i="3" s="1"/>
  <c r="Q130" i="3"/>
  <c r="Q84" i="3"/>
  <c r="Q81" i="3"/>
  <c r="N77" i="3"/>
  <c r="O77" i="3"/>
  <c r="P77" i="3"/>
  <c r="P70" i="3"/>
  <c r="P7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58" i="3"/>
  <c r="Q61" i="3" s="1"/>
  <c r="Q57" i="3"/>
  <c r="Q56" i="3"/>
  <c r="Q45" i="3"/>
  <c r="P54" i="3"/>
  <c r="Q52" i="3"/>
  <c r="N49" i="3"/>
  <c r="O49" i="3"/>
  <c r="P49" i="3"/>
  <c r="Q49" i="3"/>
  <c r="Q44" i="3"/>
  <c r="Q43" i="3"/>
  <c r="P29" i="3"/>
  <c r="Q29" i="3"/>
  <c r="Q39" i="3"/>
  <c r="Q36" i="3"/>
  <c r="Q35" i="3"/>
  <c r="Q34" i="3"/>
  <c r="Q33" i="3"/>
  <c r="Q19" i="3"/>
  <c r="Q18" i="3"/>
  <c r="Q11" i="3"/>
  <c r="W192" i="3" l="1"/>
  <c r="W25" i="3"/>
  <c r="AA25" i="3" s="1"/>
  <c r="AE25" i="3" s="1"/>
  <c r="AI25" i="3" s="1"/>
  <c r="AM25" i="3" s="1"/>
  <c r="AQ25" i="3" s="1"/>
  <c r="AU25" i="3" s="1"/>
  <c r="AY25" i="3" s="1"/>
  <c r="BC25" i="3" s="1"/>
  <c r="BG25" i="3" s="1"/>
  <c r="BQ25" i="3"/>
  <c r="P28" i="2"/>
  <c r="AD28" i="2" s="1"/>
  <c r="Y184" i="3"/>
  <c r="Z184" i="3"/>
  <c r="W184" i="3"/>
  <c r="AA184" i="3" s="1"/>
  <c r="BQ184" i="3"/>
  <c r="W182" i="3"/>
  <c r="AA182" i="3" s="1"/>
  <c r="BQ182" i="3"/>
  <c r="T162" i="3"/>
  <c r="T133" i="3"/>
  <c r="X129" i="3" s="1"/>
  <c r="S52" i="3"/>
  <c r="BQ27" i="3"/>
  <c r="P47" i="2"/>
  <c r="S153" i="3"/>
  <c r="BQ153" i="3" s="1"/>
  <c r="T160" i="3"/>
  <c r="U160" i="3" s="1"/>
  <c r="V160" i="3" s="1"/>
  <c r="U192" i="3"/>
  <c r="U205" i="3" s="1"/>
  <c r="Q196" i="3"/>
  <c r="Q193" i="3"/>
  <c r="T196" i="3"/>
  <c r="T197" i="3" s="1"/>
  <c r="T199" i="3" s="1"/>
  <c r="AG168" i="3"/>
  <c r="AA192" i="3"/>
  <c r="AE192" i="3" s="1"/>
  <c r="U151" i="3"/>
  <c r="Y158" i="3"/>
  <c r="Q54" i="3"/>
  <c r="S196" i="3"/>
  <c r="BQ196" i="3" s="1"/>
  <c r="W168" i="3"/>
  <c r="S205" i="3"/>
  <c r="U196" i="3"/>
  <c r="AB23" i="3"/>
  <c r="T143" i="3"/>
  <c r="T151" i="3"/>
  <c r="P49" i="2"/>
  <c r="AD49" i="2" s="1"/>
  <c r="U130" i="3"/>
  <c r="AO83" i="3"/>
  <c r="AP83" i="3" s="1"/>
  <c r="S136" i="3"/>
  <c r="BQ136" i="3" s="1"/>
  <c r="S130" i="3"/>
  <c r="S133" i="3" s="1"/>
  <c r="Q37" i="3"/>
  <c r="Q30" i="3"/>
  <c r="AA177" i="3"/>
  <c r="AE177" i="3" s="1"/>
  <c r="AI177" i="3" s="1"/>
  <c r="AM177" i="3" s="1"/>
  <c r="AQ177" i="3" s="1"/>
  <c r="AU177" i="3" s="1"/>
  <c r="AY177" i="3" s="1"/>
  <c r="BC177" i="3" s="1"/>
  <c r="BG177" i="3" s="1"/>
  <c r="X184" i="3"/>
  <c r="AB184" i="3" s="1"/>
  <c r="AF184" i="3" s="1"/>
  <c r="AJ184" i="3" s="1"/>
  <c r="AN184" i="3" s="1"/>
  <c r="AR184" i="3" s="1"/>
  <c r="AV184" i="3" s="1"/>
  <c r="AZ184" i="3" s="1"/>
  <c r="BD184" i="3" s="1"/>
  <c r="W137" i="3"/>
  <c r="S152" i="3"/>
  <c r="V168" i="3"/>
  <c r="V192" i="3"/>
  <c r="V205" i="3" s="1"/>
  <c r="AB168" i="3"/>
  <c r="X196" i="3"/>
  <c r="S186" i="3"/>
  <c r="BQ186" i="3" s="1"/>
  <c r="X177" i="3"/>
  <c r="AB177" i="3" s="1"/>
  <c r="AF177" i="3" s="1"/>
  <c r="AJ177" i="3" s="1"/>
  <c r="AN177" i="3" s="1"/>
  <c r="AR177" i="3" s="1"/>
  <c r="AV177" i="3" s="1"/>
  <c r="AZ177" i="3" s="1"/>
  <c r="BD177" i="3" s="1"/>
  <c r="Q71" i="3"/>
  <c r="Q70" i="3" s="1"/>
  <c r="Q77" i="3"/>
  <c r="V23" i="3"/>
  <c r="Z23" i="3" s="1"/>
  <c r="AD23" i="3" s="1"/>
  <c r="AH23" i="3" s="1"/>
  <c r="AL23" i="3" s="1"/>
  <c r="AP23" i="3" s="1"/>
  <c r="AT23" i="3" s="1"/>
  <c r="AX23" i="3" s="1"/>
  <c r="BB23" i="3" s="1"/>
  <c r="BF23" i="3" s="1"/>
  <c r="T139" i="3"/>
  <c r="Z9" i="3"/>
  <c r="AD9" i="3" s="1"/>
  <c r="AH9" i="3" s="1"/>
  <c r="AL9" i="3" s="1"/>
  <c r="AP9" i="3" s="1"/>
  <c r="AT9" i="3" s="1"/>
  <c r="AX9" i="3" s="1"/>
  <c r="BB9" i="3" s="1"/>
  <c r="BF9" i="3" s="1"/>
  <c r="AB9" i="3"/>
  <c r="W64" i="2"/>
  <c r="V25" i="3"/>
  <c r="Z25" i="3" s="1"/>
  <c r="AD25" i="3" s="1"/>
  <c r="AH25" i="3" s="1"/>
  <c r="AL25" i="3" s="1"/>
  <c r="AP25" i="3" s="1"/>
  <c r="AT25" i="3" s="1"/>
  <c r="AX25" i="3" s="1"/>
  <c r="BB25" i="3" s="1"/>
  <c r="BF25" i="3" s="1"/>
  <c r="P29" i="2"/>
  <c r="AD29" i="2" s="1"/>
  <c r="AW64" i="3"/>
  <c r="AX64" i="3" s="1"/>
  <c r="AY64" i="3" s="1"/>
  <c r="AZ64" i="3" s="1"/>
  <c r="X64" i="2"/>
  <c r="X25" i="3"/>
  <c r="Q28" i="2"/>
  <c r="AF28" i="2" s="1"/>
  <c r="AO9" i="3"/>
  <c r="AS9" i="3" s="1"/>
  <c r="AW9" i="3" s="1"/>
  <c r="BA9" i="3" s="1"/>
  <c r="BE9" i="3" s="1"/>
  <c r="AD152" i="3"/>
  <c r="AH137" i="3"/>
  <c r="AC152" i="3"/>
  <c r="AG137" i="3"/>
  <c r="AA137" i="3"/>
  <c r="W152" i="3"/>
  <c r="Y152" i="3"/>
  <c r="X137" i="3"/>
  <c r="T152" i="3"/>
  <c r="Z152" i="3"/>
  <c r="U139" i="3"/>
  <c r="W160" i="3"/>
  <c r="AI158" i="3"/>
  <c r="AP158" i="3"/>
  <c r="AN158" i="3"/>
  <c r="AD140" i="3"/>
  <c r="AB140" i="3"/>
  <c r="AA140" i="3"/>
  <c r="AC140" i="3"/>
  <c r="AA194" i="3"/>
  <c r="AH194" i="3"/>
  <c r="AB194" i="3"/>
  <c r="AC194" i="3"/>
  <c r="AB192" i="3"/>
  <c r="T205" i="3"/>
  <c r="AE184" i="3"/>
  <c r="AI184" i="3" s="1"/>
  <c r="AM184" i="3" s="1"/>
  <c r="AQ184" i="3" s="1"/>
  <c r="AU184" i="3" s="1"/>
  <c r="AY184" i="3" s="1"/>
  <c r="BC184" i="3" s="1"/>
  <c r="BG184" i="3" s="1"/>
  <c r="AC184" i="3"/>
  <c r="AG184" i="3" s="1"/>
  <c r="AK184" i="3" s="1"/>
  <c r="AO184" i="3" s="1"/>
  <c r="AS184" i="3" s="1"/>
  <c r="AW184" i="3" s="1"/>
  <c r="BA184" i="3" s="1"/>
  <c r="BE184" i="3" s="1"/>
  <c r="AD184" i="3"/>
  <c r="AH184" i="3" s="1"/>
  <c r="AL184" i="3" s="1"/>
  <c r="AP184" i="3" s="1"/>
  <c r="AT184" i="3" s="1"/>
  <c r="AX184" i="3" s="1"/>
  <c r="BB184" i="3" s="1"/>
  <c r="BF184" i="3" s="1"/>
  <c r="T186" i="3"/>
  <c r="V186" i="3"/>
  <c r="V8" i="3" s="1"/>
  <c r="U186" i="3"/>
  <c r="AB182" i="3"/>
  <c r="AE182" i="3"/>
  <c r="Z186" i="3"/>
  <c r="Z8" i="3" s="1"/>
  <c r="AD182" i="3"/>
  <c r="Y186" i="3"/>
  <c r="Y8" i="3" s="1"/>
  <c r="AC182" i="3"/>
  <c r="W183" i="3"/>
  <c r="X197" i="3" l="1"/>
  <c r="X198" i="3" s="1"/>
  <c r="P211" i="2"/>
  <c r="AD47" i="2"/>
  <c r="AA205" i="3"/>
  <c r="W205" i="3"/>
  <c r="X186" i="3"/>
  <c r="X8" i="3" s="1"/>
  <c r="X205" i="3"/>
  <c r="T201" i="3"/>
  <c r="S148" i="3"/>
  <c r="BQ148" i="3" s="1"/>
  <c r="U162" i="3"/>
  <c r="U133" i="3"/>
  <c r="Y129" i="3" s="1"/>
  <c r="W129" i="3"/>
  <c r="U153" i="3"/>
  <c r="U148" i="3" s="1"/>
  <c r="S162" i="3"/>
  <c r="BQ130" i="3"/>
  <c r="S197" i="3"/>
  <c r="BQ197" i="3" s="1"/>
  <c r="R9" i="2"/>
  <c r="S81" i="3"/>
  <c r="BQ52" i="3"/>
  <c r="X201" i="3"/>
  <c r="X200" i="3"/>
  <c r="BA64" i="3"/>
  <c r="BB64" i="3" s="1"/>
  <c r="BC64" i="3" s="1"/>
  <c r="BD64" i="3" s="1"/>
  <c r="Z192" i="3"/>
  <c r="Y130" i="3"/>
  <c r="Y136" i="3"/>
  <c r="Y151" i="3" s="1"/>
  <c r="S139" i="3"/>
  <c r="BQ139" i="3" s="1"/>
  <c r="S151" i="3"/>
  <c r="S143" i="3"/>
  <c r="BQ143" i="3" s="1"/>
  <c r="AK168" i="3"/>
  <c r="U187" i="3"/>
  <c r="U8" i="3"/>
  <c r="T198" i="3"/>
  <c r="T15" i="3"/>
  <c r="T200" i="3"/>
  <c r="V130" i="3"/>
  <c r="V133" i="3" s="1"/>
  <c r="Z129" i="3" s="1"/>
  <c r="V136" i="3"/>
  <c r="AA168" i="3"/>
  <c r="W196" i="3"/>
  <c r="S9" i="2"/>
  <c r="AF9" i="3"/>
  <c r="U146" i="3"/>
  <c r="U7" i="3"/>
  <c r="Q26" i="2"/>
  <c r="AF26" i="2" s="1"/>
  <c r="Y192" i="3"/>
  <c r="U197" i="3"/>
  <c r="AB25" i="3"/>
  <c r="R28" i="2"/>
  <c r="S187" i="3"/>
  <c r="BQ187" i="3" s="1"/>
  <c r="S8" i="3"/>
  <c r="BQ8" i="3" s="1"/>
  <c r="AC158" i="3"/>
  <c r="AG158" i="3" s="1"/>
  <c r="AK158" i="3" s="1"/>
  <c r="AO158" i="3" s="1"/>
  <c r="AS158" i="3" s="1"/>
  <c r="W61" i="2"/>
  <c r="W189" i="2"/>
  <c r="T187" i="3"/>
  <c r="T8" i="3"/>
  <c r="T146" i="3"/>
  <c r="T7" i="3"/>
  <c r="R26" i="2"/>
  <c r="Z168" i="3"/>
  <c r="V196" i="3"/>
  <c r="X187" i="3"/>
  <c r="X130" i="3"/>
  <c r="X136" i="3"/>
  <c r="AF168" i="3"/>
  <c r="AB196" i="3"/>
  <c r="AB197" i="3" s="1"/>
  <c r="AB201" i="3" s="1"/>
  <c r="AF23" i="3"/>
  <c r="S26" i="2"/>
  <c r="X61" i="2"/>
  <c r="X189" i="2"/>
  <c r="T153" i="3"/>
  <c r="T148" i="3" s="1"/>
  <c r="AQ83" i="3"/>
  <c r="V83" i="2" s="1"/>
  <c r="AR83" i="3"/>
  <c r="AB137" i="3"/>
  <c r="X152" i="3"/>
  <c r="AK137" i="3"/>
  <c r="AG152" i="3"/>
  <c r="AE137" i="3"/>
  <c r="AA152" i="3"/>
  <c r="AL137" i="3"/>
  <c r="AH152" i="3"/>
  <c r="X160" i="3"/>
  <c r="AT158" i="3"/>
  <c r="AM158" i="3"/>
  <c r="AR158" i="3"/>
  <c r="AG140" i="3"/>
  <c r="AE140" i="3"/>
  <c r="AF140" i="3"/>
  <c r="AH140" i="3"/>
  <c r="X162" i="3"/>
  <c r="AG194" i="3"/>
  <c r="AF194" i="3"/>
  <c r="AL194" i="3"/>
  <c r="AE194" i="3"/>
  <c r="AF192" i="3"/>
  <c r="AI192" i="3"/>
  <c r="Y187" i="3"/>
  <c r="Z187" i="3"/>
  <c r="V187" i="3"/>
  <c r="AH182" i="3"/>
  <c r="AD186" i="3"/>
  <c r="AG182" i="3"/>
  <c r="AC186" i="3"/>
  <c r="AI182" i="3"/>
  <c r="AF182" i="3"/>
  <c r="AB186" i="3"/>
  <c r="W186" i="3"/>
  <c r="AA183" i="3"/>
  <c r="X199" i="3" l="1"/>
  <c r="X15" i="3"/>
  <c r="P87" i="2"/>
  <c r="AD211" i="2"/>
  <c r="P173" i="2"/>
  <c r="AD173" i="2" s="1"/>
  <c r="U10" i="3"/>
  <c r="U11" i="3" s="1"/>
  <c r="U26" i="3" s="1"/>
  <c r="S200" i="3"/>
  <c r="BQ200" i="3" s="1"/>
  <c r="S201" i="3"/>
  <c r="BQ201" i="3" s="1"/>
  <c r="S15" i="3"/>
  <c r="S198" i="3"/>
  <c r="BQ198" i="3" s="1"/>
  <c r="S199" i="3"/>
  <c r="BQ199" i="3" s="1"/>
  <c r="U154" i="3"/>
  <c r="U157" i="3" s="1"/>
  <c r="X145" i="3"/>
  <c r="X138" i="3" s="1"/>
  <c r="X139" i="3" s="1"/>
  <c r="X7" i="3" s="1"/>
  <c r="X133" i="3"/>
  <c r="Y145" i="3"/>
  <c r="Y138" i="3" s="1"/>
  <c r="Y139" i="3" s="1"/>
  <c r="Y133" i="3"/>
  <c r="Y162" i="3"/>
  <c r="S154" i="3"/>
  <c r="BQ154" i="3" s="1"/>
  <c r="BQ151" i="3"/>
  <c r="BQ162" i="3"/>
  <c r="BQ81" i="3"/>
  <c r="P81" i="2"/>
  <c r="W187" i="3"/>
  <c r="W8" i="3"/>
  <c r="W197" i="3"/>
  <c r="T154" i="3"/>
  <c r="AB187" i="3"/>
  <c r="AB8" i="3"/>
  <c r="AE168" i="3"/>
  <c r="AA196" i="3"/>
  <c r="T10" i="3"/>
  <c r="AS83" i="3"/>
  <c r="AF25" i="3"/>
  <c r="S28" i="2"/>
  <c r="V143" i="3"/>
  <c r="V151" i="3"/>
  <c r="U198" i="3"/>
  <c r="U15" i="3"/>
  <c r="U199" i="3"/>
  <c r="U201" i="3"/>
  <c r="U200" i="3"/>
  <c r="V145" i="3"/>
  <c r="V138" i="3" s="1"/>
  <c r="V139" i="3" s="1"/>
  <c r="V162" i="3"/>
  <c r="S146" i="3"/>
  <c r="BQ146" i="3" s="1"/>
  <c r="S7" i="3"/>
  <c r="AB15" i="3"/>
  <c r="AB198" i="3"/>
  <c r="AO168" i="3"/>
  <c r="AC187" i="3"/>
  <c r="AC8" i="3"/>
  <c r="Q8" i="2"/>
  <c r="AF8" i="2" s="1"/>
  <c r="Y196" i="3"/>
  <c r="Y205" i="3"/>
  <c r="AC192" i="3"/>
  <c r="Y143" i="3"/>
  <c r="AB200" i="3"/>
  <c r="AB199" i="3"/>
  <c r="BE64" i="3"/>
  <c r="BF64" i="3" s="1"/>
  <c r="BG64" i="3" s="1"/>
  <c r="U14" i="3"/>
  <c r="AD168" i="3"/>
  <c r="Z196" i="3"/>
  <c r="AJ23" i="3"/>
  <c r="T26" i="2"/>
  <c r="AD187" i="3"/>
  <c r="AD8" i="3"/>
  <c r="U48" i="3"/>
  <c r="AJ168" i="3"/>
  <c r="AF196" i="3"/>
  <c r="AF197" i="3" s="1"/>
  <c r="T9" i="2"/>
  <c r="AJ9" i="3"/>
  <c r="V197" i="3"/>
  <c r="X143" i="3"/>
  <c r="X151" i="3"/>
  <c r="AD192" i="3"/>
  <c r="Z205" i="3"/>
  <c r="S70" i="3"/>
  <c r="BQ70" i="3" s="1"/>
  <c r="P8" i="2"/>
  <c r="AD8" i="2" s="1"/>
  <c r="Y64" i="2"/>
  <c r="AT83" i="3"/>
  <c r="W83" i="2" s="1"/>
  <c r="AU83" i="3"/>
  <c r="AP137" i="3"/>
  <c r="AL152" i="3"/>
  <c r="AO137" i="3"/>
  <c r="AK152" i="3"/>
  <c r="AB152" i="3"/>
  <c r="AF137" i="3"/>
  <c r="AE152" i="3"/>
  <c r="AI137" i="3"/>
  <c r="Y160" i="3"/>
  <c r="AW158" i="3"/>
  <c r="AQ158" i="3"/>
  <c r="AX158" i="3"/>
  <c r="AV158" i="3"/>
  <c r="AJ140" i="3"/>
  <c r="AK140" i="3"/>
  <c r="AL140" i="3"/>
  <c r="AI140" i="3"/>
  <c r="AK194" i="3"/>
  <c r="AI194" i="3"/>
  <c r="AP194" i="3"/>
  <c r="AJ194" i="3"/>
  <c r="AM192" i="3"/>
  <c r="AJ192" i="3"/>
  <c r="AJ182" i="3"/>
  <c r="AF186" i="3"/>
  <c r="AM182" i="3"/>
  <c r="AE183" i="3"/>
  <c r="AA186" i="3"/>
  <c r="AK182" i="3"/>
  <c r="AG186" i="3"/>
  <c r="AH186" i="3"/>
  <c r="AL182" i="3"/>
  <c r="Z197" i="3" l="1"/>
  <c r="P187" i="2"/>
  <c r="AD187" i="2" s="1"/>
  <c r="AD81" i="2"/>
  <c r="AD87" i="2"/>
  <c r="E27" i="1"/>
  <c r="P85" i="2"/>
  <c r="AD85" i="2" s="1"/>
  <c r="P88" i="2"/>
  <c r="P86" i="2"/>
  <c r="AD86" i="2" s="1"/>
  <c r="U17" i="3"/>
  <c r="U18" i="3" s="1"/>
  <c r="BQ15" i="3"/>
  <c r="P17" i="2"/>
  <c r="AD17" i="2" s="1"/>
  <c r="X146" i="3"/>
  <c r="X153" i="3"/>
  <c r="X154" i="3" s="1"/>
  <c r="U155" i="3"/>
  <c r="S155" i="3"/>
  <c r="BQ155" i="3" s="1"/>
  <c r="S157" i="3"/>
  <c r="S14" i="3"/>
  <c r="S17" i="3" s="1"/>
  <c r="AC129" i="3"/>
  <c r="AB129" i="3"/>
  <c r="W130" i="3"/>
  <c r="W133" i="3" s="1"/>
  <c r="AA129" i="3" s="1"/>
  <c r="W136" i="3"/>
  <c r="S10" i="3"/>
  <c r="BQ10" i="3" s="1"/>
  <c r="BQ7" i="3"/>
  <c r="Z64" i="2"/>
  <c r="Z189" i="2" s="1"/>
  <c r="AF198" i="3"/>
  <c r="AF15" i="3"/>
  <c r="AF200" i="3"/>
  <c r="AF199" i="3"/>
  <c r="AF201" i="3"/>
  <c r="P70" i="2"/>
  <c r="AD70" i="2" s="1"/>
  <c r="T70" i="3"/>
  <c r="U70" i="3" s="1"/>
  <c r="T14" i="3"/>
  <c r="T157" i="3"/>
  <c r="T155" i="3"/>
  <c r="AG187" i="3"/>
  <c r="AG8" i="3"/>
  <c r="Y197" i="3"/>
  <c r="V146" i="3"/>
  <c r="V7" i="3"/>
  <c r="W199" i="3"/>
  <c r="W15" i="3"/>
  <c r="W198" i="3"/>
  <c r="W200" i="3"/>
  <c r="W201" i="3"/>
  <c r="AH192" i="3"/>
  <c r="V153" i="3"/>
  <c r="V154" i="3" s="1"/>
  <c r="AA187" i="3"/>
  <c r="AA8" i="3"/>
  <c r="R8" i="2" s="1"/>
  <c r="Z15" i="3"/>
  <c r="Z198" i="3"/>
  <c r="Z199" i="3"/>
  <c r="Z201" i="3"/>
  <c r="Z200" i="3"/>
  <c r="AN168" i="3"/>
  <c r="AJ196" i="3"/>
  <c r="AJ197" i="3" s="1"/>
  <c r="AN23" i="3"/>
  <c r="U26" i="2"/>
  <c r="AJ25" i="3"/>
  <c r="T28" i="2"/>
  <c r="AB130" i="3"/>
  <c r="AB145" i="3" s="1"/>
  <c r="AB138" i="3" s="1"/>
  <c r="P16" i="2"/>
  <c r="AD16" i="2" s="1"/>
  <c r="AF187" i="3"/>
  <c r="AF8" i="3"/>
  <c r="AH168" i="3"/>
  <c r="AD196" i="3"/>
  <c r="AD197" i="3" s="1"/>
  <c r="AS168" i="3"/>
  <c r="T48" i="3"/>
  <c r="T39" i="3"/>
  <c r="T11" i="3"/>
  <c r="V200" i="3"/>
  <c r="V198" i="3"/>
  <c r="V15" i="3"/>
  <c r="Q17" i="2" s="1"/>
  <c r="AF17" i="2" s="1"/>
  <c r="V199" i="3"/>
  <c r="V201" i="3"/>
  <c r="X10" i="3"/>
  <c r="AH187" i="3"/>
  <c r="AH8" i="3"/>
  <c r="Y146" i="3"/>
  <c r="Y7" i="3"/>
  <c r="Y10" i="3" s="1"/>
  <c r="AA197" i="3"/>
  <c r="Y189" i="2"/>
  <c r="Y61" i="2"/>
  <c r="AN9" i="3"/>
  <c r="U9" i="2"/>
  <c r="P7" i="2"/>
  <c r="AD7" i="2" s="1"/>
  <c r="AI168" i="3"/>
  <c r="AE196" i="3"/>
  <c r="U28" i="3"/>
  <c r="U34" i="3"/>
  <c r="U24" i="3" s="1"/>
  <c r="AC196" i="3"/>
  <c r="AG192" i="3"/>
  <c r="AV83" i="3"/>
  <c r="AO152" i="3"/>
  <c r="AS137" i="3"/>
  <c r="AF152" i="3"/>
  <c r="AJ137" i="3"/>
  <c r="AM137" i="3"/>
  <c r="AI152" i="3"/>
  <c r="AP152" i="3"/>
  <c r="AT137" i="3"/>
  <c r="Z160" i="3"/>
  <c r="Y153" i="3"/>
  <c r="AU158" i="3"/>
  <c r="AZ158" i="3"/>
  <c r="BA158" i="3"/>
  <c r="BB158" i="3"/>
  <c r="AO140" i="3"/>
  <c r="AM140" i="3"/>
  <c r="AN140" i="3"/>
  <c r="AP140" i="3"/>
  <c r="AN194" i="3"/>
  <c r="AT194" i="3"/>
  <c r="AM194" i="3"/>
  <c r="AO194" i="3"/>
  <c r="AN192" i="3"/>
  <c r="AQ192" i="3"/>
  <c r="AQ182" i="3"/>
  <c r="AL186" i="3"/>
  <c r="AP182" i="3"/>
  <c r="AK186" i="3"/>
  <c r="AO182" i="3"/>
  <c r="AI183" i="3"/>
  <c r="AE186" i="3"/>
  <c r="AJ186" i="3"/>
  <c r="AN182" i="3"/>
  <c r="P90" i="2" l="1"/>
  <c r="AD90" i="2" s="1"/>
  <c r="AD88" i="2"/>
  <c r="U19" i="3"/>
  <c r="P124" i="2"/>
  <c r="AD124" i="2" s="1"/>
  <c r="Q125" i="2"/>
  <c r="AF125" i="2" s="1"/>
  <c r="X148" i="3"/>
  <c r="BQ14" i="3"/>
  <c r="S39" i="3"/>
  <c r="BQ39" i="3" s="1"/>
  <c r="S11" i="3"/>
  <c r="BQ11" i="3" s="1"/>
  <c r="S48" i="3"/>
  <c r="BQ48" i="3" s="1"/>
  <c r="BQ157" i="3"/>
  <c r="BQ17" i="3"/>
  <c r="S18" i="3"/>
  <c r="BQ18" i="3" s="1"/>
  <c r="S19" i="3"/>
  <c r="BQ19" i="3" s="1"/>
  <c r="AB162" i="3"/>
  <c r="AB133" i="3"/>
  <c r="AC136" i="3"/>
  <c r="AC130" i="3"/>
  <c r="AB136" i="3"/>
  <c r="AB151" i="3" s="1"/>
  <c r="W143" i="3"/>
  <c r="W151" i="3"/>
  <c r="W162" i="3"/>
  <c r="AA130" i="3" s="1"/>
  <c r="AA133" i="3" s="1"/>
  <c r="W145" i="3"/>
  <c r="W138" i="3" s="1"/>
  <c r="W153" i="3" s="1"/>
  <c r="Z61" i="2"/>
  <c r="AJ199" i="3"/>
  <c r="AJ200" i="3"/>
  <c r="AJ201" i="3"/>
  <c r="V70" i="3"/>
  <c r="W70" i="3" s="1"/>
  <c r="AD198" i="3"/>
  <c r="AD15" i="3"/>
  <c r="AD201" i="3"/>
  <c r="AD200" i="3"/>
  <c r="AD199" i="3"/>
  <c r="R125" i="2"/>
  <c r="Q124" i="2"/>
  <c r="AF124" i="2" s="1"/>
  <c r="V157" i="3"/>
  <c r="V14" i="3"/>
  <c r="V17" i="3" s="1"/>
  <c r="V155" i="3"/>
  <c r="AJ187" i="3"/>
  <c r="AJ8" i="3"/>
  <c r="AK187" i="3"/>
  <c r="AK8" i="3"/>
  <c r="AC197" i="3"/>
  <c r="Y48" i="3"/>
  <c r="Y11" i="3"/>
  <c r="Y26" i="3" s="1"/>
  <c r="AR23" i="3"/>
  <c r="V26" i="2"/>
  <c r="V148" i="3"/>
  <c r="Z130" i="3"/>
  <c r="Z133" i="3" s="1"/>
  <c r="Z136" i="3"/>
  <c r="AG196" i="3"/>
  <c r="AK192" i="3"/>
  <c r="AN25" i="3"/>
  <c r="U28" i="2"/>
  <c r="Y15" i="3"/>
  <c r="Y198" i="3"/>
  <c r="Y199" i="3"/>
  <c r="Y200" i="3"/>
  <c r="Y201" i="3"/>
  <c r="AE187" i="3"/>
  <c r="AE8" i="3"/>
  <c r="S8" i="2" s="1"/>
  <c r="AL168" i="3"/>
  <c r="AH196" i="3"/>
  <c r="AH197" i="3" s="1"/>
  <c r="U36" i="3"/>
  <c r="U39" i="3"/>
  <c r="AL187" i="3"/>
  <c r="AL8" i="3"/>
  <c r="U27" i="3"/>
  <c r="U29" i="3" s="1"/>
  <c r="U21" i="3"/>
  <c r="AR168" i="3"/>
  <c r="AN196" i="3"/>
  <c r="AN197" i="3" s="1"/>
  <c r="P43" i="2"/>
  <c r="AD43" i="2" s="1"/>
  <c r="P10" i="2"/>
  <c r="AD10" i="2" s="1"/>
  <c r="T24" i="3"/>
  <c r="T28" i="3"/>
  <c r="AL192" i="3"/>
  <c r="P19" i="2"/>
  <c r="AD19" i="2" s="1"/>
  <c r="X48" i="3"/>
  <c r="X11" i="3"/>
  <c r="X26" i="3" s="1"/>
  <c r="X157" i="3"/>
  <c r="X14" i="3"/>
  <c r="AJ198" i="3"/>
  <c r="AJ15" i="3"/>
  <c r="AR9" i="3"/>
  <c r="V9" i="2"/>
  <c r="X155" i="3"/>
  <c r="AB139" i="3"/>
  <c r="AE197" i="3"/>
  <c r="AW168" i="3"/>
  <c r="T17" i="3"/>
  <c r="AM168" i="3"/>
  <c r="AI196" i="3"/>
  <c r="AI197" i="3" s="1"/>
  <c r="AA198" i="3"/>
  <c r="AA15" i="3"/>
  <c r="AA199" i="3"/>
  <c r="AA201" i="3"/>
  <c r="AA200" i="3"/>
  <c r="V10" i="3"/>
  <c r="AW83" i="3"/>
  <c r="AX83" i="3" s="1"/>
  <c r="AT152" i="3"/>
  <c r="AX137" i="3"/>
  <c r="AQ137" i="3"/>
  <c r="AM152" i="3"/>
  <c r="AN137" i="3"/>
  <c r="AJ152" i="3"/>
  <c r="Y154" i="3"/>
  <c r="Y148" i="3"/>
  <c r="AW137" i="3"/>
  <c r="AS152" i="3"/>
  <c r="AA160" i="3"/>
  <c r="AY158" i="3"/>
  <c r="BF158" i="3"/>
  <c r="BE158" i="3"/>
  <c r="BD158" i="3"/>
  <c r="AQ140" i="3"/>
  <c r="AR140" i="3"/>
  <c r="AT140" i="3"/>
  <c r="AS140" i="3"/>
  <c r="AX194" i="3"/>
  <c r="AS194" i="3"/>
  <c r="AQ194" i="3"/>
  <c r="AR194" i="3"/>
  <c r="AU192" i="3"/>
  <c r="AR192" i="3"/>
  <c r="AS182" i="3"/>
  <c r="AO186" i="3"/>
  <c r="AT182" i="3"/>
  <c r="AP186" i="3"/>
  <c r="AR182" i="3"/>
  <c r="AN186" i="3"/>
  <c r="AM183" i="3"/>
  <c r="AI186" i="3"/>
  <c r="AU182" i="3"/>
  <c r="BQ34" i="3" l="1"/>
  <c r="S28" i="3"/>
  <c r="BQ28" i="3" s="1"/>
  <c r="AB143" i="3"/>
  <c r="AE129" i="3"/>
  <c r="AC145" i="3"/>
  <c r="AC138" i="3" s="1"/>
  <c r="AC139" i="3" s="1"/>
  <c r="AC162" i="3"/>
  <c r="AC133" i="3"/>
  <c r="AC151" i="3"/>
  <c r="AC143" i="3"/>
  <c r="AD129" i="3"/>
  <c r="AF129" i="3"/>
  <c r="W154" i="3"/>
  <c r="W14" i="3" s="1"/>
  <c r="W148" i="3"/>
  <c r="W139" i="3"/>
  <c r="AA136" i="3"/>
  <c r="AA143" i="3" s="1"/>
  <c r="X70" i="3"/>
  <c r="Y70" i="3" s="1"/>
  <c r="Z70" i="3" s="1"/>
  <c r="Q70" i="2"/>
  <c r="AF70" i="2" s="1"/>
  <c r="P44" i="2"/>
  <c r="AD44" i="2" s="1"/>
  <c r="AN15" i="3"/>
  <c r="AN198" i="3"/>
  <c r="AN200" i="3"/>
  <c r="AN201" i="3"/>
  <c r="AN199" i="3"/>
  <c r="X83" i="2"/>
  <c r="Y34" i="3"/>
  <c r="Y24" i="3" s="1"/>
  <c r="BA168" i="3"/>
  <c r="X17" i="3"/>
  <c r="Y28" i="3"/>
  <c r="U52" i="3"/>
  <c r="U81" i="3" s="1"/>
  <c r="AG197" i="3"/>
  <c r="AE15" i="3"/>
  <c r="AE198" i="3"/>
  <c r="AE199" i="3"/>
  <c r="AE201" i="3"/>
  <c r="AE200" i="3"/>
  <c r="AC15" i="3"/>
  <c r="S17" i="2" s="1"/>
  <c r="AC201" i="3"/>
  <c r="AC199" i="3"/>
  <c r="AC200" i="3"/>
  <c r="V18" i="3"/>
  <c r="V19" i="3"/>
  <c r="X34" i="3"/>
  <c r="X24" i="3" s="1"/>
  <c r="P20" i="2"/>
  <c r="AD20" i="2" s="1"/>
  <c r="L29" i="1"/>
  <c r="AB146" i="3"/>
  <c r="AB7" i="3"/>
  <c r="T19" i="3"/>
  <c r="T18" i="3"/>
  <c r="AP187" i="3"/>
  <c r="AP8" i="3"/>
  <c r="Y155" i="3"/>
  <c r="Y14" i="3"/>
  <c r="Y17" i="3" s="1"/>
  <c r="AV9" i="3"/>
  <c r="W9" i="2"/>
  <c r="AP192" i="3"/>
  <c r="AA145" i="3"/>
  <c r="AA138" i="3" s="1"/>
  <c r="AA153" i="3" s="1"/>
  <c r="AA162" i="3"/>
  <c r="AI187" i="3"/>
  <c r="AI8" i="3"/>
  <c r="T8" i="2" s="1"/>
  <c r="AH15" i="3"/>
  <c r="AH198" i="3"/>
  <c r="AH199" i="3"/>
  <c r="AH201" i="3"/>
  <c r="AH200" i="3"/>
  <c r="R17" i="2"/>
  <c r="AO187" i="3"/>
  <c r="AO8" i="3"/>
  <c r="AI198" i="3"/>
  <c r="AI15" i="3"/>
  <c r="AI199" i="3"/>
  <c r="AI200" i="3"/>
  <c r="AI201" i="3"/>
  <c r="X28" i="3"/>
  <c r="AV168" i="3"/>
  <c r="AR196" i="3"/>
  <c r="AR197" i="3" s="1"/>
  <c r="AR201" i="3" s="1"/>
  <c r="AC198" i="3"/>
  <c r="Z151" i="3"/>
  <c r="Z143" i="3"/>
  <c r="V48" i="3"/>
  <c r="V11" i="3"/>
  <c r="V26" i="3" s="1"/>
  <c r="AN187" i="3"/>
  <c r="AN8" i="3"/>
  <c r="AQ168" i="3"/>
  <c r="AM196" i="3"/>
  <c r="AM197" i="3" s="1"/>
  <c r="T27" i="3"/>
  <c r="T29" i="3" s="1"/>
  <c r="T21" i="3"/>
  <c r="AP168" i="3"/>
  <c r="AL196" i="3"/>
  <c r="AL197" i="3" s="1"/>
  <c r="Z145" i="3"/>
  <c r="Z138" i="3" s="1"/>
  <c r="Z139" i="3" s="1"/>
  <c r="Z162" i="3"/>
  <c r="AF130" i="3"/>
  <c r="AF145" i="3" s="1"/>
  <c r="AF138" i="3" s="1"/>
  <c r="U30" i="3"/>
  <c r="U42" i="3"/>
  <c r="AR25" i="3"/>
  <c r="V28" i="2"/>
  <c r="P159" i="2"/>
  <c r="S29" i="1"/>
  <c r="P11" i="2"/>
  <c r="AD11" i="2" s="1"/>
  <c r="P199" i="2"/>
  <c r="AD199" i="2" s="1"/>
  <c r="P200" i="2"/>
  <c r="P146" i="2"/>
  <c r="AD146" i="2" s="1"/>
  <c r="P145" i="2"/>
  <c r="AD145" i="2" s="1"/>
  <c r="AK196" i="3"/>
  <c r="AK197" i="3" s="1"/>
  <c r="AO192" i="3"/>
  <c r="AV23" i="3"/>
  <c r="W26" i="2"/>
  <c r="AY83" i="3"/>
  <c r="AZ83" i="3" s="1"/>
  <c r="AQ152" i="3"/>
  <c r="AU137" i="3"/>
  <c r="AN152" i="3"/>
  <c r="AR137" i="3"/>
  <c r="BB137" i="3"/>
  <c r="AX152" i="3"/>
  <c r="Y157" i="3"/>
  <c r="BA137" i="3"/>
  <c r="AW152" i="3"/>
  <c r="AB160" i="3"/>
  <c r="BC158" i="3"/>
  <c r="AV140" i="3"/>
  <c r="AU140" i="3"/>
  <c r="AW140" i="3"/>
  <c r="AX140" i="3"/>
  <c r="AV194" i="3"/>
  <c r="AW194" i="3"/>
  <c r="AU194" i="3"/>
  <c r="BB194" i="3"/>
  <c r="AV192" i="3"/>
  <c r="AY192" i="3"/>
  <c r="AQ183" i="3"/>
  <c r="AM186" i="3"/>
  <c r="AV182" i="3"/>
  <c r="AR186" i="3"/>
  <c r="AW182" i="3"/>
  <c r="AS186" i="3"/>
  <c r="AY182" i="3"/>
  <c r="AX182" i="3"/>
  <c r="AT186" i="3"/>
  <c r="P148" i="2" l="1"/>
  <c r="AD148" i="2" s="1"/>
  <c r="AD200" i="2"/>
  <c r="P164" i="2"/>
  <c r="AD164" i="2" s="1"/>
  <c r="AD159" i="2"/>
  <c r="S24" i="3"/>
  <c r="BQ24" i="3" s="1"/>
  <c r="AA151" i="3"/>
  <c r="AR199" i="3"/>
  <c r="W155" i="3"/>
  <c r="W157" i="3"/>
  <c r="AF133" i="3"/>
  <c r="AC146" i="3"/>
  <c r="AC7" i="3"/>
  <c r="AC10" i="3" s="1"/>
  <c r="AG129" i="3"/>
  <c r="AF136" i="3"/>
  <c r="AF139" i="3" s="1"/>
  <c r="AA139" i="3"/>
  <c r="AA146" i="3" s="1"/>
  <c r="AF162" i="3"/>
  <c r="W146" i="3"/>
  <c r="W7" i="3"/>
  <c r="AA70" i="3"/>
  <c r="R70" i="2" s="1"/>
  <c r="AR200" i="3"/>
  <c r="P154" i="2"/>
  <c r="AL15" i="3"/>
  <c r="AL198" i="3"/>
  <c r="AL199" i="3"/>
  <c r="AL201" i="3"/>
  <c r="AL200" i="3"/>
  <c r="AF151" i="3"/>
  <c r="X36" i="3"/>
  <c r="X39" i="3"/>
  <c r="V34" i="3"/>
  <c r="V24" i="3" s="1"/>
  <c r="AT192" i="3"/>
  <c r="BE168" i="3"/>
  <c r="Y36" i="3"/>
  <c r="Y39" i="3"/>
  <c r="P30" i="2"/>
  <c r="AD30" i="2" s="1"/>
  <c r="V28" i="3"/>
  <c r="T52" i="3"/>
  <c r="X27" i="3"/>
  <c r="X29" i="3" s="1"/>
  <c r="X42" i="3" s="1"/>
  <c r="P147" i="2"/>
  <c r="AD147" i="2" s="1"/>
  <c r="P205" i="2"/>
  <c r="AD205" i="2" s="1"/>
  <c r="Z7" i="3"/>
  <c r="Z146" i="3"/>
  <c r="AZ9" i="3"/>
  <c r="X9" i="2"/>
  <c r="Y21" i="3"/>
  <c r="X21" i="3"/>
  <c r="AM187" i="3"/>
  <c r="AM8" i="3"/>
  <c r="U8" i="2" s="1"/>
  <c r="P27" i="2"/>
  <c r="AD27" i="2" s="1"/>
  <c r="AM198" i="3"/>
  <c r="AM15" i="3"/>
  <c r="AM199" i="3"/>
  <c r="AM201" i="3"/>
  <c r="AM200" i="3"/>
  <c r="Y18" i="3"/>
  <c r="Y19" i="3"/>
  <c r="W17" i="3"/>
  <c r="Q16" i="2"/>
  <c r="AF16" i="2" s="1"/>
  <c r="AG198" i="3"/>
  <c r="AG15" i="3"/>
  <c r="T17" i="2" s="1"/>
  <c r="AG200" i="3"/>
  <c r="AG201" i="3"/>
  <c r="AG199" i="3"/>
  <c r="AT187" i="3"/>
  <c r="AT8" i="3"/>
  <c r="AZ23" i="3"/>
  <c r="X26" i="2"/>
  <c r="Z153" i="3"/>
  <c r="AB10" i="3"/>
  <c r="AR187" i="3"/>
  <c r="AR8" i="3"/>
  <c r="T30" i="3"/>
  <c r="AU168" i="3"/>
  <c r="AQ196" i="3"/>
  <c r="AQ197" i="3" s="1"/>
  <c r="AO196" i="3"/>
  <c r="AO197" i="3" s="1"/>
  <c r="AS192" i="3"/>
  <c r="Y27" i="3"/>
  <c r="AV25" i="3"/>
  <c r="W28" i="2"/>
  <c r="AT168" i="3"/>
  <c r="AP196" i="3"/>
  <c r="AP197" i="3" s="1"/>
  <c r="AZ168" i="3"/>
  <c r="AV196" i="3"/>
  <c r="AV197" i="3" s="1"/>
  <c r="T125" i="2"/>
  <c r="S124" i="2"/>
  <c r="AS187" i="3"/>
  <c r="AS8" i="3"/>
  <c r="AK15" i="3"/>
  <c r="AK198" i="3"/>
  <c r="AK199" i="3"/>
  <c r="AK200" i="3"/>
  <c r="AK201" i="3"/>
  <c r="U55" i="3"/>
  <c r="U45" i="3"/>
  <c r="U44" i="3"/>
  <c r="U43" i="3"/>
  <c r="AR198" i="3"/>
  <c r="AR15" i="3"/>
  <c r="S125" i="2"/>
  <c r="R124" i="2"/>
  <c r="T42" i="3"/>
  <c r="X18" i="3"/>
  <c r="X19" i="3"/>
  <c r="BA83" i="3"/>
  <c r="AR152" i="3"/>
  <c r="AV137" i="3"/>
  <c r="AY137" i="3"/>
  <c r="AU152" i="3"/>
  <c r="AA154" i="3"/>
  <c r="AA148" i="3"/>
  <c r="BA152" i="3"/>
  <c r="BE137" i="3"/>
  <c r="BB152" i="3"/>
  <c r="BF137" i="3"/>
  <c r="AB153" i="3"/>
  <c r="AC160" i="3"/>
  <c r="BG158" i="3"/>
  <c r="AZ140" i="3"/>
  <c r="BB140" i="3"/>
  <c r="BA140" i="3"/>
  <c r="AY140" i="3"/>
  <c r="AZ194" i="3"/>
  <c r="BF194" i="3"/>
  <c r="AY194" i="3"/>
  <c r="BA194" i="3"/>
  <c r="BC192" i="3"/>
  <c r="AZ192" i="3"/>
  <c r="AV186" i="3"/>
  <c r="AZ182" i="3"/>
  <c r="AU183" i="3"/>
  <c r="AQ186" i="3"/>
  <c r="AX186" i="3"/>
  <c r="BB182" i="3"/>
  <c r="BC182" i="3"/>
  <c r="AW186" i="3"/>
  <c r="BA182" i="3"/>
  <c r="P186" i="2" l="1"/>
  <c r="AD186" i="2" s="1"/>
  <c r="AD154" i="2"/>
  <c r="S29" i="3"/>
  <c r="BQ29" i="3" s="1"/>
  <c r="U17" i="2"/>
  <c r="V125" i="2" s="1"/>
  <c r="AF143" i="3"/>
  <c r="AG130" i="3"/>
  <c r="AG136" i="3"/>
  <c r="AC11" i="3"/>
  <c r="AC26" i="3" s="1"/>
  <c r="AC48" i="3"/>
  <c r="AA7" i="3"/>
  <c r="AA10" i="3" s="1"/>
  <c r="AJ129" i="3"/>
  <c r="AJ136" i="3" s="1"/>
  <c r="W10" i="3"/>
  <c r="Q7" i="2"/>
  <c r="AF7" i="2" s="1"/>
  <c r="AB70" i="3"/>
  <c r="AC70" i="3" s="1"/>
  <c r="AD70" i="3" s="1"/>
  <c r="AE70" i="3" s="1"/>
  <c r="S70" i="2" s="1"/>
  <c r="AV198" i="3"/>
  <c r="AV15" i="3"/>
  <c r="AV201" i="3"/>
  <c r="AV199" i="3"/>
  <c r="AV200" i="3"/>
  <c r="AP198" i="3"/>
  <c r="AP15" i="3"/>
  <c r="AP199" i="3"/>
  <c r="AP201" i="3"/>
  <c r="AP200" i="3"/>
  <c r="AO15" i="3"/>
  <c r="V17" i="2" s="1"/>
  <c r="AO200" i="3"/>
  <c r="AO199" i="3"/>
  <c r="AO201" i="3"/>
  <c r="AO198" i="3"/>
  <c r="AW187" i="3"/>
  <c r="AW8" i="3"/>
  <c r="BD168" i="3"/>
  <c r="AZ196" i="3"/>
  <c r="Z154" i="3"/>
  <c r="Z148" i="3"/>
  <c r="W18" i="3"/>
  <c r="W19" i="3"/>
  <c r="Q19" i="2"/>
  <c r="AF19" i="2" s="1"/>
  <c r="AE130" i="3"/>
  <c r="AE133" i="3" s="1"/>
  <c r="AE136" i="3"/>
  <c r="AQ15" i="3"/>
  <c r="AQ198" i="3"/>
  <c r="AQ199" i="3"/>
  <c r="AQ200" i="3"/>
  <c r="AQ201" i="3"/>
  <c r="Z10" i="3"/>
  <c r="R7" i="2"/>
  <c r="AA48" i="3"/>
  <c r="AA11" i="3"/>
  <c r="AX168" i="3"/>
  <c r="AT196" i="3"/>
  <c r="AT197" i="3" s="1"/>
  <c r="AY168" i="3"/>
  <c r="AU196" i="3"/>
  <c r="AU197" i="3" s="1"/>
  <c r="X30" i="3"/>
  <c r="AD130" i="3"/>
  <c r="AD133" i="3" s="1"/>
  <c r="AD136" i="3"/>
  <c r="BD23" i="3"/>
  <c r="Z26" i="2" s="1"/>
  <c r="Y26" i="2"/>
  <c r="V36" i="3"/>
  <c r="V39" i="3"/>
  <c r="AQ187" i="3"/>
  <c r="AQ8" i="3"/>
  <c r="V8" i="2" s="1"/>
  <c r="AZ25" i="3"/>
  <c r="X28" i="2"/>
  <c r="AF70" i="3"/>
  <c r="AG70" i="3" s="1"/>
  <c r="U71" i="3"/>
  <c r="U56" i="3"/>
  <c r="U58" i="3"/>
  <c r="U61" i="3" s="1"/>
  <c r="U57" i="3"/>
  <c r="BD9" i="3"/>
  <c r="Z9" i="2" s="1"/>
  <c r="Y9" i="2"/>
  <c r="Y52" i="3"/>
  <c r="Y81" i="3" s="1"/>
  <c r="V21" i="3"/>
  <c r="V27" i="3"/>
  <c r="V29" i="3" s="1"/>
  <c r="AV187" i="3"/>
  <c r="AV8" i="3"/>
  <c r="AA155" i="3"/>
  <c r="AA14" i="3"/>
  <c r="AA17" i="3" s="1"/>
  <c r="AX187" i="3"/>
  <c r="AX8" i="3"/>
  <c r="Y29" i="3"/>
  <c r="AZ197" i="3"/>
  <c r="AZ201" i="3" s="1"/>
  <c r="X44" i="3"/>
  <c r="X43" i="3"/>
  <c r="X45" i="3"/>
  <c r="X52" i="3"/>
  <c r="X55" i="3" s="1"/>
  <c r="AF146" i="3"/>
  <c r="AF7" i="3"/>
  <c r="U125" i="2"/>
  <c r="T124" i="2"/>
  <c r="T81" i="3"/>
  <c r="AX192" i="3"/>
  <c r="T55" i="3"/>
  <c r="T43" i="3"/>
  <c r="T45" i="3"/>
  <c r="T44" i="3"/>
  <c r="AS196" i="3"/>
  <c r="AS197" i="3" s="1"/>
  <c r="AW192" i="3"/>
  <c r="AB48" i="3"/>
  <c r="AB11" i="3"/>
  <c r="AB26" i="3" s="1"/>
  <c r="BB83" i="3"/>
  <c r="AB154" i="3"/>
  <c r="AB148" i="3"/>
  <c r="AZ137" i="3"/>
  <c r="AV152" i="3"/>
  <c r="AA157" i="3"/>
  <c r="BF152" i="3"/>
  <c r="AY152" i="3"/>
  <c r="BC137" i="3"/>
  <c r="BG137" i="3" s="1"/>
  <c r="BG152" i="3" s="1"/>
  <c r="BE152" i="3"/>
  <c r="AC153" i="3"/>
  <c r="AD160" i="3"/>
  <c r="BF140" i="3"/>
  <c r="BD140" i="3"/>
  <c r="BC140" i="3"/>
  <c r="BE140" i="3"/>
  <c r="BE194" i="3"/>
  <c r="BC194" i="3"/>
  <c r="BD194" i="3"/>
  <c r="BD192" i="3"/>
  <c r="BG192" i="3"/>
  <c r="BD182" i="3"/>
  <c r="BD186" i="3" s="1"/>
  <c r="BD8" i="3" s="1"/>
  <c r="AZ186" i="3"/>
  <c r="AY183" i="3"/>
  <c r="AU186" i="3"/>
  <c r="BE182" i="3"/>
  <c r="BE186" i="3" s="1"/>
  <c r="BE8" i="3" s="1"/>
  <c r="BA186" i="3"/>
  <c r="BG182" i="3"/>
  <c r="BF182" i="3"/>
  <c r="BF186" i="3" s="1"/>
  <c r="BF8" i="3" s="1"/>
  <c r="BB186" i="3"/>
  <c r="P31" i="2" l="1"/>
  <c r="S30" i="3"/>
  <c r="BQ30" i="3" s="1"/>
  <c r="S37" i="3"/>
  <c r="BQ37" i="3" s="1"/>
  <c r="S42" i="3"/>
  <c r="U124" i="2"/>
  <c r="AZ200" i="3"/>
  <c r="AJ130" i="3"/>
  <c r="AJ162" i="3" s="1"/>
  <c r="AC34" i="3"/>
  <c r="AC24" i="3" s="1"/>
  <c r="AC28" i="3"/>
  <c r="AG151" i="3"/>
  <c r="AG143" i="3"/>
  <c r="AG145" i="3"/>
  <c r="AG138" i="3" s="1"/>
  <c r="AG139" i="3" s="1"/>
  <c r="AG133" i="3"/>
  <c r="AG162" i="3"/>
  <c r="AH129" i="3"/>
  <c r="AI129" i="3"/>
  <c r="W48" i="3"/>
  <c r="Q43" i="2" s="1"/>
  <c r="AF43" i="2" s="1"/>
  <c r="W11" i="3"/>
  <c r="W26" i="3" s="1"/>
  <c r="AA26" i="3" s="1"/>
  <c r="Q10" i="2"/>
  <c r="AF10" i="2" s="1"/>
  <c r="AS198" i="3"/>
  <c r="AS15" i="3"/>
  <c r="AS200" i="3"/>
  <c r="AS199" i="3"/>
  <c r="AS201" i="3"/>
  <c r="Y83" i="2"/>
  <c r="BB192" i="3"/>
  <c r="AZ15" i="3"/>
  <c r="AZ198" i="3"/>
  <c r="AJ151" i="3"/>
  <c r="AJ143" i="3"/>
  <c r="AD151" i="3"/>
  <c r="AD143" i="3"/>
  <c r="BC168" i="3"/>
  <c r="AY196" i="3"/>
  <c r="AY197" i="3" s="1"/>
  <c r="Z14" i="3"/>
  <c r="Z155" i="3"/>
  <c r="Z157" i="3"/>
  <c r="AB157" i="3"/>
  <c r="AB14" i="3"/>
  <c r="AT198" i="3"/>
  <c r="AT15" i="3"/>
  <c r="AT199" i="3"/>
  <c r="AT200" i="3"/>
  <c r="AT201" i="3"/>
  <c r="AF10" i="3"/>
  <c r="V52" i="3"/>
  <c r="AD145" i="3"/>
  <c r="AD138" i="3" s="1"/>
  <c r="AD153" i="3" s="1"/>
  <c r="AD162" i="3"/>
  <c r="BB168" i="3"/>
  <c r="AX196" i="3"/>
  <c r="AX197" i="3" s="1"/>
  <c r="BD196" i="3"/>
  <c r="BD197" i="3" s="1"/>
  <c r="BD200" i="3" s="1"/>
  <c r="AE143" i="3"/>
  <c r="AE151" i="3"/>
  <c r="AW196" i="3"/>
  <c r="AW197" i="3" s="1"/>
  <c r="BA192" i="3"/>
  <c r="Y30" i="3"/>
  <c r="Y42" i="3"/>
  <c r="AZ187" i="3"/>
  <c r="AZ8" i="3"/>
  <c r="AE145" i="3"/>
  <c r="AE138" i="3" s="1"/>
  <c r="AE139" i="3" s="1"/>
  <c r="AE162" i="3"/>
  <c r="BB187" i="3"/>
  <c r="BB8" i="3"/>
  <c r="AU15" i="3"/>
  <c r="AU21" i="3" s="1"/>
  <c r="AU198" i="3"/>
  <c r="AU199" i="3"/>
  <c r="AU200" i="3"/>
  <c r="AU201" i="3"/>
  <c r="BA187" i="3"/>
  <c r="BA8" i="3"/>
  <c r="AU187" i="3"/>
  <c r="AU8" i="3"/>
  <c r="W8" i="2" s="1"/>
  <c r="X81" i="3"/>
  <c r="AA34" i="3"/>
  <c r="V30" i="3"/>
  <c r="V42" i="3"/>
  <c r="BC83" i="3"/>
  <c r="BD83" i="3" s="1"/>
  <c r="BE83" i="3" s="1"/>
  <c r="P35" i="2"/>
  <c r="AD35" i="2" s="1"/>
  <c r="T71" i="3"/>
  <c r="T58" i="3"/>
  <c r="T61" i="3" s="1"/>
  <c r="T57" i="3"/>
  <c r="T56" i="3"/>
  <c r="X71" i="3"/>
  <c r="X57" i="3"/>
  <c r="X56" i="3"/>
  <c r="X58" i="3"/>
  <c r="X61" i="3" s="1"/>
  <c r="BD25" i="3"/>
  <c r="Z28" i="2" s="1"/>
  <c r="Y28" i="2"/>
  <c r="AB34" i="3"/>
  <c r="AB24" i="3" s="1"/>
  <c r="AB28" i="3"/>
  <c r="M29" i="1"/>
  <c r="Q20" i="2"/>
  <c r="AF20" i="2" s="1"/>
  <c r="AA19" i="3"/>
  <c r="AA18" i="3"/>
  <c r="U76" i="3"/>
  <c r="U79" i="3" s="1"/>
  <c r="U82" i="3" s="1"/>
  <c r="U84" i="3" s="1"/>
  <c r="AZ199" i="3"/>
  <c r="AH70" i="3"/>
  <c r="Z48" i="3"/>
  <c r="R43" i="2" s="1"/>
  <c r="Z11" i="3"/>
  <c r="Z26" i="3" s="1"/>
  <c r="R10" i="2"/>
  <c r="AV21" i="3"/>
  <c r="W125" i="2"/>
  <c r="V124" i="2"/>
  <c r="BC152" i="3"/>
  <c r="AC154" i="3"/>
  <c r="AC157" i="3" s="1"/>
  <c r="AC148" i="3"/>
  <c r="AZ152" i="3"/>
  <c r="BD137" i="3"/>
  <c r="AB155" i="3"/>
  <c r="AE160" i="3"/>
  <c r="BG140" i="3"/>
  <c r="BG194" i="3"/>
  <c r="BD187" i="3"/>
  <c r="BC183" i="3"/>
  <c r="AY186" i="3"/>
  <c r="BF187" i="3"/>
  <c r="BE187" i="3"/>
  <c r="P32" i="2" l="1"/>
  <c r="AD32" i="2" s="1"/>
  <c r="AD31" i="2"/>
  <c r="BQ42" i="3"/>
  <c r="S55" i="3"/>
  <c r="S44" i="3"/>
  <c r="BQ44" i="3" s="1"/>
  <c r="S43" i="3"/>
  <c r="BQ43" i="3" s="1"/>
  <c r="S45" i="3"/>
  <c r="BQ45" i="3" s="1"/>
  <c r="AG7" i="3"/>
  <c r="AG10" i="3" s="1"/>
  <c r="AG146" i="3"/>
  <c r="AK129" i="3"/>
  <c r="AC36" i="3"/>
  <c r="AC39" i="3"/>
  <c r="AC27" i="3"/>
  <c r="AJ145" i="3"/>
  <c r="AJ138" i="3" s="1"/>
  <c r="AJ139" i="3" s="1"/>
  <c r="AJ146" i="3" s="1"/>
  <c r="AJ133" i="3"/>
  <c r="Q44" i="2"/>
  <c r="AF44" i="2" s="1"/>
  <c r="T29" i="1"/>
  <c r="Q159" i="2"/>
  <c r="Q11" i="2"/>
  <c r="AF11" i="2" s="1"/>
  <c r="Q200" i="2"/>
  <c r="Q145" i="2"/>
  <c r="AF145" i="2" s="1"/>
  <c r="Q199" i="2"/>
  <c r="AF199" i="2" s="1"/>
  <c r="Q146" i="2"/>
  <c r="AF146" i="2" s="1"/>
  <c r="W34" i="3"/>
  <c r="W24" i="3" s="1"/>
  <c r="W28" i="3"/>
  <c r="R44" i="2"/>
  <c r="W17" i="2"/>
  <c r="X125" i="2" s="1"/>
  <c r="AD139" i="3"/>
  <c r="AD146" i="3" s="1"/>
  <c r="AX15" i="3"/>
  <c r="AX21" i="3" s="1"/>
  <c r="AX198" i="3"/>
  <c r="AX199" i="3"/>
  <c r="AX200" i="3"/>
  <c r="AX201" i="3"/>
  <c r="AW15" i="3"/>
  <c r="AW198" i="3"/>
  <c r="AW201" i="3"/>
  <c r="AW200" i="3"/>
  <c r="AW199" i="3"/>
  <c r="V81" i="3"/>
  <c r="AZ21" i="3"/>
  <c r="T76" i="3"/>
  <c r="V55" i="3"/>
  <c r="V45" i="3"/>
  <c r="V44" i="3"/>
  <c r="V43" i="3"/>
  <c r="AF48" i="3"/>
  <c r="AF11" i="3"/>
  <c r="BF192" i="3"/>
  <c r="BD198" i="3"/>
  <c r="BD15" i="3"/>
  <c r="Z17" i="3"/>
  <c r="R16" i="2"/>
  <c r="BD199" i="3"/>
  <c r="AY198" i="3"/>
  <c r="AY15" i="3"/>
  <c r="AY21" i="3" s="1"/>
  <c r="AY199" i="3"/>
  <c r="AY201" i="3"/>
  <c r="AY200" i="3"/>
  <c r="AI70" i="3"/>
  <c r="BF168" i="3"/>
  <c r="BB196" i="3"/>
  <c r="BB197" i="3" s="1"/>
  <c r="BG168" i="3"/>
  <c r="BG196" i="3" s="1"/>
  <c r="BG197" i="3" s="1"/>
  <c r="BC196" i="3"/>
  <c r="BC197" i="3" s="1"/>
  <c r="BD201" i="3"/>
  <c r="U29" i="1"/>
  <c r="R159" i="2"/>
  <c r="R164" i="2" s="1"/>
  <c r="R145" i="2"/>
  <c r="R11" i="2"/>
  <c r="R146" i="2"/>
  <c r="R199" i="2"/>
  <c r="R200" i="2"/>
  <c r="P50" i="2"/>
  <c r="AD50" i="2" s="1"/>
  <c r="Y55" i="3"/>
  <c r="Y44" i="3"/>
  <c r="Y43" i="3"/>
  <c r="Y45" i="3"/>
  <c r="Z34" i="3"/>
  <c r="Z24" i="3" s="1"/>
  <c r="Z28" i="3"/>
  <c r="P185" i="2"/>
  <c r="P37" i="2"/>
  <c r="AD37" i="2" s="1"/>
  <c r="P38" i="2"/>
  <c r="AD38" i="2" s="1"/>
  <c r="P36" i="2"/>
  <c r="AD36" i="2" s="1"/>
  <c r="S24" i="1"/>
  <c r="AE146" i="3"/>
  <c r="AE7" i="3"/>
  <c r="AE10" i="3" s="1"/>
  <c r="X76" i="3"/>
  <c r="AY187" i="3"/>
  <c r="AY8" i="3"/>
  <c r="X8" i="2" s="1"/>
  <c r="AC155" i="3"/>
  <c r="AC14" i="3"/>
  <c r="AC17" i="3" s="1"/>
  <c r="BA196" i="3"/>
  <c r="BA197" i="3" s="1"/>
  <c r="BE192" i="3"/>
  <c r="AB17" i="3"/>
  <c r="AB27" i="3"/>
  <c r="AB36" i="3"/>
  <c r="AB39" i="3"/>
  <c r="BF83" i="3"/>
  <c r="BG83" i="3" s="1"/>
  <c r="BD152" i="3"/>
  <c r="AD154" i="3"/>
  <c r="AD14" i="3" s="1"/>
  <c r="AD17" i="3" s="1"/>
  <c r="AD148" i="3"/>
  <c r="AF160" i="3"/>
  <c r="AE153" i="3"/>
  <c r="BG183" i="3"/>
  <c r="BG186" i="3" s="1"/>
  <c r="BG8" i="3" s="1"/>
  <c r="Z8" i="2" s="1"/>
  <c r="BC186" i="3"/>
  <c r="AF34" i="3" l="1"/>
  <c r="AF24" i="3" s="1"/>
  <c r="AF26" i="3"/>
  <c r="AF39" i="3" s="1"/>
  <c r="P188" i="2"/>
  <c r="AD188" i="2" s="1"/>
  <c r="AD185" i="2"/>
  <c r="Q148" i="2"/>
  <c r="AF148" i="2" s="1"/>
  <c r="AF200" i="2"/>
  <c r="Q164" i="2"/>
  <c r="AF164" i="2" s="1"/>
  <c r="AF159" i="2"/>
  <c r="S57" i="3"/>
  <c r="BQ57" i="3" s="1"/>
  <c r="BQ55" i="3"/>
  <c r="S56" i="3"/>
  <c r="BQ56" i="3" s="1"/>
  <c r="S58" i="3"/>
  <c r="S61" i="3" s="1"/>
  <c r="S71" i="3"/>
  <c r="BF196" i="3"/>
  <c r="BF197" i="3" s="1"/>
  <c r="BF199" i="3" s="1"/>
  <c r="AD7" i="3"/>
  <c r="S7" i="2" s="1"/>
  <c r="AN129" i="3"/>
  <c r="AC29" i="3"/>
  <c r="AC30" i="3" s="1"/>
  <c r="AC52" i="3"/>
  <c r="AC81" i="3" s="1"/>
  <c r="AK130" i="3"/>
  <c r="AK136" i="3"/>
  <c r="AJ7" i="3"/>
  <c r="AJ10" i="3" s="1"/>
  <c r="AG11" i="3"/>
  <c r="AG26" i="3" s="1"/>
  <c r="AG48" i="3"/>
  <c r="AF28" i="3"/>
  <c r="W39" i="3"/>
  <c r="W36" i="3"/>
  <c r="Q29" i="2"/>
  <c r="AF29" i="2" s="1"/>
  <c r="R29" i="2"/>
  <c r="Q30" i="2"/>
  <c r="AF30" i="2" s="1"/>
  <c r="AA28" i="3"/>
  <c r="W21" i="3"/>
  <c r="W27" i="3"/>
  <c r="W52" i="3" s="1"/>
  <c r="Q27" i="2"/>
  <c r="AF27" i="2" s="1"/>
  <c r="Q205" i="2"/>
  <c r="AF205" i="2" s="1"/>
  <c r="Q147" i="2"/>
  <c r="Q154" i="2"/>
  <c r="AA24" i="3"/>
  <c r="R27" i="2" s="1"/>
  <c r="AD155" i="3"/>
  <c r="AD157" i="3"/>
  <c r="R154" i="2"/>
  <c r="W124" i="2"/>
  <c r="BG200" i="3"/>
  <c r="BA15" i="3"/>
  <c r="BA200" i="3"/>
  <c r="BA201" i="3"/>
  <c r="BA199" i="3"/>
  <c r="BA198" i="3"/>
  <c r="Z83" i="2"/>
  <c r="R30" i="2"/>
  <c r="Z36" i="3"/>
  <c r="Z39" i="3"/>
  <c r="BC15" i="3"/>
  <c r="BC21" i="3" s="1"/>
  <c r="BC198" i="3"/>
  <c r="BC199" i="3"/>
  <c r="BC200" i="3"/>
  <c r="BC201" i="3"/>
  <c r="AD10" i="3"/>
  <c r="AD19" i="3" s="1"/>
  <c r="P51" i="2"/>
  <c r="AD51" i="2" s="1"/>
  <c r="L34" i="1"/>
  <c r="P52" i="2"/>
  <c r="AD52" i="2" s="1"/>
  <c r="P53" i="2"/>
  <c r="Z18" i="3"/>
  <c r="Z19" i="3"/>
  <c r="R19" i="2"/>
  <c r="AW21" i="3"/>
  <c r="X17" i="2"/>
  <c r="AE48" i="3"/>
  <c r="AE11" i="3"/>
  <c r="AE26" i="3" s="1"/>
  <c r="P71" i="2"/>
  <c r="AD71" i="2" s="1"/>
  <c r="R205" i="2"/>
  <c r="Z27" i="3"/>
  <c r="AD18" i="3"/>
  <c r="AJ70" i="3"/>
  <c r="T70" i="2"/>
  <c r="BD21" i="3"/>
  <c r="V71" i="3"/>
  <c r="V58" i="3"/>
  <c r="V61" i="3" s="1"/>
  <c r="V56" i="3"/>
  <c r="V57" i="3"/>
  <c r="BG201" i="3"/>
  <c r="AB52" i="3"/>
  <c r="AB29" i="3"/>
  <c r="AB42" i="3" s="1"/>
  <c r="T79" i="3"/>
  <c r="BC187" i="3"/>
  <c r="BC8" i="3"/>
  <c r="Y8" i="2" s="1"/>
  <c r="Y71" i="3"/>
  <c r="Y56" i="3"/>
  <c r="Y58" i="3"/>
  <c r="Y61" i="3" s="1"/>
  <c r="Y57" i="3"/>
  <c r="BB198" i="3"/>
  <c r="BB15" i="3"/>
  <c r="BB21" i="3" s="1"/>
  <c r="BB199" i="3"/>
  <c r="BB200" i="3"/>
  <c r="BB201" i="3"/>
  <c r="AI130" i="3"/>
  <c r="AI133" i="3" s="1"/>
  <c r="AI136" i="3"/>
  <c r="AC19" i="3"/>
  <c r="AC18" i="3"/>
  <c r="X79" i="3"/>
  <c r="BG15" i="3"/>
  <c r="BG198" i="3"/>
  <c r="BG199" i="3"/>
  <c r="AH130" i="3"/>
  <c r="AH133" i="3" s="1"/>
  <c r="AH136" i="3"/>
  <c r="AB19" i="3"/>
  <c r="AB18" i="3"/>
  <c r="BE196" i="3"/>
  <c r="BE197" i="3" s="1"/>
  <c r="P194" i="2"/>
  <c r="AD194" i="2" s="1"/>
  <c r="AE154" i="3"/>
  <c r="AE14" i="3" s="1"/>
  <c r="AE148" i="3"/>
  <c r="AG160" i="3"/>
  <c r="AF153" i="3"/>
  <c r="BG187" i="3"/>
  <c r="AJ26" i="3" l="1"/>
  <c r="P58" i="2"/>
  <c r="AD58" i="2" s="1"/>
  <c r="AD53" i="2"/>
  <c r="Q186" i="2"/>
  <c r="AF186" i="2" s="1"/>
  <c r="AF154" i="2"/>
  <c r="R148" i="2"/>
  <c r="R147" i="2"/>
  <c r="AF147" i="2"/>
  <c r="BQ71" i="3"/>
  <c r="S76" i="3"/>
  <c r="BQ58" i="3"/>
  <c r="BQ61" i="3"/>
  <c r="AC42" i="3"/>
  <c r="AC55" i="3" s="1"/>
  <c r="BG21" i="3"/>
  <c r="AF36" i="3"/>
  <c r="W29" i="3"/>
  <c r="W42" i="3" s="1"/>
  <c r="R186" i="2"/>
  <c r="AL129" i="3"/>
  <c r="AF27" i="3"/>
  <c r="AF29" i="3" s="1"/>
  <c r="AG34" i="3"/>
  <c r="AG24" i="3" s="1"/>
  <c r="AG28" i="3"/>
  <c r="AK143" i="3"/>
  <c r="AK151" i="3"/>
  <c r="AK145" i="3"/>
  <c r="AK138" i="3" s="1"/>
  <c r="AK139" i="3" s="1"/>
  <c r="AK162" i="3"/>
  <c r="AK133" i="3"/>
  <c r="AN136" i="3"/>
  <c r="AN130" i="3"/>
  <c r="AM129" i="3"/>
  <c r="AA27" i="3"/>
  <c r="Q31" i="2"/>
  <c r="W81" i="3"/>
  <c r="Q81" i="2" s="1"/>
  <c r="Q47" i="2"/>
  <c r="AA36" i="3"/>
  <c r="AA39" i="3"/>
  <c r="BE198" i="3"/>
  <c r="BE15" i="3"/>
  <c r="BE201" i="3"/>
  <c r="BE200" i="3"/>
  <c r="BE199" i="3"/>
  <c r="AE17" i="3"/>
  <c r="S16" i="2"/>
  <c r="T82" i="3"/>
  <c r="AE34" i="3"/>
  <c r="AE24" i="3" s="1"/>
  <c r="AE28" i="3"/>
  <c r="AJ48" i="3"/>
  <c r="AJ11" i="3"/>
  <c r="AD11" i="3"/>
  <c r="AD26" i="3" s="1"/>
  <c r="AD48" i="3"/>
  <c r="S43" i="2" s="1"/>
  <c r="S10" i="2"/>
  <c r="Y125" i="2"/>
  <c r="X124" i="2"/>
  <c r="X82" i="3"/>
  <c r="AB55" i="3"/>
  <c r="AB43" i="3"/>
  <c r="AB45" i="3"/>
  <c r="AB44" i="3"/>
  <c r="BF198" i="3"/>
  <c r="BF15" i="3"/>
  <c r="BF21" i="3" s="1"/>
  <c r="BF200" i="3"/>
  <c r="BF201" i="3"/>
  <c r="AI143" i="3"/>
  <c r="AI151" i="3"/>
  <c r="AB30" i="3"/>
  <c r="V76" i="3"/>
  <c r="AH143" i="3"/>
  <c r="AH151" i="3"/>
  <c r="AI145" i="3"/>
  <c r="AI138" i="3" s="1"/>
  <c r="AI162" i="3"/>
  <c r="Y76" i="3"/>
  <c r="Y79" i="3" s="1"/>
  <c r="Y82" i="3" s="1"/>
  <c r="Y84" i="3" s="1"/>
  <c r="N29" i="1"/>
  <c r="R20" i="2"/>
  <c r="AH145" i="3"/>
  <c r="AH138" i="3" s="1"/>
  <c r="AH139" i="3" s="1"/>
  <c r="AH162" i="3"/>
  <c r="AK70" i="3"/>
  <c r="AE157" i="3"/>
  <c r="AE155" i="3"/>
  <c r="Z29" i="3"/>
  <c r="Z52" i="3"/>
  <c r="AB81" i="3"/>
  <c r="BA21" i="3"/>
  <c r="Y17" i="2"/>
  <c r="AF154" i="3"/>
  <c r="AF14" i="3" s="1"/>
  <c r="AF148" i="3"/>
  <c r="AH160" i="3"/>
  <c r="AG153" i="3"/>
  <c r="Q211" i="2" l="1"/>
  <c r="AF211" i="2" s="1"/>
  <c r="AF47" i="2"/>
  <c r="Q187" i="2"/>
  <c r="AF187" i="2" s="1"/>
  <c r="AF81" i="2"/>
  <c r="Q32" i="2"/>
  <c r="AF32" i="2" s="1"/>
  <c r="AF31" i="2"/>
  <c r="W30" i="3"/>
  <c r="S79" i="3"/>
  <c r="P76" i="2"/>
  <c r="AD76" i="2" s="1"/>
  <c r="BQ76" i="3"/>
  <c r="AC45" i="3"/>
  <c r="AC43" i="3"/>
  <c r="AC44" i="3"/>
  <c r="AF52" i="3"/>
  <c r="AF81" i="3" s="1"/>
  <c r="AK7" i="3"/>
  <c r="AK10" i="3" s="1"/>
  <c r="AK146" i="3"/>
  <c r="AG39" i="3"/>
  <c r="AG36" i="3"/>
  <c r="AG27" i="3"/>
  <c r="AG52" i="3" s="1"/>
  <c r="AG81" i="3" s="1"/>
  <c r="AO129" i="3"/>
  <c r="AN145" i="3"/>
  <c r="AN138" i="3" s="1"/>
  <c r="AN139" i="3" s="1"/>
  <c r="AN162" i="3"/>
  <c r="AN133" i="3"/>
  <c r="AN143" i="3"/>
  <c r="AN151" i="3"/>
  <c r="AF157" i="3"/>
  <c r="AA29" i="3"/>
  <c r="R31" i="2" s="1"/>
  <c r="R32" i="2" s="1"/>
  <c r="AA52" i="3"/>
  <c r="AA81" i="3" s="1"/>
  <c r="AF155" i="3"/>
  <c r="W43" i="3"/>
  <c r="W55" i="3"/>
  <c r="W44" i="3"/>
  <c r="W45" i="3"/>
  <c r="Q35" i="2"/>
  <c r="AF35" i="2" s="1"/>
  <c r="S44" i="2"/>
  <c r="AH146" i="3"/>
  <c r="AH7" i="3"/>
  <c r="P79" i="2"/>
  <c r="AD79" i="2" s="1"/>
  <c r="AF17" i="3"/>
  <c r="AF30" i="3" s="1"/>
  <c r="AB71" i="3"/>
  <c r="AB58" i="3"/>
  <c r="AB61" i="3" s="1"/>
  <c r="AB57" i="3"/>
  <c r="AB56" i="3"/>
  <c r="AE18" i="3"/>
  <c r="AE19" i="3"/>
  <c r="S19" i="2"/>
  <c r="X84" i="3"/>
  <c r="Y124" i="2"/>
  <c r="Z125" i="2"/>
  <c r="Z81" i="3"/>
  <c r="Z30" i="3"/>
  <c r="Z42" i="3"/>
  <c r="AJ34" i="3"/>
  <c r="AJ24" i="3" s="1"/>
  <c r="AJ28" i="3"/>
  <c r="V79" i="3"/>
  <c r="S11" i="2"/>
  <c r="S159" i="2"/>
  <c r="S164" i="2" s="1"/>
  <c r="S199" i="2"/>
  <c r="S147" i="2" s="1"/>
  <c r="S146" i="2"/>
  <c r="S145" i="2"/>
  <c r="S200" i="2"/>
  <c r="AC71" i="3"/>
  <c r="AC58" i="3"/>
  <c r="AC61" i="3" s="1"/>
  <c r="AC56" i="3"/>
  <c r="AC57" i="3"/>
  <c r="AE36" i="3"/>
  <c r="AE39" i="3"/>
  <c r="AD34" i="3"/>
  <c r="AD24" i="3" s="1"/>
  <c r="AD28" i="3"/>
  <c r="AE27" i="3"/>
  <c r="AI139" i="3"/>
  <c r="T84" i="3"/>
  <c r="BE21" i="3"/>
  <c r="Z17" i="2"/>
  <c r="Z124" i="2" s="1"/>
  <c r="AL70" i="3"/>
  <c r="AG154" i="3"/>
  <c r="AG14" i="3" s="1"/>
  <c r="AG17" i="3" s="1"/>
  <c r="AG148" i="3"/>
  <c r="AI160" i="3"/>
  <c r="AH153" i="3"/>
  <c r="Q87" i="2" l="1"/>
  <c r="AF87" i="2" s="1"/>
  <c r="Q173" i="2"/>
  <c r="AF173" i="2" s="1"/>
  <c r="P190" i="2"/>
  <c r="P77" i="2"/>
  <c r="AD77" i="2" s="1"/>
  <c r="S82" i="3"/>
  <c r="BQ79" i="3"/>
  <c r="AG29" i="3"/>
  <c r="AG42" i="3" s="1"/>
  <c r="AO136" i="3"/>
  <c r="AO130" i="3"/>
  <c r="AN7" i="3"/>
  <c r="AN10" i="3" s="1"/>
  <c r="AN146" i="3"/>
  <c r="AR129" i="3"/>
  <c r="AK48" i="3"/>
  <c r="AK11" i="3"/>
  <c r="AK26" i="3" s="1"/>
  <c r="R47" i="2"/>
  <c r="R211" i="2" s="1"/>
  <c r="R173" i="2" s="1"/>
  <c r="AG157" i="3"/>
  <c r="AG155" i="3"/>
  <c r="AA30" i="3"/>
  <c r="AA42" i="3"/>
  <c r="R35" i="2" s="1"/>
  <c r="T24" i="1"/>
  <c r="Q185" i="2"/>
  <c r="Q36" i="2"/>
  <c r="AF36" i="2" s="1"/>
  <c r="Q37" i="2"/>
  <c r="AF37" i="2" s="1"/>
  <c r="Q38" i="2"/>
  <c r="AF38" i="2" s="1"/>
  <c r="W71" i="3"/>
  <c r="W56" i="3"/>
  <c r="W57" i="3"/>
  <c r="W58" i="3"/>
  <c r="W61" i="3" s="1"/>
  <c r="Q50" i="2"/>
  <c r="AF50" i="2" s="1"/>
  <c r="S154" i="2"/>
  <c r="S186" i="2" s="1"/>
  <c r="AJ27" i="3"/>
  <c r="AJ29" i="3" s="1"/>
  <c r="AF18" i="3"/>
  <c r="AF19" i="3"/>
  <c r="AF42" i="3"/>
  <c r="S20" i="2"/>
  <c r="Z55" i="3"/>
  <c r="Z45" i="3"/>
  <c r="Z44" i="3"/>
  <c r="Z43" i="3"/>
  <c r="AJ36" i="3"/>
  <c r="AJ39" i="3"/>
  <c r="S27" i="2"/>
  <c r="AD27" i="3"/>
  <c r="AI146" i="3"/>
  <c r="AI7" i="3"/>
  <c r="AI10" i="3" s="1"/>
  <c r="S205" i="2"/>
  <c r="S148" i="2"/>
  <c r="AG19" i="3"/>
  <c r="AG18" i="3"/>
  <c r="AD36" i="3"/>
  <c r="AD39" i="3"/>
  <c r="S29" i="2"/>
  <c r="P82" i="2"/>
  <c r="AD82" i="2" s="1"/>
  <c r="V82" i="3"/>
  <c r="AM130" i="3"/>
  <c r="AM133" i="3" s="1"/>
  <c r="AM136" i="3"/>
  <c r="AE52" i="3"/>
  <c r="AE81" i="3" s="1"/>
  <c r="R81" i="2"/>
  <c r="R187" i="2" s="1"/>
  <c r="AE29" i="3"/>
  <c r="AC76" i="3"/>
  <c r="AC79" i="3" s="1"/>
  <c r="AC82" i="3" s="1"/>
  <c r="AC84" i="3" s="1"/>
  <c r="AL130" i="3"/>
  <c r="AL133" i="3" s="1"/>
  <c r="AL136" i="3"/>
  <c r="AB76" i="3"/>
  <c r="AB79" i="3" s="1"/>
  <c r="AM70" i="3"/>
  <c r="U70" i="2" s="1"/>
  <c r="AH10" i="3"/>
  <c r="T7" i="2"/>
  <c r="S30" i="2"/>
  <c r="L24" i="1"/>
  <c r="P92" i="2"/>
  <c r="AD92" i="2" s="1"/>
  <c r="AH154" i="3"/>
  <c r="AH14" i="3" s="1"/>
  <c r="AH17" i="3" s="1"/>
  <c r="AH148" i="3"/>
  <c r="AJ160" i="3"/>
  <c r="AI153" i="3"/>
  <c r="F27" i="1" l="1"/>
  <c r="Q88" i="2"/>
  <c r="Q90" i="2" s="1"/>
  <c r="AF90" i="2" s="1"/>
  <c r="Q188" i="2"/>
  <c r="AF185" i="2"/>
  <c r="P192" i="2"/>
  <c r="AD192" i="2" s="1"/>
  <c r="AD190" i="2"/>
  <c r="S84" i="3"/>
  <c r="BQ82" i="3"/>
  <c r="AG30" i="3"/>
  <c r="AQ129" i="3"/>
  <c r="AK34" i="3"/>
  <c r="AK24" i="3" s="1"/>
  <c r="AK28" i="3"/>
  <c r="AR130" i="3"/>
  <c r="AR136" i="3"/>
  <c r="AN48" i="3"/>
  <c r="AN11" i="3"/>
  <c r="AN26" i="3" s="1"/>
  <c r="AO145" i="3"/>
  <c r="AO138" i="3" s="1"/>
  <c r="AO139" i="3" s="1"/>
  <c r="AO162" i="3"/>
  <c r="AO133" i="3"/>
  <c r="AO143" i="3"/>
  <c r="AO151" i="3"/>
  <c r="AP129" i="3"/>
  <c r="R87" i="2"/>
  <c r="G27" i="1" s="1"/>
  <c r="AA45" i="3"/>
  <c r="AA44" i="3"/>
  <c r="AA55" i="3"/>
  <c r="AA43" i="3"/>
  <c r="Q52" i="2"/>
  <c r="AF52" i="2" s="1"/>
  <c r="M34" i="1"/>
  <c r="Q53" i="2"/>
  <c r="Q51" i="2"/>
  <c r="AF51" i="2" s="1"/>
  <c r="W76" i="3"/>
  <c r="Q71" i="2"/>
  <c r="AF71" i="2" s="1"/>
  <c r="AH157" i="3"/>
  <c r="AH19" i="3"/>
  <c r="AH18" i="3"/>
  <c r="AE30" i="3"/>
  <c r="AE42" i="3"/>
  <c r="P93" i="2"/>
  <c r="AD93" i="2" s="1"/>
  <c r="E29" i="1"/>
  <c r="E23" i="1" s="1"/>
  <c r="P98" i="2"/>
  <c r="AD98" i="2" s="1"/>
  <c r="AH48" i="3"/>
  <c r="T43" i="2" s="1"/>
  <c r="AH11" i="3"/>
  <c r="AH26" i="3" s="1"/>
  <c r="T10" i="2"/>
  <c r="AF55" i="3"/>
  <c r="AF43" i="3"/>
  <c r="AF44" i="3"/>
  <c r="AF45" i="3"/>
  <c r="AM143" i="3"/>
  <c r="AM151" i="3"/>
  <c r="AM145" i="3"/>
  <c r="AM138" i="3" s="1"/>
  <c r="AM162" i="3"/>
  <c r="U24" i="1"/>
  <c r="R36" i="2"/>
  <c r="R37" i="2"/>
  <c r="R185" i="2"/>
  <c r="R188" i="2" s="1"/>
  <c r="R38" i="2"/>
  <c r="AG55" i="3"/>
  <c r="AG45" i="3"/>
  <c r="AG44" i="3"/>
  <c r="AG43" i="3"/>
  <c r="AD29" i="3"/>
  <c r="AD52" i="3"/>
  <c r="AB82" i="3"/>
  <c r="AL143" i="3"/>
  <c r="AL151" i="3"/>
  <c r="AL145" i="3"/>
  <c r="AL138" i="3" s="1"/>
  <c r="AL162" i="3"/>
  <c r="AI48" i="3"/>
  <c r="AI11" i="3"/>
  <c r="AI26" i="3" s="1"/>
  <c r="AH155" i="3"/>
  <c r="AN70" i="3"/>
  <c r="AO70" i="3" s="1"/>
  <c r="V84" i="3"/>
  <c r="Z71" i="3"/>
  <c r="Z56" i="3"/>
  <c r="Z57" i="3"/>
  <c r="Z58" i="3"/>
  <c r="Z61" i="3" s="1"/>
  <c r="R50" i="2"/>
  <c r="AJ52" i="3"/>
  <c r="AI154" i="3"/>
  <c r="AI14" i="3" s="1"/>
  <c r="AI17" i="3" s="1"/>
  <c r="T19" i="2" s="1"/>
  <c r="T20" i="2" s="1"/>
  <c r="AI148" i="3"/>
  <c r="AK160" i="3"/>
  <c r="AJ153" i="3"/>
  <c r="AF88" i="2" l="1"/>
  <c r="Q58" i="2"/>
  <c r="AF58" i="2" s="1"/>
  <c r="AF53" i="2"/>
  <c r="Q194" i="2"/>
  <c r="AF194" i="2" s="1"/>
  <c r="AF188" i="2"/>
  <c r="BQ84" i="3"/>
  <c r="P84" i="2"/>
  <c r="AD84" i="2" s="1"/>
  <c r="R88" i="2"/>
  <c r="R90" i="2" s="1"/>
  <c r="AO146" i="3"/>
  <c r="AO7" i="3"/>
  <c r="AO10" i="3" s="1"/>
  <c r="AN34" i="3"/>
  <c r="AN24" i="3" s="1"/>
  <c r="AN28" i="3"/>
  <c r="AR143" i="3"/>
  <c r="AR151" i="3"/>
  <c r="AR145" i="3"/>
  <c r="AR138" i="3" s="1"/>
  <c r="AR139" i="3" s="1"/>
  <c r="AR133" i="3"/>
  <c r="AR162" i="3"/>
  <c r="AK36" i="3"/>
  <c r="AK39" i="3"/>
  <c r="AK27" i="3"/>
  <c r="AK52" i="3" s="1"/>
  <c r="AK81" i="3" s="1"/>
  <c r="AS129" i="3"/>
  <c r="AI155" i="3"/>
  <c r="AA71" i="3"/>
  <c r="AA76" i="3" s="1"/>
  <c r="AA79" i="3" s="1"/>
  <c r="AA82" i="3" s="1"/>
  <c r="AA84" i="3" s="1"/>
  <c r="AA57" i="3"/>
  <c r="AA56" i="3"/>
  <c r="AA58" i="3"/>
  <c r="AA61" i="3" s="1"/>
  <c r="W79" i="3"/>
  <c r="Q76" i="2"/>
  <c r="AF76" i="2" s="1"/>
  <c r="AI157" i="3"/>
  <c r="AD81" i="3"/>
  <c r="S47" i="2"/>
  <c r="S211" i="2" s="1"/>
  <c r="AL139" i="3"/>
  <c r="T44" i="2"/>
  <c r="T11" i="2"/>
  <c r="T159" i="2"/>
  <c r="T164" i="2" s="1"/>
  <c r="T146" i="2"/>
  <c r="T199" i="2"/>
  <c r="T147" i="2" s="1"/>
  <c r="T145" i="2"/>
  <c r="T200" i="2"/>
  <c r="AD30" i="3"/>
  <c r="AD42" i="3"/>
  <c r="S31" i="2"/>
  <c r="S32" i="2" s="1"/>
  <c r="AI19" i="3"/>
  <c r="AI18" i="3"/>
  <c r="AG71" i="3"/>
  <c r="AG57" i="3"/>
  <c r="AG58" i="3"/>
  <c r="AG61" i="3" s="1"/>
  <c r="AG56" i="3"/>
  <c r="T16" i="2"/>
  <c r="AP70" i="3"/>
  <c r="AQ70" i="3" s="1"/>
  <c r="AJ81" i="3"/>
  <c r="AI34" i="3"/>
  <c r="AI24" i="3" s="1"/>
  <c r="AI28" i="3"/>
  <c r="AH34" i="3"/>
  <c r="AH24" i="3" s="1"/>
  <c r="AH28" i="3"/>
  <c r="AM139" i="3"/>
  <c r="Z76" i="3"/>
  <c r="R76" i="2" s="1"/>
  <c r="R71" i="2"/>
  <c r="AF71" i="3"/>
  <c r="AF57" i="3"/>
  <c r="AF56" i="3"/>
  <c r="AF58" i="3"/>
  <c r="AF61" i="3" s="1"/>
  <c r="P99" i="2"/>
  <c r="AD99" i="2" s="1"/>
  <c r="P247" i="2"/>
  <c r="E34" i="1"/>
  <c r="AB84" i="3"/>
  <c r="R194" i="2"/>
  <c r="AE55" i="3"/>
  <c r="AE45" i="3"/>
  <c r="AE44" i="3"/>
  <c r="AE43" i="3"/>
  <c r="N34" i="1"/>
  <c r="R51" i="2"/>
  <c r="R52" i="2"/>
  <c r="R53" i="2"/>
  <c r="R58" i="2" s="1"/>
  <c r="AJ154" i="3"/>
  <c r="AJ14" i="3" s="1"/>
  <c r="AJ148" i="3"/>
  <c r="AK153" i="3"/>
  <c r="AL160" i="3"/>
  <c r="P249" i="2" l="1"/>
  <c r="AD249" i="2" s="1"/>
  <c r="AD247" i="2"/>
  <c r="AK29" i="3"/>
  <c r="AR146" i="3"/>
  <c r="AR7" i="3"/>
  <c r="AR10" i="3" s="1"/>
  <c r="AS130" i="3"/>
  <c r="AS136" i="3"/>
  <c r="AV129" i="3"/>
  <c r="AN39" i="3"/>
  <c r="AN36" i="3"/>
  <c r="AN27" i="3"/>
  <c r="AO11" i="3"/>
  <c r="AO26" i="3" s="1"/>
  <c r="AO48" i="3"/>
  <c r="AJ157" i="3"/>
  <c r="AJ155" i="3"/>
  <c r="Q77" i="2"/>
  <c r="AF77" i="2" s="1"/>
  <c r="Q190" i="2"/>
  <c r="W82" i="3"/>
  <c r="Q79" i="2"/>
  <c r="AF79" i="2" s="1"/>
  <c r="AR70" i="3"/>
  <c r="AS70" i="3" s="1"/>
  <c r="AT70" i="3" s="1"/>
  <c r="V70" i="2"/>
  <c r="Z79" i="3"/>
  <c r="Z82" i="3" s="1"/>
  <c r="T154" i="2"/>
  <c r="T186" i="2" s="1"/>
  <c r="AM146" i="3"/>
  <c r="AM7" i="3"/>
  <c r="AM10" i="3" s="1"/>
  <c r="AP130" i="3"/>
  <c r="AP133" i="3" s="1"/>
  <c r="AP136" i="3"/>
  <c r="AH36" i="3"/>
  <c r="AH39" i="3"/>
  <c r="T29" i="2"/>
  <c r="AL146" i="3"/>
  <c r="AL7" i="3"/>
  <c r="AE71" i="3"/>
  <c r="AE57" i="3"/>
  <c r="AE58" i="3"/>
  <c r="AE61" i="3" s="1"/>
  <c r="AE56" i="3"/>
  <c r="AF76" i="3"/>
  <c r="AF79" i="3" s="1"/>
  <c r="S87" i="2"/>
  <c r="S173" i="2"/>
  <c r="T27" i="2"/>
  <c r="AH27" i="3"/>
  <c r="AG76" i="3"/>
  <c r="AG79" i="3" s="1"/>
  <c r="AG82" i="3" s="1"/>
  <c r="AG84" i="3" s="1"/>
  <c r="T205" i="2"/>
  <c r="T148" i="2"/>
  <c r="S81" i="2"/>
  <c r="S187" i="2" s="1"/>
  <c r="AQ130" i="3"/>
  <c r="AQ133" i="3" s="1"/>
  <c r="AQ136" i="3"/>
  <c r="R77" i="2"/>
  <c r="R190" i="2"/>
  <c r="R192" i="2" s="1"/>
  <c r="AJ17" i="3"/>
  <c r="T30" i="2"/>
  <c r="P210" i="2"/>
  <c r="P174" i="2"/>
  <c r="AD174" i="2" s="1"/>
  <c r="AI36" i="3"/>
  <c r="AI39" i="3"/>
  <c r="AI27" i="3"/>
  <c r="AI29" i="3" s="1"/>
  <c r="AD55" i="3"/>
  <c r="AD44" i="3"/>
  <c r="AD45" i="3"/>
  <c r="AD43" i="3"/>
  <c r="S35" i="2"/>
  <c r="AK154" i="3"/>
  <c r="AK14" i="3" s="1"/>
  <c r="AK17" i="3" s="1"/>
  <c r="AK148" i="3"/>
  <c r="AL153" i="3"/>
  <c r="AM160" i="3"/>
  <c r="P214" i="2" l="1"/>
  <c r="AD210" i="2"/>
  <c r="Q192" i="2"/>
  <c r="AF192" i="2" s="1"/>
  <c r="AF190" i="2"/>
  <c r="AK157" i="3"/>
  <c r="AK155" i="3"/>
  <c r="AS151" i="3"/>
  <c r="AS143" i="3"/>
  <c r="AN52" i="3"/>
  <c r="AN81" i="3" s="1"/>
  <c r="AN29" i="3"/>
  <c r="AS145" i="3"/>
  <c r="AS138" i="3" s="1"/>
  <c r="AS139" i="3" s="1"/>
  <c r="AS162" i="3"/>
  <c r="AS133" i="3"/>
  <c r="AV136" i="3"/>
  <c r="AV130" i="3"/>
  <c r="AU129" i="3"/>
  <c r="AR48" i="3"/>
  <c r="AR11" i="3"/>
  <c r="AR26" i="3" s="1"/>
  <c r="AT129" i="3"/>
  <c r="AO34" i="3"/>
  <c r="AO24" i="3" s="1"/>
  <c r="AO28" i="3"/>
  <c r="M24" i="1"/>
  <c r="Q92" i="2"/>
  <c r="AF92" i="2" s="1"/>
  <c r="W84" i="3"/>
  <c r="Q84" i="2" s="1"/>
  <c r="AF84" i="2" s="1"/>
  <c r="Q82" i="2"/>
  <c r="AF82" i="2" s="1"/>
  <c r="R79" i="2"/>
  <c r="N24" i="1" s="1"/>
  <c r="AF82" i="3"/>
  <c r="AI30" i="3"/>
  <c r="AI42" i="3"/>
  <c r="AK19" i="3"/>
  <c r="AK18" i="3"/>
  <c r="AK42" i="3"/>
  <c r="AK30" i="3"/>
  <c r="S185" i="2"/>
  <c r="S188" i="2" s="1"/>
  <c r="S36" i="2"/>
  <c r="S37" i="2"/>
  <c r="S38" i="2"/>
  <c r="AP143" i="3"/>
  <c r="AP151" i="3"/>
  <c r="S88" i="2"/>
  <c r="S90" i="2" s="1"/>
  <c r="AJ19" i="3"/>
  <c r="AJ18" i="3"/>
  <c r="AJ42" i="3"/>
  <c r="AJ30" i="3"/>
  <c r="AP145" i="3"/>
  <c r="AP138" i="3" s="1"/>
  <c r="AP162" i="3"/>
  <c r="AI52" i="3"/>
  <c r="AI81" i="3" s="1"/>
  <c r="AQ143" i="3"/>
  <c r="AQ151" i="3"/>
  <c r="AH29" i="3"/>
  <c r="AH52" i="3"/>
  <c r="Z84" i="3"/>
  <c r="R84" i="2" s="1"/>
  <c r="R82" i="2"/>
  <c r="AQ145" i="3"/>
  <c r="AQ138" i="3" s="1"/>
  <c r="AQ162" i="3"/>
  <c r="AU70" i="3"/>
  <c r="AV70" i="3" s="1"/>
  <c r="AD71" i="3"/>
  <c r="AD56" i="3"/>
  <c r="AD58" i="3"/>
  <c r="AD61" i="3" s="1"/>
  <c r="AD57" i="3"/>
  <c r="S50" i="2"/>
  <c r="AE76" i="3"/>
  <c r="AE79" i="3" s="1"/>
  <c r="AE82" i="3" s="1"/>
  <c r="AE84" i="3" s="1"/>
  <c r="AM48" i="3"/>
  <c r="AM11" i="3"/>
  <c r="AM26" i="3" s="1"/>
  <c r="AL10" i="3"/>
  <c r="U7" i="2"/>
  <c r="AL154" i="3"/>
  <c r="AL14" i="3" s="1"/>
  <c r="AL148" i="3"/>
  <c r="AM153" i="3"/>
  <c r="AN160" i="3"/>
  <c r="P218" i="2" l="1"/>
  <c r="AD214" i="2"/>
  <c r="AS7" i="3"/>
  <c r="AS10" i="3" s="1"/>
  <c r="AS146" i="3"/>
  <c r="AV143" i="3"/>
  <c r="AV151" i="3"/>
  <c r="AW129" i="3"/>
  <c r="AO27" i="3"/>
  <c r="AO52" i="3" s="1"/>
  <c r="AO81" i="3" s="1"/>
  <c r="AO36" i="3"/>
  <c r="AO39" i="3"/>
  <c r="AV145" i="3"/>
  <c r="AV138" i="3" s="1"/>
  <c r="AV139" i="3" s="1"/>
  <c r="AV162" i="3"/>
  <c r="AV133" i="3"/>
  <c r="AR34" i="3"/>
  <c r="AR24" i="3" s="1"/>
  <c r="AR28" i="3"/>
  <c r="F29" i="1"/>
  <c r="F23" i="1" s="1"/>
  <c r="Q98" i="2"/>
  <c r="AF98" i="2" s="1"/>
  <c r="Q93" i="2"/>
  <c r="AF93" i="2" s="1"/>
  <c r="R92" i="2"/>
  <c r="G29" i="1" s="1"/>
  <c r="G23" i="1" s="1"/>
  <c r="AW70" i="3"/>
  <c r="AX70" i="3" s="1"/>
  <c r="AY70" i="3" s="1"/>
  <c r="X70" i="2" s="1"/>
  <c r="S194" i="2"/>
  <c r="AK55" i="3"/>
  <c r="AK45" i="3"/>
  <c r="AK43" i="3"/>
  <c r="AK44" i="3"/>
  <c r="AL48" i="3"/>
  <c r="U43" i="2" s="1"/>
  <c r="AL11" i="3"/>
  <c r="AL26" i="3" s="1"/>
  <c r="U10" i="2"/>
  <c r="AH81" i="3"/>
  <c r="T47" i="2"/>
  <c r="T211" i="2" s="1"/>
  <c r="AH30" i="3"/>
  <c r="T31" i="2"/>
  <c r="T32" i="2" s="1"/>
  <c r="AH42" i="3"/>
  <c r="AP139" i="3"/>
  <c r="AI55" i="3"/>
  <c r="AI43" i="3"/>
  <c r="AI44" i="3"/>
  <c r="AI45" i="3"/>
  <c r="S53" i="2"/>
  <c r="S58" i="2" s="1"/>
  <c r="S52" i="2"/>
  <c r="S51" i="2"/>
  <c r="AQ139" i="3"/>
  <c r="AL17" i="3"/>
  <c r="AM34" i="3"/>
  <c r="AM24" i="3" s="1"/>
  <c r="AM28" i="3"/>
  <c r="AD76" i="3"/>
  <c r="S76" i="2" s="1"/>
  <c r="S71" i="2"/>
  <c r="AL157" i="3"/>
  <c r="AF84" i="3"/>
  <c r="AL155" i="3"/>
  <c r="W70" i="2"/>
  <c r="AJ55" i="3"/>
  <c r="AJ44" i="3"/>
  <c r="AJ45" i="3"/>
  <c r="AJ43" i="3"/>
  <c r="AM154" i="3"/>
  <c r="AM14" i="3" s="1"/>
  <c r="AM17" i="3" s="1"/>
  <c r="AM148" i="3"/>
  <c r="AO160" i="3"/>
  <c r="AN153" i="3"/>
  <c r="P144" i="2" l="1"/>
  <c r="AD218" i="2"/>
  <c r="AR27" i="3"/>
  <c r="AW130" i="3"/>
  <c r="AW136" i="3"/>
  <c r="AZ129" i="3"/>
  <c r="AV7" i="3"/>
  <c r="AV10" i="3" s="1"/>
  <c r="AV146" i="3"/>
  <c r="AO29" i="3"/>
  <c r="AR36" i="3"/>
  <c r="AR39" i="3"/>
  <c r="AS11" i="3"/>
  <c r="AS26" i="3" s="1"/>
  <c r="AS48" i="3"/>
  <c r="F34" i="1"/>
  <c r="Q99" i="2"/>
  <c r="AF99" i="2" s="1"/>
  <c r="Q247" i="2"/>
  <c r="R93" i="2"/>
  <c r="R98" i="2"/>
  <c r="R99" i="2" s="1"/>
  <c r="U44" i="2"/>
  <c r="AM19" i="3"/>
  <c r="AM18" i="3"/>
  <c r="AM157" i="3"/>
  <c r="AL34" i="3"/>
  <c r="AL24" i="3" s="1"/>
  <c r="AL28" i="3"/>
  <c r="AI71" i="3"/>
  <c r="AI58" i="3"/>
  <c r="AI61" i="3" s="1"/>
  <c r="AI57" i="3"/>
  <c r="AI56" i="3"/>
  <c r="AQ146" i="3"/>
  <c r="AQ7" i="3"/>
  <c r="AQ10" i="3" s="1"/>
  <c r="AP146" i="3"/>
  <c r="AP7" i="3"/>
  <c r="AU130" i="3"/>
  <c r="AU133" i="3" s="1"/>
  <c r="AU136" i="3"/>
  <c r="AJ71" i="3"/>
  <c r="AJ56" i="3"/>
  <c r="AJ57" i="3"/>
  <c r="AJ58" i="3"/>
  <c r="AJ61" i="3" s="1"/>
  <c r="AM36" i="3"/>
  <c r="AM39" i="3"/>
  <c r="AH55" i="3"/>
  <c r="AH44" i="3"/>
  <c r="AH45" i="3"/>
  <c r="AH43" i="3"/>
  <c r="T35" i="2"/>
  <c r="AM27" i="3"/>
  <c r="AT130" i="3"/>
  <c r="AT133" i="3" s="1"/>
  <c r="AT136" i="3"/>
  <c r="U16" i="2"/>
  <c r="AM155" i="3"/>
  <c r="AD79" i="3"/>
  <c r="AL18" i="3"/>
  <c r="AL19" i="3"/>
  <c r="U19" i="2"/>
  <c r="U20" i="2" s="1"/>
  <c r="T173" i="2"/>
  <c r="T87" i="2"/>
  <c r="AZ70" i="3"/>
  <c r="S77" i="2"/>
  <c r="S190" i="2"/>
  <c r="S192" i="2" s="1"/>
  <c r="T81" i="2"/>
  <c r="T187" i="2" s="1"/>
  <c r="U11" i="2"/>
  <c r="U159" i="2"/>
  <c r="U164" i="2" s="1"/>
  <c r="U146" i="2"/>
  <c r="U145" i="2"/>
  <c r="U199" i="2"/>
  <c r="U200" i="2"/>
  <c r="U148" i="2" s="1"/>
  <c r="AK71" i="3"/>
  <c r="AK57" i="3"/>
  <c r="AK56" i="3"/>
  <c r="AK58" i="3"/>
  <c r="AK61" i="3" s="1"/>
  <c r="AN154" i="3"/>
  <c r="AN14" i="3" s="1"/>
  <c r="AN148" i="3"/>
  <c r="AO153" i="3"/>
  <c r="AP160" i="3"/>
  <c r="Q249" i="2" l="1"/>
  <c r="AF249" i="2" s="1"/>
  <c r="AF247" i="2"/>
  <c r="AD144" i="2"/>
  <c r="P65" i="2"/>
  <c r="AD65" i="2" s="1"/>
  <c r="P151" i="2"/>
  <c r="P166" i="2"/>
  <c r="AV11" i="3"/>
  <c r="AV26" i="3" s="1"/>
  <c r="AV48" i="3"/>
  <c r="AZ130" i="3"/>
  <c r="AZ136" i="3"/>
  <c r="AX129" i="3"/>
  <c r="AW143" i="3"/>
  <c r="AW151" i="3"/>
  <c r="AW145" i="3"/>
  <c r="AW138" i="3" s="1"/>
  <c r="AW139" i="3" s="1"/>
  <c r="AW162" i="3"/>
  <c r="AW133" i="3"/>
  <c r="AY129" i="3"/>
  <c r="AS34" i="3"/>
  <c r="AS24" i="3" s="1"/>
  <c r="AS28" i="3"/>
  <c r="AR29" i="3"/>
  <c r="AR52" i="3"/>
  <c r="AR81" i="3" s="1"/>
  <c r="Q210" i="2"/>
  <c r="Q174" i="2"/>
  <c r="R247" i="2"/>
  <c r="R249" i="2" s="1"/>
  <c r="G34" i="1"/>
  <c r="U154" i="2"/>
  <c r="U186" i="2" s="1"/>
  <c r="U205" i="2"/>
  <c r="U147" i="2"/>
  <c r="AN155" i="3"/>
  <c r="AU143" i="3"/>
  <c r="AU151" i="3"/>
  <c r="AT143" i="3"/>
  <c r="AT151" i="3"/>
  <c r="AU145" i="3"/>
  <c r="AU138" i="3" s="1"/>
  <c r="AU139" i="3" s="1"/>
  <c r="AU162" i="3"/>
  <c r="AN17" i="3"/>
  <c r="S79" i="2"/>
  <c r="S92" i="2" s="1"/>
  <c r="AD82" i="3"/>
  <c r="AP10" i="3"/>
  <c r="V7" i="2"/>
  <c r="AM52" i="3"/>
  <c r="AM81" i="3" s="1"/>
  <c r="AL36" i="3"/>
  <c r="AL39" i="3"/>
  <c r="U29" i="2"/>
  <c r="AM29" i="3"/>
  <c r="AQ48" i="3"/>
  <c r="AQ11" i="3"/>
  <c r="AQ26" i="3" s="1"/>
  <c r="U27" i="2"/>
  <c r="AL27" i="3"/>
  <c r="AL29" i="3" s="1"/>
  <c r="AT145" i="3"/>
  <c r="AT138" i="3" s="1"/>
  <c r="AT162" i="3"/>
  <c r="AI76" i="3"/>
  <c r="AI79" i="3" s="1"/>
  <c r="AI82" i="3" s="1"/>
  <c r="AI84" i="3" s="1"/>
  <c r="R210" i="2"/>
  <c r="R214" i="2" s="1"/>
  <c r="R218" i="2" s="1"/>
  <c r="T36" i="2"/>
  <c r="T185" i="2"/>
  <c r="T188" i="2" s="1"/>
  <c r="T37" i="2"/>
  <c r="T38" i="2"/>
  <c r="AJ76" i="3"/>
  <c r="AJ79" i="3" s="1"/>
  <c r="AK76" i="3"/>
  <c r="AK79" i="3" s="1"/>
  <c r="AK82" i="3" s="1"/>
  <c r="AK84" i="3" s="1"/>
  <c r="BA70" i="3"/>
  <c r="U30" i="2"/>
  <c r="T88" i="2"/>
  <c r="T90" i="2" s="1"/>
  <c r="AH71" i="3"/>
  <c r="AH57" i="3"/>
  <c r="AH58" i="3"/>
  <c r="AH61" i="3" s="1"/>
  <c r="AH56" i="3"/>
  <c r="T50" i="2"/>
  <c r="AN157" i="3"/>
  <c r="AO154" i="3"/>
  <c r="AO14" i="3" s="1"/>
  <c r="AO17" i="3" s="1"/>
  <c r="AO148" i="3"/>
  <c r="AQ160" i="3"/>
  <c r="AP153" i="3"/>
  <c r="AD166" i="2" l="1"/>
  <c r="S34" i="1"/>
  <c r="P66" i="2"/>
  <c r="AD66" i="2" s="1"/>
  <c r="P167" i="2"/>
  <c r="AD167" i="2" s="1"/>
  <c r="P177" i="2"/>
  <c r="AD151" i="2"/>
  <c r="R174" i="2"/>
  <c r="AF174" i="2"/>
  <c r="Q214" i="2"/>
  <c r="AF210" i="2"/>
  <c r="AW146" i="3"/>
  <c r="AW7" i="3"/>
  <c r="AW10" i="3" s="1"/>
  <c r="AS27" i="3"/>
  <c r="AS52" i="3" s="1"/>
  <c r="AS81" i="3" s="1"/>
  <c r="AS36" i="3"/>
  <c r="AS39" i="3"/>
  <c r="AZ151" i="3"/>
  <c r="AZ143" i="3"/>
  <c r="AZ145" i="3"/>
  <c r="AZ138" i="3" s="1"/>
  <c r="AZ139" i="3" s="1"/>
  <c r="AZ133" i="3"/>
  <c r="AZ162" i="3"/>
  <c r="BA129" i="3"/>
  <c r="AV34" i="3"/>
  <c r="AV24" i="3" s="1"/>
  <c r="AV28" i="3"/>
  <c r="AL30" i="3"/>
  <c r="U31" i="2"/>
  <c r="U32" i="2" s="1"/>
  <c r="AL42" i="3"/>
  <c r="AU146" i="3"/>
  <c r="AU7" i="3"/>
  <c r="AU10" i="3" s="1"/>
  <c r="AP11" i="3"/>
  <c r="AP26" i="3" s="1"/>
  <c r="AP48" i="3"/>
  <c r="V43" i="2" s="1"/>
  <c r="V10" i="2"/>
  <c r="T194" i="2"/>
  <c r="AQ34" i="3"/>
  <c r="AQ24" i="3" s="1"/>
  <c r="AQ28" i="3"/>
  <c r="BB70" i="3"/>
  <c r="BC70" i="3" s="1"/>
  <c r="BD70" i="3" s="1"/>
  <c r="AD84" i="3"/>
  <c r="S84" i="2" s="1"/>
  <c r="S82" i="2"/>
  <c r="T53" i="2"/>
  <c r="T58" i="2" s="1"/>
  <c r="T52" i="2"/>
  <c r="T51" i="2"/>
  <c r="S93" i="2"/>
  <c r="S98" i="2"/>
  <c r="AO18" i="3"/>
  <c r="AO19" i="3"/>
  <c r="AO42" i="3"/>
  <c r="AO30" i="3"/>
  <c r="AO157" i="3"/>
  <c r="AN18" i="3"/>
  <c r="AN19" i="3"/>
  <c r="AN42" i="3"/>
  <c r="AN30" i="3"/>
  <c r="AM30" i="3"/>
  <c r="AM42" i="3"/>
  <c r="AH76" i="3"/>
  <c r="T76" i="2" s="1"/>
  <c r="T71" i="2"/>
  <c r="AJ82" i="3"/>
  <c r="AT139" i="3"/>
  <c r="AO155" i="3"/>
  <c r="AL52" i="3"/>
  <c r="AP154" i="3"/>
  <c r="AP14" i="3" s="1"/>
  <c r="AP17" i="3" s="1"/>
  <c r="AP148" i="3"/>
  <c r="AR160" i="3"/>
  <c r="AQ153" i="3"/>
  <c r="Q218" i="2" l="1"/>
  <c r="AF214" i="2"/>
  <c r="AD177" i="2"/>
  <c r="P175" i="2"/>
  <c r="AD175" i="2" s="1"/>
  <c r="P179" i="2"/>
  <c r="AD179" i="2" s="1"/>
  <c r="P178" i="2"/>
  <c r="AD178" i="2" s="1"/>
  <c r="AP157" i="3"/>
  <c r="AZ146" i="3"/>
  <c r="AZ7" i="3"/>
  <c r="AZ10" i="3" s="1"/>
  <c r="AV36" i="3"/>
  <c r="AV39" i="3"/>
  <c r="BD129" i="3"/>
  <c r="BA130" i="3"/>
  <c r="BA136" i="3"/>
  <c r="AS29" i="3"/>
  <c r="AW48" i="3"/>
  <c r="AW11" i="3"/>
  <c r="AW26" i="3" s="1"/>
  <c r="AV27" i="3"/>
  <c r="AP155" i="3"/>
  <c r="V44" i="2"/>
  <c r="V11" i="2"/>
  <c r="V159" i="2"/>
  <c r="V164" i="2" s="1"/>
  <c r="V146" i="2"/>
  <c r="V145" i="2"/>
  <c r="V199" i="2"/>
  <c r="V200" i="2"/>
  <c r="V148" i="2" s="1"/>
  <c r="AM55" i="3"/>
  <c r="AM45" i="3"/>
  <c r="AM44" i="3"/>
  <c r="AM43" i="3"/>
  <c r="BE70" i="3"/>
  <c r="BF70" i="3" s="1"/>
  <c r="Y70" i="2"/>
  <c r="AP34" i="3"/>
  <c r="AP24" i="3" s="1"/>
  <c r="AP28" i="3"/>
  <c r="AH79" i="3"/>
  <c r="AO55" i="3"/>
  <c r="AO43" i="3"/>
  <c r="AO44" i="3"/>
  <c r="AO45" i="3"/>
  <c r="AX130" i="3"/>
  <c r="AX133" i="3" s="1"/>
  <c r="AX136" i="3"/>
  <c r="AU48" i="3"/>
  <c r="AU11" i="3"/>
  <c r="AJ84" i="3"/>
  <c r="AL81" i="3"/>
  <c r="U47" i="2"/>
  <c r="U211" i="2" s="1"/>
  <c r="T77" i="2"/>
  <c r="T190" i="2"/>
  <c r="T192" i="2" s="1"/>
  <c r="AY130" i="3"/>
  <c r="AY133" i="3" s="1"/>
  <c r="AY136" i="3"/>
  <c r="S99" i="2"/>
  <c r="S210" i="2" s="1"/>
  <c r="S214" i="2" s="1"/>
  <c r="S218" i="2" s="1"/>
  <c r="S247" i="2"/>
  <c r="S249" i="2" s="1"/>
  <c r="AN55" i="3"/>
  <c r="AN43" i="3"/>
  <c r="AN45" i="3"/>
  <c r="AN44" i="3"/>
  <c r="AP18" i="3"/>
  <c r="AP19" i="3"/>
  <c r="AT146" i="3"/>
  <c r="AT7" i="3"/>
  <c r="AL55" i="3"/>
  <c r="AL44" i="3"/>
  <c r="AL45" i="3"/>
  <c r="AL43" i="3"/>
  <c r="U35" i="2"/>
  <c r="AQ36" i="3"/>
  <c r="AQ39" i="3"/>
  <c r="AQ27" i="3"/>
  <c r="AQ154" i="3"/>
  <c r="AQ14" i="3" s="1"/>
  <c r="AQ148" i="3"/>
  <c r="AS160" i="3"/>
  <c r="AR153" i="3"/>
  <c r="AU34" i="3" l="1"/>
  <c r="AU24" i="3" s="1"/>
  <c r="AU26" i="3"/>
  <c r="Q144" i="2"/>
  <c r="AF218" i="2"/>
  <c r="BA145" i="3"/>
  <c r="BA138" i="3" s="1"/>
  <c r="BA133" i="3"/>
  <c r="BA162" i="3"/>
  <c r="BD130" i="3"/>
  <c r="BD136" i="3"/>
  <c r="BB129" i="3"/>
  <c r="BA143" i="3"/>
  <c r="BA151" i="3"/>
  <c r="BA139" i="3"/>
  <c r="BC129" i="3"/>
  <c r="AV29" i="3"/>
  <c r="AV52" i="3"/>
  <c r="AV81" i="3" s="1"/>
  <c r="AW34" i="3"/>
  <c r="AW24" i="3" s="1"/>
  <c r="AW28" i="3"/>
  <c r="AZ48" i="3"/>
  <c r="AZ11" i="3"/>
  <c r="AZ26" i="3" s="1"/>
  <c r="AU28" i="3"/>
  <c r="AQ157" i="3"/>
  <c r="AU27" i="3"/>
  <c r="V154" i="2"/>
  <c r="V186" i="2" s="1"/>
  <c r="AQ155" i="3"/>
  <c r="U87" i="2"/>
  <c r="U173" i="2"/>
  <c r="AO71" i="3"/>
  <c r="AO58" i="3"/>
  <c r="AO61" i="3" s="1"/>
  <c r="AO56" i="3"/>
  <c r="AO57" i="3"/>
  <c r="AM71" i="3"/>
  <c r="AM56" i="3"/>
  <c r="AM58" i="3"/>
  <c r="AM61" i="3" s="1"/>
  <c r="AM57" i="3"/>
  <c r="AT10" i="3"/>
  <c r="W7" i="2"/>
  <c r="AN71" i="3"/>
  <c r="AN56" i="3"/>
  <c r="AN57" i="3"/>
  <c r="AN58" i="3"/>
  <c r="AN61" i="3" s="1"/>
  <c r="U81" i="2"/>
  <c r="U187" i="2" s="1"/>
  <c r="T79" i="2"/>
  <c r="AH82" i="3"/>
  <c r="AP36" i="3"/>
  <c r="AP39" i="3"/>
  <c r="V29" i="2"/>
  <c r="V205" i="2"/>
  <c r="V147" i="2"/>
  <c r="V30" i="2"/>
  <c r="U185" i="2"/>
  <c r="U36" i="2"/>
  <c r="U37" i="2"/>
  <c r="U38" i="2"/>
  <c r="V27" i="2"/>
  <c r="AP27" i="3"/>
  <c r="AQ17" i="3"/>
  <c r="V16" i="2"/>
  <c r="AQ52" i="3"/>
  <c r="AQ81" i="3" s="1"/>
  <c r="AQ29" i="3"/>
  <c r="AY143" i="3"/>
  <c r="AY151" i="3"/>
  <c r="BG70" i="3"/>
  <c r="Z70" i="2" s="1"/>
  <c r="AX143" i="3"/>
  <c r="AX151" i="3"/>
  <c r="AL71" i="3"/>
  <c r="AL56" i="3"/>
  <c r="AL58" i="3"/>
  <c r="AL61" i="3" s="1"/>
  <c r="AL57" i="3"/>
  <c r="U50" i="2"/>
  <c r="AX145" i="3"/>
  <c r="AX138" i="3" s="1"/>
  <c r="AX139" i="3" s="1"/>
  <c r="AX162" i="3"/>
  <c r="AY145" i="3"/>
  <c r="AY138" i="3" s="1"/>
  <c r="AY139" i="3" s="1"/>
  <c r="AY162" i="3"/>
  <c r="S174" i="2"/>
  <c r="AR154" i="3"/>
  <c r="AR14" i="3" s="1"/>
  <c r="AR148" i="3"/>
  <c r="AT160" i="3"/>
  <c r="AS153" i="3"/>
  <c r="AF144" i="2" l="1"/>
  <c r="R144" i="2"/>
  <c r="Q65" i="2"/>
  <c r="AF65" i="2" s="1"/>
  <c r="Q151" i="2"/>
  <c r="Q166" i="2"/>
  <c r="AU39" i="3"/>
  <c r="AU36" i="3"/>
  <c r="BA146" i="3"/>
  <c r="BA7" i="3"/>
  <c r="BA10" i="3" s="1"/>
  <c r="AZ34" i="3"/>
  <c r="AZ24" i="3" s="1"/>
  <c r="AZ28" i="3"/>
  <c r="BD143" i="3"/>
  <c r="BD151" i="3"/>
  <c r="AW36" i="3"/>
  <c r="AW39" i="3"/>
  <c r="BD145" i="3"/>
  <c r="BD138" i="3" s="1"/>
  <c r="BD139" i="3" s="1"/>
  <c r="BD162" i="3"/>
  <c r="BD133" i="3"/>
  <c r="AW27" i="3"/>
  <c r="AW52" i="3" s="1"/>
  <c r="AW81" i="3" s="1"/>
  <c r="BE129" i="3"/>
  <c r="BE130" i="3" s="1"/>
  <c r="BE145" i="3" s="1"/>
  <c r="BE138" i="3" s="1"/>
  <c r="AQ30" i="3"/>
  <c r="AR155" i="3"/>
  <c r="AR157" i="3"/>
  <c r="AX146" i="3"/>
  <c r="AX7" i="3"/>
  <c r="AN76" i="3"/>
  <c r="AN79" i="3" s="1"/>
  <c r="U53" i="2"/>
  <c r="U58" i="2" s="1"/>
  <c r="U52" i="2"/>
  <c r="U51" i="2"/>
  <c r="U88" i="2"/>
  <c r="U90" i="2" s="1"/>
  <c r="AP29" i="3"/>
  <c r="AP52" i="3"/>
  <c r="AO76" i="3"/>
  <c r="AO79" i="3" s="1"/>
  <c r="AO82" i="3" s="1"/>
  <c r="AO84" i="3" s="1"/>
  <c r="AU52" i="3"/>
  <c r="AU81" i="3" s="1"/>
  <c r="AL76" i="3"/>
  <c r="U71" i="2"/>
  <c r="AQ19" i="3"/>
  <c r="AQ18" i="3"/>
  <c r="AQ42" i="3"/>
  <c r="V19" i="2"/>
  <c r="V20" i="2" s="1"/>
  <c r="AT48" i="3"/>
  <c r="W43" i="2" s="1"/>
  <c r="AT11" i="3"/>
  <c r="AT26" i="3" s="1"/>
  <c r="W10" i="2"/>
  <c r="AH84" i="3"/>
  <c r="T84" i="2" s="1"/>
  <c r="T82" i="2"/>
  <c r="AY146" i="3"/>
  <c r="AY7" i="3"/>
  <c r="AY10" i="3" s="1"/>
  <c r="AR17" i="3"/>
  <c r="AU29" i="3"/>
  <c r="U188" i="2"/>
  <c r="T92" i="2"/>
  <c r="AM76" i="3"/>
  <c r="AM79" i="3" s="1"/>
  <c r="AM82" i="3" s="1"/>
  <c r="AM84" i="3" s="1"/>
  <c r="AS154" i="3"/>
  <c r="AS14" i="3" s="1"/>
  <c r="AS17" i="3" s="1"/>
  <c r="AS148" i="3"/>
  <c r="AU160" i="3"/>
  <c r="AT153" i="3"/>
  <c r="AF166" i="2" l="1"/>
  <c r="Q66" i="2"/>
  <c r="AF66" i="2" s="1"/>
  <c r="Q167" i="2"/>
  <c r="AF167" i="2" s="1"/>
  <c r="T34" i="1"/>
  <c r="Q177" i="2"/>
  <c r="AF151" i="2"/>
  <c r="R65" i="2"/>
  <c r="R151" i="2"/>
  <c r="R177" i="2" s="1"/>
  <c r="R166" i="2"/>
  <c r="S144" i="2"/>
  <c r="S65" i="2"/>
  <c r="U76" i="2"/>
  <c r="U77" i="2" s="1"/>
  <c r="AW29" i="3"/>
  <c r="BD7" i="3"/>
  <c r="BD10" i="3" s="1"/>
  <c r="BD146" i="3"/>
  <c r="BE133" i="3"/>
  <c r="BE162" i="3"/>
  <c r="BE136" i="3"/>
  <c r="AZ36" i="3"/>
  <c r="AZ39" i="3"/>
  <c r="AZ27" i="3"/>
  <c r="AZ52" i="3" s="1"/>
  <c r="AZ81" i="3" s="1"/>
  <c r="BA11" i="3"/>
  <c r="BA26" i="3" s="1"/>
  <c r="BA48" i="3"/>
  <c r="W44" i="2"/>
  <c r="AL79" i="3"/>
  <c r="AL82" i="3" s="1"/>
  <c r="AN82" i="3"/>
  <c r="AR19" i="3"/>
  <c r="AR18" i="3"/>
  <c r="AR42" i="3"/>
  <c r="AR30" i="3"/>
  <c r="AT34" i="3"/>
  <c r="AT24" i="3" s="1"/>
  <c r="AT28" i="3"/>
  <c r="AY48" i="3"/>
  <c r="AY11" i="3"/>
  <c r="AY26" i="3" s="1"/>
  <c r="T98" i="2"/>
  <c r="T93" i="2"/>
  <c r="AQ55" i="3"/>
  <c r="AQ43" i="3"/>
  <c r="AQ44" i="3"/>
  <c r="AQ45" i="3"/>
  <c r="AS18" i="3"/>
  <c r="AS19" i="3"/>
  <c r="AS42" i="3"/>
  <c r="AS30" i="3"/>
  <c r="BB130" i="3"/>
  <c r="BB133" i="3" s="1"/>
  <c r="BB136" i="3"/>
  <c r="U194" i="2"/>
  <c r="AS157" i="3"/>
  <c r="BC130" i="3"/>
  <c r="BC133" i="3" s="1"/>
  <c r="BC136" i="3"/>
  <c r="AP81" i="3"/>
  <c r="V47" i="2"/>
  <c r="V211" i="2" s="1"/>
  <c r="AS155" i="3"/>
  <c r="AP30" i="3"/>
  <c r="V31" i="2"/>
  <c r="V32" i="2" s="1"/>
  <c r="AP42" i="3"/>
  <c r="AX10" i="3"/>
  <c r="X7" i="2"/>
  <c r="W159" i="2"/>
  <c r="W164" i="2" s="1"/>
  <c r="W11" i="2"/>
  <c r="W146" i="2"/>
  <c r="W145" i="2"/>
  <c r="W199" i="2"/>
  <c r="W200" i="2"/>
  <c r="W148" i="2" s="1"/>
  <c r="AT154" i="3"/>
  <c r="AT14" i="3" s="1"/>
  <c r="AT17" i="3" s="1"/>
  <c r="AT148" i="3"/>
  <c r="AV160" i="3"/>
  <c r="AU153" i="3"/>
  <c r="R66" i="2" l="1"/>
  <c r="U34" i="1"/>
  <c r="R167" i="2"/>
  <c r="AF177" i="2"/>
  <c r="Q179" i="2"/>
  <c r="AF179" i="2" s="1"/>
  <c r="Q178" i="2"/>
  <c r="AF178" i="2" s="1"/>
  <c r="Q175" i="2"/>
  <c r="AF175" i="2" s="1"/>
  <c r="S151" i="2"/>
  <c r="S177" i="2" s="1"/>
  <c r="S166" i="2"/>
  <c r="S167" i="2" s="1"/>
  <c r="R178" i="2"/>
  <c r="R179" i="2"/>
  <c r="R175" i="2"/>
  <c r="U190" i="2"/>
  <c r="U192" i="2" s="1"/>
  <c r="U79" i="2"/>
  <c r="U92" i="2" s="1"/>
  <c r="U98" i="2" s="1"/>
  <c r="AZ29" i="3"/>
  <c r="BE151" i="3"/>
  <c r="BE143" i="3"/>
  <c r="BE139" i="3"/>
  <c r="BG129" i="3"/>
  <c r="BF129" i="3"/>
  <c r="BA34" i="3"/>
  <c r="BA24" i="3" s="1"/>
  <c r="BA28" i="3"/>
  <c r="BD48" i="3"/>
  <c r="BD11" i="3"/>
  <c r="BD26" i="3" s="1"/>
  <c r="AT155" i="3"/>
  <c r="AT157" i="3"/>
  <c r="AT36" i="3"/>
  <c r="AT39" i="3"/>
  <c r="W29" i="2"/>
  <c r="BC145" i="3"/>
  <c r="BC138" i="3" s="1"/>
  <c r="BC162" i="3"/>
  <c r="W30" i="2"/>
  <c r="BB145" i="3"/>
  <c r="BB138" i="3" s="1"/>
  <c r="BB162" i="3"/>
  <c r="AS55" i="3"/>
  <c r="AS43" i="3"/>
  <c r="AS44" i="3"/>
  <c r="AS45" i="3"/>
  <c r="W27" i="2"/>
  <c r="AT27" i="3"/>
  <c r="AT29" i="3" s="1"/>
  <c r="AT42" i="3" s="1"/>
  <c r="AX48" i="3"/>
  <c r="X43" i="2" s="1"/>
  <c r="AX11" i="3"/>
  <c r="X10" i="2"/>
  <c r="AP55" i="3"/>
  <c r="AP43" i="3"/>
  <c r="AP45" i="3"/>
  <c r="AP44" i="3"/>
  <c r="V35" i="2"/>
  <c r="AR55" i="3"/>
  <c r="AR45" i="3"/>
  <c r="AR43" i="3"/>
  <c r="AR44" i="3"/>
  <c r="AT19" i="3"/>
  <c r="AT18" i="3"/>
  <c r="V173" i="2"/>
  <c r="V87" i="2"/>
  <c r="AN84" i="3"/>
  <c r="BC143" i="3"/>
  <c r="BC151" i="3"/>
  <c r="BC139" i="3"/>
  <c r="AQ71" i="3"/>
  <c r="AQ58" i="3"/>
  <c r="AQ61" i="3" s="1"/>
  <c r="AQ56" i="3"/>
  <c r="AQ57" i="3"/>
  <c r="W205" i="2"/>
  <c r="W147" i="2"/>
  <c r="V81" i="2"/>
  <c r="V187" i="2" s="1"/>
  <c r="T99" i="2"/>
  <c r="T247" i="2"/>
  <c r="T249" i="2" s="1"/>
  <c r="W154" i="2"/>
  <c r="W186" i="2" s="1"/>
  <c r="AL84" i="3"/>
  <c r="U84" i="2" s="1"/>
  <c r="U82" i="2"/>
  <c r="BB143" i="3"/>
  <c r="BB151" i="3"/>
  <c r="AY34" i="3"/>
  <c r="AY24" i="3" s="1"/>
  <c r="AY28" i="3"/>
  <c r="AU154" i="3"/>
  <c r="AU14" i="3" s="1"/>
  <c r="AU148" i="3"/>
  <c r="AU155" i="3"/>
  <c r="AU157" i="3"/>
  <c r="AW160" i="3"/>
  <c r="AV153" i="3"/>
  <c r="AX34" i="3" l="1"/>
  <c r="AX24" i="3" s="1"/>
  <c r="AX26" i="3"/>
  <c r="S175" i="2"/>
  <c r="S179" i="2"/>
  <c r="S178" i="2"/>
  <c r="S66" i="2"/>
  <c r="U93" i="2"/>
  <c r="BD34" i="3"/>
  <c r="BD24" i="3" s="1"/>
  <c r="BD28" i="3"/>
  <c r="BA36" i="3"/>
  <c r="BA39" i="3"/>
  <c r="BA27" i="3"/>
  <c r="BE146" i="3"/>
  <c r="BE7" i="3"/>
  <c r="BE10" i="3" s="1"/>
  <c r="X27" i="2"/>
  <c r="X44" i="2"/>
  <c r="AX28" i="3"/>
  <c r="AQ76" i="3"/>
  <c r="AQ79" i="3" s="1"/>
  <c r="AQ82" i="3" s="1"/>
  <c r="AQ84" i="3" s="1"/>
  <c r="AT52" i="3"/>
  <c r="AT44" i="3"/>
  <c r="AT45" i="3"/>
  <c r="AT43" i="3"/>
  <c r="V185" i="2"/>
  <c r="V188" i="2" s="1"/>
  <c r="V38" i="2"/>
  <c r="V37" i="2"/>
  <c r="V36" i="2"/>
  <c r="X159" i="2"/>
  <c r="X164" i="2" s="1"/>
  <c r="X11" i="2"/>
  <c r="X145" i="2"/>
  <c r="X146" i="2"/>
  <c r="X199" i="2"/>
  <c r="X147" i="2" s="1"/>
  <c r="X200" i="2"/>
  <c r="X148" i="2" s="1"/>
  <c r="AX27" i="3"/>
  <c r="AY36" i="3"/>
  <c r="AY39" i="3"/>
  <c r="V88" i="2"/>
  <c r="V90" i="2" s="1"/>
  <c r="BC7" i="3"/>
  <c r="BC10" i="3" s="1"/>
  <c r="BC146" i="3"/>
  <c r="AR71" i="3"/>
  <c r="AR57" i="3"/>
  <c r="AR58" i="3"/>
  <c r="AR61" i="3" s="1"/>
  <c r="AR56" i="3"/>
  <c r="AT30" i="3"/>
  <c r="W31" i="2"/>
  <c r="T210" i="2"/>
  <c r="T214" i="2" s="1"/>
  <c r="T218" i="2" s="1"/>
  <c r="T144" i="2" s="1"/>
  <c r="T174" i="2"/>
  <c r="AU17" i="3"/>
  <c r="W16" i="2"/>
  <c r="AY27" i="3"/>
  <c r="AY29" i="3" s="1"/>
  <c r="AS71" i="3"/>
  <c r="AS57" i="3"/>
  <c r="AS56" i="3"/>
  <c r="AS58" i="3"/>
  <c r="AS61" i="3" s="1"/>
  <c r="BB139" i="3"/>
  <c r="AP71" i="3"/>
  <c r="AP56" i="3"/>
  <c r="AP58" i="3"/>
  <c r="AP61" i="3" s="1"/>
  <c r="AP57" i="3"/>
  <c r="V50" i="2"/>
  <c r="U247" i="2"/>
  <c r="U249" i="2" s="1"/>
  <c r="U99" i="2"/>
  <c r="U210" i="2" s="1"/>
  <c r="U214" i="2" s="1"/>
  <c r="U218" i="2" s="1"/>
  <c r="AV154" i="3"/>
  <c r="AV14" i="3" s="1"/>
  <c r="AV148" i="3"/>
  <c r="AW153" i="3"/>
  <c r="AX160" i="3"/>
  <c r="BA29" i="3" l="1"/>
  <c r="BA52" i="3"/>
  <c r="BA81" i="3" s="1"/>
  <c r="BD39" i="3"/>
  <c r="BD36" i="3"/>
  <c r="BE48" i="3"/>
  <c r="BE11" i="3"/>
  <c r="BE26" i="3" s="1"/>
  <c r="BD27" i="3"/>
  <c r="BD52" i="3" s="1"/>
  <c r="BD81" i="3" s="1"/>
  <c r="AV155" i="3"/>
  <c r="AV157" i="3"/>
  <c r="AP76" i="3"/>
  <c r="V76" i="2" s="1"/>
  <c r="V71" i="2"/>
  <c r="AV17" i="3"/>
  <c r="AR76" i="3"/>
  <c r="BB146" i="3"/>
  <c r="BB7" i="3"/>
  <c r="BG130" i="3"/>
  <c r="BG133" i="3" s="1"/>
  <c r="BG136" i="3"/>
  <c r="AU18" i="3"/>
  <c r="AU19" i="3"/>
  <c r="AU42" i="3"/>
  <c r="W19" i="2"/>
  <c r="W20" i="2" s="1"/>
  <c r="AU30" i="3"/>
  <c r="AX29" i="3"/>
  <c r="AX52" i="3"/>
  <c r="X154" i="2"/>
  <c r="X186" i="2" s="1"/>
  <c r="AT81" i="3"/>
  <c r="W47" i="2"/>
  <c r="W211" i="2" s="1"/>
  <c r="BF130" i="3"/>
  <c r="BF133" i="3" s="1"/>
  <c r="BF136" i="3"/>
  <c r="V194" i="2"/>
  <c r="BC48" i="3"/>
  <c r="BC11" i="3"/>
  <c r="BC26" i="3" s="1"/>
  <c r="U174" i="2"/>
  <c r="T65" i="2"/>
  <c r="T166" i="2"/>
  <c r="T151" i="2"/>
  <c r="T177" i="2" s="1"/>
  <c r="U144" i="2"/>
  <c r="AS76" i="3"/>
  <c r="AS79" i="3" s="1"/>
  <c r="AS82" i="3" s="1"/>
  <c r="AS84" i="3" s="1"/>
  <c r="X30" i="2"/>
  <c r="V53" i="2"/>
  <c r="V58" i="2" s="1"/>
  <c r="V51" i="2"/>
  <c r="V52" i="2"/>
  <c r="AY52" i="3"/>
  <c r="AY81" i="3" s="1"/>
  <c r="AX36" i="3"/>
  <c r="AX39" i="3"/>
  <c r="X29" i="2"/>
  <c r="X205" i="2"/>
  <c r="AT55" i="3"/>
  <c r="AW154" i="3"/>
  <c r="AW14" i="3" s="1"/>
  <c r="AW17" i="3" s="1"/>
  <c r="AW148" i="3"/>
  <c r="AX153" i="3"/>
  <c r="AY160" i="3"/>
  <c r="AW157" i="3"/>
  <c r="AW155" i="3"/>
  <c r="BD29" i="3" l="1"/>
  <c r="BE34" i="3"/>
  <c r="BE24" i="3" s="1"/>
  <c r="BE28" i="3"/>
  <c r="AP79" i="3"/>
  <c r="V79" i="2" s="1"/>
  <c r="W87" i="2"/>
  <c r="W173" i="2"/>
  <c r="BG145" i="3"/>
  <c r="BG138" i="3" s="1"/>
  <c r="BG139" i="3" s="1"/>
  <c r="BG162" i="3"/>
  <c r="BF145" i="3"/>
  <c r="BF138" i="3" s="1"/>
  <c r="BF139" i="3" s="1"/>
  <c r="BF162" i="3"/>
  <c r="W81" i="2"/>
  <c r="W187" i="2" s="1"/>
  <c r="BB10" i="3"/>
  <c r="Y7" i="2"/>
  <c r="T175" i="2"/>
  <c r="T179" i="2"/>
  <c r="T178" i="2"/>
  <c r="T167" i="2"/>
  <c r="T66" i="2"/>
  <c r="BG143" i="3"/>
  <c r="BG151" i="3"/>
  <c r="BC34" i="3"/>
  <c r="BC24" i="3" s="1"/>
  <c r="BC28" i="3"/>
  <c r="AW18" i="3"/>
  <c r="AW19" i="3"/>
  <c r="AW42" i="3"/>
  <c r="AW30" i="3"/>
  <c r="AX81" i="3"/>
  <c r="X47" i="2"/>
  <c r="X211" i="2" s="1"/>
  <c r="AR79" i="3"/>
  <c r="AT71" i="3"/>
  <c r="AT57" i="3"/>
  <c r="AT58" i="3"/>
  <c r="AT61" i="3" s="1"/>
  <c r="AT56" i="3"/>
  <c r="W50" i="2"/>
  <c r="X31" i="2"/>
  <c r="AV19" i="3"/>
  <c r="AV18" i="3"/>
  <c r="AV42" i="3"/>
  <c r="AV30" i="3"/>
  <c r="W32" i="2"/>
  <c r="AU55" i="3"/>
  <c r="AU43" i="3"/>
  <c r="AU44" i="3"/>
  <c r="AU45" i="3"/>
  <c r="W35" i="2"/>
  <c r="U65" i="2"/>
  <c r="U166" i="2"/>
  <c r="U151" i="2"/>
  <c r="U177" i="2" s="1"/>
  <c r="BF143" i="3"/>
  <c r="BF151" i="3"/>
  <c r="V190" i="2"/>
  <c r="V192" i="2" s="1"/>
  <c r="V77" i="2"/>
  <c r="AX154" i="3"/>
  <c r="AX14" i="3" s="1"/>
  <c r="AX148" i="3"/>
  <c r="AY153" i="3"/>
  <c r="AZ160" i="3"/>
  <c r="BE39" i="3" l="1"/>
  <c r="BE36" i="3"/>
  <c r="BE27" i="3"/>
  <c r="BE52" i="3" s="1"/>
  <c r="BE81" i="3" s="1"/>
  <c r="AP82" i="3"/>
  <c r="AP84" i="3" s="1"/>
  <c r="V84" i="2" s="1"/>
  <c r="BB11" i="3"/>
  <c r="BB26" i="3" s="1"/>
  <c r="BB48" i="3"/>
  <c r="Y43" i="2" s="1"/>
  <c r="Y10" i="2"/>
  <c r="V92" i="2"/>
  <c r="AV55" i="3"/>
  <c r="AV43" i="3"/>
  <c r="AV45" i="3"/>
  <c r="AV44" i="3"/>
  <c r="AR82" i="3"/>
  <c r="AX17" i="3"/>
  <c r="V82" i="2"/>
  <c r="BC36" i="3"/>
  <c r="BC39" i="3"/>
  <c r="AU71" i="3"/>
  <c r="AU57" i="3"/>
  <c r="AU58" i="3"/>
  <c r="AU61" i="3" s="1"/>
  <c r="AU56" i="3"/>
  <c r="BC27" i="3"/>
  <c r="AX155" i="3"/>
  <c r="X81" i="2"/>
  <c r="X187" i="2" s="1"/>
  <c r="BG7" i="3"/>
  <c r="BG10" i="3" s="1"/>
  <c r="BG146" i="3"/>
  <c r="BF146" i="3"/>
  <c r="BF7" i="3"/>
  <c r="AT76" i="3"/>
  <c r="W71" i="2"/>
  <c r="AX157" i="3"/>
  <c r="U178" i="2"/>
  <c r="U175" i="2"/>
  <c r="U179" i="2"/>
  <c r="U167" i="2"/>
  <c r="AW55" i="3"/>
  <c r="AW45" i="3"/>
  <c r="AW44" i="3"/>
  <c r="AW43" i="3"/>
  <c r="U66" i="2"/>
  <c r="W38" i="2"/>
  <c r="W185" i="2"/>
  <c r="W188" i="2" s="1"/>
  <c r="W36" i="2"/>
  <c r="W37" i="2"/>
  <c r="X173" i="2"/>
  <c r="W51" i="2"/>
  <c r="W52" i="2"/>
  <c r="W53" i="2"/>
  <c r="W58" i="2" s="1"/>
  <c r="W88" i="2"/>
  <c r="W90" i="2" s="1"/>
  <c r="X87" i="2"/>
  <c r="X88" i="2" s="1"/>
  <c r="X90" i="2" s="1"/>
  <c r="AY154" i="3"/>
  <c r="AY14" i="3" s="1"/>
  <c r="AY17" i="3" s="1"/>
  <c r="AY148" i="3"/>
  <c r="AZ153" i="3"/>
  <c r="BA160" i="3"/>
  <c r="X16" i="2" l="1"/>
  <c r="BE29" i="3"/>
  <c r="Y44" i="2"/>
  <c r="W194" i="2"/>
  <c r="AR84" i="3"/>
  <c r="BF10" i="3"/>
  <c r="Z7" i="2"/>
  <c r="W76" i="2"/>
  <c r="AY18" i="3"/>
  <c r="AY19" i="3"/>
  <c r="AY42" i="3"/>
  <c r="AY30" i="3"/>
  <c r="BC52" i="3"/>
  <c r="BC81" i="3" s="1"/>
  <c r="AT79" i="3"/>
  <c r="AY155" i="3"/>
  <c r="AW71" i="3"/>
  <c r="AW56" i="3"/>
  <c r="AW57" i="3"/>
  <c r="AW58" i="3"/>
  <c r="AW61" i="3" s="1"/>
  <c r="AU76" i="3"/>
  <c r="AU79" i="3" s="1"/>
  <c r="AU82" i="3" s="1"/>
  <c r="AU84" i="3" s="1"/>
  <c r="AY157" i="3"/>
  <c r="AV71" i="3"/>
  <c r="AV56" i="3"/>
  <c r="AV57" i="3"/>
  <c r="AV58" i="3"/>
  <c r="AV61" i="3" s="1"/>
  <c r="BG48" i="3"/>
  <c r="BG11" i="3"/>
  <c r="BG26" i="3" s="1"/>
  <c r="V98" i="2"/>
  <c r="V93" i="2"/>
  <c r="Y159" i="2"/>
  <c r="Y164" i="2" s="1"/>
  <c r="Y11" i="2"/>
  <c r="Y145" i="2"/>
  <c r="Y146" i="2"/>
  <c r="Y199" i="2"/>
  <c r="Y200" i="2"/>
  <c r="Y148" i="2" s="1"/>
  <c r="BC29" i="3"/>
  <c r="AX19" i="3"/>
  <c r="AX18" i="3"/>
  <c r="AX42" i="3"/>
  <c r="AX30" i="3"/>
  <c r="X19" i="2"/>
  <c r="BB34" i="3"/>
  <c r="BB24" i="3" s="1"/>
  <c r="BB28" i="3"/>
  <c r="AZ154" i="3"/>
  <c r="AZ14" i="3" s="1"/>
  <c r="AZ148" i="3"/>
  <c r="BA153" i="3"/>
  <c r="BB160" i="3"/>
  <c r="AZ155" i="3" l="1"/>
  <c r="AZ157" i="3"/>
  <c r="AV76" i="3"/>
  <c r="V247" i="2"/>
  <c r="V249" i="2" s="1"/>
  <c r="V99" i="2"/>
  <c r="BG34" i="3"/>
  <c r="BG24" i="3" s="1"/>
  <c r="BG28" i="3"/>
  <c r="AY55" i="3"/>
  <c r="AY45" i="3"/>
  <c r="AY43" i="3"/>
  <c r="AY44" i="3"/>
  <c r="AX55" i="3"/>
  <c r="AX43" i="3"/>
  <c r="AX44" i="3"/>
  <c r="AX45" i="3"/>
  <c r="X35" i="2"/>
  <c r="BB36" i="3"/>
  <c r="BB39" i="3"/>
  <c r="Y29" i="2"/>
  <c r="AW76" i="3"/>
  <c r="AW79" i="3" s="1"/>
  <c r="AW82" i="3" s="1"/>
  <c r="AW84" i="3" s="1"/>
  <c r="W190" i="2"/>
  <c r="W192" i="2" s="1"/>
  <c r="W77" i="2"/>
  <c r="BF28" i="3"/>
  <c r="Z30" i="2" s="1"/>
  <c r="Y30" i="2"/>
  <c r="Y205" i="2"/>
  <c r="Y147" i="2"/>
  <c r="AT82" i="3"/>
  <c r="W79" i="2"/>
  <c r="AZ17" i="3"/>
  <c r="Y154" i="2"/>
  <c r="Y186" i="2" s="1"/>
  <c r="BF48" i="3"/>
  <c r="Z43" i="2" s="1"/>
  <c r="BF11" i="3"/>
  <c r="Z10" i="2"/>
  <c r="Y27" i="2"/>
  <c r="BB27" i="3"/>
  <c r="X20" i="2"/>
  <c r="X32" i="2"/>
  <c r="BA154" i="3"/>
  <c r="BA14" i="3" s="1"/>
  <c r="BA17" i="3" s="1"/>
  <c r="BA148" i="3"/>
  <c r="BC160" i="3"/>
  <c r="BB153" i="3"/>
  <c r="BA157" i="3"/>
  <c r="BA155" i="3"/>
  <c r="BF34" i="3" l="1"/>
  <c r="BF24" i="3" s="1"/>
  <c r="Z27" i="2" s="1"/>
  <c r="BF26" i="3"/>
  <c r="Z44" i="2"/>
  <c r="Z29" i="2"/>
  <c r="BA18" i="3"/>
  <c r="BA19" i="3"/>
  <c r="BA42" i="3"/>
  <c r="BA30" i="3"/>
  <c r="AZ19" i="3"/>
  <c r="AZ18" i="3"/>
  <c r="AZ42" i="3"/>
  <c r="AZ30" i="3"/>
  <c r="AY71" i="3"/>
  <c r="AY57" i="3"/>
  <c r="AY56" i="3"/>
  <c r="AY58" i="3"/>
  <c r="AY61" i="3" s="1"/>
  <c r="BG36" i="3"/>
  <c r="BG39" i="3"/>
  <c r="W92" i="2"/>
  <c r="BB52" i="3"/>
  <c r="AT84" i="3"/>
  <c r="W84" i="2" s="1"/>
  <c r="W82" i="2"/>
  <c r="BB29" i="3"/>
  <c r="BG27" i="3"/>
  <c r="X38" i="2"/>
  <c r="X36" i="2"/>
  <c r="X185" i="2"/>
  <c r="X188" i="2" s="1"/>
  <c r="X37" i="2"/>
  <c r="V210" i="2"/>
  <c r="V214" i="2" s="1"/>
  <c r="V218" i="2" s="1"/>
  <c r="V144" i="2" s="1"/>
  <c r="V174" i="2"/>
  <c r="Z146" i="2"/>
  <c r="Z11" i="2"/>
  <c r="Z159" i="2"/>
  <c r="Z164" i="2" s="1"/>
  <c r="Z145" i="2"/>
  <c r="Z199" i="2"/>
  <c r="Z147" i="2" s="1"/>
  <c r="Z200" i="2"/>
  <c r="AV79" i="3"/>
  <c r="AX71" i="3"/>
  <c r="AX57" i="3"/>
  <c r="AX56" i="3"/>
  <c r="AX58" i="3"/>
  <c r="AX61" i="3" s="1"/>
  <c r="X50" i="2"/>
  <c r="BB154" i="3"/>
  <c r="BB14" i="3" s="1"/>
  <c r="BB148" i="3"/>
  <c r="BD160" i="3"/>
  <c r="BC153" i="3"/>
  <c r="BB157" i="3" l="1"/>
  <c r="BB155" i="3"/>
  <c r="BF39" i="3"/>
  <c r="BF36" i="3"/>
  <c r="BF27" i="3"/>
  <c r="BF52" i="3" s="1"/>
  <c r="AY76" i="3"/>
  <c r="AY79" i="3" s="1"/>
  <c r="AY82" i="3" s="1"/>
  <c r="AY84" i="3" s="1"/>
  <c r="AX76" i="3"/>
  <c r="X76" i="2" s="1"/>
  <c r="X71" i="2"/>
  <c r="AZ55" i="3"/>
  <c r="AZ45" i="3"/>
  <c r="AZ43" i="3"/>
  <c r="AZ44" i="3"/>
  <c r="AV82" i="3"/>
  <c r="BB81" i="3"/>
  <c r="Y47" i="2"/>
  <c r="Y211" i="2" s="1"/>
  <c r="BG29" i="3"/>
  <c r="BG52" i="3"/>
  <c r="BG81" i="3" s="1"/>
  <c r="BA55" i="3"/>
  <c r="BA45" i="3"/>
  <c r="BA44" i="3"/>
  <c r="BA43" i="3"/>
  <c r="Y31" i="2"/>
  <c r="V166" i="2"/>
  <c r="V151" i="2"/>
  <c r="V177" i="2" s="1"/>
  <c r="V65" i="2"/>
  <c r="X194" i="2"/>
  <c r="W98" i="2"/>
  <c r="W93" i="2"/>
  <c r="Z154" i="2"/>
  <c r="Z186" i="2" s="1"/>
  <c r="Z205" i="2"/>
  <c r="Z148" i="2"/>
  <c r="BB17" i="3"/>
  <c r="Y16" i="2"/>
  <c r="X51" i="2"/>
  <c r="X52" i="2"/>
  <c r="X53" i="2"/>
  <c r="X58" i="2" s="1"/>
  <c r="BC154" i="3"/>
  <c r="BC14" i="3" s="1"/>
  <c r="BC17" i="3" s="1"/>
  <c r="BC148" i="3"/>
  <c r="BE160" i="3"/>
  <c r="BD153" i="3"/>
  <c r="BF29" i="3" l="1"/>
  <c r="BC18" i="3"/>
  <c r="BC19" i="3"/>
  <c r="BC42" i="3"/>
  <c r="BC30" i="3"/>
  <c r="Z31" i="2"/>
  <c r="BC157" i="3"/>
  <c r="BB19" i="3"/>
  <c r="BB18" i="3"/>
  <c r="BB42" i="3"/>
  <c r="Y19" i="2"/>
  <c r="Y20" i="2" s="1"/>
  <c r="BC155" i="3"/>
  <c r="W99" i="2"/>
  <c r="W247" i="2"/>
  <c r="W249" i="2" s="1"/>
  <c r="V167" i="2"/>
  <c r="V66" i="2"/>
  <c r="BB30" i="3"/>
  <c r="BA71" i="3"/>
  <c r="BA56" i="3"/>
  <c r="BA58" i="3"/>
  <c r="BA61" i="3" s="1"/>
  <c r="BA57" i="3"/>
  <c r="AZ71" i="3"/>
  <c r="AZ57" i="3"/>
  <c r="AZ56" i="3"/>
  <c r="AZ58" i="3"/>
  <c r="AZ61" i="3" s="1"/>
  <c r="X190" i="2"/>
  <c r="X192" i="2" s="1"/>
  <c r="X77" i="2"/>
  <c r="Y87" i="2"/>
  <c r="Y173" i="2"/>
  <c r="Y81" i="2"/>
  <c r="Y187" i="2" s="1"/>
  <c r="AX79" i="3"/>
  <c r="V175" i="2"/>
  <c r="V179" i="2"/>
  <c r="V178" i="2"/>
  <c r="AV84" i="3"/>
  <c r="BF81" i="3"/>
  <c r="Z47" i="2"/>
  <c r="Z211" i="2" s="1"/>
  <c r="BD154" i="3"/>
  <c r="BD14" i="3" s="1"/>
  <c r="BD148" i="3"/>
  <c r="BD155" i="3"/>
  <c r="BD157" i="3"/>
  <c r="BF160" i="3"/>
  <c r="BE153" i="3"/>
  <c r="AX82" i="3" l="1"/>
  <c r="X79" i="2"/>
  <c r="Z173" i="2"/>
  <c r="BA76" i="3"/>
  <c r="BA79" i="3" s="1"/>
  <c r="BA82" i="3" s="1"/>
  <c r="BA84" i="3" s="1"/>
  <c r="Z87" i="2"/>
  <c r="Z88" i="2" s="1"/>
  <c r="Z90" i="2" s="1"/>
  <c r="Y88" i="2"/>
  <c r="Y90" i="2" s="1"/>
  <c r="BB55" i="3"/>
  <c r="BB43" i="3"/>
  <c r="BB44" i="3"/>
  <c r="BB45" i="3"/>
  <c r="Y35" i="2"/>
  <c r="Z81" i="2"/>
  <c r="Z187" i="2" s="1"/>
  <c r="BD17" i="3"/>
  <c r="Y32" i="2"/>
  <c r="W210" i="2"/>
  <c r="W214" i="2" s="1"/>
  <c r="W218" i="2" s="1"/>
  <c r="W144" i="2" s="1"/>
  <c r="W174" i="2"/>
  <c r="BC55" i="3"/>
  <c r="BC44" i="3"/>
  <c r="BC45" i="3"/>
  <c r="BC43" i="3"/>
  <c r="AZ76" i="3"/>
  <c r="AZ79" i="3" s="1"/>
  <c r="BE154" i="3"/>
  <c r="BE14" i="3" s="1"/>
  <c r="BE17" i="3" s="1"/>
  <c r="BE148" i="3"/>
  <c r="BG160" i="3"/>
  <c r="BG153" i="3" s="1"/>
  <c r="BF153" i="3"/>
  <c r="BE157" i="3" l="1"/>
  <c r="BE155" i="3"/>
  <c r="BB71" i="3"/>
  <c r="BB56" i="3"/>
  <c r="BB58" i="3"/>
  <c r="BB61" i="3" s="1"/>
  <c r="BB57" i="3"/>
  <c r="Y50" i="2"/>
  <c r="W151" i="2"/>
  <c r="W177" i="2" s="1"/>
  <c r="W166" i="2"/>
  <c r="W65" i="2"/>
  <c r="AZ82" i="3"/>
  <c r="BC71" i="3"/>
  <c r="BC58" i="3"/>
  <c r="BC61" i="3" s="1"/>
  <c r="BC56" i="3"/>
  <c r="BC57" i="3"/>
  <c r="BE18" i="3"/>
  <c r="BE19" i="3"/>
  <c r="BE42" i="3"/>
  <c r="BE30" i="3"/>
  <c r="BD19" i="3"/>
  <c r="BD18" i="3"/>
  <c r="BD42" i="3"/>
  <c r="BD30" i="3"/>
  <c r="Y185" i="2"/>
  <c r="Y188" i="2" s="1"/>
  <c r="Y38" i="2"/>
  <c r="Y37" i="2"/>
  <c r="Y36" i="2"/>
  <c r="X92" i="2"/>
  <c r="AX84" i="3"/>
  <c r="X84" i="2" s="1"/>
  <c r="X82" i="2"/>
  <c r="BG154" i="3"/>
  <c r="BG14" i="3" s="1"/>
  <c r="BG17" i="3" s="1"/>
  <c r="BG148" i="3"/>
  <c r="BF154" i="3"/>
  <c r="BF14" i="3" s="1"/>
  <c r="BF148" i="3"/>
  <c r="BF155" i="3"/>
  <c r="AA37" i="3"/>
  <c r="AY37" i="3"/>
  <c r="AL37" i="3"/>
  <c r="Y37" i="3"/>
  <c r="AX37" i="3"/>
  <c r="AK37" i="3"/>
  <c r="AM37" i="3"/>
  <c r="AW37" i="3"/>
  <c r="Z37" i="3"/>
  <c r="BD37" i="3"/>
  <c r="AI37" i="3"/>
  <c r="AU37" i="3"/>
  <c r="AH37" i="3"/>
  <c r="BC37" i="3"/>
  <c r="AQ37" i="3"/>
  <c r="AV37" i="3"/>
  <c r="BG37" i="3"/>
  <c r="AT37" i="3"/>
  <c r="AG37" i="3"/>
  <c r="BB37" i="3"/>
  <c r="AP37" i="3"/>
  <c r="AD37" i="3"/>
  <c r="AJ37" i="3"/>
  <c r="BF37" i="3"/>
  <c r="V37" i="3"/>
  <c r="AS37" i="3"/>
  <c r="AF37" i="3"/>
  <c r="BA37" i="3"/>
  <c r="AO37" i="3"/>
  <c r="AC37" i="3"/>
  <c r="BE37" i="3"/>
  <c r="U37" i="3"/>
  <c r="AR37" i="3"/>
  <c r="AE37" i="3"/>
  <c r="W37" i="3"/>
  <c r="AZ37" i="3"/>
  <c r="AN37" i="3"/>
  <c r="AB37" i="3"/>
  <c r="X37" i="3"/>
  <c r="T37" i="3"/>
  <c r="V95" i="2"/>
  <c r="T95" i="2"/>
  <c r="S95" i="2"/>
  <c r="D4" i="1"/>
  <c r="BF157" i="3" l="1"/>
  <c r="BG155" i="3"/>
  <c r="BG157" i="3"/>
  <c r="AZ84" i="3"/>
  <c r="X98" i="2"/>
  <c r="X93" i="2"/>
  <c r="W167" i="2"/>
  <c r="W66" i="2"/>
  <c r="BE55" i="3"/>
  <c r="BE43" i="3"/>
  <c r="BE44" i="3"/>
  <c r="BE45" i="3"/>
  <c r="W175" i="2"/>
  <c r="W179" i="2"/>
  <c r="W178" i="2"/>
  <c r="Y51" i="2"/>
  <c r="Y52" i="2"/>
  <c r="Y53" i="2"/>
  <c r="Y58" i="2" s="1"/>
  <c r="Y194" i="2"/>
  <c r="BF17" i="3"/>
  <c r="Z16" i="2"/>
  <c r="BG19" i="3"/>
  <c r="BG18" i="3"/>
  <c r="BG42" i="3"/>
  <c r="BG30" i="3"/>
  <c r="BB76" i="3"/>
  <c r="Y76" i="2" s="1"/>
  <c r="Y71" i="2"/>
  <c r="BD55" i="3"/>
  <c r="BD43" i="3"/>
  <c r="BD44" i="3"/>
  <c r="BD45" i="3"/>
  <c r="BC76" i="3"/>
  <c r="BC79" i="3" s="1"/>
  <c r="BC82" i="3" s="1"/>
  <c r="BC84" i="3" s="1"/>
  <c r="U95" i="2"/>
  <c r="L95" i="2"/>
  <c r="M95" i="2"/>
  <c r="W95" i="2"/>
  <c r="N95" i="2"/>
  <c r="P95" i="2"/>
  <c r="AD95" i="2" s="1"/>
  <c r="Q95" i="2"/>
  <c r="AF95" i="2" s="1"/>
  <c r="R95" i="2"/>
  <c r="O95" i="2"/>
  <c r="X95" i="2"/>
  <c r="BB79" i="3" l="1"/>
  <c r="BB82" i="3" s="1"/>
  <c r="BE71" i="3"/>
  <c r="BE57" i="3"/>
  <c r="BE58" i="3"/>
  <c r="BE61" i="3" s="1"/>
  <c r="BE56" i="3"/>
  <c r="BD71" i="3"/>
  <c r="BD58" i="3"/>
  <c r="BD61" i="3" s="1"/>
  <c r="BD56" i="3"/>
  <c r="BD57" i="3"/>
  <c r="BF19" i="3"/>
  <c r="BF42" i="3"/>
  <c r="BF30" i="3"/>
  <c r="BF18" i="3"/>
  <c r="Z19" i="2"/>
  <c r="Y79" i="2"/>
  <c r="X99" i="2"/>
  <c r="X247" i="2"/>
  <c r="X249" i="2" s="1"/>
  <c r="Y77" i="2"/>
  <c r="Y190" i="2"/>
  <c r="Y192" i="2" s="1"/>
  <c r="BG55" i="3"/>
  <c r="BG44" i="3"/>
  <c r="BG43" i="3"/>
  <c r="BG45" i="3"/>
  <c r="BG71" i="3" l="1"/>
  <c r="BG58" i="3"/>
  <c r="BG61" i="3" s="1"/>
  <c r="BG56" i="3"/>
  <c r="BG57" i="3"/>
  <c r="BF55" i="3"/>
  <c r="BF45" i="3"/>
  <c r="BF44" i="3"/>
  <c r="BF43" i="3"/>
  <c r="Z35" i="2"/>
  <c r="BD76" i="3"/>
  <c r="BD79" i="3" s="1"/>
  <c r="Y92" i="2"/>
  <c r="X210" i="2"/>
  <c r="X214" i="2" s="1"/>
  <c r="X218" i="2" s="1"/>
  <c r="X144" i="2" s="1"/>
  <c r="X174" i="2"/>
  <c r="BB84" i="3"/>
  <c r="Y84" i="2" s="1"/>
  <c r="Y82" i="2"/>
  <c r="Z20" i="2"/>
  <c r="Z32" i="2"/>
  <c r="BE76" i="3"/>
  <c r="BE79" i="3" s="1"/>
  <c r="BE82" i="3" s="1"/>
  <c r="BE84" i="3" s="1"/>
  <c r="BD82" i="3" l="1"/>
  <c r="BF71" i="3"/>
  <c r="BF57" i="3"/>
  <c r="BF58" i="3"/>
  <c r="BF61" i="3" s="1"/>
  <c r="BF56" i="3"/>
  <c r="Z50" i="2"/>
  <c r="Z185" i="2"/>
  <c r="Z188" i="2" s="1"/>
  <c r="Z38" i="2"/>
  <c r="Z36" i="2"/>
  <c r="Z37" i="2"/>
  <c r="X65" i="2"/>
  <c r="X166" i="2"/>
  <c r="X151" i="2"/>
  <c r="X177" i="2" s="1"/>
  <c r="Y93" i="2"/>
  <c r="Y98" i="2"/>
  <c r="Y95" i="2"/>
  <c r="BG76" i="3"/>
  <c r="BG79" i="3" s="1"/>
  <c r="BG82" i="3" s="1"/>
  <c r="BG84" i="3" s="1"/>
  <c r="Y247" i="2" l="1"/>
  <c r="Y99" i="2"/>
  <c r="Z53" i="2"/>
  <c r="Z58" i="2" s="1"/>
  <c r="Z52" i="2"/>
  <c r="Z51" i="2"/>
  <c r="Z194" i="2"/>
  <c r="X167" i="2"/>
  <c r="X66" i="2"/>
  <c r="BF76" i="3"/>
  <c r="Z76" i="2" s="1"/>
  <c r="Z71" i="2"/>
  <c r="X175" i="2"/>
  <c r="X179" i="2"/>
  <c r="X178" i="2"/>
  <c r="BD84" i="3"/>
  <c r="Z77" i="2" l="1"/>
  <c r="Z190" i="2"/>
  <c r="Z192" i="2" s="1"/>
  <c r="BF79" i="3"/>
  <c r="Y210" i="2"/>
  <c r="Y214" i="2" s="1"/>
  <c r="Y218" i="2" s="1"/>
  <c r="Y144" i="2" s="1"/>
  <c r="Y174" i="2"/>
  <c r="Y151" i="2" l="1"/>
  <c r="Y177" i="2" s="1"/>
  <c r="Y166" i="2"/>
  <c r="Y65" i="2"/>
  <c r="BF82" i="3"/>
  <c r="Z79" i="2"/>
  <c r="Z92" i="2" l="1"/>
  <c r="Y175" i="2"/>
  <c r="Y179" i="2"/>
  <c r="Y178" i="2"/>
  <c r="BF84" i="3"/>
  <c r="Z84" i="2" s="1"/>
  <c r="Z82" i="2"/>
  <c r="Y167" i="2"/>
  <c r="Y66" i="2"/>
  <c r="Z98" i="2" l="1"/>
  <c r="Z93" i="2"/>
  <c r="Z95" i="2"/>
  <c r="Z247" i="2" l="1"/>
  <c r="Z99" i="2"/>
  <c r="Z210" i="2" l="1"/>
  <c r="Z214" i="2" s="1"/>
  <c r="Z218" i="2" s="1"/>
  <c r="Z144" i="2" s="1"/>
  <c r="Z174" i="2"/>
  <c r="Y248" i="2"/>
  <c r="Y249" i="2" s="1"/>
  <c r="Z249" i="2"/>
  <c r="D249" i="2" l="1"/>
  <c r="K11" i="1" s="1"/>
  <c r="K12" i="1" s="1"/>
  <c r="L12" i="1" s="1"/>
  <c r="Z151" i="2"/>
  <c r="Z177" i="2" s="1"/>
  <c r="Z166" i="2"/>
  <c r="Z65" i="2"/>
  <c r="L11" i="1" l="1"/>
  <c r="Z175" i="2"/>
  <c r="Z179" i="2"/>
  <c r="Z178" i="2"/>
  <c r="Z167" i="2"/>
  <c r="Z66" i="2"/>
  <c r="M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 Wilson</author>
  </authors>
  <commentList>
    <comment ref="S16" authorId="0" shapeId="0" xr:uid="{9BB3F7A1-EE4F-498A-A732-D5CF1D41D588}">
      <text>
        <r>
          <rPr>
            <b/>
            <sz val="9"/>
            <color indexed="81"/>
            <rFont val="Tahoma"/>
            <family val="2"/>
          </rPr>
          <t>Peter Wilson:</t>
        </r>
        <r>
          <rPr>
            <sz val="9"/>
            <color indexed="81"/>
            <rFont val="Tahoma"/>
            <family val="2"/>
          </rPr>
          <t xml:space="preserve">
Proto</t>
        </r>
      </text>
    </comment>
    <comment ref="U26" authorId="0" shapeId="0" xr:uid="{DA744399-DF3B-4DAC-9B06-F004A07AD7D5}">
      <text>
        <r>
          <rPr>
            <b/>
            <sz val="9"/>
            <color indexed="81"/>
            <rFont val="Tahoma"/>
            <family val="2"/>
          </rPr>
          <t>Peter Wilson:</t>
        </r>
        <r>
          <rPr>
            <sz val="9"/>
            <color indexed="81"/>
            <rFont val="Tahoma"/>
            <family val="2"/>
          </rPr>
          <t xml:space="preserve">
Assume 75% of Cash App GP growth is from Cash App Borrow or similar lending products</t>
        </r>
      </text>
    </comment>
    <comment ref="R35" authorId="0" shapeId="0" xr:uid="{915B1D5E-E7E6-40CB-8471-1CBC3F9C8AC4}">
      <text>
        <r>
          <rPr>
            <b/>
            <sz val="9"/>
            <color indexed="81"/>
            <rFont val="Tahoma"/>
            <family val="2"/>
          </rPr>
          <t>Peter Wilson:</t>
        </r>
        <r>
          <rPr>
            <sz val="9"/>
            <color indexed="81"/>
            <rFont val="Tahoma"/>
            <family val="2"/>
          </rPr>
          <t xml:space="preserve">
g expenses were up 23% year over year as we significantly increased go-to-market investment in Square. General and administrative expenses were up 14% year over year on a GAAP basis, driven in part by an in-person company event. Excluding this expense, general and administrative expenses remained roughly flat year over year in the third quarter
</t>
        </r>
      </text>
    </comment>
    <comment ref="V35" authorId="0" shapeId="0" xr:uid="{12296822-115B-4B90-ACC5-CDD8BC6BF609}">
      <text>
        <r>
          <rPr>
            <b/>
            <sz val="9"/>
            <color indexed="81"/>
            <rFont val="Tahoma"/>
            <family val="2"/>
          </rPr>
          <t>Peter Wilson:</t>
        </r>
        <r>
          <rPr>
            <sz val="9"/>
            <color indexed="81"/>
            <rFont val="Tahoma"/>
            <family val="2"/>
          </rPr>
          <t xml:space="preserve">
Prior perdio had in person company event that increased G&amp;A 14%</t>
        </r>
      </text>
    </comment>
    <comment ref="U158" authorId="0" shapeId="0" xr:uid="{463FF527-96B6-4099-9411-C096739547CC}">
      <text>
        <r>
          <rPr>
            <b/>
            <sz val="9"/>
            <color indexed="81"/>
            <rFont val="Tahoma"/>
            <family val="2"/>
          </rPr>
          <t>Peter Wilson:</t>
        </r>
        <r>
          <rPr>
            <sz val="9"/>
            <color indexed="81"/>
            <rFont val="Tahoma"/>
            <family val="2"/>
          </rPr>
          <t xml:space="preserve">
Final period of commission change </t>
        </r>
      </text>
    </comment>
  </commentList>
</comments>
</file>

<file path=xl/sharedStrings.xml><?xml version="1.0" encoding="utf-8"?>
<sst xmlns="http://schemas.openxmlformats.org/spreadsheetml/2006/main" count="1385" uniqueCount="709">
  <si>
    <t>Valuation</t>
  </si>
  <si>
    <t>XYZ</t>
  </si>
  <si>
    <t xml:space="preserve">DDM </t>
  </si>
  <si>
    <t>Units</t>
  </si>
  <si>
    <t>Current Price (ASX)=</t>
  </si>
  <si>
    <t>XYZ.AX</t>
  </si>
  <si>
    <t>Risk Free Rate</t>
  </si>
  <si>
    <t>%</t>
  </si>
  <si>
    <t>Shares Outstanding =</t>
  </si>
  <si>
    <t>XYZ.N</t>
  </si>
  <si>
    <t>Beta</t>
  </si>
  <si>
    <t>x</t>
  </si>
  <si>
    <t>AS51 Index</t>
  </si>
  <si>
    <t>Market Premium</t>
  </si>
  <si>
    <t>TARGET Relative Forward PE</t>
  </si>
  <si>
    <t>Ke</t>
  </si>
  <si>
    <t>TARGET Forward PE</t>
  </si>
  <si>
    <t>ROE</t>
  </si>
  <si>
    <t>% p.a.</t>
  </si>
  <si>
    <t>PE Price Target =</t>
  </si>
  <si>
    <t>LT Payout Ratio</t>
  </si>
  <si>
    <t>LT growth rate</t>
  </si>
  <si>
    <t>Dividend Discount Model (Common shares, USD/sh)</t>
  </si>
  <si>
    <t>Dividend Discount Model (Common shares, AUD/sh)</t>
  </si>
  <si>
    <t>Notes</t>
  </si>
  <si>
    <t>Actual Values</t>
  </si>
  <si>
    <t>(hard coded)</t>
  </si>
  <si>
    <t>Formula</t>
  </si>
  <si>
    <t>Manual entry (assumption)</t>
  </si>
  <si>
    <t>(usually from guidance given by management)</t>
  </si>
  <si>
    <t>Actual ---&gt;</t>
  </si>
  <si>
    <t>Forecast -----&gt;</t>
  </si>
  <si>
    <t>PE</t>
  </si>
  <si>
    <t>Consensus</t>
  </si>
  <si>
    <t>NPAT(USDm)</t>
  </si>
  <si>
    <t>EBITDA (USDm)</t>
  </si>
  <si>
    <t>Blackwattle</t>
  </si>
  <si>
    <t>Difference</t>
  </si>
  <si>
    <t>Adjusted NPAT (non-GAAP, pre-NCI)</t>
  </si>
  <si>
    <t>UEBITDA-Adjusted EBITDA (Non-GAAP, as guided to)</t>
  </si>
  <si>
    <t>EPS (UScps)</t>
  </si>
  <si>
    <t>YE Basic Shares Outstanding</t>
  </si>
  <si>
    <t>Shares Outstanding</t>
  </si>
  <si>
    <t>Gross Profit</t>
  </si>
  <si>
    <t>Revenue (USDm)</t>
  </si>
  <si>
    <t>Gross profit/(loss)</t>
  </si>
  <si>
    <t>Visible Alpha</t>
  </si>
  <si>
    <t>EPS</t>
  </si>
  <si>
    <t>GP-Total Gross Profit</t>
  </si>
  <si>
    <t>RevTotal Revenue</t>
  </si>
  <si>
    <t>DPS (UScps)</t>
  </si>
  <si>
    <t>Adj Operating Income (USDm)</t>
  </si>
  <si>
    <t>FY-2023</t>
  </si>
  <si>
    <t>FY-2024</t>
  </si>
  <si>
    <t>FY-2025E</t>
  </si>
  <si>
    <t>FY-2026E</t>
  </si>
  <si>
    <t>FY-2027E</t>
  </si>
  <si>
    <t>EV / EBITDA</t>
  </si>
  <si>
    <t>Operating income/(loss), Operating</t>
  </si>
  <si>
    <t>Net debt</t>
  </si>
  <si>
    <t>Dividends</t>
  </si>
  <si>
    <t>EBITAdjusted Operating Income, EBITA (non-GAAP, as guided to)</t>
  </si>
  <si>
    <t>Dividend Yield</t>
  </si>
  <si>
    <t>EBITDA</t>
  </si>
  <si>
    <t>EV/EBITDA</t>
  </si>
  <si>
    <t>EV/Sales</t>
  </si>
  <si>
    <t>EBITDA Growth</t>
  </si>
  <si>
    <t>EBITDA margin</t>
  </si>
  <si>
    <t>Revenue Growth</t>
  </si>
  <si>
    <t>EBIT margin</t>
  </si>
  <si>
    <t>Rule of 40</t>
  </si>
  <si>
    <t>Market Cap</t>
  </si>
  <si>
    <t>Stock</t>
  </si>
  <si>
    <t>FY1</t>
  </si>
  <si>
    <t>FY2</t>
  </si>
  <si>
    <t>NTM</t>
  </si>
  <si>
    <t>FY0-3 CAGR</t>
  </si>
  <si>
    <t>FY3</t>
  </si>
  <si>
    <t>AUDm</t>
  </si>
  <si>
    <t>Code</t>
  </si>
  <si>
    <t>EBIT</t>
  </si>
  <si>
    <t>Block Inc</t>
  </si>
  <si>
    <t>27.9x</t>
  </si>
  <si>
    <t>19.9x</t>
  </si>
  <si>
    <t>12.5x</t>
  </si>
  <si>
    <t>10.2x</t>
  </si>
  <si>
    <t>1.6x</t>
  </si>
  <si>
    <t>Net Interest</t>
  </si>
  <si>
    <t>Zip Co Ltd</t>
  </si>
  <si>
    <t>58.9x</t>
  </si>
  <si>
    <t>38.4x</t>
  </si>
  <si>
    <t>39.8x</t>
  </si>
  <si>
    <t>29.7x</t>
  </si>
  <si>
    <t>5.9x</t>
  </si>
  <si>
    <t>ZIP.AX</t>
  </si>
  <si>
    <t>PBT</t>
  </si>
  <si>
    <t>Tax</t>
  </si>
  <si>
    <t>US fintech neobanks</t>
  </si>
  <si>
    <t>Chime Financial Inc</t>
  </si>
  <si>
    <t>NULL</t>
  </si>
  <si>
    <t>93.9x</t>
  </si>
  <si>
    <t>30.8x</t>
  </si>
  <si>
    <t>3.1x</t>
  </si>
  <si>
    <t>CHYM.O</t>
  </si>
  <si>
    <t>NPAT</t>
  </si>
  <si>
    <t>SoFi Technologies Inc</t>
  </si>
  <si>
    <t>85.0x</t>
  </si>
  <si>
    <t>48.3x</t>
  </si>
  <si>
    <t>34.4x</t>
  </si>
  <si>
    <t>23.7x</t>
  </si>
  <si>
    <t>8.3x</t>
  </si>
  <si>
    <t>SOFI.O</t>
  </si>
  <si>
    <t>eToro Group Ltd</t>
  </si>
  <si>
    <t>18.1x</t>
  </si>
  <si>
    <t>2.9x</t>
  </si>
  <si>
    <t>2.6x</t>
  </si>
  <si>
    <t>1.0x</t>
  </si>
  <si>
    <t>ETOR.O</t>
  </si>
  <si>
    <t>FY25</t>
  </si>
  <si>
    <t>Robinhood Markets Inc</t>
  </si>
  <si>
    <t>69.5x</t>
  </si>
  <si>
    <t>55.0x</t>
  </si>
  <si>
    <t>44.2x</t>
  </si>
  <si>
    <t>34.6x</t>
  </si>
  <si>
    <t>21.1x</t>
  </si>
  <si>
    <t>HOOD.O</t>
  </si>
  <si>
    <t>Aus Tech/SaaS</t>
  </si>
  <si>
    <t>Objective Corporation Ltd</t>
  </si>
  <si>
    <t>53.1x</t>
  </si>
  <si>
    <t>46.9x</t>
  </si>
  <si>
    <t>35.2x</t>
  </si>
  <si>
    <t>30.3x</t>
  </si>
  <si>
    <t>13.2x</t>
  </si>
  <si>
    <t>OCL.AX</t>
  </si>
  <si>
    <t>TechnologyOne Ltd</t>
  </si>
  <si>
    <t>89.5x</t>
  </si>
  <si>
    <t>75.0x</t>
  </si>
  <si>
    <t>48.0x</t>
  </si>
  <si>
    <t>40.5x</t>
  </si>
  <si>
    <t>18.0x</t>
  </si>
  <si>
    <t>TNE.AX</t>
  </si>
  <si>
    <t>Pro Medicus Ltd</t>
  </si>
  <si>
    <t>200.3x</t>
  </si>
  <si>
    <t>149.3x</t>
  </si>
  <si>
    <t>136.8x</t>
  </si>
  <si>
    <t>102.9x</t>
  </si>
  <si>
    <t>100.1x</t>
  </si>
  <si>
    <t>PME.AX</t>
  </si>
  <si>
    <t>Readytech Holdings Ltd</t>
  </si>
  <si>
    <t>29.6x</t>
  </si>
  <si>
    <t>17.9x</t>
  </si>
  <si>
    <t>7.2x</t>
  </si>
  <si>
    <t>6.2x</t>
  </si>
  <si>
    <t>2.2x</t>
  </si>
  <si>
    <t>RDY.AX</t>
  </si>
  <si>
    <t>RPMGlobal Holdings Ltd</t>
  </si>
  <si>
    <t>67.8x</t>
  </si>
  <si>
    <t>52.5x</t>
  </si>
  <si>
    <t>43.3x</t>
  </si>
  <si>
    <t>32.5x</t>
  </si>
  <si>
    <t>10.5x</t>
  </si>
  <si>
    <t>RUL.AX</t>
  </si>
  <si>
    <t>WiseTech Global Ltd</t>
  </si>
  <si>
    <t>77.2x</t>
  </si>
  <si>
    <t>57.0x</t>
  </si>
  <si>
    <t>36.2x</t>
  </si>
  <si>
    <t>27.4x</t>
  </si>
  <si>
    <t>14.4x</t>
  </si>
  <si>
    <t>WTC.AX</t>
  </si>
  <si>
    <t>Siteminder Ltd</t>
  </si>
  <si>
    <t>1059.6x</t>
  </si>
  <si>
    <t>57.6x</t>
  </si>
  <si>
    <t>34.3x</t>
  </si>
  <si>
    <t>6.4x</t>
  </si>
  <si>
    <t>SDR.AX</t>
  </si>
  <si>
    <t>FY26</t>
  </si>
  <si>
    <t>Xero Ltd</t>
  </si>
  <si>
    <t>90.9x</t>
  </si>
  <si>
    <t>71.7x</t>
  </si>
  <si>
    <t>37.5x</t>
  </si>
  <si>
    <t>29.5x</t>
  </si>
  <si>
    <t>10.1x</t>
  </si>
  <si>
    <t>XRO.AX</t>
  </si>
  <si>
    <t>Megaport Ltd</t>
  </si>
  <si>
    <t>48.8x</t>
  </si>
  <si>
    <t>35.5x</t>
  </si>
  <si>
    <t>8.4x</t>
  </si>
  <si>
    <t>MP1.AX</t>
  </si>
  <si>
    <t>Life360 Inc</t>
  </si>
  <si>
    <t>130.0x</t>
  </si>
  <si>
    <t>85.3x</t>
  </si>
  <si>
    <t>97.2x</t>
  </si>
  <si>
    <t>65.8x</t>
  </si>
  <si>
    <t>13.5x</t>
  </si>
  <si>
    <t>360.AX</t>
  </si>
  <si>
    <t>MEDIAN</t>
  </si>
  <si>
    <t>90.2x</t>
  </si>
  <si>
    <t>73.4x</t>
  </si>
  <si>
    <t>Global Payments/Fintech</t>
  </si>
  <si>
    <t>PayPal Holdings Inc</t>
  </si>
  <si>
    <t>12.7x</t>
  </si>
  <si>
    <t>11.5x</t>
  </si>
  <si>
    <t>9.3x</t>
  </si>
  <si>
    <t>8.7x</t>
  </si>
  <si>
    <t>1.9x</t>
  </si>
  <si>
    <t>PYPL.O</t>
  </si>
  <si>
    <t>Global Payments Inc</t>
  </si>
  <si>
    <t>7.0x</t>
  </si>
  <si>
    <t>7.8x</t>
  </si>
  <si>
    <t>7.3x</t>
  </si>
  <si>
    <t>3.7x</t>
  </si>
  <si>
    <t>GPN.N</t>
  </si>
  <si>
    <t>Shopify Inc</t>
  </si>
  <si>
    <t>99.5x</t>
  </si>
  <si>
    <t>79.0x</t>
  </si>
  <si>
    <t>95.0x</t>
  </si>
  <si>
    <t>13.8x</t>
  </si>
  <si>
    <t>SHOP.K</t>
  </si>
  <si>
    <t>Affirm Holdings Inc</t>
  </si>
  <si>
    <t>102.0x</t>
  </si>
  <si>
    <t>55.2x</t>
  </si>
  <si>
    <t>31.3x</t>
  </si>
  <si>
    <t>25.6x</t>
  </si>
  <si>
    <t>7.9x</t>
  </si>
  <si>
    <t>AFRM.O</t>
  </si>
  <si>
    <t>Capital One Financial Corp</t>
  </si>
  <si>
    <t>12.8x</t>
  </si>
  <si>
    <t>11.4x</t>
  </si>
  <si>
    <t>3.3x</t>
  </si>
  <si>
    <t>COF.N</t>
  </si>
  <si>
    <t>Toast Inc</t>
  </si>
  <si>
    <t>82.0x</t>
  </si>
  <si>
    <t>50.8x</t>
  </si>
  <si>
    <t>37.3x</t>
  </si>
  <si>
    <t>27.6x</t>
  </si>
  <si>
    <t>TOST.K</t>
  </si>
  <si>
    <t>Lightspeed Commerce Inc</t>
  </si>
  <si>
    <t>27.7x</t>
  </si>
  <si>
    <t>17.0x</t>
  </si>
  <si>
    <t>17.2x</t>
  </si>
  <si>
    <t>12.6x</t>
  </si>
  <si>
    <t>0.9x</t>
  </si>
  <si>
    <t>LSPD.TO</t>
  </si>
  <si>
    <t>Fiserv Inc</t>
  </si>
  <si>
    <t>11.3x</t>
  </si>
  <si>
    <t>9.8x</t>
  </si>
  <si>
    <t>9.0x</t>
  </si>
  <si>
    <t>4.5x</t>
  </si>
  <si>
    <t>FI.N</t>
  </si>
  <si>
    <t>20.4x</t>
  </si>
  <si>
    <t>14.2x</t>
  </si>
  <si>
    <t>3.5x</t>
  </si>
  <si>
    <t>US banks</t>
  </si>
  <si>
    <t>Morgan Stanley</t>
  </si>
  <si>
    <t>17.6x</t>
  </si>
  <si>
    <t>16.3x</t>
  </si>
  <si>
    <t>8.5x</t>
  </si>
  <si>
    <t>MS.N</t>
  </si>
  <si>
    <t>JPMorgan Chase &amp; Co</t>
  </si>
  <si>
    <t>15.7x</t>
  </si>
  <si>
    <t>15.1x</t>
  </si>
  <si>
    <t>JPM.N</t>
  </si>
  <si>
    <t>16.6x</t>
  </si>
  <si>
    <t>XYZ Model Summary</t>
  </si>
  <si>
    <t>Earnings changes=&gt;</t>
  </si>
  <si>
    <t>Actual ----------&gt;</t>
  </si>
  <si>
    <t>FY14A</t>
  </si>
  <si>
    <t>FY15A</t>
  </si>
  <si>
    <t>FY16A</t>
  </si>
  <si>
    <t>FY17A</t>
  </si>
  <si>
    <t>FY18A</t>
  </si>
  <si>
    <t>FY19A</t>
  </si>
  <si>
    <t>FY20A</t>
  </si>
  <si>
    <t>FY21A</t>
  </si>
  <si>
    <t>FY22A</t>
  </si>
  <si>
    <t>FY23A</t>
  </si>
  <si>
    <t>FY24A</t>
  </si>
  <si>
    <t>FY25E</t>
  </si>
  <si>
    <t>FY26E</t>
  </si>
  <si>
    <t>FY27E</t>
  </si>
  <si>
    <t>FY28E</t>
  </si>
  <si>
    <t>FY29E</t>
  </si>
  <si>
    <t>FY30E</t>
  </si>
  <si>
    <t>FY31E</t>
  </si>
  <si>
    <t>FY32E</t>
  </si>
  <si>
    <t>FY33E</t>
  </si>
  <si>
    <t>FY34E</t>
  </si>
  <si>
    <t>FY35E</t>
  </si>
  <si>
    <t>P &amp;L</t>
  </si>
  <si>
    <t>Dec-YE</t>
  </si>
  <si>
    <t>Revenue (GAAP, as per guidance)</t>
  </si>
  <si>
    <t>RevSquare</t>
  </si>
  <si>
    <t>Square</t>
  </si>
  <si>
    <t>RevCash App</t>
  </si>
  <si>
    <t>Cash App</t>
  </si>
  <si>
    <t>RevCorporate &amp; Other</t>
  </si>
  <si>
    <t>Corporate &amp; Other</t>
  </si>
  <si>
    <t>Total Revenue</t>
  </si>
  <si>
    <t>USDk</t>
  </si>
  <si>
    <t>Growth</t>
  </si>
  <si>
    <t>% YoY</t>
  </si>
  <si>
    <t>Initial Guidance</t>
  </si>
  <si>
    <t>vs guidance</t>
  </si>
  <si>
    <t>Gross Profit (GAAP)</t>
  </si>
  <si>
    <t>GP-Square</t>
  </si>
  <si>
    <t>GP-Cash App</t>
  </si>
  <si>
    <t>GP-Corporate &amp; Other</t>
  </si>
  <si>
    <t>Total Gross Profit</t>
  </si>
  <si>
    <t>NR</t>
  </si>
  <si>
    <t>Latest Guidance</t>
  </si>
  <si>
    <t>Operating Expenses (Non- GAAP)</t>
  </si>
  <si>
    <t>Opex-Non-GAAP product development</t>
  </si>
  <si>
    <t>Non-GAAP product development</t>
  </si>
  <si>
    <t>Opex-Non-GAAP sales and marketing</t>
  </si>
  <si>
    <t>Non-GAAP sales and marketing</t>
  </si>
  <si>
    <t>Opex-Non-GAAP general and administrative</t>
  </si>
  <si>
    <t>Non-GAAP general and administrative</t>
  </si>
  <si>
    <t>Opex-  GAAP Transaction, loan, and consumer receivable losses</t>
  </si>
  <si>
    <t xml:space="preserve">  GAAP Transaction, loan, and consumer receivable losses</t>
  </si>
  <si>
    <t>Opex-Other</t>
  </si>
  <si>
    <t>Other</t>
  </si>
  <si>
    <t>Opex-Total Operating Expenses (Non-GAAP)</t>
  </si>
  <si>
    <t>Total Operating Expenses (Non-GAAP)</t>
  </si>
  <si>
    <t>Adjusted EBITDA (Non-GAAP, as guided to)</t>
  </si>
  <si>
    <t>Margin</t>
  </si>
  <si>
    <t>Margin of GP</t>
  </si>
  <si>
    <t xml:space="preserve">D&amp;A </t>
  </si>
  <si>
    <t xml:space="preserve">D&amp;A-D&amp;A </t>
  </si>
  <si>
    <t>D&amp;A / Revenue</t>
  </si>
  <si>
    <t>EBIT (Non-GAAP)</t>
  </si>
  <si>
    <t>EBITShare-based payments</t>
  </si>
  <si>
    <t>Share-based payments</t>
  </si>
  <si>
    <t>EBITAmortization of acquired intangible assets</t>
  </si>
  <si>
    <t>Amortization of acquired intangible assets</t>
  </si>
  <si>
    <t>EBITOther</t>
  </si>
  <si>
    <t>Adjusted Operating Income, EBITA (non-GAAP, as guided to)</t>
  </si>
  <si>
    <t>EBIT Margin</t>
  </si>
  <si>
    <t>Interest</t>
  </si>
  <si>
    <t>Interest income</t>
  </si>
  <si>
    <t>Interest on lease liabilities</t>
  </si>
  <si>
    <t>Interest expense</t>
  </si>
  <si>
    <t>Interest income rate</t>
  </si>
  <si>
    <t>Interest expense rate</t>
  </si>
  <si>
    <t>PBTAdd back Share-based comp</t>
  </si>
  <si>
    <t>Add back Share-based comp</t>
  </si>
  <si>
    <t>PBTOther income (expense), net</t>
  </si>
  <si>
    <t>Other income (expense), net</t>
  </si>
  <si>
    <t>PBTPBT (non-GAAP)</t>
  </si>
  <si>
    <t>PBT (non-GAAP)</t>
  </si>
  <si>
    <t>TaxProvision (benefit) for income taxes</t>
  </si>
  <si>
    <t>Provision (benefit) for income taxes</t>
  </si>
  <si>
    <t>TaxTax effect of non-GAAP net income adjustments</t>
  </si>
  <si>
    <t>Tax effect of non-GAAP net income adjustments</t>
  </si>
  <si>
    <t>TaxTax expense</t>
  </si>
  <si>
    <t>Tax expense</t>
  </si>
  <si>
    <t>Underlying Tax rate</t>
  </si>
  <si>
    <t>NPATAdjustments</t>
  </si>
  <si>
    <t>Adjustments</t>
  </si>
  <si>
    <t>NPATNPAT (GAAP)</t>
  </si>
  <si>
    <t>NPAT (GAAP)</t>
  </si>
  <si>
    <t>NPATNCI</t>
  </si>
  <si>
    <t>NCI</t>
  </si>
  <si>
    <t>NPATNPAT post NCI (GAAP)</t>
  </si>
  <si>
    <t>NPAT post NCI (GAAP)</t>
  </si>
  <si>
    <t>#m</t>
  </si>
  <si>
    <t>Weighted Average Basic Shares Outstanding</t>
  </si>
  <si>
    <t>Dilution</t>
  </si>
  <si>
    <t>Weighted Average Diluted Shares Outstanding</t>
  </si>
  <si>
    <t>Underlying EPS</t>
  </si>
  <si>
    <t>USDps</t>
  </si>
  <si>
    <t>EPS Growth</t>
  </si>
  <si>
    <t>Average Share Price</t>
  </si>
  <si>
    <t>PE multiple</t>
  </si>
  <si>
    <t>Payout Ratio</t>
  </si>
  <si>
    <t>Dividend Growth</t>
  </si>
  <si>
    <t>Operating metrics</t>
  </si>
  <si>
    <t>CY19</t>
  </si>
  <si>
    <t>Borrow workings</t>
  </si>
  <si>
    <t>Originations</t>
  </si>
  <si>
    <t>Origination fee</t>
  </si>
  <si>
    <t>Revenue</t>
  </si>
  <si>
    <t>GP margin</t>
  </si>
  <si>
    <t>Borrow Gross Profit</t>
  </si>
  <si>
    <t>GP margin change due to Square Origination</t>
  </si>
  <si>
    <t>Incremental Cash App Gross Profit</t>
  </si>
  <si>
    <t>Percentage of Borrow originations used in Cash App</t>
  </si>
  <si>
    <t>Multiplier from additional regular deposits</t>
  </si>
  <si>
    <t>Cash App inflows</t>
  </si>
  <si>
    <t>Monetisation rate</t>
  </si>
  <si>
    <t>Cash App ecosystem Gross Profit- from Borrow</t>
  </si>
  <si>
    <t>Total Cash App Gross Profit from Borrow</t>
  </si>
  <si>
    <t>Percentage of Cash App total GP</t>
  </si>
  <si>
    <t>Borrow loss rate</t>
  </si>
  <si>
    <t>Target &lt;3%</t>
  </si>
  <si>
    <t>Credit losses (in Opex)</t>
  </si>
  <si>
    <t>Borrow EBITDA</t>
  </si>
  <si>
    <t>Balance Sheet</t>
  </si>
  <si>
    <t>Assets</t>
  </si>
  <si>
    <t xml:space="preserve">Cash </t>
  </si>
  <si>
    <t>Current Receivables</t>
  </si>
  <si>
    <t>Inventories</t>
  </si>
  <si>
    <t>PPE</t>
  </si>
  <si>
    <t>Intangibles inc Goodwill</t>
  </si>
  <si>
    <t>Right-of-use-Assets</t>
  </si>
  <si>
    <t xml:space="preserve">Other </t>
  </si>
  <si>
    <t>TOTAL ASSETS</t>
  </si>
  <si>
    <t>Rec / Total Revenue</t>
  </si>
  <si>
    <t>Inv/ Total Revenue</t>
  </si>
  <si>
    <t>Working Capital</t>
  </si>
  <si>
    <t>ROA</t>
  </si>
  <si>
    <t>ROTA</t>
  </si>
  <si>
    <t>Liabilities</t>
  </si>
  <si>
    <t>Current Payables</t>
  </si>
  <si>
    <t>Employee Provisions</t>
  </si>
  <si>
    <t>Lease Liabilities</t>
  </si>
  <si>
    <t>Total debt</t>
  </si>
  <si>
    <t xml:space="preserve">TOTAL LIABILITIES </t>
  </si>
  <si>
    <t>Payables /  Total Revenue</t>
  </si>
  <si>
    <t>Adjusted Net Debt</t>
  </si>
  <si>
    <t>Target Net Debt/EBITDA</t>
  </si>
  <si>
    <t>Gearing ND/(ND+E)</t>
  </si>
  <si>
    <t>Equity</t>
  </si>
  <si>
    <t>Issued Capital</t>
  </si>
  <si>
    <t xml:space="preserve">Retained Profits </t>
  </si>
  <si>
    <t xml:space="preserve">Reserves </t>
  </si>
  <si>
    <t xml:space="preserve">Minorities </t>
  </si>
  <si>
    <t xml:space="preserve">TOTAL EQUITY </t>
  </si>
  <si>
    <t>P/B</t>
  </si>
  <si>
    <t>Cash Flow</t>
  </si>
  <si>
    <t>CFO</t>
  </si>
  <si>
    <t>Receipts from customers</t>
  </si>
  <si>
    <t>Payments to suppliers and employees</t>
  </si>
  <si>
    <t>Total EBITDA</t>
  </si>
  <si>
    <t>Non-cash/Significant Items</t>
  </si>
  <si>
    <t>Gross Operating Cash Flow</t>
  </si>
  <si>
    <t>Net Interest Paid</t>
  </si>
  <si>
    <t>Income Tax Paid</t>
  </si>
  <si>
    <t>NOCF</t>
  </si>
  <si>
    <t>Net Operating Cash Flow</t>
  </si>
  <si>
    <t>Net OCF Growth</t>
  </si>
  <si>
    <t>Underlying EBITDA / Gross OCF conversion</t>
  </si>
  <si>
    <t>Interest Paid</t>
  </si>
  <si>
    <t>Tax conversion</t>
  </si>
  <si>
    <t>CFI</t>
  </si>
  <si>
    <t>Capex (PP&amp;E)</t>
  </si>
  <si>
    <t>Capex (Intangibles)</t>
  </si>
  <si>
    <t>CFAcquisitions</t>
  </si>
  <si>
    <t>Acquisitions</t>
  </si>
  <si>
    <t>Associate investments</t>
  </si>
  <si>
    <t>Asset Sales</t>
  </si>
  <si>
    <t>CFInvesting Cash Flow</t>
  </si>
  <si>
    <t>Investing Cash Flow</t>
  </si>
  <si>
    <t>Capex / Sales</t>
  </si>
  <si>
    <t>Intangibles / Sales</t>
  </si>
  <si>
    <t>CFF</t>
  </si>
  <si>
    <t>Buyback</t>
  </si>
  <si>
    <t>Dividends paid</t>
  </si>
  <si>
    <t>USDm</t>
  </si>
  <si>
    <t xml:space="preserve">Issue of shares </t>
  </si>
  <si>
    <t>Lease Principal Payments</t>
  </si>
  <si>
    <t>Change in Debt</t>
  </si>
  <si>
    <t>Financing Cash Flow</t>
  </si>
  <si>
    <t>Dividend Conversion</t>
  </si>
  <si>
    <t>Debt financing of CFI</t>
  </si>
  <si>
    <t>Net Change in Cash Flow</t>
  </si>
  <si>
    <t>Free Cash Flow</t>
  </si>
  <si>
    <t>FCF</t>
  </si>
  <si>
    <t>Net OCF</t>
  </si>
  <si>
    <t>Net Capex</t>
  </si>
  <si>
    <t>FCFps</t>
  </si>
  <si>
    <t>FCF Yield</t>
  </si>
  <si>
    <t>OCF / Sales</t>
  </si>
  <si>
    <t>FCF Margin</t>
  </si>
  <si>
    <t>FCF Usage</t>
  </si>
  <si>
    <t xml:space="preserve">M&amp;A </t>
  </si>
  <si>
    <t>Debt Reduction</t>
  </si>
  <si>
    <t>ND/EBITDA</t>
  </si>
  <si>
    <t>Dividends (incl. specials)</t>
  </si>
  <si>
    <t>NPAT Payout Ratio</t>
  </si>
  <si>
    <t>FCF Payout Ratio</t>
  </si>
  <si>
    <t>Dividend Discount Model</t>
  </si>
  <si>
    <t>Discount</t>
  </si>
  <si>
    <t>Dividend</t>
  </si>
  <si>
    <t>Final Value</t>
  </si>
  <si>
    <t>Discounted Dividend</t>
  </si>
  <si>
    <t>Implied PE multiple</t>
  </si>
  <si>
    <t>Implied EV/EBITDA multiple</t>
  </si>
  <si>
    <t>Implied Div Yield</t>
  </si>
  <si>
    <t>Implied FCF Yield</t>
  </si>
  <si>
    <t>ROIC</t>
  </si>
  <si>
    <t>Invested Capital</t>
  </si>
  <si>
    <t>Underlying EBIT</t>
  </si>
  <si>
    <t>ROFE</t>
  </si>
  <si>
    <t>Underlying NOPAT</t>
  </si>
  <si>
    <t>Incremental ROIC</t>
  </si>
  <si>
    <t>Quality Score</t>
  </si>
  <si>
    <t>#</t>
  </si>
  <si>
    <t>LTIs</t>
  </si>
  <si>
    <t>Adj Operating Income margin</t>
  </si>
  <si>
    <t>GP growth</t>
  </si>
  <si>
    <t>Rule of X</t>
  </si>
  <si>
    <t>Target</t>
  </si>
  <si>
    <t>Adj Operating Income Margin</t>
  </si>
  <si>
    <t>Gross Profit Growth</t>
  </si>
  <si>
    <t>Cash Flow Audit</t>
  </si>
  <si>
    <t>Operating Cash Flow</t>
  </si>
  <si>
    <t>Significant Items</t>
  </si>
  <si>
    <t>Working Capital Impact</t>
  </si>
  <si>
    <t>Average EBITDA Conversion</t>
  </si>
  <si>
    <t>Total</t>
  </si>
  <si>
    <t>Segments</t>
  </si>
  <si>
    <t>Seasonality- 5yr averages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</si>
  <si>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</si>
  <si>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</si>
  <si>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</si>
  <si>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</si>
  <si>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</si>
  <si>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</si>
  <si>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</si>
  <si>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</si>
  <si>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</si>
  <si>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</si>
  <si>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</si>
  <si>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</si>
  <si>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</si>
  <si>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</si>
  <si>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</si>
  <si>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</si>
  <si>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1Q26</t>
  </si>
  <si>
    <t>2Q26</t>
  </si>
  <si>
    <t>3Q26</t>
  </si>
  <si>
    <t>4Q26</t>
  </si>
  <si>
    <t>1Q27</t>
  </si>
  <si>
    <t>2Q27</t>
  </si>
  <si>
    <t>3Q27</t>
  </si>
  <si>
    <t>4Q27</t>
  </si>
  <si>
    <t>1Q28</t>
  </si>
  <si>
    <t>2Q28</t>
  </si>
  <si>
    <t>3Q28</t>
  </si>
  <si>
    <t>4Q28</t>
  </si>
  <si>
    <t>1Q29</t>
  </si>
  <si>
    <t>2Q29</t>
  </si>
  <si>
    <t>3Q29</t>
  </si>
  <si>
    <t>4Q29</t>
  </si>
  <si>
    <t>1Q30</t>
  </si>
  <si>
    <t>2Q30</t>
  </si>
  <si>
    <t>3Q30</t>
  </si>
  <si>
    <t>4Q30</t>
  </si>
  <si>
    <t>1Q31</t>
  </si>
  <si>
    <t>2Q31</t>
  </si>
  <si>
    <t>3Q31</t>
  </si>
  <si>
    <t>4Q31</t>
  </si>
  <si>
    <t>1Q32</t>
  </si>
  <si>
    <t>2Q32</t>
  </si>
  <si>
    <t>3Q32</t>
  </si>
  <si>
    <t>4Q32</t>
  </si>
  <si>
    <t>1Q33</t>
  </si>
  <si>
    <t>2Q33</t>
  </si>
  <si>
    <t>3Q33</t>
  </si>
  <si>
    <t>4Q33</t>
  </si>
  <si>
    <t>1Q34</t>
  </si>
  <si>
    <t>2Q34</t>
  </si>
  <si>
    <t>3Q34</t>
  </si>
  <si>
    <t>4Q34</t>
  </si>
  <si>
    <t>1Q35</t>
  </si>
  <si>
    <t>2Q35</t>
  </si>
  <si>
    <t>3Q35</t>
  </si>
  <si>
    <t>4Q35</t>
  </si>
  <si>
    <t>1Q</t>
  </si>
  <si>
    <t>2Q</t>
  </si>
  <si>
    <t>3Q</t>
  </si>
  <si>
    <t>4Q</t>
  </si>
  <si>
    <t>1H22</t>
  </si>
  <si>
    <t>2H22</t>
  </si>
  <si>
    <t>1H23</t>
  </si>
  <si>
    <t>2H23</t>
  </si>
  <si>
    <t>1H24</t>
  </si>
  <si>
    <t>2H24</t>
  </si>
  <si>
    <t>1H25</t>
  </si>
  <si>
    <t>2H25</t>
  </si>
  <si>
    <t>1H26</t>
  </si>
  <si>
    <t>2H26</t>
  </si>
  <si>
    <t>1H27</t>
  </si>
  <si>
    <t>2H27</t>
  </si>
  <si>
    <t>1H28</t>
  </si>
  <si>
    <t>2H28</t>
  </si>
  <si>
    <t>1H29</t>
  </si>
  <si>
    <t>2H29</t>
  </si>
  <si>
    <t>1H30</t>
  </si>
  <si>
    <t>2H30</t>
  </si>
  <si>
    <t>1H31</t>
  </si>
  <si>
    <t>2H31</t>
  </si>
  <si>
    <t>1H32</t>
  </si>
  <si>
    <t>2H32</t>
  </si>
  <si>
    <t>1H33</t>
  </si>
  <si>
    <t>2H33</t>
  </si>
  <si>
    <t>1H34</t>
  </si>
  <si>
    <t>2H34</t>
  </si>
  <si>
    <t>1H35</t>
  </si>
  <si>
    <t>2H35</t>
  </si>
  <si>
    <t>GP Margin</t>
  </si>
  <si>
    <t>% Mgn</t>
  </si>
  <si>
    <t>Guidance</t>
  </si>
  <si>
    <t>Changed reporting of share based comp from 1Q25</t>
  </si>
  <si>
    <t>Operating Expenses growth</t>
  </si>
  <si>
    <t>Non-GAAP general and administrative- Percent of Sales</t>
  </si>
  <si>
    <t>Interest expense (income), net</t>
  </si>
  <si>
    <t>XYZ stated that will start to include Share comp in NPAT from FY25</t>
  </si>
  <si>
    <t>Tax effect of non-GAAP net income adjustments + deferred tax benefits</t>
  </si>
  <si>
    <t>Gross profit</t>
  </si>
  <si>
    <t>YoY growth</t>
  </si>
  <si>
    <t>Adj EBITDA</t>
  </si>
  <si>
    <t>% margin of GP</t>
  </si>
  <si>
    <t>Adjusted Operating Income</t>
  </si>
  <si>
    <t>% margin</t>
  </si>
  <si>
    <t>Rule of X (GP growth + Adj Operating Income margin</t>
  </si>
  <si>
    <t>BW forecast</t>
  </si>
  <si>
    <t>Consensus (UBS)</t>
  </si>
  <si>
    <t>Cashflow</t>
  </si>
  <si>
    <t>S&amp;M breakdown</t>
  </si>
  <si>
    <t>Sales and marketing expense, in accordance with GAAP</t>
  </si>
  <si>
    <t>Cash App marketing costs</t>
  </si>
  <si>
    <t>Square marketing costs</t>
  </si>
  <si>
    <t>Cash App share of marketing expense</t>
  </si>
  <si>
    <t>Cash App share of GP</t>
  </si>
  <si>
    <t>SquareGPV</t>
  </si>
  <si>
    <t>GPV</t>
  </si>
  <si>
    <t>Growth- Total</t>
  </si>
  <si>
    <t>YoY</t>
  </si>
  <si>
    <t>SquareGrowth- US</t>
  </si>
  <si>
    <t>Growth- US</t>
  </si>
  <si>
    <t>SquareGrowth- International (in USD)</t>
  </si>
  <si>
    <t>Growth- International (in USD)</t>
  </si>
  <si>
    <t>International share of GPV- calculated, compare to GP share below</t>
  </si>
  <si>
    <t>Transaction-based revenue</t>
  </si>
  <si>
    <t>Subscription and services-based revenue</t>
  </si>
  <si>
    <t>Hardware revenue</t>
  </si>
  <si>
    <t>SquareTotal Revenue</t>
  </si>
  <si>
    <t>Transaction take rate</t>
  </si>
  <si>
    <t>Total Revenue growth</t>
  </si>
  <si>
    <t>Hardware costs</t>
  </si>
  <si>
    <t>SquareGross Profit</t>
  </si>
  <si>
    <t>Transaction-margin</t>
  </si>
  <si>
    <t>Subscription and services-margin</t>
  </si>
  <si>
    <t>Hardware-margin</t>
  </si>
  <si>
    <t>International share of GP- calculated</t>
  </si>
  <si>
    <t>Square international gross profit (ex BNPL)</t>
  </si>
  <si>
    <t>Cash App Inflows Framework</t>
  </si>
  <si>
    <t>CAActives (end of quarter month)</t>
  </si>
  <si>
    <t>Actives (end of quarter month)</t>
  </si>
  <si>
    <t>millions</t>
  </si>
  <si>
    <t xml:space="preserve">CAInflows per active </t>
  </si>
  <si>
    <t xml:space="preserve">Inflows per active </t>
  </si>
  <si>
    <t>USD</t>
  </si>
  <si>
    <t xml:space="preserve">CAMonetization rate </t>
  </si>
  <si>
    <t xml:space="preserve">Monetization rate </t>
  </si>
  <si>
    <t>Cash App Card actives (end of quarter month)</t>
  </si>
  <si>
    <t>Cash App direct deposit actives (end of quarter month)</t>
  </si>
  <si>
    <t>BNPL Platform gross merchandise value (GMV)</t>
  </si>
  <si>
    <t>BNPL Platform losses as a percent of GMV</t>
  </si>
  <si>
    <t xml:space="preserve">     Bitcoin revenue</t>
  </si>
  <si>
    <t>Bitcoin costs</t>
  </si>
  <si>
    <t>CABitcoin</t>
  </si>
  <si>
    <t>Bitcoin</t>
  </si>
  <si>
    <t>CABNPL</t>
  </si>
  <si>
    <t>BNPL</t>
  </si>
  <si>
    <t>CACash App inflows (ex Bitcoin)</t>
  </si>
  <si>
    <t>Cash App inflows (ex Bitcoin)</t>
  </si>
  <si>
    <t>CAGross Profit</t>
  </si>
  <si>
    <t>Growth ex-Bitcoin</t>
  </si>
  <si>
    <t>Growth- ex BNPL</t>
  </si>
  <si>
    <t>BNPL share of GP</t>
  </si>
  <si>
    <t>Bitcoin price</t>
  </si>
  <si>
    <t>Bitcoin GP margin</t>
  </si>
  <si>
    <t>1QFY-2025</t>
  </si>
  <si>
    <t>2QFY-2025E</t>
  </si>
  <si>
    <t>3QFY-2025E</t>
  </si>
  <si>
    <t>4QFY-2025E</t>
  </si>
  <si>
    <t>Actuals</t>
  </si>
  <si>
    <t>BW</t>
  </si>
  <si>
    <t>Cons</t>
  </si>
  <si>
    <t>BW vs Cons</t>
  </si>
  <si>
    <t>Hardcoded</t>
  </si>
  <si>
    <t>GPV - Seller ecosystem</t>
  </si>
  <si>
    <t>CC growth - GPV - Seller ecosystem</t>
  </si>
  <si>
    <t>CC growth - GPV - Seller ecosystem - International</t>
  </si>
  <si>
    <t>Total revenue - Seller ecosystem</t>
  </si>
  <si>
    <t>Gross profit/(loss) - Seller ecosystem</t>
  </si>
  <si>
    <t>Monthly transacting active customers(MTAC) - Cash app</t>
  </si>
  <si>
    <t>Cash app Inflows per active</t>
  </si>
  <si>
    <t>Monetization rate</t>
  </si>
  <si>
    <t>Gross profit/(loss) - Cash app</t>
  </si>
  <si>
    <t>Gross Profit- Cash App</t>
  </si>
  <si>
    <t>Group</t>
  </si>
  <si>
    <t>Adj Operating Income</t>
  </si>
  <si>
    <t>% of GP</t>
  </si>
  <si>
    <t>Contribtion to Cash App growth</t>
  </si>
  <si>
    <t>Value ($/sh)</t>
  </si>
  <si>
    <t>KPI</t>
  </si>
  <si>
    <t>Factor</t>
  </si>
  <si>
    <t>Score (0,1)</t>
  </si>
  <si>
    <t>Alignment</t>
  </si>
  <si>
    <t>Moat</t>
  </si>
  <si>
    <t>Quality</t>
  </si>
  <si>
    <t>https://finance.yahoo.com/quote/XYZ/analysis/</t>
  </si>
  <si>
    <t>PW</t>
  </si>
  <si>
    <t>https://www.perplexity.ai/finance/XYZ/financials</t>
  </si>
  <si>
    <t>Dif</t>
  </si>
  <si>
    <t>Next catalyst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</si>
</sst>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;[Red]\-&quot;$&quot;#,##0"/>
    <numFmt numFmtId="8" formatCode="&quot;$&quot;#,##0.00;[Red]\-&quot;$&quot;#,##0.00"/>
    <numFmt numFmtId="164" formatCode="0.0%"/>
    <numFmt numFmtId="165" formatCode="0.0"/>
    <numFmt numFmtId="166" formatCode="#,##0.0"/>
    <numFmt numFmtId="167" formatCode="d/mm/yy;@"/>
  </numFmts>
  <fonts count="41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70C0"/>
      <name val="Calibri"/>
      <family val="2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11"/>
      <color rgb="FF0070C0"/>
      <name val="Calibri"/>
      <family val="2"/>
    </font>
    <font>
      <b/>
      <sz val="11"/>
      <color rgb="FFFFFFFF"/>
      <name val="Calibri"/>
      <family val="2"/>
    </font>
    <font>
      <sz val="11"/>
      <color rgb="FFD9D9D9"/>
      <name val="Calibri"/>
      <family val="2"/>
    </font>
    <font>
      <sz val="11"/>
      <name val="Calibri"/>
      <family val="2"/>
    </font>
    <font>
      <sz val="10"/>
      <color rgb="FFD9D9D9"/>
      <name val="Calibri"/>
      <family val="2"/>
    </font>
    <font>
      <sz val="10"/>
      <name val="Calibri"/>
      <family val="2"/>
    </font>
    <font>
      <sz val="11"/>
      <color rgb="FFFF0000"/>
      <name val="Calibri"/>
      <family val="2"/>
    </font>
    <font>
      <sz val="11"/>
      <color rgb="FFC00000"/>
      <name val="Calibri"/>
      <family val="2"/>
    </font>
    <font>
      <sz val="9"/>
      <color rgb="FFFF0000"/>
      <name val="Arial"/>
      <family val="2"/>
    </font>
    <font>
      <sz val="9"/>
      <name val="Arial"/>
      <family val="2"/>
    </font>
    <font>
      <b/>
      <sz val="10"/>
      <color rgb="FFD9D9D9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BFBFBF"/>
      <name val="Calibri"/>
      <family val="2"/>
    </font>
    <font>
      <i/>
      <sz val="10"/>
      <color rgb="FFD9D9D9"/>
      <name val="Calibri"/>
      <family val="2"/>
    </font>
    <font>
      <b/>
      <i/>
      <u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name val="Calibri"/>
      <family val="2"/>
    </font>
    <font>
      <i/>
      <sz val="11"/>
      <color rgb="FF0070C0"/>
      <name val="Calibri"/>
      <family val="2"/>
    </font>
    <font>
      <b/>
      <i/>
      <sz val="11"/>
      <color rgb="FF000000"/>
      <name val="Calibri"/>
      <family val="2"/>
    </font>
    <font>
      <b/>
      <i/>
      <sz val="11"/>
      <name val="Calibri"/>
      <family val="2"/>
    </font>
    <font>
      <sz val="10"/>
      <color rgb="FFBFBFBF"/>
      <name val="Calibri"/>
      <family val="2"/>
    </font>
    <font>
      <i/>
      <sz val="10"/>
      <color rgb="FFBFBFBF"/>
      <name val="Calibri"/>
      <family val="2"/>
    </font>
    <font>
      <i/>
      <sz val="10"/>
      <color rgb="FF000000"/>
      <name val="Calibri"/>
      <family val="2"/>
    </font>
    <font>
      <i/>
      <sz val="10"/>
      <name val="Calibri"/>
      <family val="2"/>
    </font>
    <font>
      <i/>
      <sz val="11"/>
      <color rgb="FFBFBFBF"/>
      <name val="Calibri"/>
      <family val="2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6E984"/>
        <bgColor rgb="FF000000"/>
      </patternFill>
    </fill>
    <fill>
      <patternFill patternType="solid">
        <fgColor rgb="FFFBAA77"/>
        <bgColor rgb="FF000000"/>
      </patternFill>
    </fill>
    <fill>
      <patternFill patternType="solid">
        <fgColor rgb="FFF8696B"/>
        <bgColor rgb="FF000000"/>
      </patternFill>
    </fill>
    <fill>
      <patternFill patternType="solid">
        <fgColor rgb="FFF98971"/>
        <bgColor rgb="FF000000"/>
      </patternFill>
    </fill>
    <fill>
      <patternFill patternType="solid">
        <fgColor rgb="FFFDCA7D"/>
        <bgColor rgb="FF000000"/>
      </patternFill>
    </fill>
    <fill>
      <patternFill patternType="solid">
        <fgColor rgb="FFECE683"/>
        <bgColor rgb="FF000000"/>
      </patternFill>
    </fill>
    <fill>
      <patternFill patternType="solid">
        <fgColor rgb="FFD8E082"/>
        <bgColor rgb="FF000000"/>
      </patternFill>
    </fill>
    <fill>
      <patternFill patternType="solid">
        <fgColor rgb="FFBBD881"/>
        <bgColor rgb="FF000000"/>
      </patternFill>
    </fill>
    <fill>
      <patternFill patternType="solid">
        <fgColor rgb="FF9ECF7F"/>
        <bgColor rgb="FF000000"/>
      </patternFill>
    </fill>
    <fill>
      <patternFill patternType="solid">
        <fgColor rgb="FF63BE7B"/>
        <bgColor rgb="FF000000"/>
      </patternFill>
    </fill>
    <fill>
      <patternFill patternType="solid">
        <fgColor rgb="FFEEECE1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34" fillId="0" borderId="0" applyFont="0" applyFill="0" applyBorder="0" applyAlignment="0" applyProtection="0"/>
  </cellStyleXfs>
  <cellXfs count="49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3" xfId="0" applyFont="1" applyBorder="1"/>
    <xf numFmtId="0" fontId="3" fillId="0" borderId="4" xfId="0" applyFont="1" applyBorder="1" applyAlignment="1">
      <alignment horizontal="right"/>
    </xf>
    <xf numFmtId="0" fontId="1" fillId="0" borderId="2" xfId="0" applyFont="1" applyBorder="1"/>
    <xf numFmtId="0" fontId="5" fillId="3" borderId="2" xfId="0" applyFont="1" applyFill="1" applyBorder="1" applyAlignment="1">
      <alignment horizontal="center" vertical="center"/>
    </xf>
    <xf numFmtId="10" fontId="1" fillId="2" borderId="2" xfId="0" applyNumberFormat="1" applyFont="1" applyFill="1" applyBorder="1" applyAlignment="1">
      <alignment horizontal="center"/>
    </xf>
    <xf numFmtId="0" fontId="1" fillId="0" borderId="6" xfId="0" applyFont="1" applyBorder="1"/>
    <xf numFmtId="0" fontId="3" fillId="0" borderId="7" xfId="0" applyFont="1" applyBorder="1" applyAlignment="1">
      <alignment horizontal="right"/>
    </xf>
    <xf numFmtId="0" fontId="6" fillId="0" borderId="8" xfId="0" applyFont="1" applyBorder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/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right"/>
    </xf>
    <xf numFmtId="0" fontId="3" fillId="2" borderId="9" xfId="0" applyFont="1" applyFill="1" applyBorder="1" applyAlignment="1">
      <alignment horizontal="center"/>
    </xf>
    <xf numFmtId="10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6" xfId="0" applyFont="1" applyBorder="1" applyAlignment="1">
      <alignment horizontal="right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1" fillId="2" borderId="0" xfId="0" applyFont="1" applyFill="1"/>
    <xf numFmtId="0" fontId="3" fillId="0" borderId="11" xfId="0" applyFont="1" applyBorder="1" applyAlignment="1">
      <alignment horizontal="right"/>
    </xf>
    <xf numFmtId="0" fontId="3" fillId="0" borderId="2" xfId="0" applyFont="1" applyBorder="1"/>
    <xf numFmtId="0" fontId="3" fillId="0" borderId="1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9" fillId="5" borderId="0" xfId="0" applyFont="1" applyFill="1" applyAlignment="1">
      <alignment horizontal="center"/>
    </xf>
    <xf numFmtId="0" fontId="9" fillId="6" borderId="0" xfId="0" applyFont="1" applyFill="1" applyAlignment="1">
      <alignment horizontal="left"/>
    </xf>
    <xf numFmtId="0" fontId="1" fillId="6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3" fillId="0" borderId="14" xfId="0" applyFont="1" applyBorder="1"/>
    <xf numFmtId="0" fontId="1" fillId="0" borderId="14" xfId="0" applyFont="1" applyBorder="1" applyAlignment="1">
      <alignment horizontal="center"/>
    </xf>
    <xf numFmtId="0" fontId="10" fillId="0" borderId="0" xfId="0" applyFont="1" applyAlignment="1">
      <alignment horizontal="center"/>
    </xf>
    <xf numFmtId="3" fontId="1" fillId="0" borderId="14" xfId="0" applyNumberFormat="1" applyFont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3" fontId="1" fillId="2" borderId="14" xfId="0" applyNumberFormat="1" applyFont="1" applyFill="1" applyBorder="1" applyAlignment="1">
      <alignment horizontal="center"/>
    </xf>
    <xf numFmtId="9" fontId="1" fillId="0" borderId="0" xfId="0" applyNumberFormat="1" applyFont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3" fillId="0" borderId="15" xfId="0" applyFont="1" applyBorder="1"/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6" fontId="1" fillId="0" borderId="0" xfId="0" applyNumberFormat="1" applyFont="1" applyAlignment="1">
      <alignment horizontal="center"/>
    </xf>
    <xf numFmtId="0" fontId="9" fillId="5" borderId="0" xfId="0" applyFont="1" applyFill="1" applyAlignment="1">
      <alignment horizontal="left"/>
    </xf>
    <xf numFmtId="0" fontId="9" fillId="5" borderId="0" xfId="0" applyFont="1" applyFill="1" applyAlignment="1">
      <alignment horizontal="right"/>
    </xf>
    <xf numFmtId="0" fontId="9" fillId="5" borderId="0" xfId="0" applyFont="1" applyFill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wrapText="1"/>
    </xf>
    <xf numFmtId="10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left"/>
    </xf>
    <xf numFmtId="6" fontId="1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6" fillId="0" borderId="0" xfId="0" applyFont="1" applyAlignment="1">
      <alignment horizontal="center"/>
    </xf>
    <xf numFmtId="10" fontId="3" fillId="0" borderId="2" xfId="0" applyNumberFormat="1" applyFont="1" applyBorder="1" applyAlignment="1">
      <alignment horizontal="center"/>
    </xf>
    <xf numFmtId="6" fontId="3" fillId="0" borderId="2" xfId="0" applyNumberFormat="1" applyFont="1" applyBorder="1" applyAlignment="1">
      <alignment horizontal="center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 vertical="center"/>
    </xf>
    <xf numFmtId="0" fontId="11" fillId="7" borderId="0" xfId="0" applyFont="1" applyFill="1"/>
    <xf numFmtId="0" fontId="11" fillId="8" borderId="0" xfId="0" applyFont="1" applyFill="1"/>
    <xf numFmtId="0" fontId="9" fillId="5" borderId="0" xfId="0" applyFont="1" applyFill="1"/>
    <xf numFmtId="0" fontId="9" fillId="6" borderId="0" xfId="0" applyFont="1" applyFill="1"/>
    <xf numFmtId="0" fontId="6" fillId="7" borderId="0" xfId="0" applyFont="1" applyFill="1"/>
    <xf numFmtId="0" fontId="6" fillId="8" borderId="0" xfId="0" applyFont="1" applyFill="1"/>
    <xf numFmtId="0" fontId="12" fillId="0" borderId="0" xfId="0" applyFont="1"/>
    <xf numFmtId="0" fontId="3" fillId="0" borderId="16" xfId="0" applyFont="1" applyBorder="1" applyAlignment="1">
      <alignment horizontal="center"/>
    </xf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2" fillId="9" borderId="0" xfId="0" applyFont="1" applyFill="1"/>
    <xf numFmtId="0" fontId="3" fillId="9" borderId="17" xfId="0" applyFont="1" applyFill="1" applyBorder="1" applyAlignment="1">
      <alignment horizontal="center"/>
    </xf>
    <xf numFmtId="0" fontId="1" fillId="9" borderId="0" xfId="0" applyFont="1" applyFill="1"/>
    <xf numFmtId="0" fontId="1" fillId="9" borderId="0" xfId="0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11" fillId="8" borderId="0" xfId="0" applyFont="1" applyFill="1" applyAlignment="1">
      <alignment horizontal="center"/>
    </xf>
    <xf numFmtId="0" fontId="1" fillId="0" borderId="0" xfId="0" applyFont="1" applyAlignment="1">
      <alignment horizontal="left" indent="1"/>
    </xf>
    <xf numFmtId="0" fontId="1" fillId="0" borderId="17" xfId="0" applyFont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2" fillId="0" borderId="0" xfId="0" applyFont="1" applyAlignment="1">
      <alignment horizontal="left" indent="1"/>
    </xf>
    <xf numFmtId="9" fontId="8" fillId="0" borderId="0" xfId="0" applyNumberFormat="1" applyFont="1" applyAlignment="1">
      <alignment horizontal="center"/>
    </xf>
    <xf numFmtId="3" fontId="11" fillId="0" borderId="0" xfId="0" applyNumberFormat="1" applyFont="1" applyAlignment="1">
      <alignment horizontal="center"/>
    </xf>
    <xf numFmtId="4" fontId="11" fillId="7" borderId="0" xfId="0" applyNumberFormat="1" applyFont="1" applyFill="1" applyAlignment="1">
      <alignment horizontal="center"/>
    </xf>
    <xf numFmtId="4" fontId="11" fillId="8" borderId="0" xfId="0" applyNumberFormat="1" applyFont="1" applyFill="1" applyAlignment="1">
      <alignment horizontal="center"/>
    </xf>
    <xf numFmtId="0" fontId="3" fillId="0" borderId="14" xfId="0" applyFont="1" applyBorder="1" applyAlignment="1">
      <alignment horizontal="left" indent="1"/>
    </xf>
    <xf numFmtId="0" fontId="6" fillId="0" borderId="14" xfId="0" applyFont="1" applyBorder="1" applyAlignment="1">
      <alignment horizontal="center"/>
    </xf>
    <xf numFmtId="3" fontId="6" fillId="0" borderId="14" xfId="0" applyNumberFormat="1" applyFont="1" applyBorder="1" applyAlignment="1">
      <alignment horizontal="center"/>
    </xf>
    <xf numFmtId="4" fontId="6" fillId="7" borderId="14" xfId="0" applyNumberFormat="1" applyFont="1" applyFill="1" applyBorder="1" applyAlignment="1">
      <alignment horizontal="center"/>
    </xf>
    <xf numFmtId="4" fontId="6" fillId="8" borderId="14" xfId="0" applyNumberFormat="1" applyFont="1" applyFill="1" applyBorder="1" applyAlignment="1">
      <alignment horizontal="center"/>
    </xf>
    <xf numFmtId="10" fontId="11" fillId="7" borderId="0" xfId="0" applyNumberFormat="1" applyFont="1" applyFill="1" applyAlignment="1">
      <alignment horizontal="center"/>
    </xf>
    <xf numFmtId="10" fontId="11" fillId="8" borderId="0" xfId="0" applyNumberFormat="1" applyFont="1" applyFill="1" applyAlignment="1">
      <alignment horizontal="center"/>
    </xf>
    <xf numFmtId="0" fontId="8" fillId="0" borderId="0" xfId="0" applyFont="1" applyAlignment="1">
      <alignment horizontal="left" indent="1"/>
    </xf>
    <xf numFmtId="3" fontId="8" fillId="0" borderId="0" xfId="0" applyNumberFormat="1" applyFont="1" applyAlignment="1">
      <alignment horizontal="center"/>
    </xf>
    <xf numFmtId="0" fontId="13" fillId="0" borderId="0" xfId="0" applyFont="1"/>
    <xf numFmtId="0" fontId="11" fillId="0" borderId="0" xfId="0" applyFont="1" applyAlignment="1">
      <alignment horizontal="left" indent="2"/>
    </xf>
    <xf numFmtId="0" fontId="11" fillId="0" borderId="17" xfId="0" applyFont="1" applyBorder="1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/>
    </xf>
    <xf numFmtId="0" fontId="2" fillId="0" borderId="17" xfId="0" applyFont="1" applyBorder="1"/>
    <xf numFmtId="9" fontId="3" fillId="0" borderId="0" xfId="0" applyNumberFormat="1" applyFont="1"/>
    <xf numFmtId="9" fontId="11" fillId="7" borderId="0" xfId="0" applyNumberFormat="1" applyFont="1" applyFill="1" applyAlignment="1">
      <alignment horizontal="center"/>
    </xf>
    <xf numFmtId="9" fontId="11" fillId="8" borderId="0" xfId="0" applyNumberFormat="1" applyFont="1" applyFill="1" applyAlignment="1">
      <alignment horizontal="center"/>
    </xf>
    <xf numFmtId="0" fontId="8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6" fillId="0" borderId="0" xfId="0" applyFont="1"/>
    <xf numFmtId="0" fontId="17" fillId="7" borderId="0" xfId="0" applyFont="1" applyFill="1"/>
    <xf numFmtId="0" fontId="17" fillId="8" borderId="0" xfId="0" applyFont="1" applyFill="1"/>
    <xf numFmtId="9" fontId="11" fillId="0" borderId="0" xfId="0" applyNumberFormat="1" applyFont="1" applyAlignment="1">
      <alignment horizontal="center"/>
    </xf>
    <xf numFmtId="0" fontId="8" fillId="0" borderId="14" xfId="0" applyFont="1" applyBorder="1" applyAlignment="1">
      <alignment horizontal="left"/>
    </xf>
    <xf numFmtId="3" fontId="11" fillId="7" borderId="0" xfId="0" applyNumberFormat="1" applyFont="1" applyFill="1" applyAlignment="1">
      <alignment horizontal="center"/>
    </xf>
    <xf numFmtId="3" fontId="1" fillId="0" borderId="0" xfId="0" applyNumberFormat="1" applyFont="1"/>
    <xf numFmtId="4" fontId="17" fillId="7" borderId="0" xfId="0" applyNumberFormat="1" applyFont="1" applyFill="1"/>
    <xf numFmtId="4" fontId="16" fillId="0" borderId="0" xfId="0" applyNumberFormat="1" applyFont="1"/>
    <xf numFmtId="0" fontId="1" fillId="0" borderId="0" xfId="0" applyFont="1" applyAlignment="1">
      <alignment horizontal="left" indent="2"/>
    </xf>
    <xf numFmtId="9" fontId="17" fillId="7" borderId="0" xfId="0" applyNumberFormat="1" applyFont="1" applyFill="1"/>
    <xf numFmtId="0" fontId="1" fillId="0" borderId="17" xfId="0" applyFont="1" applyBorder="1"/>
    <xf numFmtId="0" fontId="11" fillId="2" borderId="0" xfId="0" applyFont="1" applyFill="1" applyAlignment="1">
      <alignment horizontal="center"/>
    </xf>
    <xf numFmtId="4" fontId="6" fillId="0" borderId="14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4" fillId="0" borderId="0" xfId="0" applyFont="1" applyAlignment="1">
      <alignment horizontal="center"/>
    </xf>
    <xf numFmtId="10" fontId="1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8" fillId="0" borderId="0" xfId="0" applyFont="1"/>
    <xf numFmtId="0" fontId="3" fillId="0" borderId="18" xfId="0" applyFont="1" applyBorder="1" applyAlignment="1">
      <alignment horizontal="left" indent="1"/>
    </xf>
    <xf numFmtId="0" fontId="1" fillId="0" borderId="14" xfId="0" applyFont="1" applyBorder="1" applyAlignment="1">
      <alignment horizontal="left" indent="1"/>
    </xf>
    <xf numFmtId="3" fontId="11" fillId="0" borderId="14" xfId="0" applyNumberFormat="1" applyFont="1" applyBorder="1" applyAlignment="1">
      <alignment horizontal="center"/>
    </xf>
    <xf numFmtId="4" fontId="6" fillId="7" borderId="0" xfId="0" applyNumberFormat="1" applyFont="1" applyFill="1" applyAlignment="1">
      <alignment horizontal="center"/>
    </xf>
    <xf numFmtId="0" fontId="8" fillId="0" borderId="19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6" fillId="7" borderId="14" xfId="0" applyFont="1" applyFill="1" applyBorder="1" applyAlignment="1">
      <alignment horizontal="center"/>
    </xf>
    <xf numFmtId="0" fontId="6" fillId="8" borderId="14" xfId="0" applyFont="1" applyFill="1" applyBorder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1" fillId="7" borderId="15" xfId="0" applyFont="1" applyFill="1" applyBorder="1" applyAlignment="1">
      <alignment horizontal="center"/>
    </xf>
    <xf numFmtId="0" fontId="11" fillId="8" borderId="15" xfId="0" applyFont="1" applyFill="1" applyBorder="1" applyAlignment="1">
      <alignment horizontal="center"/>
    </xf>
    <xf numFmtId="8" fontId="11" fillId="7" borderId="0" xfId="0" applyNumberFormat="1" applyFont="1" applyFill="1" applyAlignment="1">
      <alignment horizontal="center"/>
    </xf>
    <xf numFmtId="9" fontId="1" fillId="2" borderId="0" xfId="0" applyNumberFormat="1" applyFont="1" applyFill="1" applyAlignment="1">
      <alignment horizontal="center"/>
    </xf>
    <xf numFmtId="9" fontId="3" fillId="2" borderId="0" xfId="0" applyNumberFormat="1" applyFont="1" applyFill="1" applyAlignment="1">
      <alignment horizontal="center"/>
    </xf>
    <xf numFmtId="0" fontId="11" fillId="0" borderId="0" xfId="0" applyFont="1" applyAlignment="1">
      <alignment horizontal="left" indent="1"/>
    </xf>
    <xf numFmtId="0" fontId="2" fillId="7" borderId="0" xfId="0" applyFont="1" applyFill="1"/>
    <xf numFmtId="0" fontId="1" fillId="7" borderId="17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10" fontId="1" fillId="2" borderId="0" xfId="0" applyNumberFormat="1" applyFont="1" applyFill="1" applyAlignment="1">
      <alignment horizontal="center"/>
    </xf>
    <xf numFmtId="9" fontId="11" fillId="2" borderId="0" xfId="0" applyNumberFormat="1" applyFont="1" applyFill="1" applyAlignment="1">
      <alignment horizontal="center"/>
    </xf>
    <xf numFmtId="10" fontId="11" fillId="2" borderId="0" xfId="0" applyNumberFormat="1" applyFont="1" applyFill="1" applyAlignment="1">
      <alignment horizontal="center"/>
    </xf>
    <xf numFmtId="0" fontId="6" fillId="0" borderId="20" xfId="0" applyFont="1" applyBorder="1" applyAlignment="1">
      <alignment horizontal="left" indent="1"/>
    </xf>
    <xf numFmtId="0" fontId="6" fillId="0" borderId="20" xfId="0" applyFont="1" applyBorder="1" applyAlignment="1">
      <alignment horizontal="center"/>
    </xf>
    <xf numFmtId="3" fontId="6" fillId="0" borderId="20" xfId="0" applyNumberFormat="1" applyFont="1" applyBorder="1" applyAlignment="1">
      <alignment horizontal="center"/>
    </xf>
    <xf numFmtId="0" fontId="11" fillId="0" borderId="15" xfId="0" applyFont="1" applyBorder="1" applyAlignment="1">
      <alignment horizontal="left" indent="1"/>
    </xf>
    <xf numFmtId="0" fontId="11" fillId="0" borderId="13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3" fillId="0" borderId="20" xfId="0" applyFont="1" applyBorder="1" applyAlignment="1">
      <alignment horizontal="left" indent="1"/>
    </xf>
    <xf numFmtId="0" fontId="4" fillId="0" borderId="20" xfId="0" applyFont="1" applyBorder="1" applyAlignment="1">
      <alignment horizontal="center"/>
    </xf>
    <xf numFmtId="0" fontId="1" fillId="9" borderId="17" xfId="0" applyFont="1" applyFill="1" applyBorder="1" applyAlignment="1">
      <alignment horizontal="center"/>
    </xf>
    <xf numFmtId="0" fontId="3" fillId="9" borderId="0" xfId="0" applyFont="1" applyFill="1" applyAlignment="1">
      <alignment horizontal="center"/>
    </xf>
    <xf numFmtId="3" fontId="11" fillId="8" borderId="0" xfId="0" applyNumberFormat="1" applyFont="1" applyFill="1" applyAlignment="1">
      <alignment horizontal="center"/>
    </xf>
    <xf numFmtId="3" fontId="11" fillId="2" borderId="0" xfId="0" applyNumberFormat="1" applyFont="1" applyFill="1" applyAlignment="1">
      <alignment horizontal="center"/>
    </xf>
    <xf numFmtId="3" fontId="4" fillId="0" borderId="14" xfId="0" applyNumberFormat="1" applyFont="1" applyBorder="1" applyAlignment="1">
      <alignment horizontal="center"/>
    </xf>
    <xf numFmtId="3" fontId="6" fillId="7" borderId="14" xfId="0" applyNumberFormat="1" applyFont="1" applyFill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6" fillId="8" borderId="14" xfId="0" applyNumberFormat="1" applyFont="1" applyFill="1" applyBorder="1" applyAlignment="1">
      <alignment horizontal="center"/>
    </xf>
    <xf numFmtId="0" fontId="3" fillId="0" borderId="0" xfId="0" applyFont="1" applyAlignment="1">
      <alignment horizontal="left" indent="1"/>
    </xf>
    <xf numFmtId="0" fontId="8" fillId="9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9" fontId="3" fillId="0" borderId="0" xfId="0" applyNumberFormat="1" applyFont="1" applyAlignment="1">
      <alignment horizontal="center"/>
    </xf>
    <xf numFmtId="9" fontId="6" fillId="7" borderId="0" xfId="0" applyNumberFormat="1" applyFont="1" applyFill="1" applyAlignment="1">
      <alignment horizontal="center"/>
    </xf>
    <xf numFmtId="9" fontId="6" fillId="8" borderId="0" xfId="0" applyNumberFormat="1" applyFont="1" applyFill="1" applyAlignment="1">
      <alignment horizontal="center"/>
    </xf>
    <xf numFmtId="4" fontId="3" fillId="0" borderId="14" xfId="0" applyNumberFormat="1" applyFont="1" applyBorder="1" applyAlignment="1">
      <alignment horizontal="center"/>
    </xf>
    <xf numFmtId="4" fontId="1" fillId="0" borderId="0" xfId="0" applyNumberFormat="1" applyFont="1" applyAlignment="1">
      <alignment horizontal="center"/>
    </xf>
    <xf numFmtId="0" fontId="19" fillId="0" borderId="0" xfId="0" applyFont="1"/>
    <xf numFmtId="0" fontId="19" fillId="0" borderId="17" xfId="0" applyFont="1" applyBorder="1"/>
    <xf numFmtId="0" fontId="20" fillId="0" borderId="0" xfId="0" applyFont="1" applyAlignment="1">
      <alignment horizontal="center"/>
    </xf>
    <xf numFmtId="0" fontId="13" fillId="7" borderId="0" xfId="0" applyFont="1" applyFill="1"/>
    <xf numFmtId="0" fontId="13" fillId="8" borderId="0" xfId="0" applyFont="1" applyFill="1"/>
    <xf numFmtId="0" fontId="3" fillId="0" borderId="21" xfId="0" applyFont="1" applyBorder="1"/>
    <xf numFmtId="10" fontId="3" fillId="0" borderId="14" xfId="0" applyNumberFormat="1" applyFont="1" applyBorder="1" applyAlignment="1">
      <alignment horizontal="center"/>
    </xf>
    <xf numFmtId="10" fontId="6" fillId="7" borderId="14" xfId="0" applyNumberFormat="1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1" fillId="0" borderId="15" xfId="0" applyFont="1" applyBorder="1"/>
    <xf numFmtId="0" fontId="1" fillId="0" borderId="14" xfId="0" applyFont="1" applyBorder="1"/>
    <xf numFmtId="0" fontId="21" fillId="0" borderId="0" xfId="0" applyFont="1"/>
    <xf numFmtId="0" fontId="11" fillId="11" borderId="0" xfId="0" applyFont="1" applyFill="1"/>
    <xf numFmtId="0" fontId="1" fillId="7" borderId="0" xfId="0" applyFont="1" applyFill="1"/>
    <xf numFmtId="0" fontId="6" fillId="5" borderId="0" xfId="0" applyFont="1" applyFill="1"/>
    <xf numFmtId="0" fontId="6" fillId="11" borderId="0" xfId="0" applyFont="1" applyFill="1"/>
    <xf numFmtId="0" fontId="6" fillId="11" borderId="0" xfId="0" applyFont="1" applyFill="1" applyAlignment="1">
      <alignment horizontal="center"/>
    </xf>
    <xf numFmtId="0" fontId="1" fillId="11" borderId="0" xfId="0" applyFont="1" applyFill="1"/>
    <xf numFmtId="3" fontId="6" fillId="2" borderId="0" xfId="0" applyNumberFormat="1" applyFont="1" applyFill="1" applyAlignment="1">
      <alignment horizontal="center"/>
    </xf>
    <xf numFmtId="3" fontId="1" fillId="11" borderId="0" xfId="0" applyNumberFormat="1" applyFont="1" applyFill="1"/>
    <xf numFmtId="3" fontId="11" fillId="12" borderId="0" xfId="0" applyNumberFormat="1" applyFont="1" applyFill="1" applyAlignment="1">
      <alignment horizontal="center"/>
    </xf>
    <xf numFmtId="0" fontId="22" fillId="0" borderId="0" xfId="0" applyFont="1"/>
    <xf numFmtId="0" fontId="23" fillId="0" borderId="0" xfId="0" applyFont="1" applyAlignment="1">
      <alignment horizontal="left" indent="1"/>
    </xf>
    <xf numFmtId="0" fontId="23" fillId="0" borderId="17" xfId="0" applyFont="1" applyBorder="1"/>
    <xf numFmtId="0" fontId="24" fillId="0" borderId="0" xfId="0" applyFont="1"/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4" fillId="11" borderId="0" xfId="0" applyFont="1" applyFill="1"/>
    <xf numFmtId="0" fontId="24" fillId="0" borderId="0" xfId="0" applyFont="1" applyAlignment="1">
      <alignment horizontal="left" indent="1"/>
    </xf>
    <xf numFmtId="0" fontId="24" fillId="0" borderId="17" xfId="0" applyFont="1" applyBorder="1" applyAlignment="1">
      <alignment horizontal="center"/>
    </xf>
    <xf numFmtId="10" fontId="25" fillId="0" borderId="0" xfId="0" applyNumberFormat="1" applyFont="1" applyAlignment="1">
      <alignment horizontal="center"/>
    </xf>
    <xf numFmtId="10" fontId="26" fillId="0" borderId="0" xfId="0" applyNumberFormat="1" applyFont="1" applyAlignment="1">
      <alignment horizontal="center"/>
    </xf>
    <xf numFmtId="10" fontId="25" fillId="2" borderId="0" xfId="0" applyNumberFormat="1" applyFont="1" applyFill="1" applyAlignment="1">
      <alignment horizontal="center"/>
    </xf>
    <xf numFmtId="0" fontId="24" fillId="0" borderId="0" xfId="0" applyFont="1" applyAlignment="1">
      <alignment horizontal="left"/>
    </xf>
    <xf numFmtId="0" fontId="25" fillId="7" borderId="0" xfId="0" applyFont="1" applyFill="1" applyAlignment="1">
      <alignment horizontal="center"/>
    </xf>
    <xf numFmtId="0" fontId="27" fillId="0" borderId="0" xfId="0" applyFont="1" applyAlignment="1">
      <alignment horizontal="left" indent="1"/>
    </xf>
    <xf numFmtId="10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10" fontId="1" fillId="11" borderId="0" xfId="0" applyNumberFormat="1" applyFont="1" applyFill="1"/>
    <xf numFmtId="3" fontId="11" fillId="2" borderId="14" xfId="0" applyNumberFormat="1" applyFont="1" applyFill="1" applyBorder="1" applyAlignment="1">
      <alignment horizontal="center"/>
    </xf>
    <xf numFmtId="0" fontId="19" fillId="7" borderId="0" xfId="0" applyFont="1" applyFill="1"/>
    <xf numFmtId="0" fontId="29" fillId="0" borderId="0" xfId="0" applyFont="1"/>
    <xf numFmtId="0" fontId="13" fillId="11" borderId="0" xfId="0" applyFont="1" applyFill="1"/>
    <xf numFmtId="0" fontId="1" fillId="12" borderId="0" xfId="0" applyFont="1" applyFill="1"/>
    <xf numFmtId="0" fontId="11" fillId="12" borderId="0" xfId="0" applyFont="1" applyFill="1" applyAlignment="1">
      <alignment horizontal="center"/>
    </xf>
    <xf numFmtId="0" fontId="3" fillId="0" borderId="22" xfId="0" applyFont="1" applyBorder="1" applyAlignment="1">
      <alignment horizontal="center"/>
    </xf>
    <xf numFmtId="3" fontId="4" fillId="0" borderId="18" xfId="0" applyNumberFormat="1" applyFont="1" applyBorder="1" applyAlignment="1">
      <alignment horizontal="center"/>
    </xf>
    <xf numFmtId="3" fontId="6" fillId="0" borderId="18" xfId="0" applyNumberFormat="1" applyFont="1" applyBorder="1" applyAlignment="1">
      <alignment horizontal="center"/>
    </xf>
    <xf numFmtId="3" fontId="8" fillId="0" borderId="14" xfId="0" applyNumberFormat="1" applyFont="1" applyBorder="1" applyAlignment="1">
      <alignment horizontal="center"/>
    </xf>
    <xf numFmtId="0" fontId="24" fillId="0" borderId="0" xfId="0" applyFont="1" applyAlignment="1">
      <alignment horizontal="left" indent="2"/>
    </xf>
    <xf numFmtId="9" fontId="25" fillId="0" borderId="0" xfId="0" applyNumberFormat="1" applyFont="1" applyAlignment="1">
      <alignment horizontal="center"/>
    </xf>
    <xf numFmtId="9" fontId="25" fillId="7" borderId="0" xfId="0" applyNumberFormat="1" applyFont="1" applyFill="1" applyAlignment="1">
      <alignment horizontal="center"/>
    </xf>
    <xf numFmtId="0" fontId="11" fillId="0" borderId="0" xfId="0" applyFont="1" applyAlignment="1">
      <alignment horizontal="left"/>
    </xf>
    <xf numFmtId="0" fontId="2" fillId="13" borderId="0" xfId="0" applyFont="1" applyFill="1" applyAlignment="1">
      <alignment horizontal="left" indent="1"/>
    </xf>
    <xf numFmtId="0" fontId="1" fillId="13" borderId="17" xfId="0" applyFont="1" applyFill="1" applyBorder="1" applyAlignment="1">
      <alignment horizontal="center"/>
    </xf>
    <xf numFmtId="0" fontId="11" fillId="13" borderId="0" xfId="0" applyFont="1" applyFill="1" applyAlignment="1">
      <alignment horizontal="center"/>
    </xf>
    <xf numFmtId="0" fontId="19" fillId="13" borderId="0" xfId="0" applyFont="1" applyFill="1"/>
    <xf numFmtId="0" fontId="2" fillId="0" borderId="14" xfId="0" applyFont="1" applyBorder="1" applyAlignment="1">
      <alignment horizontal="left" indent="1"/>
    </xf>
    <xf numFmtId="0" fontId="30" fillId="0" borderId="0" xfId="0" applyFont="1"/>
    <xf numFmtId="9" fontId="24" fillId="0" borderId="0" xfId="0" applyNumberFormat="1" applyFont="1" applyAlignment="1">
      <alignment horizontal="center"/>
    </xf>
    <xf numFmtId="10" fontId="24" fillId="0" borderId="0" xfId="0" applyNumberFormat="1" applyFont="1" applyAlignment="1">
      <alignment horizontal="center"/>
    </xf>
    <xf numFmtId="0" fontId="31" fillId="0" borderId="0" xfId="0" applyFont="1"/>
    <xf numFmtId="0" fontId="32" fillId="11" borderId="0" xfId="0" applyFont="1" applyFill="1"/>
    <xf numFmtId="0" fontId="26" fillId="0" borderId="0" xfId="0" applyFont="1" applyAlignment="1">
      <alignment horizontal="center"/>
    </xf>
    <xf numFmtId="9" fontId="26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0" fontId="1" fillId="0" borderId="15" xfId="0" applyFont="1" applyBorder="1" applyAlignment="1">
      <alignment horizontal="left" indent="2"/>
    </xf>
    <xf numFmtId="3" fontId="8" fillId="0" borderId="15" xfId="0" applyNumberFormat="1" applyFont="1" applyBorder="1" applyAlignment="1">
      <alignment horizontal="center"/>
    </xf>
    <xf numFmtId="3" fontId="3" fillId="0" borderId="14" xfId="0" applyNumberFormat="1" applyFont="1" applyBorder="1"/>
    <xf numFmtId="10" fontId="24" fillId="2" borderId="0" xfId="0" applyNumberFormat="1" applyFont="1" applyFill="1" applyAlignment="1">
      <alignment horizontal="center"/>
    </xf>
    <xf numFmtId="0" fontId="24" fillId="0" borderId="15" xfId="0" applyFont="1" applyBorder="1" applyAlignment="1">
      <alignment horizontal="left" indent="2"/>
    </xf>
    <xf numFmtId="0" fontId="24" fillId="0" borderId="13" xfId="0" applyFont="1" applyBorder="1" applyAlignment="1">
      <alignment horizontal="center"/>
    </xf>
    <xf numFmtId="0" fontId="24" fillId="0" borderId="14" xfId="0" applyFont="1" applyBorder="1" applyAlignment="1">
      <alignment horizontal="left" indent="1"/>
    </xf>
    <xf numFmtId="0" fontId="24" fillId="0" borderId="2" xfId="0" applyFont="1" applyBorder="1" applyAlignment="1">
      <alignment horizontal="center"/>
    </xf>
    <xf numFmtId="10" fontId="25" fillId="0" borderId="14" xfId="0" applyNumberFormat="1" applyFont="1" applyBorder="1" applyAlignment="1">
      <alignment horizontal="center"/>
    </xf>
    <xf numFmtId="0" fontId="33" fillId="0" borderId="0" xfId="0" applyFont="1"/>
    <xf numFmtId="10" fontId="25" fillId="11" borderId="0" xfId="0" applyNumberFormat="1" applyFont="1" applyFill="1"/>
    <xf numFmtId="0" fontId="24" fillId="0" borderId="0" xfId="0" applyFont="1" applyAlignment="1">
      <alignment horizontal="left" indent="3"/>
    </xf>
    <xf numFmtId="0" fontId="27" fillId="0" borderId="17" xfId="0" applyFont="1" applyBorder="1" applyAlignment="1">
      <alignment horizontal="center"/>
    </xf>
    <xf numFmtId="0" fontId="19" fillId="0" borderId="0" xfId="0" applyFont="1" applyAlignment="1">
      <alignment horizontal="left" indent="1"/>
    </xf>
    <xf numFmtId="10" fontId="8" fillId="0" borderId="0" xfId="0" applyNumberFormat="1" applyFont="1" applyAlignment="1">
      <alignment horizontal="center"/>
    </xf>
    <xf numFmtId="10" fontId="8" fillId="2" borderId="0" xfId="0" applyNumberFormat="1" applyFont="1" applyFill="1" applyAlignment="1">
      <alignment horizontal="center"/>
    </xf>
    <xf numFmtId="3" fontId="25" fillId="0" borderId="0" xfId="0" applyNumberFormat="1" applyFont="1" applyAlignment="1">
      <alignment horizontal="center"/>
    </xf>
    <xf numFmtId="0" fontId="19" fillId="0" borderId="17" xfId="0" applyFont="1" applyBorder="1" applyAlignment="1">
      <alignment horizontal="center"/>
    </xf>
    <xf numFmtId="3" fontId="11" fillId="14" borderId="0" xfId="0" applyNumberFormat="1" applyFont="1" applyFill="1" applyAlignment="1">
      <alignment horizontal="center"/>
    </xf>
    <xf numFmtId="3" fontId="11" fillId="15" borderId="0" xfId="0" applyNumberFormat="1" applyFont="1" applyFill="1" applyAlignment="1">
      <alignment horizontal="center"/>
    </xf>
    <xf numFmtId="3" fontId="11" fillId="16" borderId="0" xfId="0" applyNumberFormat="1" applyFont="1" applyFill="1" applyAlignment="1">
      <alignment horizontal="center"/>
    </xf>
    <xf numFmtId="3" fontId="11" fillId="17" borderId="0" xfId="0" applyNumberFormat="1" applyFont="1" applyFill="1" applyAlignment="1">
      <alignment horizontal="center"/>
    </xf>
    <xf numFmtId="3" fontId="19" fillId="15" borderId="0" xfId="0" applyNumberFormat="1" applyFont="1" applyFill="1"/>
    <xf numFmtId="3" fontId="19" fillId="18" borderId="0" xfId="0" applyNumberFormat="1" applyFont="1" applyFill="1"/>
    <xf numFmtId="3" fontId="19" fillId="19" borderId="0" xfId="0" applyNumberFormat="1" applyFont="1" applyFill="1"/>
    <xf numFmtId="3" fontId="19" fillId="20" borderId="0" xfId="0" applyNumberFormat="1" applyFont="1" applyFill="1"/>
    <xf numFmtId="3" fontId="19" fillId="21" borderId="0" xfId="0" applyNumberFormat="1" applyFont="1" applyFill="1"/>
    <xf numFmtId="3" fontId="19" fillId="22" borderId="0" xfId="0" applyNumberFormat="1" applyFont="1" applyFill="1"/>
    <xf numFmtId="3" fontId="19" fillId="23" borderId="0" xfId="0" applyNumberFormat="1" applyFont="1" applyFill="1"/>
    <xf numFmtId="0" fontId="1" fillId="8" borderId="0" xfId="0" applyFont="1" applyFill="1"/>
    <xf numFmtId="0" fontId="1" fillId="1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7" borderId="15" xfId="0" applyFont="1" applyFill="1" applyBorder="1" applyAlignment="1">
      <alignment horizontal="center"/>
    </xf>
    <xf numFmtId="0" fontId="1" fillId="8" borderId="15" xfId="0" applyFont="1" applyFill="1" applyBorder="1" applyAlignment="1">
      <alignment horizontal="center"/>
    </xf>
    <xf numFmtId="0" fontId="1" fillId="13" borderId="15" xfId="0" applyFont="1" applyFill="1" applyBorder="1" applyAlignment="1">
      <alignment horizontal="center"/>
    </xf>
    <xf numFmtId="0" fontId="1" fillId="24" borderId="15" xfId="0" applyFont="1" applyFill="1" applyBorder="1" applyAlignment="1">
      <alignment horizontal="center"/>
    </xf>
    <xf numFmtId="0" fontId="1" fillId="25" borderId="15" xfId="0" applyFont="1" applyFill="1" applyBorder="1" applyAlignment="1">
      <alignment horizontal="center"/>
    </xf>
    <xf numFmtId="0" fontId="2" fillId="7" borderId="0" xfId="0" applyFont="1" applyFill="1" applyAlignment="1">
      <alignment horizontal="left" indent="1"/>
    </xf>
    <xf numFmtId="0" fontId="1" fillId="7" borderId="15" xfId="0" applyFont="1" applyFill="1" applyBorder="1" applyAlignment="1">
      <alignment horizontal="left" indent="1"/>
    </xf>
    <xf numFmtId="0" fontId="11" fillId="13" borderId="15" xfId="0" applyFont="1" applyFill="1" applyBorder="1" applyAlignment="1">
      <alignment horizontal="center"/>
    </xf>
    <xf numFmtId="9" fontId="11" fillId="24" borderId="15" xfId="0" applyNumberFormat="1" applyFont="1" applyFill="1" applyBorder="1" applyAlignment="1">
      <alignment horizontal="center"/>
    </xf>
    <xf numFmtId="0" fontId="11" fillId="25" borderId="15" xfId="0" applyFont="1" applyFill="1" applyBorder="1" applyAlignment="1">
      <alignment horizontal="center"/>
    </xf>
    <xf numFmtId="0" fontId="24" fillId="7" borderId="0" xfId="0" applyFont="1" applyFill="1" applyAlignment="1">
      <alignment horizontal="left" indent="2"/>
    </xf>
    <xf numFmtId="9" fontId="25" fillId="8" borderId="0" xfId="0" applyNumberFormat="1" applyFont="1" applyFill="1" applyAlignment="1">
      <alignment horizontal="center"/>
    </xf>
    <xf numFmtId="9" fontId="25" fillId="13" borderId="0" xfId="0" applyNumberFormat="1" applyFont="1" applyFill="1" applyAlignment="1">
      <alignment horizontal="center"/>
    </xf>
    <xf numFmtId="9" fontId="25" fillId="24" borderId="0" xfId="0" applyNumberFormat="1" applyFont="1" applyFill="1" applyAlignment="1">
      <alignment horizontal="center"/>
    </xf>
    <xf numFmtId="9" fontId="25" fillId="25" borderId="0" xfId="0" applyNumberFormat="1" applyFont="1" applyFill="1" applyAlignment="1">
      <alignment horizontal="center"/>
    </xf>
    <xf numFmtId="0" fontId="25" fillId="25" borderId="0" xfId="0" applyFont="1" applyFill="1" applyAlignment="1">
      <alignment horizontal="center"/>
    </xf>
    <xf numFmtId="0" fontId="1" fillId="7" borderId="0" xfId="0" applyFont="1" applyFill="1" applyAlignment="1">
      <alignment horizontal="left" indent="2"/>
    </xf>
    <xf numFmtId="0" fontId="25" fillId="8" borderId="0" xfId="0" applyFont="1" applyFill="1" applyAlignment="1">
      <alignment horizontal="center"/>
    </xf>
    <xf numFmtId="9" fontId="11" fillId="13" borderId="0" xfId="0" applyNumberFormat="1" applyFont="1" applyFill="1" applyAlignment="1">
      <alignment horizontal="center"/>
    </xf>
    <xf numFmtId="9" fontId="11" fillId="24" borderId="0" xfId="0" applyNumberFormat="1" applyFont="1" applyFill="1" applyAlignment="1">
      <alignment horizontal="center"/>
    </xf>
    <xf numFmtId="9" fontId="11" fillId="25" borderId="0" xfId="0" applyNumberFormat="1" applyFont="1" applyFill="1" applyAlignment="1">
      <alignment horizontal="center"/>
    </xf>
    <xf numFmtId="0" fontId="11" fillId="25" borderId="0" xfId="0" applyFont="1" applyFill="1" applyAlignment="1">
      <alignment horizontal="center"/>
    </xf>
    <xf numFmtId="0" fontId="11" fillId="24" borderId="0" xfId="0" applyFont="1" applyFill="1" applyAlignment="1">
      <alignment horizontal="center"/>
    </xf>
    <xf numFmtId="3" fontId="11" fillId="7" borderId="15" xfId="0" applyNumberFormat="1" applyFont="1" applyFill="1" applyBorder="1" applyAlignment="1">
      <alignment horizontal="center"/>
    </xf>
    <xf numFmtId="3" fontId="11" fillId="8" borderId="15" xfId="0" applyNumberFormat="1" applyFont="1" applyFill="1" applyBorder="1" applyAlignment="1">
      <alignment horizontal="center"/>
    </xf>
    <xf numFmtId="3" fontId="11" fillId="13" borderId="15" xfId="0" applyNumberFormat="1" applyFont="1" applyFill="1" applyBorder="1" applyAlignment="1">
      <alignment horizontal="center"/>
    </xf>
    <xf numFmtId="3" fontId="11" fillId="25" borderId="15" xfId="0" applyNumberFormat="1" applyFont="1" applyFill="1" applyBorder="1" applyAlignment="1">
      <alignment horizontal="center"/>
    </xf>
    <xf numFmtId="0" fontId="1" fillId="7" borderId="0" xfId="0" applyFont="1" applyFill="1" applyAlignment="1">
      <alignment horizontal="left" indent="1"/>
    </xf>
    <xf numFmtId="3" fontId="11" fillId="13" borderId="0" xfId="0" applyNumberFormat="1" applyFont="1" applyFill="1" applyAlignment="1">
      <alignment horizontal="center"/>
    </xf>
    <xf numFmtId="3" fontId="11" fillId="25" borderId="0" xfId="0" applyNumberFormat="1" applyFont="1" applyFill="1" applyAlignment="1">
      <alignment horizontal="center"/>
    </xf>
    <xf numFmtId="9" fontId="1" fillId="24" borderId="0" xfId="0" applyNumberFormat="1" applyFont="1" applyFill="1" applyAlignment="1">
      <alignment horizontal="center"/>
    </xf>
    <xf numFmtId="0" fontId="13" fillId="13" borderId="0" xfId="0" applyFont="1" applyFill="1"/>
    <xf numFmtId="0" fontId="13" fillId="24" borderId="0" xfId="0" applyFont="1" applyFill="1"/>
    <xf numFmtId="0" fontId="13" fillId="25" borderId="0" xfId="0" applyFont="1" applyFill="1"/>
    <xf numFmtId="0" fontId="25" fillId="13" borderId="0" xfId="0" applyFont="1" applyFill="1" applyAlignment="1">
      <alignment horizontal="center"/>
    </xf>
    <xf numFmtId="0" fontId="25" fillId="24" borderId="0" xfId="0" applyFont="1" applyFill="1" applyAlignment="1">
      <alignment horizontal="center"/>
    </xf>
    <xf numFmtId="10" fontId="11" fillId="13" borderId="0" xfId="0" applyNumberFormat="1" applyFont="1" applyFill="1" applyAlignment="1">
      <alignment horizontal="center"/>
    </xf>
    <xf numFmtId="10" fontId="11" fillId="25" borderId="0" xfId="0" applyNumberFormat="1" applyFont="1" applyFill="1" applyAlignment="1">
      <alignment horizontal="center"/>
    </xf>
    <xf numFmtId="0" fontId="1" fillId="24" borderId="0" xfId="0" applyFont="1" applyFill="1" applyAlignment="1">
      <alignment horizontal="center"/>
    </xf>
    <xf numFmtId="3" fontId="6" fillId="8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3" fillId="8" borderId="0" xfId="0" applyNumberFormat="1" applyFont="1" applyFill="1" applyAlignment="1">
      <alignment horizontal="center"/>
    </xf>
    <xf numFmtId="0" fontId="3" fillId="8" borderId="0" xfId="0" applyFont="1" applyFill="1" applyAlignment="1">
      <alignment horizontal="center"/>
    </xf>
    <xf numFmtId="9" fontId="1" fillId="0" borderId="0" xfId="0" applyNumberFormat="1" applyFont="1"/>
    <xf numFmtId="164" fontId="1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164" fontId="25" fillId="0" borderId="0" xfId="0" applyNumberFormat="1" applyFont="1" applyAlignment="1">
      <alignment horizontal="center"/>
    </xf>
    <xf numFmtId="164" fontId="28" fillId="0" borderId="0" xfId="0" applyNumberFormat="1" applyFont="1" applyAlignment="1">
      <alignment horizontal="center"/>
    </xf>
    <xf numFmtId="164" fontId="1" fillId="0" borderId="0" xfId="0" applyNumberFormat="1" applyFont="1"/>
    <xf numFmtId="3" fontId="19" fillId="0" borderId="0" xfId="0" applyNumberFormat="1" applyFont="1"/>
    <xf numFmtId="164" fontId="24" fillId="0" borderId="0" xfId="0" applyNumberFormat="1" applyFont="1" applyAlignment="1">
      <alignment horizontal="center"/>
    </xf>
    <xf numFmtId="164" fontId="25" fillId="0" borderId="14" xfId="0" applyNumberFormat="1" applyFont="1" applyBorder="1" applyAlignment="1">
      <alignment horizontal="center"/>
    </xf>
    <xf numFmtId="164" fontId="24" fillId="2" borderId="0" xfId="0" applyNumberFormat="1" applyFont="1" applyFill="1" applyAlignment="1">
      <alignment horizontal="center"/>
    </xf>
    <xf numFmtId="165" fontId="1" fillId="0" borderId="0" xfId="0" applyNumberFormat="1" applyFont="1" applyAlignment="1">
      <alignment horizontal="center"/>
    </xf>
    <xf numFmtId="10" fontId="19" fillId="0" borderId="0" xfId="0" applyNumberFormat="1" applyFont="1"/>
    <xf numFmtId="9" fontId="11" fillId="0" borderId="0" xfId="1" applyFont="1" applyAlignment="1">
      <alignment horizontal="center"/>
    </xf>
    <xf numFmtId="3" fontId="11" fillId="26" borderId="0" xfId="0" applyNumberFormat="1" applyFont="1" applyFill="1" applyAlignment="1">
      <alignment horizontal="center"/>
    </xf>
    <xf numFmtId="3" fontId="6" fillId="26" borderId="0" xfId="0" applyNumberFormat="1" applyFont="1" applyFill="1" applyAlignment="1">
      <alignment horizontal="center"/>
    </xf>
    <xf numFmtId="164" fontId="8" fillId="0" borderId="0" xfId="1" applyNumberFormat="1" applyFont="1" applyAlignment="1">
      <alignment horizontal="center"/>
    </xf>
    <xf numFmtId="164" fontId="25" fillId="2" borderId="0" xfId="0" applyNumberFormat="1" applyFont="1" applyFill="1" applyAlignment="1">
      <alignment horizontal="center"/>
    </xf>
    <xf numFmtId="1" fontId="11" fillId="0" borderId="0" xfId="1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1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0" fontId="1" fillId="26" borderId="0" xfId="0" applyFont="1" applyFill="1" applyAlignment="1">
      <alignment horizontal="center"/>
    </xf>
    <xf numFmtId="1" fontId="11" fillId="0" borderId="0" xfId="0" applyNumberFormat="1" applyFont="1" applyAlignment="1">
      <alignment horizontal="center"/>
    </xf>
    <xf numFmtId="165" fontId="6" fillId="0" borderId="14" xfId="0" applyNumberFormat="1" applyFont="1" applyBorder="1" applyAlignment="1">
      <alignment horizontal="center"/>
    </xf>
    <xf numFmtId="164" fontId="11" fillId="0" borderId="15" xfId="0" applyNumberFormat="1" applyFont="1" applyBorder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3" fillId="0" borderId="14" xfId="0" applyNumberFormat="1" applyFont="1" applyBorder="1" applyAlignment="1">
      <alignment horizontal="center"/>
    </xf>
    <xf numFmtId="165" fontId="3" fillId="10" borderId="14" xfId="0" applyNumberFormat="1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9" fontId="3" fillId="4" borderId="0" xfId="1" applyFont="1" applyFill="1" applyAlignment="1">
      <alignment horizontal="center"/>
    </xf>
    <xf numFmtId="3" fontId="1" fillId="27" borderId="0" xfId="0" applyNumberFormat="1" applyFont="1" applyFill="1" applyAlignment="1">
      <alignment horizontal="center"/>
    </xf>
    <xf numFmtId="165" fontId="11" fillId="2" borderId="0" xfId="0" applyNumberFormat="1" applyFont="1" applyFill="1" applyAlignment="1">
      <alignment horizontal="center"/>
    </xf>
    <xf numFmtId="166" fontId="1" fillId="0" borderId="14" xfId="0" applyNumberFormat="1" applyFont="1" applyBorder="1" applyAlignment="1">
      <alignment horizontal="center"/>
    </xf>
    <xf numFmtId="165" fontId="1" fillId="0" borderId="14" xfId="0" applyNumberFormat="1" applyFont="1" applyBorder="1" applyAlignment="1">
      <alignment horizontal="center"/>
    </xf>
    <xf numFmtId="0" fontId="1" fillId="28" borderId="0" xfId="0" applyFont="1" applyFill="1"/>
    <xf numFmtId="0" fontId="9" fillId="29" borderId="0" xfId="0" applyFont="1" applyFill="1"/>
    <xf numFmtId="0" fontId="9" fillId="29" borderId="0" xfId="0" applyFont="1" applyFill="1" applyAlignment="1">
      <alignment horizontal="center"/>
    </xf>
    <xf numFmtId="0" fontId="11" fillId="28" borderId="0" xfId="0" applyFont="1" applyFill="1" applyAlignment="1">
      <alignment horizontal="center"/>
    </xf>
    <xf numFmtId="0" fontId="1" fillId="29" borderId="0" xfId="0" applyFont="1" applyFill="1" applyAlignment="1">
      <alignment horizontal="center"/>
    </xf>
    <xf numFmtId="0" fontId="1" fillId="28" borderId="0" xfId="0" applyFont="1" applyFill="1" applyAlignment="1">
      <alignment horizontal="center"/>
    </xf>
    <xf numFmtId="3" fontId="11" fillId="28" borderId="0" xfId="0" applyNumberFormat="1" applyFont="1" applyFill="1" applyAlignment="1">
      <alignment horizontal="center"/>
    </xf>
    <xf numFmtId="3" fontId="6" fillId="29" borderId="0" xfId="0" applyNumberFormat="1" applyFont="1" applyFill="1" applyAlignment="1">
      <alignment horizontal="center"/>
    </xf>
    <xf numFmtId="3" fontId="6" fillId="28" borderId="14" xfId="0" applyNumberFormat="1" applyFont="1" applyFill="1" applyBorder="1" applyAlignment="1">
      <alignment horizontal="center"/>
    </xf>
    <xf numFmtId="164" fontId="1" fillId="28" borderId="0" xfId="0" applyNumberFormat="1" applyFont="1" applyFill="1" applyAlignment="1">
      <alignment horizontal="center"/>
    </xf>
    <xf numFmtId="3" fontId="1" fillId="28" borderId="0" xfId="0" applyNumberFormat="1" applyFont="1" applyFill="1" applyAlignment="1">
      <alignment horizontal="center"/>
    </xf>
    <xf numFmtId="164" fontId="11" fillId="28" borderId="0" xfId="0" applyNumberFormat="1" applyFont="1" applyFill="1" applyAlignment="1">
      <alignment horizontal="center"/>
    </xf>
    <xf numFmtId="3" fontId="8" fillId="28" borderId="0" xfId="0" applyNumberFormat="1" applyFont="1" applyFill="1" applyAlignment="1">
      <alignment horizontal="center"/>
    </xf>
    <xf numFmtId="0" fontId="8" fillId="28" borderId="0" xfId="0" applyFont="1" applyFill="1" applyAlignment="1">
      <alignment horizontal="center"/>
    </xf>
    <xf numFmtId="3" fontId="11" fillId="29" borderId="0" xfId="0" applyNumberFormat="1" applyFont="1" applyFill="1" applyAlignment="1">
      <alignment horizontal="center"/>
    </xf>
    <xf numFmtId="9" fontId="11" fillId="28" borderId="0" xfId="1" applyFont="1" applyFill="1" applyAlignment="1">
      <alignment horizontal="center"/>
    </xf>
    <xf numFmtId="10" fontId="25" fillId="29" borderId="0" xfId="0" applyNumberFormat="1" applyFont="1" applyFill="1" applyAlignment="1">
      <alignment horizontal="center"/>
    </xf>
    <xf numFmtId="164" fontId="25" fillId="29" borderId="0" xfId="0" applyNumberFormat="1" applyFont="1" applyFill="1" applyAlignment="1">
      <alignment horizontal="center"/>
    </xf>
    <xf numFmtId="164" fontId="28" fillId="28" borderId="0" xfId="0" applyNumberFormat="1" applyFont="1" applyFill="1" applyAlignment="1">
      <alignment horizontal="center"/>
    </xf>
    <xf numFmtId="0" fontId="28" fillId="28" borderId="0" xfId="0" applyFont="1" applyFill="1" applyAlignment="1">
      <alignment horizontal="center"/>
    </xf>
    <xf numFmtId="10" fontId="11" fillId="28" borderId="0" xfId="0" applyNumberFormat="1" applyFont="1" applyFill="1" applyAlignment="1">
      <alignment horizontal="center"/>
    </xf>
    <xf numFmtId="10" fontId="1" fillId="29" borderId="0" xfId="0" applyNumberFormat="1" applyFont="1" applyFill="1" applyAlignment="1">
      <alignment horizontal="center"/>
    </xf>
    <xf numFmtId="0" fontId="11" fillId="29" borderId="0" xfId="0" applyFont="1" applyFill="1" applyAlignment="1">
      <alignment horizontal="center"/>
    </xf>
    <xf numFmtId="164" fontId="1" fillId="28" borderId="0" xfId="0" applyNumberFormat="1" applyFont="1" applyFill="1"/>
    <xf numFmtId="9" fontId="8" fillId="28" borderId="0" xfId="0" applyNumberFormat="1" applyFont="1" applyFill="1" applyAlignment="1">
      <alignment horizontal="center"/>
    </xf>
    <xf numFmtId="0" fontId="19" fillId="28" borderId="0" xfId="0" applyFont="1" applyFill="1"/>
    <xf numFmtId="3" fontId="11" fillId="29" borderId="14" xfId="0" applyNumberFormat="1" applyFont="1" applyFill="1" applyBorder="1" applyAlignment="1">
      <alignment horizontal="center"/>
    </xf>
    <xf numFmtId="0" fontId="6" fillId="28" borderId="0" xfId="0" applyFont="1" applyFill="1" applyAlignment="1">
      <alignment horizontal="center"/>
    </xf>
    <xf numFmtId="3" fontId="6" fillId="28" borderId="18" xfId="0" applyNumberFormat="1" applyFont="1" applyFill="1" applyBorder="1" applyAlignment="1">
      <alignment horizontal="center"/>
    </xf>
    <xf numFmtId="3" fontId="11" fillId="28" borderId="14" xfId="0" applyNumberFormat="1" applyFont="1" applyFill="1" applyBorder="1" applyAlignment="1">
      <alignment horizontal="center"/>
    </xf>
    <xf numFmtId="9" fontId="25" fillId="28" borderId="0" xfId="0" applyNumberFormat="1" applyFont="1" applyFill="1" applyAlignment="1">
      <alignment horizontal="center"/>
    </xf>
    <xf numFmtId="0" fontId="25" fillId="28" borderId="0" xfId="0" applyFont="1" applyFill="1" applyAlignment="1">
      <alignment horizontal="center"/>
    </xf>
    <xf numFmtId="9" fontId="11" fillId="28" borderId="0" xfId="0" applyNumberFormat="1" applyFont="1" applyFill="1" applyAlignment="1">
      <alignment horizontal="center"/>
    </xf>
    <xf numFmtId="0" fontId="11" fillId="28" borderId="0" xfId="0" applyFont="1" applyFill="1" applyAlignment="1">
      <alignment horizontal="left"/>
    </xf>
    <xf numFmtId="0" fontId="3" fillId="29" borderId="0" xfId="0" applyFont="1" applyFill="1" applyAlignment="1">
      <alignment horizontal="center"/>
    </xf>
    <xf numFmtId="0" fontId="19" fillId="29" borderId="0" xfId="0" applyFont="1" applyFill="1"/>
    <xf numFmtId="164" fontId="24" fillId="28" borderId="0" xfId="0" applyNumberFormat="1" applyFont="1" applyFill="1" applyAlignment="1">
      <alignment horizontal="center"/>
    </xf>
    <xf numFmtId="9" fontId="1" fillId="29" borderId="0" xfId="0" applyNumberFormat="1" applyFont="1" applyFill="1" applyAlignment="1">
      <alignment horizontal="center"/>
    </xf>
    <xf numFmtId="9" fontId="1" fillId="28" borderId="0" xfId="0" applyNumberFormat="1" applyFont="1" applyFill="1" applyAlignment="1">
      <alignment horizontal="center"/>
    </xf>
    <xf numFmtId="10" fontId="3" fillId="28" borderId="0" xfId="0" applyNumberFormat="1" applyFont="1" applyFill="1" applyAlignment="1">
      <alignment horizontal="center"/>
    </xf>
    <xf numFmtId="3" fontId="3" fillId="28" borderId="14" xfId="0" applyNumberFormat="1" applyFont="1" applyFill="1" applyBorder="1"/>
    <xf numFmtId="10" fontId="19" fillId="28" borderId="0" xfId="0" applyNumberFormat="1" applyFont="1" applyFill="1"/>
    <xf numFmtId="0" fontId="31" fillId="28" borderId="0" xfId="0" applyFont="1" applyFill="1"/>
    <xf numFmtId="164" fontId="25" fillId="28" borderId="0" xfId="0" applyNumberFormat="1" applyFont="1" applyFill="1" applyAlignment="1">
      <alignment horizontal="center"/>
    </xf>
    <xf numFmtId="10" fontId="24" fillId="29" borderId="0" xfId="0" applyNumberFormat="1" applyFont="1" applyFill="1" applyAlignment="1">
      <alignment horizontal="center"/>
    </xf>
    <xf numFmtId="164" fontId="24" fillId="29" borderId="0" xfId="0" applyNumberFormat="1" applyFont="1" applyFill="1" applyAlignment="1">
      <alignment horizontal="center"/>
    </xf>
    <xf numFmtId="164" fontId="25" fillId="28" borderId="14" xfId="0" applyNumberFormat="1" applyFont="1" applyFill="1" applyBorder="1" applyAlignment="1">
      <alignment horizontal="center"/>
    </xf>
    <xf numFmtId="0" fontId="3" fillId="28" borderId="0" xfId="0" applyFont="1" applyFill="1"/>
    <xf numFmtId="165" fontId="1" fillId="28" borderId="0" xfId="0" applyNumberFormat="1" applyFont="1" applyFill="1" applyAlignment="1">
      <alignment horizontal="center"/>
    </xf>
    <xf numFmtId="0" fontId="0" fillId="28" borderId="0" xfId="0" applyFill="1"/>
    <xf numFmtId="0" fontId="1" fillId="30" borderId="0" xfId="0" applyFont="1" applyFill="1"/>
    <xf numFmtId="0" fontId="9" fillId="31" borderId="0" xfId="0" applyFont="1" applyFill="1"/>
    <xf numFmtId="0" fontId="9" fillId="31" borderId="0" xfId="0" applyFont="1" applyFill="1" applyAlignment="1">
      <alignment horizontal="center"/>
    </xf>
    <xf numFmtId="0" fontId="11" fillId="30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0" borderId="0" xfId="0" applyFont="1" applyFill="1" applyAlignment="1">
      <alignment horizontal="center"/>
    </xf>
    <xf numFmtId="3" fontId="11" fillId="30" borderId="0" xfId="0" applyNumberFormat="1" applyFont="1" applyFill="1" applyAlignment="1">
      <alignment horizontal="center"/>
    </xf>
    <xf numFmtId="3" fontId="6" fillId="31" borderId="0" xfId="0" applyNumberFormat="1" applyFont="1" applyFill="1" applyAlignment="1">
      <alignment horizontal="center"/>
    </xf>
    <xf numFmtId="3" fontId="6" fillId="30" borderId="14" xfId="0" applyNumberFormat="1" applyFont="1" applyFill="1" applyBorder="1" applyAlignment="1">
      <alignment horizontal="center"/>
    </xf>
    <xf numFmtId="164" fontId="1" fillId="30" borderId="0" xfId="0" applyNumberFormat="1" applyFont="1" applyFill="1" applyAlignment="1">
      <alignment horizontal="center"/>
    </xf>
    <xf numFmtId="3" fontId="1" fillId="30" borderId="0" xfId="0" applyNumberFormat="1" applyFont="1" applyFill="1" applyAlignment="1">
      <alignment horizontal="center"/>
    </xf>
    <xf numFmtId="164" fontId="11" fillId="30" borderId="0" xfId="0" applyNumberFormat="1" applyFont="1" applyFill="1" applyAlignment="1">
      <alignment horizontal="center"/>
    </xf>
    <xf numFmtId="3" fontId="8" fillId="30" borderId="0" xfId="0" applyNumberFormat="1" applyFont="1" applyFill="1" applyAlignment="1">
      <alignment horizontal="center"/>
    </xf>
    <xf numFmtId="0" fontId="8" fillId="30" borderId="0" xfId="0" applyFont="1" applyFill="1" applyAlignment="1">
      <alignment horizontal="center"/>
    </xf>
    <xf numFmtId="3" fontId="11" fillId="31" borderId="0" xfId="0" applyNumberFormat="1" applyFont="1" applyFill="1" applyAlignment="1">
      <alignment horizontal="center"/>
    </xf>
    <xf numFmtId="9" fontId="11" fillId="30" borderId="0" xfId="1" applyFont="1" applyFill="1" applyAlignment="1">
      <alignment horizontal="center"/>
    </xf>
    <xf numFmtId="10" fontId="25" fillId="31" borderId="0" xfId="0" applyNumberFormat="1" applyFont="1" applyFill="1" applyAlignment="1">
      <alignment horizontal="center"/>
    </xf>
    <xf numFmtId="164" fontId="25" fillId="31" borderId="0" xfId="0" applyNumberFormat="1" applyFont="1" applyFill="1" applyAlignment="1">
      <alignment horizontal="center"/>
    </xf>
    <xf numFmtId="164" fontId="28" fillId="30" borderId="0" xfId="0" applyNumberFormat="1" applyFont="1" applyFill="1" applyAlignment="1">
      <alignment horizontal="center"/>
    </xf>
    <xf numFmtId="0" fontId="28" fillId="30" borderId="0" xfId="0" applyFont="1" applyFill="1" applyAlignment="1">
      <alignment horizontal="center"/>
    </xf>
    <xf numFmtId="10" fontId="11" fillId="30" borderId="0" xfId="0" applyNumberFormat="1" applyFont="1" applyFill="1" applyAlignment="1">
      <alignment horizontal="center"/>
    </xf>
    <xf numFmtId="10" fontId="1" fillId="31" borderId="0" xfId="0" applyNumberFormat="1" applyFont="1" applyFill="1" applyAlignment="1">
      <alignment horizontal="center"/>
    </xf>
    <xf numFmtId="0" fontId="11" fillId="31" borderId="0" xfId="0" applyFont="1" applyFill="1" applyAlignment="1">
      <alignment horizontal="center"/>
    </xf>
    <xf numFmtId="164" fontId="1" fillId="30" borderId="0" xfId="0" applyNumberFormat="1" applyFont="1" applyFill="1"/>
    <xf numFmtId="9" fontId="8" fillId="30" borderId="0" xfId="0" applyNumberFormat="1" applyFont="1" applyFill="1" applyAlignment="1">
      <alignment horizontal="center"/>
    </xf>
    <xf numFmtId="0" fontId="19" fillId="30" borderId="0" xfId="0" applyFont="1" applyFill="1"/>
    <xf numFmtId="3" fontId="11" fillId="31" borderId="14" xfId="0" applyNumberFormat="1" applyFont="1" applyFill="1" applyBorder="1" applyAlignment="1">
      <alignment horizontal="center"/>
    </xf>
    <xf numFmtId="0" fontId="6" fillId="30" borderId="0" xfId="0" applyFont="1" applyFill="1" applyAlignment="1">
      <alignment horizontal="center"/>
    </xf>
    <xf numFmtId="3" fontId="6" fillId="30" borderId="18" xfId="0" applyNumberFormat="1" applyFont="1" applyFill="1" applyBorder="1" applyAlignment="1">
      <alignment horizontal="center"/>
    </xf>
    <xf numFmtId="3" fontId="11" fillId="30" borderId="14" xfId="0" applyNumberFormat="1" applyFont="1" applyFill="1" applyBorder="1" applyAlignment="1">
      <alignment horizontal="center"/>
    </xf>
    <xf numFmtId="9" fontId="25" fillId="30" borderId="0" xfId="0" applyNumberFormat="1" applyFont="1" applyFill="1" applyAlignment="1">
      <alignment horizontal="center"/>
    </xf>
    <xf numFmtId="0" fontId="25" fillId="30" borderId="0" xfId="0" applyFont="1" applyFill="1" applyAlignment="1">
      <alignment horizontal="center"/>
    </xf>
    <xf numFmtId="9" fontId="11" fillId="30" borderId="0" xfId="0" applyNumberFormat="1" applyFont="1" applyFill="1" applyAlignment="1">
      <alignment horizontal="center"/>
    </xf>
    <xf numFmtId="0" fontId="11" fillId="30" borderId="0" xfId="0" applyFont="1" applyFill="1" applyAlignment="1">
      <alignment horizontal="left"/>
    </xf>
    <xf numFmtId="0" fontId="3" fillId="31" borderId="0" xfId="0" applyFont="1" applyFill="1" applyAlignment="1">
      <alignment horizontal="center"/>
    </xf>
    <xf numFmtId="0" fontId="19" fillId="31" borderId="0" xfId="0" applyFont="1" applyFill="1"/>
    <xf numFmtId="164" fontId="24" fillId="30" borderId="0" xfId="0" applyNumberFormat="1" applyFont="1" applyFill="1" applyAlignment="1">
      <alignment horizontal="center"/>
    </xf>
    <xf numFmtId="9" fontId="1" fillId="31" borderId="0" xfId="0" applyNumberFormat="1" applyFont="1" applyFill="1" applyAlignment="1">
      <alignment horizontal="center"/>
    </xf>
    <xf numFmtId="9" fontId="1" fillId="30" borderId="0" xfId="0" applyNumberFormat="1" applyFont="1" applyFill="1" applyAlignment="1">
      <alignment horizontal="center"/>
    </xf>
    <xf numFmtId="10" fontId="3" fillId="30" borderId="0" xfId="0" applyNumberFormat="1" applyFont="1" applyFill="1" applyAlignment="1">
      <alignment horizontal="center"/>
    </xf>
    <xf numFmtId="3" fontId="3" fillId="30" borderId="14" xfId="0" applyNumberFormat="1" applyFont="1" applyFill="1" applyBorder="1"/>
    <xf numFmtId="10" fontId="19" fillId="30" borderId="0" xfId="0" applyNumberFormat="1" applyFont="1" applyFill="1"/>
    <xf numFmtId="0" fontId="31" fillId="30" borderId="0" xfId="0" applyFont="1" applyFill="1"/>
    <xf numFmtId="164" fontId="25" fillId="30" borderId="0" xfId="0" applyNumberFormat="1" applyFont="1" applyFill="1" applyAlignment="1">
      <alignment horizontal="center"/>
    </xf>
    <xf numFmtId="10" fontId="24" fillId="31" borderId="0" xfId="0" applyNumberFormat="1" applyFont="1" applyFill="1" applyAlignment="1">
      <alignment horizontal="center"/>
    </xf>
    <xf numFmtId="164" fontId="24" fillId="31" borderId="0" xfId="0" applyNumberFormat="1" applyFont="1" applyFill="1" applyAlignment="1">
      <alignment horizontal="center"/>
    </xf>
    <xf numFmtId="164" fontId="25" fillId="30" borderId="14" xfId="0" applyNumberFormat="1" applyFont="1" applyFill="1" applyBorder="1" applyAlignment="1">
      <alignment horizontal="center"/>
    </xf>
    <xf numFmtId="0" fontId="3" fillId="30" borderId="0" xfId="0" applyFont="1" applyFill="1"/>
    <xf numFmtId="165" fontId="1" fillId="30" borderId="0" xfId="0" applyNumberFormat="1" applyFont="1" applyFill="1" applyAlignment="1">
      <alignment horizontal="center"/>
    </xf>
    <xf numFmtId="0" fontId="0" fillId="30" borderId="0" xfId="0" applyFill="1"/>
    <xf numFmtId="164" fontId="27" fillId="2" borderId="0" xfId="0" applyNumberFormat="1" applyFont="1" applyFill="1" applyAlignment="1">
      <alignment horizontal="center"/>
    </xf>
    <xf numFmtId="3" fontId="39" fillId="32" borderId="0" xfId="0" applyNumberFormat="1" applyFont="1" applyFill="1"/>
    <xf numFmtId="0" fontId="37" fillId="33" borderId="0" xfId="0" applyFont="1" applyFill="1"/>
    <xf numFmtId="0" fontId="37" fillId="33" borderId="0" xfId="0" applyFont="1" applyFill="1" applyAlignment="1">
      <alignment horizontal="right"/>
    </xf>
    <xf numFmtId="4" fontId="15" fillId="32" borderId="0" xfId="0" applyNumberFormat="1" applyFont="1" applyFill="1" applyAlignment="1">
      <alignment horizontal="left"/>
    </xf>
    <xf numFmtId="3" fontId="15" fillId="32" borderId="0" xfId="0" applyNumberFormat="1" applyFont="1" applyFill="1" applyAlignment="1">
      <alignment horizontal="left"/>
    </xf>
    <xf numFmtId="164" fontId="15" fillId="32" borderId="0" xfId="1" applyNumberFormat="1" applyFont="1" applyFill="1" applyAlignment="1">
      <alignment horizontal="left"/>
    </xf>
    <xf numFmtId="0" fontId="0" fillId="34" borderId="0" xfId="0" applyFill="1"/>
    <xf numFmtId="0" fontId="0" fillId="34" borderId="0" xfId="0" applyFill="1" applyAlignment="1">
      <alignment horizontal="right"/>
    </xf>
    <xf numFmtId="0" fontId="0" fillId="34" borderId="15" xfId="0" applyFill="1" applyBorder="1"/>
    <xf numFmtId="0" fontId="0" fillId="34" borderId="15" xfId="0" applyFill="1" applyBorder="1" applyAlignment="1">
      <alignment horizontal="right"/>
    </xf>
    <xf numFmtId="0" fontId="38" fillId="34" borderId="0" xfId="0" applyFont="1" applyFill="1"/>
    <xf numFmtId="0" fontId="38" fillId="34" borderId="0" xfId="0" applyFont="1" applyFill="1" applyAlignment="1">
      <alignment horizontal="right"/>
    </xf>
    <xf numFmtId="3" fontId="0" fillId="0" borderId="0" xfId="0" applyNumberFormat="1"/>
    <xf numFmtId="9" fontId="0" fillId="0" borderId="0" xfId="1" applyFont="1"/>
    <xf numFmtId="0" fontId="0" fillId="32" borderId="0" xfId="0" applyFill="1"/>
    <xf numFmtId="14" fontId="0" fillId="32" borderId="0" xfId="0" applyNumberFormat="1" applyFill="1"/>
    <xf numFmtId="167" fontId="40" fillId="32" borderId="0" xfId="0" applyNumberFormat="1" applyFont="1" applyFill="1"/>
    <xf numFmtId="3" fontId="40" fillId="32" borderId="0" xfId="0" applyNumberFormat="1" applyFont="1" applyFill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21" fillId="0" borderId="0" xfId="0" applyFont="1"/>
    <xf numFmtId="0" fontId="21" fillId="0" borderId="23" xfId="0" applyFont="1" applyBorder="1"/>
    <xf numFmtId="0" fontId="12" fillId="0" borderId="0" xfId="0" applyFont="1"/>
    <xf numFmtId="0" fontId="12" fillId="0" borderId="23" xfId="0" applyFont="1" applyBorder="1"/>
    <xf numFmtId="0" fontId="29" fillId="0" borderId="0" xfId="0" applyFont="1"/>
    <xf numFmtId="0" fontId="22" fillId="0" borderId="0" xfId="0" applyFont="1"/>
    <xf numFmtId="0" fontId="29" fillId="0" borderId="23" xfId="0" applyFont="1" applyBorder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Cash App Monetisation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Qrtly!$H$3:$AB$3</c:f>
              <c:strCache>
                <c:ptCount val="21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  <c:pt idx="10">
                  <c:v>3Q25</c:v>
                </c:pt>
                <c:pt idx="11">
                  <c:v>4Q25</c:v>
                </c:pt>
                <c:pt idx="12">
                  <c:v>1Q26</c:v>
                </c:pt>
                <c:pt idx="13">
                  <c:v>2Q26</c:v>
                </c:pt>
                <c:pt idx="14">
                  <c:v>3Q26</c:v>
                </c:pt>
                <c:pt idx="15">
                  <c:v>4Q26</c:v>
                </c:pt>
                <c:pt idx="16">
                  <c:v>1Q27</c:v>
                </c:pt>
                <c:pt idx="17">
                  <c:v>2Q27</c:v>
                </c:pt>
                <c:pt idx="18">
                  <c:v>3Q27</c:v>
                </c:pt>
                <c:pt idx="19">
                  <c:v>4Q27</c:v>
                </c:pt>
                <c:pt idx="20">
                  <c:v>1Q28</c:v>
                </c:pt>
              </c:strCache>
            </c:strRef>
          </c:cat>
          <c:val>
            <c:numRef>
              <c:f>Qrtly!$H$172:$AB$172</c:f>
              <c:numCache>
                <c:formatCode>0.00%</c:formatCode>
                <c:ptCount val="21"/>
                <c:pt idx="0">
                  <c:v>1.41E-2</c:v>
                </c:pt>
                <c:pt idx="1">
                  <c:v>1.44E-2</c:v>
                </c:pt>
                <c:pt idx="2">
                  <c:v>1.43E-2</c:v>
                </c:pt>
                <c:pt idx="3">
                  <c:v>1.4800000000000001E-2</c:v>
                </c:pt>
                <c:pt idx="4">
                  <c:v>1.4800000000000001E-2</c:v>
                </c:pt>
                <c:pt idx="5">
                  <c:v>1.5299999999999999E-2</c:v>
                </c:pt>
                <c:pt idx="6">
                  <c:v>1.52E-2</c:v>
                </c:pt>
                <c:pt idx="7">
                  <c:v>1.5100000000000001E-2</c:v>
                </c:pt>
                <c:pt idx="8">
                  <c:v>1.49E-2</c:v>
                </c:pt>
                <c:pt idx="9">
                  <c:v>1.6199999999999999E-2</c:v>
                </c:pt>
                <c:pt idx="10">
                  <c:v>1.72E-2</c:v>
                </c:pt>
                <c:pt idx="11">
                  <c:v>1.7399999999999999E-2</c:v>
                </c:pt>
                <c:pt idx="12">
                  <c:v>1.7599999999999998E-2</c:v>
                </c:pt>
                <c:pt idx="13">
                  <c:v>1.7799999999999996E-2</c:v>
                </c:pt>
                <c:pt idx="14">
                  <c:v>1.7999999999999995E-2</c:v>
                </c:pt>
                <c:pt idx="15">
                  <c:v>1.8199999999999994E-2</c:v>
                </c:pt>
                <c:pt idx="16">
                  <c:v>1.8399999999999993E-2</c:v>
                </c:pt>
                <c:pt idx="17">
                  <c:v>1.8599999999999992E-2</c:v>
                </c:pt>
                <c:pt idx="18">
                  <c:v>1.879999999999999E-2</c:v>
                </c:pt>
                <c:pt idx="19">
                  <c:v>1.8999999999999989E-2</c:v>
                </c:pt>
                <c:pt idx="20">
                  <c:v>1.902499999999999E-2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D0-4733-A17E-8AF28AB88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669904"/>
        <c:axId val="55670384"/>
      </c:lineChart>
      <c:catAx>
        <c:axId val="5566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70384"/>
        <c:crosses val="autoZero"/>
        <c:auto val="1"/>
        <c:lblAlgn val="ctr"/>
        <c:lblOffset val="100"/>
        <c:noMultiLvlLbl val="0"/>
      </c:catAx>
      <c:valAx>
        <c:axId val="55670384"/>
        <c:scaling>
          <c:orientation val="minMax"/>
          <c:min val="1.2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Square</a:t>
            </a:r>
            <a:r>
              <a:rPr lang="en-AU" baseline="0"/>
              <a:t> GP margin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Qrtly!$D$3:$AB$3</c:f>
              <c:strCache>
                <c:ptCount val="25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  <c:pt idx="14">
                  <c:v>3Q25</c:v>
                </c:pt>
                <c:pt idx="15">
                  <c:v>4Q25</c:v>
                </c:pt>
                <c:pt idx="16">
                  <c:v>1Q26</c:v>
                </c:pt>
                <c:pt idx="17">
                  <c:v>2Q26</c:v>
                </c:pt>
                <c:pt idx="18">
                  <c:v>3Q26</c:v>
                </c:pt>
                <c:pt idx="19">
                  <c:v>4Q26</c:v>
                </c:pt>
                <c:pt idx="20">
                  <c:v>1Q27</c:v>
                </c:pt>
                <c:pt idx="21">
                  <c:v>2Q27</c:v>
                </c:pt>
                <c:pt idx="22">
                  <c:v>3Q27</c:v>
                </c:pt>
                <c:pt idx="23">
                  <c:v>4Q27</c:v>
                </c:pt>
                <c:pt idx="24">
                  <c:v>1Q28</c:v>
                </c:pt>
              </c:strCache>
            </c:strRef>
          </c:cat>
          <c:val>
            <c:numRef>
              <c:f>Qrtly!$D$157:$AB$157</c:f>
              <c:numCache>
                <c:formatCode>0.00%</c:formatCode>
                <c:ptCount val="25"/>
                <c:pt idx="0">
                  <c:v>0.44600000000000001</c:v>
                </c:pt>
                <c:pt idx="1">
                  <c:v>0.42</c:v>
                </c:pt>
                <c:pt idx="2">
                  <c:v>0.42399999999999999</c:v>
                </c:pt>
                <c:pt idx="3">
                  <c:v>0.433</c:v>
                </c:pt>
                <c:pt idx="4">
                  <c:v>0.44500000000000001</c:v>
                </c:pt>
                <c:pt idx="5">
                  <c:v>0.44400000000000001</c:v>
                </c:pt>
                <c:pt idx="6">
                  <c:v>0.435</c:v>
                </c:pt>
                <c:pt idx="7">
                  <c:v>0.45700000000000002</c:v>
                </c:pt>
                <c:pt idx="8">
                  <c:v>0.47399999999999998</c:v>
                </c:pt>
                <c:pt idx="9">
                  <c:v>0.46600000000000003</c:v>
                </c:pt>
                <c:pt idx="10">
                  <c:v>0.46600000000000003</c:v>
                </c:pt>
                <c:pt idx="11">
                  <c:v>0.46899999999999997</c:v>
                </c:pt>
                <c:pt idx="12">
                  <c:v>0.48499999999999999</c:v>
                </c:pt>
                <c:pt idx="13" formatCode="0.0%">
                  <c:v>0.47399845356660625</c:v>
                </c:pt>
                <c:pt idx="14" formatCode="0.0%">
                  <c:v>0.45414098068318842</c:v>
                </c:pt>
                <c:pt idx="15" formatCode="0.0%">
                  <c:v>0.46064283976850168</c:v>
                </c:pt>
                <c:pt idx="16" formatCode="0.0%">
                  <c:v>0.47701115536539324</c:v>
                </c:pt>
                <c:pt idx="17" formatCode="0.0%">
                  <c:v>0.46671017730707454</c:v>
                </c:pt>
                <c:pt idx="18" formatCode="0.0%">
                  <c:v>0.46130415900697991</c:v>
                </c:pt>
                <c:pt idx="19" formatCode="0.0%">
                  <c:v>0.46562142978458493</c:v>
                </c:pt>
                <c:pt idx="20" formatCode="0.0%">
                  <c:v>0.48264290880395788</c:v>
                </c:pt>
                <c:pt idx="21" formatCode="0.0%">
                  <c:v>0.47210041844659445</c:v>
                </c:pt>
                <c:pt idx="22" formatCode="0.0%">
                  <c:v>0.46745276283035281</c:v>
                </c:pt>
                <c:pt idx="23" formatCode="0.0%">
                  <c:v>0.47203231166406218</c:v>
                </c:pt>
                <c:pt idx="24" formatCode="0.0%">
                  <c:v>0.48917065389938691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3E-48F4-B152-08497799D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669904"/>
        <c:axId val="55670384"/>
      </c:lineChart>
      <c:catAx>
        <c:axId val="5566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70384"/>
        <c:crosses val="autoZero"/>
        <c:auto val="1"/>
        <c:lblAlgn val="ctr"/>
        <c:lblOffset val="100"/>
        <c:noMultiLvlLbl val="0"/>
      </c:catAx>
      <c:valAx>
        <c:axId val="5567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208</xdr:row>
      <xdr:rowOff>0</xdr:rowOff>
    </xdr:from>
    <xdr:to>
      <xdr:col>14</xdr:col>
      <xdr:colOff>304800</xdr:colOff>
      <xdr:row>222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56ACD6-5708-4E95-B715-A1D5877A2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208</xdr:row>
      <xdr:rowOff>0</xdr:rowOff>
    </xdr:from>
    <xdr:to>
      <xdr:col>22</xdr:col>
      <xdr:colOff>304800</xdr:colOff>
      <xdr:row>222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C4CC63-328B-4218-BB48-BFEFC0BDDC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EF1A8-E8AD-4AFC-8ECF-9891DC2E221B}">
  <dimension ref="A1:AD116"/>
  <sheetViews>
    <sheetView topLeftCell="A13" workbookViewId="0">
      <selection activeCell="P12" sqref="P12"/>
    </sheetView>
  </sheetViews>
  <sheetFormatPr defaultRowHeight="15" x14ac:dyDescent="0.25"/>
  <sheetData>
    <row r="1" spans="1:30" ht="15.75" thickBot="1" x14ac:dyDescent="0.3">
      <c r="A1" s="483"/>
      <c r="B1" s="483"/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5.75" thickBot="1" x14ac:dyDescent="0.3">
      <c r="A2" s="3"/>
      <c r="B2" s="3" t="s">
        <v>0</v>
      </c>
      <c r="C2" s="4" t="s">
        <v>1</v>
      </c>
      <c r="D2" s="2"/>
      <c r="E2" s="2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75" thickBot="1" x14ac:dyDescent="0.3">
      <c r="A3" s="484"/>
      <c r="B3" s="484"/>
      <c r="C3" s="2"/>
      <c r="D3" s="2"/>
      <c r="E3" s="2"/>
      <c r="F3" s="2"/>
      <c r="G3" s="2"/>
      <c r="H3" s="1"/>
      <c r="I3" s="3" t="s">
        <v>2</v>
      </c>
      <c r="J3" s="5" t="s">
        <v>3</v>
      </c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25">
      <c r="A4" s="1"/>
      <c r="B4" s="6"/>
      <c r="C4" s="7" t="s">
        <v>4</v>
      </c>
      <c r="D4" s="350">
        <f>G4</f>
        <v>96.82</v>
      </c>
      <c r="E4" s="2"/>
      <c r="F4" s="2" t="s">
        <v>5</v>
      </c>
      <c r="G4" s="351">
        <v>96.82</v>
      </c>
      <c r="H4" s="1"/>
      <c r="I4" s="8" t="s">
        <v>6</v>
      </c>
      <c r="J4" s="9" t="s">
        <v>7</v>
      </c>
      <c r="K4" s="10">
        <v>0.04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5.75" thickBot="1" x14ac:dyDescent="0.3">
      <c r="A5" s="1"/>
      <c r="B5" s="11"/>
      <c r="C5" s="12" t="s">
        <v>8</v>
      </c>
      <c r="D5" s="13" t="e">
        <v>#VALUE!</v>
      </c>
      <c r="E5" s="2"/>
      <c r="F5" s="2" t="s">
        <v>9</v>
      </c>
      <c r="G5" s="351">
        <v>62.75</v>
      </c>
      <c r="H5" s="1"/>
      <c r="I5" s="8" t="s">
        <v>10</v>
      </c>
      <c r="J5" s="14" t="s">
        <v>11</v>
      </c>
      <c r="K5" s="15">
        <v>1.2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25">
      <c r="A6" s="16"/>
      <c r="B6" s="18"/>
      <c r="C6" s="19" t="s">
        <v>12</v>
      </c>
      <c r="D6" s="20"/>
      <c r="E6" s="2"/>
      <c r="F6" s="16"/>
      <c r="G6" s="16"/>
      <c r="H6" s="1"/>
      <c r="I6" s="8" t="s">
        <v>13</v>
      </c>
      <c r="J6" s="9" t="s">
        <v>7</v>
      </c>
      <c r="K6" s="10">
        <v>0.06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25">
      <c r="A7" s="1"/>
      <c r="B7" s="21"/>
      <c r="C7" s="19" t="s">
        <v>14</v>
      </c>
      <c r="D7" s="22"/>
      <c r="E7" s="2"/>
      <c r="F7" s="1"/>
      <c r="G7" s="2"/>
      <c r="H7" s="1"/>
      <c r="I7" s="8" t="s">
        <v>15</v>
      </c>
      <c r="J7" s="9" t="s">
        <v>7</v>
      </c>
      <c r="K7" s="23">
        <f>K4+K5*K6</f>
        <v>0.11199999999999999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25">
      <c r="A8" s="2"/>
      <c r="B8" s="21"/>
      <c r="C8" s="19" t="s">
        <v>16</v>
      </c>
      <c r="D8" s="20"/>
      <c r="E8" s="2"/>
      <c r="F8" s="2"/>
      <c r="G8" s="1"/>
      <c r="H8" s="1"/>
      <c r="I8" s="8" t="s">
        <v>17</v>
      </c>
      <c r="J8" s="24" t="s">
        <v>18</v>
      </c>
      <c r="K8" s="10">
        <v>0.3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5.75" thickBot="1" x14ac:dyDescent="0.3">
      <c r="A9" s="1"/>
      <c r="B9" s="25"/>
      <c r="C9" s="12" t="s">
        <v>19</v>
      </c>
      <c r="D9" s="13"/>
      <c r="E9" s="2"/>
      <c r="F9" s="1"/>
      <c r="G9" s="2"/>
      <c r="H9" s="1"/>
      <c r="I9" s="8" t="s">
        <v>20</v>
      </c>
      <c r="J9" s="24" t="s">
        <v>18</v>
      </c>
      <c r="K9" s="10">
        <v>0.8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5.75" thickBot="1" x14ac:dyDescent="0.3">
      <c r="A10" s="483"/>
      <c r="B10" s="483"/>
      <c r="C10" s="1"/>
      <c r="D10" s="1"/>
      <c r="E10" s="1"/>
      <c r="F10" s="1"/>
      <c r="G10" s="2"/>
      <c r="H10" s="1"/>
      <c r="I10" s="8" t="s">
        <v>21</v>
      </c>
      <c r="J10" s="24" t="s">
        <v>18</v>
      </c>
      <c r="K10" s="23">
        <f>(1-K9)*K8</f>
        <v>5.9999999999999984E-2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5.75" thickBot="1" x14ac:dyDescent="0.3">
      <c r="A11" s="483"/>
      <c r="B11" s="483"/>
      <c r="C11" s="2"/>
      <c r="D11" s="2"/>
      <c r="E11" s="2"/>
      <c r="F11" s="2"/>
      <c r="G11" s="2"/>
      <c r="H11" s="1"/>
      <c r="I11" s="26"/>
      <c r="J11" s="27" t="s">
        <v>22</v>
      </c>
      <c r="K11" s="358">
        <f>Annual!D249</f>
        <v>116.18854591779044</v>
      </c>
      <c r="L11" s="359">
        <f>K11/G5-1</f>
        <v>0.85161029351060447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5.75" thickBot="1" x14ac:dyDescent="0.3">
      <c r="A12" s="483"/>
      <c r="B12" s="483"/>
      <c r="C12" s="2"/>
      <c r="D12" s="2"/>
      <c r="E12" s="2"/>
      <c r="F12" s="2"/>
      <c r="G12" s="2"/>
      <c r="H12" s="1"/>
      <c r="I12" s="26"/>
      <c r="J12" s="27" t="s">
        <v>23</v>
      </c>
      <c r="K12" s="358">
        <f>K11*G4/G5</f>
        <v>179.27290861769674</v>
      </c>
      <c r="L12" s="359">
        <f>K12/G4-1</f>
        <v>0.85161029351060469</v>
      </c>
      <c r="M12" s="29">
        <f>K11/K12</f>
        <v>0.64810989464986568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5.75" thickBot="1" x14ac:dyDescent="0.3">
      <c r="A13" s="483"/>
      <c r="B13" s="483"/>
      <c r="C13" s="2"/>
      <c r="D13" s="2"/>
      <c r="E13" s="2"/>
      <c r="F13" s="2"/>
      <c r="G13" s="2"/>
      <c r="H13" s="1"/>
      <c r="I13" s="30"/>
      <c r="J13" s="27"/>
      <c r="K13" s="28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25">
      <c r="A14" s="1"/>
      <c r="B14" s="3" t="s">
        <v>24</v>
      </c>
      <c r="C14" s="5" t="s">
        <v>3</v>
      </c>
      <c r="D14" s="1"/>
      <c r="E14" s="1"/>
      <c r="F14" s="2"/>
      <c r="G14" s="2"/>
      <c r="H14" s="1"/>
      <c r="I14" s="31"/>
      <c r="J14" s="9"/>
      <c r="K14" s="3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25">
      <c r="A15" s="1"/>
      <c r="B15" s="31" t="s">
        <v>25</v>
      </c>
      <c r="C15" s="33">
        <v>1000</v>
      </c>
      <c r="D15" s="16" t="s">
        <v>26</v>
      </c>
      <c r="E15" s="1"/>
      <c r="F15" s="2"/>
      <c r="G15" s="2"/>
      <c r="H15" s="1"/>
      <c r="I15" s="31"/>
      <c r="J15" s="9"/>
      <c r="K15" s="3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25">
      <c r="A16" s="2"/>
      <c r="B16" s="31" t="s">
        <v>27</v>
      </c>
      <c r="C16" s="24">
        <v>1000</v>
      </c>
      <c r="D16" s="16"/>
      <c r="E16" s="1"/>
      <c r="F16" s="1"/>
      <c r="G16" s="1"/>
      <c r="H16" s="1"/>
      <c r="I16" s="31"/>
      <c r="J16" s="9"/>
      <c r="K16" s="34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25">
      <c r="A17" s="2"/>
      <c r="B17" s="31" t="s">
        <v>28</v>
      </c>
      <c r="C17" s="15">
        <v>1000</v>
      </c>
      <c r="D17" s="16" t="s">
        <v>29</v>
      </c>
      <c r="E17" s="1"/>
      <c r="F17" s="1"/>
      <c r="G17" s="1"/>
      <c r="H17" s="1"/>
      <c r="I17" s="31"/>
      <c r="J17" s="9"/>
      <c r="K17" s="3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25">
      <c r="A18" s="485"/>
      <c r="B18" s="485"/>
      <c r="C18" s="2"/>
      <c r="D18" s="2"/>
      <c r="E18" s="2"/>
      <c r="F18" s="2"/>
      <c r="G18" s="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25">
      <c r="A19" s="483"/>
      <c r="B19" s="483"/>
      <c r="C19" s="35" t="s">
        <v>30</v>
      </c>
      <c r="D19" s="35"/>
      <c r="E19" s="36" t="s">
        <v>31</v>
      </c>
      <c r="F19" s="37"/>
      <c r="G19" s="3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25">
      <c r="A20" s="483"/>
      <c r="B20" s="483"/>
      <c r="C20" s="38">
        <v>2023</v>
      </c>
      <c r="D20" s="35">
        <v>2024</v>
      </c>
      <c r="E20" s="39">
        <v>2025</v>
      </c>
      <c r="F20" s="39">
        <v>2026</v>
      </c>
      <c r="G20" s="39">
        <v>2027</v>
      </c>
      <c r="H20" s="1"/>
      <c r="I20" s="1"/>
      <c r="J20" s="35" t="s">
        <v>30</v>
      </c>
      <c r="K20" s="35"/>
      <c r="L20" s="36" t="s">
        <v>31</v>
      </c>
      <c r="M20" s="37"/>
      <c r="N20" s="37"/>
      <c r="O20" s="1"/>
      <c r="P20" s="1"/>
      <c r="Q20" s="35" t="s">
        <v>30</v>
      </c>
      <c r="R20" s="35"/>
      <c r="S20" s="36" t="s">
        <v>31</v>
      </c>
      <c r="T20" s="37"/>
      <c r="U20" s="37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25">
      <c r="A21" s="1"/>
      <c r="B21" s="3" t="s">
        <v>32</v>
      </c>
      <c r="C21" s="2"/>
      <c r="D21" s="2"/>
      <c r="E21" s="2"/>
      <c r="F21" s="1"/>
      <c r="G21" s="1"/>
      <c r="H21" s="1"/>
      <c r="I21" s="1"/>
      <c r="J21" s="35">
        <v>2023</v>
      </c>
      <c r="K21" s="35">
        <v>2024</v>
      </c>
      <c r="L21" s="39">
        <v>2025</v>
      </c>
      <c r="M21" s="39">
        <v>2026</v>
      </c>
      <c r="N21" s="39">
        <v>2027</v>
      </c>
      <c r="O21" s="1"/>
      <c r="P21" s="1"/>
      <c r="Q21" s="35">
        <v>2023</v>
      </c>
      <c r="R21" s="35">
        <v>2024</v>
      </c>
      <c r="S21" s="39">
        <v>2025</v>
      </c>
      <c r="T21" s="39">
        <v>2026</v>
      </c>
      <c r="U21" s="39">
        <v>2027</v>
      </c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25">
      <c r="A22" s="1"/>
      <c r="B22" s="40" t="s">
        <v>33</v>
      </c>
      <c r="C22" s="41"/>
      <c r="D22" s="41"/>
      <c r="E22" s="41"/>
      <c r="F22" s="41"/>
      <c r="G22" s="41"/>
      <c r="H22" s="1"/>
      <c r="I22" s="3" t="s">
        <v>34</v>
      </c>
      <c r="J22" s="2"/>
      <c r="K22" s="2"/>
      <c r="L22" s="2"/>
      <c r="M22" s="2"/>
      <c r="N22" s="1"/>
      <c r="O22" s="1"/>
      <c r="P22" s="3" t="s">
        <v>35</v>
      </c>
      <c r="Q22" s="2"/>
      <c r="R22" s="2"/>
      <c r="S22" s="2"/>
      <c r="T22" s="2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25">
      <c r="A23" s="1"/>
      <c r="B23" s="40" t="s">
        <v>36</v>
      </c>
      <c r="C23" s="363">
        <f t="shared" ref="C23:D23" si="0">$G$5/C29</f>
        <v>34.185223336598384</v>
      </c>
      <c r="D23" s="363">
        <f t="shared" si="0"/>
        <v>18.653824145189152</v>
      </c>
      <c r="E23" s="363">
        <f>$G$5/E29</f>
        <v>26.792326499170084</v>
      </c>
      <c r="F23" s="363">
        <f t="shared" ref="F23:G23" si="1">$G$5/F29</f>
        <v>18.679391467400681</v>
      </c>
      <c r="G23" s="363">
        <f t="shared" si="1"/>
        <v>14.326721580482369</v>
      </c>
      <c r="H23" s="1"/>
      <c r="I23" s="40" t="s">
        <v>33</v>
      </c>
      <c r="J23" s="41"/>
      <c r="K23" s="41"/>
      <c r="L23" s="41"/>
      <c r="M23" s="41"/>
      <c r="N23" s="41"/>
      <c r="O23" s="1"/>
      <c r="P23" s="40" t="s">
        <v>33</v>
      </c>
      <c r="Q23" s="41"/>
      <c r="R23" s="41"/>
      <c r="S23" s="41"/>
      <c r="T23" s="41"/>
      <c r="U23" s="4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25">
      <c r="A24" s="1"/>
      <c r="B24" s="1" t="s">
        <v>37</v>
      </c>
      <c r="C24" s="2"/>
      <c r="D24" s="2"/>
      <c r="E24" s="2"/>
      <c r="F24" s="2"/>
      <c r="G24" s="2"/>
      <c r="H24" s="42" t="s">
        <v>38</v>
      </c>
      <c r="I24" s="40" t="s">
        <v>36</v>
      </c>
      <c r="J24" s="43">
        <f>INDEX(Annual!$A:$AA,MATCH($H24,Annual!$A:$A,0),MATCH(Value!J$21,Annual!$A$1:$AA$1,0))/1000</f>
        <v>1127.088</v>
      </c>
      <c r="K24" s="43">
        <f>INDEX(Annual!$A:$AA,MATCH($H24,Annual!$A:$A,0),MATCH(Value!K$21,Annual!$A$1:$AA$1,0))/1000</f>
        <v>2140.7660000000001</v>
      </c>
      <c r="L24" s="43">
        <f>INDEX(Annual!$A:$AA,MATCH($H24,Annual!$A:$A,0),MATCH(Value!L$21,Annual!$A$1:$AA$1,0))/1000</f>
        <v>1496.7819237811318</v>
      </c>
      <c r="M24" s="43">
        <f>INDEX(Annual!$A:$AA,MATCH($H24,Annual!$A:$A,0),MATCH(Value!M$21,Annual!$A$1:$AA$1,0))/1000</f>
        <v>2146.8724005268896</v>
      </c>
      <c r="N24" s="43">
        <f>INDEX(Annual!$A:$AA,MATCH($H24,Annual!$A:$A,0),MATCH(Value!N$21,Annual!$A$1:$AA$1,0))/1000</f>
        <v>2772.9032337495632</v>
      </c>
      <c r="O24" s="44" t="s">
        <v>39</v>
      </c>
      <c r="P24" s="40" t="s">
        <v>36</v>
      </c>
      <c r="Q24" s="43">
        <f>INDEX(Annual!$A:$AA,MATCH(Value!$O24,Annual!$A:$A,0),MATCH(Value!Q$21,Annual!$A$1:$AA$1,0))/1000</f>
        <v>1792.42</v>
      </c>
      <c r="R24" s="43">
        <f>INDEX(Annual!$A:$AA,MATCH(Value!$O24,Annual!$A:$A,0),MATCH(Value!R$21,Annual!$A$1:$AA$1,0))/1000</f>
        <v>3029.0309999999999</v>
      </c>
      <c r="S24" s="43">
        <f>INDEX(Annual!$A:$AA,MATCH(Value!$O24,Annual!$A:$A,0),MATCH(Value!S$21,Annual!$A$1:$AA$1,0))/1000</f>
        <v>3492.6451738102055</v>
      </c>
      <c r="T24" s="43">
        <f>INDEX(Annual!$A:$AA,MATCH(Value!$O24,Annual!$A:$A,0),MATCH(Value!T$21,Annual!$A$1:$AA$1,0))/1000</f>
        <v>4660.1530799062439</v>
      </c>
      <c r="U24" s="43">
        <f>INDEX(Annual!$A:$AA,MATCH(Value!$O24,Annual!$A:$A,0),MATCH(Value!U$21,Annual!$A$1:$AA$1,0))/1000</f>
        <v>5742.0905354593651</v>
      </c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25">
      <c r="A25" s="483"/>
      <c r="B25" s="483"/>
      <c r="C25" s="46"/>
      <c r="D25" s="46"/>
      <c r="E25" s="46"/>
      <c r="F25" s="1"/>
      <c r="G25" s="1"/>
      <c r="H25" s="1"/>
      <c r="I25" s="1" t="s">
        <v>37</v>
      </c>
      <c r="J25" s="2"/>
      <c r="K25" s="2"/>
      <c r="L25" s="2"/>
      <c r="M25" s="2"/>
      <c r="N25" s="2"/>
      <c r="O25" s="1"/>
      <c r="P25" s="1" t="s">
        <v>37</v>
      </c>
      <c r="Q25" s="2"/>
      <c r="R25" s="2"/>
      <c r="S25" s="2"/>
      <c r="T25" s="2"/>
      <c r="U25" s="2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25">
      <c r="A26" s="1"/>
      <c r="B26" s="3" t="s">
        <v>40</v>
      </c>
      <c r="C26" s="2"/>
      <c r="D26" s="2"/>
      <c r="E26" s="2"/>
      <c r="F26" s="1"/>
      <c r="G26" s="1"/>
      <c r="H26" s="1"/>
      <c r="I26" s="1"/>
      <c r="J26" s="48"/>
      <c r="K26" s="48"/>
      <c r="L26" s="2"/>
      <c r="M26" s="2"/>
      <c r="N26" s="2"/>
      <c r="O26" s="1"/>
      <c r="P26" s="1"/>
      <c r="Q26" s="48"/>
      <c r="R26" s="48"/>
      <c r="S26" s="48"/>
      <c r="T26" s="48"/>
      <c r="U26" s="48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25">
      <c r="A27" s="1" t="s">
        <v>41</v>
      </c>
      <c r="B27" s="40" t="s">
        <v>42</v>
      </c>
      <c r="C27" s="362">
        <f>INDEX(Annual!$A:$AA,MATCH($A27,Annual!$A:$A,0),MATCH(C$20,Annual!$A$1:$AA$1,0))</f>
        <v>615.82000000000005</v>
      </c>
      <c r="D27" s="362">
        <f>INDEX(Annual!$A:$AA,MATCH($A27,Annual!$A:$A,0),MATCH(D$20,Annual!$A$1:$AA$1,0))</f>
        <v>619.67999999999995</v>
      </c>
      <c r="E27" s="362">
        <f>INDEX(Annual!$A:$AA,MATCH($A27,Annual!$A:$A,0),MATCH(E$20,Annual!$A$1:$AA$1,0))</f>
        <v>619.67999999999995</v>
      </c>
      <c r="F27" s="362">
        <f>INDEX(Annual!$A:$AA,MATCH($A27,Annual!$A:$A,0),MATCH(F$20,Annual!$A$1:$AA$1,0))</f>
        <v>619.67999999999995</v>
      </c>
      <c r="G27" s="362">
        <f>INDEX(Annual!$A:$AA,MATCH($A27,Annual!$A:$A,0),MATCH(G$20,Annual!$A$1:$AA$1,0))</f>
        <v>607.70685576252458</v>
      </c>
      <c r="H27" s="1"/>
      <c r="I27" s="3" t="s">
        <v>43</v>
      </c>
      <c r="J27" s="2"/>
      <c r="K27" s="2"/>
      <c r="L27" s="2"/>
      <c r="M27" s="2"/>
      <c r="N27" s="2"/>
      <c r="O27" s="1"/>
      <c r="P27" s="3" t="s">
        <v>44</v>
      </c>
      <c r="Q27" s="2"/>
      <c r="R27" s="2"/>
      <c r="S27" s="2"/>
      <c r="T27" s="2"/>
      <c r="U27" s="2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25">
      <c r="A28" s="1"/>
      <c r="B28" s="40" t="s">
        <v>33</v>
      </c>
      <c r="C28" s="41"/>
      <c r="D28" s="41"/>
      <c r="E28" s="41"/>
      <c r="F28" s="41"/>
      <c r="G28" s="41"/>
      <c r="H28" s="44" t="s">
        <v>45</v>
      </c>
      <c r="I28" s="40" t="s">
        <v>33</v>
      </c>
      <c r="J28" s="49"/>
      <c r="K28" s="49"/>
      <c r="L28" s="49"/>
      <c r="M28" s="49"/>
      <c r="N28" s="49"/>
      <c r="O28" s="2" t="s">
        <v>46</v>
      </c>
      <c r="P28" s="40" t="s">
        <v>33</v>
      </c>
      <c r="Q28" s="41"/>
      <c r="R28" s="41"/>
      <c r="S28" s="41"/>
      <c r="T28" s="41"/>
      <c r="U28" s="4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25">
      <c r="A29" s="44" t="s">
        <v>47</v>
      </c>
      <c r="B29" s="40" t="s">
        <v>36</v>
      </c>
      <c r="C29" s="362">
        <f>INDEX(Annual!$A:$AA,MATCH($A29,Annual!$A:$A,0),MATCH(C$20,Annual!$A$1:$AA$1,0))</f>
        <v>1.8355884173153969</v>
      </c>
      <c r="D29" s="362">
        <f>INDEX(Annual!$A:$AA,MATCH($A29,Annual!$A:$A,0),MATCH(D$20,Annual!$A$1:$AA$1,0))</f>
        <v>3.3639214946809348</v>
      </c>
      <c r="E29" s="362">
        <f>INDEX(Annual!$A:$AA,MATCH($A29,Annual!$A:$A,0),MATCH(E$20,Annual!$A$1:$AA$1,0))</f>
        <v>2.3420885081384677</v>
      </c>
      <c r="F29" s="362">
        <f>INDEX(Annual!$A:$AA,MATCH($A29,Annual!$A:$A,0),MATCH(F$20,Annual!$A$1:$AA$1,0))</f>
        <v>3.3593171442180787</v>
      </c>
      <c r="G29" s="362">
        <f>INDEX(Annual!$A:$AA,MATCH($A29,Annual!$A:$A,0),MATCH(G$20,Annual!$A$1:$AA$1,0))</f>
        <v>4.3799273719038281</v>
      </c>
      <c r="H29" s="44" t="s">
        <v>48</v>
      </c>
      <c r="I29" s="40" t="s">
        <v>36</v>
      </c>
      <c r="J29" s="43">
        <f>INDEX(Annual!$A:$AA,MATCH($H29,Annual!$A:$A,0),MATCH(Value!J$21,Annual!$A$1:$AA$1,0))/1000</f>
        <v>7504.8860000000004</v>
      </c>
      <c r="K29" s="43">
        <f>INDEX(Annual!$A:$AA,MATCH($H29,Annual!$A:$A,0),MATCH(Value!K$21,Annual!$A$1:$AA$1,0))/1000</f>
        <v>8889.0360000000001</v>
      </c>
      <c r="L29" s="43">
        <f>INDEX(Annual!$A:$AA,MATCH($H29,Annual!$A:$A,0),MATCH(Value!L$21,Annual!$A$1:$AA$1,0))/1000</f>
        <v>10321.978797369971</v>
      </c>
      <c r="M29" s="43">
        <f>INDEX(Annual!$A:$AA,MATCH($H29,Annual!$A:$A,0),MATCH(Value!M$21,Annual!$A$1:$AA$1,0))/1000</f>
        <v>12472.486998376322</v>
      </c>
      <c r="N29" s="43">
        <f>INDEX(Annual!$A:$AA,MATCH($H29,Annual!$A:$A,0),MATCH(Value!N$21,Annual!$A$1:$AA$1,0))/1000</f>
        <v>14624.992626446263</v>
      </c>
      <c r="O29" s="44" t="s">
        <v>49</v>
      </c>
      <c r="P29" s="40" t="s">
        <v>36</v>
      </c>
      <c r="Q29" s="43">
        <f>INDEX(Annual!$A:$AA,MATCH(Value!$O29,Annual!$A:$A,0),MATCH(Value!Q$21,Annual!$A$1:$AA$1,0))/1000</f>
        <v>21915.623</v>
      </c>
      <c r="R29" s="43">
        <f>INDEX(Annual!$A:$AA,MATCH(Value!$O29,Annual!$A:$A,0),MATCH(Value!R$21,Annual!$A$1:$AA$1,0))/1000</f>
        <v>24121.053</v>
      </c>
      <c r="S29" s="43">
        <f>INDEX(Annual!$A:$AA,MATCH(Value!$O29,Annual!$A:$A,0),MATCH(Value!S$21,Annual!$A$1:$AA$1,0))/1000</f>
        <v>23989.906695690839</v>
      </c>
      <c r="T29" s="43">
        <f>INDEX(Annual!$A:$AA,MATCH(Value!$O29,Annual!$A:$A,0),MATCH(Value!T$21,Annual!$A$1:$AA$1,0))/1000</f>
        <v>27383.528078197396</v>
      </c>
      <c r="U29" s="43">
        <f>INDEX(Annual!$A:$AA,MATCH(Value!$O29,Annual!$A:$A,0),MATCH(Value!U$21,Annual!$A$1:$AA$1,0))/1000</f>
        <v>31112.66009256976</v>
      </c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25">
      <c r="A30" s="1"/>
      <c r="B30" s="1" t="s">
        <v>37</v>
      </c>
      <c r="C30" s="2"/>
      <c r="D30" s="2"/>
      <c r="E30" s="2"/>
      <c r="F30" s="2"/>
      <c r="G30" s="2"/>
      <c r="H30" s="1"/>
      <c r="I30" s="1" t="s">
        <v>37</v>
      </c>
      <c r="J30" s="2"/>
      <c r="K30" s="2"/>
      <c r="L30" s="2"/>
      <c r="M30" s="2"/>
      <c r="N30" s="2"/>
      <c r="O30" s="2"/>
      <c r="P30" s="1" t="s">
        <v>37</v>
      </c>
      <c r="Q30" s="2"/>
      <c r="R30" s="2"/>
      <c r="S30" s="2"/>
      <c r="T30" s="2"/>
      <c r="U30" s="2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25">
      <c r="A31" s="483"/>
      <c r="B31" s="483"/>
      <c r="C31" s="2"/>
      <c r="D31" s="2"/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25">
      <c r="A32" s="1"/>
      <c r="B32" s="3" t="s">
        <v>50</v>
      </c>
      <c r="C32" s="2"/>
      <c r="D32" s="2"/>
      <c r="E32" s="2"/>
      <c r="F32" s="1"/>
      <c r="G32" s="1"/>
      <c r="H32" s="1"/>
      <c r="I32" s="3" t="s">
        <v>51</v>
      </c>
      <c r="J32" s="1" t="s">
        <v>52</v>
      </c>
      <c r="K32" s="1" t="s">
        <v>53</v>
      </c>
      <c r="L32" s="1" t="s">
        <v>54</v>
      </c>
      <c r="M32" s="1" t="s">
        <v>55</v>
      </c>
      <c r="N32" s="1" t="s">
        <v>56</v>
      </c>
      <c r="O32" s="2" t="s">
        <v>46</v>
      </c>
      <c r="P32" s="3" t="s">
        <v>57</v>
      </c>
      <c r="Q32" s="2"/>
      <c r="R32" s="2"/>
      <c r="S32" s="2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25">
      <c r="A33" s="1"/>
      <c r="B33" s="40" t="s">
        <v>33</v>
      </c>
      <c r="C33" s="41"/>
      <c r="D33" s="41"/>
      <c r="E33" s="41"/>
      <c r="F33" s="41"/>
      <c r="G33" s="41"/>
      <c r="H33" s="44" t="s">
        <v>58</v>
      </c>
      <c r="I33" s="40" t="s">
        <v>33</v>
      </c>
      <c r="J33" s="51"/>
      <c r="K33" s="49"/>
      <c r="L33" s="49"/>
      <c r="M33" s="49"/>
      <c r="N33" s="49"/>
      <c r="O33" s="44" t="s">
        <v>59</v>
      </c>
      <c r="P33" s="40" t="s">
        <v>33</v>
      </c>
      <c r="Q33" s="41"/>
      <c r="R33" s="41"/>
      <c r="S33" s="41"/>
      <c r="T33" s="41"/>
      <c r="U33" s="4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25">
      <c r="A34" s="44" t="s">
        <v>60</v>
      </c>
      <c r="B34" s="40" t="s">
        <v>36</v>
      </c>
      <c r="C34" s="362">
        <f>INDEX(Annual!$A:$AA,MATCH($A34,Annual!$A:$A,0),MATCH(C$20,Annual!$A$1:$AA$1,0))</f>
        <v>0</v>
      </c>
      <c r="D34" s="362">
        <f>INDEX(Annual!$A:$AA,MATCH($A34,Annual!$A:$A,0),MATCH(D$20,Annual!$A$1:$AA$1,0))</f>
        <v>0</v>
      </c>
      <c r="E34" s="362">
        <f>INDEX(Annual!$A:$AA,MATCH($A34,Annual!$A:$A,0),MATCH(E$20,Annual!$A$1:$AA$1,0))</f>
        <v>0</v>
      </c>
      <c r="F34" s="362">
        <f>INDEX(Annual!$A:$AA,MATCH($A34,Annual!$A:$A,0),MATCH(F$20,Annual!$A$1:$AA$1,0))</f>
        <v>0</v>
      </c>
      <c r="G34" s="362">
        <f>INDEX(Annual!$A:$AA,MATCH($A34,Annual!$A:$A,0),MATCH(G$20,Annual!$A$1:$AA$1,0))</f>
        <v>0</v>
      </c>
      <c r="H34" s="44" t="s">
        <v>61</v>
      </c>
      <c r="I34" s="40" t="s">
        <v>36</v>
      </c>
      <c r="J34" s="43">
        <f>INDEX(Annual!$A:$AA,MATCH($H34,Annual!$A:$A,0),MATCH(Value!J$21,Annual!$A$1:$AA$1,0))/1000</f>
        <v>351.351</v>
      </c>
      <c r="K34" s="43">
        <f>INDEX(Annual!$A:$AA,MATCH($H34,Annual!$A:$A,0),MATCH(Value!K$21,Annual!$A$1:$AA$1,0))/1000</f>
        <v>1608.79</v>
      </c>
      <c r="L34" s="43">
        <f>INDEX(Annual!$A:$AA,MATCH($H34,Annual!$A:$A,0),MATCH(Value!L$21,Annual!$A$1:$AA$1,0))/1000</f>
        <v>2101.7236483748425</v>
      </c>
      <c r="M34" s="43">
        <f>INDEX(Annual!$A:$AA,MATCH($H34,Annual!$A:$A,0),MATCH(Value!M$21,Annual!$A$1:$AA$1,0))/1000</f>
        <v>3048.7050318439065</v>
      </c>
      <c r="N34" s="43">
        <f>INDEX(Annual!$A:$AA,MATCH($H34,Annual!$A:$A,0),MATCH(Value!N$21,Annual!$A$1:$AA$1,0))/1000</f>
        <v>3888.2195121560021</v>
      </c>
      <c r="O34" s="44" t="s">
        <v>59</v>
      </c>
      <c r="P34" s="52" t="s">
        <v>36</v>
      </c>
      <c r="Q34" s="362">
        <f>(INDEX(Annual!$A:$AA,MATCH(Value!$O34,Annual!$A:$A,0),MATCH(Value!Q$21,Annual!$A$1:$AA$1,0))/1000+C27*$G$5)/Q24</f>
        <v>20.594743419511051</v>
      </c>
      <c r="R34" s="362">
        <f>(INDEX(Annual!$A:$AA,MATCH(Value!$O34,Annual!$A:$A,0),MATCH(Value!R$21,Annual!$A$1:$AA$1,0))/1000+D27*$G$5)/R24</f>
        <v>11.723942739443737</v>
      </c>
      <c r="S34" s="362">
        <f>(INDEX(Annual!$A:$AA,MATCH(Value!$O34,Annual!$A:$A,0),MATCH(Value!S$21,Annual!$A$1:$AA$1,0))/1000+E27*$G$5)/S24</f>
        <v>9.7708398386628303</v>
      </c>
      <c r="T34" s="362">
        <f>(INDEX(Annual!$A:$AA,MATCH(Value!$O34,Annual!$A:$A,0),MATCH(Value!T$21,Annual!$A$1:$AA$1,0))/1000+F27*$G$5)/T24</f>
        <v>7.1964628008490363</v>
      </c>
      <c r="U34" s="362">
        <f>(INDEX(Annual!$A:$AA,MATCH(Value!$O34,Annual!$A:$A,0),MATCH(Value!U$21,Annual!$A$1:$AA$1,0))/1000+G27*$G$5)/U24</f>
        <v>5.706718934946621</v>
      </c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25">
      <c r="A35" s="1"/>
      <c r="B35" s="40" t="s">
        <v>62</v>
      </c>
      <c r="C35" s="2"/>
      <c r="D35" s="2"/>
      <c r="E35" s="2"/>
      <c r="F35" s="2"/>
      <c r="G35" s="2"/>
      <c r="H35" s="1"/>
      <c r="I35" s="1" t="s">
        <v>37</v>
      </c>
      <c r="J35" s="2"/>
      <c r="K35" s="2"/>
      <c r="L35" s="2"/>
      <c r="M35" s="2"/>
      <c r="N35" s="2"/>
      <c r="O35" s="44"/>
      <c r="P35" s="1" t="s">
        <v>37</v>
      </c>
      <c r="Q35" s="2"/>
      <c r="R35" s="2"/>
      <c r="S35" s="2"/>
      <c r="T35" s="2"/>
      <c r="U35" s="2"/>
      <c r="V35" s="53"/>
      <c r="W35" s="1"/>
      <c r="X35" s="1"/>
      <c r="Y35" s="1"/>
      <c r="Z35" s="1"/>
      <c r="AA35" s="1"/>
      <c r="AB35" s="1"/>
      <c r="AC35" s="1"/>
      <c r="AD35" s="1"/>
    </row>
    <row r="36" spans="1:30" x14ac:dyDescent="0.25">
      <c r="A36" s="483"/>
      <c r="B36" s="483"/>
      <c r="C36" s="2"/>
      <c r="D36" s="2"/>
      <c r="E36" s="2"/>
      <c r="F36" s="2"/>
      <c r="G36" s="2"/>
      <c r="H36" s="1"/>
      <c r="I36" s="53"/>
      <c r="J36" s="53"/>
      <c r="K36" s="53"/>
      <c r="L36" s="53"/>
      <c r="M36" s="53"/>
      <c r="N36" s="53"/>
      <c r="O36" s="53"/>
      <c r="P36" s="53"/>
      <c r="Q36" s="54"/>
      <c r="R36" s="48"/>
      <c r="S36" s="48"/>
      <c r="T36" s="48"/>
      <c r="U36" s="48"/>
      <c r="V36" s="53"/>
      <c r="W36" s="1"/>
      <c r="X36" s="1"/>
      <c r="Y36" s="1"/>
      <c r="Z36" s="1"/>
      <c r="AA36" s="1"/>
      <c r="AB36" s="1"/>
      <c r="AC36" s="1"/>
      <c r="AD36" s="1"/>
    </row>
    <row r="37" spans="1:30" x14ac:dyDescent="0.25">
      <c r="A37" s="1"/>
      <c r="B37" s="55"/>
      <c r="C37" s="55"/>
      <c r="D37" s="55"/>
      <c r="E37" s="55"/>
      <c r="F37" s="55"/>
      <c r="G37" s="55"/>
      <c r="H37" s="1"/>
      <c r="I37" s="1"/>
      <c r="J37" s="1"/>
      <c r="K37" s="1"/>
      <c r="L37" s="2"/>
      <c r="M37" s="2"/>
      <c r="N37" s="2"/>
      <c r="O37" s="1"/>
      <c r="P37" s="53"/>
      <c r="Q37" s="54"/>
      <c r="R37" s="48"/>
      <c r="S37" s="48"/>
      <c r="T37" s="48"/>
      <c r="U37" s="48"/>
      <c r="V37" s="53"/>
      <c r="W37" s="1"/>
      <c r="X37" s="1"/>
      <c r="Y37" s="1"/>
      <c r="Z37" s="1"/>
      <c r="AA37" s="1"/>
      <c r="AB37" s="1"/>
      <c r="AC37" s="1"/>
      <c r="AD37" s="1"/>
    </row>
    <row r="38" spans="1:30" x14ac:dyDescent="0.25">
      <c r="A38" s="1"/>
      <c r="B38" s="2"/>
      <c r="C38" s="2"/>
      <c r="D38" s="56"/>
      <c r="E38" s="2"/>
      <c r="F38" s="2"/>
      <c r="G38" s="2"/>
      <c r="H38" s="1"/>
      <c r="I38" s="57"/>
      <c r="J38" s="58" t="s">
        <v>32</v>
      </c>
      <c r="K38" s="58"/>
      <c r="L38" s="58" t="s">
        <v>64</v>
      </c>
      <c r="M38" s="58"/>
      <c r="N38" s="58" t="s">
        <v>65</v>
      </c>
      <c r="O38" s="59" t="s">
        <v>66</v>
      </c>
      <c r="P38" s="59" t="s">
        <v>67</v>
      </c>
      <c r="Q38" s="59" t="s">
        <v>67</v>
      </c>
      <c r="R38" s="59" t="s">
        <v>68</v>
      </c>
      <c r="S38" s="59" t="s">
        <v>69</v>
      </c>
      <c r="T38" s="59" t="s">
        <v>70</v>
      </c>
      <c r="U38" s="35" t="s">
        <v>71</v>
      </c>
      <c r="V38" s="35" t="s">
        <v>62</v>
      </c>
      <c r="W38" s="35" t="s">
        <v>72</v>
      </c>
      <c r="X38" s="55"/>
      <c r="Y38" s="55"/>
      <c r="Z38" s="1"/>
      <c r="AA38" s="1"/>
      <c r="AB38" s="1"/>
      <c r="AC38" s="1"/>
      <c r="AD38" s="1"/>
    </row>
    <row r="39" spans="1:30" x14ac:dyDescent="0.25">
      <c r="A39" s="1"/>
      <c r="B39" s="2"/>
      <c r="C39" s="2"/>
      <c r="D39" s="56"/>
      <c r="E39" s="2"/>
      <c r="F39" s="2"/>
      <c r="G39" s="2"/>
      <c r="H39" s="1"/>
      <c r="I39" s="57"/>
      <c r="J39" s="35" t="s">
        <v>73</v>
      </c>
      <c r="K39" s="35" t="s">
        <v>74</v>
      </c>
      <c r="L39" s="35" t="s">
        <v>73</v>
      </c>
      <c r="M39" s="35" t="s">
        <v>74</v>
      </c>
      <c r="N39" s="35" t="s">
        <v>75</v>
      </c>
      <c r="O39" s="60" t="s">
        <v>76</v>
      </c>
      <c r="P39" s="59" t="s">
        <v>73</v>
      </c>
      <c r="Q39" s="59" t="s">
        <v>77</v>
      </c>
      <c r="R39" s="60" t="s">
        <v>76</v>
      </c>
      <c r="S39" s="59" t="s">
        <v>77</v>
      </c>
      <c r="T39" s="59" t="s">
        <v>77</v>
      </c>
      <c r="U39" s="35" t="s">
        <v>78</v>
      </c>
      <c r="V39" s="35" t="s">
        <v>75</v>
      </c>
      <c r="W39" s="61" t="s">
        <v>79</v>
      </c>
      <c r="X39" s="48"/>
      <c r="Y39" s="48"/>
      <c r="Z39" s="1"/>
      <c r="AA39" s="1"/>
      <c r="AB39" s="1"/>
      <c r="AC39" s="1"/>
      <c r="AD39" s="1"/>
    </row>
    <row r="40" spans="1:30" x14ac:dyDescent="0.25">
      <c r="A40" s="1"/>
      <c r="B40" s="2"/>
      <c r="C40" s="56"/>
      <c r="D40" s="56"/>
      <c r="E40" s="62"/>
      <c r="F40" s="2"/>
      <c r="G40" s="2"/>
      <c r="H40" s="1"/>
      <c r="I40" s="63" t="s">
        <v>81</v>
      </c>
      <c r="J40" s="24" t="s">
        <v>82</v>
      </c>
      <c r="K40" s="24" t="s">
        <v>83</v>
      </c>
      <c r="L40" s="24" t="s">
        <v>84</v>
      </c>
      <c r="M40" s="24" t="s">
        <v>85</v>
      </c>
      <c r="N40" s="24" t="s">
        <v>86</v>
      </c>
      <c r="O40" s="23">
        <v>0.20300000000000001</v>
      </c>
      <c r="P40" s="24" t="e">
        <v>#VALUE!</v>
      </c>
      <c r="Q40" s="24" t="e">
        <v>#VALUE!</v>
      </c>
      <c r="R40" s="24" t="e">
        <v>#VALUE!</v>
      </c>
      <c r="S40" s="24" t="e">
        <v>#VALUE!</v>
      </c>
      <c r="T40" s="24" t="e">
        <v>#VALUE!</v>
      </c>
      <c r="U40" s="64">
        <v>66828</v>
      </c>
      <c r="V40" s="23">
        <v>0</v>
      </c>
      <c r="W40" s="24" t="s">
        <v>1</v>
      </c>
      <c r="X40" s="48"/>
      <c r="Y40" s="48"/>
      <c r="Z40" s="1"/>
      <c r="AA40" s="1"/>
      <c r="AB40" s="1"/>
      <c r="AC40" s="1"/>
      <c r="AD40" s="1"/>
    </row>
    <row r="41" spans="1:30" x14ac:dyDescent="0.25">
      <c r="A41" s="1"/>
      <c r="B41" s="2"/>
      <c r="C41" s="56"/>
      <c r="D41" s="56"/>
      <c r="E41" s="62"/>
      <c r="F41" s="2"/>
      <c r="G41" s="2"/>
      <c r="H41" s="1"/>
      <c r="I41" s="63" t="s">
        <v>88</v>
      </c>
      <c r="J41" s="24" t="s">
        <v>89</v>
      </c>
      <c r="K41" s="24" t="s">
        <v>90</v>
      </c>
      <c r="L41" s="24" t="s">
        <v>91</v>
      </c>
      <c r="M41" s="24" t="s">
        <v>92</v>
      </c>
      <c r="N41" s="24" t="s">
        <v>93</v>
      </c>
      <c r="O41" s="23">
        <v>0.43099999999999999</v>
      </c>
      <c r="P41" s="24" t="e">
        <v>#VALUE!</v>
      </c>
      <c r="Q41" s="24" t="e">
        <v>#VALUE!</v>
      </c>
      <c r="R41" s="24" t="e">
        <v>#VALUE!</v>
      </c>
      <c r="S41" s="24" t="e">
        <v>#VALUE!</v>
      </c>
      <c r="T41" s="24" t="e">
        <v>#VALUE!</v>
      </c>
      <c r="U41" s="64">
        <v>5835</v>
      </c>
      <c r="V41" s="23">
        <v>0</v>
      </c>
      <c r="W41" s="24" t="s">
        <v>94</v>
      </c>
      <c r="X41" s="46"/>
      <c r="Y41" s="46"/>
      <c r="Z41" s="1"/>
      <c r="AA41" s="1"/>
      <c r="AB41" s="1"/>
      <c r="AC41" s="1"/>
      <c r="AD41" s="1"/>
    </row>
    <row r="42" spans="1:30" x14ac:dyDescent="0.25">
      <c r="A42" s="1"/>
      <c r="B42" s="2"/>
      <c r="C42" s="56"/>
      <c r="D42" s="56"/>
      <c r="E42" s="62"/>
      <c r="F42" s="2"/>
      <c r="G42" s="2"/>
      <c r="H42" s="1"/>
      <c r="I42" s="63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48"/>
      <c r="Y42" s="48"/>
      <c r="Z42" s="1"/>
      <c r="AA42" s="1"/>
      <c r="AB42" s="1"/>
      <c r="AC42" s="1"/>
      <c r="AD42" s="1"/>
    </row>
    <row r="43" spans="1:30" x14ac:dyDescent="0.25">
      <c r="A43" s="1"/>
      <c r="B43" s="2"/>
      <c r="C43" s="2"/>
      <c r="D43" s="56"/>
      <c r="E43" s="2"/>
      <c r="F43" s="2"/>
      <c r="G43" s="2"/>
      <c r="H43" s="1"/>
      <c r="I43" s="65" t="s">
        <v>97</v>
      </c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46"/>
      <c r="Y43" s="46"/>
      <c r="Z43" s="1"/>
      <c r="AA43" s="1"/>
      <c r="AB43" s="1"/>
      <c r="AC43" s="1"/>
      <c r="AD43" s="1"/>
    </row>
    <row r="44" spans="1:30" x14ac:dyDescent="0.25">
      <c r="A44" s="1"/>
      <c r="B44" s="2"/>
      <c r="C44" s="2"/>
      <c r="D44" s="50"/>
      <c r="E44" s="2"/>
      <c r="F44" s="2"/>
      <c r="G44" s="2"/>
      <c r="H44" s="1"/>
      <c r="I44" s="63" t="s">
        <v>98</v>
      </c>
      <c r="J44" s="24" t="s">
        <v>99</v>
      </c>
      <c r="K44" s="24" t="s">
        <v>99</v>
      </c>
      <c r="L44" s="24" t="s">
        <v>100</v>
      </c>
      <c r="M44" s="24" t="s">
        <v>101</v>
      </c>
      <c r="N44" s="24" t="s">
        <v>102</v>
      </c>
      <c r="O44" s="24" t="e">
        <v>#VALUE!</v>
      </c>
      <c r="P44" s="24" t="e">
        <v>#VALUE!</v>
      </c>
      <c r="Q44" s="24" t="e">
        <v>#VALUE!</v>
      </c>
      <c r="R44" s="24" t="e">
        <v>#VALUE!</v>
      </c>
      <c r="S44" s="24" t="e">
        <v>#VALUE!</v>
      </c>
      <c r="T44" s="24" t="e">
        <v>#VALUE!</v>
      </c>
      <c r="U44" s="64">
        <v>13198</v>
      </c>
      <c r="V44" s="23">
        <v>0</v>
      </c>
      <c r="W44" s="24" t="s">
        <v>103</v>
      </c>
      <c r="X44" s="48"/>
      <c r="Y44" s="48"/>
      <c r="Z44" s="1"/>
      <c r="AA44" s="1"/>
      <c r="AB44" s="1"/>
      <c r="AC44" s="1"/>
      <c r="AD44" s="1"/>
    </row>
    <row r="45" spans="1:30" x14ac:dyDescent="0.25">
      <c r="A45" s="1"/>
      <c r="B45" s="2"/>
      <c r="C45" s="2"/>
      <c r="D45" s="56"/>
      <c r="E45" s="2"/>
      <c r="F45" s="2"/>
      <c r="G45" s="2"/>
      <c r="H45" s="1"/>
      <c r="I45" s="63" t="s">
        <v>105</v>
      </c>
      <c r="J45" s="24" t="s">
        <v>106</v>
      </c>
      <c r="K45" s="24" t="s">
        <v>107</v>
      </c>
      <c r="L45" s="24" t="s">
        <v>108</v>
      </c>
      <c r="M45" s="24" t="s">
        <v>109</v>
      </c>
      <c r="N45" s="24" t="s">
        <v>110</v>
      </c>
      <c r="O45" s="23">
        <v>0.41099999999999998</v>
      </c>
      <c r="P45" s="24" t="e">
        <v>#VALUE!</v>
      </c>
      <c r="Q45" s="24" t="e">
        <v>#VALUE!</v>
      </c>
      <c r="R45" s="24" t="e">
        <v>#VALUE!</v>
      </c>
      <c r="S45" s="24" t="e">
        <v>#VALUE!</v>
      </c>
      <c r="T45" s="24" t="e">
        <v>#VALUE!</v>
      </c>
      <c r="U45" s="64">
        <v>47406</v>
      </c>
      <c r="V45" s="23">
        <v>0</v>
      </c>
      <c r="W45" s="24" t="s">
        <v>111</v>
      </c>
      <c r="X45" s="48"/>
      <c r="Y45" s="48"/>
      <c r="Z45" s="1"/>
      <c r="AA45" s="1"/>
      <c r="AB45" s="1"/>
      <c r="AC45" s="1"/>
      <c r="AD45" s="1"/>
    </row>
    <row r="46" spans="1:30" x14ac:dyDescent="0.25">
      <c r="A46" s="483"/>
      <c r="B46" s="483"/>
      <c r="C46" s="2"/>
      <c r="D46" s="2"/>
      <c r="E46" s="2"/>
      <c r="F46" s="1"/>
      <c r="G46" s="2"/>
      <c r="H46" s="1"/>
      <c r="I46" s="63" t="s">
        <v>112</v>
      </c>
      <c r="J46" s="24" t="s">
        <v>83</v>
      </c>
      <c r="K46" s="24" t="s">
        <v>113</v>
      </c>
      <c r="L46" s="24" t="s">
        <v>114</v>
      </c>
      <c r="M46" s="24" t="s">
        <v>115</v>
      </c>
      <c r="N46" s="24" t="s">
        <v>116</v>
      </c>
      <c r="O46" s="24" t="e">
        <v>#VALUE!</v>
      </c>
      <c r="P46" s="24" t="e">
        <v>#VALUE!</v>
      </c>
      <c r="Q46" s="24" t="e">
        <v>#VALUE!</v>
      </c>
      <c r="R46" s="24" t="e">
        <v>#VALUE!</v>
      </c>
      <c r="S46" s="24" t="e">
        <v>#VALUE!</v>
      </c>
      <c r="T46" s="24" t="e">
        <v>#VALUE!</v>
      </c>
      <c r="U46" s="64">
        <v>3017</v>
      </c>
      <c r="V46" s="23">
        <v>0</v>
      </c>
      <c r="W46" s="24" t="s">
        <v>117</v>
      </c>
      <c r="X46" s="48"/>
      <c r="Y46" s="46"/>
      <c r="Z46" s="1"/>
      <c r="AA46" s="1"/>
      <c r="AB46" s="1"/>
      <c r="AC46" s="1"/>
      <c r="AD46" s="1"/>
    </row>
    <row r="47" spans="1:30" x14ac:dyDescent="0.25">
      <c r="A47" s="1"/>
      <c r="B47" s="55"/>
      <c r="C47" s="55"/>
      <c r="D47" s="55"/>
      <c r="E47" s="55"/>
      <c r="F47" s="55"/>
      <c r="G47" s="55"/>
      <c r="H47" s="1"/>
      <c r="I47" s="63" t="s">
        <v>119</v>
      </c>
      <c r="J47" s="24" t="s">
        <v>120</v>
      </c>
      <c r="K47" s="24" t="s">
        <v>121</v>
      </c>
      <c r="L47" s="24" t="s">
        <v>122</v>
      </c>
      <c r="M47" s="24" t="s">
        <v>123</v>
      </c>
      <c r="N47" s="24" t="s">
        <v>124</v>
      </c>
      <c r="O47" s="23">
        <v>0.34100000000000003</v>
      </c>
      <c r="P47" s="24" t="e">
        <v>#VALUE!</v>
      </c>
      <c r="Q47" s="24" t="e">
        <v>#VALUE!</v>
      </c>
      <c r="R47" s="24" t="e">
        <v>#VALUE!</v>
      </c>
      <c r="S47" s="24" t="e">
        <v>#VALUE!</v>
      </c>
      <c r="T47" s="24" t="e">
        <v>#VALUE!</v>
      </c>
      <c r="U47" s="64">
        <v>153790</v>
      </c>
      <c r="V47" s="23">
        <v>0</v>
      </c>
      <c r="W47" s="24" t="s">
        <v>125</v>
      </c>
      <c r="X47" s="48"/>
      <c r="Y47" s="66"/>
      <c r="Z47" s="1"/>
      <c r="AA47" s="1"/>
      <c r="AB47" s="1"/>
      <c r="AC47" s="1"/>
      <c r="AD47" s="1"/>
    </row>
    <row r="48" spans="1:30" x14ac:dyDescent="0.25">
      <c r="A48" s="1"/>
      <c r="B48" s="2"/>
      <c r="C48" s="2"/>
      <c r="D48" s="56"/>
      <c r="E48" s="2"/>
      <c r="F48" s="2"/>
      <c r="G48" s="2"/>
      <c r="H48" s="1"/>
      <c r="I48" s="63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46"/>
      <c r="Y48" s="48"/>
      <c r="Z48" s="1"/>
      <c r="AA48" s="1"/>
      <c r="AB48" s="1"/>
      <c r="AC48" s="1"/>
      <c r="AD48" s="1"/>
    </row>
    <row r="49" spans="1:30" x14ac:dyDescent="0.25">
      <c r="A49" s="1"/>
      <c r="B49" s="2"/>
      <c r="C49" s="2"/>
      <c r="D49" s="56"/>
      <c r="E49" s="2"/>
      <c r="F49" s="2"/>
      <c r="G49" s="2"/>
      <c r="H49" s="1"/>
      <c r="I49" s="65" t="s">
        <v>126</v>
      </c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66"/>
      <c r="Y49" s="1"/>
      <c r="Z49" s="1"/>
      <c r="AA49" s="1"/>
      <c r="AB49" s="1"/>
      <c r="AC49" s="1"/>
      <c r="AD49" s="1"/>
    </row>
    <row r="50" spans="1:30" x14ac:dyDescent="0.25">
      <c r="A50" s="1"/>
      <c r="B50" s="2"/>
      <c r="C50" s="56"/>
      <c r="D50" s="56"/>
      <c r="E50" s="62"/>
      <c r="F50" s="2"/>
      <c r="G50" s="2"/>
      <c r="H50" s="1"/>
      <c r="I50" s="63" t="s">
        <v>127</v>
      </c>
      <c r="J50" s="24" t="s">
        <v>128</v>
      </c>
      <c r="K50" s="24" t="s">
        <v>129</v>
      </c>
      <c r="L50" s="24" t="s">
        <v>130</v>
      </c>
      <c r="M50" s="24" t="s">
        <v>131</v>
      </c>
      <c r="N50" s="24" t="s">
        <v>132</v>
      </c>
      <c r="O50" s="23">
        <v>0.14000000000000001</v>
      </c>
      <c r="P50" s="24" t="e">
        <v>#VALUE!</v>
      </c>
      <c r="Q50" s="24" t="e">
        <v>#VALUE!</v>
      </c>
      <c r="R50" s="24" t="e">
        <v>#VALUE!</v>
      </c>
      <c r="S50" s="24" t="e">
        <v>#VALUE!</v>
      </c>
      <c r="T50" s="24" t="e">
        <v>#VALUE!</v>
      </c>
      <c r="U50" s="64">
        <v>1940</v>
      </c>
      <c r="V50" s="23">
        <v>1.2E-2</v>
      </c>
      <c r="W50" s="24" t="s">
        <v>133</v>
      </c>
      <c r="X50" s="48"/>
      <c r="Y50" s="1"/>
      <c r="Z50" s="1"/>
      <c r="AA50" s="1"/>
      <c r="AB50" s="1"/>
      <c r="AC50" s="1"/>
      <c r="AD50" s="1"/>
    </row>
    <row r="51" spans="1:30" x14ac:dyDescent="0.25">
      <c r="A51" s="1"/>
      <c r="B51" s="2"/>
      <c r="C51" s="56"/>
      <c r="D51" s="56"/>
      <c r="E51" s="62"/>
      <c r="F51" s="2"/>
      <c r="G51" s="2"/>
      <c r="H51" s="1"/>
      <c r="I51" s="63" t="s">
        <v>134</v>
      </c>
      <c r="J51" s="24" t="s">
        <v>135</v>
      </c>
      <c r="K51" s="24" t="s">
        <v>136</v>
      </c>
      <c r="L51" s="24" t="s">
        <v>137</v>
      </c>
      <c r="M51" s="24" t="s">
        <v>138</v>
      </c>
      <c r="N51" s="24" t="s">
        <v>139</v>
      </c>
      <c r="O51" s="23">
        <v>0.191</v>
      </c>
      <c r="P51" s="24" t="e">
        <v>#VALUE!</v>
      </c>
      <c r="Q51" s="24" t="e">
        <v>#VALUE!</v>
      </c>
      <c r="R51" s="24" t="e">
        <v>#VALUE!</v>
      </c>
      <c r="S51" s="24" t="e">
        <v>#VALUE!</v>
      </c>
      <c r="T51" s="24" t="e">
        <v>#VALUE!</v>
      </c>
      <c r="U51" s="64">
        <v>12460</v>
      </c>
      <c r="V51" s="23">
        <v>8.0000000000000002E-3</v>
      </c>
      <c r="W51" s="24" t="s">
        <v>140</v>
      </c>
      <c r="X51" s="1"/>
      <c r="Y51" s="1"/>
      <c r="Z51" s="1"/>
      <c r="AA51" s="1"/>
      <c r="AB51" s="1"/>
      <c r="AC51" s="1"/>
      <c r="AD51" s="1"/>
    </row>
    <row r="52" spans="1:30" x14ac:dyDescent="0.25">
      <c r="A52" s="1"/>
      <c r="B52" s="2"/>
      <c r="C52" s="56"/>
      <c r="D52" s="56"/>
      <c r="E52" s="62"/>
      <c r="F52" s="2"/>
      <c r="G52" s="2"/>
      <c r="H52" s="1"/>
      <c r="I52" s="63" t="s">
        <v>141</v>
      </c>
      <c r="J52" s="24" t="s">
        <v>142</v>
      </c>
      <c r="K52" s="24" t="s">
        <v>143</v>
      </c>
      <c r="L52" s="24" t="s">
        <v>144</v>
      </c>
      <c r="M52" s="24" t="s">
        <v>145</v>
      </c>
      <c r="N52" s="24" t="s">
        <v>146</v>
      </c>
      <c r="O52" s="23">
        <v>0.32800000000000001</v>
      </c>
      <c r="P52" s="24" t="e">
        <v>#VALUE!</v>
      </c>
      <c r="Q52" s="24" t="e">
        <v>#VALUE!</v>
      </c>
      <c r="R52" s="24" t="e">
        <v>#VALUE!</v>
      </c>
      <c r="S52" s="24" t="e">
        <v>#VALUE!</v>
      </c>
      <c r="T52" s="24" t="e">
        <v>#VALUE!</v>
      </c>
      <c r="U52" s="64">
        <v>30928</v>
      </c>
      <c r="V52" s="23">
        <v>3.0000000000000001E-3</v>
      </c>
      <c r="W52" s="24" t="s">
        <v>147</v>
      </c>
      <c r="X52" s="1"/>
      <c r="Y52" s="1"/>
      <c r="Z52" s="1"/>
      <c r="AA52" s="1"/>
      <c r="AB52" s="1"/>
      <c r="AC52" s="1"/>
      <c r="AD52" s="1"/>
    </row>
    <row r="53" spans="1:30" x14ac:dyDescent="0.25">
      <c r="A53" s="1"/>
      <c r="B53" s="2"/>
      <c r="C53" s="2"/>
      <c r="D53" s="56"/>
      <c r="E53" s="2"/>
      <c r="F53" s="2"/>
      <c r="G53" s="2"/>
      <c r="H53" s="1"/>
      <c r="I53" s="63" t="s">
        <v>148</v>
      </c>
      <c r="J53" s="24" t="s">
        <v>149</v>
      </c>
      <c r="K53" s="24" t="s">
        <v>150</v>
      </c>
      <c r="L53" s="24" t="s">
        <v>151</v>
      </c>
      <c r="M53" s="24" t="s">
        <v>152</v>
      </c>
      <c r="N53" s="24" t="s">
        <v>153</v>
      </c>
      <c r="O53" s="23">
        <v>0.121</v>
      </c>
      <c r="P53" s="24" t="e">
        <v>#VALUE!</v>
      </c>
      <c r="Q53" s="24" t="e">
        <v>#VALUE!</v>
      </c>
      <c r="R53" s="24" t="e">
        <v>#VALUE!</v>
      </c>
      <c r="S53" s="24" t="e">
        <v>#VALUE!</v>
      </c>
      <c r="T53" s="24" t="e">
        <v>#VALUE!</v>
      </c>
      <c r="U53" s="64">
        <v>266</v>
      </c>
      <c r="V53" s="23">
        <v>0</v>
      </c>
      <c r="W53" s="24" t="s">
        <v>154</v>
      </c>
      <c r="X53" s="1"/>
      <c r="Y53" s="1"/>
      <c r="Z53" s="1"/>
      <c r="AA53" s="1"/>
      <c r="AB53" s="1"/>
      <c r="AC53" s="1"/>
      <c r="AD53" s="1"/>
    </row>
    <row r="54" spans="1:30" x14ac:dyDescent="0.25">
      <c r="A54" s="1"/>
      <c r="B54" s="2"/>
      <c r="C54" s="2"/>
      <c r="D54" s="50"/>
      <c r="E54" s="2"/>
      <c r="F54" s="2"/>
      <c r="G54" s="2"/>
      <c r="H54" s="1"/>
      <c r="I54" s="63" t="s">
        <v>155</v>
      </c>
      <c r="J54" s="24" t="s">
        <v>156</v>
      </c>
      <c r="K54" s="24" t="s">
        <v>157</v>
      </c>
      <c r="L54" s="24" t="s">
        <v>158</v>
      </c>
      <c r="M54" s="24" t="s">
        <v>159</v>
      </c>
      <c r="N54" s="24" t="s">
        <v>160</v>
      </c>
      <c r="O54" s="23">
        <v>0.40300000000000002</v>
      </c>
      <c r="P54" s="24" t="e">
        <v>#VALUE!</v>
      </c>
      <c r="Q54" s="24" t="e">
        <v>#VALUE!</v>
      </c>
      <c r="R54" s="24" t="e">
        <v>#VALUE!</v>
      </c>
      <c r="S54" s="24" t="e">
        <v>#VALUE!</v>
      </c>
      <c r="T54" s="24" t="e">
        <v>#VALUE!</v>
      </c>
      <c r="U54" s="64">
        <v>1026</v>
      </c>
      <c r="V54" s="23">
        <v>0</v>
      </c>
      <c r="W54" s="24" t="s">
        <v>161</v>
      </c>
      <c r="X54" s="1"/>
      <c r="Y54" s="1"/>
      <c r="Z54" s="1"/>
      <c r="AA54" s="1"/>
      <c r="AB54" s="1"/>
      <c r="AC54" s="1"/>
      <c r="AD54" s="1"/>
    </row>
    <row r="55" spans="1:30" x14ac:dyDescent="0.25">
      <c r="A55" s="1"/>
      <c r="B55" s="2"/>
      <c r="C55" s="2"/>
      <c r="D55" s="56"/>
      <c r="E55" s="2"/>
      <c r="F55" s="2"/>
      <c r="G55" s="2"/>
      <c r="H55" s="1"/>
      <c r="I55" s="63" t="s">
        <v>162</v>
      </c>
      <c r="J55" s="24" t="s">
        <v>163</v>
      </c>
      <c r="K55" s="24" t="s">
        <v>164</v>
      </c>
      <c r="L55" s="24" t="s">
        <v>165</v>
      </c>
      <c r="M55" s="24" t="s">
        <v>166</v>
      </c>
      <c r="N55" s="24" t="s">
        <v>167</v>
      </c>
      <c r="O55" s="23">
        <v>0.33200000000000002</v>
      </c>
      <c r="P55" s="24" t="e">
        <v>#VALUE!</v>
      </c>
      <c r="Q55" s="24" t="e">
        <v>#VALUE!</v>
      </c>
      <c r="R55" s="24" t="e">
        <v>#VALUE!</v>
      </c>
      <c r="S55" s="24" t="e">
        <v>#VALUE!</v>
      </c>
      <c r="T55" s="24" t="e">
        <v>#VALUE!</v>
      </c>
      <c r="U55" s="64">
        <v>31766</v>
      </c>
      <c r="V55" s="23">
        <v>3.0000000000000001E-3</v>
      </c>
      <c r="W55" s="24" t="s">
        <v>168</v>
      </c>
      <c r="X55" s="1"/>
      <c r="Y55" s="1"/>
      <c r="Z55" s="1"/>
      <c r="AA55" s="1"/>
      <c r="AB55" s="1"/>
      <c r="AC55" s="1"/>
      <c r="AD55" s="1"/>
    </row>
    <row r="56" spans="1:30" x14ac:dyDescent="0.25">
      <c r="A56" s="483"/>
      <c r="B56" s="483"/>
      <c r="C56" s="2"/>
      <c r="D56" s="2"/>
      <c r="E56" s="2"/>
      <c r="F56" s="2"/>
      <c r="G56" s="2"/>
      <c r="H56" s="1"/>
      <c r="I56" s="63" t="s">
        <v>169</v>
      </c>
      <c r="J56" s="24" t="s">
        <v>170</v>
      </c>
      <c r="K56" s="24" t="s">
        <v>145</v>
      </c>
      <c r="L56" s="24" t="s">
        <v>171</v>
      </c>
      <c r="M56" s="24" t="s">
        <v>172</v>
      </c>
      <c r="N56" s="24" t="s">
        <v>173</v>
      </c>
      <c r="O56" s="23">
        <v>0.80200000000000005</v>
      </c>
      <c r="P56" s="24" t="e">
        <v>#VALUE!</v>
      </c>
      <c r="Q56" s="24" t="e">
        <v>#VALUE!</v>
      </c>
      <c r="R56" s="24" t="e">
        <v>#VALUE!</v>
      </c>
      <c r="S56" s="24" t="e">
        <v>#VALUE!</v>
      </c>
      <c r="T56" s="24" t="e">
        <v>#VALUE!</v>
      </c>
      <c r="U56" s="64">
        <v>1950</v>
      </c>
      <c r="V56" s="23">
        <v>0</v>
      </c>
      <c r="W56" s="24" t="s">
        <v>174</v>
      </c>
      <c r="X56" s="1"/>
      <c r="Y56" s="1"/>
      <c r="Z56" s="1"/>
      <c r="AA56" s="1"/>
      <c r="AB56" s="1"/>
      <c r="AC56" s="1"/>
      <c r="AD56" s="1"/>
    </row>
    <row r="57" spans="1:30" x14ac:dyDescent="0.25">
      <c r="A57" s="1"/>
      <c r="B57" s="55"/>
      <c r="C57" s="55"/>
      <c r="D57" s="55"/>
      <c r="E57" s="55"/>
      <c r="F57" s="55"/>
      <c r="G57" s="55"/>
      <c r="H57" s="1"/>
      <c r="I57" s="63" t="s">
        <v>176</v>
      </c>
      <c r="J57" s="24" t="s">
        <v>177</v>
      </c>
      <c r="K57" s="24" t="s">
        <v>178</v>
      </c>
      <c r="L57" s="24" t="s">
        <v>179</v>
      </c>
      <c r="M57" s="24" t="s">
        <v>180</v>
      </c>
      <c r="N57" s="24" t="s">
        <v>181</v>
      </c>
      <c r="O57" s="23">
        <v>0.245</v>
      </c>
      <c r="P57" s="24" t="e">
        <v>#VALUE!</v>
      </c>
      <c r="Q57" s="24" t="e">
        <v>#VALUE!</v>
      </c>
      <c r="R57" s="24" t="e">
        <v>#VALUE!</v>
      </c>
      <c r="S57" s="24" t="e">
        <v>#VALUE!</v>
      </c>
      <c r="T57" s="24" t="e">
        <v>#VALUE!</v>
      </c>
      <c r="U57" s="64">
        <v>26822</v>
      </c>
      <c r="V57" s="24" t="e">
        <v>#VALUE!</v>
      </c>
      <c r="W57" s="24" t="s">
        <v>182</v>
      </c>
      <c r="X57" s="1"/>
      <c r="Y57" s="1"/>
      <c r="Z57" s="1"/>
      <c r="AA57" s="1"/>
      <c r="AB57" s="1"/>
      <c r="AC57" s="1"/>
      <c r="AD57" s="1"/>
    </row>
    <row r="58" spans="1:30" x14ac:dyDescent="0.25">
      <c r="A58" s="1"/>
      <c r="B58" s="2"/>
      <c r="C58" s="2"/>
      <c r="D58" s="56"/>
      <c r="E58" s="2"/>
      <c r="F58" s="2"/>
      <c r="G58" s="2"/>
      <c r="H58" s="1"/>
      <c r="I58" s="63" t="s">
        <v>183</v>
      </c>
      <c r="J58" s="24" t="s">
        <v>99</v>
      </c>
      <c r="K58" s="24" t="s">
        <v>99</v>
      </c>
      <c r="L58" s="24" t="s">
        <v>184</v>
      </c>
      <c r="M58" s="24" t="s">
        <v>185</v>
      </c>
      <c r="N58" s="24" t="s">
        <v>186</v>
      </c>
      <c r="O58" s="23">
        <v>0.16700000000000001</v>
      </c>
      <c r="P58" s="24" t="e">
        <v>#VALUE!</v>
      </c>
      <c r="Q58" s="24" t="e">
        <v>#VALUE!</v>
      </c>
      <c r="R58" s="24" t="e">
        <v>#VALUE!</v>
      </c>
      <c r="S58" s="24" t="e">
        <v>#VALUE!</v>
      </c>
      <c r="T58" s="24" t="e">
        <v>#VALUE!</v>
      </c>
      <c r="U58" s="64">
        <v>2409</v>
      </c>
      <c r="V58" s="23">
        <v>0</v>
      </c>
      <c r="W58" s="24" t="s">
        <v>187</v>
      </c>
      <c r="X58" s="1"/>
      <c r="Y58" s="1"/>
      <c r="Z58" s="1"/>
      <c r="AA58" s="1"/>
      <c r="AB58" s="1"/>
      <c r="AC58" s="1"/>
      <c r="AD58" s="1"/>
    </row>
    <row r="59" spans="1:30" x14ac:dyDescent="0.25">
      <c r="A59" s="1"/>
      <c r="B59" s="2"/>
      <c r="C59" s="2"/>
      <c r="D59" s="56"/>
      <c r="E59" s="2"/>
      <c r="F59" s="2"/>
      <c r="G59" s="2"/>
      <c r="H59" s="1"/>
      <c r="I59" s="63" t="s">
        <v>188</v>
      </c>
      <c r="J59" s="24" t="s">
        <v>189</v>
      </c>
      <c r="K59" s="24" t="s">
        <v>190</v>
      </c>
      <c r="L59" s="24" t="s">
        <v>191</v>
      </c>
      <c r="M59" s="24" t="s">
        <v>192</v>
      </c>
      <c r="N59" s="24" t="s">
        <v>193</v>
      </c>
      <c r="O59" s="23">
        <v>0.57599999999999996</v>
      </c>
      <c r="P59" s="24" t="e">
        <v>#VALUE!</v>
      </c>
      <c r="Q59" s="24" t="e">
        <v>#VALUE!</v>
      </c>
      <c r="R59" s="24" t="e">
        <v>#VALUE!</v>
      </c>
      <c r="S59" s="24" t="e">
        <v>#VALUE!</v>
      </c>
      <c r="T59" s="24" t="e">
        <v>#VALUE!</v>
      </c>
      <c r="U59" s="64">
        <v>11541</v>
      </c>
      <c r="V59" s="23">
        <v>0</v>
      </c>
      <c r="W59" s="24" t="s">
        <v>194</v>
      </c>
      <c r="X59" s="1"/>
      <c r="Y59" s="1"/>
      <c r="Z59" s="1"/>
      <c r="AA59" s="1"/>
      <c r="AB59" s="1"/>
      <c r="AC59" s="1"/>
      <c r="AD59" s="1"/>
    </row>
    <row r="60" spans="1:30" x14ac:dyDescent="0.25">
      <c r="A60" s="1"/>
      <c r="B60" s="2"/>
      <c r="C60" s="56"/>
      <c r="D60" s="56"/>
      <c r="E60" s="62"/>
      <c r="F60" s="2"/>
      <c r="G60" s="2"/>
      <c r="H60" s="1"/>
      <c r="I60" s="63" t="s">
        <v>169</v>
      </c>
      <c r="J60" s="24" t="s">
        <v>170</v>
      </c>
      <c r="K60" s="24" t="s">
        <v>145</v>
      </c>
      <c r="L60" s="24" t="s">
        <v>171</v>
      </c>
      <c r="M60" s="24" t="s">
        <v>172</v>
      </c>
      <c r="N60" s="24" t="s">
        <v>173</v>
      </c>
      <c r="O60" s="23">
        <v>0.80200000000000005</v>
      </c>
      <c r="P60" s="24" t="e">
        <v>#VALUE!</v>
      </c>
      <c r="Q60" s="24" t="e">
        <v>#VALUE!</v>
      </c>
      <c r="R60" s="24" t="e">
        <v>#VALUE!</v>
      </c>
      <c r="S60" s="24" t="e">
        <v>#VALUE!</v>
      </c>
      <c r="T60" s="24" t="e">
        <v>#VALUE!</v>
      </c>
      <c r="U60" s="64">
        <v>1950</v>
      </c>
      <c r="V60" s="23">
        <v>0</v>
      </c>
      <c r="W60" s="24" t="s">
        <v>174</v>
      </c>
      <c r="X60" s="1"/>
      <c r="Y60" s="1"/>
      <c r="Z60" s="1"/>
      <c r="AA60" s="1"/>
      <c r="AB60" s="1"/>
      <c r="AC60" s="1"/>
      <c r="AD60" s="1"/>
    </row>
    <row r="61" spans="1:30" x14ac:dyDescent="0.25">
      <c r="A61" s="1"/>
      <c r="B61" s="2"/>
      <c r="C61" s="56"/>
      <c r="D61" s="56"/>
      <c r="E61" s="62"/>
      <c r="F61" s="2"/>
      <c r="G61" s="2"/>
      <c r="H61" s="1"/>
      <c r="I61" s="31" t="s">
        <v>195</v>
      </c>
      <c r="J61" s="5" t="s">
        <v>196</v>
      </c>
      <c r="K61" s="5" t="s">
        <v>197</v>
      </c>
      <c r="L61" s="5" t="s">
        <v>137</v>
      </c>
      <c r="M61" s="5" t="s">
        <v>172</v>
      </c>
      <c r="N61" s="5" t="s">
        <v>160</v>
      </c>
      <c r="O61" s="67">
        <v>0.32800000000000001</v>
      </c>
      <c r="P61" s="5" t="e">
        <v>#VALUE!</v>
      </c>
      <c r="Q61" s="5" t="e">
        <v>#VALUE!</v>
      </c>
      <c r="R61" s="5" t="e">
        <v>#VALUE!</v>
      </c>
      <c r="S61" s="5" t="e">
        <v>#VALUE!</v>
      </c>
      <c r="T61" s="5" t="e">
        <v>#VALUE!</v>
      </c>
      <c r="U61" s="68">
        <v>2409</v>
      </c>
      <c r="V61" s="5" t="e">
        <v>#VALUE!</v>
      </c>
      <c r="W61" s="5"/>
      <c r="X61" s="1"/>
      <c r="Y61" s="1"/>
      <c r="Z61" s="1"/>
      <c r="AA61" s="1"/>
      <c r="AB61" s="1"/>
      <c r="AC61" s="1"/>
      <c r="AD61" s="1"/>
    </row>
    <row r="62" spans="1:30" x14ac:dyDescent="0.25">
      <c r="A62" s="1"/>
      <c r="B62" s="2"/>
      <c r="C62" s="56"/>
      <c r="D62" s="56"/>
      <c r="E62" s="62"/>
      <c r="F62" s="2"/>
      <c r="G62" s="2"/>
      <c r="H62" s="1"/>
      <c r="I62" s="63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1"/>
      <c r="Y62" s="1"/>
      <c r="Z62" s="1"/>
      <c r="AA62" s="1"/>
      <c r="AB62" s="1"/>
      <c r="AC62" s="1"/>
      <c r="AD62" s="1"/>
    </row>
    <row r="63" spans="1:30" x14ac:dyDescent="0.25">
      <c r="A63" s="1"/>
      <c r="B63" s="2"/>
      <c r="C63" s="2"/>
      <c r="D63" s="56"/>
      <c r="E63" s="2"/>
      <c r="F63" s="2"/>
      <c r="G63" s="2"/>
      <c r="H63" s="1"/>
      <c r="I63" s="65" t="s">
        <v>198</v>
      </c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1"/>
      <c r="Y63" s="1"/>
      <c r="Z63" s="1"/>
      <c r="AA63" s="1"/>
      <c r="AB63" s="1"/>
      <c r="AC63" s="1"/>
      <c r="AD63" s="1"/>
    </row>
    <row r="64" spans="1:30" x14ac:dyDescent="0.25">
      <c r="A64" s="1"/>
      <c r="B64" s="2"/>
      <c r="C64" s="2"/>
      <c r="D64" s="50"/>
      <c r="E64" s="2"/>
      <c r="F64" s="2"/>
      <c r="G64" s="2"/>
      <c r="H64" s="1"/>
      <c r="I64" s="63" t="s">
        <v>199</v>
      </c>
      <c r="J64" s="24" t="s">
        <v>200</v>
      </c>
      <c r="K64" s="24" t="s">
        <v>201</v>
      </c>
      <c r="L64" s="24" t="s">
        <v>202</v>
      </c>
      <c r="M64" s="24" t="s">
        <v>203</v>
      </c>
      <c r="N64" s="24" t="s">
        <v>204</v>
      </c>
      <c r="O64" s="23">
        <v>6.5000000000000002E-2</v>
      </c>
      <c r="P64" s="24" t="e">
        <v>#VALUE!</v>
      </c>
      <c r="Q64" s="24" t="e">
        <v>#VALUE!</v>
      </c>
      <c r="R64" s="24" t="e">
        <v>#VALUE!</v>
      </c>
      <c r="S64" s="24" t="e">
        <v>#VALUE!</v>
      </c>
      <c r="T64" s="24" t="e">
        <v>#VALUE!</v>
      </c>
      <c r="U64" s="64">
        <v>96142</v>
      </c>
      <c r="V64" s="23">
        <v>0</v>
      </c>
      <c r="W64" s="24" t="s">
        <v>205</v>
      </c>
      <c r="X64" s="1"/>
      <c r="Y64" s="1"/>
      <c r="Z64" s="1"/>
      <c r="AA64" s="1"/>
      <c r="AB64" s="1"/>
      <c r="AC64" s="1"/>
      <c r="AD64" s="1"/>
    </row>
    <row r="65" spans="1:30" x14ac:dyDescent="0.25">
      <c r="A65" s="1"/>
      <c r="B65" s="2"/>
      <c r="C65" s="2"/>
      <c r="D65" s="56"/>
      <c r="E65" s="2"/>
      <c r="F65" s="2"/>
      <c r="G65" s="2"/>
      <c r="H65" s="1"/>
      <c r="I65" s="63" t="s">
        <v>206</v>
      </c>
      <c r="J65" s="24" t="s">
        <v>207</v>
      </c>
      <c r="K65" s="24" t="s">
        <v>152</v>
      </c>
      <c r="L65" s="24" t="s">
        <v>208</v>
      </c>
      <c r="M65" s="24" t="s">
        <v>209</v>
      </c>
      <c r="N65" s="24" t="s">
        <v>210</v>
      </c>
      <c r="O65" s="23">
        <v>3.6999999999999998E-2</v>
      </c>
      <c r="P65" s="24" t="e">
        <v>#VALUE!</v>
      </c>
      <c r="Q65" s="24" t="e">
        <v>#VALUE!</v>
      </c>
      <c r="R65" s="24" t="e">
        <v>#VALUE!</v>
      </c>
      <c r="S65" s="24" t="e">
        <v>#VALUE!</v>
      </c>
      <c r="T65" s="24" t="e">
        <v>#VALUE!</v>
      </c>
      <c r="U65" s="64">
        <v>31152</v>
      </c>
      <c r="V65" s="23">
        <v>1.2E-2</v>
      </c>
      <c r="W65" s="24" t="s">
        <v>211</v>
      </c>
      <c r="X65" s="1"/>
      <c r="Y65" s="1"/>
      <c r="Z65" s="1"/>
      <c r="AA65" s="1"/>
      <c r="AB65" s="1"/>
      <c r="AC65" s="1"/>
      <c r="AD65" s="1"/>
    </row>
    <row r="66" spans="1:30" x14ac:dyDescent="0.25">
      <c r="A66" s="483"/>
      <c r="B66" s="483"/>
      <c r="C66" s="2"/>
      <c r="D66" s="2"/>
      <c r="E66" s="2"/>
      <c r="F66" s="2"/>
      <c r="G66" s="2"/>
      <c r="H66" s="1"/>
      <c r="I66" s="63" t="s">
        <v>212</v>
      </c>
      <c r="J66" s="24" t="s">
        <v>213</v>
      </c>
      <c r="K66" s="24" t="s">
        <v>214</v>
      </c>
      <c r="L66" s="24" t="s">
        <v>215</v>
      </c>
      <c r="M66" s="24" t="s">
        <v>178</v>
      </c>
      <c r="N66" s="24" t="s">
        <v>216</v>
      </c>
      <c r="O66" s="10">
        <v>0.33200000000000002</v>
      </c>
      <c r="P66" s="24" t="e">
        <v>#VALUE!</v>
      </c>
      <c r="Q66" s="24" t="e">
        <v>#VALUE!</v>
      </c>
      <c r="R66" s="24" t="e">
        <v>#VALUE!</v>
      </c>
      <c r="S66" s="24" t="e">
        <v>#VALUE!</v>
      </c>
      <c r="T66" s="24" t="e">
        <v>#VALUE!</v>
      </c>
      <c r="U66" s="64">
        <v>280345</v>
      </c>
      <c r="V66" s="23">
        <v>0</v>
      </c>
      <c r="W66" s="24" t="s">
        <v>217</v>
      </c>
      <c r="X66" s="1"/>
      <c r="Y66" s="1"/>
      <c r="Z66" s="1"/>
      <c r="AA66" s="1"/>
      <c r="AB66" s="1"/>
      <c r="AC66" s="1"/>
      <c r="AD66" s="1"/>
    </row>
    <row r="67" spans="1:30" x14ac:dyDescent="0.25">
      <c r="A67" s="483"/>
      <c r="B67" s="483"/>
      <c r="C67" s="2"/>
      <c r="D67" s="2"/>
      <c r="E67" s="2"/>
      <c r="F67" s="2"/>
      <c r="G67" s="2"/>
      <c r="H67" s="1"/>
      <c r="I67" s="63" t="s">
        <v>218</v>
      </c>
      <c r="J67" s="24" t="s">
        <v>219</v>
      </c>
      <c r="K67" s="24" t="s">
        <v>220</v>
      </c>
      <c r="L67" s="24" t="s">
        <v>221</v>
      </c>
      <c r="M67" s="24" t="s">
        <v>222</v>
      </c>
      <c r="N67" s="24" t="s">
        <v>223</v>
      </c>
      <c r="O67" s="23">
        <v>0.28499999999999998</v>
      </c>
      <c r="P67" s="24" t="e">
        <v>#VALUE!</v>
      </c>
      <c r="Q67" s="24" t="e">
        <v>#VALUE!</v>
      </c>
      <c r="R67" s="24" t="e">
        <v>#VALUE!</v>
      </c>
      <c r="S67" s="24" t="e">
        <v>#VALUE!</v>
      </c>
      <c r="T67" s="24" t="e">
        <v>#VALUE!</v>
      </c>
      <c r="U67" s="64">
        <v>40703</v>
      </c>
      <c r="V67" s="23">
        <v>0</v>
      </c>
      <c r="W67" s="24" t="s">
        <v>224</v>
      </c>
      <c r="X67" s="1"/>
      <c r="Y67" s="1"/>
      <c r="Z67" s="1"/>
      <c r="AA67" s="1"/>
      <c r="AB67" s="1"/>
      <c r="AC67" s="1"/>
      <c r="AD67" s="1"/>
    </row>
    <row r="68" spans="1:30" x14ac:dyDescent="0.25">
      <c r="A68" s="483"/>
      <c r="B68" s="483"/>
      <c r="C68" s="46"/>
      <c r="D68" s="46"/>
      <c r="E68" s="46"/>
      <c r="F68" s="46"/>
      <c r="G68" s="46"/>
      <c r="H68" s="1"/>
      <c r="I68" s="63" t="s">
        <v>225</v>
      </c>
      <c r="J68" s="24" t="s">
        <v>226</v>
      </c>
      <c r="K68" s="24" t="s">
        <v>227</v>
      </c>
      <c r="L68" s="24" t="s">
        <v>99</v>
      </c>
      <c r="M68" s="24" t="s">
        <v>99</v>
      </c>
      <c r="N68" s="24" t="s">
        <v>228</v>
      </c>
      <c r="O68" s="24" t="e">
        <v>#VALUE!</v>
      </c>
      <c r="P68" s="24" t="e">
        <v>#VALUE!</v>
      </c>
      <c r="Q68" s="24" t="e">
        <v>#VALUE!</v>
      </c>
      <c r="R68" s="24" t="e">
        <v>#VALUE!</v>
      </c>
      <c r="S68" s="24" t="e">
        <v>#VALUE!</v>
      </c>
      <c r="T68" s="24" t="e">
        <v>#VALUE!</v>
      </c>
      <c r="U68" s="64">
        <v>215277</v>
      </c>
      <c r="V68" s="23">
        <v>1.0999999999999999E-2</v>
      </c>
      <c r="W68" s="24" t="s">
        <v>229</v>
      </c>
      <c r="X68" s="1"/>
      <c r="Y68" s="1"/>
      <c r="Z68" s="1"/>
      <c r="AA68" s="1"/>
      <c r="AB68" s="1"/>
      <c r="AC68" s="1"/>
      <c r="AD68" s="1"/>
    </row>
    <row r="69" spans="1:30" x14ac:dyDescent="0.25">
      <c r="A69" s="483"/>
      <c r="B69" s="483"/>
      <c r="C69" s="2"/>
      <c r="D69" s="2"/>
      <c r="E69" s="2"/>
      <c r="F69" s="69"/>
      <c r="G69" s="46"/>
      <c r="H69" s="1"/>
      <c r="I69" s="63" t="s">
        <v>230</v>
      </c>
      <c r="J69" s="24" t="s">
        <v>231</v>
      </c>
      <c r="K69" s="24" t="s">
        <v>232</v>
      </c>
      <c r="L69" s="24" t="s">
        <v>233</v>
      </c>
      <c r="M69" s="24" t="s">
        <v>234</v>
      </c>
      <c r="N69" s="24" t="s">
        <v>102</v>
      </c>
      <c r="O69" s="10">
        <v>0.43099999999999999</v>
      </c>
      <c r="P69" s="24" t="e">
        <v>#VALUE!</v>
      </c>
      <c r="Q69" s="24" t="e">
        <v>#VALUE!</v>
      </c>
      <c r="R69" s="24" t="e">
        <v>#VALUE!</v>
      </c>
      <c r="S69" s="24" t="e">
        <v>#VALUE!</v>
      </c>
      <c r="T69" s="24" t="e">
        <v>#VALUE!</v>
      </c>
      <c r="U69" s="64">
        <v>35040</v>
      </c>
      <c r="V69" s="23">
        <v>0</v>
      </c>
      <c r="W69" s="24" t="s">
        <v>235</v>
      </c>
      <c r="X69" s="1"/>
      <c r="Y69" s="1"/>
      <c r="Z69" s="1"/>
      <c r="AA69" s="1"/>
      <c r="AB69" s="1"/>
      <c r="AC69" s="1"/>
      <c r="AD69" s="1"/>
    </row>
    <row r="70" spans="1:30" x14ac:dyDescent="0.25">
      <c r="A70" s="483"/>
      <c r="B70" s="483"/>
      <c r="C70" s="46"/>
      <c r="D70" s="2"/>
      <c r="E70" s="46"/>
      <c r="F70" s="46"/>
      <c r="G70" s="70"/>
      <c r="H70" s="1"/>
      <c r="I70" s="63" t="s">
        <v>236</v>
      </c>
      <c r="J70" s="24" t="s">
        <v>237</v>
      </c>
      <c r="K70" s="24" t="s">
        <v>238</v>
      </c>
      <c r="L70" s="24" t="s">
        <v>239</v>
      </c>
      <c r="M70" s="24" t="s">
        <v>240</v>
      </c>
      <c r="N70" s="24" t="s">
        <v>241</v>
      </c>
      <c r="O70" s="23">
        <v>0.35099999999999998</v>
      </c>
      <c r="P70" s="24" t="e">
        <v>#VALUE!</v>
      </c>
      <c r="Q70" s="24" t="e">
        <v>#VALUE!</v>
      </c>
      <c r="R70" s="24" t="e">
        <v>#VALUE!</v>
      </c>
      <c r="S70" s="24" t="e">
        <v>#VALUE!</v>
      </c>
      <c r="T70" s="24" t="e">
        <v>#VALUE!</v>
      </c>
      <c r="U70" s="64">
        <v>2465</v>
      </c>
      <c r="V70" s="23">
        <v>0</v>
      </c>
      <c r="W70" s="24" t="s">
        <v>242</v>
      </c>
      <c r="X70" s="1"/>
      <c r="Y70" s="1"/>
      <c r="Z70" s="1"/>
      <c r="AA70" s="1"/>
      <c r="AB70" s="1"/>
      <c r="AC70" s="1"/>
      <c r="AD70" s="1"/>
    </row>
    <row r="71" spans="1:30" x14ac:dyDescent="0.25">
      <c r="A71" s="483"/>
      <c r="B71" s="483"/>
      <c r="C71" s="46"/>
      <c r="D71" s="46"/>
      <c r="E71" s="46"/>
      <c r="F71" s="46"/>
      <c r="G71" s="46"/>
      <c r="H71" s="1"/>
      <c r="I71" s="63" t="s">
        <v>243</v>
      </c>
      <c r="J71" s="24" t="s">
        <v>132</v>
      </c>
      <c r="K71" s="24" t="s">
        <v>244</v>
      </c>
      <c r="L71" s="24" t="s">
        <v>245</v>
      </c>
      <c r="M71" s="24" t="s">
        <v>246</v>
      </c>
      <c r="N71" s="24" t="s">
        <v>247</v>
      </c>
      <c r="O71" s="23">
        <v>9.6000000000000002E-2</v>
      </c>
      <c r="P71" s="24" t="e">
        <v>#VALUE!</v>
      </c>
      <c r="Q71" s="24" t="e">
        <v>#VALUE!</v>
      </c>
      <c r="R71" s="24" t="e">
        <v>#VALUE!</v>
      </c>
      <c r="S71" s="24" t="e">
        <v>#VALUE!</v>
      </c>
      <c r="T71" s="24" t="e">
        <v>#VALUE!</v>
      </c>
      <c r="U71" s="64">
        <v>109847</v>
      </c>
      <c r="V71" s="23">
        <v>0</v>
      </c>
      <c r="W71" s="24" t="s">
        <v>248</v>
      </c>
      <c r="X71" s="1"/>
      <c r="Y71" s="1"/>
      <c r="Z71" s="1"/>
      <c r="AA71" s="1"/>
      <c r="AB71" s="1"/>
      <c r="AC71" s="1"/>
      <c r="AD71" s="1"/>
    </row>
    <row r="72" spans="1:30" x14ac:dyDescent="0.25">
      <c r="A72" s="483"/>
      <c r="B72" s="483"/>
      <c r="C72" s="46"/>
      <c r="D72" s="46"/>
      <c r="E72" s="46"/>
      <c r="F72" s="46"/>
      <c r="G72" s="46"/>
      <c r="H72" s="71"/>
      <c r="I72" s="31" t="s">
        <v>195</v>
      </c>
      <c r="J72" s="5" t="s">
        <v>249</v>
      </c>
      <c r="K72" s="5" t="s">
        <v>250</v>
      </c>
      <c r="L72" s="5" t="s">
        <v>239</v>
      </c>
      <c r="M72" s="5" t="s">
        <v>240</v>
      </c>
      <c r="N72" s="5" t="s">
        <v>251</v>
      </c>
      <c r="O72" s="5" t="e">
        <v>#VALUE!</v>
      </c>
      <c r="P72" s="5" t="e">
        <v>#VALUE!</v>
      </c>
      <c r="Q72" s="5" t="e">
        <v>#VALUE!</v>
      </c>
      <c r="R72" s="5" t="e">
        <v>#VALUE!</v>
      </c>
      <c r="S72" s="5" t="e">
        <v>#VALUE!</v>
      </c>
      <c r="T72" s="5" t="e">
        <v>#VALUE!</v>
      </c>
      <c r="U72" s="68">
        <v>68422</v>
      </c>
      <c r="V72" s="67">
        <v>0</v>
      </c>
      <c r="W72" s="5"/>
      <c r="X72" s="1"/>
      <c r="Y72" s="1"/>
      <c r="Z72" s="1"/>
      <c r="AA72" s="1"/>
      <c r="AB72" s="1"/>
      <c r="AC72" s="1"/>
      <c r="AD72" s="1"/>
    </row>
    <row r="73" spans="1:30" x14ac:dyDescent="0.25">
      <c r="A73" s="483"/>
      <c r="B73" s="483"/>
      <c r="C73" s="46"/>
      <c r="D73" s="46"/>
      <c r="E73" s="46"/>
      <c r="F73" s="46"/>
      <c r="G73" s="46"/>
      <c r="H73" s="7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25">
      <c r="A74" s="483"/>
      <c r="B74" s="483"/>
      <c r="C74" s="46"/>
      <c r="D74" s="46"/>
      <c r="E74" s="46"/>
      <c r="F74" s="46"/>
      <c r="G74" s="46"/>
      <c r="H74" s="2"/>
      <c r="I74" s="65" t="s">
        <v>252</v>
      </c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1"/>
      <c r="Y74" s="1"/>
      <c r="Z74" s="1"/>
      <c r="AA74" s="1"/>
      <c r="AB74" s="1"/>
      <c r="AC74" s="1"/>
      <c r="AD74" s="1"/>
    </row>
    <row r="75" spans="1:30" x14ac:dyDescent="0.25">
      <c r="A75" s="483"/>
      <c r="B75" s="483"/>
      <c r="C75" s="46"/>
      <c r="D75" s="46"/>
      <c r="E75" s="46"/>
      <c r="F75" s="46"/>
      <c r="G75" s="46"/>
      <c r="H75" s="2"/>
      <c r="I75" s="63" t="s">
        <v>253</v>
      </c>
      <c r="J75" s="24" t="s">
        <v>254</v>
      </c>
      <c r="K75" s="24" t="s">
        <v>255</v>
      </c>
      <c r="L75" s="24" t="s">
        <v>99</v>
      </c>
      <c r="M75" s="24" t="s">
        <v>99</v>
      </c>
      <c r="N75" s="24" t="s">
        <v>256</v>
      </c>
      <c r="O75" s="24" t="e">
        <v>#VALUE!</v>
      </c>
      <c r="P75" s="24" t="e">
        <v>#VALUE!</v>
      </c>
      <c r="Q75" s="24" t="e">
        <v>#VALUE!</v>
      </c>
      <c r="R75" s="24" t="e">
        <v>#VALUE!</v>
      </c>
      <c r="S75" s="24" t="e">
        <v>#VALUE!</v>
      </c>
      <c r="T75" s="24" t="e">
        <v>#VALUE!</v>
      </c>
      <c r="U75" s="64">
        <v>375585</v>
      </c>
      <c r="V75" s="23">
        <v>2.5999999999999999E-2</v>
      </c>
      <c r="W75" s="24" t="s">
        <v>257</v>
      </c>
      <c r="X75" s="1"/>
      <c r="Y75" s="1"/>
      <c r="Z75" s="1"/>
      <c r="AA75" s="1"/>
      <c r="AB75" s="1"/>
      <c r="AC75" s="1"/>
      <c r="AD75" s="1"/>
    </row>
    <row r="76" spans="1:30" x14ac:dyDescent="0.25">
      <c r="A76" s="483"/>
      <c r="B76" s="483"/>
      <c r="C76" s="46"/>
      <c r="D76" s="46"/>
      <c r="E76" s="46"/>
      <c r="F76" s="46"/>
      <c r="G76" s="46"/>
      <c r="H76" s="2"/>
      <c r="I76" s="63" t="s">
        <v>258</v>
      </c>
      <c r="J76" s="24" t="s">
        <v>259</v>
      </c>
      <c r="K76" s="24" t="s">
        <v>260</v>
      </c>
      <c r="L76" s="24" t="s">
        <v>99</v>
      </c>
      <c r="M76" s="24" t="s">
        <v>99</v>
      </c>
      <c r="N76" s="24" t="s">
        <v>186</v>
      </c>
      <c r="O76" s="24" t="e">
        <v>#VALUE!</v>
      </c>
      <c r="P76" s="24" t="e">
        <v>#VALUE!</v>
      </c>
      <c r="Q76" s="24" t="e">
        <v>#VALUE!</v>
      </c>
      <c r="R76" s="24" t="e">
        <v>#VALUE!</v>
      </c>
      <c r="S76" s="24" t="e">
        <v>#VALUE!</v>
      </c>
      <c r="T76" s="24" t="e">
        <v>#VALUE!</v>
      </c>
      <c r="U76" s="64">
        <v>1269637</v>
      </c>
      <c r="V76" s="23">
        <v>1.7999999999999999E-2</v>
      </c>
      <c r="W76" s="24" t="s">
        <v>261</v>
      </c>
      <c r="X76" s="1"/>
      <c r="Y76" s="1"/>
      <c r="Z76" s="1"/>
      <c r="AA76" s="1"/>
      <c r="AB76" s="1"/>
      <c r="AC76" s="1"/>
      <c r="AD76" s="1"/>
    </row>
    <row r="77" spans="1:30" x14ac:dyDescent="0.25">
      <c r="A77" s="483"/>
      <c r="B77" s="483"/>
      <c r="C77" s="46"/>
      <c r="D77" s="2"/>
      <c r="E77" s="46"/>
      <c r="F77" s="46"/>
      <c r="G77" s="46"/>
      <c r="H77" s="2"/>
      <c r="I77" s="31" t="s">
        <v>195</v>
      </c>
      <c r="J77" s="5" t="s">
        <v>262</v>
      </c>
      <c r="K77" s="5" t="s">
        <v>259</v>
      </c>
      <c r="L77" s="5" t="e">
        <v>#NUM!</v>
      </c>
      <c r="M77" s="5" t="e">
        <v>#NUM!</v>
      </c>
      <c r="N77" s="5" t="s">
        <v>256</v>
      </c>
      <c r="O77" s="5" t="e">
        <v>#VALUE!</v>
      </c>
      <c r="P77" s="5" t="e">
        <v>#VALUE!</v>
      </c>
      <c r="Q77" s="5" t="e">
        <v>#VALUE!</v>
      </c>
      <c r="R77" s="5" t="e">
        <v>#VALUE!</v>
      </c>
      <c r="S77" s="5" t="e">
        <v>#VALUE!</v>
      </c>
      <c r="T77" s="5" t="e">
        <v>#VALUE!</v>
      </c>
      <c r="U77" s="68">
        <v>822611</v>
      </c>
      <c r="V77" s="67">
        <v>2.1999999999999999E-2</v>
      </c>
      <c r="W77" s="5"/>
      <c r="X77" s="1"/>
      <c r="Y77" s="1"/>
      <c r="Z77" s="1"/>
      <c r="AA77" s="1"/>
      <c r="AB77" s="1"/>
      <c r="AC77" s="1"/>
      <c r="AD77" s="1"/>
    </row>
    <row r="78" spans="1:30" x14ac:dyDescent="0.25">
      <c r="A78" s="483"/>
      <c r="B78" s="483"/>
      <c r="C78" s="46"/>
      <c r="D78" s="46"/>
      <c r="E78" s="46"/>
      <c r="F78" s="46"/>
      <c r="G78" s="46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53"/>
      <c r="W78" s="1"/>
      <c r="X78" s="1"/>
      <c r="Y78" s="1"/>
      <c r="Z78" s="1"/>
      <c r="AA78" s="1"/>
      <c r="AB78" s="1"/>
      <c r="AC78" s="1"/>
      <c r="AD78" s="1"/>
    </row>
    <row r="79" spans="1:30" x14ac:dyDescent="0.25">
      <c r="A79" s="483"/>
      <c r="B79" s="483"/>
      <c r="C79" s="46"/>
      <c r="D79" s="46"/>
      <c r="E79" s="46"/>
      <c r="F79" s="46"/>
      <c r="G79" s="46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53"/>
      <c r="W79" s="1"/>
      <c r="X79" s="1"/>
      <c r="Y79" s="1"/>
      <c r="Z79" s="1"/>
      <c r="AA79" s="1"/>
      <c r="AB79" s="1"/>
      <c r="AC79" s="1"/>
      <c r="AD79" s="1"/>
    </row>
    <row r="80" spans="1:30" x14ac:dyDescent="0.25">
      <c r="A80" s="483"/>
      <c r="B80" s="483"/>
      <c r="C80" s="46"/>
      <c r="D80" s="46"/>
      <c r="E80" s="46"/>
      <c r="F80" s="46"/>
      <c r="G80" s="46"/>
      <c r="H80" s="7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53"/>
      <c r="W80" s="1"/>
      <c r="X80" s="1"/>
      <c r="Y80" s="1"/>
      <c r="Z80" s="1"/>
      <c r="AA80" s="1"/>
      <c r="AB80" s="1"/>
      <c r="AC80" s="1"/>
      <c r="AD80" s="1"/>
    </row>
    <row r="81" spans="1:30" x14ac:dyDescent="0.25">
      <c r="A81" s="483"/>
      <c r="B81" s="483"/>
      <c r="C81" s="46"/>
      <c r="D81" s="46"/>
      <c r="E81" s="46"/>
      <c r="F81" s="46"/>
      <c r="G81" s="46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53"/>
      <c r="W81" s="1"/>
      <c r="X81" s="1"/>
      <c r="Y81" s="1"/>
      <c r="Z81" s="1"/>
      <c r="AA81" s="1"/>
      <c r="AB81" s="1"/>
      <c r="AC81" s="1"/>
      <c r="AD81" s="1"/>
    </row>
    <row r="82" spans="1:30" x14ac:dyDescent="0.25">
      <c r="A82" s="483"/>
      <c r="B82" s="483"/>
      <c r="C82" s="2"/>
      <c r="D82" s="2"/>
      <c r="E82" s="2"/>
      <c r="F82" s="2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x14ac:dyDescent="0.25">
      <c r="A83" s="483"/>
      <c r="B83" s="483"/>
      <c r="C83" s="46"/>
      <c r="D83" s="46"/>
      <c r="E83" s="46"/>
      <c r="F83" s="2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x14ac:dyDescent="0.25">
      <c r="A84" s="483"/>
      <c r="B84" s="483"/>
      <c r="C84" s="46"/>
      <c r="D84" s="2"/>
      <c r="E84" s="46"/>
      <c r="F84" s="2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53"/>
      <c r="W84" s="1"/>
      <c r="X84" s="1"/>
      <c r="Y84" s="1"/>
      <c r="Z84" s="1"/>
      <c r="AA84" s="1"/>
      <c r="AB84" s="1"/>
      <c r="AC84" s="1"/>
      <c r="AD84" s="1"/>
    </row>
    <row r="85" spans="1:30" x14ac:dyDescent="0.25">
      <c r="A85" s="483"/>
      <c r="B85" s="483"/>
      <c r="C85" s="46"/>
      <c r="D85" s="2"/>
      <c r="E85" s="46"/>
      <c r="F85" s="2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53"/>
      <c r="W85" s="1"/>
      <c r="X85" s="1"/>
      <c r="Y85" s="1"/>
      <c r="Z85" s="1"/>
      <c r="AA85" s="1"/>
      <c r="AB85" s="1"/>
      <c r="AC85" s="1"/>
      <c r="AD85" s="1"/>
    </row>
    <row r="86" spans="1:30" x14ac:dyDescent="0.25">
      <c r="A86" s="483"/>
      <c r="B86" s="483"/>
      <c r="C86" s="46"/>
      <c r="D86" s="2"/>
      <c r="E86" s="46"/>
      <c r="F86" s="2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53"/>
      <c r="W86" s="1"/>
      <c r="X86" s="1"/>
      <c r="Y86" s="1"/>
      <c r="Z86" s="1"/>
      <c r="AA86" s="1"/>
      <c r="AB86" s="1"/>
      <c r="AC86" s="1"/>
      <c r="AD86" s="1"/>
    </row>
    <row r="87" spans="1:30" x14ac:dyDescent="0.25">
      <c r="A87" s="483"/>
      <c r="B87" s="483"/>
      <c r="C87" s="46"/>
      <c r="D87" s="2"/>
      <c r="E87" s="46"/>
      <c r="F87" s="2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53"/>
      <c r="W87" s="1"/>
      <c r="X87" s="1"/>
      <c r="Y87" s="1"/>
      <c r="Z87" s="1"/>
      <c r="AA87" s="1"/>
      <c r="AB87" s="1"/>
      <c r="AC87" s="1"/>
      <c r="AD87" s="1"/>
    </row>
    <row r="88" spans="1:30" x14ac:dyDescent="0.25">
      <c r="A88" s="483"/>
      <c r="B88" s="483"/>
      <c r="C88" s="46"/>
      <c r="D88" s="2"/>
      <c r="E88" s="46"/>
      <c r="F88" s="2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53"/>
      <c r="W88" s="1"/>
      <c r="X88" s="1"/>
      <c r="Y88" s="1"/>
      <c r="Z88" s="1"/>
      <c r="AA88" s="1"/>
      <c r="AB88" s="1"/>
      <c r="AC88" s="1"/>
      <c r="AD88" s="1"/>
    </row>
    <row r="89" spans="1:30" x14ac:dyDescent="0.25">
      <c r="A89" s="483"/>
      <c r="B89" s="483"/>
      <c r="C89" s="46"/>
      <c r="D89" s="2"/>
      <c r="E89" s="46"/>
      <c r="F89" s="2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48"/>
      <c r="U89" s="48"/>
      <c r="V89" s="53"/>
      <c r="W89" s="1"/>
      <c r="X89" s="1"/>
      <c r="Y89" s="1"/>
      <c r="Z89" s="1"/>
      <c r="AA89" s="1"/>
      <c r="AB89" s="1"/>
      <c r="AC89" s="1"/>
      <c r="AD89" s="1"/>
    </row>
    <row r="90" spans="1:30" x14ac:dyDescent="0.25">
      <c r="A90" s="483"/>
      <c r="B90" s="483"/>
      <c r="C90" s="46"/>
      <c r="D90" s="46"/>
      <c r="E90" s="46"/>
      <c r="F90" s="2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48"/>
      <c r="U90" s="48"/>
      <c r="V90" s="53"/>
      <c r="W90" s="1"/>
      <c r="X90" s="1"/>
      <c r="Y90" s="1"/>
      <c r="Z90" s="1"/>
      <c r="AA90" s="1"/>
      <c r="AB90" s="1"/>
      <c r="AC90" s="1"/>
      <c r="AD90" s="1"/>
    </row>
    <row r="91" spans="1:30" x14ac:dyDescent="0.25">
      <c r="A91" s="483"/>
      <c r="B91" s="483"/>
      <c r="C91" s="46"/>
      <c r="D91" s="46"/>
      <c r="E91" s="46"/>
      <c r="F91" s="2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53"/>
      <c r="T91" s="53"/>
      <c r="U91" s="53"/>
      <c r="V91" s="53"/>
      <c r="W91" s="1"/>
      <c r="X91" s="1"/>
      <c r="Y91" s="1"/>
      <c r="Z91" s="1"/>
      <c r="AA91" s="1"/>
      <c r="AB91" s="1"/>
      <c r="AC91" s="1"/>
      <c r="AD91" s="1"/>
    </row>
    <row r="92" spans="1:30" x14ac:dyDescent="0.25">
      <c r="A92" s="483"/>
      <c r="B92" s="483"/>
      <c r="C92" s="46"/>
      <c r="D92" s="46"/>
      <c r="E92" s="46"/>
      <c r="F92" s="2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53"/>
      <c r="T92" s="53"/>
      <c r="U92" s="53"/>
      <c r="V92" s="53"/>
      <c r="W92" s="1"/>
      <c r="X92" s="1"/>
      <c r="Y92" s="1"/>
      <c r="Z92" s="1"/>
      <c r="AA92" s="1"/>
      <c r="AB92" s="1"/>
      <c r="AC92" s="1"/>
      <c r="AD92" s="1"/>
    </row>
    <row r="93" spans="1:30" x14ac:dyDescent="0.25">
      <c r="A93" s="483"/>
      <c r="B93" s="483"/>
      <c r="C93" s="46"/>
      <c r="D93" s="46"/>
      <c r="E93" s="46"/>
      <c r="F93" s="2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53"/>
      <c r="T93" s="53"/>
      <c r="U93" s="53"/>
      <c r="V93" s="1"/>
      <c r="W93" s="1"/>
      <c r="X93" s="1"/>
      <c r="Y93" s="1"/>
      <c r="Z93" s="1"/>
      <c r="AA93" s="1"/>
      <c r="AB93" s="1"/>
      <c r="AC93" s="1"/>
      <c r="AD93" s="1"/>
    </row>
    <row r="94" spans="1:30" x14ac:dyDescent="0.25">
      <c r="A94" s="483"/>
      <c r="B94" s="483"/>
      <c r="C94" s="66"/>
      <c r="D94" s="66"/>
      <c r="E94" s="66"/>
      <c r="F94" s="2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53"/>
      <c r="T94" s="53"/>
      <c r="U94" s="53"/>
      <c r="V94" s="1"/>
      <c r="W94" s="1"/>
      <c r="X94" s="1"/>
      <c r="Y94" s="1"/>
      <c r="Z94" s="1"/>
      <c r="AA94" s="1"/>
      <c r="AB94" s="1"/>
      <c r="AC94" s="1"/>
      <c r="AD94" s="1"/>
    </row>
    <row r="95" spans="1:30" x14ac:dyDescent="0.25">
      <c r="A95" s="483"/>
      <c r="B95" s="483"/>
      <c r="C95" s="2"/>
      <c r="D95" s="2"/>
      <c r="E95" s="2"/>
      <c r="F95" s="2"/>
      <c r="G95" s="2"/>
      <c r="H95" s="1"/>
      <c r="I95" s="73"/>
      <c r="J95" s="74"/>
      <c r="K95" s="74"/>
      <c r="L95" s="74"/>
      <c r="M95" s="74"/>
      <c r="N95" s="75"/>
      <c r="O95" s="71"/>
      <c r="P95" s="71"/>
      <c r="Q95" s="1"/>
      <c r="R95" s="74"/>
      <c r="S95" s="53"/>
      <c r="T95" s="53"/>
      <c r="U95" s="53"/>
      <c r="V95" s="1"/>
      <c r="W95" s="1"/>
      <c r="X95" s="1"/>
      <c r="Y95" s="1"/>
      <c r="Z95" s="1"/>
      <c r="AA95" s="1"/>
      <c r="AB95" s="1"/>
      <c r="AC95" s="1"/>
      <c r="AD95" s="1"/>
    </row>
    <row r="96" spans="1:30" x14ac:dyDescent="0.25">
      <c r="A96" s="483"/>
      <c r="B96" s="483"/>
      <c r="C96" s="2"/>
      <c r="D96" s="2"/>
      <c r="E96" s="2"/>
      <c r="F96" s="2"/>
      <c r="G96" s="2"/>
      <c r="H96" s="1"/>
      <c r="I96" s="73"/>
      <c r="J96" s="71"/>
      <c r="K96" s="71"/>
      <c r="L96" s="71"/>
      <c r="M96" s="71"/>
      <c r="N96" s="75"/>
      <c r="O96" s="71"/>
      <c r="P96" s="71"/>
      <c r="Q96" s="1"/>
      <c r="R96" s="71"/>
      <c r="S96" s="53"/>
      <c r="T96" s="53"/>
      <c r="U96" s="53"/>
      <c r="V96" s="1"/>
      <c r="W96" s="1"/>
      <c r="X96" s="1"/>
      <c r="Y96" s="1"/>
      <c r="Z96" s="1"/>
      <c r="AA96" s="1"/>
      <c r="AB96" s="1"/>
      <c r="AC96" s="1"/>
      <c r="AD96" s="1"/>
    </row>
    <row r="97" spans="1:30" x14ac:dyDescent="0.25">
      <c r="A97" s="483"/>
      <c r="B97" s="483"/>
      <c r="C97" s="2"/>
      <c r="D97" s="2"/>
      <c r="E97" s="2"/>
      <c r="F97" s="2"/>
      <c r="G97" s="2"/>
      <c r="H97" s="1"/>
      <c r="I97" s="1"/>
      <c r="J97" s="2"/>
      <c r="K97" s="2"/>
      <c r="L97" s="2"/>
      <c r="M97" s="2"/>
      <c r="N97" s="2"/>
      <c r="O97" s="2"/>
      <c r="P97" s="2"/>
      <c r="Q97" s="1"/>
      <c r="R97" s="2"/>
      <c r="S97" s="53"/>
      <c r="T97" s="53"/>
      <c r="U97" s="53"/>
      <c r="V97" s="1"/>
      <c r="W97" s="1"/>
      <c r="X97" s="1"/>
      <c r="Y97" s="1"/>
      <c r="Z97" s="1"/>
      <c r="AA97" s="1"/>
      <c r="AB97" s="1"/>
      <c r="AC97" s="1"/>
      <c r="AD97" s="1"/>
    </row>
    <row r="98" spans="1:30" x14ac:dyDescent="0.25">
      <c r="A98" s="483"/>
      <c r="B98" s="483"/>
      <c r="C98" s="2"/>
      <c r="D98" s="2"/>
      <c r="E98" s="2"/>
      <c r="F98" s="2"/>
      <c r="G98" s="2"/>
      <c r="H98" s="1"/>
      <c r="I98" s="1"/>
      <c r="J98" s="2"/>
      <c r="K98" s="2"/>
      <c r="L98" s="2"/>
      <c r="M98" s="2"/>
      <c r="N98" s="2"/>
      <c r="O98" s="2"/>
      <c r="P98" s="2"/>
      <c r="Q98" s="1"/>
      <c r="R98" s="2"/>
      <c r="S98" s="53"/>
      <c r="T98" s="53"/>
      <c r="U98" s="53"/>
      <c r="V98" s="1"/>
      <c r="W98" s="1"/>
      <c r="X98" s="1"/>
      <c r="Y98" s="1"/>
      <c r="Z98" s="1"/>
      <c r="AA98" s="1"/>
      <c r="AB98" s="1"/>
      <c r="AC98" s="1"/>
      <c r="AD98" s="1"/>
    </row>
    <row r="99" spans="1:30" x14ac:dyDescent="0.25">
      <c r="A99" s="483"/>
      <c r="B99" s="483"/>
      <c r="C99" s="2"/>
      <c r="D99" s="2"/>
      <c r="E99" s="2"/>
      <c r="F99" s="2"/>
      <c r="G99" s="2"/>
      <c r="H99" s="1"/>
      <c r="I99" s="1"/>
      <c r="J99" s="2"/>
      <c r="K99" s="2"/>
      <c r="L99" s="2"/>
      <c r="M99" s="2"/>
      <c r="N99" s="2"/>
      <c r="O99" s="2"/>
      <c r="P99" s="2"/>
      <c r="Q99" s="1"/>
      <c r="R99" s="2"/>
      <c r="S99" s="53"/>
      <c r="T99" s="53"/>
      <c r="U99" s="53"/>
      <c r="V99" s="1"/>
      <c r="W99" s="1"/>
      <c r="X99" s="1"/>
      <c r="Y99" s="1"/>
      <c r="Z99" s="1"/>
      <c r="AA99" s="1"/>
      <c r="AB99" s="1"/>
      <c r="AC99" s="1"/>
      <c r="AD99" s="1"/>
    </row>
    <row r="100" spans="1:30" x14ac:dyDescent="0.25">
      <c r="A100" s="483"/>
      <c r="B100" s="483"/>
      <c r="C100" s="2"/>
      <c r="D100" s="2"/>
      <c r="E100" s="2"/>
      <c r="F100" s="2"/>
      <c r="G100" s="2"/>
      <c r="H100" s="1"/>
      <c r="I100" s="1"/>
      <c r="J100" s="2"/>
      <c r="K100" s="2"/>
      <c r="L100" s="2"/>
      <c r="M100" s="2"/>
      <c r="N100" s="2"/>
      <c r="O100" s="2"/>
      <c r="P100" s="2"/>
      <c r="Q100" s="1"/>
      <c r="R100" s="2"/>
      <c r="S100" s="53"/>
      <c r="T100" s="53"/>
      <c r="U100" s="53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x14ac:dyDescent="0.25">
      <c r="A101" s="483"/>
      <c r="B101" s="483"/>
      <c r="C101" s="2"/>
      <c r="D101" s="2"/>
      <c r="E101" s="2"/>
      <c r="F101" s="2"/>
      <c r="G101" s="2"/>
      <c r="H101" s="1"/>
      <c r="I101" s="1"/>
      <c r="J101" s="2"/>
      <c r="K101" s="2"/>
      <c r="L101" s="2"/>
      <c r="M101" s="2"/>
      <c r="N101" s="2"/>
      <c r="O101" s="2"/>
      <c r="P101" s="2"/>
      <c r="Q101" s="1"/>
      <c r="R101" s="2"/>
      <c r="S101" s="53"/>
      <c r="T101" s="53"/>
      <c r="U101" s="53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x14ac:dyDescent="0.25">
      <c r="A102" s="483"/>
      <c r="B102" s="483"/>
      <c r="C102" s="2"/>
      <c r="D102" s="2"/>
      <c r="E102" s="2"/>
      <c r="F102" s="2"/>
      <c r="G102" s="2"/>
      <c r="H102" s="1"/>
      <c r="I102" s="1"/>
      <c r="J102" s="2"/>
      <c r="K102" s="2"/>
      <c r="L102" s="2"/>
      <c r="M102" s="2"/>
      <c r="N102" s="2"/>
      <c r="O102" s="2"/>
      <c r="P102" s="2"/>
      <c r="Q102" s="1"/>
      <c r="R102" s="2"/>
      <c r="S102" s="53"/>
      <c r="T102" s="53"/>
      <c r="U102" s="53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x14ac:dyDescent="0.25">
      <c r="A103" s="483"/>
      <c r="B103" s="483"/>
      <c r="C103" s="2"/>
      <c r="D103" s="2"/>
      <c r="E103" s="2"/>
      <c r="F103" s="2"/>
      <c r="G103" s="2"/>
      <c r="H103" s="1"/>
      <c r="I103" s="1"/>
      <c r="J103" s="2"/>
      <c r="K103" s="2"/>
      <c r="L103" s="2"/>
      <c r="M103" s="2"/>
      <c r="N103" s="2"/>
      <c r="O103" s="2"/>
      <c r="P103" s="2"/>
      <c r="Q103" s="1"/>
      <c r="R103" s="2"/>
      <c r="S103" s="53"/>
      <c r="T103" s="53"/>
      <c r="U103" s="53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x14ac:dyDescent="0.25">
      <c r="A104" s="483"/>
      <c r="B104" s="483"/>
      <c r="C104" s="2"/>
      <c r="D104" s="2"/>
      <c r="E104" s="2"/>
      <c r="F104" s="2"/>
      <c r="G104" s="2"/>
      <c r="H104" s="1"/>
      <c r="I104" s="17"/>
      <c r="J104" s="72"/>
      <c r="K104" s="72"/>
      <c r="L104" s="72"/>
      <c r="M104" s="72"/>
      <c r="N104" s="72"/>
      <c r="O104" s="72"/>
      <c r="P104" s="72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x14ac:dyDescent="0.25">
      <c r="A105" s="483"/>
      <c r="B105" s="483"/>
      <c r="C105" s="2"/>
      <c r="D105" s="2"/>
      <c r="E105" s="2"/>
      <c r="F105" s="2"/>
      <c r="G105" s="2"/>
      <c r="H105" s="1"/>
      <c r="I105" s="1"/>
      <c r="J105" s="2"/>
      <c r="K105" s="2"/>
      <c r="L105" s="2"/>
      <c r="M105" s="2"/>
      <c r="N105" s="2"/>
      <c r="O105" s="2"/>
      <c r="P105" s="2"/>
      <c r="Q105" s="1"/>
      <c r="R105" s="2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x14ac:dyDescent="0.25">
      <c r="A106" s="483"/>
      <c r="B106" s="483"/>
      <c r="C106" s="2"/>
      <c r="D106" s="2"/>
      <c r="E106" s="2"/>
      <c r="F106" s="2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x14ac:dyDescent="0.25">
      <c r="A107" s="483"/>
      <c r="B107" s="483"/>
      <c r="C107" s="2"/>
      <c r="D107" s="2"/>
      <c r="E107" s="2"/>
      <c r="F107" s="2"/>
      <c r="G107" s="2"/>
      <c r="H107" s="1"/>
      <c r="I107" s="73"/>
      <c r="J107" s="74"/>
      <c r="K107" s="74"/>
      <c r="L107" s="74"/>
      <c r="M107" s="74"/>
      <c r="N107" s="75"/>
      <c r="O107" s="71"/>
      <c r="P107" s="71"/>
      <c r="Q107" s="1"/>
      <c r="R107" s="74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x14ac:dyDescent="0.25">
      <c r="A108" s="483"/>
      <c r="B108" s="483"/>
      <c r="C108" s="2"/>
      <c r="D108" s="2"/>
      <c r="E108" s="2"/>
      <c r="F108" s="2"/>
      <c r="G108" s="2"/>
      <c r="H108" s="1"/>
      <c r="I108" s="73"/>
      <c r="J108" s="71"/>
      <c r="K108" s="71"/>
      <c r="L108" s="71"/>
      <c r="M108" s="71"/>
      <c r="N108" s="75"/>
      <c r="O108" s="71"/>
      <c r="P108" s="71"/>
      <c r="Q108" s="1"/>
      <c r="R108" s="7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x14ac:dyDescent="0.25">
      <c r="A109" s="483"/>
      <c r="B109" s="483"/>
      <c r="C109" s="2"/>
      <c r="D109" s="2"/>
      <c r="E109" s="2"/>
      <c r="F109" s="2"/>
      <c r="G109" s="2"/>
      <c r="H109" s="1"/>
      <c r="I109" s="1"/>
      <c r="J109" s="2"/>
      <c r="K109" s="2"/>
      <c r="L109" s="2"/>
      <c r="M109" s="2"/>
      <c r="N109" s="2"/>
      <c r="O109" s="2"/>
      <c r="P109" s="2"/>
      <c r="Q109" s="1"/>
      <c r="R109" s="2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x14ac:dyDescent="0.25">
      <c r="A110" s="483"/>
      <c r="B110" s="483"/>
      <c r="C110" s="2"/>
      <c r="D110" s="2"/>
      <c r="E110" s="2"/>
      <c r="F110" s="2"/>
      <c r="G110" s="2"/>
      <c r="H110" s="1"/>
      <c r="I110" s="1"/>
      <c r="J110" s="2"/>
      <c r="K110" s="2"/>
      <c r="L110" s="2"/>
      <c r="M110" s="2"/>
      <c r="N110" s="2"/>
      <c r="O110" s="2"/>
      <c r="P110" s="2"/>
      <c r="Q110" s="1"/>
      <c r="R110" s="2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x14ac:dyDescent="0.25">
      <c r="A111" s="483"/>
      <c r="B111" s="483"/>
      <c r="C111" s="2"/>
      <c r="D111" s="2"/>
      <c r="E111" s="2"/>
      <c r="F111" s="2"/>
      <c r="G111" s="2"/>
      <c r="H111" s="1"/>
      <c r="I111" s="1"/>
      <c r="J111" s="2"/>
      <c r="K111" s="2"/>
      <c r="L111" s="2"/>
      <c r="M111" s="2"/>
      <c r="N111" s="2"/>
      <c r="O111" s="2"/>
      <c r="P111" s="2"/>
      <c r="Q111" s="1"/>
      <c r="R111" s="2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x14ac:dyDescent="0.25">
      <c r="A112" s="483"/>
      <c r="B112" s="483"/>
      <c r="C112" s="2"/>
      <c r="D112" s="2"/>
      <c r="E112" s="2"/>
      <c r="F112" s="2"/>
      <c r="G112" s="2"/>
      <c r="H112" s="1"/>
      <c r="I112" s="1"/>
      <c r="J112" s="2"/>
      <c r="K112" s="2"/>
      <c r="L112" s="2"/>
      <c r="M112" s="2"/>
      <c r="N112" s="2"/>
      <c r="O112" s="2"/>
      <c r="P112" s="2"/>
      <c r="Q112" s="1"/>
      <c r="R112" s="2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x14ac:dyDescent="0.25">
      <c r="A113" s="483"/>
      <c r="B113" s="483"/>
      <c r="C113" s="2"/>
      <c r="D113" s="2"/>
      <c r="E113" s="2"/>
      <c r="F113" s="2"/>
      <c r="G113" s="2"/>
      <c r="H113" s="1"/>
      <c r="I113" s="1"/>
      <c r="J113" s="2"/>
      <c r="K113" s="2"/>
      <c r="L113" s="2"/>
      <c r="M113" s="2"/>
      <c r="N113" s="2"/>
      <c r="O113" s="2"/>
      <c r="P113" s="2"/>
      <c r="Q113" s="1"/>
      <c r="R113" s="2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x14ac:dyDescent="0.25">
      <c r="A114" s="483"/>
      <c r="B114" s="483"/>
      <c r="C114" s="2"/>
      <c r="D114" s="2"/>
      <c r="E114" s="2"/>
      <c r="F114" s="2"/>
      <c r="G114" s="2"/>
      <c r="H114" s="1"/>
      <c r="I114" s="17"/>
      <c r="J114" s="72"/>
      <c r="K114" s="72"/>
      <c r="L114" s="72"/>
      <c r="M114" s="72"/>
      <c r="N114" s="72"/>
      <c r="O114" s="72"/>
      <c r="P114" s="72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x14ac:dyDescent="0.25">
      <c r="A115" s="483"/>
      <c r="B115" s="483"/>
      <c r="C115" s="2"/>
      <c r="D115" s="2"/>
      <c r="E115" s="2"/>
      <c r="F115" s="2"/>
      <c r="G115" s="2"/>
      <c r="H115" s="1"/>
      <c r="I115" s="1"/>
      <c r="J115" s="2"/>
      <c r="K115" s="2"/>
      <c r="L115" s="2"/>
      <c r="M115" s="2"/>
      <c r="N115" s="2"/>
      <c r="O115" s="2"/>
      <c r="P115" s="2"/>
      <c r="Q115" s="1"/>
      <c r="R115" s="2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x14ac:dyDescent="0.25">
      <c r="A116" s="483"/>
      <c r="B116" s="483"/>
      <c r="C116" s="2"/>
      <c r="D116" s="2"/>
      <c r="E116" s="2"/>
      <c r="F116" s="2"/>
      <c r="G116" s="2"/>
      <c r="H116" s="1"/>
      <c r="I116" s="16"/>
      <c r="J116" s="2"/>
      <c r="K116" s="2"/>
      <c r="L116" s="2"/>
      <c r="M116" s="2"/>
      <c r="N116" s="2"/>
      <c r="O116" s="2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</sheetData>
  <mergeCells count="65">
    <mergeCell ref="A112:B112"/>
    <mergeCell ref="A113:B113"/>
    <mergeCell ref="A114:B114"/>
    <mergeCell ref="A115:B115"/>
    <mergeCell ref="A116:B116"/>
    <mergeCell ref="A111:B111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99:B99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87:B87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75:B75"/>
    <mergeCell ref="A46:B46"/>
    <mergeCell ref="A56:B56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36:B36"/>
    <mergeCell ref="A1:B1"/>
    <mergeCell ref="A3:B3"/>
    <mergeCell ref="A10:B10"/>
    <mergeCell ref="A11:B11"/>
    <mergeCell ref="A12:B12"/>
    <mergeCell ref="A13:B13"/>
    <mergeCell ref="A18:B18"/>
    <mergeCell ref="A19:B19"/>
    <mergeCell ref="A20:B20"/>
    <mergeCell ref="A25:B25"/>
    <mergeCell ref="A31:B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74BA9-96B1-4E01-B4FE-90FE178B52FD}">
  <dimension ref="A1:AJ287"/>
  <sheetViews>
    <sheetView workbookViewId="0">
      <pane xSplit="4" ySplit="3" topLeftCell="J192" activePane="bottomRight" state="frozen"/>
      <selection pane="topRight" activeCell="E1" sqref="E1"/>
      <selection pane="bottomLeft" activeCell="A4" sqref="A4"/>
      <selection pane="bottomRight" activeCell="O211" sqref="O211"/>
    </sheetView>
  </sheetViews>
  <sheetFormatPr defaultRowHeight="15" x14ac:dyDescent="0.25"/>
  <cols>
    <col min="2" max="2" width="39.42578125" customWidth="1"/>
    <col min="5" max="26" width="10.5703125" customWidth="1"/>
    <col min="29" max="29" width="13.140625" customWidth="1"/>
    <col min="30" max="30" width="13.7109375" customWidth="1"/>
    <col min="31" max="31" width="14.28515625" customWidth="1"/>
    <col min="32" max="32" width="13.5703125" customWidth="1"/>
  </cols>
  <sheetData>
    <row r="1" spans="1:36" x14ac:dyDescent="0.25">
      <c r="A1" s="44"/>
      <c r="B1" s="3" t="s">
        <v>263</v>
      </c>
      <c r="C1" s="1"/>
      <c r="D1" s="1"/>
      <c r="E1" s="1">
        <v>2014</v>
      </c>
      <c r="F1" s="1">
        <v>2015</v>
      </c>
      <c r="G1" s="1">
        <v>2016</v>
      </c>
      <c r="H1" s="1">
        <v>2017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/>
      <c r="AB1" s="1" t="s">
        <v>264</v>
      </c>
      <c r="AC1" s="76"/>
      <c r="AD1" s="77"/>
      <c r="AE1" s="76"/>
      <c r="AF1" s="77"/>
      <c r="AG1" s="1"/>
      <c r="AH1" s="1"/>
      <c r="AI1" s="1"/>
      <c r="AJ1" s="1"/>
    </row>
    <row r="2" spans="1:36" x14ac:dyDescent="0.25">
      <c r="A2" s="44"/>
      <c r="B2" s="1"/>
      <c r="C2" s="1"/>
      <c r="D2" s="78"/>
      <c r="E2" s="78" t="s">
        <v>265</v>
      </c>
      <c r="F2" s="78"/>
      <c r="G2" s="78"/>
      <c r="H2" s="78"/>
      <c r="I2" s="78"/>
      <c r="J2" s="78"/>
      <c r="K2" s="78"/>
      <c r="L2" s="78"/>
      <c r="M2" s="78"/>
      <c r="N2" s="78"/>
      <c r="O2" s="78"/>
      <c r="P2" s="79" t="s">
        <v>31</v>
      </c>
      <c r="Q2" s="79"/>
      <c r="R2" s="79"/>
      <c r="S2" s="79"/>
      <c r="T2" s="79"/>
      <c r="U2" s="79"/>
      <c r="V2" s="79"/>
      <c r="W2" s="79"/>
      <c r="X2" s="79"/>
      <c r="Y2" s="79"/>
      <c r="Z2" s="79"/>
      <c r="AA2" s="1"/>
      <c r="AB2" s="1"/>
      <c r="AC2" s="80" t="s">
        <v>31</v>
      </c>
      <c r="AD2" s="81"/>
      <c r="AE2" s="80"/>
      <c r="AF2" s="81"/>
      <c r="AG2" s="1"/>
      <c r="AH2" s="1"/>
      <c r="AI2" s="1"/>
      <c r="AJ2" s="1"/>
    </row>
    <row r="3" spans="1:36" x14ac:dyDescent="0.25">
      <c r="A3" s="82"/>
      <c r="B3" s="1"/>
      <c r="C3" s="83" t="s">
        <v>3</v>
      </c>
      <c r="D3" s="83"/>
      <c r="E3" s="35" t="s">
        <v>266</v>
      </c>
      <c r="F3" s="35" t="s">
        <v>267</v>
      </c>
      <c r="G3" s="35" t="s">
        <v>268</v>
      </c>
      <c r="H3" s="35" t="s">
        <v>269</v>
      </c>
      <c r="I3" s="35" t="s">
        <v>270</v>
      </c>
      <c r="J3" s="35" t="s">
        <v>271</v>
      </c>
      <c r="K3" s="35" t="s">
        <v>272</v>
      </c>
      <c r="L3" s="35" t="s">
        <v>273</v>
      </c>
      <c r="M3" s="35" t="s">
        <v>274</v>
      </c>
      <c r="N3" s="35" t="s">
        <v>275</v>
      </c>
      <c r="O3" s="35" t="s">
        <v>276</v>
      </c>
      <c r="P3" s="39" t="s">
        <v>277</v>
      </c>
      <c r="Q3" s="39" t="s">
        <v>278</v>
      </c>
      <c r="R3" s="39" t="s">
        <v>279</v>
      </c>
      <c r="S3" s="39" t="s">
        <v>280</v>
      </c>
      <c r="T3" s="39" t="s">
        <v>281</v>
      </c>
      <c r="U3" s="39" t="s">
        <v>282</v>
      </c>
      <c r="V3" s="39" t="s">
        <v>283</v>
      </c>
      <c r="W3" s="39" t="s">
        <v>284</v>
      </c>
      <c r="X3" s="39" t="s">
        <v>285</v>
      </c>
      <c r="Y3" s="39" t="s">
        <v>286</v>
      </c>
      <c r="Z3" s="39" t="s">
        <v>287</v>
      </c>
      <c r="AA3" s="1"/>
      <c r="AB3" s="1"/>
      <c r="AC3" s="84" t="s">
        <v>277</v>
      </c>
      <c r="AD3" s="85"/>
      <c r="AE3" s="84" t="s">
        <v>278</v>
      </c>
      <c r="AF3" s="85"/>
      <c r="AG3" s="1"/>
      <c r="AH3" s="1"/>
      <c r="AI3" s="1"/>
      <c r="AJ3" s="1"/>
    </row>
    <row r="4" spans="1:36" x14ac:dyDescent="0.25">
      <c r="A4" s="82"/>
      <c r="B4" s="86" t="s">
        <v>288</v>
      </c>
      <c r="C4" s="87"/>
      <c r="D4" s="88"/>
      <c r="E4" s="88"/>
      <c r="F4" s="88"/>
      <c r="G4" s="88"/>
      <c r="H4" s="89"/>
      <c r="I4" s="89" t="s">
        <v>289</v>
      </c>
      <c r="J4" s="89" t="s">
        <v>289</v>
      </c>
      <c r="K4" s="89" t="s">
        <v>289</v>
      </c>
      <c r="L4" s="89" t="s">
        <v>289</v>
      </c>
      <c r="M4" s="89" t="s">
        <v>289</v>
      </c>
      <c r="N4" s="89" t="s">
        <v>289</v>
      </c>
      <c r="O4" s="89" t="s">
        <v>289</v>
      </c>
      <c r="P4" s="89" t="s">
        <v>289</v>
      </c>
      <c r="Q4" s="89" t="s">
        <v>289</v>
      </c>
      <c r="R4" s="89" t="s">
        <v>289</v>
      </c>
      <c r="S4" s="89" t="s">
        <v>289</v>
      </c>
      <c r="T4" s="89" t="s">
        <v>289</v>
      </c>
      <c r="U4" s="89" t="s">
        <v>289</v>
      </c>
      <c r="V4" s="89" t="s">
        <v>289</v>
      </c>
      <c r="W4" s="89" t="s">
        <v>289</v>
      </c>
      <c r="X4" s="89" t="s">
        <v>289</v>
      </c>
      <c r="Y4" s="89" t="s">
        <v>289</v>
      </c>
      <c r="Z4" s="89" t="s">
        <v>289</v>
      </c>
      <c r="AA4" s="1"/>
      <c r="AB4" s="1"/>
      <c r="AC4" s="90" t="s">
        <v>289</v>
      </c>
      <c r="AD4" s="91"/>
      <c r="AE4" s="90" t="s">
        <v>289</v>
      </c>
      <c r="AF4" s="91"/>
      <c r="AG4" s="1"/>
      <c r="AH4" s="1"/>
      <c r="AI4" s="1"/>
      <c r="AJ4" s="1"/>
    </row>
    <row r="5" spans="1:36" x14ac:dyDescent="0.25">
      <c r="A5" s="82"/>
      <c r="B5" s="92"/>
      <c r="C5" s="93"/>
      <c r="D5" s="9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1"/>
      <c r="AB5" s="1"/>
      <c r="AC5" s="90"/>
      <c r="AD5" s="91"/>
      <c r="AE5" s="90"/>
      <c r="AF5" s="91"/>
      <c r="AG5" s="1"/>
      <c r="AH5" s="1"/>
      <c r="AI5" s="1"/>
      <c r="AJ5" s="1"/>
    </row>
    <row r="6" spans="1:36" x14ac:dyDescent="0.25">
      <c r="A6" s="82"/>
      <c r="B6" s="95" t="s">
        <v>290</v>
      </c>
      <c r="C6" s="93"/>
      <c r="D6" s="46"/>
      <c r="E6" s="48"/>
      <c r="F6" s="48"/>
      <c r="G6" s="48"/>
      <c r="H6" s="2"/>
      <c r="I6" s="48"/>
      <c r="J6" s="48"/>
      <c r="K6" s="48"/>
      <c r="L6" s="48"/>
      <c r="M6" s="48"/>
      <c r="N6" s="96">
        <v>0</v>
      </c>
      <c r="O6" s="96">
        <v>0</v>
      </c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1"/>
      <c r="AB6" s="1"/>
      <c r="AC6" s="90"/>
      <c r="AD6" s="91"/>
      <c r="AE6" s="90"/>
      <c r="AF6" s="91"/>
      <c r="AG6" s="1"/>
      <c r="AH6" s="1"/>
      <c r="AI6" s="1"/>
      <c r="AJ6" s="1"/>
    </row>
    <row r="7" spans="1:36" x14ac:dyDescent="0.25">
      <c r="A7" s="82" t="s">
        <v>291</v>
      </c>
      <c r="B7" s="92" t="s">
        <v>292</v>
      </c>
      <c r="C7" s="93"/>
      <c r="D7" s="46"/>
      <c r="E7" s="46"/>
      <c r="F7" s="46"/>
      <c r="G7" s="46"/>
      <c r="H7" s="46"/>
      <c r="I7" s="46"/>
      <c r="J7" s="97">
        <v>3461988</v>
      </c>
      <c r="K7" s="97">
        <v>3529192</v>
      </c>
      <c r="L7" s="97">
        <v>5193347</v>
      </c>
      <c r="M7" s="97">
        <v>6294138</v>
      </c>
      <c r="N7" s="97">
        <v>7033383</v>
      </c>
      <c r="O7" s="97">
        <f>INDEX(Qrtly!$A:$BH,MATCH(Annual!$A7,Qrtly!$A:$A,0),MATCH("1Q"&amp;RIGHT(Annual!O$1,2),Qrtly!$A$3:$BH$3,0))+INDEX(Qrtly!$A:$BH,MATCH(Annual!$A7,Qrtly!$A:$A,0),MATCH("2Q"&amp;RIGHT(Annual!O$1,2),Qrtly!$A$3:$BH$3,0))+INDEX(Qrtly!$A:$BH,MATCH(Annual!$A7,Qrtly!$A:$A,0),MATCH("3Q"&amp;RIGHT(Annual!O$1,2),Qrtly!$A$3:$BH$3,0))+INDEX(Qrtly!$A:$BH,MATCH(Annual!$A7,Qrtly!$A:$A,0),MATCH("4Q"&amp;RIGHT(Annual!O$1,2),Qrtly!$A$3:$BH$3,0))</f>
        <v>7681656</v>
      </c>
      <c r="P7" s="97">
        <f>INDEX(Qrtly!$A:$BH,MATCH(Annual!$A7,Qrtly!$A:$A,0),MATCH("1Q"&amp;RIGHT(Annual!P$1,2),Qrtly!$A$3:$BH$3,0))+INDEX(Qrtly!$A:$BH,MATCH(Annual!$A7,Qrtly!$A:$A,0),MATCH("2Q"&amp;RIGHT(Annual!P$1,2),Qrtly!$A$3:$BH$3,0))+INDEX(Qrtly!$A:$BH,MATCH(Annual!$A7,Qrtly!$A:$A,0),MATCH("3Q"&amp;RIGHT(Annual!P$1,2),Qrtly!$A$3:$BH$3,0))+INDEX(Qrtly!$A:$BH,MATCH(Annual!$A7,Qrtly!$A:$A,0),MATCH("4Q"&amp;RIGHT(Annual!P$1,2),Qrtly!$A$3:$BH$3,0))</f>
        <v>8477414.6315708403</v>
      </c>
      <c r="Q7" s="97">
        <f>INDEX(Qrtly!$A:$BH,MATCH(Annual!$A7,Qrtly!$A:$A,0),MATCH("1Q"&amp;RIGHT(Annual!Q$1,2),Qrtly!$A$3:$BH$3,0))+INDEX(Qrtly!$A:$BH,MATCH(Annual!$A7,Qrtly!$A:$A,0),MATCH("2Q"&amp;RIGHT(Annual!Q$1,2),Qrtly!$A$3:$BH$3,0))+INDEX(Qrtly!$A:$BH,MATCH(Annual!$A7,Qrtly!$A:$A,0),MATCH("3Q"&amp;RIGHT(Annual!Q$1,2),Qrtly!$A$3:$BH$3,0))+INDEX(Qrtly!$A:$BH,MATCH(Annual!$A7,Qrtly!$A:$A,0),MATCH("4Q"&amp;RIGHT(Annual!Q$1,2),Qrtly!$A$3:$BH$3,0))</f>
        <v>9638032.8450547587</v>
      </c>
      <c r="R7" s="97">
        <f>INDEX(Qrtly!$A:$BH,MATCH(Annual!$A7,Qrtly!$A:$A,0),MATCH("1Q"&amp;RIGHT(Annual!R$1,2),Qrtly!$A$3:$BH$3,0))+INDEX(Qrtly!$A:$BH,MATCH(Annual!$A7,Qrtly!$A:$A,0),MATCH("2Q"&amp;RIGHT(Annual!R$1,2),Qrtly!$A$3:$BH$3,0))+INDEX(Qrtly!$A:$BH,MATCH(Annual!$A7,Qrtly!$A:$A,0),MATCH("3Q"&amp;RIGHT(Annual!R$1,2),Qrtly!$A$3:$BH$3,0))+INDEX(Qrtly!$A:$BH,MATCH(Annual!$A7,Qrtly!$A:$A,0),MATCH("4Q"&amp;RIGHT(Annual!R$1,2),Qrtly!$A$3:$BH$3,0))</f>
        <v>10908140.888983715</v>
      </c>
      <c r="S7" s="97">
        <f>INDEX(Qrtly!$A:$BH,MATCH(Annual!$A7,Qrtly!$A:$A,0),MATCH("1Q"&amp;RIGHT(Annual!S$1,2),Qrtly!$A$3:$BH$3,0))+INDEX(Qrtly!$A:$BH,MATCH(Annual!$A7,Qrtly!$A:$A,0),MATCH("2Q"&amp;RIGHT(Annual!S$1,2),Qrtly!$A$3:$BH$3,0))+INDEX(Qrtly!$A:$BH,MATCH(Annual!$A7,Qrtly!$A:$A,0),MATCH("3Q"&amp;RIGHT(Annual!S$1,2),Qrtly!$A$3:$BH$3,0))+INDEX(Qrtly!$A:$BH,MATCH(Annual!$A7,Qrtly!$A:$A,0),MATCH("4Q"&amp;RIGHT(Annual!S$1,2),Qrtly!$A$3:$BH$3,0))</f>
        <v>12360524.634518618</v>
      </c>
      <c r="T7" s="97">
        <f>INDEX(Qrtly!$A:$BH,MATCH(Annual!$A7,Qrtly!$A:$A,0),MATCH("1Q"&amp;RIGHT(Annual!T$1,2),Qrtly!$A$3:$BH$3,0))+INDEX(Qrtly!$A:$BH,MATCH(Annual!$A7,Qrtly!$A:$A,0),MATCH("2Q"&amp;RIGHT(Annual!T$1,2),Qrtly!$A$3:$BH$3,0))+INDEX(Qrtly!$A:$BH,MATCH(Annual!$A7,Qrtly!$A:$A,0),MATCH("3Q"&amp;RIGHT(Annual!T$1,2),Qrtly!$A$3:$BH$3,0))+INDEX(Qrtly!$A:$BH,MATCH(Annual!$A7,Qrtly!$A:$A,0),MATCH("4Q"&amp;RIGHT(Annual!T$1,2),Qrtly!$A$3:$BH$3,0))</f>
        <v>13761987.011251142</v>
      </c>
      <c r="U7" s="97">
        <f>INDEX(Qrtly!$A:$BH,MATCH(Annual!$A7,Qrtly!$A:$A,0),MATCH("1Q"&amp;RIGHT(Annual!U$1,2),Qrtly!$A$3:$BH$3,0))+INDEX(Qrtly!$A:$BH,MATCH(Annual!$A7,Qrtly!$A:$A,0),MATCH("2Q"&amp;RIGHT(Annual!U$1,2),Qrtly!$A$3:$BH$3,0))+INDEX(Qrtly!$A:$BH,MATCH(Annual!$A7,Qrtly!$A:$A,0),MATCH("3Q"&amp;RIGHT(Annual!U$1,2),Qrtly!$A$3:$BH$3,0))+INDEX(Qrtly!$A:$BH,MATCH(Annual!$A7,Qrtly!$A:$A,0),MATCH("4Q"&amp;RIGHT(Annual!U$1,2),Qrtly!$A$3:$BH$3,0))</f>
        <v>15346426.295598364</v>
      </c>
      <c r="V7" s="97">
        <f>INDEX(Qrtly!$A:$BH,MATCH(Annual!$A7,Qrtly!$A:$A,0),MATCH("1Q"&amp;RIGHT(Annual!V$1,2),Qrtly!$A$3:$BH$3,0))+INDEX(Qrtly!$A:$BH,MATCH(Annual!$A7,Qrtly!$A:$A,0),MATCH("2Q"&amp;RIGHT(Annual!V$1,2),Qrtly!$A$3:$BH$3,0))+INDEX(Qrtly!$A:$BH,MATCH(Annual!$A7,Qrtly!$A:$A,0),MATCH("3Q"&amp;RIGHT(Annual!V$1,2),Qrtly!$A$3:$BH$3,0))+INDEX(Qrtly!$A:$BH,MATCH(Annual!$A7,Qrtly!$A:$A,0),MATCH("4Q"&amp;RIGHT(Annual!V$1,2),Qrtly!$A$3:$BH$3,0))</f>
        <v>17141516.067167167</v>
      </c>
      <c r="W7" s="97">
        <f>INDEX(Qrtly!$A:$BH,MATCH(Annual!$A7,Qrtly!$A:$A,0),MATCH("1Q"&amp;RIGHT(Annual!W$1,2),Qrtly!$A$3:$BH$3,0))+INDEX(Qrtly!$A:$BH,MATCH(Annual!$A7,Qrtly!$A:$A,0),MATCH("2Q"&amp;RIGHT(Annual!W$1,2),Qrtly!$A$3:$BH$3,0))+INDEX(Qrtly!$A:$BH,MATCH(Annual!$A7,Qrtly!$A:$A,0),MATCH("3Q"&amp;RIGHT(Annual!W$1,2),Qrtly!$A$3:$BH$3,0))+INDEX(Qrtly!$A:$BH,MATCH(Annual!$A7,Qrtly!$A:$A,0),MATCH("4Q"&amp;RIGHT(Annual!W$1,2),Qrtly!$A$3:$BH$3,0))</f>
        <v>19179635.123014204</v>
      </c>
      <c r="X7" s="97">
        <f>INDEX(Qrtly!$A:$BH,MATCH(Annual!$A7,Qrtly!$A:$A,0),MATCH("1Q"&amp;RIGHT(Annual!X$1,2),Qrtly!$A$3:$BH$3,0))+INDEX(Qrtly!$A:$BH,MATCH(Annual!$A7,Qrtly!$A:$A,0),MATCH("2Q"&amp;RIGHT(Annual!X$1,2),Qrtly!$A$3:$BH$3,0))+INDEX(Qrtly!$A:$BH,MATCH(Annual!$A7,Qrtly!$A:$A,0),MATCH("3Q"&amp;RIGHT(Annual!X$1,2),Qrtly!$A$3:$BH$3,0))+INDEX(Qrtly!$A:$BH,MATCH(Annual!$A7,Qrtly!$A:$A,0),MATCH("4Q"&amp;RIGHT(Annual!X$1,2),Qrtly!$A$3:$BH$3,0))</f>
        <v>21498730.066393092</v>
      </c>
      <c r="Y7" s="97">
        <f>INDEX(Qrtly!$A:$BH,MATCH(Annual!$A7,Qrtly!$A:$A,0),MATCH("1Q"&amp;RIGHT(Annual!Y$1,2),Qrtly!$A$3:$BH$3,0))+INDEX(Qrtly!$A:$BH,MATCH(Annual!$A7,Qrtly!$A:$A,0),MATCH("2Q"&amp;RIGHT(Annual!Y$1,2),Qrtly!$A$3:$BH$3,0))+INDEX(Qrtly!$A:$BH,MATCH(Annual!$A7,Qrtly!$A:$A,0),MATCH("3Q"&amp;RIGHT(Annual!Y$1,2),Qrtly!$A$3:$BH$3,0))+INDEX(Qrtly!$A:$BH,MATCH(Annual!$A7,Qrtly!$A:$A,0),MATCH("4Q"&amp;RIGHT(Annual!Y$1,2),Qrtly!$A$3:$BH$3,0))</f>
        <v>24143342.896976613</v>
      </c>
      <c r="Z7" s="97">
        <f>INDEX(Qrtly!$A:$BH,MATCH(Annual!$A7,Qrtly!$A:$A,0),MATCH("1Q"&amp;RIGHT(Annual!Z$1,2),Qrtly!$A$3:$BH$3,0))+INDEX(Qrtly!$A:$BH,MATCH(Annual!$A7,Qrtly!$A:$A,0),MATCH("2Q"&amp;RIGHT(Annual!Z$1,2),Qrtly!$A$3:$BH$3,0))+INDEX(Qrtly!$A:$BH,MATCH(Annual!$A7,Qrtly!$A:$A,0),MATCH("3Q"&amp;RIGHT(Annual!Z$1,2),Qrtly!$A$3:$BH$3,0))+INDEX(Qrtly!$A:$BH,MATCH(Annual!$A7,Qrtly!$A:$A,0),MATCH("4Q"&amp;RIGHT(Annual!Z$1,2),Qrtly!$A$3:$BH$3,0))</f>
        <v>27165835.887942452</v>
      </c>
      <c r="AA7" s="1"/>
      <c r="AB7" s="1"/>
      <c r="AC7" s="98">
        <v>8438950.0356840603</v>
      </c>
      <c r="AD7" s="99">
        <f t="shared" ref="AD7:AF15" si="0">IF(ISBLANK(AC7),"",INDEX($A7:$AA7,1,MATCH(AC$3,$A$3:$AA$3,0))-AC7)</f>
        <v>38464.595886779949</v>
      </c>
      <c r="AE7" s="98">
        <v>9453980.1583384499</v>
      </c>
      <c r="AF7" s="99">
        <f t="shared" si="0"/>
        <v>184052.68671630882</v>
      </c>
      <c r="AG7" s="1"/>
      <c r="AH7" s="1"/>
      <c r="AI7" s="1"/>
      <c r="AJ7" s="1"/>
    </row>
    <row r="8" spans="1:36" x14ac:dyDescent="0.25">
      <c r="A8" s="82" t="s">
        <v>293</v>
      </c>
      <c r="B8" s="92" t="s">
        <v>294</v>
      </c>
      <c r="C8" s="93"/>
      <c r="D8" s="46"/>
      <c r="E8" s="46"/>
      <c r="F8" s="46"/>
      <c r="G8" s="46"/>
      <c r="H8" s="46"/>
      <c r="I8" s="46"/>
      <c r="J8" s="97">
        <v>1105599</v>
      </c>
      <c r="K8" s="97">
        <v>5968386</v>
      </c>
      <c r="L8" s="97">
        <v>12315498</v>
      </c>
      <c r="M8" s="97">
        <v>11031802</v>
      </c>
      <c r="N8" s="97">
        <v>14681687</v>
      </c>
      <c r="O8" s="97">
        <f>INDEX(Qrtly!$A:$BH,MATCH(Annual!$A8,Qrtly!$A:$A,0),MATCH("1Q"&amp;RIGHT(Annual!O$1,2),Qrtly!$A$3:$BH$3,0))+INDEX(Qrtly!$A:$BH,MATCH(Annual!$A8,Qrtly!$A:$A,0),MATCH("2Q"&amp;RIGHT(Annual!O$1,2),Qrtly!$A$3:$BH$3,0))+INDEX(Qrtly!$A:$BH,MATCH(Annual!$A8,Qrtly!$A:$A,0),MATCH("3Q"&amp;RIGHT(Annual!O$1,2),Qrtly!$A$3:$BH$3,0))+INDEX(Qrtly!$A:$BH,MATCH(Annual!$A8,Qrtly!$A:$A,0),MATCH("4Q"&amp;RIGHT(Annual!O$1,2),Qrtly!$A$3:$BH$3,0))</f>
        <v>16247880</v>
      </c>
      <c r="P8" s="97">
        <f>INDEX(Qrtly!$A:$BH,MATCH(Annual!$A8,Qrtly!$A:$A,0),MATCH("1Q"&amp;RIGHT(Annual!P$1,2),Qrtly!$A$3:$BH$3,0))+INDEX(Qrtly!$A:$BH,MATCH(Annual!$A8,Qrtly!$A:$A,0),MATCH("2Q"&amp;RIGHT(Annual!P$1,2),Qrtly!$A$3:$BH$3,0))+INDEX(Qrtly!$A:$BH,MATCH(Annual!$A8,Qrtly!$A:$A,0),MATCH("3Q"&amp;RIGHT(Annual!P$1,2),Qrtly!$A$3:$BH$3,0))+INDEX(Qrtly!$A:$BH,MATCH(Annual!$A8,Qrtly!$A:$A,0),MATCH("4Q"&amp;RIGHT(Annual!P$1,2),Qrtly!$A$3:$BH$3,0))</f>
        <v>15266139.06412</v>
      </c>
      <c r="Q8" s="97">
        <f>INDEX(Qrtly!$A:$BH,MATCH(Annual!$A8,Qrtly!$A:$A,0),MATCH("1Q"&amp;RIGHT(Annual!Q$1,2),Qrtly!$A$3:$BH$3,0))+INDEX(Qrtly!$A:$BH,MATCH(Annual!$A8,Qrtly!$A:$A,0),MATCH("2Q"&amp;RIGHT(Annual!Q$1,2),Qrtly!$A$3:$BH$3,0))+INDEX(Qrtly!$A:$BH,MATCH(Annual!$A8,Qrtly!$A:$A,0),MATCH("3Q"&amp;RIGHT(Annual!Q$1,2),Qrtly!$A$3:$BH$3,0))+INDEX(Qrtly!$A:$BH,MATCH(Annual!$A8,Qrtly!$A:$A,0),MATCH("4Q"&amp;RIGHT(Annual!Q$1,2),Qrtly!$A$3:$BH$3,0))</f>
        <v>17382452.633142639</v>
      </c>
      <c r="R8" s="97">
        <f>INDEX(Qrtly!$A:$BH,MATCH(Annual!$A8,Qrtly!$A:$A,0),MATCH("1Q"&amp;RIGHT(Annual!R$1,2),Qrtly!$A$3:$BH$3,0))+INDEX(Qrtly!$A:$BH,MATCH(Annual!$A8,Qrtly!$A:$A,0),MATCH("2Q"&amp;RIGHT(Annual!R$1,2),Qrtly!$A$3:$BH$3,0))+INDEX(Qrtly!$A:$BH,MATCH(Annual!$A8,Qrtly!$A:$A,0),MATCH("3Q"&amp;RIGHT(Annual!R$1,2),Qrtly!$A$3:$BH$3,0))+INDEX(Qrtly!$A:$BH,MATCH(Annual!$A8,Qrtly!$A:$A,0),MATCH("4Q"&amp;RIGHT(Annual!R$1,2),Qrtly!$A$3:$BH$3,0))</f>
        <v>19768868.083586041</v>
      </c>
      <c r="S8" s="97">
        <f>INDEX(Qrtly!$A:$BH,MATCH(Annual!$A8,Qrtly!$A:$A,0),MATCH("1Q"&amp;RIGHT(Annual!S$1,2),Qrtly!$A$3:$BH$3,0))+INDEX(Qrtly!$A:$BH,MATCH(Annual!$A8,Qrtly!$A:$A,0),MATCH("2Q"&amp;RIGHT(Annual!S$1,2),Qrtly!$A$3:$BH$3,0))+INDEX(Qrtly!$A:$BH,MATCH(Annual!$A8,Qrtly!$A:$A,0),MATCH("3Q"&amp;RIGHT(Annual!S$1,2),Qrtly!$A$3:$BH$3,0))+INDEX(Qrtly!$A:$BH,MATCH(Annual!$A8,Qrtly!$A:$A,0),MATCH("4Q"&amp;RIGHT(Annual!S$1,2),Qrtly!$A$3:$BH$3,0))</f>
        <v>22486289.653363541</v>
      </c>
      <c r="T8" s="97">
        <f>INDEX(Qrtly!$A:$BH,MATCH(Annual!$A8,Qrtly!$A:$A,0),MATCH("1Q"&amp;RIGHT(Annual!T$1,2),Qrtly!$A$3:$BH$3,0))+INDEX(Qrtly!$A:$BH,MATCH(Annual!$A8,Qrtly!$A:$A,0),MATCH("2Q"&amp;RIGHT(Annual!T$1,2),Qrtly!$A$3:$BH$3,0))+INDEX(Qrtly!$A:$BH,MATCH(Annual!$A8,Qrtly!$A:$A,0),MATCH("3Q"&amp;RIGHT(Annual!T$1,2),Qrtly!$A$3:$BH$3,0))+INDEX(Qrtly!$A:$BH,MATCH(Annual!$A8,Qrtly!$A:$A,0),MATCH("4Q"&amp;RIGHT(Annual!T$1,2),Qrtly!$A$3:$BH$3,0))</f>
        <v>25581079.60419089</v>
      </c>
      <c r="U8" s="97">
        <f>INDEX(Qrtly!$A:$BH,MATCH(Annual!$A8,Qrtly!$A:$A,0),MATCH("1Q"&amp;RIGHT(Annual!U$1,2),Qrtly!$A$3:$BH$3,0))+INDEX(Qrtly!$A:$BH,MATCH(Annual!$A8,Qrtly!$A:$A,0),MATCH("2Q"&amp;RIGHT(Annual!U$1,2),Qrtly!$A$3:$BH$3,0))+INDEX(Qrtly!$A:$BH,MATCH(Annual!$A8,Qrtly!$A:$A,0),MATCH("3Q"&amp;RIGHT(Annual!U$1,2),Qrtly!$A$3:$BH$3,0))+INDEX(Qrtly!$A:$BH,MATCH(Annual!$A8,Qrtly!$A:$A,0),MATCH("4Q"&amp;RIGHT(Annual!U$1,2),Qrtly!$A$3:$BH$3,0))</f>
        <v>29106153.320986729</v>
      </c>
      <c r="V8" s="97">
        <f>INDEX(Qrtly!$A:$BH,MATCH(Annual!$A8,Qrtly!$A:$A,0),MATCH("1Q"&amp;RIGHT(Annual!V$1,2),Qrtly!$A$3:$BH$3,0))+INDEX(Qrtly!$A:$BH,MATCH(Annual!$A8,Qrtly!$A:$A,0),MATCH("2Q"&amp;RIGHT(Annual!V$1,2),Qrtly!$A$3:$BH$3,0))+INDEX(Qrtly!$A:$BH,MATCH(Annual!$A8,Qrtly!$A:$A,0),MATCH("3Q"&amp;RIGHT(Annual!V$1,2),Qrtly!$A$3:$BH$3,0))+INDEX(Qrtly!$A:$BH,MATCH(Annual!$A8,Qrtly!$A:$A,0),MATCH("4Q"&amp;RIGHT(Annual!V$1,2),Qrtly!$A$3:$BH$3,0))</f>
        <v>33121913.331994336</v>
      </c>
      <c r="W8" s="97">
        <f>INDEX(Qrtly!$A:$BH,MATCH(Annual!$A8,Qrtly!$A:$A,0),MATCH("1Q"&amp;RIGHT(Annual!W$1,2),Qrtly!$A$3:$BH$3,0))+INDEX(Qrtly!$A:$BH,MATCH(Annual!$A8,Qrtly!$A:$A,0),MATCH("2Q"&amp;RIGHT(Annual!W$1,2),Qrtly!$A$3:$BH$3,0))+INDEX(Qrtly!$A:$BH,MATCH(Annual!$A8,Qrtly!$A:$A,0),MATCH("3Q"&amp;RIGHT(Annual!W$1,2),Qrtly!$A$3:$BH$3,0))+INDEX(Qrtly!$A:$BH,MATCH(Annual!$A8,Qrtly!$A:$A,0),MATCH("4Q"&amp;RIGHT(Annual!W$1,2),Qrtly!$A$3:$BH$3,0))</f>
        <v>37697317.460221969</v>
      </c>
      <c r="X8" s="97">
        <f>INDEX(Qrtly!$A:$BH,MATCH(Annual!$A8,Qrtly!$A:$A,0),MATCH("1Q"&amp;RIGHT(Annual!X$1,2),Qrtly!$A$3:$BH$3,0))+INDEX(Qrtly!$A:$BH,MATCH(Annual!$A8,Qrtly!$A:$A,0),MATCH("2Q"&amp;RIGHT(Annual!X$1,2),Qrtly!$A$3:$BH$3,0))+INDEX(Qrtly!$A:$BH,MATCH(Annual!$A8,Qrtly!$A:$A,0),MATCH("3Q"&amp;RIGHT(Annual!X$1,2),Qrtly!$A$3:$BH$3,0))+INDEX(Qrtly!$A:$BH,MATCH(Annual!$A8,Qrtly!$A:$A,0),MATCH("4Q"&amp;RIGHT(Annual!X$1,2),Qrtly!$A$3:$BH$3,0))</f>
        <v>42911100.497352012</v>
      </c>
      <c r="Y8" s="97">
        <f>INDEX(Qrtly!$A:$BH,MATCH(Annual!$A8,Qrtly!$A:$A,0),MATCH("1Q"&amp;RIGHT(Annual!Y$1,2),Qrtly!$A$3:$BH$3,0))+INDEX(Qrtly!$A:$BH,MATCH(Annual!$A8,Qrtly!$A:$A,0),MATCH("2Q"&amp;RIGHT(Annual!Y$1,2),Qrtly!$A$3:$BH$3,0))+INDEX(Qrtly!$A:$BH,MATCH(Annual!$A8,Qrtly!$A:$A,0),MATCH("3Q"&amp;RIGHT(Annual!Y$1,2),Qrtly!$A$3:$BH$3,0))+INDEX(Qrtly!$A:$BH,MATCH(Annual!$A8,Qrtly!$A:$A,0),MATCH("4Q"&amp;RIGHT(Annual!Y$1,2),Qrtly!$A$3:$BH$3,0))</f>
        <v>48853171.611059368</v>
      </c>
      <c r="Z8" s="97">
        <f>INDEX(Qrtly!$A:$BH,MATCH(Annual!$A8,Qrtly!$A:$A,0),MATCH("1Q"&amp;RIGHT(Annual!Z$1,2),Qrtly!$A$3:$BH$3,0))+INDEX(Qrtly!$A:$BH,MATCH(Annual!$A8,Qrtly!$A:$A,0),MATCH("2Q"&amp;RIGHT(Annual!Z$1,2),Qrtly!$A$3:$BH$3,0))+INDEX(Qrtly!$A:$BH,MATCH(Annual!$A8,Qrtly!$A:$A,0),MATCH("3Q"&amp;RIGHT(Annual!Z$1,2),Qrtly!$A$3:$BH$3,0))+INDEX(Qrtly!$A:$BH,MATCH(Annual!$A8,Qrtly!$A:$A,0),MATCH("4Q"&amp;RIGHT(Annual!Z$1,2),Qrtly!$A$3:$BH$3,0))</f>
        <v>55626212.928593576</v>
      </c>
      <c r="AA8" s="1"/>
      <c r="AB8" s="1"/>
      <c r="AC8" s="98">
        <v>17223572.95496</v>
      </c>
      <c r="AD8" s="99">
        <f t="shared" si="0"/>
        <v>-1957433.8908399995</v>
      </c>
      <c r="AE8" s="98">
        <v>20980788.741868079</v>
      </c>
      <c r="AF8" s="99">
        <f t="shared" ref="AF8" si="1">IF(ISBLANK(AE8),"",INDEX($A8:$AA8,1,MATCH(AE$3,$A$3:$AA$3,0))-AE8)</f>
        <v>-3598336.1087254398</v>
      </c>
      <c r="AG8" s="1"/>
      <c r="AH8" s="1"/>
      <c r="AI8" s="1"/>
      <c r="AJ8" s="1"/>
    </row>
    <row r="9" spans="1:36" x14ac:dyDescent="0.25">
      <c r="A9" s="82" t="s">
        <v>295</v>
      </c>
      <c r="B9" s="92" t="s">
        <v>296</v>
      </c>
      <c r="C9" s="93"/>
      <c r="D9" s="46"/>
      <c r="E9" s="46"/>
      <c r="F9" s="46"/>
      <c r="G9" s="46"/>
      <c r="H9" s="46"/>
      <c r="I9" s="46"/>
      <c r="J9" s="97">
        <v>145913</v>
      </c>
      <c r="K9" s="46">
        <v>0</v>
      </c>
      <c r="L9" s="97">
        <v>152358</v>
      </c>
      <c r="M9" s="97">
        <v>205647</v>
      </c>
      <c r="N9" s="97">
        <v>200554</v>
      </c>
      <c r="O9" s="97">
        <f>INDEX(Qrtly!$A:$BH,MATCH(Annual!$A9,Qrtly!$A:$A,0),MATCH("1Q"&amp;RIGHT(Annual!O$1,2),Qrtly!$A$3:$BH$3,0))+INDEX(Qrtly!$A:$BH,MATCH(Annual!$A9,Qrtly!$A:$A,0),MATCH("2Q"&amp;RIGHT(Annual!O$1,2),Qrtly!$A$3:$BH$3,0))+INDEX(Qrtly!$A:$BH,MATCH(Annual!$A9,Qrtly!$A:$A,0),MATCH("3Q"&amp;RIGHT(Annual!O$1,2),Qrtly!$A$3:$BH$3,0))+INDEX(Qrtly!$A:$BH,MATCH(Annual!$A9,Qrtly!$A:$A,0),MATCH("4Q"&amp;RIGHT(Annual!O$1,2),Qrtly!$A$3:$BH$3,0))</f>
        <v>191517</v>
      </c>
      <c r="P9" s="97">
        <f>INDEX(Qrtly!$A:$BH,MATCH(Annual!$A9,Qrtly!$A:$A,0),MATCH("1Q"&amp;RIGHT(Annual!P$1,2),Qrtly!$A$3:$BH$3,0))+INDEX(Qrtly!$A:$BH,MATCH(Annual!$A9,Qrtly!$A:$A,0),MATCH("2Q"&amp;RIGHT(Annual!P$1,2),Qrtly!$A$3:$BH$3,0))+INDEX(Qrtly!$A:$BH,MATCH(Annual!$A9,Qrtly!$A:$A,0),MATCH("3Q"&amp;RIGHT(Annual!P$1,2),Qrtly!$A$3:$BH$3,0))+INDEX(Qrtly!$A:$BH,MATCH(Annual!$A9,Qrtly!$A:$A,0),MATCH("4Q"&amp;RIGHT(Annual!P$1,2),Qrtly!$A$3:$BH$3,0))</f>
        <v>246353</v>
      </c>
      <c r="Q9" s="97">
        <f>INDEX(Qrtly!$A:$BH,MATCH(Annual!$A9,Qrtly!$A:$A,0),MATCH("1Q"&amp;RIGHT(Annual!Q$1,2),Qrtly!$A$3:$BH$3,0))+INDEX(Qrtly!$A:$BH,MATCH(Annual!$A9,Qrtly!$A:$A,0),MATCH("2Q"&amp;RIGHT(Annual!Q$1,2),Qrtly!$A$3:$BH$3,0))+INDEX(Qrtly!$A:$BH,MATCH(Annual!$A9,Qrtly!$A:$A,0),MATCH("3Q"&amp;RIGHT(Annual!Q$1,2),Qrtly!$A$3:$BH$3,0))+INDEX(Qrtly!$A:$BH,MATCH(Annual!$A9,Qrtly!$A:$A,0),MATCH("4Q"&amp;RIGHT(Annual!Q$1,2),Qrtly!$A$3:$BH$3,0))</f>
        <v>363042.6</v>
      </c>
      <c r="R9" s="97">
        <f>INDEX(Qrtly!$A:$BH,MATCH(Annual!$A9,Qrtly!$A:$A,0),MATCH("1Q"&amp;RIGHT(Annual!R$1,2),Qrtly!$A$3:$BH$3,0))+INDEX(Qrtly!$A:$BH,MATCH(Annual!$A9,Qrtly!$A:$A,0),MATCH("2Q"&amp;RIGHT(Annual!R$1,2),Qrtly!$A$3:$BH$3,0))+INDEX(Qrtly!$A:$BH,MATCH(Annual!$A9,Qrtly!$A:$A,0),MATCH("3Q"&amp;RIGHT(Annual!R$1,2),Qrtly!$A$3:$BH$3,0))+INDEX(Qrtly!$A:$BH,MATCH(Annual!$A9,Qrtly!$A:$A,0),MATCH("4Q"&amp;RIGHT(Annual!R$1,2),Qrtly!$A$3:$BH$3,0))</f>
        <v>435651.12</v>
      </c>
      <c r="S9" s="97">
        <f>INDEX(Qrtly!$A:$BH,MATCH(Annual!$A9,Qrtly!$A:$A,0),MATCH("1Q"&amp;RIGHT(Annual!S$1,2),Qrtly!$A$3:$BH$3,0))+INDEX(Qrtly!$A:$BH,MATCH(Annual!$A9,Qrtly!$A:$A,0),MATCH("2Q"&amp;RIGHT(Annual!S$1,2),Qrtly!$A$3:$BH$3,0))+INDEX(Qrtly!$A:$BH,MATCH(Annual!$A9,Qrtly!$A:$A,0),MATCH("3Q"&amp;RIGHT(Annual!S$1,2),Qrtly!$A$3:$BH$3,0))+INDEX(Qrtly!$A:$BH,MATCH(Annual!$A9,Qrtly!$A:$A,0),MATCH("4Q"&amp;RIGHT(Annual!S$1,2),Qrtly!$A$3:$BH$3,0))</f>
        <v>503800.77599999995</v>
      </c>
      <c r="T9" s="97">
        <f>INDEX(Qrtly!$A:$BH,MATCH(Annual!$A9,Qrtly!$A:$A,0),MATCH("1Q"&amp;RIGHT(Annual!T$1,2),Qrtly!$A$3:$BH$3,0))+INDEX(Qrtly!$A:$BH,MATCH(Annual!$A9,Qrtly!$A:$A,0),MATCH("2Q"&amp;RIGHT(Annual!T$1,2),Qrtly!$A$3:$BH$3,0))+INDEX(Qrtly!$A:$BH,MATCH(Annual!$A9,Qrtly!$A:$A,0),MATCH("3Q"&amp;RIGHT(Annual!T$1,2),Qrtly!$A$3:$BH$3,0))+INDEX(Qrtly!$A:$BH,MATCH(Annual!$A9,Qrtly!$A:$A,0),MATCH("4Q"&amp;RIGHT(Annual!T$1,2),Qrtly!$A$3:$BH$3,0))</f>
        <v>528990.81480000005</v>
      </c>
      <c r="U9" s="97">
        <f>INDEX(Qrtly!$A:$BH,MATCH(Annual!$A9,Qrtly!$A:$A,0),MATCH("1Q"&amp;RIGHT(Annual!U$1,2),Qrtly!$A$3:$BH$3,0))+INDEX(Qrtly!$A:$BH,MATCH(Annual!$A9,Qrtly!$A:$A,0),MATCH("2Q"&amp;RIGHT(Annual!U$1,2),Qrtly!$A$3:$BH$3,0))+INDEX(Qrtly!$A:$BH,MATCH(Annual!$A9,Qrtly!$A:$A,0),MATCH("3Q"&amp;RIGHT(Annual!U$1,2),Qrtly!$A$3:$BH$3,0))+INDEX(Qrtly!$A:$BH,MATCH(Annual!$A9,Qrtly!$A:$A,0),MATCH("4Q"&amp;RIGHT(Annual!U$1,2),Qrtly!$A$3:$BH$3,0))</f>
        <v>555440.35554000002</v>
      </c>
      <c r="V9" s="97">
        <f>INDEX(Qrtly!$A:$BH,MATCH(Annual!$A9,Qrtly!$A:$A,0),MATCH("1Q"&amp;RIGHT(Annual!V$1,2),Qrtly!$A$3:$BH$3,0))+INDEX(Qrtly!$A:$BH,MATCH(Annual!$A9,Qrtly!$A:$A,0),MATCH("2Q"&amp;RIGHT(Annual!V$1,2),Qrtly!$A$3:$BH$3,0))+INDEX(Qrtly!$A:$BH,MATCH(Annual!$A9,Qrtly!$A:$A,0),MATCH("3Q"&amp;RIGHT(Annual!V$1,2),Qrtly!$A$3:$BH$3,0))+INDEX(Qrtly!$A:$BH,MATCH(Annual!$A9,Qrtly!$A:$A,0),MATCH("4Q"&amp;RIGHT(Annual!V$1,2),Qrtly!$A$3:$BH$3,0))</f>
        <v>583212.37331699999</v>
      </c>
      <c r="W9" s="97">
        <f>INDEX(Qrtly!$A:$BH,MATCH(Annual!$A9,Qrtly!$A:$A,0),MATCH("1Q"&amp;RIGHT(Annual!W$1,2),Qrtly!$A$3:$BH$3,0))+INDEX(Qrtly!$A:$BH,MATCH(Annual!$A9,Qrtly!$A:$A,0),MATCH("2Q"&amp;RIGHT(Annual!W$1,2),Qrtly!$A$3:$BH$3,0))+INDEX(Qrtly!$A:$BH,MATCH(Annual!$A9,Qrtly!$A:$A,0),MATCH("3Q"&amp;RIGHT(Annual!W$1,2),Qrtly!$A$3:$BH$3,0))+INDEX(Qrtly!$A:$BH,MATCH(Annual!$A9,Qrtly!$A:$A,0),MATCH("4Q"&amp;RIGHT(Annual!W$1,2),Qrtly!$A$3:$BH$3,0))</f>
        <v>612372.99198285001</v>
      </c>
      <c r="X9" s="97">
        <f>INDEX(Qrtly!$A:$BH,MATCH(Annual!$A9,Qrtly!$A:$A,0),MATCH("1Q"&amp;RIGHT(Annual!X$1,2),Qrtly!$A$3:$BH$3,0))+INDEX(Qrtly!$A:$BH,MATCH(Annual!$A9,Qrtly!$A:$A,0),MATCH("2Q"&amp;RIGHT(Annual!X$1,2),Qrtly!$A$3:$BH$3,0))+INDEX(Qrtly!$A:$BH,MATCH(Annual!$A9,Qrtly!$A:$A,0),MATCH("3Q"&amp;RIGHT(Annual!X$1,2),Qrtly!$A$3:$BH$3,0))+INDEX(Qrtly!$A:$BH,MATCH(Annual!$A9,Qrtly!$A:$A,0),MATCH("4Q"&amp;RIGHT(Annual!X$1,2),Qrtly!$A$3:$BH$3,0))</f>
        <v>642991.64158199262</v>
      </c>
      <c r="Y9" s="97">
        <f>INDEX(Qrtly!$A:$BH,MATCH(Annual!$A9,Qrtly!$A:$A,0),MATCH("1Q"&amp;RIGHT(Annual!Y$1,2),Qrtly!$A$3:$BH$3,0))+INDEX(Qrtly!$A:$BH,MATCH(Annual!$A9,Qrtly!$A:$A,0),MATCH("2Q"&amp;RIGHT(Annual!Y$1,2),Qrtly!$A$3:$BH$3,0))+INDEX(Qrtly!$A:$BH,MATCH(Annual!$A9,Qrtly!$A:$A,0),MATCH("3Q"&amp;RIGHT(Annual!Y$1,2),Qrtly!$A$3:$BH$3,0))+INDEX(Qrtly!$A:$BH,MATCH(Annual!$A9,Qrtly!$A:$A,0),MATCH("4Q"&amp;RIGHT(Annual!Y$1,2),Qrtly!$A$3:$BH$3,0))</f>
        <v>675141.22366109223</v>
      </c>
      <c r="Z9" s="97">
        <f>INDEX(Qrtly!$A:$BH,MATCH(Annual!$A9,Qrtly!$A:$A,0),MATCH("1Q"&amp;RIGHT(Annual!Z$1,2),Qrtly!$A$3:$BH$3,0))+INDEX(Qrtly!$A:$BH,MATCH(Annual!$A9,Qrtly!$A:$A,0),MATCH("2Q"&amp;RIGHT(Annual!Z$1,2),Qrtly!$A$3:$BH$3,0))+INDEX(Qrtly!$A:$BH,MATCH(Annual!$A9,Qrtly!$A:$A,0),MATCH("3Q"&amp;RIGHT(Annual!Z$1,2),Qrtly!$A$3:$BH$3,0))+INDEX(Qrtly!$A:$BH,MATCH(Annual!$A9,Qrtly!$A:$A,0),MATCH("4Q"&amp;RIGHT(Annual!Z$1,2),Qrtly!$A$3:$BH$3,0))</f>
        <v>708898.28484414693</v>
      </c>
      <c r="AA9" s="1"/>
      <c r="AB9" s="1"/>
      <c r="AC9" s="98">
        <v>258464</v>
      </c>
      <c r="AD9" s="99">
        <f t="shared" si="0"/>
        <v>-12111</v>
      </c>
      <c r="AE9" s="98">
        <v>377575.8</v>
      </c>
      <c r="AF9" s="99">
        <f t="shared" ref="AF9" si="2">IF(ISBLANK(AE9),"",INDEX($A9:$AA9,1,MATCH(AE$3,$A$3:$AA$3,0))-AE9)</f>
        <v>-14533.200000000012</v>
      </c>
      <c r="AG9" s="1"/>
      <c r="AH9" s="1"/>
      <c r="AI9" s="1"/>
      <c r="AJ9" s="1"/>
    </row>
    <row r="10" spans="1:36" x14ac:dyDescent="0.25">
      <c r="A10" s="82" t="s">
        <v>49</v>
      </c>
      <c r="B10" s="100" t="s">
        <v>297</v>
      </c>
      <c r="C10" s="5" t="s">
        <v>298</v>
      </c>
      <c r="D10" s="101"/>
      <c r="E10" s="101"/>
      <c r="F10" s="102">
        <v>1267118</v>
      </c>
      <c r="G10" s="102">
        <v>1708721</v>
      </c>
      <c r="H10" s="102">
        <v>2214253</v>
      </c>
      <c r="I10" s="102">
        <v>3298177</v>
      </c>
      <c r="J10" s="102">
        <v>4713500</v>
      </c>
      <c r="K10" s="102">
        <v>9497578</v>
      </c>
      <c r="L10" s="102">
        <v>17661203</v>
      </c>
      <c r="M10" s="102">
        <v>17531587</v>
      </c>
      <c r="N10" s="102">
        <v>21915623</v>
      </c>
      <c r="O10" s="102">
        <f>INDEX(Qrtly!$A:$BH,MATCH(Annual!$A10,Qrtly!$A:$A,0),MATCH("1Q"&amp;RIGHT(Annual!O$1,2),Qrtly!$A$3:$BH$3,0))+INDEX(Qrtly!$A:$BH,MATCH(Annual!$A10,Qrtly!$A:$A,0),MATCH("2Q"&amp;RIGHT(Annual!O$1,2),Qrtly!$A$3:$BH$3,0))+INDEX(Qrtly!$A:$BH,MATCH(Annual!$A10,Qrtly!$A:$A,0),MATCH("3Q"&amp;RIGHT(Annual!O$1,2),Qrtly!$A$3:$BH$3,0))+INDEX(Qrtly!$A:$BH,MATCH(Annual!$A10,Qrtly!$A:$A,0),MATCH("4Q"&amp;RIGHT(Annual!O$1,2),Qrtly!$A$3:$BH$3,0))</f>
        <v>24121053</v>
      </c>
      <c r="P10" s="102">
        <f>INDEX(Qrtly!$A:$BH,MATCH(Annual!$A10,Qrtly!$A:$A,0),MATCH("1Q"&amp;RIGHT(Annual!P$1,2),Qrtly!$A$3:$BH$3,0))+INDEX(Qrtly!$A:$BH,MATCH(Annual!$A10,Qrtly!$A:$A,0),MATCH("2Q"&amp;RIGHT(Annual!P$1,2),Qrtly!$A$3:$BH$3,0))+INDEX(Qrtly!$A:$BH,MATCH(Annual!$A10,Qrtly!$A:$A,0),MATCH("3Q"&amp;RIGHT(Annual!P$1,2),Qrtly!$A$3:$BH$3,0))+INDEX(Qrtly!$A:$BH,MATCH(Annual!$A10,Qrtly!$A:$A,0),MATCH("4Q"&amp;RIGHT(Annual!P$1,2),Qrtly!$A$3:$BH$3,0))</f>
        <v>23989906.69569084</v>
      </c>
      <c r="Q10" s="102">
        <f>INDEX(Qrtly!$A:$BH,MATCH(Annual!$A10,Qrtly!$A:$A,0),MATCH("1Q"&amp;RIGHT(Annual!Q$1,2),Qrtly!$A$3:$BH$3,0))+INDEX(Qrtly!$A:$BH,MATCH(Annual!$A10,Qrtly!$A:$A,0),MATCH("2Q"&amp;RIGHT(Annual!Q$1,2),Qrtly!$A$3:$BH$3,0))+INDEX(Qrtly!$A:$BH,MATCH(Annual!$A10,Qrtly!$A:$A,0),MATCH("3Q"&amp;RIGHT(Annual!Q$1,2),Qrtly!$A$3:$BH$3,0))+INDEX(Qrtly!$A:$BH,MATCH(Annual!$A10,Qrtly!$A:$A,0),MATCH("4Q"&amp;RIGHT(Annual!Q$1,2),Qrtly!$A$3:$BH$3,0))</f>
        <v>27383528.078197397</v>
      </c>
      <c r="R10" s="102">
        <f>INDEX(Qrtly!$A:$BH,MATCH(Annual!$A10,Qrtly!$A:$A,0),MATCH("1Q"&amp;RIGHT(Annual!R$1,2),Qrtly!$A$3:$BH$3,0))+INDEX(Qrtly!$A:$BH,MATCH(Annual!$A10,Qrtly!$A:$A,0),MATCH("2Q"&amp;RIGHT(Annual!R$1,2),Qrtly!$A$3:$BH$3,0))+INDEX(Qrtly!$A:$BH,MATCH(Annual!$A10,Qrtly!$A:$A,0),MATCH("3Q"&amp;RIGHT(Annual!R$1,2),Qrtly!$A$3:$BH$3,0))+INDEX(Qrtly!$A:$BH,MATCH(Annual!$A10,Qrtly!$A:$A,0),MATCH("4Q"&amp;RIGHT(Annual!R$1,2),Qrtly!$A$3:$BH$3,0))</f>
        <v>31112660.092569761</v>
      </c>
      <c r="S10" s="102">
        <f>INDEX(Qrtly!$A:$BH,MATCH(Annual!$A10,Qrtly!$A:$A,0),MATCH("1Q"&amp;RIGHT(Annual!S$1,2),Qrtly!$A$3:$BH$3,0))+INDEX(Qrtly!$A:$BH,MATCH(Annual!$A10,Qrtly!$A:$A,0),MATCH("2Q"&amp;RIGHT(Annual!S$1,2),Qrtly!$A$3:$BH$3,0))+INDEX(Qrtly!$A:$BH,MATCH(Annual!$A10,Qrtly!$A:$A,0),MATCH("3Q"&amp;RIGHT(Annual!S$1,2),Qrtly!$A$3:$BH$3,0))+INDEX(Qrtly!$A:$BH,MATCH(Annual!$A10,Qrtly!$A:$A,0),MATCH("4Q"&amp;RIGHT(Annual!S$1,2),Qrtly!$A$3:$BH$3,0))</f>
        <v>35350615.063882157</v>
      </c>
      <c r="T10" s="102">
        <f>INDEX(Qrtly!$A:$BH,MATCH(Annual!$A10,Qrtly!$A:$A,0),MATCH("1Q"&amp;RIGHT(Annual!T$1,2),Qrtly!$A$3:$BH$3,0))+INDEX(Qrtly!$A:$BH,MATCH(Annual!$A10,Qrtly!$A:$A,0),MATCH("2Q"&amp;RIGHT(Annual!T$1,2),Qrtly!$A$3:$BH$3,0))+INDEX(Qrtly!$A:$BH,MATCH(Annual!$A10,Qrtly!$A:$A,0),MATCH("3Q"&amp;RIGHT(Annual!T$1,2),Qrtly!$A$3:$BH$3,0))+INDEX(Qrtly!$A:$BH,MATCH(Annual!$A10,Qrtly!$A:$A,0),MATCH("4Q"&amp;RIGHT(Annual!T$1,2),Qrtly!$A$3:$BH$3,0))</f>
        <v>39872057.430242032</v>
      </c>
      <c r="U10" s="102">
        <f>INDEX(Qrtly!$A:$BH,MATCH(Annual!$A10,Qrtly!$A:$A,0),MATCH("1Q"&amp;RIGHT(Annual!U$1,2),Qrtly!$A$3:$BH$3,0))+INDEX(Qrtly!$A:$BH,MATCH(Annual!$A10,Qrtly!$A:$A,0),MATCH("2Q"&amp;RIGHT(Annual!U$1,2),Qrtly!$A$3:$BH$3,0))+INDEX(Qrtly!$A:$BH,MATCH(Annual!$A10,Qrtly!$A:$A,0),MATCH("3Q"&amp;RIGHT(Annual!U$1,2),Qrtly!$A$3:$BH$3,0))+INDEX(Qrtly!$A:$BH,MATCH(Annual!$A10,Qrtly!$A:$A,0),MATCH("4Q"&amp;RIGHT(Annual!U$1,2),Qrtly!$A$3:$BH$3,0))</f>
        <v>45008019.972125083</v>
      </c>
      <c r="V10" s="102">
        <f>INDEX(Qrtly!$A:$BH,MATCH(Annual!$A10,Qrtly!$A:$A,0),MATCH("1Q"&amp;RIGHT(Annual!V$1,2),Qrtly!$A$3:$BH$3,0))+INDEX(Qrtly!$A:$BH,MATCH(Annual!$A10,Qrtly!$A:$A,0),MATCH("2Q"&amp;RIGHT(Annual!V$1,2),Qrtly!$A$3:$BH$3,0))+INDEX(Qrtly!$A:$BH,MATCH(Annual!$A10,Qrtly!$A:$A,0),MATCH("3Q"&amp;RIGHT(Annual!V$1,2),Qrtly!$A$3:$BH$3,0))+INDEX(Qrtly!$A:$BH,MATCH(Annual!$A10,Qrtly!$A:$A,0),MATCH("4Q"&amp;RIGHT(Annual!V$1,2),Qrtly!$A$3:$BH$3,0))</f>
        <v>50846641.772478506</v>
      </c>
      <c r="W10" s="102">
        <f>INDEX(Qrtly!$A:$BH,MATCH(Annual!$A10,Qrtly!$A:$A,0),MATCH("1Q"&amp;RIGHT(Annual!W$1,2),Qrtly!$A$3:$BH$3,0))+INDEX(Qrtly!$A:$BH,MATCH(Annual!$A10,Qrtly!$A:$A,0),MATCH("2Q"&amp;RIGHT(Annual!W$1,2),Qrtly!$A$3:$BH$3,0))+INDEX(Qrtly!$A:$BH,MATCH(Annual!$A10,Qrtly!$A:$A,0),MATCH("3Q"&amp;RIGHT(Annual!W$1,2),Qrtly!$A$3:$BH$3,0))+INDEX(Qrtly!$A:$BH,MATCH(Annual!$A10,Qrtly!$A:$A,0),MATCH("4Q"&amp;RIGHT(Annual!W$1,2),Qrtly!$A$3:$BH$3,0))</f>
        <v>57489325.57521902</v>
      </c>
      <c r="X10" s="102">
        <f>INDEX(Qrtly!$A:$BH,MATCH(Annual!$A10,Qrtly!$A:$A,0),MATCH("1Q"&amp;RIGHT(Annual!X$1,2),Qrtly!$A$3:$BH$3,0))+INDEX(Qrtly!$A:$BH,MATCH(Annual!$A10,Qrtly!$A:$A,0),MATCH("2Q"&amp;RIGHT(Annual!X$1,2),Qrtly!$A$3:$BH$3,0))+INDEX(Qrtly!$A:$BH,MATCH(Annual!$A10,Qrtly!$A:$A,0),MATCH("3Q"&amp;RIGHT(Annual!X$1,2),Qrtly!$A$3:$BH$3,0))+INDEX(Qrtly!$A:$BH,MATCH(Annual!$A10,Qrtly!$A:$A,0),MATCH("4Q"&amp;RIGHT(Annual!X$1,2),Qrtly!$A$3:$BH$3,0))</f>
        <v>65052822.205327101</v>
      </c>
      <c r="Y10" s="102">
        <f>INDEX(Qrtly!$A:$BH,MATCH(Annual!$A10,Qrtly!$A:$A,0),MATCH("1Q"&amp;RIGHT(Annual!Y$1,2),Qrtly!$A$3:$BH$3,0))+INDEX(Qrtly!$A:$BH,MATCH(Annual!$A10,Qrtly!$A:$A,0),MATCH("2Q"&amp;RIGHT(Annual!Y$1,2),Qrtly!$A$3:$BH$3,0))+INDEX(Qrtly!$A:$BH,MATCH(Annual!$A10,Qrtly!$A:$A,0),MATCH("3Q"&amp;RIGHT(Annual!Y$1,2),Qrtly!$A$3:$BH$3,0))+INDEX(Qrtly!$A:$BH,MATCH(Annual!$A10,Qrtly!$A:$A,0),MATCH("4Q"&amp;RIGHT(Annual!Y$1,2),Qrtly!$A$3:$BH$3,0))</f>
        <v>73671655.731697083</v>
      </c>
      <c r="Z10" s="102">
        <f>INDEX(Qrtly!$A:$BH,MATCH(Annual!$A10,Qrtly!$A:$A,0),MATCH("1Q"&amp;RIGHT(Annual!Z$1,2),Qrtly!$A$3:$BH$3,0))+INDEX(Qrtly!$A:$BH,MATCH(Annual!$A10,Qrtly!$A:$A,0),MATCH("2Q"&amp;RIGHT(Annual!Z$1,2),Qrtly!$A$3:$BH$3,0))+INDEX(Qrtly!$A:$BH,MATCH(Annual!$A10,Qrtly!$A:$A,0),MATCH("3Q"&amp;RIGHT(Annual!Z$1,2),Qrtly!$A$3:$BH$3,0))+INDEX(Qrtly!$A:$BH,MATCH(Annual!$A10,Qrtly!$A:$A,0),MATCH("4Q"&amp;RIGHT(Annual!Z$1,2),Qrtly!$A$3:$BH$3,0))</f>
        <v>83500947.101380184</v>
      </c>
      <c r="AA10" s="1"/>
      <c r="AB10" s="1"/>
      <c r="AC10" s="103">
        <v>25920986.99064406</v>
      </c>
      <c r="AD10" s="104">
        <f t="shared" si="0"/>
        <v>-1931080.2949532196</v>
      </c>
      <c r="AE10" s="103">
        <v>30812344.700206526</v>
      </c>
      <c r="AF10" s="104">
        <f t="shared" ref="AF10" si="3">IF(ISBLANK(AE10),"",INDEX($A10:$AA10,1,MATCH(AE$3,$A$3:$AA$3,0))-AE10)</f>
        <v>-3428816.6220091283</v>
      </c>
      <c r="AG10" s="1"/>
      <c r="AH10" s="1"/>
      <c r="AI10" s="1"/>
      <c r="AJ10" s="1"/>
    </row>
    <row r="11" spans="1:36" x14ac:dyDescent="0.25">
      <c r="A11" s="82"/>
      <c r="B11" s="92" t="s">
        <v>299</v>
      </c>
      <c r="C11" s="93" t="s">
        <v>300</v>
      </c>
      <c r="D11" s="1"/>
      <c r="E11" s="2"/>
      <c r="F11" s="2"/>
      <c r="G11" s="2"/>
      <c r="H11" s="2"/>
      <c r="I11" s="62">
        <v>0.49</v>
      </c>
      <c r="J11" s="62">
        <v>0.42899999999999999</v>
      </c>
      <c r="K11" s="62">
        <v>1.0149999999999999</v>
      </c>
      <c r="L11" s="62">
        <v>0.86</v>
      </c>
      <c r="M11" s="62">
        <v>-7.0000000000000001E-3</v>
      </c>
      <c r="N11" s="62">
        <v>0.25</v>
      </c>
      <c r="O11" s="330">
        <f>O10/N10-1</f>
        <v>0.10063277690075245</v>
      </c>
      <c r="P11" s="330">
        <f t="shared" ref="P11:Z11" si="4">P10/O10-1</f>
        <v>-5.437005768743175E-3</v>
      </c>
      <c r="Q11" s="330">
        <f t="shared" si="4"/>
        <v>0.14146038271654193</v>
      </c>
      <c r="R11" s="330">
        <f t="shared" si="4"/>
        <v>0.13618157615495408</v>
      </c>
      <c r="S11" s="330">
        <f t="shared" si="4"/>
        <v>0.13621319934403475</v>
      </c>
      <c r="T11" s="330">
        <f t="shared" si="4"/>
        <v>0.12790279202184096</v>
      </c>
      <c r="U11" s="330">
        <f t="shared" si="4"/>
        <v>0.12881107404273417</v>
      </c>
      <c r="V11" s="330">
        <f t="shared" si="4"/>
        <v>0.12972403149415301</v>
      </c>
      <c r="W11" s="330">
        <f t="shared" si="4"/>
        <v>0.13064154428259545</v>
      </c>
      <c r="X11" s="330">
        <f t="shared" si="4"/>
        <v>0.13156349556078895</v>
      </c>
      <c r="Y11" s="330">
        <f t="shared" si="4"/>
        <v>0.13248977114576577</v>
      </c>
      <c r="Z11" s="330">
        <f t="shared" si="4"/>
        <v>0.13342025874211583</v>
      </c>
      <c r="AA11" s="1"/>
      <c r="AB11" s="1"/>
      <c r="AC11" s="105">
        <v>7.4620871263126887E-2</v>
      </c>
      <c r="AD11" s="106">
        <f t="shared" si="0"/>
        <v>-8.0057877031870062E-2</v>
      </c>
      <c r="AE11" s="105">
        <v>0.18870260269518124</v>
      </c>
      <c r="AF11" s="106">
        <f t="shared" ref="AF11" si="5">IF(ISBLANK(AE11),"",INDEX($A11:$AA11,1,MATCH(AE$3,$A$3:$AA$3,0))-AE11)</f>
        <v>-4.724221997863931E-2</v>
      </c>
      <c r="AG11" s="1"/>
      <c r="AH11" s="1"/>
      <c r="AI11" s="1"/>
      <c r="AJ11" s="1"/>
    </row>
    <row r="12" spans="1:36" x14ac:dyDescent="0.25">
      <c r="A12" s="82"/>
      <c r="B12" s="107" t="s">
        <v>301</v>
      </c>
      <c r="C12" s="93" t="s">
        <v>298</v>
      </c>
      <c r="D12" s="1"/>
      <c r="E12" s="2"/>
      <c r="F12" s="2"/>
      <c r="G12" s="108">
        <v>610000</v>
      </c>
      <c r="H12" s="108">
        <v>2120000</v>
      </c>
      <c r="I12" s="108">
        <v>2850000</v>
      </c>
      <c r="J12" s="108">
        <v>4380000</v>
      </c>
      <c r="K12" s="108">
        <v>5930000</v>
      </c>
      <c r="L12" s="48"/>
      <c r="M12" s="45"/>
      <c r="N12" s="45"/>
      <c r="O12" s="45"/>
      <c r="P12" s="45"/>
      <c r="Q12" s="45"/>
      <c r="R12" s="2"/>
      <c r="S12" s="2"/>
      <c r="T12" s="2"/>
      <c r="U12" s="2"/>
      <c r="V12" s="2"/>
      <c r="W12" s="2"/>
      <c r="X12" s="2"/>
      <c r="Y12" s="2"/>
      <c r="Z12" s="2"/>
      <c r="AA12" s="1"/>
      <c r="AB12" s="1"/>
      <c r="AC12" s="90"/>
      <c r="AD12" s="91" t="str">
        <f t="shared" si="0"/>
        <v/>
      </c>
      <c r="AE12" s="90"/>
      <c r="AF12" s="91" t="str">
        <f t="shared" ref="AF12" si="6">IF(ISBLANK(AE12),"",INDEX($A12:$AA12,1,MATCH(AE$3,$A$3:$AA$3,0))-AE12)</f>
        <v/>
      </c>
      <c r="AG12" s="1"/>
      <c r="AH12" s="1"/>
      <c r="AI12" s="1"/>
      <c r="AJ12" s="1"/>
    </row>
    <row r="13" spans="1:36" x14ac:dyDescent="0.25">
      <c r="A13" s="109"/>
      <c r="B13" s="110" t="s">
        <v>302</v>
      </c>
      <c r="C13" s="111"/>
      <c r="D13" s="45"/>
      <c r="E13" s="46"/>
      <c r="F13" s="46"/>
      <c r="G13" s="50">
        <v>1.8</v>
      </c>
      <c r="H13" s="50">
        <v>0.04</v>
      </c>
      <c r="I13" s="50">
        <v>0.16</v>
      </c>
      <c r="J13" s="50">
        <v>0.08</v>
      </c>
      <c r="K13" s="50">
        <v>0.6</v>
      </c>
      <c r="L13" s="46"/>
      <c r="M13" s="45"/>
      <c r="N13" s="45"/>
      <c r="O13" s="45"/>
      <c r="P13" s="112"/>
      <c r="Q13" s="45"/>
      <c r="R13" s="46"/>
      <c r="S13" s="46"/>
      <c r="T13" s="46"/>
      <c r="U13" s="46"/>
      <c r="V13" s="46"/>
      <c r="W13" s="46"/>
      <c r="X13" s="46"/>
      <c r="Y13" s="46"/>
      <c r="Z13" s="46"/>
      <c r="AA13" s="45"/>
      <c r="AB13" s="45"/>
      <c r="AC13" s="90"/>
      <c r="AD13" s="91" t="str">
        <f t="shared" si="0"/>
        <v/>
      </c>
      <c r="AE13" s="90"/>
      <c r="AF13" s="91" t="str">
        <f t="shared" ref="AF13" si="7">IF(ISBLANK(AE13),"",INDEX($A13:$AA13,1,MATCH(AE$3,$A$3:$AA$3,0))-AE13)</f>
        <v/>
      </c>
      <c r="AG13" s="45"/>
      <c r="AH13" s="45"/>
      <c r="AI13" s="45"/>
      <c r="AJ13" s="45"/>
    </row>
    <row r="14" spans="1:36" x14ac:dyDescent="0.25">
      <c r="A14" s="82"/>
      <c r="B14" s="92"/>
      <c r="C14" s="93"/>
      <c r="D14" s="1"/>
      <c r="E14" s="2"/>
      <c r="F14" s="2"/>
      <c r="G14" s="2"/>
      <c r="H14" s="2"/>
      <c r="I14" s="48"/>
      <c r="J14" s="48"/>
      <c r="K14" s="48"/>
      <c r="L14" s="1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"/>
      <c r="AB14" s="1"/>
      <c r="AC14" s="90"/>
      <c r="AD14" s="91" t="str">
        <f t="shared" si="0"/>
        <v/>
      </c>
      <c r="AE14" s="90"/>
      <c r="AF14" s="91" t="str">
        <f t="shared" ref="AF14" si="8">IF(ISBLANK(AE14),"",INDEX($A14:$AA14,1,MATCH(AE$3,$A$3:$AA$3,0))-AE14)</f>
        <v/>
      </c>
      <c r="AG14" s="1"/>
      <c r="AH14" s="1"/>
      <c r="AI14" s="1"/>
      <c r="AJ14" s="1"/>
    </row>
    <row r="15" spans="1:36" x14ac:dyDescent="0.25">
      <c r="A15" s="82"/>
      <c r="B15" s="95" t="s">
        <v>303</v>
      </c>
      <c r="C15" s="114"/>
      <c r="D15" s="1"/>
      <c r="E15" s="1"/>
      <c r="F15" s="1"/>
      <c r="G15" s="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1"/>
      <c r="AB15" s="1"/>
      <c r="AC15" s="90"/>
      <c r="AD15" s="91" t="str">
        <f t="shared" si="0"/>
        <v/>
      </c>
      <c r="AE15" s="90"/>
      <c r="AF15" s="91" t="str">
        <f t="shared" ref="AF15" si="9">IF(ISBLANK(AE15),"",INDEX($A15:$AA15,1,MATCH(AE$3,$A$3:$AA$3,0))-AE15)</f>
        <v/>
      </c>
      <c r="AG15" s="1"/>
      <c r="AH15" s="1"/>
      <c r="AI15" s="1"/>
      <c r="AJ15" s="1"/>
    </row>
    <row r="16" spans="1:36" x14ac:dyDescent="0.25">
      <c r="A16" s="82" t="s">
        <v>304</v>
      </c>
      <c r="B16" s="92" t="s">
        <v>292</v>
      </c>
      <c r="C16" s="93"/>
      <c r="D16" s="48"/>
      <c r="E16" s="48"/>
      <c r="F16" s="46"/>
      <c r="G16" s="46"/>
      <c r="H16" s="46"/>
      <c r="I16" s="46"/>
      <c r="J16" s="97">
        <v>1390427</v>
      </c>
      <c r="K16" s="97">
        <v>1507831</v>
      </c>
      <c r="L16" s="97">
        <v>2316670</v>
      </c>
      <c r="M16" s="97">
        <v>2706902</v>
      </c>
      <c r="N16" s="97">
        <v>3128649</v>
      </c>
      <c r="O16" s="97">
        <f>INDEX(Qrtly!$A:$BH,MATCH(Annual!$A16,Qrtly!$A:$A,0),MATCH("1Q"&amp;RIGHT(Annual!O$1,2),Qrtly!$A$3:$BH$3,0))+INDEX(Qrtly!$A:$BH,MATCH(Annual!$A16,Qrtly!$A:$A,0),MATCH("2Q"&amp;RIGHT(Annual!O$1,2),Qrtly!$A$3:$BH$3,0))+INDEX(Qrtly!$A:$BH,MATCH(Annual!$A16,Qrtly!$A:$A,0),MATCH("3Q"&amp;RIGHT(Annual!O$1,2),Qrtly!$A$3:$BH$3,0))+INDEX(Qrtly!$A:$BH,MATCH(Annual!$A16,Qrtly!$A:$A,0),MATCH("4Q"&amp;RIGHT(Annual!O$1,2),Qrtly!$A$3:$BH$3,0))</f>
        <v>3598912</v>
      </c>
      <c r="P16" s="97">
        <f>INDEX(Qrtly!$A:$BH,MATCH(Annual!$A16,Qrtly!$A:$A,0),MATCH("1Q"&amp;RIGHT(Annual!P$1,2),Qrtly!$A$3:$BH$3,0))+INDEX(Qrtly!$A:$BH,MATCH(Annual!$A16,Qrtly!$A:$A,0),MATCH("2Q"&amp;RIGHT(Annual!P$1,2),Qrtly!$A$3:$BH$3,0))+INDEX(Qrtly!$A:$BH,MATCH(Annual!$A16,Qrtly!$A:$A,0),MATCH("3Q"&amp;RIGHT(Annual!P$1,2),Qrtly!$A$3:$BH$3,0))+INDEX(Qrtly!$A:$BH,MATCH(Annual!$A16,Qrtly!$A:$A,0),MATCH("4Q"&amp;RIGHT(Annual!P$1,2),Qrtly!$A$3:$BH$3,0))</f>
        <v>3964136.9143899716</v>
      </c>
      <c r="Q16" s="97">
        <f>INDEX(Qrtly!$A:$BH,MATCH(Annual!$A16,Qrtly!$A:$A,0),MATCH("1Q"&amp;RIGHT(Annual!Q$1,2),Qrtly!$A$3:$BH$3,0))+INDEX(Qrtly!$A:$BH,MATCH(Annual!$A16,Qrtly!$A:$A,0),MATCH("2Q"&amp;RIGHT(Annual!Q$1,2),Qrtly!$A$3:$BH$3,0))+INDEX(Qrtly!$A:$BH,MATCH(Annual!$A16,Qrtly!$A:$A,0),MATCH("3Q"&amp;RIGHT(Annual!Q$1,2),Qrtly!$A$3:$BH$3,0))+INDEX(Qrtly!$A:$BH,MATCH(Annual!$A16,Qrtly!$A:$A,0),MATCH("4Q"&amp;RIGHT(Annual!Q$1,2),Qrtly!$A$3:$BH$3,0))</f>
        <v>4503213.5939852446</v>
      </c>
      <c r="R16" s="97">
        <f>INDEX(Qrtly!$A:$BH,MATCH(Annual!$A16,Qrtly!$A:$A,0),MATCH("1Q"&amp;RIGHT(Annual!R$1,2),Qrtly!$A$3:$BH$3,0))+INDEX(Qrtly!$A:$BH,MATCH(Annual!$A16,Qrtly!$A:$A,0),MATCH("2Q"&amp;RIGHT(Annual!R$1,2),Qrtly!$A$3:$BH$3,0))+INDEX(Qrtly!$A:$BH,MATCH(Annual!$A16,Qrtly!$A:$A,0),MATCH("3Q"&amp;RIGHT(Annual!R$1,2),Qrtly!$A$3:$BH$3,0))+INDEX(Qrtly!$A:$BH,MATCH(Annual!$A16,Qrtly!$A:$A,0),MATCH("4Q"&amp;RIGHT(Annual!R$1,2),Qrtly!$A$3:$BH$3,0))</f>
        <v>5161113.4058620725</v>
      </c>
      <c r="S16" s="97">
        <f>INDEX(Qrtly!$A:$BH,MATCH(Annual!$A16,Qrtly!$A:$A,0),MATCH("1Q"&amp;RIGHT(Annual!S$1,2),Qrtly!$A$3:$BH$3,0))+INDEX(Qrtly!$A:$BH,MATCH(Annual!$A16,Qrtly!$A:$A,0),MATCH("2Q"&amp;RIGHT(Annual!S$1,2),Qrtly!$A$3:$BH$3,0))+INDEX(Qrtly!$A:$BH,MATCH(Annual!$A16,Qrtly!$A:$A,0),MATCH("3Q"&amp;RIGHT(Annual!S$1,2),Qrtly!$A$3:$BH$3,0))+INDEX(Qrtly!$A:$BH,MATCH(Annual!$A16,Qrtly!$A:$A,0),MATCH("4Q"&amp;RIGHT(Annual!S$1,2),Qrtly!$A$3:$BH$3,0))</f>
        <v>5927203.9226030139</v>
      </c>
      <c r="T16" s="97">
        <f>INDEX(Qrtly!$A:$BH,MATCH(Annual!$A16,Qrtly!$A:$A,0),MATCH("1Q"&amp;RIGHT(Annual!T$1,2),Qrtly!$A$3:$BH$3,0))+INDEX(Qrtly!$A:$BH,MATCH(Annual!$A16,Qrtly!$A:$A,0),MATCH("2Q"&amp;RIGHT(Annual!T$1,2),Qrtly!$A$3:$BH$3,0))+INDEX(Qrtly!$A:$BH,MATCH(Annual!$A16,Qrtly!$A:$A,0),MATCH("3Q"&amp;RIGHT(Annual!T$1,2),Qrtly!$A$3:$BH$3,0))+INDEX(Qrtly!$A:$BH,MATCH(Annual!$A16,Qrtly!$A:$A,0),MATCH("4Q"&amp;RIGHT(Annual!T$1,2),Qrtly!$A$3:$BH$3,0))</f>
        <v>6711355.7760520056</v>
      </c>
      <c r="U16" s="97">
        <f>INDEX(Qrtly!$A:$BH,MATCH(Annual!$A16,Qrtly!$A:$A,0),MATCH("1Q"&amp;RIGHT(Annual!U$1,2),Qrtly!$A$3:$BH$3,0))+INDEX(Qrtly!$A:$BH,MATCH(Annual!$A16,Qrtly!$A:$A,0),MATCH("2Q"&amp;RIGHT(Annual!U$1,2),Qrtly!$A$3:$BH$3,0))+INDEX(Qrtly!$A:$BH,MATCH(Annual!$A16,Qrtly!$A:$A,0),MATCH("3Q"&amp;RIGHT(Annual!U$1,2),Qrtly!$A$3:$BH$3,0))+INDEX(Qrtly!$A:$BH,MATCH(Annual!$A16,Qrtly!$A:$A,0),MATCH("4Q"&amp;RIGHT(Annual!U$1,2),Qrtly!$A$3:$BH$3,0))</f>
        <v>7612981.9135164693</v>
      </c>
      <c r="V16" s="97">
        <f>INDEX(Qrtly!$A:$BH,MATCH(Annual!$A16,Qrtly!$A:$A,0),MATCH("1Q"&amp;RIGHT(Annual!V$1,2),Qrtly!$A$3:$BH$3,0))+INDEX(Qrtly!$A:$BH,MATCH(Annual!$A16,Qrtly!$A:$A,0),MATCH("2Q"&amp;RIGHT(Annual!V$1,2),Qrtly!$A$3:$BH$3,0))+INDEX(Qrtly!$A:$BH,MATCH(Annual!$A16,Qrtly!$A:$A,0),MATCH("3Q"&amp;RIGHT(Annual!V$1,2),Qrtly!$A$3:$BH$3,0))+INDEX(Qrtly!$A:$BH,MATCH(Annual!$A16,Qrtly!$A:$A,0),MATCH("4Q"&amp;RIGHT(Annual!V$1,2),Qrtly!$A$3:$BH$3,0))</f>
        <v>8651724.8482065741</v>
      </c>
      <c r="W16" s="97">
        <f>INDEX(Qrtly!$A:$BH,MATCH(Annual!$A16,Qrtly!$A:$A,0),MATCH("1Q"&amp;RIGHT(Annual!W$1,2),Qrtly!$A$3:$BH$3,0))+INDEX(Qrtly!$A:$BH,MATCH(Annual!$A16,Qrtly!$A:$A,0),MATCH("2Q"&amp;RIGHT(Annual!W$1,2),Qrtly!$A$3:$BH$3,0))+INDEX(Qrtly!$A:$BH,MATCH(Annual!$A16,Qrtly!$A:$A,0),MATCH("3Q"&amp;RIGHT(Annual!W$1,2),Qrtly!$A$3:$BH$3,0))+INDEX(Qrtly!$A:$BH,MATCH(Annual!$A16,Qrtly!$A:$A,0),MATCH("4Q"&amp;RIGHT(Annual!W$1,2),Qrtly!$A$3:$BH$3,0))</f>
        <v>9850777.1761733517</v>
      </c>
      <c r="X16" s="97">
        <f>INDEX(Qrtly!$A:$BH,MATCH(Annual!$A16,Qrtly!$A:$A,0),MATCH("1Q"&amp;RIGHT(Annual!X$1,2),Qrtly!$A$3:$BH$3,0))+INDEX(Qrtly!$A:$BH,MATCH(Annual!$A16,Qrtly!$A:$A,0),MATCH("2Q"&amp;RIGHT(Annual!X$1,2),Qrtly!$A$3:$BH$3,0))+INDEX(Qrtly!$A:$BH,MATCH(Annual!$A16,Qrtly!$A:$A,0),MATCH("3Q"&amp;RIGHT(Annual!X$1,2),Qrtly!$A$3:$BH$3,0))+INDEX(Qrtly!$A:$BH,MATCH(Annual!$A16,Qrtly!$A:$A,0),MATCH("4Q"&amp;RIGHT(Annual!X$1,2),Qrtly!$A$3:$BH$3,0))</f>
        <v>11237554.146848746</v>
      </c>
      <c r="Y16" s="97">
        <f>INDEX(Qrtly!$A:$BH,MATCH(Annual!$A16,Qrtly!$A:$A,0),MATCH("1Q"&amp;RIGHT(Annual!Y$1,2),Qrtly!$A$3:$BH$3,0))+INDEX(Qrtly!$A:$BH,MATCH(Annual!$A16,Qrtly!$A:$A,0),MATCH("2Q"&amp;RIGHT(Annual!Y$1,2),Qrtly!$A$3:$BH$3,0))+INDEX(Qrtly!$A:$BH,MATCH(Annual!$A16,Qrtly!$A:$A,0),MATCH("3Q"&amp;RIGHT(Annual!Y$1,2),Qrtly!$A$3:$BH$3,0))+INDEX(Qrtly!$A:$BH,MATCH(Annual!$A16,Qrtly!$A:$A,0),MATCH("4Q"&amp;RIGHT(Annual!Y$1,2),Qrtly!$A$3:$BH$3,0))</f>
        <v>12844497.023560096</v>
      </c>
      <c r="Z16" s="97">
        <f>INDEX(Qrtly!$A:$BH,MATCH(Annual!$A16,Qrtly!$A:$A,0),MATCH("1Q"&amp;RIGHT(Annual!Z$1,2),Qrtly!$A$3:$BH$3,0))+INDEX(Qrtly!$A:$BH,MATCH(Annual!$A16,Qrtly!$A:$A,0),MATCH("2Q"&amp;RIGHT(Annual!Z$1,2),Qrtly!$A$3:$BH$3,0))+INDEX(Qrtly!$A:$BH,MATCH(Annual!$A16,Qrtly!$A:$A,0),MATCH("3Q"&amp;RIGHT(Annual!Z$1,2),Qrtly!$A$3:$BH$3,0))+INDEX(Qrtly!$A:$BH,MATCH(Annual!$A16,Qrtly!$A:$A,0),MATCH("4Q"&amp;RIGHT(Annual!Z$1,2),Qrtly!$A$3:$BH$3,0))</f>
        <v>14710033.025919283</v>
      </c>
      <c r="AA16" s="115">
        <v>-0.01</v>
      </c>
      <c r="AB16" s="115">
        <v>-0.01</v>
      </c>
      <c r="AC16" s="98">
        <v>3991241.3156384528</v>
      </c>
      <c r="AD16" s="99">
        <f>IF(ISBLANK(AC16),"",INDEX($A16:$AA16,1,MATCH(AC$3,$A$3:$AA$3,0))-AC16)</f>
        <v>-27104.401248481125</v>
      </c>
      <c r="AE16" s="98">
        <v>4525935.8298215121</v>
      </c>
      <c r="AF16" s="99">
        <f t="shared" ref="AF16" si="10">IF(ISBLANK(AE16),"",INDEX($A16:$AA16,1,MATCH(AE$3,$A$3:$AA$3,0))-AE16)</f>
        <v>-22722.235836267471</v>
      </c>
      <c r="AG16" s="1"/>
      <c r="AH16" s="1"/>
      <c r="AI16" s="1"/>
      <c r="AJ16" s="1"/>
    </row>
    <row r="17" spans="1:36" x14ac:dyDescent="0.25">
      <c r="A17" s="82" t="s">
        <v>305</v>
      </c>
      <c r="B17" s="92" t="s">
        <v>294</v>
      </c>
      <c r="C17" s="93"/>
      <c r="D17" s="46"/>
      <c r="E17" s="48"/>
      <c r="F17" s="46"/>
      <c r="G17" s="46"/>
      <c r="H17" s="46"/>
      <c r="I17" s="46"/>
      <c r="J17" s="97">
        <v>457668</v>
      </c>
      <c r="K17" s="97">
        <v>1225578</v>
      </c>
      <c r="L17" s="97">
        <v>2070847</v>
      </c>
      <c r="M17" s="97">
        <v>3245042</v>
      </c>
      <c r="N17" s="97">
        <v>4323463</v>
      </c>
      <c r="O17" s="97">
        <f>INDEX(Qrtly!$A:$BH,MATCH(Annual!$A17,Qrtly!$A:$A,0),MATCH("1Q"&amp;RIGHT(Annual!O$1,2),Qrtly!$A$3:$BH$3,0))+INDEX(Qrtly!$A:$BH,MATCH(Annual!$A17,Qrtly!$A:$A,0),MATCH("2Q"&amp;RIGHT(Annual!O$1,2),Qrtly!$A$3:$BH$3,0))+INDEX(Qrtly!$A:$BH,MATCH(Annual!$A17,Qrtly!$A:$A,0),MATCH("3Q"&amp;RIGHT(Annual!O$1,2),Qrtly!$A$3:$BH$3,0))+INDEX(Qrtly!$A:$BH,MATCH(Annual!$A17,Qrtly!$A:$A,0),MATCH("4Q"&amp;RIGHT(Annual!O$1,2),Qrtly!$A$3:$BH$3,0))</f>
        <v>5239011</v>
      </c>
      <c r="P17" s="97">
        <f>INDEX(Qrtly!$A:$BH,MATCH(Annual!$A17,Qrtly!$A:$A,0),MATCH("1Q"&amp;RIGHT(Annual!P$1,2),Qrtly!$A$3:$BH$3,0))+INDEX(Qrtly!$A:$BH,MATCH(Annual!$A17,Qrtly!$A:$A,0),MATCH("2Q"&amp;RIGHT(Annual!P$1,2),Qrtly!$A$3:$BH$3,0))+INDEX(Qrtly!$A:$BH,MATCH(Annual!$A17,Qrtly!$A:$A,0),MATCH("3Q"&amp;RIGHT(Annual!P$1,2),Qrtly!$A$3:$BH$3,0))+INDEX(Qrtly!$A:$BH,MATCH(Annual!$A17,Qrtly!$A:$A,0),MATCH("4Q"&amp;RIGHT(Annual!P$1,2),Qrtly!$A$3:$BH$3,0))</f>
        <v>6284206.8829800002</v>
      </c>
      <c r="Q17" s="97">
        <f>INDEX(Qrtly!$A:$BH,MATCH(Annual!$A17,Qrtly!$A:$A,0),MATCH("1Q"&amp;RIGHT(Annual!Q$1,2),Qrtly!$A$3:$BH$3,0))+INDEX(Qrtly!$A:$BH,MATCH(Annual!$A17,Qrtly!$A:$A,0),MATCH("2Q"&amp;RIGHT(Annual!Q$1,2),Qrtly!$A$3:$BH$3,0))+INDEX(Qrtly!$A:$BH,MATCH(Annual!$A17,Qrtly!$A:$A,0),MATCH("3Q"&amp;RIGHT(Annual!Q$1,2),Qrtly!$A$3:$BH$3,0))+INDEX(Qrtly!$A:$BH,MATCH(Annual!$A17,Qrtly!$A:$A,0),MATCH("4Q"&amp;RIGHT(Annual!Q$1,2),Qrtly!$A$3:$BH$3,0))</f>
        <v>7825132.4043910783</v>
      </c>
      <c r="R17" s="97">
        <f>INDEX(Qrtly!$A:$BH,MATCH(Annual!$A17,Qrtly!$A:$A,0),MATCH("1Q"&amp;RIGHT(Annual!R$1,2),Qrtly!$A$3:$BH$3,0))+INDEX(Qrtly!$A:$BH,MATCH(Annual!$A17,Qrtly!$A:$A,0),MATCH("2Q"&amp;RIGHT(Annual!R$1,2),Qrtly!$A$3:$BH$3,0))+INDEX(Qrtly!$A:$BH,MATCH(Annual!$A17,Qrtly!$A:$A,0),MATCH("3Q"&amp;RIGHT(Annual!R$1,2),Qrtly!$A$3:$BH$3,0))+INDEX(Qrtly!$A:$BH,MATCH(Annual!$A17,Qrtly!$A:$A,0),MATCH("4Q"&amp;RIGHT(Annual!R$1,2),Qrtly!$A$3:$BH$3,0))</f>
        <v>9281980.2205841877</v>
      </c>
      <c r="S17" s="97">
        <f>INDEX(Qrtly!$A:$BH,MATCH(Annual!$A17,Qrtly!$A:$A,0),MATCH("1Q"&amp;RIGHT(Annual!S$1,2),Qrtly!$A$3:$BH$3,0))+INDEX(Qrtly!$A:$BH,MATCH(Annual!$A17,Qrtly!$A:$A,0),MATCH("2Q"&amp;RIGHT(Annual!S$1,2),Qrtly!$A$3:$BH$3,0))+INDEX(Qrtly!$A:$BH,MATCH(Annual!$A17,Qrtly!$A:$A,0),MATCH("3Q"&amp;RIGHT(Annual!S$1,2),Qrtly!$A$3:$BH$3,0))+INDEX(Qrtly!$A:$BH,MATCH(Annual!$A17,Qrtly!$A:$A,0),MATCH("4Q"&amp;RIGHT(Annual!S$1,2),Qrtly!$A$3:$BH$3,0))</f>
        <v>10803008.435413774</v>
      </c>
      <c r="T17" s="97">
        <f>INDEX(Qrtly!$A:$BH,MATCH(Annual!$A17,Qrtly!$A:$A,0),MATCH("1Q"&amp;RIGHT(Annual!T$1,2),Qrtly!$A$3:$BH$3,0))+INDEX(Qrtly!$A:$BH,MATCH(Annual!$A17,Qrtly!$A:$A,0),MATCH("2Q"&amp;RIGHT(Annual!T$1,2),Qrtly!$A$3:$BH$3,0))+INDEX(Qrtly!$A:$BH,MATCH(Annual!$A17,Qrtly!$A:$A,0),MATCH("3Q"&amp;RIGHT(Annual!T$1,2),Qrtly!$A$3:$BH$3,0))+INDEX(Qrtly!$A:$BH,MATCH(Annual!$A17,Qrtly!$A:$A,0),MATCH("4Q"&amp;RIGHT(Annual!T$1,2),Qrtly!$A$3:$BH$3,0))</f>
        <v>12453689.820708666</v>
      </c>
      <c r="U17" s="97">
        <f>INDEX(Qrtly!$A:$BH,MATCH(Annual!$A17,Qrtly!$A:$A,0),MATCH("1Q"&amp;RIGHT(Annual!U$1,2),Qrtly!$A$3:$BH$3,0))+INDEX(Qrtly!$A:$BH,MATCH(Annual!$A17,Qrtly!$A:$A,0),MATCH("2Q"&amp;RIGHT(Annual!U$1,2),Qrtly!$A$3:$BH$3,0))+INDEX(Qrtly!$A:$BH,MATCH(Annual!$A17,Qrtly!$A:$A,0),MATCH("3Q"&amp;RIGHT(Annual!U$1,2),Qrtly!$A$3:$BH$3,0))+INDEX(Qrtly!$A:$BH,MATCH(Annual!$A17,Qrtly!$A:$A,0),MATCH("4Q"&amp;RIGHT(Annual!U$1,2),Qrtly!$A$3:$BH$3,0))</f>
        <v>14382454.470462818</v>
      </c>
      <c r="V17" s="97">
        <f>INDEX(Qrtly!$A:$BH,MATCH(Annual!$A17,Qrtly!$A:$A,0),MATCH("1Q"&amp;RIGHT(Annual!V$1,2),Qrtly!$A$3:$BH$3,0))+INDEX(Qrtly!$A:$BH,MATCH(Annual!$A17,Qrtly!$A:$A,0),MATCH("2Q"&amp;RIGHT(Annual!V$1,2),Qrtly!$A$3:$BH$3,0))+INDEX(Qrtly!$A:$BH,MATCH(Annual!$A17,Qrtly!$A:$A,0),MATCH("3Q"&amp;RIGHT(Annual!V$1,2),Qrtly!$A$3:$BH$3,0))+INDEX(Qrtly!$A:$BH,MATCH(Annual!$A17,Qrtly!$A:$A,0),MATCH("4Q"&amp;RIGHT(Annual!V$1,2),Qrtly!$A$3:$BH$3,0))</f>
        <v>16641613.205465551</v>
      </c>
      <c r="W17" s="97">
        <f>INDEX(Qrtly!$A:$BH,MATCH(Annual!$A17,Qrtly!$A:$A,0),MATCH("1Q"&amp;RIGHT(Annual!W$1,2),Qrtly!$A$3:$BH$3,0))+INDEX(Qrtly!$A:$BH,MATCH(Annual!$A17,Qrtly!$A:$A,0),MATCH("2Q"&amp;RIGHT(Annual!W$1,2),Qrtly!$A$3:$BH$3,0))+INDEX(Qrtly!$A:$BH,MATCH(Annual!$A17,Qrtly!$A:$A,0),MATCH("3Q"&amp;RIGHT(Annual!W$1,2),Qrtly!$A$3:$BH$3,0))+INDEX(Qrtly!$A:$BH,MATCH(Annual!$A17,Qrtly!$A:$A,0),MATCH("4Q"&amp;RIGHT(Annual!W$1,2),Qrtly!$A$3:$BH$3,0))</f>
        <v>19294358.506970588</v>
      </c>
      <c r="X17" s="97">
        <f>INDEX(Qrtly!$A:$BH,MATCH(Annual!$A17,Qrtly!$A:$A,0),MATCH("1Q"&amp;RIGHT(Annual!X$1,2),Qrtly!$A$3:$BH$3,0))+INDEX(Qrtly!$A:$BH,MATCH(Annual!$A17,Qrtly!$A:$A,0),MATCH("2Q"&amp;RIGHT(Annual!X$1,2),Qrtly!$A$3:$BH$3,0))+INDEX(Qrtly!$A:$BH,MATCH(Annual!$A17,Qrtly!$A:$A,0),MATCH("3Q"&amp;RIGHT(Annual!X$1,2),Qrtly!$A$3:$BH$3,0))+INDEX(Qrtly!$A:$BH,MATCH(Annual!$A17,Qrtly!$A:$A,0),MATCH("4Q"&amp;RIGHT(Annual!X$1,2),Qrtly!$A$3:$BH$3,0))</f>
        <v>22417205.250467695</v>
      </c>
      <c r="Y17" s="97">
        <f>INDEX(Qrtly!$A:$BH,MATCH(Annual!$A17,Qrtly!$A:$A,0),MATCH("1Q"&amp;RIGHT(Annual!Y$1,2),Qrtly!$A$3:$BH$3,0))+INDEX(Qrtly!$A:$BH,MATCH(Annual!$A17,Qrtly!$A:$A,0),MATCH("2Q"&amp;RIGHT(Annual!Y$1,2),Qrtly!$A$3:$BH$3,0))+INDEX(Qrtly!$A:$BH,MATCH(Annual!$A17,Qrtly!$A:$A,0),MATCH("3Q"&amp;RIGHT(Annual!Y$1,2),Qrtly!$A$3:$BH$3,0))+INDEX(Qrtly!$A:$BH,MATCH(Annual!$A17,Qrtly!$A:$A,0),MATCH("4Q"&amp;RIGHT(Annual!Y$1,2),Qrtly!$A$3:$BH$3,0))</f>
        <v>26103006.066579103</v>
      </c>
      <c r="Z17" s="97">
        <f>INDEX(Qrtly!$A:$BH,MATCH(Annual!$A17,Qrtly!$A:$A,0),MATCH("1Q"&amp;RIGHT(Annual!Z$1,2),Qrtly!$A$3:$BH$3,0))+INDEX(Qrtly!$A:$BH,MATCH(Annual!$A17,Qrtly!$A:$A,0),MATCH("2Q"&amp;RIGHT(Annual!Z$1,2),Qrtly!$A$3:$BH$3,0))+INDEX(Qrtly!$A:$BH,MATCH(Annual!$A17,Qrtly!$A:$A,0),MATCH("3Q"&amp;RIGHT(Annual!Z$1,2),Qrtly!$A$3:$BH$3,0))+INDEX(Qrtly!$A:$BH,MATCH(Annual!$A17,Qrtly!$A:$A,0),MATCH("4Q"&amp;RIGHT(Annual!Z$1,2),Qrtly!$A$3:$BH$3,0))</f>
        <v>30464680.472897172</v>
      </c>
      <c r="AA17" s="115">
        <v>0.03</v>
      </c>
      <c r="AB17" s="115">
        <v>0.08</v>
      </c>
      <c r="AC17" s="98">
        <v>6143549.1045340002</v>
      </c>
      <c r="AD17" s="99">
        <f t="shared" ref="AD17:AD80" si="11">IF(ISBLANK(AC17),"",INDEX($A17:$AA17,1,MATCH(AC$3,$A$3:$AA$3,0))-AC17)</f>
        <v>140657.77844600007</v>
      </c>
      <c r="AE17" s="98">
        <v>7660639.7355973627</v>
      </c>
      <c r="AF17" s="99">
        <f t="shared" ref="AF17" si="12">IF(ISBLANK(AE17),"",INDEX($A17:$AA17,1,MATCH(AE$3,$A$3:$AA$3,0))-AE17)</f>
        <v>164492.66879371554</v>
      </c>
      <c r="AG17" s="1"/>
      <c r="AH17" s="1"/>
      <c r="AI17" s="1"/>
      <c r="AJ17" s="1"/>
    </row>
    <row r="18" spans="1:36" x14ac:dyDescent="0.25">
      <c r="A18" s="82" t="s">
        <v>306</v>
      </c>
      <c r="B18" s="92" t="s">
        <v>296</v>
      </c>
      <c r="C18" s="93"/>
      <c r="D18" s="46"/>
      <c r="E18" s="48"/>
      <c r="F18" s="46"/>
      <c r="G18" s="46"/>
      <c r="H18" s="46"/>
      <c r="I18" s="46"/>
      <c r="J18" s="97">
        <v>41590</v>
      </c>
      <c r="K18" s="46">
        <v>0</v>
      </c>
      <c r="L18" s="97">
        <v>32305</v>
      </c>
      <c r="M18" s="97">
        <v>39949</v>
      </c>
      <c r="N18" s="97">
        <v>52775</v>
      </c>
      <c r="O18" s="97">
        <f>INDEX(Qrtly!$A:$BH,MATCH(Annual!$A18,Qrtly!$A:$A,0),MATCH("1Q"&amp;RIGHT(Annual!O$1,2),Qrtly!$A$3:$BH$3,0))+INDEX(Qrtly!$A:$BH,MATCH(Annual!$A18,Qrtly!$A:$A,0),MATCH("2Q"&amp;RIGHT(Annual!O$1,2),Qrtly!$A$3:$BH$3,0))+INDEX(Qrtly!$A:$BH,MATCH(Annual!$A18,Qrtly!$A:$A,0),MATCH("3Q"&amp;RIGHT(Annual!O$1,2),Qrtly!$A$3:$BH$3,0))+INDEX(Qrtly!$A:$BH,MATCH(Annual!$A18,Qrtly!$A:$A,0),MATCH("4Q"&amp;RIGHT(Annual!O$1,2),Qrtly!$A$3:$BH$3,0))</f>
        <v>51113</v>
      </c>
      <c r="P18" s="97">
        <f>INDEX(Qrtly!$A:$BH,MATCH(Annual!$A18,Qrtly!$A:$A,0),MATCH("1Q"&amp;RIGHT(Annual!P$1,2),Qrtly!$A$3:$BH$3,0))+INDEX(Qrtly!$A:$BH,MATCH(Annual!$A18,Qrtly!$A:$A,0),MATCH("2Q"&amp;RIGHT(Annual!P$1,2),Qrtly!$A$3:$BH$3,0))+INDEX(Qrtly!$A:$BH,MATCH(Annual!$A18,Qrtly!$A:$A,0),MATCH("3Q"&amp;RIGHT(Annual!P$1,2),Qrtly!$A$3:$BH$3,0))+INDEX(Qrtly!$A:$BH,MATCH(Annual!$A18,Qrtly!$A:$A,0),MATCH("4Q"&amp;RIGHT(Annual!P$1,2),Qrtly!$A$3:$BH$3,0))</f>
        <v>73635</v>
      </c>
      <c r="Q18" s="97">
        <f>INDEX(Qrtly!$A:$BH,MATCH(Annual!$A18,Qrtly!$A:$A,0),MATCH("1Q"&amp;RIGHT(Annual!Q$1,2),Qrtly!$A$3:$BH$3,0))+INDEX(Qrtly!$A:$BH,MATCH(Annual!$A18,Qrtly!$A:$A,0),MATCH("2Q"&amp;RIGHT(Annual!Q$1,2),Qrtly!$A$3:$BH$3,0))+INDEX(Qrtly!$A:$BH,MATCH(Annual!$A18,Qrtly!$A:$A,0),MATCH("3Q"&amp;RIGHT(Annual!Q$1,2),Qrtly!$A$3:$BH$3,0))+INDEX(Qrtly!$A:$BH,MATCH(Annual!$A18,Qrtly!$A:$A,0),MATCH("4Q"&amp;RIGHT(Annual!Q$1,2),Qrtly!$A$3:$BH$3,0))</f>
        <v>144141</v>
      </c>
      <c r="R18" s="97">
        <f>INDEX(Qrtly!$A:$BH,MATCH(Annual!$A18,Qrtly!$A:$A,0),MATCH("1Q"&amp;RIGHT(Annual!R$1,2),Qrtly!$A$3:$BH$3,0))+INDEX(Qrtly!$A:$BH,MATCH(Annual!$A18,Qrtly!$A:$A,0),MATCH("2Q"&amp;RIGHT(Annual!R$1,2),Qrtly!$A$3:$BH$3,0))+INDEX(Qrtly!$A:$BH,MATCH(Annual!$A18,Qrtly!$A:$A,0),MATCH("3Q"&amp;RIGHT(Annual!R$1,2),Qrtly!$A$3:$BH$3,0))+INDEX(Qrtly!$A:$BH,MATCH(Annual!$A18,Qrtly!$A:$A,0),MATCH("4Q"&amp;RIGHT(Annual!R$1,2),Qrtly!$A$3:$BH$3,0))</f>
        <v>181899</v>
      </c>
      <c r="S18" s="97">
        <f>INDEX(Qrtly!$A:$BH,MATCH(Annual!$A18,Qrtly!$A:$A,0),MATCH("1Q"&amp;RIGHT(Annual!S$1,2),Qrtly!$A$3:$BH$3,0))+INDEX(Qrtly!$A:$BH,MATCH(Annual!$A18,Qrtly!$A:$A,0),MATCH("2Q"&amp;RIGHT(Annual!S$1,2),Qrtly!$A$3:$BH$3,0))+INDEX(Qrtly!$A:$BH,MATCH(Annual!$A18,Qrtly!$A:$A,0),MATCH("3Q"&amp;RIGHT(Annual!S$1,2),Qrtly!$A$3:$BH$3,0))+INDEX(Qrtly!$A:$BH,MATCH(Annual!$A18,Qrtly!$A:$A,0),MATCH("4Q"&amp;RIGHT(Annual!S$1,2),Qrtly!$A$3:$BH$3,0))</f>
        <v>217156</v>
      </c>
      <c r="T18" s="97">
        <f>INDEX(Qrtly!$A:$BH,MATCH(Annual!$A18,Qrtly!$A:$A,0),MATCH("1Q"&amp;RIGHT(Annual!T$1,2),Qrtly!$A$3:$BH$3,0))+INDEX(Qrtly!$A:$BH,MATCH(Annual!$A18,Qrtly!$A:$A,0),MATCH("2Q"&amp;RIGHT(Annual!T$1,2),Qrtly!$A$3:$BH$3,0))+INDEX(Qrtly!$A:$BH,MATCH(Annual!$A18,Qrtly!$A:$A,0),MATCH("3Q"&amp;RIGHT(Annual!T$1,2),Qrtly!$A$3:$BH$3,0))+INDEX(Qrtly!$A:$BH,MATCH(Annual!$A18,Qrtly!$A:$A,0),MATCH("4Q"&amp;RIGHT(Annual!T$1,2),Qrtly!$A$3:$BH$3,0))</f>
        <v>228013</v>
      </c>
      <c r="U18" s="97">
        <f>INDEX(Qrtly!$A:$BH,MATCH(Annual!$A18,Qrtly!$A:$A,0),MATCH("1Q"&amp;RIGHT(Annual!U$1,2),Qrtly!$A$3:$BH$3,0))+INDEX(Qrtly!$A:$BH,MATCH(Annual!$A18,Qrtly!$A:$A,0),MATCH("2Q"&amp;RIGHT(Annual!U$1,2),Qrtly!$A$3:$BH$3,0))+INDEX(Qrtly!$A:$BH,MATCH(Annual!$A18,Qrtly!$A:$A,0),MATCH("3Q"&amp;RIGHT(Annual!U$1,2),Qrtly!$A$3:$BH$3,0))+INDEX(Qrtly!$A:$BH,MATCH(Annual!$A18,Qrtly!$A:$A,0),MATCH("4Q"&amp;RIGHT(Annual!U$1,2),Qrtly!$A$3:$BH$3,0))</f>
        <v>239415</v>
      </c>
      <c r="V18" s="97">
        <f>INDEX(Qrtly!$A:$BH,MATCH(Annual!$A18,Qrtly!$A:$A,0),MATCH("1Q"&amp;RIGHT(Annual!V$1,2),Qrtly!$A$3:$BH$3,0))+INDEX(Qrtly!$A:$BH,MATCH(Annual!$A18,Qrtly!$A:$A,0),MATCH("2Q"&amp;RIGHT(Annual!V$1,2),Qrtly!$A$3:$BH$3,0))+INDEX(Qrtly!$A:$BH,MATCH(Annual!$A18,Qrtly!$A:$A,0),MATCH("3Q"&amp;RIGHT(Annual!V$1,2),Qrtly!$A$3:$BH$3,0))+INDEX(Qrtly!$A:$BH,MATCH(Annual!$A18,Qrtly!$A:$A,0),MATCH("4Q"&amp;RIGHT(Annual!V$1,2),Qrtly!$A$3:$BH$3,0))</f>
        <v>251385</v>
      </c>
      <c r="W18" s="97">
        <f>INDEX(Qrtly!$A:$BH,MATCH(Annual!$A18,Qrtly!$A:$A,0),MATCH("1Q"&amp;RIGHT(Annual!W$1,2),Qrtly!$A$3:$BH$3,0))+INDEX(Qrtly!$A:$BH,MATCH(Annual!$A18,Qrtly!$A:$A,0),MATCH("2Q"&amp;RIGHT(Annual!W$1,2),Qrtly!$A$3:$BH$3,0))+INDEX(Qrtly!$A:$BH,MATCH(Annual!$A18,Qrtly!$A:$A,0),MATCH("3Q"&amp;RIGHT(Annual!W$1,2),Qrtly!$A$3:$BH$3,0))+INDEX(Qrtly!$A:$BH,MATCH(Annual!$A18,Qrtly!$A:$A,0),MATCH("4Q"&amp;RIGHT(Annual!W$1,2),Qrtly!$A$3:$BH$3,0))</f>
        <v>263954</v>
      </c>
      <c r="X18" s="97">
        <f>INDEX(Qrtly!$A:$BH,MATCH(Annual!$A18,Qrtly!$A:$A,0),MATCH("1Q"&amp;RIGHT(Annual!X$1,2),Qrtly!$A$3:$BH$3,0))+INDEX(Qrtly!$A:$BH,MATCH(Annual!$A18,Qrtly!$A:$A,0),MATCH("2Q"&amp;RIGHT(Annual!X$1,2),Qrtly!$A$3:$BH$3,0))+INDEX(Qrtly!$A:$BH,MATCH(Annual!$A18,Qrtly!$A:$A,0),MATCH("3Q"&amp;RIGHT(Annual!X$1,2),Qrtly!$A$3:$BH$3,0))+INDEX(Qrtly!$A:$BH,MATCH(Annual!$A18,Qrtly!$A:$A,0),MATCH("4Q"&amp;RIGHT(Annual!X$1,2),Qrtly!$A$3:$BH$3,0))</f>
        <v>277151</v>
      </c>
      <c r="Y18" s="97">
        <f>INDEX(Qrtly!$A:$BH,MATCH(Annual!$A18,Qrtly!$A:$A,0),MATCH("1Q"&amp;RIGHT(Annual!Y$1,2),Qrtly!$A$3:$BH$3,0))+INDEX(Qrtly!$A:$BH,MATCH(Annual!$A18,Qrtly!$A:$A,0),MATCH("2Q"&amp;RIGHT(Annual!Y$1,2),Qrtly!$A$3:$BH$3,0))+INDEX(Qrtly!$A:$BH,MATCH(Annual!$A18,Qrtly!$A:$A,0),MATCH("3Q"&amp;RIGHT(Annual!Y$1,2),Qrtly!$A$3:$BH$3,0))+INDEX(Qrtly!$A:$BH,MATCH(Annual!$A18,Qrtly!$A:$A,0),MATCH("4Q"&amp;RIGHT(Annual!Y$1,2),Qrtly!$A$3:$BH$3,0))</f>
        <v>291010</v>
      </c>
      <c r="Z18" s="97">
        <f>INDEX(Qrtly!$A:$BH,MATCH(Annual!$A18,Qrtly!$A:$A,0),MATCH("1Q"&amp;RIGHT(Annual!Z$1,2),Qrtly!$A$3:$BH$3,0))+INDEX(Qrtly!$A:$BH,MATCH(Annual!$A18,Qrtly!$A:$A,0),MATCH("2Q"&amp;RIGHT(Annual!Z$1,2),Qrtly!$A$3:$BH$3,0))+INDEX(Qrtly!$A:$BH,MATCH(Annual!$A18,Qrtly!$A:$A,0),MATCH("3Q"&amp;RIGHT(Annual!Z$1,2),Qrtly!$A$3:$BH$3,0))+INDEX(Qrtly!$A:$BH,MATCH(Annual!$A18,Qrtly!$A:$A,0),MATCH("4Q"&amp;RIGHT(Annual!Z$1,2),Qrtly!$A$3:$BH$3,0))</f>
        <v>305559</v>
      </c>
      <c r="AA18" s="115">
        <v>-0.04</v>
      </c>
      <c r="AB18" s="115">
        <v>-0.02</v>
      </c>
      <c r="AC18" s="98">
        <v>85633</v>
      </c>
      <c r="AD18" s="99">
        <f t="shared" si="11"/>
        <v>-11998</v>
      </c>
      <c r="AE18" s="98">
        <v>144141</v>
      </c>
      <c r="AF18" s="99">
        <f t="shared" ref="AF18" si="13">IF(ISBLANK(AE18),"",INDEX($A18:$AA18,1,MATCH(AE$3,$A$3:$AA$3,0))-AE18)</f>
        <v>0</v>
      </c>
      <c r="AG18" s="1"/>
      <c r="AH18" s="1"/>
      <c r="AI18" s="1"/>
      <c r="AJ18" s="1"/>
    </row>
    <row r="19" spans="1:36" x14ac:dyDescent="0.25">
      <c r="A19" s="82" t="s">
        <v>48</v>
      </c>
      <c r="B19" s="100" t="s">
        <v>307</v>
      </c>
      <c r="C19" s="5" t="s">
        <v>298</v>
      </c>
      <c r="D19" s="101"/>
      <c r="E19" s="101"/>
      <c r="F19" s="102">
        <v>370030</v>
      </c>
      <c r="G19" s="102">
        <v>576038</v>
      </c>
      <c r="H19" s="102">
        <v>839306</v>
      </c>
      <c r="I19" s="102">
        <v>1303700</v>
      </c>
      <c r="J19" s="102">
        <v>1889685</v>
      </c>
      <c r="K19" s="102">
        <v>2733409</v>
      </c>
      <c r="L19" s="102">
        <v>4419822</v>
      </c>
      <c r="M19" s="102">
        <v>5991892</v>
      </c>
      <c r="N19" s="102">
        <v>7504886</v>
      </c>
      <c r="O19" s="102">
        <f>INDEX(Qrtly!$A:$BH,MATCH(Annual!$A19,Qrtly!$A:$A,0),MATCH("1Q"&amp;RIGHT(Annual!O$1,2),Qrtly!$A$3:$BH$3,0))+INDEX(Qrtly!$A:$BH,MATCH(Annual!$A19,Qrtly!$A:$A,0),MATCH("2Q"&amp;RIGHT(Annual!O$1,2),Qrtly!$A$3:$BH$3,0))+INDEX(Qrtly!$A:$BH,MATCH(Annual!$A19,Qrtly!$A:$A,0),MATCH("3Q"&amp;RIGHT(Annual!O$1,2),Qrtly!$A$3:$BH$3,0))+INDEX(Qrtly!$A:$BH,MATCH(Annual!$A19,Qrtly!$A:$A,0),MATCH("4Q"&amp;RIGHT(Annual!O$1,2),Qrtly!$A$3:$BH$3,0))</f>
        <v>8889036</v>
      </c>
      <c r="P19" s="102">
        <f>INDEX(Qrtly!$A:$BH,MATCH(Annual!$A19,Qrtly!$A:$A,0),MATCH("1Q"&amp;RIGHT(Annual!P$1,2),Qrtly!$A$3:$BH$3,0))+INDEX(Qrtly!$A:$BH,MATCH(Annual!$A19,Qrtly!$A:$A,0),MATCH("2Q"&amp;RIGHT(Annual!P$1,2),Qrtly!$A$3:$BH$3,0))+INDEX(Qrtly!$A:$BH,MATCH(Annual!$A19,Qrtly!$A:$A,0),MATCH("3Q"&amp;RIGHT(Annual!P$1,2),Qrtly!$A$3:$BH$3,0))+INDEX(Qrtly!$A:$BH,MATCH(Annual!$A19,Qrtly!$A:$A,0),MATCH("4Q"&amp;RIGHT(Annual!P$1,2),Qrtly!$A$3:$BH$3,0))</f>
        <v>10321978.797369972</v>
      </c>
      <c r="Q19" s="102">
        <f>INDEX(Qrtly!$A:$BH,MATCH(Annual!$A19,Qrtly!$A:$A,0),MATCH("1Q"&amp;RIGHT(Annual!Q$1,2),Qrtly!$A$3:$BH$3,0))+INDEX(Qrtly!$A:$BH,MATCH(Annual!$A19,Qrtly!$A:$A,0),MATCH("2Q"&amp;RIGHT(Annual!Q$1,2),Qrtly!$A$3:$BH$3,0))+INDEX(Qrtly!$A:$BH,MATCH(Annual!$A19,Qrtly!$A:$A,0),MATCH("3Q"&amp;RIGHT(Annual!Q$1,2),Qrtly!$A$3:$BH$3,0))+INDEX(Qrtly!$A:$BH,MATCH(Annual!$A19,Qrtly!$A:$A,0),MATCH("4Q"&amp;RIGHT(Annual!Q$1,2),Qrtly!$A$3:$BH$3,0))</f>
        <v>12472486.998376321</v>
      </c>
      <c r="R19" s="102">
        <f>INDEX(Qrtly!$A:$BH,MATCH(Annual!$A19,Qrtly!$A:$A,0),MATCH("1Q"&amp;RIGHT(Annual!R$1,2),Qrtly!$A$3:$BH$3,0))+INDEX(Qrtly!$A:$BH,MATCH(Annual!$A19,Qrtly!$A:$A,0),MATCH("2Q"&amp;RIGHT(Annual!R$1,2),Qrtly!$A$3:$BH$3,0))+INDEX(Qrtly!$A:$BH,MATCH(Annual!$A19,Qrtly!$A:$A,0),MATCH("3Q"&amp;RIGHT(Annual!R$1,2),Qrtly!$A$3:$BH$3,0))+INDEX(Qrtly!$A:$BH,MATCH(Annual!$A19,Qrtly!$A:$A,0),MATCH("4Q"&amp;RIGHT(Annual!R$1,2),Qrtly!$A$3:$BH$3,0))</f>
        <v>14624992.626446262</v>
      </c>
      <c r="S19" s="102">
        <f>INDEX(Qrtly!$A:$BH,MATCH(Annual!$A19,Qrtly!$A:$A,0),MATCH("1Q"&amp;RIGHT(Annual!S$1,2),Qrtly!$A$3:$BH$3,0))+INDEX(Qrtly!$A:$BH,MATCH(Annual!$A19,Qrtly!$A:$A,0),MATCH("2Q"&amp;RIGHT(Annual!S$1,2),Qrtly!$A$3:$BH$3,0))+INDEX(Qrtly!$A:$BH,MATCH(Annual!$A19,Qrtly!$A:$A,0),MATCH("3Q"&amp;RIGHT(Annual!S$1,2),Qrtly!$A$3:$BH$3,0))+INDEX(Qrtly!$A:$BH,MATCH(Annual!$A19,Qrtly!$A:$A,0),MATCH("4Q"&amp;RIGHT(Annual!S$1,2),Qrtly!$A$3:$BH$3,0))</f>
        <v>16947368.358016789</v>
      </c>
      <c r="T19" s="102">
        <f>INDEX(Qrtly!$A:$BH,MATCH(Annual!$A19,Qrtly!$A:$A,0),MATCH("1Q"&amp;RIGHT(Annual!T$1,2),Qrtly!$A$3:$BH$3,0))+INDEX(Qrtly!$A:$BH,MATCH(Annual!$A19,Qrtly!$A:$A,0),MATCH("2Q"&amp;RIGHT(Annual!T$1,2),Qrtly!$A$3:$BH$3,0))+INDEX(Qrtly!$A:$BH,MATCH(Annual!$A19,Qrtly!$A:$A,0),MATCH("3Q"&amp;RIGHT(Annual!T$1,2),Qrtly!$A$3:$BH$3,0))+INDEX(Qrtly!$A:$BH,MATCH(Annual!$A19,Qrtly!$A:$A,0),MATCH("4Q"&amp;RIGHT(Annual!T$1,2),Qrtly!$A$3:$BH$3,0))</f>
        <v>19393058.596760675</v>
      </c>
      <c r="U19" s="102">
        <f>INDEX(Qrtly!$A:$BH,MATCH(Annual!$A19,Qrtly!$A:$A,0),MATCH("1Q"&amp;RIGHT(Annual!U$1,2),Qrtly!$A$3:$BH$3,0))+INDEX(Qrtly!$A:$BH,MATCH(Annual!$A19,Qrtly!$A:$A,0),MATCH("2Q"&amp;RIGHT(Annual!U$1,2),Qrtly!$A$3:$BH$3,0))+INDEX(Qrtly!$A:$BH,MATCH(Annual!$A19,Qrtly!$A:$A,0),MATCH("3Q"&amp;RIGHT(Annual!U$1,2),Qrtly!$A$3:$BH$3,0))+INDEX(Qrtly!$A:$BH,MATCH(Annual!$A19,Qrtly!$A:$A,0),MATCH("4Q"&amp;RIGHT(Annual!U$1,2),Qrtly!$A$3:$BH$3,0))</f>
        <v>22234851.383979287</v>
      </c>
      <c r="V19" s="102">
        <f>INDEX(Qrtly!$A:$BH,MATCH(Annual!$A19,Qrtly!$A:$A,0),MATCH("1Q"&amp;RIGHT(Annual!V$1,2),Qrtly!$A$3:$BH$3,0))+INDEX(Qrtly!$A:$BH,MATCH(Annual!$A19,Qrtly!$A:$A,0),MATCH("2Q"&amp;RIGHT(Annual!V$1,2),Qrtly!$A$3:$BH$3,0))+INDEX(Qrtly!$A:$BH,MATCH(Annual!$A19,Qrtly!$A:$A,0),MATCH("3Q"&amp;RIGHT(Annual!V$1,2),Qrtly!$A$3:$BH$3,0))+INDEX(Qrtly!$A:$BH,MATCH(Annual!$A19,Qrtly!$A:$A,0),MATCH("4Q"&amp;RIGHT(Annual!V$1,2),Qrtly!$A$3:$BH$3,0))</f>
        <v>25544723.053672127</v>
      </c>
      <c r="W19" s="102">
        <f>INDEX(Qrtly!$A:$BH,MATCH(Annual!$A19,Qrtly!$A:$A,0),MATCH("1Q"&amp;RIGHT(Annual!W$1,2),Qrtly!$A$3:$BH$3,0))+INDEX(Qrtly!$A:$BH,MATCH(Annual!$A19,Qrtly!$A:$A,0),MATCH("2Q"&amp;RIGHT(Annual!W$1,2),Qrtly!$A$3:$BH$3,0))+INDEX(Qrtly!$A:$BH,MATCH(Annual!$A19,Qrtly!$A:$A,0),MATCH("3Q"&amp;RIGHT(Annual!W$1,2),Qrtly!$A$3:$BH$3,0))+INDEX(Qrtly!$A:$BH,MATCH(Annual!$A19,Qrtly!$A:$A,0),MATCH("4Q"&amp;RIGHT(Annual!W$1,2),Qrtly!$A$3:$BH$3,0))</f>
        <v>29409089.683143936</v>
      </c>
      <c r="X19" s="102">
        <f>INDEX(Qrtly!$A:$BH,MATCH(Annual!$A19,Qrtly!$A:$A,0),MATCH("1Q"&amp;RIGHT(Annual!X$1,2),Qrtly!$A$3:$BH$3,0))+INDEX(Qrtly!$A:$BH,MATCH(Annual!$A19,Qrtly!$A:$A,0),MATCH("2Q"&amp;RIGHT(Annual!X$1,2),Qrtly!$A$3:$BH$3,0))+INDEX(Qrtly!$A:$BH,MATCH(Annual!$A19,Qrtly!$A:$A,0),MATCH("3Q"&amp;RIGHT(Annual!X$1,2),Qrtly!$A$3:$BH$3,0))+INDEX(Qrtly!$A:$BH,MATCH(Annual!$A19,Qrtly!$A:$A,0),MATCH("4Q"&amp;RIGHT(Annual!X$1,2),Qrtly!$A$3:$BH$3,0))</f>
        <v>33931910.397316441</v>
      </c>
      <c r="Y19" s="102">
        <f>INDEX(Qrtly!$A:$BH,MATCH(Annual!$A19,Qrtly!$A:$A,0),MATCH("1Q"&amp;RIGHT(Annual!Y$1,2),Qrtly!$A$3:$BH$3,0))+INDEX(Qrtly!$A:$BH,MATCH(Annual!$A19,Qrtly!$A:$A,0),MATCH("2Q"&amp;RIGHT(Annual!Y$1,2),Qrtly!$A$3:$BH$3,0))+INDEX(Qrtly!$A:$BH,MATCH(Annual!$A19,Qrtly!$A:$A,0),MATCH("3Q"&amp;RIGHT(Annual!Y$1,2),Qrtly!$A$3:$BH$3,0))+INDEX(Qrtly!$A:$BH,MATCH(Annual!$A19,Qrtly!$A:$A,0),MATCH("4Q"&amp;RIGHT(Annual!Y$1,2),Qrtly!$A$3:$BH$3,0))</f>
        <v>39238513.090139195</v>
      </c>
      <c r="Z19" s="102">
        <f>INDEX(Qrtly!$A:$BH,MATCH(Annual!$A19,Qrtly!$A:$A,0),MATCH("1Q"&amp;RIGHT(Annual!Z$1,2),Qrtly!$A$3:$BH$3,0))+INDEX(Qrtly!$A:$BH,MATCH(Annual!$A19,Qrtly!$A:$A,0),MATCH("2Q"&amp;RIGHT(Annual!Z$1,2),Qrtly!$A$3:$BH$3,0))+INDEX(Qrtly!$A:$BH,MATCH(Annual!$A19,Qrtly!$A:$A,0),MATCH("3Q"&amp;RIGHT(Annual!Z$1,2),Qrtly!$A$3:$BH$3,0))+INDEX(Qrtly!$A:$BH,MATCH(Annual!$A19,Qrtly!$A:$A,0),MATCH("4Q"&amp;RIGHT(Annual!Z$1,2),Qrtly!$A$3:$BH$3,0))</f>
        <v>45480272.498816453</v>
      </c>
      <c r="AA19" s="115">
        <v>0.01</v>
      </c>
      <c r="AB19" s="115">
        <v>0.04</v>
      </c>
      <c r="AC19" s="103">
        <v>10220423.420172453</v>
      </c>
      <c r="AD19" s="104">
        <f t="shared" si="11"/>
        <v>101555.37719751894</v>
      </c>
      <c r="AE19" s="103">
        <v>12330716.565418877</v>
      </c>
      <c r="AF19" s="104">
        <f t="shared" ref="AF19" si="14">IF(ISBLANK(AE19),"",INDEX($A19:$AA19,1,MATCH(AE$3,$A$3:$AA$3,0))-AE19)</f>
        <v>141770.43295744434</v>
      </c>
      <c r="AG19" s="1"/>
      <c r="AH19" s="1"/>
      <c r="AI19" s="1"/>
      <c r="AJ19" s="1"/>
    </row>
    <row r="20" spans="1:36" x14ac:dyDescent="0.25">
      <c r="A20" s="82"/>
      <c r="B20" s="92" t="s">
        <v>299</v>
      </c>
      <c r="C20" s="93" t="s">
        <v>300</v>
      </c>
      <c r="D20" s="1"/>
      <c r="E20" s="2"/>
      <c r="F20" s="2"/>
      <c r="G20" s="2"/>
      <c r="H20" s="2"/>
      <c r="I20" s="62">
        <v>0.55300000000000005</v>
      </c>
      <c r="J20" s="62">
        <v>0.44900000000000001</v>
      </c>
      <c r="K20" s="62">
        <v>0.44600000000000001</v>
      </c>
      <c r="L20" s="62">
        <v>0.61699999999999999</v>
      </c>
      <c r="M20" s="62">
        <v>0.35599999999999998</v>
      </c>
      <c r="N20" s="62">
        <v>0.253</v>
      </c>
      <c r="O20" s="330">
        <f>O19/N19-1</f>
        <v>0.18443318126351294</v>
      </c>
      <c r="P20" s="330">
        <f t="shared" ref="P20" si="15">P19/O19-1</f>
        <v>0.16120339678790496</v>
      </c>
      <c r="Q20" s="330">
        <f t="shared" ref="Q20" si="16">Q19/P19-1</f>
        <v>0.20834262918213864</v>
      </c>
      <c r="R20" s="330">
        <f t="shared" ref="R20" si="17">R19/Q19-1</f>
        <v>0.17258030642566768</v>
      </c>
      <c r="S20" s="330">
        <f t="shared" ref="S20" si="18">S19/R19-1</f>
        <v>0.15879500187719708</v>
      </c>
      <c r="T20" s="330">
        <f t="shared" ref="T20" si="19">T19/S19-1</f>
        <v>0.14431091524525552</v>
      </c>
      <c r="U20" s="330">
        <f t="shared" ref="U20" si="20">U19/T19-1</f>
        <v>0.1465365957123077</v>
      </c>
      <c r="V20" s="330">
        <f t="shared" ref="V20" si="21">V19/U19-1</f>
        <v>0.14885962638264716</v>
      </c>
      <c r="W20" s="330">
        <f t="shared" ref="W20" si="22">W19/V19-1</f>
        <v>0.15127847036557696</v>
      </c>
      <c r="X20" s="330">
        <f t="shared" ref="X20" si="23">X19/W19-1</f>
        <v>0.15378989159140133</v>
      </c>
      <c r="Y20" s="330">
        <f t="shared" ref="Y20" si="24">Y19/X19-1</f>
        <v>0.15638974141704787</v>
      </c>
      <c r="Z20" s="330">
        <f t="shared" ref="Z20" si="25">Z19/Y19-1</f>
        <v>0.15907227152921455</v>
      </c>
      <c r="AA20" s="1"/>
      <c r="AB20" s="1"/>
      <c r="AC20" s="105">
        <v>0.1497786059334727</v>
      </c>
      <c r="AD20" s="106">
        <f t="shared" si="11"/>
        <v>1.1424790854432265E-2</v>
      </c>
      <c r="AE20" s="105">
        <v>0.20647805462553093</v>
      </c>
      <c r="AF20" s="106">
        <f t="shared" ref="AF20" si="26">IF(ISBLANK(AE20),"",INDEX($A20:$AA20,1,MATCH(AE$3,$A$3:$AA$3,0))-AE20)</f>
        <v>1.8645745566077121E-3</v>
      </c>
      <c r="AG20" s="1"/>
      <c r="AH20" s="1"/>
      <c r="AI20" s="1"/>
      <c r="AJ20" s="1"/>
    </row>
    <row r="21" spans="1:36" x14ac:dyDescent="0.25">
      <c r="A21" s="82"/>
      <c r="B21" s="107" t="s">
        <v>301</v>
      </c>
      <c r="C21" s="93" t="s">
        <v>298</v>
      </c>
      <c r="D21" s="1"/>
      <c r="E21" s="2"/>
      <c r="F21" s="2"/>
      <c r="G21" s="2"/>
      <c r="H21" s="2"/>
      <c r="I21" s="48"/>
      <c r="J21" s="48"/>
      <c r="K21" s="108">
        <v>2457500</v>
      </c>
      <c r="L21" s="48"/>
      <c r="M21" s="48" t="s">
        <v>308</v>
      </c>
      <c r="N21" s="48" t="s">
        <v>308</v>
      </c>
      <c r="O21" s="108">
        <v>8650000</v>
      </c>
      <c r="P21" s="108">
        <v>10220000</v>
      </c>
      <c r="Q21" s="1"/>
      <c r="R21" s="2"/>
      <c r="S21" s="2"/>
      <c r="T21" s="2"/>
      <c r="U21" s="2"/>
      <c r="V21" s="2"/>
      <c r="W21" s="2"/>
      <c r="X21" s="2"/>
      <c r="Y21" s="2"/>
      <c r="Z21" s="2"/>
      <c r="AA21" s="1"/>
      <c r="AB21" s="1"/>
      <c r="AC21" s="116">
        <v>10220000</v>
      </c>
      <c r="AD21" s="117">
        <f t="shared" si="11"/>
        <v>0</v>
      </c>
      <c r="AE21" s="90"/>
      <c r="AF21" s="117" t="str">
        <f t="shared" ref="AF21" si="27">IF(ISBLANK(AE21),"",INDEX($A21:$AA21,1,MATCH(AE$3,$A$3:$AA$3,0))-AE21)</f>
        <v/>
      </c>
      <c r="AG21" s="1"/>
      <c r="AH21" s="1"/>
      <c r="AI21" s="1"/>
      <c r="AJ21" s="1"/>
    </row>
    <row r="22" spans="1:36" x14ac:dyDescent="0.25">
      <c r="A22" s="82"/>
      <c r="B22" s="107" t="s">
        <v>309</v>
      </c>
      <c r="C22" s="93"/>
      <c r="D22" s="1"/>
      <c r="E22" s="2"/>
      <c r="F22" s="2"/>
      <c r="G22" s="2"/>
      <c r="H22" s="2"/>
      <c r="I22" s="48"/>
      <c r="J22" s="48"/>
      <c r="K22" s="48"/>
      <c r="L22" s="48"/>
      <c r="M22" s="48"/>
      <c r="N22" s="48"/>
      <c r="O22" s="48"/>
      <c r="P22" s="108">
        <v>10243000</v>
      </c>
      <c r="Q22" s="1"/>
      <c r="R22" s="2">
        <v>10243000</v>
      </c>
      <c r="S22" s="2"/>
      <c r="T22" s="2"/>
      <c r="U22" s="2"/>
      <c r="V22" s="2"/>
      <c r="W22" s="2"/>
      <c r="X22" s="2"/>
      <c r="Y22" s="2"/>
      <c r="Z22" s="2"/>
      <c r="AA22" s="1"/>
      <c r="AB22" s="1"/>
      <c r="AC22" s="116">
        <v>10170000</v>
      </c>
      <c r="AD22" s="91">
        <f t="shared" si="11"/>
        <v>73000</v>
      </c>
      <c r="AE22" s="90"/>
      <c r="AF22" s="91" t="str">
        <f t="shared" ref="AF22" si="28">IF(ISBLANK(AE22),"",INDEX($A22:$AA22,1,MATCH(AE$3,$A$3:$AA$3,0))-AE22)</f>
        <v/>
      </c>
      <c r="AG22" s="1"/>
      <c r="AH22" s="1"/>
      <c r="AI22" s="1"/>
      <c r="AJ22" s="1"/>
    </row>
    <row r="23" spans="1:36" x14ac:dyDescent="0.25">
      <c r="A23" s="109"/>
      <c r="B23" s="110" t="s">
        <v>302</v>
      </c>
      <c r="C23" s="111"/>
      <c r="D23" s="45"/>
      <c r="E23" s="46"/>
      <c r="F23" s="46"/>
      <c r="G23" s="46"/>
      <c r="H23" s="46"/>
      <c r="I23" s="46"/>
      <c r="J23" s="2"/>
      <c r="K23" s="50">
        <v>0.11</v>
      </c>
      <c r="L23" s="46"/>
      <c r="M23" s="2"/>
      <c r="N23" s="2"/>
      <c r="O23" s="50">
        <v>0.03</v>
      </c>
      <c r="P23" s="50">
        <v>0</v>
      </c>
      <c r="Q23" s="45"/>
      <c r="R23" s="341">
        <f>R22/P22-1</f>
        <v>0</v>
      </c>
      <c r="S23" s="46"/>
      <c r="T23" s="46"/>
      <c r="U23" s="46"/>
      <c r="V23" s="46"/>
      <c r="W23" s="46"/>
      <c r="X23" s="46"/>
      <c r="Y23" s="46"/>
      <c r="Z23" s="46"/>
      <c r="AA23" s="45">
        <v>0.6</v>
      </c>
      <c r="AB23" s="45"/>
      <c r="AC23" s="116">
        <v>0</v>
      </c>
      <c r="AD23" s="91">
        <f t="shared" si="11"/>
        <v>0</v>
      </c>
      <c r="AE23" s="90"/>
      <c r="AF23" s="91" t="str">
        <f t="shared" ref="AF23" si="29">IF(ISBLANK(AE23),"",INDEX($A23:$AA23,1,MATCH(AE$3,$A$3:$AA$3,0))-AE23)</f>
        <v/>
      </c>
      <c r="AG23" s="45"/>
      <c r="AH23" s="45"/>
      <c r="AI23" s="45"/>
      <c r="AJ23" s="45"/>
    </row>
    <row r="24" spans="1:36" x14ac:dyDescent="0.25">
      <c r="A24" s="109"/>
      <c r="B24" s="110"/>
      <c r="C24" s="111"/>
      <c r="D24" s="45"/>
      <c r="E24" s="46"/>
      <c r="F24" s="46"/>
      <c r="G24" s="46"/>
      <c r="H24" s="46"/>
      <c r="I24" s="46"/>
      <c r="J24" s="2"/>
      <c r="K24" s="2"/>
      <c r="L24" s="46"/>
      <c r="M24" s="2"/>
      <c r="N24" s="2"/>
      <c r="O24" s="2"/>
      <c r="P24" s="50">
        <v>0.14000000000000001</v>
      </c>
      <c r="Q24" s="45"/>
      <c r="R24" s="46"/>
      <c r="S24" s="46"/>
      <c r="T24" s="46"/>
      <c r="U24" s="46"/>
      <c r="V24" s="46"/>
      <c r="W24" s="46"/>
      <c r="X24" s="46"/>
      <c r="Y24" s="46"/>
      <c r="Z24" s="46"/>
      <c r="AA24" s="45"/>
      <c r="AB24" s="45"/>
      <c r="AC24" s="116">
        <v>0.14000000000000001</v>
      </c>
      <c r="AD24" s="91">
        <f t="shared" si="11"/>
        <v>0</v>
      </c>
      <c r="AE24" s="90"/>
      <c r="AF24" s="91" t="str">
        <f t="shared" ref="AF24" si="30">IF(ISBLANK(AE24),"",INDEX($A24:$AA24,1,MATCH(AE$3,$A$3:$AA$3,0))-AE24)</f>
        <v/>
      </c>
      <c r="AG24" s="45"/>
      <c r="AH24" s="45"/>
      <c r="AI24" s="45"/>
      <c r="AJ24" s="45"/>
    </row>
    <row r="25" spans="1:36" x14ac:dyDescent="0.25">
      <c r="A25" s="82"/>
      <c r="B25" s="95" t="s">
        <v>310</v>
      </c>
      <c r="C25" s="114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1"/>
      <c r="AB25" s="1"/>
      <c r="AC25" s="90"/>
      <c r="AD25" s="91" t="str">
        <f t="shared" si="11"/>
        <v/>
      </c>
      <c r="AE25" s="90"/>
      <c r="AF25" s="91" t="str">
        <f t="shared" ref="AF25" si="31">IF(ISBLANK(AE25),"",INDEX($A25:$AA25,1,MATCH(AE$3,$A$3:$AA$3,0))-AE25)</f>
        <v/>
      </c>
      <c r="AG25" s="1"/>
      <c r="AH25" s="1"/>
      <c r="AI25" s="1"/>
      <c r="AJ25" s="1"/>
    </row>
    <row r="26" spans="1:36" x14ac:dyDescent="0.25">
      <c r="A26" s="82" t="s">
        <v>311</v>
      </c>
      <c r="B26" s="92" t="s">
        <v>312</v>
      </c>
      <c r="C26" s="114"/>
      <c r="D26" s="48"/>
      <c r="E26" s="48"/>
      <c r="F26" s="97">
        <v>133553</v>
      </c>
      <c r="G26" s="97">
        <v>163943</v>
      </c>
      <c r="H26" s="97">
        <v>206623</v>
      </c>
      <c r="I26" s="97">
        <v>319845</v>
      </c>
      <c r="J26" s="97">
        <v>417018</v>
      </c>
      <c r="K26" s="97">
        <v>546019</v>
      </c>
      <c r="L26" s="97">
        <v>859594</v>
      </c>
      <c r="M26" s="97">
        <v>1311170</v>
      </c>
      <c r="N26" s="97">
        <f>INDEX(Qrtly!$A:$BH,MATCH(Annual!$A26,Qrtly!$A:$A,0),MATCH("1Q"&amp;RIGHT(Annual!N$1,2),Qrtly!$A$3:$BH$3,0))+INDEX(Qrtly!$A:$BH,MATCH(Annual!$A26,Qrtly!$A:$A,0),MATCH("2Q"&amp;RIGHT(Annual!N$1,2),Qrtly!$A$3:$BH$3,0))+INDEX(Qrtly!$A:$BH,MATCH(Annual!$A26,Qrtly!$A:$A,0),MATCH("3Q"&amp;RIGHT(Annual!N$1,2),Qrtly!$A$3:$BH$3,0))+INDEX(Qrtly!$A:$BH,MATCH(Annual!$A26,Qrtly!$A:$A,0),MATCH("4Q"&amp;RIGHT(Annual!N$1,2),Qrtly!$A$3:$BH$3,0))</f>
        <v>1668712</v>
      </c>
      <c r="O26" s="97">
        <f>INDEX(Qrtly!$A:$BH,MATCH(Annual!$A26,Qrtly!$A:$A,0),MATCH("1Q"&amp;RIGHT(Annual!O$1,2),Qrtly!$A$3:$BH$3,0))+INDEX(Qrtly!$A:$BH,MATCH(Annual!$A26,Qrtly!$A:$A,0),MATCH("2Q"&amp;RIGHT(Annual!O$1,2),Qrtly!$A$3:$BH$3,0))+INDEX(Qrtly!$A:$BH,MATCH(Annual!$A26,Qrtly!$A:$A,0),MATCH("3Q"&amp;RIGHT(Annual!O$1,2),Qrtly!$A$3:$BH$3,0))+INDEX(Qrtly!$A:$BH,MATCH(Annual!$A26,Qrtly!$A:$A,0),MATCH("4Q"&amp;RIGHT(Annual!O$1,2),Qrtly!$A$3:$BH$3,0))</f>
        <v>2849128</v>
      </c>
      <c r="P26" s="97">
        <f>INDEX(Qrtly!$A:$BH,MATCH(Annual!$A26,Qrtly!$A:$A,0),MATCH("1Q"&amp;RIGHT(Annual!P$1,2),Qrtly!$A$3:$BH$3,0))+INDEX(Qrtly!$A:$BH,MATCH(Annual!$A26,Qrtly!$A:$A,0),MATCH("2Q"&amp;RIGHT(Annual!P$1,2),Qrtly!$A$3:$BH$3,0))+INDEX(Qrtly!$A:$BH,MATCH(Annual!$A26,Qrtly!$A:$A,0),MATCH("3Q"&amp;RIGHT(Annual!P$1,2),Qrtly!$A$3:$BH$3,0))+INDEX(Qrtly!$A:$BH,MATCH(Annual!$A26,Qrtly!$A:$A,0),MATCH("4Q"&amp;RIGHT(Annual!P$1,2),Qrtly!$A$3:$BH$3,0))</f>
        <v>2883152.24</v>
      </c>
      <c r="Q26" s="97">
        <f>INDEX(Qrtly!$A:$BH,MATCH(Annual!$A26,Qrtly!$A:$A,0),MATCH("1Q"&amp;RIGHT(Annual!Q$1,2),Qrtly!$A$3:$BH$3,0))+INDEX(Qrtly!$A:$BH,MATCH(Annual!$A26,Qrtly!$A:$A,0),MATCH("2Q"&amp;RIGHT(Annual!Q$1,2),Qrtly!$A$3:$BH$3,0))+INDEX(Qrtly!$A:$BH,MATCH(Annual!$A26,Qrtly!$A:$A,0),MATCH("3Q"&amp;RIGHT(Annual!Q$1,2),Qrtly!$A$3:$BH$3,0))+INDEX(Qrtly!$A:$BH,MATCH(Annual!$A26,Qrtly!$A:$A,0),MATCH("4Q"&amp;RIGHT(Annual!Q$1,2),Qrtly!$A$3:$BH$3,0))</f>
        <v>2940815.2848000005</v>
      </c>
      <c r="R26" s="97">
        <f>INDEX(Qrtly!$A:$BH,MATCH(Annual!$A26,Qrtly!$A:$A,0),MATCH("1Q"&amp;RIGHT(Annual!R$1,2),Qrtly!$A$3:$BH$3,0))+INDEX(Qrtly!$A:$BH,MATCH(Annual!$A26,Qrtly!$A:$A,0),MATCH("2Q"&amp;RIGHT(Annual!R$1,2),Qrtly!$A$3:$BH$3,0))+INDEX(Qrtly!$A:$BH,MATCH(Annual!$A26,Qrtly!$A:$A,0),MATCH("3Q"&amp;RIGHT(Annual!R$1,2),Qrtly!$A$3:$BH$3,0))+INDEX(Qrtly!$A:$BH,MATCH(Annual!$A26,Qrtly!$A:$A,0),MATCH("4Q"&amp;RIGHT(Annual!R$1,2),Qrtly!$A$3:$BH$3,0))</f>
        <v>3058447.8961920002</v>
      </c>
      <c r="S26" s="97">
        <f>INDEX(Qrtly!$A:$BH,MATCH(Annual!$A26,Qrtly!$A:$A,0),MATCH("1Q"&amp;RIGHT(Annual!S$1,2),Qrtly!$A$3:$BH$3,0))+INDEX(Qrtly!$A:$BH,MATCH(Annual!$A26,Qrtly!$A:$A,0),MATCH("2Q"&amp;RIGHT(Annual!S$1,2),Qrtly!$A$3:$BH$3,0))+INDEX(Qrtly!$A:$BH,MATCH(Annual!$A26,Qrtly!$A:$A,0),MATCH("3Q"&amp;RIGHT(Annual!S$1,2),Qrtly!$A$3:$BH$3,0))+INDEX(Qrtly!$A:$BH,MATCH(Annual!$A26,Qrtly!$A:$A,0),MATCH("4Q"&amp;RIGHT(Annual!S$1,2),Qrtly!$A$3:$BH$3,0))</f>
        <v>3180785.8120396808</v>
      </c>
      <c r="T26" s="97">
        <f>INDEX(Qrtly!$A:$BH,MATCH(Annual!$A26,Qrtly!$A:$A,0),MATCH("1Q"&amp;RIGHT(Annual!T$1,2),Qrtly!$A$3:$BH$3,0))+INDEX(Qrtly!$A:$BH,MATCH(Annual!$A26,Qrtly!$A:$A,0),MATCH("2Q"&amp;RIGHT(Annual!T$1,2),Qrtly!$A$3:$BH$3,0))+INDEX(Qrtly!$A:$BH,MATCH(Annual!$A26,Qrtly!$A:$A,0),MATCH("3Q"&amp;RIGHT(Annual!T$1,2),Qrtly!$A$3:$BH$3,0))+INDEX(Qrtly!$A:$BH,MATCH(Annual!$A26,Qrtly!$A:$A,0),MATCH("4Q"&amp;RIGHT(Annual!T$1,2),Qrtly!$A$3:$BH$3,0))</f>
        <v>3308017.2445212677</v>
      </c>
      <c r="U26" s="97">
        <f>INDEX(Qrtly!$A:$BH,MATCH(Annual!$A26,Qrtly!$A:$A,0),MATCH("1Q"&amp;RIGHT(Annual!U$1,2),Qrtly!$A$3:$BH$3,0))+INDEX(Qrtly!$A:$BH,MATCH(Annual!$A26,Qrtly!$A:$A,0),MATCH("2Q"&amp;RIGHT(Annual!U$1,2),Qrtly!$A$3:$BH$3,0))+INDEX(Qrtly!$A:$BH,MATCH(Annual!$A26,Qrtly!$A:$A,0),MATCH("3Q"&amp;RIGHT(Annual!U$1,2),Qrtly!$A$3:$BH$3,0))+INDEX(Qrtly!$A:$BH,MATCH(Annual!$A26,Qrtly!$A:$A,0),MATCH("4Q"&amp;RIGHT(Annual!U$1,2),Qrtly!$A$3:$BH$3,0))</f>
        <v>3440337.9343021186</v>
      </c>
      <c r="V26" s="97">
        <f>INDEX(Qrtly!$A:$BH,MATCH(Annual!$A26,Qrtly!$A:$A,0),MATCH("1Q"&amp;RIGHT(Annual!V$1,2),Qrtly!$A$3:$BH$3,0))+INDEX(Qrtly!$A:$BH,MATCH(Annual!$A26,Qrtly!$A:$A,0),MATCH("2Q"&amp;RIGHT(Annual!V$1,2),Qrtly!$A$3:$BH$3,0))+INDEX(Qrtly!$A:$BH,MATCH(Annual!$A26,Qrtly!$A:$A,0),MATCH("3Q"&amp;RIGHT(Annual!V$1,2),Qrtly!$A$3:$BH$3,0))+INDEX(Qrtly!$A:$BH,MATCH(Annual!$A26,Qrtly!$A:$A,0),MATCH("4Q"&amp;RIGHT(Annual!V$1,2),Qrtly!$A$3:$BH$3,0))</f>
        <v>3577951.4516742034</v>
      </c>
      <c r="W26" s="97">
        <f>INDEX(Qrtly!$A:$BH,MATCH(Annual!$A26,Qrtly!$A:$A,0),MATCH("1Q"&amp;RIGHT(Annual!W$1,2),Qrtly!$A$3:$BH$3,0))+INDEX(Qrtly!$A:$BH,MATCH(Annual!$A26,Qrtly!$A:$A,0),MATCH("2Q"&amp;RIGHT(Annual!W$1,2),Qrtly!$A$3:$BH$3,0))+INDEX(Qrtly!$A:$BH,MATCH(Annual!$A26,Qrtly!$A:$A,0),MATCH("3Q"&amp;RIGHT(Annual!W$1,2),Qrtly!$A$3:$BH$3,0))+INDEX(Qrtly!$A:$BH,MATCH(Annual!$A26,Qrtly!$A:$A,0),MATCH("4Q"&amp;RIGHT(Annual!W$1,2),Qrtly!$A$3:$BH$3,0))</f>
        <v>3721069.5097411717</v>
      </c>
      <c r="X26" s="97">
        <f>INDEX(Qrtly!$A:$BH,MATCH(Annual!$A26,Qrtly!$A:$A,0),MATCH("1Q"&amp;RIGHT(Annual!X$1,2),Qrtly!$A$3:$BH$3,0))+INDEX(Qrtly!$A:$BH,MATCH(Annual!$A26,Qrtly!$A:$A,0),MATCH("2Q"&amp;RIGHT(Annual!X$1,2),Qrtly!$A$3:$BH$3,0))+INDEX(Qrtly!$A:$BH,MATCH(Annual!$A26,Qrtly!$A:$A,0),MATCH("3Q"&amp;RIGHT(Annual!X$1,2),Qrtly!$A$3:$BH$3,0))+INDEX(Qrtly!$A:$BH,MATCH(Annual!$A26,Qrtly!$A:$A,0),MATCH("4Q"&amp;RIGHT(Annual!X$1,2),Qrtly!$A$3:$BH$3,0))</f>
        <v>3869912.2901308187</v>
      </c>
      <c r="Y26" s="97">
        <f>INDEX(Qrtly!$A:$BH,MATCH(Annual!$A26,Qrtly!$A:$A,0),MATCH("1Q"&amp;RIGHT(Annual!Y$1,2),Qrtly!$A$3:$BH$3,0))+INDEX(Qrtly!$A:$BH,MATCH(Annual!$A26,Qrtly!$A:$A,0),MATCH("2Q"&amp;RIGHT(Annual!Y$1,2),Qrtly!$A$3:$BH$3,0))+INDEX(Qrtly!$A:$BH,MATCH(Annual!$A26,Qrtly!$A:$A,0),MATCH("3Q"&amp;RIGHT(Annual!Y$1,2),Qrtly!$A$3:$BH$3,0))+INDEX(Qrtly!$A:$BH,MATCH(Annual!$A26,Qrtly!$A:$A,0),MATCH("4Q"&amp;RIGHT(Annual!Y$1,2),Qrtly!$A$3:$BH$3,0))</f>
        <v>4024708.7817360517</v>
      </c>
      <c r="Z26" s="97">
        <f>INDEX(Qrtly!$A:$BH,MATCH(Annual!$A26,Qrtly!$A:$A,0),MATCH("1Q"&amp;RIGHT(Annual!Z$1,2),Qrtly!$A$3:$BH$3,0))+INDEX(Qrtly!$A:$BH,MATCH(Annual!$A26,Qrtly!$A:$A,0),MATCH("2Q"&amp;RIGHT(Annual!Z$1,2),Qrtly!$A$3:$BH$3,0))+INDEX(Qrtly!$A:$BH,MATCH(Annual!$A26,Qrtly!$A:$A,0),MATCH("3Q"&amp;RIGHT(Annual!Z$1,2),Qrtly!$A$3:$BH$3,0))+INDEX(Qrtly!$A:$BH,MATCH(Annual!$A26,Qrtly!$A:$A,0),MATCH("4Q"&amp;RIGHT(Annual!Z$1,2),Qrtly!$A$3:$BH$3,0))</f>
        <v>4185697.1330054933</v>
      </c>
      <c r="AA26" s="1"/>
      <c r="AB26" s="1"/>
      <c r="AC26" s="98">
        <v>2897119.9000000004</v>
      </c>
      <c r="AD26" s="99">
        <f t="shared" si="11"/>
        <v>-13967.660000000149</v>
      </c>
      <c r="AE26" s="98">
        <v>2955062.2980000004</v>
      </c>
      <c r="AF26" s="99">
        <f t="shared" ref="AF26" si="32">IF(ISBLANK(AE26),"",INDEX($A26:$AA26,1,MATCH(AE$3,$A$3:$AA$3,0))-AE26)</f>
        <v>-14247.013199999928</v>
      </c>
      <c r="AG26" s="1"/>
      <c r="AH26" s="1"/>
      <c r="AI26" s="1"/>
      <c r="AJ26" s="1"/>
    </row>
    <row r="27" spans="1:36" x14ac:dyDescent="0.25">
      <c r="A27" s="82" t="s">
        <v>313</v>
      </c>
      <c r="B27" s="92" t="s">
        <v>314</v>
      </c>
      <c r="C27" s="114"/>
      <c r="D27" s="48"/>
      <c r="E27" s="48"/>
      <c r="F27" s="97">
        <v>138195</v>
      </c>
      <c r="G27" s="97">
        <v>159651</v>
      </c>
      <c r="H27" s="97">
        <v>234029</v>
      </c>
      <c r="I27" s="97">
        <v>383708</v>
      </c>
      <c r="J27" s="97">
        <v>593439</v>
      </c>
      <c r="K27" s="97">
        <v>1068893</v>
      </c>
      <c r="L27" s="97">
        <v>1554977</v>
      </c>
      <c r="M27" s="97">
        <v>1946279</v>
      </c>
      <c r="N27" s="97">
        <f>INDEX(Qrtly!$A:$BH,MATCH(Annual!$A27,Qrtly!$A:$A,0),MATCH("1Q"&amp;RIGHT(Annual!N$1,2),Qrtly!$A$3:$BH$3,0))+INDEX(Qrtly!$A:$BH,MATCH(Annual!$A27,Qrtly!$A:$A,0),MATCH("2Q"&amp;RIGHT(Annual!N$1,2),Qrtly!$A$3:$BH$3,0))+INDEX(Qrtly!$A:$BH,MATCH(Annual!$A27,Qrtly!$A:$A,0),MATCH("3Q"&amp;RIGHT(Annual!N$1,2),Qrtly!$A$3:$BH$3,0))+INDEX(Qrtly!$A:$BH,MATCH(Annual!$A27,Qrtly!$A:$A,0),MATCH("4Q"&amp;RIGHT(Annual!N$1,2),Qrtly!$A$3:$BH$3,0))</f>
        <v>1879759</v>
      </c>
      <c r="O27" s="97">
        <f>INDEX(Qrtly!$A:$BH,MATCH(Annual!$A27,Qrtly!$A:$A,0),MATCH("1Q"&amp;RIGHT(Annual!O$1,2),Qrtly!$A$3:$BH$3,0))+INDEX(Qrtly!$A:$BH,MATCH(Annual!$A27,Qrtly!$A:$A,0),MATCH("2Q"&amp;RIGHT(Annual!O$1,2),Qrtly!$A$3:$BH$3,0))+INDEX(Qrtly!$A:$BH,MATCH(Annual!$A27,Qrtly!$A:$A,0),MATCH("3Q"&amp;RIGHT(Annual!O$1,2),Qrtly!$A$3:$BH$3,0))+INDEX(Qrtly!$A:$BH,MATCH(Annual!$A27,Qrtly!$A:$A,0),MATCH("4Q"&amp;RIGHT(Annual!O$1,2),Qrtly!$A$3:$BH$3,0))</f>
        <v>1983062</v>
      </c>
      <c r="P27" s="97">
        <f>INDEX(Qrtly!$A:$BH,MATCH(Annual!$A27,Qrtly!$A:$A,0),MATCH("1Q"&amp;RIGHT(Annual!P$1,2),Qrtly!$A$3:$BH$3,0))+INDEX(Qrtly!$A:$BH,MATCH(Annual!$A27,Qrtly!$A:$A,0),MATCH("2Q"&amp;RIGHT(Annual!P$1,2),Qrtly!$A$3:$BH$3,0))+INDEX(Qrtly!$A:$BH,MATCH(Annual!$A27,Qrtly!$A:$A,0),MATCH("3Q"&amp;RIGHT(Annual!P$1,2),Qrtly!$A$3:$BH$3,0))+INDEX(Qrtly!$A:$BH,MATCH(Annual!$A27,Qrtly!$A:$A,0),MATCH("4Q"&amp;RIGHT(Annual!P$1,2),Qrtly!$A$3:$BH$3,0))</f>
        <v>2250471.46</v>
      </c>
      <c r="Q27" s="97">
        <f>INDEX(Qrtly!$A:$BH,MATCH(Annual!$A27,Qrtly!$A:$A,0),MATCH("1Q"&amp;RIGHT(Annual!Q$1,2),Qrtly!$A$3:$BH$3,0))+INDEX(Qrtly!$A:$BH,MATCH(Annual!$A27,Qrtly!$A:$A,0),MATCH("2Q"&amp;RIGHT(Annual!Q$1,2),Qrtly!$A$3:$BH$3,0))+INDEX(Qrtly!$A:$BH,MATCH(Annual!$A27,Qrtly!$A:$A,0),MATCH("3Q"&amp;RIGHT(Annual!Q$1,2),Qrtly!$A$3:$BH$3,0))+INDEX(Qrtly!$A:$BH,MATCH(Annual!$A27,Qrtly!$A:$A,0),MATCH("4Q"&amp;RIGHT(Annual!Q$1,2),Qrtly!$A$3:$BH$3,0))</f>
        <v>2602673.9311843091</v>
      </c>
      <c r="R27" s="97">
        <f>INDEX(Qrtly!$A:$BH,MATCH(Annual!$A27,Qrtly!$A:$A,0),MATCH("1Q"&amp;RIGHT(Annual!R$1,2),Qrtly!$A$3:$BH$3,0))+INDEX(Qrtly!$A:$BH,MATCH(Annual!$A27,Qrtly!$A:$A,0),MATCH("2Q"&amp;RIGHT(Annual!R$1,2),Qrtly!$A$3:$BH$3,0))+INDEX(Qrtly!$A:$BH,MATCH(Annual!$A27,Qrtly!$A:$A,0),MATCH("3Q"&amp;RIGHT(Annual!R$1,2),Qrtly!$A$3:$BH$3,0))+INDEX(Qrtly!$A:$BH,MATCH(Annual!$A27,Qrtly!$A:$A,0),MATCH("4Q"&amp;RIGHT(Annual!R$1,2),Qrtly!$A$3:$BH$3,0))</f>
        <v>2957089.3761499156</v>
      </c>
      <c r="S27" s="97">
        <f>INDEX(Qrtly!$A:$BH,MATCH(Annual!$A27,Qrtly!$A:$A,0),MATCH("1Q"&amp;RIGHT(Annual!S$1,2),Qrtly!$A$3:$BH$3,0))+INDEX(Qrtly!$A:$BH,MATCH(Annual!$A27,Qrtly!$A:$A,0),MATCH("2Q"&amp;RIGHT(Annual!S$1,2),Qrtly!$A$3:$BH$3,0))+INDEX(Qrtly!$A:$BH,MATCH(Annual!$A27,Qrtly!$A:$A,0),MATCH("3Q"&amp;RIGHT(Annual!S$1,2),Qrtly!$A$3:$BH$3,0))+INDEX(Qrtly!$A:$BH,MATCH(Annual!$A27,Qrtly!$A:$A,0),MATCH("4Q"&amp;RIGHT(Annual!S$1,2),Qrtly!$A$3:$BH$3,0))</f>
        <v>3359754.9677848276</v>
      </c>
      <c r="T27" s="97">
        <f>INDEX(Qrtly!$A:$BH,MATCH(Annual!$A27,Qrtly!$A:$A,0),MATCH("1Q"&amp;RIGHT(Annual!T$1,2),Qrtly!$A$3:$BH$3,0))+INDEX(Qrtly!$A:$BH,MATCH(Annual!$A27,Qrtly!$A:$A,0),MATCH("2Q"&amp;RIGHT(Annual!T$1,2),Qrtly!$A$3:$BH$3,0))+INDEX(Qrtly!$A:$BH,MATCH(Annual!$A27,Qrtly!$A:$A,0),MATCH("3Q"&amp;RIGHT(Annual!T$1,2),Qrtly!$A$3:$BH$3,0))+INDEX(Qrtly!$A:$BH,MATCH(Annual!$A27,Qrtly!$A:$A,0),MATCH("4Q"&amp;RIGHT(Annual!T$1,2),Qrtly!$A$3:$BH$3,0))</f>
        <v>3789370.3644774081</v>
      </c>
      <c r="U27" s="97">
        <f>INDEX(Qrtly!$A:$BH,MATCH(Annual!$A27,Qrtly!$A:$A,0),MATCH("1Q"&amp;RIGHT(Annual!U$1,2),Qrtly!$A$3:$BH$3,0))+INDEX(Qrtly!$A:$BH,MATCH(Annual!$A27,Qrtly!$A:$A,0),MATCH("2Q"&amp;RIGHT(Annual!U$1,2),Qrtly!$A$3:$BH$3,0))+INDEX(Qrtly!$A:$BH,MATCH(Annual!$A27,Qrtly!$A:$A,0),MATCH("3Q"&amp;RIGHT(Annual!U$1,2),Qrtly!$A$3:$BH$3,0))+INDEX(Qrtly!$A:$BH,MATCH(Annual!$A27,Qrtly!$A:$A,0),MATCH("4Q"&amp;RIGHT(Annual!U$1,2),Qrtly!$A$3:$BH$3,0))</f>
        <v>4277366.0315730441</v>
      </c>
      <c r="V27" s="97">
        <f>INDEX(Qrtly!$A:$BH,MATCH(Annual!$A27,Qrtly!$A:$A,0),MATCH("1Q"&amp;RIGHT(Annual!V$1,2),Qrtly!$A$3:$BH$3,0))+INDEX(Qrtly!$A:$BH,MATCH(Annual!$A27,Qrtly!$A:$A,0),MATCH("2Q"&amp;RIGHT(Annual!V$1,2),Qrtly!$A$3:$BH$3,0))+INDEX(Qrtly!$A:$BH,MATCH(Annual!$A27,Qrtly!$A:$A,0),MATCH("3Q"&amp;RIGHT(Annual!V$1,2),Qrtly!$A$3:$BH$3,0))+INDEX(Qrtly!$A:$BH,MATCH(Annual!$A27,Qrtly!$A:$A,0),MATCH("4Q"&amp;RIGHT(Annual!V$1,2),Qrtly!$A$3:$BH$3,0))</f>
        <v>4832114.7156902598</v>
      </c>
      <c r="W27" s="97">
        <f>INDEX(Qrtly!$A:$BH,MATCH(Annual!$A27,Qrtly!$A:$A,0),MATCH("1Q"&amp;RIGHT(Annual!W$1,2),Qrtly!$A$3:$BH$3,0))+INDEX(Qrtly!$A:$BH,MATCH(Annual!$A27,Qrtly!$A:$A,0),MATCH("2Q"&amp;RIGHT(Annual!W$1,2),Qrtly!$A$3:$BH$3,0))+INDEX(Qrtly!$A:$BH,MATCH(Annual!$A27,Qrtly!$A:$A,0),MATCH("3Q"&amp;RIGHT(Annual!W$1,2),Qrtly!$A$3:$BH$3,0))+INDEX(Qrtly!$A:$BH,MATCH(Annual!$A27,Qrtly!$A:$A,0),MATCH("4Q"&amp;RIGHT(Annual!W$1,2),Qrtly!$A$3:$BH$3,0))</f>
        <v>5463249.1798546594</v>
      </c>
      <c r="X27" s="97">
        <f>INDEX(Qrtly!$A:$BH,MATCH(Annual!$A27,Qrtly!$A:$A,0),MATCH("1Q"&amp;RIGHT(Annual!X$1,2),Qrtly!$A$3:$BH$3,0))+INDEX(Qrtly!$A:$BH,MATCH(Annual!$A27,Qrtly!$A:$A,0),MATCH("2Q"&amp;RIGHT(Annual!X$1,2),Qrtly!$A$3:$BH$3,0))+INDEX(Qrtly!$A:$BH,MATCH(Annual!$A27,Qrtly!$A:$A,0),MATCH("3Q"&amp;RIGHT(Annual!X$1,2),Qrtly!$A$3:$BH$3,0))+INDEX(Qrtly!$A:$BH,MATCH(Annual!$A27,Qrtly!$A:$A,0),MATCH("4Q"&amp;RIGHT(Annual!X$1,2),Qrtly!$A$3:$BH$3,0))</f>
        <v>6181860.242910726</v>
      </c>
      <c r="Y27" s="97">
        <f>INDEX(Qrtly!$A:$BH,MATCH(Annual!$A27,Qrtly!$A:$A,0),MATCH("1Q"&amp;RIGHT(Annual!Y$1,2),Qrtly!$A$3:$BH$3,0))+INDEX(Qrtly!$A:$BH,MATCH(Annual!$A27,Qrtly!$A:$A,0),MATCH("2Q"&amp;RIGHT(Annual!Y$1,2),Qrtly!$A$3:$BH$3,0))+INDEX(Qrtly!$A:$BH,MATCH(Annual!$A27,Qrtly!$A:$A,0),MATCH("3Q"&amp;RIGHT(Annual!Y$1,2),Qrtly!$A$3:$BH$3,0))+INDEX(Qrtly!$A:$BH,MATCH(Annual!$A27,Qrtly!$A:$A,0),MATCH("4Q"&amp;RIGHT(Annual!Y$1,2),Qrtly!$A$3:$BH$3,0))</f>
        <v>7000727.1990982294</v>
      </c>
      <c r="Z27" s="97">
        <f>INDEX(Qrtly!$A:$BH,MATCH(Annual!$A27,Qrtly!$A:$A,0),MATCH("1Q"&amp;RIGHT(Annual!Z$1,2),Qrtly!$A$3:$BH$3,0))+INDEX(Qrtly!$A:$BH,MATCH(Annual!$A27,Qrtly!$A:$A,0),MATCH("2Q"&amp;RIGHT(Annual!Z$1,2),Qrtly!$A$3:$BH$3,0))+INDEX(Qrtly!$A:$BH,MATCH(Annual!$A27,Qrtly!$A:$A,0),MATCH("3Q"&amp;RIGHT(Annual!Z$1,2),Qrtly!$A$3:$BH$3,0))+INDEX(Qrtly!$A:$BH,MATCH(Annual!$A27,Qrtly!$A:$A,0),MATCH("4Q"&amp;RIGHT(Annual!Z$1,2),Qrtly!$A$3:$BH$3,0))</f>
        <v>7934586.1050065998</v>
      </c>
      <c r="AA27" s="1"/>
      <c r="AB27" s="1"/>
      <c r="AC27" s="98">
        <v>2253781.2413543351</v>
      </c>
      <c r="AD27" s="91">
        <f t="shared" si="11"/>
        <v>-3309.7813543351367</v>
      </c>
      <c r="AE27" s="98">
        <v>2679045.7871698104</v>
      </c>
      <c r="AF27" s="91">
        <f t="shared" ref="AF27" si="33">IF(ISBLANK(AE27),"",INDEX($A27:$AA27,1,MATCH(AE$3,$A$3:$AA$3,0))-AE27)</f>
        <v>-76371.855985501315</v>
      </c>
      <c r="AG27" s="1"/>
      <c r="AH27" s="1"/>
      <c r="AI27" s="1"/>
      <c r="AJ27" s="1"/>
    </row>
    <row r="28" spans="1:36" x14ac:dyDescent="0.25">
      <c r="A28" s="82" t="s">
        <v>315</v>
      </c>
      <c r="B28" s="92" t="s">
        <v>316</v>
      </c>
      <c r="C28" s="114"/>
      <c r="D28" s="48"/>
      <c r="E28" s="48"/>
      <c r="F28" s="97">
        <v>115365</v>
      </c>
      <c r="G28" s="97">
        <v>157389</v>
      </c>
      <c r="H28" s="97">
        <v>199439</v>
      </c>
      <c r="I28" s="97">
        <v>274625</v>
      </c>
      <c r="J28" s="97">
        <v>354645</v>
      </c>
      <c r="K28" s="97">
        <v>483417</v>
      </c>
      <c r="L28" s="97">
        <v>815338</v>
      </c>
      <c r="M28" s="97">
        <v>1219727</v>
      </c>
      <c r="N28" s="97">
        <f>INDEX(Qrtly!$A:$BH,MATCH(Annual!$A28,Qrtly!$A:$A,0),MATCH("1Q"&amp;RIGHT(Annual!N$1,2),Qrtly!$A$3:$BH$3,0))+INDEX(Qrtly!$A:$BH,MATCH(Annual!$A28,Qrtly!$A:$A,0),MATCH("2Q"&amp;RIGHT(Annual!N$1,2),Qrtly!$A$3:$BH$3,0))+INDEX(Qrtly!$A:$BH,MATCH(Annual!$A28,Qrtly!$A:$A,0),MATCH("3Q"&amp;RIGHT(Annual!N$1,2),Qrtly!$A$3:$BH$3,0))+INDEX(Qrtly!$A:$BH,MATCH(Annual!$A28,Qrtly!$A:$A,0),MATCH("4Q"&amp;RIGHT(Annual!N$1,2),Qrtly!$A$3:$BH$3,0))</f>
        <v>1533602</v>
      </c>
      <c r="O28" s="97">
        <f>INDEX(Qrtly!$A:$BH,MATCH(Annual!$A28,Qrtly!$A:$A,0),MATCH("1Q"&amp;RIGHT(Annual!O$1,2),Qrtly!$A$3:$BH$3,0))+INDEX(Qrtly!$A:$BH,MATCH(Annual!$A28,Qrtly!$A:$A,0),MATCH("2Q"&amp;RIGHT(Annual!O$1,2),Qrtly!$A$3:$BH$3,0))+INDEX(Qrtly!$A:$BH,MATCH(Annual!$A28,Qrtly!$A:$A,0),MATCH("3Q"&amp;RIGHT(Annual!O$1,2),Qrtly!$A$3:$BH$3,0))+INDEX(Qrtly!$A:$BH,MATCH(Annual!$A28,Qrtly!$A:$A,0),MATCH("4Q"&amp;RIGHT(Annual!O$1,2),Qrtly!$A$3:$BH$3,0))</f>
        <v>1722199</v>
      </c>
      <c r="P28" s="97">
        <f>INDEX(Qrtly!$A:$BH,MATCH(Annual!$A28,Qrtly!$A:$A,0),MATCH("1Q"&amp;RIGHT(Annual!P$1,2),Qrtly!$A$3:$BH$3,0))+INDEX(Qrtly!$A:$BH,MATCH(Annual!$A28,Qrtly!$A:$A,0),MATCH("2Q"&amp;RIGHT(Annual!P$1,2),Qrtly!$A$3:$BH$3,0))+INDEX(Qrtly!$A:$BH,MATCH(Annual!$A28,Qrtly!$A:$A,0),MATCH("3Q"&amp;RIGHT(Annual!P$1,2),Qrtly!$A$3:$BH$3,0))+INDEX(Qrtly!$A:$BH,MATCH(Annual!$A28,Qrtly!$A:$A,0),MATCH("4Q"&amp;RIGHT(Annual!P$1,2),Qrtly!$A$3:$BH$3,0))</f>
        <v>1914707.08</v>
      </c>
      <c r="Q28" s="97">
        <f>INDEX(Qrtly!$A:$BH,MATCH(Annual!$A28,Qrtly!$A:$A,0),MATCH("1Q"&amp;RIGHT(Annual!Q$1,2),Qrtly!$A$3:$BH$3,0))+INDEX(Qrtly!$A:$BH,MATCH(Annual!$A28,Qrtly!$A:$A,0),MATCH("2Q"&amp;RIGHT(Annual!Q$1,2),Qrtly!$A$3:$BH$3,0))+INDEX(Qrtly!$A:$BH,MATCH(Annual!$A28,Qrtly!$A:$A,0),MATCH("3Q"&amp;RIGHT(Annual!Q$1,2),Qrtly!$A$3:$BH$3,0))+INDEX(Qrtly!$A:$BH,MATCH(Annual!$A28,Qrtly!$A:$A,0),MATCH("4Q"&amp;RIGHT(Annual!Q$1,2),Qrtly!$A$3:$BH$3,0))</f>
        <v>1915139.0032000002</v>
      </c>
      <c r="R28" s="97">
        <f>INDEX(Qrtly!$A:$BH,MATCH(Annual!$A28,Qrtly!$A:$A,0),MATCH("1Q"&amp;RIGHT(Annual!R$1,2),Qrtly!$A$3:$BH$3,0))+INDEX(Qrtly!$A:$BH,MATCH(Annual!$A28,Qrtly!$A:$A,0),MATCH("2Q"&amp;RIGHT(Annual!R$1,2),Qrtly!$A$3:$BH$3,0))+INDEX(Qrtly!$A:$BH,MATCH(Annual!$A28,Qrtly!$A:$A,0),MATCH("3Q"&amp;RIGHT(Annual!R$1,2),Qrtly!$A$3:$BH$3,0))+INDEX(Qrtly!$A:$BH,MATCH(Annual!$A28,Qrtly!$A:$A,0),MATCH("4Q"&amp;RIGHT(Annual!R$1,2),Qrtly!$A$3:$BH$3,0))</f>
        <v>1991744.5633280003</v>
      </c>
      <c r="S28" s="97">
        <f>INDEX(Qrtly!$A:$BH,MATCH(Annual!$A28,Qrtly!$A:$A,0),MATCH("1Q"&amp;RIGHT(Annual!S$1,2),Qrtly!$A$3:$BH$3,0))+INDEX(Qrtly!$A:$BH,MATCH(Annual!$A28,Qrtly!$A:$A,0),MATCH("2Q"&amp;RIGHT(Annual!S$1,2),Qrtly!$A$3:$BH$3,0))+INDEX(Qrtly!$A:$BH,MATCH(Annual!$A28,Qrtly!$A:$A,0),MATCH("3Q"&amp;RIGHT(Annual!S$1,2),Qrtly!$A$3:$BH$3,0))+INDEX(Qrtly!$A:$BH,MATCH(Annual!$A28,Qrtly!$A:$A,0),MATCH("4Q"&amp;RIGHT(Annual!S$1,2),Qrtly!$A$3:$BH$3,0))</f>
        <v>2071414.3458611201</v>
      </c>
      <c r="T28" s="97">
        <f>INDEX(Qrtly!$A:$BH,MATCH(Annual!$A28,Qrtly!$A:$A,0),MATCH("1Q"&amp;RIGHT(Annual!T$1,2),Qrtly!$A$3:$BH$3,0))+INDEX(Qrtly!$A:$BH,MATCH(Annual!$A28,Qrtly!$A:$A,0),MATCH("2Q"&amp;RIGHT(Annual!T$1,2),Qrtly!$A$3:$BH$3,0))+INDEX(Qrtly!$A:$BH,MATCH(Annual!$A28,Qrtly!$A:$A,0),MATCH("3Q"&amp;RIGHT(Annual!T$1,2),Qrtly!$A$3:$BH$3,0))+INDEX(Qrtly!$A:$BH,MATCH(Annual!$A28,Qrtly!$A:$A,0),MATCH("4Q"&amp;RIGHT(Annual!T$1,2),Qrtly!$A$3:$BH$3,0))</f>
        <v>2154270.9196955655</v>
      </c>
      <c r="U28" s="97">
        <f>INDEX(Qrtly!$A:$BH,MATCH(Annual!$A28,Qrtly!$A:$A,0),MATCH("1Q"&amp;RIGHT(Annual!U$1,2),Qrtly!$A$3:$BH$3,0))+INDEX(Qrtly!$A:$BH,MATCH(Annual!$A28,Qrtly!$A:$A,0),MATCH("2Q"&amp;RIGHT(Annual!U$1,2),Qrtly!$A$3:$BH$3,0))+INDEX(Qrtly!$A:$BH,MATCH(Annual!$A28,Qrtly!$A:$A,0),MATCH("3Q"&amp;RIGHT(Annual!U$1,2),Qrtly!$A$3:$BH$3,0))+INDEX(Qrtly!$A:$BH,MATCH(Annual!$A28,Qrtly!$A:$A,0),MATCH("4Q"&amp;RIGHT(Annual!U$1,2),Qrtly!$A$3:$BH$3,0))</f>
        <v>2240441.7564833881</v>
      </c>
      <c r="V28" s="97">
        <f>INDEX(Qrtly!$A:$BH,MATCH(Annual!$A28,Qrtly!$A:$A,0),MATCH("1Q"&amp;RIGHT(Annual!V$1,2),Qrtly!$A$3:$BH$3,0))+INDEX(Qrtly!$A:$BH,MATCH(Annual!$A28,Qrtly!$A:$A,0),MATCH("2Q"&amp;RIGHT(Annual!V$1,2),Qrtly!$A$3:$BH$3,0))+INDEX(Qrtly!$A:$BH,MATCH(Annual!$A28,Qrtly!$A:$A,0),MATCH("3Q"&amp;RIGHT(Annual!V$1,2),Qrtly!$A$3:$BH$3,0))+INDEX(Qrtly!$A:$BH,MATCH(Annual!$A28,Qrtly!$A:$A,0),MATCH("4Q"&amp;RIGHT(Annual!V$1,2),Qrtly!$A$3:$BH$3,0))</f>
        <v>2330059.4267427237</v>
      </c>
      <c r="W28" s="97">
        <f>INDEX(Qrtly!$A:$BH,MATCH(Annual!$A28,Qrtly!$A:$A,0),MATCH("1Q"&amp;RIGHT(Annual!W$1,2),Qrtly!$A$3:$BH$3,0))+INDEX(Qrtly!$A:$BH,MATCH(Annual!$A28,Qrtly!$A:$A,0),MATCH("2Q"&amp;RIGHT(Annual!W$1,2),Qrtly!$A$3:$BH$3,0))+INDEX(Qrtly!$A:$BH,MATCH(Annual!$A28,Qrtly!$A:$A,0),MATCH("3Q"&amp;RIGHT(Annual!W$1,2),Qrtly!$A$3:$BH$3,0))+INDEX(Qrtly!$A:$BH,MATCH(Annual!$A28,Qrtly!$A:$A,0),MATCH("4Q"&amp;RIGHT(Annual!W$1,2),Qrtly!$A$3:$BH$3,0))</f>
        <v>2423261.8038124326</v>
      </c>
      <c r="X28" s="97">
        <f>INDEX(Qrtly!$A:$BH,MATCH(Annual!$A28,Qrtly!$A:$A,0),MATCH("1Q"&amp;RIGHT(Annual!X$1,2),Qrtly!$A$3:$BH$3,0))+INDEX(Qrtly!$A:$BH,MATCH(Annual!$A28,Qrtly!$A:$A,0),MATCH("2Q"&amp;RIGHT(Annual!X$1,2),Qrtly!$A$3:$BH$3,0))+INDEX(Qrtly!$A:$BH,MATCH(Annual!$A28,Qrtly!$A:$A,0),MATCH("3Q"&amp;RIGHT(Annual!X$1,2),Qrtly!$A$3:$BH$3,0))+INDEX(Qrtly!$A:$BH,MATCH(Annual!$A28,Qrtly!$A:$A,0),MATCH("4Q"&amp;RIGHT(Annual!X$1,2),Qrtly!$A$3:$BH$3,0))</f>
        <v>2520192.2759649297</v>
      </c>
      <c r="Y28" s="97">
        <f>INDEX(Qrtly!$A:$BH,MATCH(Annual!$A28,Qrtly!$A:$A,0),MATCH("1Q"&amp;RIGHT(Annual!Y$1,2),Qrtly!$A$3:$BH$3,0))+INDEX(Qrtly!$A:$BH,MATCH(Annual!$A28,Qrtly!$A:$A,0),MATCH("2Q"&amp;RIGHT(Annual!Y$1,2),Qrtly!$A$3:$BH$3,0))+INDEX(Qrtly!$A:$BH,MATCH(Annual!$A28,Qrtly!$A:$A,0),MATCH("3Q"&amp;RIGHT(Annual!Y$1,2),Qrtly!$A$3:$BH$3,0))+INDEX(Qrtly!$A:$BH,MATCH(Annual!$A28,Qrtly!$A:$A,0),MATCH("4Q"&amp;RIGHT(Annual!Y$1,2),Qrtly!$A$3:$BH$3,0))</f>
        <v>2620999.9670035271</v>
      </c>
      <c r="Z28" s="97">
        <f>INDEX(Qrtly!$A:$BH,MATCH(Annual!$A28,Qrtly!$A:$A,0),MATCH("1Q"&amp;RIGHT(Annual!Z$1,2),Qrtly!$A$3:$BH$3,0))+INDEX(Qrtly!$A:$BH,MATCH(Annual!$A28,Qrtly!$A:$A,0),MATCH("2Q"&amp;RIGHT(Annual!Z$1,2),Qrtly!$A$3:$BH$3,0))+INDEX(Qrtly!$A:$BH,MATCH(Annual!$A28,Qrtly!$A:$A,0),MATCH("3Q"&amp;RIGHT(Annual!Z$1,2),Qrtly!$A$3:$BH$3,0))+INDEX(Qrtly!$A:$BH,MATCH(Annual!$A28,Qrtly!$A:$A,0),MATCH("4Q"&amp;RIGHT(Annual!Z$1,2),Qrtly!$A$3:$BH$3,0))</f>
        <v>2725839.9656836679</v>
      </c>
      <c r="AA28" s="1"/>
      <c r="AB28" s="1"/>
      <c r="AC28" s="98">
        <v>1811129.34</v>
      </c>
      <c r="AD28" s="91">
        <f t="shared" si="11"/>
        <v>103577.73999999999</v>
      </c>
      <c r="AE28" s="98">
        <v>1847351.9268</v>
      </c>
      <c r="AF28" s="91">
        <f t="shared" ref="AF28" si="34">IF(ISBLANK(AE28),"",INDEX($A28:$AA28,1,MATCH(AE$3,$A$3:$AA$3,0))-AE28)</f>
        <v>67787.076400000136</v>
      </c>
      <c r="AG28" s="1"/>
      <c r="AH28" s="1"/>
      <c r="AI28" s="1"/>
      <c r="AJ28" s="1"/>
    </row>
    <row r="29" spans="1:36" x14ac:dyDescent="0.25">
      <c r="A29" s="82" t="s">
        <v>317</v>
      </c>
      <c r="B29" s="16" t="s">
        <v>318</v>
      </c>
      <c r="C29" s="93"/>
      <c r="D29" s="46"/>
      <c r="E29" s="48"/>
      <c r="F29" s="97">
        <v>54009</v>
      </c>
      <c r="G29" s="97">
        <v>51235</v>
      </c>
      <c r="H29" s="97">
        <v>67018</v>
      </c>
      <c r="I29" s="97">
        <v>88077</v>
      </c>
      <c r="J29" s="97">
        <v>126959</v>
      </c>
      <c r="K29" s="97">
        <v>177670</v>
      </c>
      <c r="L29" s="97">
        <v>187991</v>
      </c>
      <c r="M29" s="97">
        <v>550683</v>
      </c>
      <c r="N29" s="97">
        <f>INDEX(Qrtly!$A:$BH,MATCH(Annual!$A29,Qrtly!$A:$A,0),MATCH("1Q"&amp;RIGHT(Annual!N$1,2),Qrtly!$A$3:$BH$3,0))+INDEX(Qrtly!$A:$BH,MATCH(Annual!$A29,Qrtly!$A:$A,0),MATCH("2Q"&amp;RIGHT(Annual!N$1,2),Qrtly!$A$3:$BH$3,0))+INDEX(Qrtly!$A:$BH,MATCH(Annual!$A29,Qrtly!$A:$A,0),MATCH("3Q"&amp;RIGHT(Annual!N$1,2),Qrtly!$A$3:$BH$3,0))+INDEX(Qrtly!$A:$BH,MATCH(Annual!$A29,Qrtly!$A:$A,0),MATCH("4Q"&amp;RIGHT(Annual!N$1,2),Qrtly!$A$3:$BH$3,0))</f>
        <v>660663</v>
      </c>
      <c r="O29" s="97">
        <f>INDEX(Qrtly!$A:$BH,MATCH(Annual!$A29,Qrtly!$A:$A,0),MATCH("1Q"&amp;RIGHT(Annual!O$1,2),Qrtly!$A$3:$BH$3,0))+INDEX(Qrtly!$A:$BH,MATCH(Annual!$A29,Qrtly!$A:$A,0),MATCH("2Q"&amp;RIGHT(Annual!O$1,2),Qrtly!$A$3:$BH$3,0))+INDEX(Qrtly!$A:$BH,MATCH(Annual!$A29,Qrtly!$A:$A,0),MATCH("3Q"&amp;RIGHT(Annual!O$1,2),Qrtly!$A$3:$BH$3,0))+INDEX(Qrtly!$A:$BH,MATCH(Annual!$A29,Qrtly!$A:$A,0),MATCH("4Q"&amp;RIGHT(Annual!O$1,2),Qrtly!$A$3:$BH$3,0))</f>
        <v>794221</v>
      </c>
      <c r="P29" s="97">
        <f>INDEX(Qrtly!$A:$BH,MATCH(Annual!$A29,Qrtly!$A:$A,0),MATCH("1Q"&amp;RIGHT(Annual!P$1,2),Qrtly!$A$3:$BH$3,0))+INDEX(Qrtly!$A:$BH,MATCH(Annual!$A29,Qrtly!$A:$A,0),MATCH("2Q"&amp;RIGHT(Annual!P$1,2),Qrtly!$A$3:$BH$3,0))+INDEX(Qrtly!$A:$BH,MATCH(Annual!$A29,Qrtly!$A:$A,0),MATCH("3Q"&amp;RIGHT(Annual!P$1,2),Qrtly!$A$3:$BH$3,0))+INDEX(Qrtly!$A:$BH,MATCH(Annual!$A29,Qrtly!$A:$A,0),MATCH("4Q"&amp;RIGHT(Annual!P$1,2),Qrtly!$A$3:$BH$3,0))</f>
        <v>1267546.3999999999</v>
      </c>
      <c r="Q29" s="97">
        <f>INDEX(Qrtly!$A:$BH,MATCH(Annual!$A29,Qrtly!$A:$A,0),MATCH("1Q"&amp;RIGHT(Annual!Q$1,2),Qrtly!$A$3:$BH$3,0))+INDEX(Qrtly!$A:$BH,MATCH(Annual!$A29,Qrtly!$A:$A,0),MATCH("2Q"&amp;RIGHT(Annual!Q$1,2),Qrtly!$A$3:$BH$3,0))+INDEX(Qrtly!$A:$BH,MATCH(Annual!$A29,Qrtly!$A:$A,0),MATCH("3Q"&amp;RIGHT(Annual!Q$1,2),Qrtly!$A$3:$BH$3,0))+INDEX(Qrtly!$A:$BH,MATCH(Annual!$A29,Qrtly!$A:$A,0),MATCH("4Q"&amp;RIGHT(Annual!Q$1,2),Qrtly!$A$3:$BH$3,0))</f>
        <v>2058356.6455581035</v>
      </c>
      <c r="R29" s="97">
        <f>INDEX(Qrtly!$A:$BH,MATCH(Annual!$A29,Qrtly!$A:$A,0),MATCH("1Q"&amp;RIGHT(Annual!R$1,2),Qrtly!$A$3:$BH$3,0))+INDEX(Qrtly!$A:$BH,MATCH(Annual!$A29,Qrtly!$A:$A,0),MATCH("2Q"&amp;RIGHT(Annual!R$1,2),Qrtly!$A$3:$BH$3,0))+INDEX(Qrtly!$A:$BH,MATCH(Annual!$A29,Qrtly!$A:$A,0),MATCH("3Q"&amp;RIGHT(Annual!R$1,2),Qrtly!$A$3:$BH$3,0))+INDEX(Qrtly!$A:$BH,MATCH(Annual!$A29,Qrtly!$A:$A,0),MATCH("4Q"&amp;RIGHT(Annual!R$1,2),Qrtly!$A$3:$BH$3,0))</f>
        <v>2813522.1549217943</v>
      </c>
      <c r="S29" s="97">
        <f>INDEX(Qrtly!$A:$BH,MATCH(Annual!$A29,Qrtly!$A:$A,0),MATCH("1Q"&amp;RIGHT(Annual!S$1,2),Qrtly!$A$3:$BH$3,0))+INDEX(Qrtly!$A:$BH,MATCH(Annual!$A29,Qrtly!$A:$A,0),MATCH("2Q"&amp;RIGHT(Annual!S$1,2),Qrtly!$A$3:$BH$3,0))+INDEX(Qrtly!$A:$BH,MATCH(Annual!$A29,Qrtly!$A:$A,0),MATCH("3Q"&amp;RIGHT(Annual!S$1,2),Qrtly!$A$3:$BH$3,0))+INDEX(Qrtly!$A:$BH,MATCH(Annual!$A29,Qrtly!$A:$A,0),MATCH("4Q"&amp;RIGHT(Annual!S$1,2),Qrtly!$A$3:$BH$3,0))</f>
        <v>3657277.1625784822</v>
      </c>
      <c r="T29" s="97">
        <f>INDEX(Qrtly!$A:$BH,MATCH(Annual!$A29,Qrtly!$A:$A,0),MATCH("1Q"&amp;RIGHT(Annual!T$1,2),Qrtly!$A$3:$BH$3,0))+INDEX(Qrtly!$A:$BH,MATCH(Annual!$A29,Qrtly!$A:$A,0),MATCH("2Q"&amp;RIGHT(Annual!T$1,2),Qrtly!$A$3:$BH$3,0))+INDEX(Qrtly!$A:$BH,MATCH(Annual!$A29,Qrtly!$A:$A,0),MATCH("3Q"&amp;RIGHT(Annual!T$1,2),Qrtly!$A$3:$BH$3,0))+INDEX(Qrtly!$A:$BH,MATCH(Annual!$A29,Qrtly!$A:$A,0),MATCH("4Q"&amp;RIGHT(Annual!T$1,2),Qrtly!$A$3:$BH$3,0))</f>
        <v>4590687.3552353969</v>
      </c>
      <c r="U29" s="97">
        <f>INDEX(Qrtly!$A:$BH,MATCH(Annual!$A29,Qrtly!$A:$A,0),MATCH("1Q"&amp;RIGHT(Annual!U$1,2),Qrtly!$A$3:$BH$3,0))+INDEX(Qrtly!$A:$BH,MATCH(Annual!$A29,Qrtly!$A:$A,0),MATCH("2Q"&amp;RIGHT(Annual!U$1,2),Qrtly!$A$3:$BH$3,0))+INDEX(Qrtly!$A:$BH,MATCH(Annual!$A29,Qrtly!$A:$A,0),MATCH("3Q"&amp;RIGHT(Annual!U$1,2),Qrtly!$A$3:$BH$3,0))+INDEX(Qrtly!$A:$BH,MATCH(Annual!$A29,Qrtly!$A:$A,0),MATCH("4Q"&amp;RIGHT(Annual!U$1,2),Qrtly!$A$3:$BH$3,0))</f>
        <v>5706436.0014722822</v>
      </c>
      <c r="V29" s="97">
        <f>INDEX(Qrtly!$A:$BH,MATCH(Annual!$A29,Qrtly!$A:$A,0),MATCH("1Q"&amp;RIGHT(Annual!V$1,2),Qrtly!$A$3:$BH$3,0))+INDEX(Qrtly!$A:$BH,MATCH(Annual!$A29,Qrtly!$A:$A,0),MATCH("2Q"&amp;RIGHT(Annual!V$1,2),Qrtly!$A$3:$BH$3,0))+INDEX(Qrtly!$A:$BH,MATCH(Annual!$A29,Qrtly!$A:$A,0),MATCH("3Q"&amp;RIGHT(Annual!V$1,2),Qrtly!$A$3:$BH$3,0))+INDEX(Qrtly!$A:$BH,MATCH(Annual!$A29,Qrtly!$A:$A,0),MATCH("4Q"&amp;RIGHT(Annual!V$1,2),Qrtly!$A$3:$BH$3,0))</f>
        <v>7037287.8411865467</v>
      </c>
      <c r="W29" s="97">
        <f>INDEX(Qrtly!$A:$BH,MATCH(Annual!$A29,Qrtly!$A:$A,0),MATCH("1Q"&amp;RIGHT(Annual!W$1,2),Qrtly!$A$3:$BH$3,0))+INDEX(Qrtly!$A:$BH,MATCH(Annual!$A29,Qrtly!$A:$A,0),MATCH("2Q"&amp;RIGHT(Annual!W$1,2),Qrtly!$A$3:$BH$3,0))+INDEX(Qrtly!$A:$BH,MATCH(Annual!$A29,Qrtly!$A:$A,0),MATCH("3Q"&amp;RIGHT(Annual!W$1,2),Qrtly!$A$3:$BH$3,0))+INDEX(Qrtly!$A:$BH,MATCH(Annual!$A29,Qrtly!$A:$A,0),MATCH("4Q"&amp;RIGHT(Annual!W$1,2),Qrtly!$A$3:$BH$3,0))</f>
        <v>8621726.9719019961</v>
      </c>
      <c r="X29" s="97">
        <f>INDEX(Qrtly!$A:$BH,MATCH(Annual!$A29,Qrtly!$A:$A,0),MATCH("1Q"&amp;RIGHT(Annual!X$1,2),Qrtly!$A$3:$BH$3,0))+INDEX(Qrtly!$A:$BH,MATCH(Annual!$A29,Qrtly!$A:$A,0),MATCH("2Q"&amp;RIGHT(Annual!X$1,2),Qrtly!$A$3:$BH$3,0))+INDEX(Qrtly!$A:$BH,MATCH(Annual!$A29,Qrtly!$A:$A,0),MATCH("3Q"&amp;RIGHT(Annual!X$1,2),Qrtly!$A$3:$BH$3,0))+INDEX(Qrtly!$A:$BH,MATCH(Annual!$A29,Qrtly!$A:$A,0),MATCH("4Q"&amp;RIGHT(Annual!X$1,2),Qrtly!$A$3:$BH$3,0))</f>
        <v>10504949.701577965</v>
      </c>
      <c r="Y29" s="97">
        <f>INDEX(Qrtly!$A:$BH,MATCH(Annual!$A29,Qrtly!$A:$A,0),MATCH("1Q"&amp;RIGHT(Annual!Y$1,2),Qrtly!$A$3:$BH$3,0))+INDEX(Qrtly!$A:$BH,MATCH(Annual!$A29,Qrtly!$A:$A,0),MATCH("2Q"&amp;RIGHT(Annual!Y$1,2),Qrtly!$A$3:$BH$3,0))+INDEX(Qrtly!$A:$BH,MATCH(Annual!$A29,Qrtly!$A:$A,0),MATCH("3Q"&amp;RIGHT(Annual!Y$1,2),Qrtly!$A$3:$BH$3,0))+INDEX(Qrtly!$A:$BH,MATCH(Annual!$A29,Qrtly!$A:$A,0),MATCH("4Q"&amp;RIGHT(Annual!Y$1,2),Qrtly!$A$3:$BH$3,0))</f>
        <v>12740030.905127285</v>
      </c>
      <c r="Z29" s="97">
        <f>INDEX(Qrtly!$A:$BH,MATCH(Annual!$A29,Qrtly!$A:$A,0),MATCH("1Q"&amp;RIGHT(Annual!Z$1,2),Qrtly!$A$3:$BH$3,0))+INDEX(Qrtly!$A:$BH,MATCH(Annual!$A29,Qrtly!$A:$A,0),MATCH("2Q"&amp;RIGHT(Annual!Z$1,2),Qrtly!$A$3:$BH$3,0))+INDEX(Qrtly!$A:$BH,MATCH(Annual!$A29,Qrtly!$A:$A,0),MATCH("3Q"&amp;RIGHT(Annual!Z$1,2),Qrtly!$A$3:$BH$3,0))+INDEX(Qrtly!$A:$BH,MATCH(Annual!$A29,Qrtly!$A:$A,0),MATCH("4Q"&amp;RIGHT(Annual!Z$1,2),Qrtly!$A$3:$BH$3,0))</f>
        <v>15389294.617316879</v>
      </c>
      <c r="AA29" s="1"/>
      <c r="AB29" s="1"/>
      <c r="AC29" s="98">
        <v>1220085.6000000001</v>
      </c>
      <c r="AD29" s="99">
        <f t="shared" si="11"/>
        <v>47460.799999999814</v>
      </c>
      <c r="AE29" s="98">
        <v>1905021.1696712687</v>
      </c>
      <c r="AF29" s="99">
        <f t="shared" ref="AF29" si="35">IF(ISBLANK(AE29),"",INDEX($A29:$AA29,1,MATCH(AE$3,$A$3:$AA$3,0))-AE29)</f>
        <v>153335.47588683479</v>
      </c>
      <c r="AG29" s="1"/>
      <c r="AH29" s="1"/>
      <c r="AI29" s="1"/>
      <c r="AJ29" s="1"/>
    </row>
    <row r="30" spans="1:36" x14ac:dyDescent="0.25">
      <c r="A30" s="82" t="s">
        <v>319</v>
      </c>
      <c r="B30" s="92" t="s">
        <v>320</v>
      </c>
      <c r="C30" s="93"/>
      <c r="D30" s="46"/>
      <c r="E30" s="48"/>
      <c r="F30" s="97">
        <v>-29977</v>
      </c>
      <c r="G30" s="97">
        <v>-1067</v>
      </c>
      <c r="H30" s="97">
        <v>-6812</v>
      </c>
      <c r="I30" s="97">
        <v>-19078</v>
      </c>
      <c r="J30" s="97">
        <v>-19229</v>
      </c>
      <c r="K30" s="97">
        <v>-16661</v>
      </c>
      <c r="L30" s="97">
        <v>-11734</v>
      </c>
      <c r="M30" s="97">
        <v>-26931</v>
      </c>
      <c r="N30" s="97">
        <f>INDEX(Qrtly!$A:$BH,MATCH(Annual!$A30,Qrtly!$A:$A,0),MATCH("1Q"&amp;RIGHT(Annual!N$1,2),Qrtly!$A$3:$BH$3,0))+INDEX(Qrtly!$A:$BH,MATCH(Annual!$A30,Qrtly!$A:$A,0),MATCH("2Q"&amp;RIGHT(Annual!N$1,2),Qrtly!$A$3:$BH$3,0))+INDEX(Qrtly!$A:$BH,MATCH(Annual!$A30,Qrtly!$A:$A,0),MATCH("3Q"&amp;RIGHT(Annual!N$1,2),Qrtly!$A$3:$BH$3,0))+INDEX(Qrtly!$A:$BH,MATCH(Annual!$A30,Qrtly!$A:$A,0),MATCH("4Q"&amp;RIGHT(Annual!N$1,2),Qrtly!$A$3:$BH$3,0))</f>
        <v>-30270</v>
      </c>
      <c r="O30" s="97">
        <f>INDEX(Qrtly!$A:$BH,MATCH(Annual!$A30,Qrtly!$A:$A,0),MATCH("1Q"&amp;RIGHT(Annual!O$1,2),Qrtly!$A$3:$BH$3,0))+INDEX(Qrtly!$A:$BH,MATCH(Annual!$A30,Qrtly!$A:$A,0),MATCH("2Q"&amp;RIGHT(Annual!O$1,2),Qrtly!$A$3:$BH$3,0))+INDEX(Qrtly!$A:$BH,MATCH(Annual!$A30,Qrtly!$A:$A,0),MATCH("3Q"&amp;RIGHT(Annual!O$1,2),Qrtly!$A$3:$BH$3,0))+INDEX(Qrtly!$A:$BH,MATCH(Annual!$A30,Qrtly!$A:$A,0),MATCH("4Q"&amp;RIGHT(Annual!O$1,2),Qrtly!$A$3:$BH$3,0))</f>
        <v>-224473</v>
      </c>
      <c r="P30" s="97">
        <f>INDEX(Qrtly!$A:$BH,MATCH(Annual!$A30,Qrtly!$A:$A,0),MATCH("1Q"&amp;RIGHT(Annual!P$1,2),Qrtly!$A$3:$BH$3,0))+INDEX(Qrtly!$A:$BH,MATCH(Annual!$A30,Qrtly!$A:$A,0),MATCH("2Q"&amp;RIGHT(Annual!P$1,2),Qrtly!$A$3:$BH$3,0))+INDEX(Qrtly!$A:$BH,MATCH(Annual!$A30,Qrtly!$A:$A,0),MATCH("3Q"&amp;RIGHT(Annual!P$1,2),Qrtly!$A$3:$BH$3,0))+INDEX(Qrtly!$A:$BH,MATCH(Annual!$A30,Qrtly!$A:$A,0),MATCH("4Q"&amp;RIGHT(Annual!P$1,2),Qrtly!$A$3:$BH$3,0))</f>
        <v>-269125.55644023395</v>
      </c>
      <c r="Q30" s="97">
        <f>INDEX(Qrtly!$A:$BH,MATCH(Annual!$A30,Qrtly!$A:$A,0),MATCH("1Q"&amp;RIGHT(Annual!Q$1,2),Qrtly!$A$3:$BH$3,0))+INDEX(Qrtly!$A:$BH,MATCH(Annual!$A30,Qrtly!$A:$A,0),MATCH("2Q"&amp;RIGHT(Annual!Q$1,2),Qrtly!$A$3:$BH$3,0))+INDEX(Qrtly!$A:$BH,MATCH(Annual!$A30,Qrtly!$A:$A,0),MATCH("3Q"&amp;RIGHT(Annual!Q$1,2),Qrtly!$A$3:$BH$3,0))+INDEX(Qrtly!$A:$BH,MATCH(Annual!$A30,Qrtly!$A:$A,0),MATCH("4Q"&amp;RIGHT(Annual!Q$1,2),Qrtly!$A$3:$BH$3,0))</f>
        <v>-307406.81938295788</v>
      </c>
      <c r="R30" s="97">
        <f>INDEX(Qrtly!$A:$BH,MATCH(Annual!$A30,Qrtly!$A:$A,0),MATCH("1Q"&amp;RIGHT(Annual!R$1,2),Qrtly!$A$3:$BH$3,0))+INDEX(Qrtly!$A:$BH,MATCH(Annual!$A30,Qrtly!$A:$A,0),MATCH("2Q"&amp;RIGHT(Annual!R$1,2),Qrtly!$A$3:$BH$3,0))+INDEX(Qrtly!$A:$BH,MATCH(Annual!$A30,Qrtly!$A:$A,0),MATCH("3Q"&amp;RIGHT(Annual!R$1,2),Qrtly!$A$3:$BH$3,0))+INDEX(Qrtly!$A:$BH,MATCH(Annual!$A30,Qrtly!$A:$A,0),MATCH("4Q"&amp;RIGHT(Annual!R$1,2),Qrtly!$A$3:$BH$3,0))</f>
        <v>-349257.77768999932</v>
      </c>
      <c r="S30" s="97">
        <f>INDEX(Qrtly!$A:$BH,MATCH(Annual!$A30,Qrtly!$A:$A,0),MATCH("1Q"&amp;RIGHT(Annual!S$1,2),Qrtly!$A$3:$BH$3,0))+INDEX(Qrtly!$A:$BH,MATCH(Annual!$A30,Qrtly!$A:$A,0),MATCH("2Q"&amp;RIGHT(Annual!S$1,2),Qrtly!$A$3:$BH$3,0))+INDEX(Qrtly!$A:$BH,MATCH(Annual!$A30,Qrtly!$A:$A,0),MATCH("3Q"&amp;RIGHT(Annual!S$1,2),Qrtly!$A$3:$BH$3,0))+INDEX(Qrtly!$A:$BH,MATCH(Annual!$A30,Qrtly!$A:$A,0),MATCH("4Q"&amp;RIGHT(Annual!S$1,2),Qrtly!$A$3:$BH$3,0))</f>
        <v>-396857.02724016062</v>
      </c>
      <c r="T30" s="97">
        <f>INDEX(Qrtly!$A:$BH,MATCH(Annual!$A30,Qrtly!$A:$A,0),MATCH("1Q"&amp;RIGHT(Annual!T$1,2),Qrtly!$A$3:$BH$3,0))+INDEX(Qrtly!$A:$BH,MATCH(Annual!$A30,Qrtly!$A:$A,0),MATCH("2Q"&amp;RIGHT(Annual!T$1,2),Qrtly!$A$3:$BH$3,0))+INDEX(Qrtly!$A:$BH,MATCH(Annual!$A30,Qrtly!$A:$A,0),MATCH("3Q"&amp;RIGHT(Annual!T$1,2),Qrtly!$A$3:$BH$3,0))+INDEX(Qrtly!$A:$BH,MATCH(Annual!$A30,Qrtly!$A:$A,0),MATCH("4Q"&amp;RIGHT(Annual!T$1,2),Qrtly!$A$3:$BH$3,0))</f>
        <v>-447593.93612271268</v>
      </c>
      <c r="U30" s="97">
        <f>INDEX(Qrtly!$A:$BH,MATCH(Annual!$A30,Qrtly!$A:$A,0),MATCH("1Q"&amp;RIGHT(Annual!U$1,2),Qrtly!$A$3:$BH$3,0))+INDEX(Qrtly!$A:$BH,MATCH(Annual!$A30,Qrtly!$A:$A,0),MATCH("2Q"&amp;RIGHT(Annual!U$1,2),Qrtly!$A$3:$BH$3,0))+INDEX(Qrtly!$A:$BH,MATCH(Annual!$A30,Qrtly!$A:$A,0),MATCH("3Q"&amp;RIGHT(Annual!U$1,2),Qrtly!$A$3:$BH$3,0))+INDEX(Qrtly!$A:$BH,MATCH(Annual!$A30,Qrtly!$A:$A,0),MATCH("4Q"&amp;RIGHT(Annual!U$1,2),Qrtly!$A$3:$BH$3,0))</f>
        <v>-505223.8160637549</v>
      </c>
      <c r="V30" s="97">
        <f>INDEX(Qrtly!$A:$BH,MATCH(Annual!$A30,Qrtly!$A:$A,0),MATCH("1Q"&amp;RIGHT(Annual!V$1,2),Qrtly!$A$3:$BH$3,0))+INDEX(Qrtly!$A:$BH,MATCH(Annual!$A30,Qrtly!$A:$A,0),MATCH("2Q"&amp;RIGHT(Annual!V$1,2),Qrtly!$A$3:$BH$3,0))+INDEX(Qrtly!$A:$BH,MATCH(Annual!$A30,Qrtly!$A:$A,0),MATCH("3Q"&amp;RIGHT(Annual!V$1,2),Qrtly!$A$3:$BH$3,0))+INDEX(Qrtly!$A:$BH,MATCH(Annual!$A30,Qrtly!$A:$A,0),MATCH("4Q"&amp;RIGHT(Annual!V$1,2),Qrtly!$A$3:$BH$3,0))</f>
        <v>-570734.97237508674</v>
      </c>
      <c r="W30" s="97">
        <f>INDEX(Qrtly!$A:$BH,MATCH(Annual!$A30,Qrtly!$A:$A,0),MATCH("1Q"&amp;RIGHT(Annual!W$1,2),Qrtly!$A$3:$BH$3,0))+INDEX(Qrtly!$A:$BH,MATCH(Annual!$A30,Qrtly!$A:$A,0),MATCH("2Q"&amp;RIGHT(Annual!W$1,2),Qrtly!$A$3:$BH$3,0))+INDEX(Qrtly!$A:$BH,MATCH(Annual!$A30,Qrtly!$A:$A,0),MATCH("3Q"&amp;RIGHT(Annual!W$1,2),Qrtly!$A$3:$BH$3,0))+INDEX(Qrtly!$A:$BH,MATCH(Annual!$A30,Qrtly!$A:$A,0),MATCH("4Q"&amp;RIGHT(Annual!W$1,2),Qrtly!$A$3:$BH$3,0))</f>
        <v>-645264.39741059789</v>
      </c>
      <c r="X30" s="97">
        <f>INDEX(Qrtly!$A:$BH,MATCH(Annual!$A30,Qrtly!$A:$A,0),MATCH("1Q"&amp;RIGHT(Annual!X$1,2),Qrtly!$A$3:$BH$3,0))+INDEX(Qrtly!$A:$BH,MATCH(Annual!$A30,Qrtly!$A:$A,0),MATCH("2Q"&amp;RIGHT(Annual!X$1,2),Qrtly!$A$3:$BH$3,0))+INDEX(Qrtly!$A:$BH,MATCH(Annual!$A30,Qrtly!$A:$A,0),MATCH("3Q"&amp;RIGHT(Annual!X$1,2),Qrtly!$A$3:$BH$3,0))+INDEX(Qrtly!$A:$BH,MATCH(Annual!$A30,Qrtly!$A:$A,0),MATCH("4Q"&amp;RIGHT(Annual!X$1,2),Qrtly!$A$3:$BH$3,0))</f>
        <v>-730121.1329213077</v>
      </c>
      <c r="Y30" s="97">
        <f>INDEX(Qrtly!$A:$BH,MATCH(Annual!$A30,Qrtly!$A:$A,0),MATCH("1Q"&amp;RIGHT(Annual!Y$1,2),Qrtly!$A$3:$BH$3,0))+INDEX(Qrtly!$A:$BH,MATCH(Annual!$A30,Qrtly!$A:$A,0),MATCH("2Q"&amp;RIGHT(Annual!Y$1,2),Qrtly!$A$3:$BH$3,0))+INDEX(Qrtly!$A:$BH,MATCH(Annual!$A30,Qrtly!$A:$A,0),MATCH("3Q"&amp;RIGHT(Annual!Y$1,2),Qrtly!$A$3:$BH$3,0))+INDEX(Qrtly!$A:$BH,MATCH(Annual!$A30,Qrtly!$A:$A,0),MATCH("4Q"&amp;RIGHT(Annual!Y$1,2),Qrtly!$A$3:$BH$3,0))</f>
        <v>-826813.45106697246</v>
      </c>
      <c r="Z30" s="97">
        <f>INDEX(Qrtly!$A:$BH,MATCH(Annual!$A30,Qrtly!$A:$A,0),MATCH("1Q"&amp;RIGHT(Annual!Z$1,2),Qrtly!$A$3:$BH$3,0))+INDEX(Qrtly!$A:$BH,MATCH(Annual!$A30,Qrtly!$A:$A,0),MATCH("2Q"&amp;RIGHT(Annual!Z$1,2),Qrtly!$A$3:$BH$3,0))+INDEX(Qrtly!$A:$BH,MATCH(Annual!$A30,Qrtly!$A:$A,0),MATCH("3Q"&amp;RIGHT(Annual!Z$1,2),Qrtly!$A$3:$BH$3,0))+INDEX(Qrtly!$A:$BH,MATCH(Annual!$A30,Qrtly!$A:$A,0),MATCH("4Q"&amp;RIGHT(Annual!Z$1,2),Qrtly!$A$3:$BH$3,0))</f>
        <v>-937080.5010086043</v>
      </c>
      <c r="AA30" s="1"/>
      <c r="AB30" s="1"/>
      <c r="AC30" s="98">
        <v>-264181.26063432643</v>
      </c>
      <c r="AD30" s="99">
        <f t="shared" si="11"/>
        <v>-4944.2958059075172</v>
      </c>
      <c r="AE30" s="98">
        <v>-314005.16392896243</v>
      </c>
      <c r="AF30" s="99">
        <f t="shared" ref="AF30" si="36">IF(ISBLANK(AE30),"",INDEX($A30:$AA30,1,MATCH(AE$3,$A$3:$AA$3,0))-AE30)</f>
        <v>6598.3445460045477</v>
      </c>
      <c r="AG30" s="1"/>
      <c r="AH30" s="1"/>
      <c r="AI30" s="1"/>
      <c r="AJ30" s="1"/>
    </row>
    <row r="31" spans="1:36" x14ac:dyDescent="0.25">
      <c r="A31" s="82" t="s">
        <v>321</v>
      </c>
      <c r="B31" s="100" t="s">
        <v>322</v>
      </c>
      <c r="C31" s="5" t="s">
        <v>298</v>
      </c>
      <c r="D31" s="101"/>
      <c r="E31" s="101"/>
      <c r="F31" s="102">
        <v>411145</v>
      </c>
      <c r="G31" s="102">
        <v>531151</v>
      </c>
      <c r="H31" s="102">
        <v>700297</v>
      </c>
      <c r="I31" s="102">
        <v>1047177</v>
      </c>
      <c r="J31" s="102">
        <v>1472832</v>
      </c>
      <c r="K31" s="102">
        <v>2259338</v>
      </c>
      <c r="L31" s="102">
        <v>3406166</v>
      </c>
      <c r="M31" s="102">
        <v>5000928</v>
      </c>
      <c r="N31" s="102">
        <f>INDEX(Qrtly!$A:$BH,MATCH(Annual!$A31,Qrtly!$A:$A,0),MATCH("1Q"&amp;RIGHT(Annual!N$1,2),Qrtly!$A$3:$BH$3,0))+INDEX(Qrtly!$A:$BH,MATCH(Annual!$A31,Qrtly!$A:$A,0),MATCH("2Q"&amp;RIGHT(Annual!N$1,2),Qrtly!$A$3:$BH$3,0))+INDEX(Qrtly!$A:$BH,MATCH(Annual!$A31,Qrtly!$A:$A,0),MATCH("3Q"&amp;RIGHT(Annual!N$1,2),Qrtly!$A$3:$BH$3,0))+INDEX(Qrtly!$A:$BH,MATCH(Annual!$A31,Qrtly!$A:$A,0),MATCH("4Q"&amp;RIGHT(Annual!N$1,2),Qrtly!$A$3:$BH$3,0))</f>
        <v>5712466</v>
      </c>
      <c r="O31" s="102">
        <f>INDEX(Qrtly!$A:$BH,MATCH(Annual!$A31,Qrtly!$A:$A,0),MATCH("1Q"&amp;RIGHT(Annual!O$1,2),Qrtly!$A$3:$BH$3,0))+INDEX(Qrtly!$A:$BH,MATCH(Annual!$A31,Qrtly!$A:$A,0),MATCH("2Q"&amp;RIGHT(Annual!O$1,2),Qrtly!$A$3:$BH$3,0))+INDEX(Qrtly!$A:$BH,MATCH(Annual!$A31,Qrtly!$A:$A,0),MATCH("3Q"&amp;RIGHT(Annual!O$1,2),Qrtly!$A$3:$BH$3,0))+INDEX(Qrtly!$A:$BH,MATCH(Annual!$A31,Qrtly!$A:$A,0),MATCH("4Q"&amp;RIGHT(Annual!O$1,2),Qrtly!$A$3:$BH$3,0))</f>
        <v>5860005</v>
      </c>
      <c r="P31" s="102">
        <f>INDEX(Qrtly!$A:$BH,MATCH(Annual!$A31,Qrtly!$A:$A,0),MATCH("1Q"&amp;RIGHT(Annual!P$1,2),Qrtly!$A$3:$BH$3,0))+INDEX(Qrtly!$A:$BH,MATCH(Annual!$A31,Qrtly!$A:$A,0),MATCH("2Q"&amp;RIGHT(Annual!P$1,2),Qrtly!$A$3:$BH$3,0))+INDEX(Qrtly!$A:$BH,MATCH(Annual!$A31,Qrtly!$A:$A,0),MATCH("3Q"&amp;RIGHT(Annual!P$1,2),Qrtly!$A$3:$BH$3,0))+INDEX(Qrtly!$A:$BH,MATCH(Annual!$A31,Qrtly!$A:$A,0),MATCH("4Q"&amp;RIGHT(Annual!P$1,2),Qrtly!$A$3:$BH$3,0))</f>
        <v>6829333.6235597664</v>
      </c>
      <c r="Q31" s="102">
        <f>INDEX(Qrtly!$A:$BH,MATCH(Annual!$A31,Qrtly!$A:$A,0),MATCH("1Q"&amp;RIGHT(Annual!Q$1,2),Qrtly!$A$3:$BH$3,0))+INDEX(Qrtly!$A:$BH,MATCH(Annual!$A31,Qrtly!$A:$A,0),MATCH("2Q"&amp;RIGHT(Annual!Q$1,2),Qrtly!$A$3:$BH$3,0))+INDEX(Qrtly!$A:$BH,MATCH(Annual!$A31,Qrtly!$A:$A,0),MATCH("3Q"&amp;RIGHT(Annual!Q$1,2),Qrtly!$A$3:$BH$3,0))+INDEX(Qrtly!$A:$BH,MATCH(Annual!$A31,Qrtly!$A:$A,0),MATCH("4Q"&amp;RIGHT(Annual!Q$1,2),Qrtly!$A$3:$BH$3,0))</f>
        <v>7812333.9184700781</v>
      </c>
      <c r="R31" s="102">
        <f>INDEX(Qrtly!$A:$BH,MATCH(Annual!$A31,Qrtly!$A:$A,0),MATCH("1Q"&amp;RIGHT(Annual!R$1,2),Qrtly!$A$3:$BH$3,0))+INDEX(Qrtly!$A:$BH,MATCH(Annual!$A31,Qrtly!$A:$A,0),MATCH("2Q"&amp;RIGHT(Annual!R$1,2),Qrtly!$A$3:$BH$3,0))+INDEX(Qrtly!$A:$BH,MATCH(Annual!$A31,Qrtly!$A:$A,0),MATCH("3Q"&amp;RIGHT(Annual!R$1,2),Qrtly!$A$3:$BH$3,0))+INDEX(Qrtly!$A:$BH,MATCH(Annual!$A31,Qrtly!$A:$A,0),MATCH("4Q"&amp;RIGHT(Annual!R$1,2),Qrtly!$A$3:$BH$3,0))</f>
        <v>8882902.0909868944</v>
      </c>
      <c r="S31" s="102">
        <f>INDEX(Qrtly!$A:$BH,MATCH(Annual!$A31,Qrtly!$A:$A,0),MATCH("1Q"&amp;RIGHT(Annual!S$1,2),Qrtly!$A$3:$BH$3,0))+INDEX(Qrtly!$A:$BH,MATCH(Annual!$A31,Qrtly!$A:$A,0),MATCH("2Q"&amp;RIGHT(Annual!S$1,2),Qrtly!$A$3:$BH$3,0))+INDEX(Qrtly!$A:$BH,MATCH(Annual!$A31,Qrtly!$A:$A,0),MATCH("3Q"&amp;RIGHT(Annual!S$1,2),Qrtly!$A$3:$BH$3,0))+INDEX(Qrtly!$A:$BH,MATCH(Annual!$A31,Qrtly!$A:$A,0),MATCH("4Q"&amp;RIGHT(Annual!S$1,2),Qrtly!$A$3:$BH$3,0))</f>
        <v>10070664.824011443</v>
      </c>
      <c r="T31" s="102">
        <f>INDEX(Qrtly!$A:$BH,MATCH(Annual!$A31,Qrtly!$A:$A,0),MATCH("1Q"&amp;RIGHT(Annual!T$1,2),Qrtly!$A$3:$BH$3,0))+INDEX(Qrtly!$A:$BH,MATCH(Annual!$A31,Qrtly!$A:$A,0),MATCH("2Q"&amp;RIGHT(Annual!T$1,2),Qrtly!$A$3:$BH$3,0))+INDEX(Qrtly!$A:$BH,MATCH(Annual!$A31,Qrtly!$A:$A,0),MATCH("3Q"&amp;RIGHT(Annual!T$1,2),Qrtly!$A$3:$BH$3,0))+INDEX(Qrtly!$A:$BH,MATCH(Annual!$A31,Qrtly!$A:$A,0),MATCH("4Q"&amp;RIGHT(Annual!T$1,2),Qrtly!$A$3:$BH$3,0))</f>
        <v>11361963.116431303</v>
      </c>
      <c r="U31" s="102">
        <f>INDEX(Qrtly!$A:$BH,MATCH(Annual!$A31,Qrtly!$A:$A,0),MATCH("1Q"&amp;RIGHT(Annual!U$1,2),Qrtly!$A$3:$BH$3,0))+INDEX(Qrtly!$A:$BH,MATCH(Annual!$A31,Qrtly!$A:$A,0),MATCH("2Q"&amp;RIGHT(Annual!U$1,2),Qrtly!$A$3:$BH$3,0))+INDEX(Qrtly!$A:$BH,MATCH(Annual!$A31,Qrtly!$A:$A,0),MATCH("3Q"&amp;RIGHT(Annual!U$1,2),Qrtly!$A$3:$BH$3,0))+INDEX(Qrtly!$A:$BH,MATCH(Annual!$A31,Qrtly!$A:$A,0),MATCH("4Q"&amp;RIGHT(Annual!U$1,2),Qrtly!$A$3:$BH$3,0))</f>
        <v>12858873.087337848</v>
      </c>
      <c r="V31" s="102">
        <f>INDEX(Qrtly!$A:$BH,MATCH(Annual!$A31,Qrtly!$A:$A,0),MATCH("1Q"&amp;RIGHT(Annual!V$1,2),Qrtly!$A$3:$BH$3,0))+INDEX(Qrtly!$A:$BH,MATCH(Annual!$A31,Qrtly!$A:$A,0),MATCH("2Q"&amp;RIGHT(Annual!V$1,2),Qrtly!$A$3:$BH$3,0))+INDEX(Qrtly!$A:$BH,MATCH(Annual!$A31,Qrtly!$A:$A,0),MATCH("3Q"&amp;RIGHT(Annual!V$1,2),Qrtly!$A$3:$BH$3,0))+INDEX(Qrtly!$A:$BH,MATCH(Annual!$A31,Qrtly!$A:$A,0),MATCH("4Q"&amp;RIGHT(Annual!V$1,2),Qrtly!$A$3:$BH$3,0))</f>
        <v>14595781.172318963</v>
      </c>
      <c r="W31" s="102">
        <f>INDEX(Qrtly!$A:$BH,MATCH(Annual!$A31,Qrtly!$A:$A,0),MATCH("1Q"&amp;RIGHT(Annual!W$1,2),Qrtly!$A$3:$BH$3,0))+INDEX(Qrtly!$A:$BH,MATCH(Annual!$A31,Qrtly!$A:$A,0),MATCH("2Q"&amp;RIGHT(Annual!W$1,2),Qrtly!$A$3:$BH$3,0))+INDEX(Qrtly!$A:$BH,MATCH(Annual!$A31,Qrtly!$A:$A,0),MATCH("3Q"&amp;RIGHT(Annual!W$1,2),Qrtly!$A$3:$BH$3,0))+INDEX(Qrtly!$A:$BH,MATCH(Annual!$A31,Qrtly!$A:$A,0),MATCH("4Q"&amp;RIGHT(Annual!W$1,2),Qrtly!$A$3:$BH$3,0))</f>
        <v>16612889.382944757</v>
      </c>
      <c r="X31" s="102">
        <f>INDEX(Qrtly!$A:$BH,MATCH(Annual!$A31,Qrtly!$A:$A,0),MATCH("1Q"&amp;RIGHT(Annual!X$1,2),Qrtly!$A$3:$BH$3,0))+INDEX(Qrtly!$A:$BH,MATCH(Annual!$A31,Qrtly!$A:$A,0),MATCH("2Q"&amp;RIGHT(Annual!X$1,2),Qrtly!$A$3:$BH$3,0))+INDEX(Qrtly!$A:$BH,MATCH(Annual!$A31,Qrtly!$A:$A,0),MATCH("3Q"&amp;RIGHT(Annual!X$1,2),Qrtly!$A$3:$BH$3,0))+INDEX(Qrtly!$A:$BH,MATCH(Annual!$A31,Qrtly!$A:$A,0),MATCH("4Q"&amp;RIGHT(Annual!X$1,2),Qrtly!$A$3:$BH$3,0))</f>
        <v>18957208.128387593</v>
      </c>
      <c r="Y31" s="102">
        <f>INDEX(Qrtly!$A:$BH,MATCH(Annual!$A31,Qrtly!$A:$A,0),MATCH("1Q"&amp;RIGHT(Annual!Y$1,2),Qrtly!$A$3:$BH$3,0))+INDEX(Qrtly!$A:$BH,MATCH(Annual!$A31,Qrtly!$A:$A,0),MATCH("2Q"&amp;RIGHT(Annual!Y$1,2),Qrtly!$A$3:$BH$3,0))+INDEX(Qrtly!$A:$BH,MATCH(Annual!$A31,Qrtly!$A:$A,0),MATCH("3Q"&amp;RIGHT(Annual!Y$1,2),Qrtly!$A$3:$BH$3,0))+INDEX(Qrtly!$A:$BH,MATCH(Annual!$A31,Qrtly!$A:$A,0),MATCH("4Q"&amp;RIGHT(Annual!Y$1,2),Qrtly!$A$3:$BH$3,0))</f>
        <v>21683720.842569336</v>
      </c>
      <c r="Z31" s="102">
        <f>INDEX(Qrtly!$A:$BH,MATCH(Annual!$A31,Qrtly!$A:$A,0),MATCH("1Q"&amp;RIGHT(Annual!Z$1,2),Qrtly!$A$3:$BH$3,0))+INDEX(Qrtly!$A:$BH,MATCH(Annual!$A31,Qrtly!$A:$A,0),MATCH("2Q"&amp;RIGHT(Annual!Z$1,2),Qrtly!$A$3:$BH$3,0))+INDEX(Qrtly!$A:$BH,MATCH(Annual!$A31,Qrtly!$A:$A,0),MATCH("3Q"&amp;RIGHT(Annual!Z$1,2),Qrtly!$A$3:$BH$3,0))+INDEX(Qrtly!$A:$BH,MATCH(Annual!$A31,Qrtly!$A:$A,0),MATCH("4Q"&amp;RIGHT(Annual!Z$1,2),Qrtly!$A$3:$BH$3,0))</f>
        <v>24856750.665541518</v>
      </c>
      <c r="AA31" s="1"/>
      <c r="AB31" s="1"/>
      <c r="AC31" s="103">
        <v>6721466.8207200086</v>
      </c>
      <c r="AD31" s="104">
        <f t="shared" si="11"/>
        <v>107866.80283975787</v>
      </c>
      <c r="AE31" s="103">
        <v>7697815.0284310784</v>
      </c>
      <c r="AF31" s="104">
        <f t="shared" ref="AF31" si="37">IF(ISBLANK(AE31),"",INDEX($A31:$AA31,1,MATCH(AE$3,$A$3:$AA$3,0))-AE31)</f>
        <v>114518.89003899973</v>
      </c>
      <c r="AG31" s="1"/>
      <c r="AH31" s="1"/>
      <c r="AI31" s="1"/>
      <c r="AJ31" s="1"/>
    </row>
    <row r="32" spans="1:36" x14ac:dyDescent="0.25">
      <c r="A32" s="82"/>
      <c r="B32" s="92" t="s">
        <v>695</v>
      </c>
      <c r="C32" s="93" t="s">
        <v>7</v>
      </c>
      <c r="D32" s="46"/>
      <c r="E32" s="2"/>
      <c r="F32" s="330">
        <f t="shared" ref="F32:N32" si="38">F31/F19</f>
        <v>1.1111126124908792</v>
      </c>
      <c r="G32" s="330">
        <f t="shared" si="38"/>
        <v>0.92207632135379958</v>
      </c>
      <c r="H32" s="330">
        <f t="shared" si="38"/>
        <v>0.83437625848022057</v>
      </c>
      <c r="I32" s="330">
        <f t="shared" si="38"/>
        <v>0.80323463987113597</v>
      </c>
      <c r="J32" s="330">
        <f t="shared" si="38"/>
        <v>0.77940609149143902</v>
      </c>
      <c r="K32" s="330">
        <f t="shared" si="38"/>
        <v>0.82656419145469995</v>
      </c>
      <c r="L32" s="330">
        <f t="shared" si="38"/>
        <v>0.77065682735639585</v>
      </c>
      <c r="M32" s="330">
        <f t="shared" si="38"/>
        <v>0.83461584421081025</v>
      </c>
      <c r="N32" s="330">
        <f t="shared" si="38"/>
        <v>0.76116625888787648</v>
      </c>
      <c r="O32" s="330">
        <f>O31/O19</f>
        <v>0.65923965208375801</v>
      </c>
      <c r="P32" s="330">
        <f t="shared" ref="P32" si="39">P31/P19</f>
        <v>0.66163027047680745</v>
      </c>
      <c r="Q32" s="330">
        <f t="shared" ref="Q32" si="40">Q31/Q19</f>
        <v>0.6263653687902897</v>
      </c>
      <c r="R32" s="330">
        <f t="shared" ref="R32" si="41">R31/R19</f>
        <v>0.60737822697592414</v>
      </c>
      <c r="S32" s="330">
        <f t="shared" ref="S32" si="42">S31/S19</f>
        <v>0.59423177754011658</v>
      </c>
      <c r="T32" s="330">
        <f t="shared" ref="T32" si="43">T31/T19</f>
        <v>0.58587783147982397</v>
      </c>
      <c r="U32" s="330">
        <f t="shared" ref="U32" si="44">U31/U19</f>
        <v>0.57832062221935765</v>
      </c>
      <c r="V32" s="330">
        <f t="shared" ref="V32" si="45">V31/V19</f>
        <v>0.57138146072876594</v>
      </c>
      <c r="W32" s="330">
        <f t="shared" ref="W32" si="46">W31/W19</f>
        <v>0.56488961616743183</v>
      </c>
      <c r="X32" s="330">
        <f t="shared" ref="X32:Y32" si="47">X31/X19</f>
        <v>0.55868378486248904</v>
      </c>
      <c r="Y32" s="330">
        <f t="shared" si="47"/>
        <v>0.55261321428661747</v>
      </c>
      <c r="Z32" s="330">
        <f t="shared" ref="Z32" si="48">Z31/Z19</f>
        <v>0.5465391762151024</v>
      </c>
      <c r="AA32" s="1"/>
      <c r="AB32" s="1"/>
      <c r="AC32" s="105">
        <v>0.65765052428782789</v>
      </c>
      <c r="AD32" s="106">
        <f t="shared" si="11"/>
        <v>3.9797461889795605E-3</v>
      </c>
      <c r="AE32" s="105">
        <v>0.6242796181058422</v>
      </c>
      <c r="AF32" s="106">
        <f t="shared" ref="AF32" si="49">IF(ISBLANK(AE32),"",INDEX($A32:$AA32,1,MATCH(AE$3,$A$3:$AA$3,0))-AE32)</f>
        <v>2.085750684447496E-3</v>
      </c>
      <c r="AG32" s="1"/>
      <c r="AH32" s="1"/>
      <c r="AI32" s="1"/>
      <c r="AJ32" s="1"/>
    </row>
    <row r="33" spans="1:36" x14ac:dyDescent="0.25">
      <c r="A33" s="82"/>
      <c r="B33" s="92"/>
      <c r="C33" s="93"/>
      <c r="D33" s="46"/>
      <c r="E33" s="2"/>
      <c r="F33" s="2"/>
      <c r="G33" s="2"/>
      <c r="H33" s="2"/>
      <c r="I33" s="48"/>
      <c r="J33" s="48"/>
      <c r="K33" s="48"/>
      <c r="L33" s="48"/>
      <c r="M33" s="1"/>
      <c r="N33" s="1"/>
      <c r="O33" s="1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1"/>
      <c r="AB33" s="1"/>
      <c r="AC33" s="90"/>
      <c r="AD33" s="91" t="str">
        <f t="shared" si="11"/>
        <v/>
      </c>
      <c r="AE33" s="90"/>
      <c r="AF33" s="91" t="str">
        <f t="shared" ref="AF33" si="50">IF(ISBLANK(AE33),"",INDEX($A33:$AA33,1,MATCH(AE$3,$A$3:$AA$3,0))-AE33)</f>
        <v/>
      </c>
      <c r="AG33" s="1"/>
      <c r="AH33" s="1"/>
      <c r="AI33" s="1"/>
      <c r="AJ33" s="1"/>
    </row>
    <row r="34" spans="1:36" x14ac:dyDescent="0.25">
      <c r="A34" s="82"/>
      <c r="B34" s="95" t="s">
        <v>63</v>
      </c>
      <c r="C34" s="93"/>
      <c r="D34" s="46"/>
      <c r="E34" s="48"/>
      <c r="F34" s="48"/>
      <c r="G34" s="48"/>
      <c r="H34" s="48"/>
      <c r="I34" s="48"/>
      <c r="J34" s="48"/>
      <c r="K34" s="48"/>
      <c r="L34" s="48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1"/>
      <c r="AB34" s="1"/>
      <c r="AC34" s="90"/>
      <c r="AD34" s="91" t="str">
        <f t="shared" si="11"/>
        <v/>
      </c>
      <c r="AE34" s="90"/>
      <c r="AF34" s="91" t="str">
        <f t="shared" ref="AF34" si="51">IF(ISBLANK(AE34),"",INDEX($A34:$AA34,1,MATCH(AE$3,$A$3:$AA$3,0))-AE34)</f>
        <v/>
      </c>
      <c r="AG34" s="1"/>
      <c r="AH34" s="1"/>
      <c r="AI34" s="1"/>
      <c r="AJ34" s="1"/>
    </row>
    <row r="35" spans="1:36" x14ac:dyDescent="0.25">
      <c r="A35" s="82" t="s">
        <v>39</v>
      </c>
      <c r="B35" s="100" t="s">
        <v>323</v>
      </c>
      <c r="C35" s="5" t="s">
        <v>298</v>
      </c>
      <c r="D35" s="118"/>
      <c r="E35" s="119"/>
      <c r="F35" s="102">
        <v>-41115</v>
      </c>
      <c r="G35" s="102">
        <v>44887</v>
      </c>
      <c r="H35" s="102">
        <v>139009</v>
      </c>
      <c r="I35" s="102">
        <v>256523</v>
      </c>
      <c r="J35" s="102">
        <v>416853</v>
      </c>
      <c r="K35" s="102">
        <v>474071</v>
      </c>
      <c r="L35" s="102">
        <v>1013656</v>
      </c>
      <c r="M35" s="102">
        <v>990964</v>
      </c>
      <c r="N35" s="102">
        <v>1792420</v>
      </c>
      <c r="O35" s="102">
        <f>INDEX(Qrtly!$A:$BH,MATCH(Annual!$A35,Qrtly!$A:$A,0),MATCH("1Q"&amp;RIGHT(Annual!O$1,2),Qrtly!$A$3:$BH$3,0))+INDEX(Qrtly!$A:$BH,MATCH(Annual!$A35,Qrtly!$A:$A,0),MATCH("2Q"&amp;RIGHT(Annual!O$1,2),Qrtly!$A$3:$BH$3,0))+INDEX(Qrtly!$A:$BH,MATCH(Annual!$A35,Qrtly!$A:$A,0),MATCH("3Q"&amp;RIGHT(Annual!O$1,2),Qrtly!$A$3:$BH$3,0))+INDEX(Qrtly!$A:$BH,MATCH(Annual!$A35,Qrtly!$A:$A,0),MATCH("4Q"&amp;RIGHT(Annual!O$1,2),Qrtly!$A$3:$BH$3,0))</f>
        <v>3029031</v>
      </c>
      <c r="P35" s="102">
        <f>INDEX(Qrtly!$A:$BH,MATCH(Annual!$A35,Qrtly!$A:$A,0),MATCH("1Q"&amp;RIGHT(Annual!P$1,2),Qrtly!$A$3:$BH$3,0))+INDEX(Qrtly!$A:$BH,MATCH(Annual!$A35,Qrtly!$A:$A,0),MATCH("2Q"&amp;RIGHT(Annual!P$1,2),Qrtly!$A$3:$BH$3,0))+INDEX(Qrtly!$A:$BH,MATCH(Annual!$A35,Qrtly!$A:$A,0),MATCH("3Q"&amp;RIGHT(Annual!P$1,2),Qrtly!$A$3:$BH$3,0))+INDEX(Qrtly!$A:$BH,MATCH(Annual!$A35,Qrtly!$A:$A,0),MATCH("4Q"&amp;RIGHT(Annual!P$1,2),Qrtly!$A$3:$BH$3,0))</f>
        <v>3492645.1738102054</v>
      </c>
      <c r="Q35" s="102">
        <f>INDEX(Qrtly!$A:$BH,MATCH(Annual!$A35,Qrtly!$A:$A,0),MATCH("1Q"&amp;RIGHT(Annual!Q$1,2),Qrtly!$A$3:$BH$3,0))+INDEX(Qrtly!$A:$BH,MATCH(Annual!$A35,Qrtly!$A:$A,0),MATCH("2Q"&amp;RIGHT(Annual!Q$1,2),Qrtly!$A$3:$BH$3,0))+INDEX(Qrtly!$A:$BH,MATCH(Annual!$A35,Qrtly!$A:$A,0),MATCH("3Q"&amp;RIGHT(Annual!Q$1,2),Qrtly!$A$3:$BH$3,0))+INDEX(Qrtly!$A:$BH,MATCH(Annual!$A35,Qrtly!$A:$A,0),MATCH("4Q"&amp;RIGHT(Annual!Q$1,2),Qrtly!$A$3:$BH$3,0))</f>
        <v>4660153.0799062438</v>
      </c>
      <c r="R35" s="102">
        <f>INDEX(Qrtly!$A:$BH,MATCH(Annual!$A35,Qrtly!$A:$A,0),MATCH("1Q"&amp;RIGHT(Annual!R$1,2),Qrtly!$A$3:$BH$3,0))+INDEX(Qrtly!$A:$BH,MATCH(Annual!$A35,Qrtly!$A:$A,0),MATCH("2Q"&amp;RIGHT(Annual!R$1,2),Qrtly!$A$3:$BH$3,0))+INDEX(Qrtly!$A:$BH,MATCH(Annual!$A35,Qrtly!$A:$A,0),MATCH("3Q"&amp;RIGHT(Annual!R$1,2),Qrtly!$A$3:$BH$3,0))+INDEX(Qrtly!$A:$BH,MATCH(Annual!$A35,Qrtly!$A:$A,0),MATCH("4Q"&amp;RIGHT(Annual!R$1,2),Qrtly!$A$3:$BH$3,0))</f>
        <v>5742090.5354593648</v>
      </c>
      <c r="S35" s="102">
        <f>INDEX(Qrtly!$A:$BH,MATCH(Annual!$A35,Qrtly!$A:$A,0),MATCH("1Q"&amp;RIGHT(Annual!S$1,2),Qrtly!$A$3:$BH$3,0))+INDEX(Qrtly!$A:$BH,MATCH(Annual!$A35,Qrtly!$A:$A,0),MATCH("2Q"&amp;RIGHT(Annual!S$1,2),Qrtly!$A$3:$BH$3,0))+INDEX(Qrtly!$A:$BH,MATCH(Annual!$A35,Qrtly!$A:$A,0),MATCH("3Q"&amp;RIGHT(Annual!S$1,2),Qrtly!$A$3:$BH$3,0))+INDEX(Qrtly!$A:$BH,MATCH(Annual!$A35,Qrtly!$A:$A,0),MATCH("4Q"&amp;RIGHT(Annual!S$1,2),Qrtly!$A$3:$BH$3,0))</f>
        <v>6876703.5340053439</v>
      </c>
      <c r="T35" s="102">
        <f>INDEX(Qrtly!$A:$BH,MATCH(Annual!$A35,Qrtly!$A:$A,0),MATCH("1Q"&amp;RIGHT(Annual!T$1,2),Qrtly!$A$3:$BH$3,0))+INDEX(Qrtly!$A:$BH,MATCH(Annual!$A35,Qrtly!$A:$A,0),MATCH("2Q"&amp;RIGHT(Annual!T$1,2),Qrtly!$A$3:$BH$3,0))+INDEX(Qrtly!$A:$BH,MATCH(Annual!$A35,Qrtly!$A:$A,0),MATCH("3Q"&amp;RIGHT(Annual!T$1,2),Qrtly!$A$3:$BH$3,0))+INDEX(Qrtly!$A:$BH,MATCH(Annual!$A35,Qrtly!$A:$A,0),MATCH("4Q"&amp;RIGHT(Annual!T$1,2),Qrtly!$A$3:$BH$3,0))</f>
        <v>8031095.4803293701</v>
      </c>
      <c r="U35" s="102">
        <f>INDEX(Qrtly!$A:$BH,MATCH(Annual!$A35,Qrtly!$A:$A,0),MATCH("1Q"&amp;RIGHT(Annual!U$1,2),Qrtly!$A$3:$BH$3,0))+INDEX(Qrtly!$A:$BH,MATCH(Annual!$A35,Qrtly!$A:$A,0),MATCH("2Q"&amp;RIGHT(Annual!U$1,2),Qrtly!$A$3:$BH$3,0))+INDEX(Qrtly!$A:$BH,MATCH(Annual!$A35,Qrtly!$A:$A,0),MATCH("3Q"&amp;RIGHT(Annual!U$1,2),Qrtly!$A$3:$BH$3,0))+INDEX(Qrtly!$A:$BH,MATCH(Annual!$A35,Qrtly!$A:$A,0),MATCH("4Q"&amp;RIGHT(Annual!U$1,2),Qrtly!$A$3:$BH$3,0))</f>
        <v>9375978.2966414373</v>
      </c>
      <c r="V35" s="102">
        <f>INDEX(Qrtly!$A:$BH,MATCH(Annual!$A35,Qrtly!$A:$A,0),MATCH("1Q"&amp;RIGHT(Annual!V$1,2),Qrtly!$A$3:$BH$3,0))+INDEX(Qrtly!$A:$BH,MATCH(Annual!$A35,Qrtly!$A:$A,0),MATCH("2Q"&amp;RIGHT(Annual!V$1,2),Qrtly!$A$3:$BH$3,0))+INDEX(Qrtly!$A:$BH,MATCH(Annual!$A35,Qrtly!$A:$A,0),MATCH("3Q"&amp;RIGHT(Annual!V$1,2),Qrtly!$A$3:$BH$3,0))+INDEX(Qrtly!$A:$BH,MATCH(Annual!$A35,Qrtly!$A:$A,0),MATCH("4Q"&amp;RIGHT(Annual!V$1,2),Qrtly!$A$3:$BH$3,0))</f>
        <v>10948941.881353164</v>
      </c>
      <c r="W35" s="102">
        <f>INDEX(Qrtly!$A:$BH,MATCH(Annual!$A35,Qrtly!$A:$A,0),MATCH("1Q"&amp;RIGHT(Annual!W$1,2),Qrtly!$A$3:$BH$3,0))+INDEX(Qrtly!$A:$BH,MATCH(Annual!$A35,Qrtly!$A:$A,0),MATCH("2Q"&amp;RIGHT(Annual!W$1,2),Qrtly!$A$3:$BH$3,0))+INDEX(Qrtly!$A:$BH,MATCH(Annual!$A35,Qrtly!$A:$A,0),MATCH("3Q"&amp;RIGHT(Annual!W$1,2),Qrtly!$A$3:$BH$3,0))+INDEX(Qrtly!$A:$BH,MATCH(Annual!$A35,Qrtly!$A:$A,0),MATCH("4Q"&amp;RIGHT(Annual!W$1,2),Qrtly!$A$3:$BH$3,0))</f>
        <v>12796200.300199179</v>
      </c>
      <c r="X35" s="102">
        <f>INDEX(Qrtly!$A:$BH,MATCH(Annual!$A35,Qrtly!$A:$A,0),MATCH("1Q"&amp;RIGHT(Annual!X$1,2),Qrtly!$A$3:$BH$3,0))+INDEX(Qrtly!$A:$BH,MATCH(Annual!$A35,Qrtly!$A:$A,0),MATCH("2Q"&amp;RIGHT(Annual!X$1,2),Qrtly!$A$3:$BH$3,0))+INDEX(Qrtly!$A:$BH,MATCH(Annual!$A35,Qrtly!$A:$A,0),MATCH("3Q"&amp;RIGHT(Annual!X$1,2),Qrtly!$A$3:$BH$3,0))+INDEX(Qrtly!$A:$BH,MATCH(Annual!$A35,Qrtly!$A:$A,0),MATCH("4Q"&amp;RIGHT(Annual!X$1,2),Qrtly!$A$3:$BH$3,0))</f>
        <v>14974702.268928844</v>
      </c>
      <c r="Y35" s="102">
        <f>INDEX(Qrtly!$A:$BH,MATCH(Annual!$A35,Qrtly!$A:$A,0),MATCH("1Q"&amp;RIGHT(Annual!Y$1,2),Qrtly!$A$3:$BH$3,0))+INDEX(Qrtly!$A:$BH,MATCH(Annual!$A35,Qrtly!$A:$A,0),MATCH("2Q"&amp;RIGHT(Annual!Y$1,2),Qrtly!$A$3:$BH$3,0))+INDEX(Qrtly!$A:$BH,MATCH(Annual!$A35,Qrtly!$A:$A,0),MATCH("3Q"&amp;RIGHT(Annual!Y$1,2),Qrtly!$A$3:$BH$3,0))+INDEX(Qrtly!$A:$BH,MATCH(Annual!$A35,Qrtly!$A:$A,0),MATCH("4Q"&amp;RIGHT(Annual!Y$1,2),Qrtly!$A$3:$BH$3,0))</f>
        <v>17554792.247569863</v>
      </c>
      <c r="Z35" s="102">
        <f>INDEX(Qrtly!$A:$BH,MATCH(Annual!$A35,Qrtly!$A:$A,0),MATCH("1Q"&amp;RIGHT(Annual!Z$1,2),Qrtly!$A$3:$BH$3,0))+INDEX(Qrtly!$A:$BH,MATCH(Annual!$A35,Qrtly!$A:$A,0),MATCH("2Q"&amp;RIGHT(Annual!Z$1,2),Qrtly!$A$3:$BH$3,0))+INDEX(Qrtly!$A:$BH,MATCH(Annual!$A35,Qrtly!$A:$A,0),MATCH("3Q"&amp;RIGHT(Annual!Z$1,2),Qrtly!$A$3:$BH$3,0))+INDEX(Qrtly!$A:$BH,MATCH(Annual!$A35,Qrtly!$A:$A,0),MATCH("4Q"&amp;RIGHT(Annual!Z$1,2),Qrtly!$A$3:$BH$3,0))</f>
        <v>20623521.833274934</v>
      </c>
      <c r="AA35" s="115">
        <v>0.01</v>
      </c>
      <c r="AB35" s="115">
        <v>0.02</v>
      </c>
      <c r="AC35" s="103">
        <v>3498956.5994524434</v>
      </c>
      <c r="AD35" s="104">
        <f t="shared" si="11"/>
        <v>-6311.4256422379985</v>
      </c>
      <c r="AE35" s="103">
        <v>4632901.5369877974</v>
      </c>
      <c r="AF35" s="104">
        <f t="shared" ref="AF35" si="52">IF(ISBLANK(AE35),"",INDEX($A35:$AA35,1,MATCH(AE$3,$A$3:$AA$3,0))-AE35)</f>
        <v>27251.542918446474</v>
      </c>
      <c r="AG35" s="1"/>
      <c r="AH35" s="1"/>
      <c r="AI35" s="1"/>
      <c r="AJ35" s="1"/>
    </row>
    <row r="36" spans="1:36" x14ac:dyDescent="0.25">
      <c r="A36" s="82"/>
      <c r="B36" s="92" t="s">
        <v>299</v>
      </c>
      <c r="C36" s="93" t="s">
        <v>300</v>
      </c>
      <c r="D36" s="94"/>
      <c r="E36" s="2"/>
      <c r="F36" s="2" t="e">
        <v>#DIV/0!</v>
      </c>
      <c r="G36" s="50">
        <v>-2.09</v>
      </c>
      <c r="H36" s="50">
        <v>2.1</v>
      </c>
      <c r="I36" s="50">
        <v>0.85</v>
      </c>
      <c r="J36" s="50">
        <v>0.63</v>
      </c>
      <c r="K36" s="50">
        <v>0.14000000000000001</v>
      </c>
      <c r="L36" s="50">
        <v>1.1399999999999999</v>
      </c>
      <c r="M36" s="50">
        <v>-0.02</v>
      </c>
      <c r="N36" s="50">
        <v>0.81</v>
      </c>
      <c r="O36" s="330">
        <f>O35/N$35-1</f>
        <v>0.68991140469309653</v>
      </c>
      <c r="P36" s="330">
        <f t="shared" ref="P36:Z36" si="53">P35/O35-1</f>
        <v>0.1530569260632213</v>
      </c>
      <c r="Q36" s="330">
        <f t="shared" si="53"/>
        <v>0.33427612826251618</v>
      </c>
      <c r="R36" s="330">
        <f t="shared" si="53"/>
        <v>0.2321677929890853</v>
      </c>
      <c r="S36" s="330">
        <f t="shared" si="53"/>
        <v>0.19759580444427982</v>
      </c>
      <c r="T36" s="330">
        <f t="shared" si="53"/>
        <v>0.16786995987474973</v>
      </c>
      <c r="U36" s="330">
        <f t="shared" si="53"/>
        <v>0.16745944804243695</v>
      </c>
      <c r="V36" s="330">
        <f t="shared" si="53"/>
        <v>0.16776527578729317</v>
      </c>
      <c r="W36" s="330">
        <f t="shared" si="53"/>
        <v>0.16871570229010246</v>
      </c>
      <c r="X36" s="330">
        <f t="shared" si="53"/>
        <v>0.17024600409668134</v>
      </c>
      <c r="Y36" s="330">
        <f t="shared" si="53"/>
        <v>0.17229657941142995</v>
      </c>
      <c r="Z36" s="330">
        <f t="shared" si="53"/>
        <v>0.17480865295514292</v>
      </c>
      <c r="AA36" s="1"/>
      <c r="AB36" s="1"/>
      <c r="AC36" s="116">
        <v>0.15514057117686919</v>
      </c>
      <c r="AD36" s="117">
        <f t="shared" si="11"/>
        <v>-2.0836451136478917E-3</v>
      </c>
      <c r="AE36" s="116">
        <v>0.32408088105831512</v>
      </c>
      <c r="AF36" s="117">
        <f t="shared" ref="AF36" si="54">IF(ISBLANK(AE36),"",INDEX($A36:$AA36,1,MATCH(AE$3,$A$3:$AA$3,0))-AE36)</f>
        <v>1.0195247204201063E-2</v>
      </c>
      <c r="AG36" s="1"/>
      <c r="AH36" s="1"/>
      <c r="AI36" s="1"/>
      <c r="AJ36" s="1"/>
    </row>
    <row r="37" spans="1:36" x14ac:dyDescent="0.25">
      <c r="A37" s="82"/>
      <c r="B37" s="92" t="s">
        <v>324</v>
      </c>
      <c r="C37" s="93" t="s">
        <v>7</v>
      </c>
      <c r="D37" s="2"/>
      <c r="E37" s="2"/>
      <c r="F37" s="62">
        <v>-3.2000000000000001E-2</v>
      </c>
      <c r="G37" s="62">
        <v>2.5999999999999999E-2</v>
      </c>
      <c r="H37" s="62">
        <v>6.3E-2</v>
      </c>
      <c r="I37" s="62">
        <v>7.8E-2</v>
      </c>
      <c r="J37" s="62">
        <v>8.7999999999999995E-2</v>
      </c>
      <c r="K37" s="62">
        <v>0.05</v>
      </c>
      <c r="L37" s="62">
        <v>5.7000000000000002E-2</v>
      </c>
      <c r="M37" s="62">
        <v>5.7000000000000002E-2</v>
      </c>
      <c r="N37" s="62">
        <v>8.2000000000000003E-2</v>
      </c>
      <c r="O37" s="330">
        <f>O35/O$10</f>
        <v>0.12557623417186639</v>
      </c>
      <c r="P37" s="330">
        <f t="shared" ref="P37:Z37" si="55">P35/P10</f>
        <v>0.14558810995449048</v>
      </c>
      <c r="Q37" s="330">
        <f t="shared" si="55"/>
        <v>0.17018088635615328</v>
      </c>
      <c r="R37" s="330">
        <f t="shared" si="55"/>
        <v>0.18455800688127838</v>
      </c>
      <c r="S37" s="330">
        <f t="shared" si="55"/>
        <v>0.194528539930025</v>
      </c>
      <c r="T37" s="330">
        <f t="shared" si="55"/>
        <v>0.20142164708656268</v>
      </c>
      <c r="U37" s="330">
        <f t="shared" si="55"/>
        <v>0.20831794650038554</v>
      </c>
      <c r="V37" s="330">
        <f t="shared" si="55"/>
        <v>0.21533264537599098</v>
      </c>
      <c r="W37" s="330">
        <f t="shared" si="55"/>
        <v>0.22258393488120909</v>
      </c>
      <c r="X37" s="330">
        <f t="shared" si="55"/>
        <v>0.23019296874874989</v>
      </c>
      <c r="Y37" s="330">
        <f t="shared" si="55"/>
        <v>0.23828420948624002</v>
      </c>
      <c r="Z37" s="330">
        <f t="shared" si="55"/>
        <v>0.24698548398781034</v>
      </c>
      <c r="AA37" s="1"/>
      <c r="AB37" s="1"/>
      <c r="AC37" s="105">
        <v>0.13498546952380167</v>
      </c>
      <c r="AD37" s="106">
        <f t="shared" si="11"/>
        <v>1.0602640430688814E-2</v>
      </c>
      <c r="AE37" s="105">
        <v>0.15035861704340678</v>
      </c>
      <c r="AF37" s="106">
        <f t="shared" ref="AF37" si="56">IF(ISBLANK(AE37),"",INDEX($A37:$AA37,1,MATCH(AE$3,$A$3:$AA$3,0))-AE37)</f>
        <v>1.9822269312746499E-2</v>
      </c>
      <c r="AG37" s="1"/>
      <c r="AH37" s="2"/>
      <c r="AI37" s="1"/>
      <c r="AJ37" s="1"/>
    </row>
    <row r="38" spans="1:36" x14ac:dyDescent="0.25">
      <c r="A38" s="82"/>
      <c r="B38" s="92" t="s">
        <v>325</v>
      </c>
      <c r="C38" s="93"/>
      <c r="D38" s="1"/>
      <c r="E38" s="2"/>
      <c r="F38" s="62">
        <v>-0.111</v>
      </c>
      <c r="G38" s="62">
        <v>7.8E-2</v>
      </c>
      <c r="H38" s="62">
        <v>0.16600000000000001</v>
      </c>
      <c r="I38" s="62">
        <v>0.19700000000000001</v>
      </c>
      <c r="J38" s="62">
        <v>0.221</v>
      </c>
      <c r="K38" s="62">
        <v>0.17299999999999999</v>
      </c>
      <c r="L38" s="62">
        <v>0.22900000000000001</v>
      </c>
      <c r="M38" s="62">
        <v>0.16500000000000001</v>
      </c>
      <c r="N38" s="62">
        <v>0.23899999999999999</v>
      </c>
      <c r="O38" s="330">
        <f>O35/O$19</f>
        <v>0.34076034791624199</v>
      </c>
      <c r="P38" s="330">
        <f t="shared" ref="P38:Z38" si="57">P35/P19</f>
        <v>0.3383697295231925</v>
      </c>
      <c r="Q38" s="330">
        <f t="shared" si="57"/>
        <v>0.37363463120971036</v>
      </c>
      <c r="R38" s="330">
        <f t="shared" si="57"/>
        <v>0.39262177302407569</v>
      </c>
      <c r="S38" s="330">
        <f t="shared" si="57"/>
        <v>0.40576822245988331</v>
      </c>
      <c r="T38" s="330">
        <f t="shared" si="57"/>
        <v>0.41412216852017592</v>
      </c>
      <c r="U38" s="330">
        <f t="shared" si="57"/>
        <v>0.42167937778064224</v>
      </c>
      <c r="V38" s="330">
        <f t="shared" si="57"/>
        <v>0.42861853927123406</v>
      </c>
      <c r="W38" s="330">
        <f t="shared" si="57"/>
        <v>0.43511038383256817</v>
      </c>
      <c r="X38" s="330">
        <f t="shared" si="57"/>
        <v>0.44131621513751085</v>
      </c>
      <c r="Y38" s="330">
        <f t="shared" si="57"/>
        <v>0.44738678571338258</v>
      </c>
      <c r="Z38" s="330">
        <f t="shared" si="57"/>
        <v>0.45346082378489766</v>
      </c>
      <c r="AA38" s="1"/>
      <c r="AB38" s="1"/>
      <c r="AC38" s="105">
        <v>0.34234947571217206</v>
      </c>
      <c r="AD38" s="91">
        <f t="shared" si="11"/>
        <v>-3.9797461889795605E-3</v>
      </c>
      <c r="AE38" s="105">
        <v>0.37572038189415774</v>
      </c>
      <c r="AF38" s="91">
        <f t="shared" ref="AF38" si="58">IF(ISBLANK(AE38),"",INDEX($A38:$AA38,1,MATCH(AE$3,$A$3:$AA$3,0))-AE38)</f>
        <v>-2.085750684447385E-3</v>
      </c>
      <c r="AG38" s="1"/>
      <c r="AH38" s="1"/>
      <c r="AI38" s="1"/>
      <c r="AJ38" s="1"/>
    </row>
    <row r="39" spans="1:36" x14ac:dyDescent="0.25">
      <c r="A39" s="82"/>
      <c r="B39" s="107" t="s">
        <v>301</v>
      </c>
      <c r="C39" s="93"/>
      <c r="D39" s="120"/>
      <c r="E39" s="120"/>
      <c r="F39" s="120"/>
      <c r="G39" s="108">
        <v>9000</v>
      </c>
      <c r="H39" s="108">
        <v>105000</v>
      </c>
      <c r="I39" s="108">
        <v>245000</v>
      </c>
      <c r="J39" s="108">
        <v>410000</v>
      </c>
      <c r="K39" s="108">
        <v>510000</v>
      </c>
      <c r="L39" s="48"/>
      <c r="M39" s="48" t="s">
        <v>308</v>
      </c>
      <c r="N39" s="108">
        <v>1300000</v>
      </c>
      <c r="O39" s="108">
        <v>2400000</v>
      </c>
      <c r="P39" s="48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"/>
      <c r="AB39" s="120"/>
      <c r="AC39" s="121"/>
      <c r="AD39" s="122" t="str">
        <f t="shared" si="11"/>
        <v/>
      </c>
      <c r="AE39" s="121"/>
      <c r="AF39" s="122" t="str">
        <f t="shared" ref="AF39" si="59">IF(ISBLANK(AE39),"",INDEX($A39:$AA39,1,MATCH(AE$3,$A$3:$AA$3,0))-AE39)</f>
        <v/>
      </c>
      <c r="AG39" s="1"/>
      <c r="AH39" s="1"/>
      <c r="AI39" s="1"/>
      <c r="AJ39" s="1"/>
    </row>
    <row r="40" spans="1:36" x14ac:dyDescent="0.25">
      <c r="A40" s="82"/>
      <c r="B40" s="110" t="s">
        <v>302</v>
      </c>
      <c r="C40" s="93"/>
      <c r="D40" s="120"/>
      <c r="E40" s="120"/>
      <c r="F40" s="120"/>
      <c r="G40" s="123">
        <v>3.99</v>
      </c>
      <c r="H40" s="123">
        <v>0.32</v>
      </c>
      <c r="I40" s="123">
        <v>0.05</v>
      </c>
      <c r="J40" s="123">
        <v>0.02</v>
      </c>
      <c r="K40" s="123">
        <v>-7.0000000000000007E-2</v>
      </c>
      <c r="L40" s="46"/>
      <c r="M40" s="46"/>
      <c r="N40" s="123">
        <v>0.38</v>
      </c>
      <c r="O40" s="123">
        <v>0.26</v>
      </c>
      <c r="P40" s="46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"/>
      <c r="AB40" s="120"/>
      <c r="AC40" s="121"/>
      <c r="AD40" s="122" t="str">
        <f t="shared" si="11"/>
        <v/>
      </c>
      <c r="AE40" s="121"/>
      <c r="AF40" s="122" t="str">
        <f t="shared" ref="AF40" si="60">IF(ISBLANK(AE40),"",INDEX($A40:$AA40,1,MATCH(AE$3,$A$3:$AA$3,0))-AE40)</f>
        <v/>
      </c>
      <c r="AG40" s="1"/>
      <c r="AH40" s="1"/>
      <c r="AI40" s="1"/>
      <c r="AJ40" s="1"/>
    </row>
    <row r="41" spans="1:36" x14ac:dyDescent="0.25">
      <c r="A41" s="82"/>
      <c r="B41" s="92"/>
      <c r="C41" s="9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1"/>
      <c r="AB41" s="1"/>
      <c r="AC41" s="90"/>
      <c r="AD41" s="91" t="str">
        <f t="shared" si="11"/>
        <v/>
      </c>
      <c r="AE41" s="90"/>
      <c r="AF41" s="91" t="str">
        <f t="shared" ref="AF41" si="61">IF(ISBLANK(AE41),"",INDEX($A41:$AA41,1,MATCH(AE$3,$A$3:$AA$3,0))-AE41)</f>
        <v/>
      </c>
      <c r="AG41" s="1"/>
      <c r="AH41" s="2"/>
      <c r="AI41" s="1"/>
      <c r="AJ41" s="1"/>
    </row>
    <row r="42" spans="1:36" x14ac:dyDescent="0.25">
      <c r="A42" s="82"/>
      <c r="B42" s="95" t="s">
        <v>326</v>
      </c>
      <c r="C42" s="114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76"/>
      <c r="AD42" s="77" t="str">
        <f t="shared" si="11"/>
        <v/>
      </c>
      <c r="AE42" s="76"/>
      <c r="AF42" s="77" t="str">
        <f t="shared" ref="AF42" si="62">IF(ISBLANK(AE42),"",INDEX($A42:$AA42,1,MATCH(AE$3,$A$3:$AA$3,0))-AE42)</f>
        <v/>
      </c>
      <c r="AG42" s="1"/>
      <c r="AH42" s="1"/>
      <c r="AI42" s="1"/>
      <c r="AJ42" s="1"/>
    </row>
    <row r="43" spans="1:36" x14ac:dyDescent="0.25">
      <c r="A43" s="82" t="s">
        <v>327</v>
      </c>
      <c r="B43" s="100" t="s">
        <v>326</v>
      </c>
      <c r="C43" s="5" t="s">
        <v>298</v>
      </c>
      <c r="D43" s="124"/>
      <c r="E43" s="119"/>
      <c r="F43" s="102">
        <v>27626</v>
      </c>
      <c r="G43" s="102">
        <v>37745</v>
      </c>
      <c r="H43" s="102">
        <v>37279</v>
      </c>
      <c r="I43" s="102">
        <v>60961</v>
      </c>
      <c r="J43" s="102">
        <v>75598</v>
      </c>
      <c r="K43" s="102">
        <v>84212</v>
      </c>
      <c r="L43" s="102">
        <v>134756</v>
      </c>
      <c r="M43" s="102">
        <v>340523</v>
      </c>
      <c r="N43" s="102">
        <v>408560</v>
      </c>
      <c r="O43" s="102">
        <f>INDEX(Qrtly!$A:$BH,MATCH(Annual!$A43,Qrtly!$A:$A,0),MATCH("1Q"&amp;RIGHT(Annual!O$1,2),Qrtly!$A$3:$BH$3,0))+INDEX(Qrtly!$A:$BH,MATCH(Annual!$A43,Qrtly!$A:$A,0),MATCH("2Q"&amp;RIGHT(Annual!O$1,2),Qrtly!$A$3:$BH$3,0))+INDEX(Qrtly!$A:$BH,MATCH(Annual!$A43,Qrtly!$A:$A,0),MATCH("3Q"&amp;RIGHT(Annual!O$1,2),Qrtly!$A$3:$BH$3,0))+INDEX(Qrtly!$A:$BH,MATCH(Annual!$A43,Qrtly!$A:$A,0),MATCH("4Q"&amp;RIGHT(Annual!O$1,2),Qrtly!$A$3:$BH$3,0))</f>
        <v>376127</v>
      </c>
      <c r="P43" s="102">
        <f>INDEX(Qrtly!$A:$BH,MATCH(Annual!$A43,Qrtly!$A:$A,0),MATCH("1Q"&amp;RIGHT(Annual!P$1,2),Qrtly!$A$3:$BH$3,0))+INDEX(Qrtly!$A:$BH,MATCH(Annual!$A43,Qrtly!$A:$A,0),MATCH("2Q"&amp;RIGHT(Annual!P$1,2),Qrtly!$A$3:$BH$3,0))+INDEX(Qrtly!$A:$BH,MATCH(Annual!$A43,Qrtly!$A:$A,0),MATCH("3Q"&amp;RIGHT(Annual!P$1,2),Qrtly!$A$3:$BH$3,0))+INDEX(Qrtly!$A:$BH,MATCH(Annual!$A43,Qrtly!$A:$A,0),MATCH("4Q"&amp;RIGHT(Annual!P$1,2),Qrtly!$A$3:$BH$3,0))</f>
        <v>364194.52543536259</v>
      </c>
      <c r="Q43" s="102">
        <f>INDEX(Qrtly!$A:$BH,MATCH(Annual!$A43,Qrtly!$A:$A,0),MATCH("1Q"&amp;RIGHT(Annual!Q$1,2),Qrtly!$A$3:$BH$3,0))+INDEX(Qrtly!$A:$BH,MATCH(Annual!$A43,Qrtly!$A:$A,0),MATCH("2Q"&amp;RIGHT(Annual!Q$1,2),Qrtly!$A$3:$BH$3,0))+INDEX(Qrtly!$A:$BH,MATCH(Annual!$A43,Qrtly!$A:$A,0),MATCH("3Q"&amp;RIGHT(Annual!Q$1,2),Qrtly!$A$3:$BH$3,0))+INDEX(Qrtly!$A:$BH,MATCH(Annual!$A43,Qrtly!$A:$A,0),MATCH("4Q"&amp;RIGHT(Annual!Q$1,2),Qrtly!$A$3:$BH$3,0))</f>
        <v>410752.92117296101</v>
      </c>
      <c r="R43" s="102">
        <f>INDEX(Qrtly!$A:$BH,MATCH(Annual!$A43,Qrtly!$A:$A,0),MATCH("1Q"&amp;RIGHT(Annual!R$1,2),Qrtly!$A$3:$BH$3,0))+INDEX(Qrtly!$A:$BH,MATCH(Annual!$A43,Qrtly!$A:$A,0),MATCH("2Q"&amp;RIGHT(Annual!R$1,2),Qrtly!$A$3:$BH$3,0))+INDEX(Qrtly!$A:$BH,MATCH(Annual!$A43,Qrtly!$A:$A,0),MATCH("3Q"&amp;RIGHT(Annual!R$1,2),Qrtly!$A$3:$BH$3,0))+INDEX(Qrtly!$A:$BH,MATCH(Annual!$A43,Qrtly!$A:$A,0),MATCH("4Q"&amp;RIGHT(Annual!R$1,2),Qrtly!$A$3:$BH$3,0))</f>
        <v>466689.90138854634</v>
      </c>
      <c r="S43" s="102">
        <f>INDEX(Qrtly!$A:$BH,MATCH(Annual!$A43,Qrtly!$A:$A,0),MATCH("1Q"&amp;RIGHT(Annual!S$1,2),Qrtly!$A$3:$BH$3,0))+INDEX(Qrtly!$A:$BH,MATCH(Annual!$A43,Qrtly!$A:$A,0),MATCH("2Q"&amp;RIGHT(Annual!S$1,2),Qrtly!$A$3:$BH$3,0))+INDEX(Qrtly!$A:$BH,MATCH(Annual!$A43,Qrtly!$A:$A,0),MATCH("3Q"&amp;RIGHT(Annual!S$1,2),Qrtly!$A$3:$BH$3,0))+INDEX(Qrtly!$A:$BH,MATCH(Annual!$A43,Qrtly!$A:$A,0),MATCH("4Q"&amp;RIGHT(Annual!S$1,2),Qrtly!$A$3:$BH$3,0))</f>
        <v>530259.2259582323</v>
      </c>
      <c r="T43" s="102">
        <f>INDEX(Qrtly!$A:$BH,MATCH(Annual!$A43,Qrtly!$A:$A,0),MATCH("1Q"&amp;RIGHT(Annual!T$1,2),Qrtly!$A$3:$BH$3,0))+INDEX(Qrtly!$A:$BH,MATCH(Annual!$A43,Qrtly!$A:$A,0),MATCH("2Q"&amp;RIGHT(Annual!T$1,2),Qrtly!$A$3:$BH$3,0))+INDEX(Qrtly!$A:$BH,MATCH(Annual!$A43,Qrtly!$A:$A,0),MATCH("3Q"&amp;RIGHT(Annual!T$1,2),Qrtly!$A$3:$BH$3,0))+INDEX(Qrtly!$A:$BH,MATCH(Annual!$A43,Qrtly!$A:$A,0),MATCH("4Q"&amp;RIGHT(Annual!T$1,2),Qrtly!$A$3:$BH$3,0))</f>
        <v>598080.8614536305</v>
      </c>
      <c r="U43" s="102">
        <f>INDEX(Qrtly!$A:$BH,MATCH(Annual!$A43,Qrtly!$A:$A,0),MATCH("1Q"&amp;RIGHT(Annual!U$1,2),Qrtly!$A$3:$BH$3,0))+INDEX(Qrtly!$A:$BH,MATCH(Annual!$A43,Qrtly!$A:$A,0),MATCH("2Q"&amp;RIGHT(Annual!U$1,2),Qrtly!$A$3:$BH$3,0))+INDEX(Qrtly!$A:$BH,MATCH(Annual!$A43,Qrtly!$A:$A,0),MATCH("3Q"&amp;RIGHT(Annual!U$1,2),Qrtly!$A$3:$BH$3,0))+INDEX(Qrtly!$A:$BH,MATCH(Annual!$A43,Qrtly!$A:$A,0),MATCH("4Q"&amp;RIGHT(Annual!U$1,2),Qrtly!$A$3:$BH$3,0))</f>
        <v>675120.29958187649</v>
      </c>
      <c r="V43" s="102">
        <f>INDEX(Qrtly!$A:$BH,MATCH(Annual!$A43,Qrtly!$A:$A,0),MATCH("1Q"&amp;RIGHT(Annual!V$1,2),Qrtly!$A$3:$BH$3,0))+INDEX(Qrtly!$A:$BH,MATCH(Annual!$A43,Qrtly!$A:$A,0),MATCH("2Q"&amp;RIGHT(Annual!V$1,2),Qrtly!$A$3:$BH$3,0))+INDEX(Qrtly!$A:$BH,MATCH(Annual!$A43,Qrtly!$A:$A,0),MATCH("3Q"&amp;RIGHT(Annual!V$1,2),Qrtly!$A$3:$BH$3,0))+INDEX(Qrtly!$A:$BH,MATCH(Annual!$A43,Qrtly!$A:$A,0),MATCH("4Q"&amp;RIGHT(Annual!V$1,2),Qrtly!$A$3:$BH$3,0))</f>
        <v>762699.62658717751</v>
      </c>
      <c r="W43" s="102">
        <f>INDEX(Qrtly!$A:$BH,MATCH(Annual!$A43,Qrtly!$A:$A,0),MATCH("1Q"&amp;RIGHT(Annual!W$1,2),Qrtly!$A$3:$BH$3,0))+INDEX(Qrtly!$A:$BH,MATCH(Annual!$A43,Qrtly!$A:$A,0),MATCH("2Q"&amp;RIGHT(Annual!W$1,2),Qrtly!$A$3:$BH$3,0))+INDEX(Qrtly!$A:$BH,MATCH(Annual!$A43,Qrtly!$A:$A,0),MATCH("3Q"&amp;RIGHT(Annual!W$1,2),Qrtly!$A$3:$BH$3,0))+INDEX(Qrtly!$A:$BH,MATCH(Annual!$A43,Qrtly!$A:$A,0),MATCH("4Q"&amp;RIGHT(Annual!W$1,2),Qrtly!$A$3:$BH$3,0))</f>
        <v>862339.88362828526</v>
      </c>
      <c r="X43" s="102">
        <f>INDEX(Qrtly!$A:$BH,MATCH(Annual!$A43,Qrtly!$A:$A,0),MATCH("1Q"&amp;RIGHT(Annual!X$1,2),Qrtly!$A$3:$BH$3,0))+INDEX(Qrtly!$A:$BH,MATCH(Annual!$A43,Qrtly!$A:$A,0),MATCH("2Q"&amp;RIGHT(Annual!X$1,2),Qrtly!$A$3:$BH$3,0))+INDEX(Qrtly!$A:$BH,MATCH(Annual!$A43,Qrtly!$A:$A,0),MATCH("3Q"&amp;RIGHT(Annual!X$1,2),Qrtly!$A$3:$BH$3,0))+INDEX(Qrtly!$A:$BH,MATCH(Annual!$A43,Qrtly!$A:$A,0),MATCH("4Q"&amp;RIGHT(Annual!X$1,2),Qrtly!$A$3:$BH$3,0))</f>
        <v>975792.33307990641</v>
      </c>
      <c r="Y43" s="102">
        <f>INDEX(Qrtly!$A:$BH,MATCH(Annual!$A43,Qrtly!$A:$A,0),MATCH("1Q"&amp;RIGHT(Annual!Y$1,2),Qrtly!$A$3:$BH$3,0))+INDEX(Qrtly!$A:$BH,MATCH(Annual!$A43,Qrtly!$A:$A,0),MATCH("2Q"&amp;RIGHT(Annual!Y$1,2),Qrtly!$A$3:$BH$3,0))+INDEX(Qrtly!$A:$BH,MATCH(Annual!$A43,Qrtly!$A:$A,0),MATCH("3Q"&amp;RIGHT(Annual!Y$1,2),Qrtly!$A$3:$BH$3,0))+INDEX(Qrtly!$A:$BH,MATCH(Annual!$A43,Qrtly!$A:$A,0),MATCH("4Q"&amp;RIGHT(Annual!Y$1,2),Qrtly!$A$3:$BH$3,0))</f>
        <v>1105074.8359754561</v>
      </c>
      <c r="Z43" s="102">
        <f>INDEX(Qrtly!$A:$BH,MATCH(Annual!$A43,Qrtly!$A:$A,0),MATCH("1Q"&amp;RIGHT(Annual!Z$1,2),Qrtly!$A$3:$BH$3,0))+INDEX(Qrtly!$A:$BH,MATCH(Annual!$A43,Qrtly!$A:$A,0),MATCH("2Q"&amp;RIGHT(Annual!Z$1,2),Qrtly!$A$3:$BH$3,0))+INDEX(Qrtly!$A:$BH,MATCH(Annual!$A43,Qrtly!$A:$A,0),MATCH("3Q"&amp;RIGHT(Annual!Z$1,2),Qrtly!$A$3:$BH$3,0))+INDEX(Qrtly!$A:$BH,MATCH(Annual!$A43,Qrtly!$A:$A,0),MATCH("4Q"&amp;RIGHT(Annual!Z$1,2),Qrtly!$A$3:$BH$3,0))</f>
        <v>1252514.2065207027</v>
      </c>
      <c r="AA43" s="1"/>
      <c r="AB43" s="1"/>
      <c r="AC43" s="103">
        <v>392766.00985966087</v>
      </c>
      <c r="AD43" s="104">
        <f t="shared" si="11"/>
        <v>-28571.48442429828</v>
      </c>
      <c r="AE43" s="103">
        <v>462185.17050309794</v>
      </c>
      <c r="AF43" s="104">
        <f t="shared" ref="AF43" si="63">IF(ISBLANK(AE43),"",INDEX($A43:$AA43,1,MATCH(AE$3,$A$3:$AA$3,0))-AE43)</f>
        <v>-51432.249330136925</v>
      </c>
      <c r="AG43" s="1"/>
      <c r="AH43" s="1"/>
      <c r="AI43" s="1"/>
      <c r="AJ43" s="1"/>
    </row>
    <row r="44" spans="1:36" x14ac:dyDescent="0.25">
      <c r="A44" s="82"/>
      <c r="B44" s="92" t="s">
        <v>328</v>
      </c>
      <c r="C44" s="93" t="s">
        <v>7</v>
      </c>
      <c r="D44" s="2"/>
      <c r="E44" s="2"/>
      <c r="F44" s="62">
        <v>2.1999999999999999E-2</v>
      </c>
      <c r="G44" s="62">
        <v>2.1999999999999999E-2</v>
      </c>
      <c r="H44" s="62">
        <v>1.7000000000000001E-2</v>
      </c>
      <c r="I44" s="62">
        <v>1.7999999999999999E-2</v>
      </c>
      <c r="J44" s="62">
        <v>1.6E-2</v>
      </c>
      <c r="K44" s="62">
        <v>8.9999999999999993E-3</v>
      </c>
      <c r="L44" s="62">
        <v>8.0000000000000002E-3</v>
      </c>
      <c r="M44" s="62">
        <v>1.9E-2</v>
      </c>
      <c r="N44" s="62">
        <v>1.9E-2</v>
      </c>
      <c r="O44" s="330">
        <f>O43/O10</f>
        <v>1.5593307638766847E-2</v>
      </c>
      <c r="P44" s="330">
        <f t="shared" ref="P44:Z44" si="64">P43/P10</f>
        <v>1.518115639444236E-2</v>
      </c>
      <c r="Q44" s="330">
        <f t="shared" si="64"/>
        <v>1.5000000000000001E-2</v>
      </c>
      <c r="R44" s="330">
        <f t="shared" si="64"/>
        <v>1.4999999999999998E-2</v>
      </c>
      <c r="S44" s="330">
        <f t="shared" si="64"/>
        <v>1.4999999999999998E-2</v>
      </c>
      <c r="T44" s="330">
        <f t="shared" si="64"/>
        <v>1.5000000000000001E-2</v>
      </c>
      <c r="U44" s="330">
        <f t="shared" si="64"/>
        <v>1.5000000000000005E-2</v>
      </c>
      <c r="V44" s="330">
        <f t="shared" si="64"/>
        <v>1.4999999999999998E-2</v>
      </c>
      <c r="W44" s="330">
        <f t="shared" si="64"/>
        <v>1.4999999999999999E-2</v>
      </c>
      <c r="X44" s="330">
        <f t="shared" si="64"/>
        <v>1.4999999999999998E-2</v>
      </c>
      <c r="Y44" s="330">
        <f t="shared" si="64"/>
        <v>1.4999999999999998E-2</v>
      </c>
      <c r="Z44" s="330">
        <f t="shared" si="64"/>
        <v>1.4999999999999999E-2</v>
      </c>
      <c r="AA44" s="1"/>
      <c r="AB44" s="1"/>
      <c r="AC44" s="105">
        <v>1.5152432660123094E-2</v>
      </c>
      <c r="AD44" s="106">
        <f t="shared" si="11"/>
        <v>2.8723734319266447E-5</v>
      </c>
      <c r="AE44" s="105">
        <v>1.5000000000000001E-2</v>
      </c>
      <c r="AF44" s="106">
        <f t="shared" ref="AF44" si="65">IF(ISBLANK(AE44),"",INDEX($A44:$AA44,1,MATCH(AE$3,$A$3:$AA$3,0))-AE44)</f>
        <v>0</v>
      </c>
      <c r="AG44" s="1"/>
      <c r="AH44" s="1"/>
      <c r="AI44" s="1"/>
      <c r="AJ44" s="1"/>
    </row>
    <row r="45" spans="1:36" x14ac:dyDescent="0.25">
      <c r="A45" s="82"/>
      <c r="B45" s="92"/>
      <c r="C45" s="9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1"/>
      <c r="AB45" s="1"/>
      <c r="AC45" s="90"/>
      <c r="AD45" s="91" t="str">
        <f t="shared" si="11"/>
        <v/>
      </c>
      <c r="AE45" s="90"/>
      <c r="AF45" s="91" t="str">
        <f t="shared" ref="AF45" si="66">IF(ISBLANK(AE45),"",INDEX($A45:$AA45,1,MATCH(AE$3,$A$3:$AA$3,0))-AE45)</f>
        <v/>
      </c>
      <c r="AG45" s="1"/>
      <c r="AH45" s="1"/>
      <c r="AI45" s="1"/>
      <c r="AJ45" s="1"/>
    </row>
    <row r="46" spans="1:36" x14ac:dyDescent="0.25">
      <c r="A46" s="82"/>
      <c r="B46" s="95" t="s">
        <v>329</v>
      </c>
      <c r="C46" s="114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1"/>
      <c r="AB46" s="1"/>
      <c r="AC46" s="90"/>
      <c r="AD46" s="91" t="str">
        <f t="shared" si="11"/>
        <v/>
      </c>
      <c r="AE46" s="90"/>
      <c r="AF46" s="91" t="str">
        <f t="shared" ref="AF46" si="67">IF(ISBLANK(AE46),"",INDEX($A46:$AA46,1,MATCH(AE$3,$A$3:$AA$3,0))-AE46)</f>
        <v/>
      </c>
      <c r="AG46" s="1"/>
      <c r="AH46" s="1"/>
      <c r="AI46" s="1"/>
      <c r="AJ46" s="1"/>
    </row>
    <row r="47" spans="1:36" x14ac:dyDescent="0.25">
      <c r="A47" s="82" t="s">
        <v>330</v>
      </c>
      <c r="B47" s="92" t="s">
        <v>331</v>
      </c>
      <c r="C47" s="93"/>
      <c r="D47" s="46"/>
      <c r="E47" s="46"/>
      <c r="F47" s="97">
        <v>82292</v>
      </c>
      <c r="G47" s="97">
        <v>138786</v>
      </c>
      <c r="H47" s="97">
        <v>155759</v>
      </c>
      <c r="I47" s="97">
        <v>216784</v>
      </c>
      <c r="J47" s="97">
        <v>297708</v>
      </c>
      <c r="K47" s="97">
        <v>397132</v>
      </c>
      <c r="L47" s="97">
        <v>607632</v>
      </c>
      <c r="M47" s="97">
        <v>1068795</v>
      </c>
      <c r="N47" s="97">
        <v>1275496</v>
      </c>
      <c r="O47" s="97">
        <f>INDEX(Qrtly!$A:$BH,MATCH(Annual!$A47,Qrtly!$A:$A,0),MATCH("1Q"&amp;RIGHT(Annual!O$1,2),Qrtly!$A$3:$BH$3,0))+INDEX(Qrtly!$A:$BH,MATCH(Annual!$A47,Qrtly!$A:$A,0),MATCH("2Q"&amp;RIGHT(Annual!O$1,2),Qrtly!$A$3:$BH$3,0))+INDEX(Qrtly!$A:$BH,MATCH(Annual!$A47,Qrtly!$A:$A,0),MATCH("3Q"&amp;RIGHT(Annual!O$1,2),Qrtly!$A$3:$BH$3,0))+INDEX(Qrtly!$A:$BH,MATCH(Annual!$A47,Qrtly!$A:$A,0),MATCH("4Q"&amp;RIGHT(Annual!O$1,2),Qrtly!$A$3:$BH$3,0))</f>
        <v>1264132</v>
      </c>
      <c r="P47" s="97">
        <f>INDEX(Qrtly!$A:$BH,MATCH(Annual!$A47,Qrtly!$A:$A,0),MATCH("1Q"&amp;RIGHT(Annual!P$1,2),Qrtly!$A$3:$BH$3,0))+INDEX(Qrtly!$A:$BH,MATCH(Annual!$A47,Qrtly!$A:$A,0),MATCH("2Q"&amp;RIGHT(Annual!P$1,2),Qrtly!$A$3:$BH$3,0))+INDEX(Qrtly!$A:$BH,MATCH(Annual!$A47,Qrtly!$A:$A,0),MATCH("3Q"&amp;RIGHT(Annual!P$1,2),Qrtly!$A$3:$BH$3,0))+INDEX(Qrtly!$A:$BH,MATCH(Annual!$A47,Qrtly!$A:$A,0),MATCH("4Q"&amp;RIGHT(Annual!P$1,2),Qrtly!$A$3:$BH$3,0))</f>
        <v>1217418</v>
      </c>
      <c r="Q47" s="97">
        <f>INDEX(Qrtly!$A:$BH,MATCH(Annual!$A47,Qrtly!$A:$A,0),MATCH("1Q"&amp;RIGHT(Annual!Q$1,2),Qrtly!$A$3:$BH$3,0))+INDEX(Qrtly!$A:$BH,MATCH(Annual!$A47,Qrtly!$A:$A,0),MATCH("2Q"&amp;RIGHT(Annual!Q$1,2),Qrtly!$A$3:$BH$3,0))+INDEX(Qrtly!$A:$BH,MATCH(Annual!$A47,Qrtly!$A:$A,0),MATCH("3Q"&amp;RIGHT(Annual!Q$1,2),Qrtly!$A$3:$BH$3,0))+INDEX(Qrtly!$A:$BH,MATCH(Annual!$A47,Qrtly!$A:$A,0),MATCH("4Q"&amp;RIGHT(Annual!Q$1,2),Qrtly!$A$3:$BH$3,0))</f>
        <v>1397244.1268893771</v>
      </c>
      <c r="R47" s="97">
        <f>INDEX(Qrtly!$A:$BH,MATCH(Annual!$A47,Qrtly!$A:$A,0),MATCH("1Q"&amp;RIGHT(Annual!R$1,2),Qrtly!$A$3:$BH$3,0))+INDEX(Qrtly!$A:$BH,MATCH(Annual!$A47,Qrtly!$A:$A,0),MATCH("2Q"&amp;RIGHT(Annual!R$1,2),Qrtly!$A$3:$BH$3,0))+INDEX(Qrtly!$A:$BH,MATCH(Annual!$A47,Qrtly!$A:$A,0),MATCH("3Q"&amp;RIGHT(Annual!R$1,2),Qrtly!$A$3:$BH$3,0))+INDEX(Qrtly!$A:$BH,MATCH(Annual!$A47,Qrtly!$A:$A,0),MATCH("4Q"&amp;RIGHT(Annual!R$1,2),Qrtly!$A$3:$BH$3,0))</f>
        <v>1588644.1219148161</v>
      </c>
      <c r="S47" s="97">
        <f>INDEX(Qrtly!$A:$BH,MATCH(Annual!$A47,Qrtly!$A:$A,0),MATCH("1Q"&amp;RIGHT(Annual!S$1,2),Qrtly!$A$3:$BH$3,0))+INDEX(Qrtly!$A:$BH,MATCH(Annual!$A47,Qrtly!$A:$A,0),MATCH("2Q"&amp;RIGHT(Annual!S$1,2),Qrtly!$A$3:$BH$3,0))+INDEX(Qrtly!$A:$BH,MATCH(Annual!$A47,Qrtly!$A:$A,0),MATCH("3Q"&amp;RIGHT(Annual!S$1,2),Qrtly!$A$3:$BH$3,0))+INDEX(Qrtly!$A:$BH,MATCH(Annual!$A47,Qrtly!$A:$A,0),MATCH("4Q"&amp;RIGHT(Annual!S$1,2),Qrtly!$A$3:$BH$3,0))</f>
        <v>1801710.4370125066</v>
      </c>
      <c r="T47" s="97">
        <f>INDEX(Qrtly!$A:$BH,MATCH(Annual!$A47,Qrtly!$A:$A,0),MATCH("1Q"&amp;RIGHT(Annual!T$1,2),Qrtly!$A$3:$BH$3,0))+INDEX(Qrtly!$A:$BH,MATCH(Annual!$A47,Qrtly!$A:$A,0),MATCH("2Q"&amp;RIGHT(Annual!T$1,2),Qrtly!$A$3:$BH$3,0))+INDEX(Qrtly!$A:$BH,MATCH(Annual!$A47,Qrtly!$A:$A,0),MATCH("3Q"&amp;RIGHT(Annual!T$1,2),Qrtly!$A$3:$BH$3,0))+INDEX(Qrtly!$A:$BH,MATCH(Annual!$A47,Qrtly!$A:$A,0),MATCH("4Q"&amp;RIGHT(Annual!T$1,2),Qrtly!$A$3:$BH$3,0))</f>
        <v>2032788.8313756217</v>
      </c>
      <c r="U47" s="97">
        <f>INDEX(Qrtly!$A:$BH,MATCH(Annual!$A47,Qrtly!$A:$A,0),MATCH("1Q"&amp;RIGHT(Annual!U$1,2),Qrtly!$A$3:$BH$3,0))+INDEX(Qrtly!$A:$BH,MATCH(Annual!$A47,Qrtly!$A:$A,0),MATCH("2Q"&amp;RIGHT(Annual!U$1,2),Qrtly!$A$3:$BH$3,0))+INDEX(Qrtly!$A:$BH,MATCH(Annual!$A47,Qrtly!$A:$A,0),MATCH("3Q"&amp;RIGHT(Annual!U$1,2),Qrtly!$A$3:$BH$3,0))+INDEX(Qrtly!$A:$BH,MATCH(Annual!$A47,Qrtly!$A:$A,0),MATCH("4Q"&amp;RIGHT(Annual!U$1,2),Qrtly!$A$3:$BH$3,0))</f>
        <v>2300484.8204292301</v>
      </c>
      <c r="V47" s="97">
        <f>INDEX(Qrtly!$A:$BH,MATCH(Annual!$A47,Qrtly!$A:$A,0),MATCH("1Q"&amp;RIGHT(Annual!V$1,2),Qrtly!$A$3:$BH$3,0))+INDEX(Qrtly!$A:$BH,MATCH(Annual!$A47,Qrtly!$A:$A,0),MATCH("2Q"&amp;RIGHT(Annual!V$1,2),Qrtly!$A$3:$BH$3,0))+INDEX(Qrtly!$A:$BH,MATCH(Annual!$A47,Qrtly!$A:$A,0),MATCH("3Q"&amp;RIGHT(Annual!V$1,2),Qrtly!$A$3:$BH$3,0))+INDEX(Qrtly!$A:$BH,MATCH(Annual!$A47,Qrtly!$A:$A,0),MATCH("4Q"&amp;RIGHT(Annual!V$1,2),Qrtly!$A$3:$BH$3,0))</f>
        <v>2610897.2905996842</v>
      </c>
      <c r="W47" s="97">
        <f>INDEX(Qrtly!$A:$BH,MATCH(Annual!$A47,Qrtly!$A:$A,0),MATCH("1Q"&amp;RIGHT(Annual!W$1,2),Qrtly!$A$3:$BH$3,0))+INDEX(Qrtly!$A:$BH,MATCH(Annual!$A47,Qrtly!$A:$A,0),MATCH("2Q"&amp;RIGHT(Annual!W$1,2),Qrtly!$A$3:$BH$3,0))+INDEX(Qrtly!$A:$BH,MATCH(Annual!$A47,Qrtly!$A:$A,0),MATCH("3Q"&amp;RIGHT(Annual!W$1,2),Qrtly!$A$3:$BH$3,0))+INDEX(Qrtly!$A:$BH,MATCH(Annual!$A47,Qrtly!$A:$A,0),MATCH("4Q"&amp;RIGHT(Annual!W$1,2),Qrtly!$A$3:$BH$3,0))</f>
        <v>2971153.684954905</v>
      </c>
      <c r="X47" s="97">
        <f>INDEX(Qrtly!$A:$BH,MATCH(Annual!$A47,Qrtly!$A:$A,0),MATCH("1Q"&amp;RIGHT(Annual!X$1,2),Qrtly!$A$3:$BH$3,0))+INDEX(Qrtly!$A:$BH,MATCH(Annual!$A47,Qrtly!$A:$A,0),MATCH("2Q"&amp;RIGHT(Annual!X$1,2),Qrtly!$A$3:$BH$3,0))+INDEX(Qrtly!$A:$BH,MATCH(Annual!$A47,Qrtly!$A:$A,0),MATCH("3Q"&amp;RIGHT(Annual!X$1,2),Qrtly!$A$3:$BH$3,0))+INDEX(Qrtly!$A:$BH,MATCH(Annual!$A47,Qrtly!$A:$A,0),MATCH("4Q"&amp;RIGHT(Annual!X$1,2),Qrtly!$A$3:$BH$3,0))</f>
        <v>3389585.2492755377</v>
      </c>
      <c r="Y47" s="97">
        <f>INDEX(Qrtly!$A:$BH,MATCH(Annual!$A47,Qrtly!$A:$A,0),MATCH("1Q"&amp;RIGHT(Annual!Y$1,2),Qrtly!$A$3:$BH$3,0))+INDEX(Qrtly!$A:$BH,MATCH(Annual!$A47,Qrtly!$A:$A,0),MATCH("2Q"&amp;RIGHT(Annual!Y$1,2),Qrtly!$A$3:$BH$3,0))+INDEX(Qrtly!$A:$BH,MATCH(Annual!$A47,Qrtly!$A:$A,0),MATCH("3Q"&amp;RIGHT(Annual!Y$1,2),Qrtly!$A$3:$BH$3,0))+INDEX(Qrtly!$A:$BH,MATCH(Annual!$A47,Qrtly!$A:$A,0),MATCH("4Q"&amp;RIGHT(Annual!Y$1,2),Qrtly!$A$3:$BH$3,0))</f>
        <v>3875932.5593287852</v>
      </c>
      <c r="Z47" s="97">
        <f>INDEX(Qrtly!$A:$BH,MATCH(Annual!$A47,Qrtly!$A:$A,0),MATCH("1Q"&amp;RIGHT(Annual!Z$1,2),Qrtly!$A$3:$BH$3,0))+INDEX(Qrtly!$A:$BH,MATCH(Annual!$A47,Qrtly!$A:$A,0),MATCH("2Q"&amp;RIGHT(Annual!Z$1,2),Qrtly!$A$3:$BH$3,0))+INDEX(Qrtly!$A:$BH,MATCH(Annual!$A47,Qrtly!$A:$A,0),MATCH("3Q"&amp;RIGHT(Annual!Z$1,2),Qrtly!$A$3:$BH$3,0))+INDEX(Qrtly!$A:$BH,MATCH(Annual!$A47,Qrtly!$A:$A,0),MATCH("4Q"&amp;RIGHT(Annual!Z$1,2),Qrtly!$A$3:$BH$3,0))</f>
        <v>4441586.65446252</v>
      </c>
      <c r="AA47" s="1"/>
      <c r="AB47" s="1"/>
      <c r="AC47" s="125">
        <v>1196468</v>
      </c>
      <c r="AD47" s="91">
        <f t="shared" si="11"/>
        <v>20950</v>
      </c>
      <c r="AE47" s="125">
        <v>1374660.9892810381</v>
      </c>
      <c r="AF47" s="91">
        <f t="shared" ref="AF47" si="68">IF(ISBLANK(AE47),"",INDEX($A47:$AA47,1,MATCH(AE$3,$A$3:$AA$3,0))-AE47)</f>
        <v>22583.137608339079</v>
      </c>
      <c r="AG47" s="1"/>
      <c r="AH47" s="1"/>
      <c r="AI47" s="1"/>
      <c r="AJ47" s="1"/>
    </row>
    <row r="48" spans="1:36" x14ac:dyDescent="0.25">
      <c r="A48" s="82" t="s">
        <v>332</v>
      </c>
      <c r="B48" s="92" t="s">
        <v>333</v>
      </c>
      <c r="C48" s="93"/>
      <c r="D48" s="46"/>
      <c r="E48" s="46"/>
      <c r="F48" s="46">
        <v>0</v>
      </c>
      <c r="G48" s="46">
        <v>0</v>
      </c>
      <c r="H48" s="46">
        <v>0</v>
      </c>
      <c r="I48" s="46">
        <v>0</v>
      </c>
      <c r="J48" s="46">
        <v>0</v>
      </c>
      <c r="K48" s="46">
        <v>0</v>
      </c>
      <c r="L48" s="46">
        <v>0</v>
      </c>
      <c r="M48" s="97">
        <v>-208952</v>
      </c>
      <c r="N48" s="97">
        <v>-246873</v>
      </c>
      <c r="O48" s="97">
        <f>INDEX(Qrtly!$A:$BH,MATCH(Annual!$A48,Qrtly!$A:$A,0),MATCH("1Q"&amp;RIGHT(Annual!O$1,2),Qrtly!$A$3:$BH$3,0))+INDEX(Qrtly!$A:$BH,MATCH(Annual!$A48,Qrtly!$A:$A,0),MATCH("2Q"&amp;RIGHT(Annual!O$1,2),Qrtly!$A$3:$BH$3,0))+INDEX(Qrtly!$A:$BH,MATCH(Annual!$A48,Qrtly!$A:$A,0),MATCH("3Q"&amp;RIGHT(Annual!O$1,2),Qrtly!$A$3:$BH$3,0))+INDEX(Qrtly!$A:$BH,MATCH(Annual!$A48,Qrtly!$A:$A,0),MATCH("4Q"&amp;RIGHT(Annual!O$1,2),Qrtly!$A$3:$BH$3,0))</f>
        <v>-223072</v>
      </c>
      <c r="P48" s="97">
        <f>INDEX(Qrtly!$A:$BH,MATCH(Annual!$A48,Qrtly!$A:$A,0),MATCH("1Q"&amp;RIGHT(Annual!P$1,2),Qrtly!$A$3:$BH$3,0))+INDEX(Qrtly!$A:$BH,MATCH(Annual!$A48,Qrtly!$A:$A,0),MATCH("2Q"&amp;RIGHT(Annual!P$1,2),Qrtly!$A$3:$BH$3,0))+INDEX(Qrtly!$A:$BH,MATCH(Annual!$A48,Qrtly!$A:$A,0),MATCH("3Q"&amp;RIGHT(Annual!P$1,2),Qrtly!$A$3:$BH$3,0))+INDEX(Qrtly!$A:$BH,MATCH(Annual!$A48,Qrtly!$A:$A,0),MATCH("4Q"&amp;RIGHT(Annual!P$1,2),Qrtly!$A$3:$BH$3,0))</f>
        <v>-193510</v>
      </c>
      <c r="Q48" s="97">
        <f>INDEX(Qrtly!$A:$BH,MATCH(Annual!$A48,Qrtly!$A:$A,0),MATCH("1Q"&amp;RIGHT(Annual!Q$1,2),Qrtly!$A$3:$BH$3,0))+INDEX(Qrtly!$A:$BH,MATCH(Annual!$A48,Qrtly!$A:$A,0),MATCH("2Q"&amp;RIGHT(Annual!Q$1,2),Qrtly!$A$3:$BH$3,0))+INDEX(Qrtly!$A:$BH,MATCH(Annual!$A48,Qrtly!$A:$A,0),MATCH("3Q"&amp;RIGHT(Annual!Q$1,2),Qrtly!$A$3:$BH$3,0))+INDEX(Qrtly!$A:$BH,MATCH(Annual!$A48,Qrtly!$A:$A,0),MATCH("4Q"&amp;RIGHT(Annual!Q$1,2),Qrtly!$A$3:$BH$3,0))</f>
        <v>-198626</v>
      </c>
      <c r="R48" s="97">
        <f>INDEX(Qrtly!$A:$BH,MATCH(Annual!$A48,Qrtly!$A:$A,0),MATCH("1Q"&amp;RIGHT(Annual!R$1,2),Qrtly!$A$3:$BH$3,0))+INDEX(Qrtly!$A:$BH,MATCH(Annual!$A48,Qrtly!$A:$A,0),MATCH("2Q"&amp;RIGHT(Annual!R$1,2),Qrtly!$A$3:$BH$3,0))+INDEX(Qrtly!$A:$BH,MATCH(Annual!$A48,Qrtly!$A:$A,0),MATCH("3Q"&amp;RIGHT(Annual!R$1,2),Qrtly!$A$3:$BH$3,0))+INDEX(Qrtly!$A:$BH,MATCH(Annual!$A48,Qrtly!$A:$A,0),MATCH("4Q"&amp;RIGHT(Annual!R$1,2),Qrtly!$A$3:$BH$3,0))</f>
        <v>-203592</v>
      </c>
      <c r="S48" s="97">
        <f>INDEX(Qrtly!$A:$BH,MATCH(Annual!$A48,Qrtly!$A:$A,0),MATCH("1Q"&amp;RIGHT(Annual!S$1,2),Qrtly!$A$3:$BH$3,0))+INDEX(Qrtly!$A:$BH,MATCH(Annual!$A48,Qrtly!$A:$A,0),MATCH("2Q"&amp;RIGHT(Annual!S$1,2),Qrtly!$A$3:$BH$3,0))+INDEX(Qrtly!$A:$BH,MATCH(Annual!$A48,Qrtly!$A:$A,0),MATCH("3Q"&amp;RIGHT(Annual!S$1,2),Qrtly!$A$3:$BH$3,0))+INDEX(Qrtly!$A:$BH,MATCH(Annual!$A48,Qrtly!$A:$A,0),MATCH("4Q"&amp;RIGHT(Annual!S$1,2),Qrtly!$A$3:$BH$3,0))</f>
        <v>-208681</v>
      </c>
      <c r="T48" s="97">
        <f>INDEX(Qrtly!$A:$BH,MATCH(Annual!$A48,Qrtly!$A:$A,0),MATCH("1Q"&amp;RIGHT(Annual!T$1,2),Qrtly!$A$3:$BH$3,0))+INDEX(Qrtly!$A:$BH,MATCH(Annual!$A48,Qrtly!$A:$A,0),MATCH("2Q"&amp;RIGHT(Annual!T$1,2),Qrtly!$A$3:$BH$3,0))+INDEX(Qrtly!$A:$BH,MATCH(Annual!$A48,Qrtly!$A:$A,0),MATCH("3Q"&amp;RIGHT(Annual!T$1,2),Qrtly!$A$3:$BH$3,0))+INDEX(Qrtly!$A:$BH,MATCH(Annual!$A48,Qrtly!$A:$A,0),MATCH("4Q"&amp;RIGHT(Annual!T$1,2),Qrtly!$A$3:$BH$3,0))</f>
        <v>-213900</v>
      </c>
      <c r="U48" s="97">
        <f>INDEX(Qrtly!$A:$BH,MATCH(Annual!$A48,Qrtly!$A:$A,0),MATCH("1Q"&amp;RIGHT(Annual!U$1,2),Qrtly!$A$3:$BH$3,0))+INDEX(Qrtly!$A:$BH,MATCH(Annual!$A48,Qrtly!$A:$A,0),MATCH("2Q"&amp;RIGHT(Annual!U$1,2),Qrtly!$A$3:$BH$3,0))+INDEX(Qrtly!$A:$BH,MATCH(Annual!$A48,Qrtly!$A:$A,0),MATCH("3Q"&amp;RIGHT(Annual!U$1,2),Qrtly!$A$3:$BH$3,0))+INDEX(Qrtly!$A:$BH,MATCH(Annual!$A48,Qrtly!$A:$A,0),MATCH("4Q"&amp;RIGHT(Annual!U$1,2),Qrtly!$A$3:$BH$3,0))</f>
        <v>-219246</v>
      </c>
      <c r="V48" s="97">
        <f>INDEX(Qrtly!$A:$BH,MATCH(Annual!$A48,Qrtly!$A:$A,0),MATCH("1Q"&amp;RIGHT(Annual!V$1,2),Qrtly!$A$3:$BH$3,0))+INDEX(Qrtly!$A:$BH,MATCH(Annual!$A48,Qrtly!$A:$A,0),MATCH("2Q"&amp;RIGHT(Annual!V$1,2),Qrtly!$A$3:$BH$3,0))+INDEX(Qrtly!$A:$BH,MATCH(Annual!$A48,Qrtly!$A:$A,0),MATCH("3Q"&amp;RIGHT(Annual!V$1,2),Qrtly!$A$3:$BH$3,0))+INDEX(Qrtly!$A:$BH,MATCH(Annual!$A48,Qrtly!$A:$A,0),MATCH("4Q"&amp;RIGHT(Annual!V$1,2),Qrtly!$A$3:$BH$3,0))</f>
        <v>-224727</v>
      </c>
      <c r="W48" s="97">
        <f>INDEX(Qrtly!$A:$BH,MATCH(Annual!$A48,Qrtly!$A:$A,0),MATCH("1Q"&amp;RIGHT(Annual!W$1,2),Qrtly!$A$3:$BH$3,0))+INDEX(Qrtly!$A:$BH,MATCH(Annual!$A48,Qrtly!$A:$A,0),MATCH("2Q"&amp;RIGHT(Annual!W$1,2),Qrtly!$A$3:$BH$3,0))+INDEX(Qrtly!$A:$BH,MATCH(Annual!$A48,Qrtly!$A:$A,0),MATCH("3Q"&amp;RIGHT(Annual!W$1,2),Qrtly!$A$3:$BH$3,0))+INDEX(Qrtly!$A:$BH,MATCH(Annual!$A48,Qrtly!$A:$A,0),MATCH("4Q"&amp;RIGHT(Annual!W$1,2),Qrtly!$A$3:$BH$3,0))</f>
        <v>-230346</v>
      </c>
      <c r="X48" s="97">
        <f>INDEX(Qrtly!$A:$BH,MATCH(Annual!$A48,Qrtly!$A:$A,0),MATCH("1Q"&amp;RIGHT(Annual!X$1,2),Qrtly!$A$3:$BH$3,0))+INDEX(Qrtly!$A:$BH,MATCH(Annual!$A48,Qrtly!$A:$A,0),MATCH("2Q"&amp;RIGHT(Annual!X$1,2),Qrtly!$A$3:$BH$3,0))+INDEX(Qrtly!$A:$BH,MATCH(Annual!$A48,Qrtly!$A:$A,0),MATCH("3Q"&amp;RIGHT(Annual!X$1,2),Qrtly!$A$3:$BH$3,0))+INDEX(Qrtly!$A:$BH,MATCH(Annual!$A48,Qrtly!$A:$A,0),MATCH("4Q"&amp;RIGHT(Annual!X$1,2),Qrtly!$A$3:$BH$3,0))</f>
        <v>-236105</v>
      </c>
      <c r="Y48" s="97">
        <f>INDEX(Qrtly!$A:$BH,MATCH(Annual!$A48,Qrtly!$A:$A,0),MATCH("1Q"&amp;RIGHT(Annual!Y$1,2),Qrtly!$A$3:$BH$3,0))+INDEX(Qrtly!$A:$BH,MATCH(Annual!$A48,Qrtly!$A:$A,0),MATCH("2Q"&amp;RIGHT(Annual!Y$1,2),Qrtly!$A$3:$BH$3,0))+INDEX(Qrtly!$A:$BH,MATCH(Annual!$A48,Qrtly!$A:$A,0),MATCH("3Q"&amp;RIGHT(Annual!Y$1,2),Qrtly!$A$3:$BH$3,0))+INDEX(Qrtly!$A:$BH,MATCH(Annual!$A48,Qrtly!$A:$A,0),MATCH("4Q"&amp;RIGHT(Annual!Y$1,2),Qrtly!$A$3:$BH$3,0))</f>
        <v>-242007</v>
      </c>
      <c r="Z48" s="97">
        <f>INDEX(Qrtly!$A:$BH,MATCH(Annual!$A48,Qrtly!$A:$A,0),MATCH("1Q"&amp;RIGHT(Annual!Z$1,2),Qrtly!$A$3:$BH$3,0))+INDEX(Qrtly!$A:$BH,MATCH(Annual!$A48,Qrtly!$A:$A,0),MATCH("2Q"&amp;RIGHT(Annual!Z$1,2),Qrtly!$A$3:$BH$3,0))+INDEX(Qrtly!$A:$BH,MATCH(Annual!$A48,Qrtly!$A:$A,0),MATCH("3Q"&amp;RIGHT(Annual!Z$1,2),Qrtly!$A$3:$BH$3,0))+INDEX(Qrtly!$A:$BH,MATCH(Annual!$A48,Qrtly!$A:$A,0),MATCH("4Q"&amp;RIGHT(Annual!Z$1,2),Qrtly!$A$3:$BH$3,0))</f>
        <v>-248057</v>
      </c>
      <c r="AA48" s="1"/>
      <c r="AB48" s="1"/>
      <c r="AC48" s="125">
        <v>-194114</v>
      </c>
      <c r="AD48" s="91">
        <f t="shared" si="11"/>
        <v>604</v>
      </c>
      <c r="AE48" s="125">
        <v>-198626</v>
      </c>
      <c r="AF48" s="91">
        <f t="shared" ref="AF48" si="69">IF(ISBLANK(AE48),"",INDEX($A48:$AA48,1,MATCH(AE$3,$A$3:$AA$3,0))-AE48)</f>
        <v>0</v>
      </c>
      <c r="AG48" s="1"/>
      <c r="AH48" s="1"/>
      <c r="AI48" s="1"/>
      <c r="AJ48" s="1"/>
    </row>
    <row r="49" spans="1:36" x14ac:dyDescent="0.25">
      <c r="A49" s="82" t="s">
        <v>334</v>
      </c>
      <c r="B49" s="92" t="s">
        <v>320</v>
      </c>
      <c r="C49" s="114"/>
      <c r="D49" s="46"/>
      <c r="E49" s="46"/>
      <c r="F49" s="46">
        <v>0</v>
      </c>
      <c r="G49" s="46">
        <v>0</v>
      </c>
      <c r="H49" s="46">
        <v>0</v>
      </c>
      <c r="I49" s="46">
        <v>0</v>
      </c>
      <c r="J49" s="46">
        <v>0</v>
      </c>
      <c r="K49" s="46">
        <v>0</v>
      </c>
      <c r="L49" s="46">
        <v>0</v>
      </c>
      <c r="M49" s="97">
        <v>-63994</v>
      </c>
      <c r="N49" s="97">
        <v>3886</v>
      </c>
      <c r="O49" s="97">
        <f>INDEX(Qrtly!$A:$BH,MATCH(Annual!$A49,Qrtly!$A:$A,0),MATCH("1Q"&amp;RIGHT(Annual!O$1,2),Qrtly!$A$3:$BH$3,0))+INDEX(Qrtly!$A:$BH,MATCH(Annual!$A49,Qrtly!$A:$A,0),MATCH("2Q"&amp;RIGHT(Annual!O$1,2),Qrtly!$A$3:$BH$3,0))+INDEX(Qrtly!$A:$BH,MATCH(Annual!$A49,Qrtly!$A:$A,0),MATCH("3Q"&amp;RIGHT(Annual!O$1,2),Qrtly!$A$3:$BH$3,0))+INDEX(Qrtly!$A:$BH,MATCH(Annual!$A49,Qrtly!$A:$A,0),MATCH("4Q"&amp;RIGHT(Annual!O$1,2),Qrtly!$A$3:$BH$3,0))</f>
        <v>3054</v>
      </c>
      <c r="P49" s="97">
        <f>INDEX(Qrtly!$A:$BH,MATCH(Annual!$A49,Qrtly!$A:$A,0),MATCH("1Q"&amp;RIGHT(Annual!P$1,2),Qrtly!$A$3:$BH$3,0))+INDEX(Qrtly!$A:$BH,MATCH(Annual!$A49,Qrtly!$A:$A,0),MATCH("2Q"&amp;RIGHT(Annual!P$1,2),Qrtly!$A$3:$BH$3,0))+INDEX(Qrtly!$A:$BH,MATCH(Annual!$A49,Qrtly!$A:$A,0),MATCH("3Q"&amp;RIGHT(Annual!P$1,2),Qrtly!$A$3:$BH$3,0))+INDEX(Qrtly!$A:$BH,MATCH(Annual!$A49,Qrtly!$A:$A,0),MATCH("4Q"&amp;RIGHT(Annual!P$1,2),Qrtly!$A$3:$BH$3,0))</f>
        <v>2819</v>
      </c>
      <c r="Q49" s="97">
        <f>INDEX(Qrtly!$A:$BH,MATCH(Annual!$A49,Qrtly!$A:$A,0),MATCH("1Q"&amp;RIGHT(Annual!Q$1,2),Qrtly!$A$3:$BH$3,0))+INDEX(Qrtly!$A:$BH,MATCH(Annual!$A49,Qrtly!$A:$A,0),MATCH("2Q"&amp;RIGHT(Annual!Q$1,2),Qrtly!$A$3:$BH$3,0))+INDEX(Qrtly!$A:$BH,MATCH(Annual!$A49,Qrtly!$A:$A,0),MATCH("3Q"&amp;RIGHT(Annual!Q$1,2),Qrtly!$A$3:$BH$3,0))+INDEX(Qrtly!$A:$BH,MATCH(Annual!$A49,Qrtly!$A:$A,0),MATCH("4Q"&amp;RIGHT(Annual!Q$1,2),Qrtly!$A$3:$BH$3,0))</f>
        <v>2077</v>
      </c>
      <c r="R49" s="97">
        <f>INDEX(Qrtly!$A:$BH,MATCH(Annual!$A49,Qrtly!$A:$A,0),MATCH("1Q"&amp;RIGHT(Annual!R$1,2),Qrtly!$A$3:$BH$3,0))+INDEX(Qrtly!$A:$BH,MATCH(Annual!$A49,Qrtly!$A:$A,0),MATCH("2Q"&amp;RIGHT(Annual!R$1,2),Qrtly!$A$3:$BH$3,0))+INDEX(Qrtly!$A:$BH,MATCH(Annual!$A49,Qrtly!$A:$A,0),MATCH("3Q"&amp;RIGHT(Annual!R$1,2),Qrtly!$A$3:$BH$3,0))+INDEX(Qrtly!$A:$BH,MATCH(Annual!$A49,Qrtly!$A:$A,0),MATCH("4Q"&amp;RIGHT(Annual!R$1,2),Qrtly!$A$3:$BH$3,0))</f>
        <v>2129</v>
      </c>
      <c r="S49" s="97">
        <f>INDEX(Qrtly!$A:$BH,MATCH(Annual!$A49,Qrtly!$A:$A,0),MATCH("1Q"&amp;RIGHT(Annual!S$1,2),Qrtly!$A$3:$BH$3,0))+INDEX(Qrtly!$A:$BH,MATCH(Annual!$A49,Qrtly!$A:$A,0),MATCH("2Q"&amp;RIGHT(Annual!S$1,2),Qrtly!$A$3:$BH$3,0))+INDEX(Qrtly!$A:$BH,MATCH(Annual!$A49,Qrtly!$A:$A,0),MATCH("3Q"&amp;RIGHT(Annual!S$1,2),Qrtly!$A$3:$BH$3,0))+INDEX(Qrtly!$A:$BH,MATCH(Annual!$A49,Qrtly!$A:$A,0),MATCH("4Q"&amp;RIGHT(Annual!S$1,2),Qrtly!$A$3:$BH$3,0))</f>
        <v>2182</v>
      </c>
      <c r="T49" s="97">
        <f>INDEX(Qrtly!$A:$BH,MATCH(Annual!$A49,Qrtly!$A:$A,0),MATCH("1Q"&amp;RIGHT(Annual!T$1,2),Qrtly!$A$3:$BH$3,0))+INDEX(Qrtly!$A:$BH,MATCH(Annual!$A49,Qrtly!$A:$A,0),MATCH("2Q"&amp;RIGHT(Annual!T$1,2),Qrtly!$A$3:$BH$3,0))+INDEX(Qrtly!$A:$BH,MATCH(Annual!$A49,Qrtly!$A:$A,0),MATCH("3Q"&amp;RIGHT(Annual!T$1,2),Qrtly!$A$3:$BH$3,0))+INDEX(Qrtly!$A:$BH,MATCH(Annual!$A49,Qrtly!$A:$A,0),MATCH("4Q"&amp;RIGHT(Annual!T$1,2),Qrtly!$A$3:$BH$3,0))</f>
        <v>2236</v>
      </c>
      <c r="U49" s="97">
        <f>INDEX(Qrtly!$A:$BH,MATCH(Annual!$A49,Qrtly!$A:$A,0),MATCH("1Q"&amp;RIGHT(Annual!U$1,2),Qrtly!$A$3:$BH$3,0))+INDEX(Qrtly!$A:$BH,MATCH(Annual!$A49,Qrtly!$A:$A,0),MATCH("2Q"&amp;RIGHT(Annual!U$1,2),Qrtly!$A$3:$BH$3,0))+INDEX(Qrtly!$A:$BH,MATCH(Annual!$A49,Qrtly!$A:$A,0),MATCH("3Q"&amp;RIGHT(Annual!U$1,2),Qrtly!$A$3:$BH$3,0))+INDEX(Qrtly!$A:$BH,MATCH(Annual!$A49,Qrtly!$A:$A,0),MATCH("4Q"&amp;RIGHT(Annual!U$1,2),Qrtly!$A$3:$BH$3,0))</f>
        <v>2292</v>
      </c>
      <c r="V49" s="97">
        <f>INDEX(Qrtly!$A:$BH,MATCH(Annual!$A49,Qrtly!$A:$A,0),MATCH("1Q"&amp;RIGHT(Annual!V$1,2),Qrtly!$A$3:$BH$3,0))+INDEX(Qrtly!$A:$BH,MATCH(Annual!$A49,Qrtly!$A:$A,0),MATCH("2Q"&amp;RIGHT(Annual!V$1,2),Qrtly!$A$3:$BH$3,0))+INDEX(Qrtly!$A:$BH,MATCH(Annual!$A49,Qrtly!$A:$A,0),MATCH("3Q"&amp;RIGHT(Annual!V$1,2),Qrtly!$A$3:$BH$3,0))+INDEX(Qrtly!$A:$BH,MATCH(Annual!$A49,Qrtly!$A:$A,0),MATCH("4Q"&amp;RIGHT(Annual!V$1,2),Qrtly!$A$3:$BH$3,0))</f>
        <v>2350</v>
      </c>
      <c r="W49" s="97">
        <f>INDEX(Qrtly!$A:$BH,MATCH(Annual!$A49,Qrtly!$A:$A,0),MATCH("1Q"&amp;RIGHT(Annual!W$1,2),Qrtly!$A$3:$BH$3,0))+INDEX(Qrtly!$A:$BH,MATCH(Annual!$A49,Qrtly!$A:$A,0),MATCH("2Q"&amp;RIGHT(Annual!W$1,2),Qrtly!$A$3:$BH$3,0))+INDEX(Qrtly!$A:$BH,MATCH(Annual!$A49,Qrtly!$A:$A,0),MATCH("3Q"&amp;RIGHT(Annual!W$1,2),Qrtly!$A$3:$BH$3,0))+INDEX(Qrtly!$A:$BH,MATCH(Annual!$A49,Qrtly!$A:$A,0),MATCH("4Q"&amp;RIGHT(Annual!W$1,2),Qrtly!$A$3:$BH$3,0))</f>
        <v>2409</v>
      </c>
      <c r="X49" s="97">
        <f>INDEX(Qrtly!$A:$BH,MATCH(Annual!$A49,Qrtly!$A:$A,0),MATCH("1Q"&amp;RIGHT(Annual!X$1,2),Qrtly!$A$3:$BH$3,0))+INDEX(Qrtly!$A:$BH,MATCH(Annual!$A49,Qrtly!$A:$A,0),MATCH("2Q"&amp;RIGHT(Annual!X$1,2),Qrtly!$A$3:$BH$3,0))+INDEX(Qrtly!$A:$BH,MATCH(Annual!$A49,Qrtly!$A:$A,0),MATCH("3Q"&amp;RIGHT(Annual!X$1,2),Qrtly!$A$3:$BH$3,0))+INDEX(Qrtly!$A:$BH,MATCH(Annual!$A49,Qrtly!$A:$A,0),MATCH("4Q"&amp;RIGHT(Annual!X$1,2),Qrtly!$A$3:$BH$3,0))</f>
        <v>2469</v>
      </c>
      <c r="Y49" s="97">
        <f>INDEX(Qrtly!$A:$BH,MATCH(Annual!$A49,Qrtly!$A:$A,0),MATCH("1Q"&amp;RIGHT(Annual!Y$1,2),Qrtly!$A$3:$BH$3,0))+INDEX(Qrtly!$A:$BH,MATCH(Annual!$A49,Qrtly!$A:$A,0),MATCH("2Q"&amp;RIGHT(Annual!Y$1,2),Qrtly!$A$3:$BH$3,0))+INDEX(Qrtly!$A:$BH,MATCH(Annual!$A49,Qrtly!$A:$A,0),MATCH("3Q"&amp;RIGHT(Annual!Y$1,2),Qrtly!$A$3:$BH$3,0))+INDEX(Qrtly!$A:$BH,MATCH(Annual!$A49,Qrtly!$A:$A,0),MATCH("4Q"&amp;RIGHT(Annual!Y$1,2),Qrtly!$A$3:$BH$3,0))</f>
        <v>2532</v>
      </c>
      <c r="Z49" s="97">
        <f>INDEX(Qrtly!$A:$BH,MATCH(Annual!$A49,Qrtly!$A:$A,0),MATCH("1Q"&amp;RIGHT(Annual!Z$1,2),Qrtly!$A$3:$BH$3,0))+INDEX(Qrtly!$A:$BH,MATCH(Annual!$A49,Qrtly!$A:$A,0),MATCH("2Q"&amp;RIGHT(Annual!Z$1,2),Qrtly!$A$3:$BH$3,0))+INDEX(Qrtly!$A:$BH,MATCH(Annual!$A49,Qrtly!$A:$A,0),MATCH("3Q"&amp;RIGHT(Annual!Z$1,2),Qrtly!$A$3:$BH$3,0))+INDEX(Qrtly!$A:$BH,MATCH(Annual!$A49,Qrtly!$A:$A,0),MATCH("4Q"&amp;RIGHT(Annual!Z$1,2),Qrtly!$A$3:$BH$3,0))</f>
        <v>2592</v>
      </c>
      <c r="AA49" s="1"/>
      <c r="AB49" s="1"/>
      <c r="AC49" s="125">
        <v>2701</v>
      </c>
      <c r="AD49" s="91">
        <f t="shared" si="11"/>
        <v>118</v>
      </c>
      <c r="AE49" s="125">
        <v>2077</v>
      </c>
      <c r="AF49" s="91">
        <f t="shared" ref="AF49" si="70">IF(ISBLANK(AE49),"",INDEX($A49:$AA49,1,MATCH(AE$3,$A$3:$AA$3,0))-AE49)</f>
        <v>0</v>
      </c>
      <c r="AG49" s="1"/>
      <c r="AH49" s="1"/>
      <c r="AI49" s="1"/>
      <c r="AJ49" s="1"/>
    </row>
    <row r="50" spans="1:36" x14ac:dyDescent="0.25">
      <c r="A50" s="82" t="s">
        <v>61</v>
      </c>
      <c r="B50" s="100" t="s">
        <v>335</v>
      </c>
      <c r="C50" s="5" t="s">
        <v>298</v>
      </c>
      <c r="D50" s="101"/>
      <c r="E50" s="101"/>
      <c r="F50" s="102">
        <v>-151033</v>
      </c>
      <c r="G50" s="102">
        <v>-131644</v>
      </c>
      <c r="H50" s="102">
        <v>-54029</v>
      </c>
      <c r="I50" s="102">
        <v>-21222</v>
      </c>
      <c r="J50" s="102">
        <v>43547</v>
      </c>
      <c r="K50" s="102">
        <v>-7273</v>
      </c>
      <c r="L50" s="102">
        <v>271268</v>
      </c>
      <c r="M50" s="102">
        <v>-145408</v>
      </c>
      <c r="N50" s="102">
        <v>351351</v>
      </c>
      <c r="O50" s="102">
        <f>INDEX(Qrtly!$A:$BH,MATCH(Annual!$A50,Qrtly!$A:$A,0),MATCH("1Q"&amp;RIGHT(Annual!O$1,2),Qrtly!$A$3:$BH$3,0))+INDEX(Qrtly!$A:$BH,MATCH(Annual!$A50,Qrtly!$A:$A,0),MATCH("2Q"&amp;RIGHT(Annual!O$1,2),Qrtly!$A$3:$BH$3,0))+INDEX(Qrtly!$A:$BH,MATCH(Annual!$A50,Qrtly!$A:$A,0),MATCH("3Q"&amp;RIGHT(Annual!O$1,2),Qrtly!$A$3:$BH$3,0))+INDEX(Qrtly!$A:$BH,MATCH(Annual!$A50,Qrtly!$A:$A,0),MATCH("4Q"&amp;RIGHT(Annual!O$1,2),Qrtly!$A$3:$BH$3,0))</f>
        <v>1608790</v>
      </c>
      <c r="P50" s="102">
        <f>INDEX(Qrtly!$A:$BH,MATCH(Annual!$A50,Qrtly!$A:$A,0),MATCH("1Q"&amp;RIGHT(Annual!P$1,2),Qrtly!$A$3:$BH$3,0))+INDEX(Qrtly!$A:$BH,MATCH(Annual!$A50,Qrtly!$A:$A,0),MATCH("2Q"&amp;RIGHT(Annual!P$1,2),Qrtly!$A$3:$BH$3,0))+INDEX(Qrtly!$A:$BH,MATCH(Annual!$A50,Qrtly!$A:$A,0),MATCH("3Q"&amp;RIGHT(Annual!P$1,2),Qrtly!$A$3:$BH$3,0))+INDEX(Qrtly!$A:$BH,MATCH(Annual!$A50,Qrtly!$A:$A,0),MATCH("4Q"&amp;RIGHT(Annual!P$1,2),Qrtly!$A$3:$BH$3,0))</f>
        <v>2101723.6483748425</v>
      </c>
      <c r="Q50" s="102">
        <f>INDEX(Qrtly!$A:$BH,MATCH(Annual!$A50,Qrtly!$A:$A,0),MATCH("1Q"&amp;RIGHT(Annual!Q$1,2),Qrtly!$A$3:$BH$3,0))+INDEX(Qrtly!$A:$BH,MATCH(Annual!$A50,Qrtly!$A:$A,0),MATCH("2Q"&amp;RIGHT(Annual!Q$1,2),Qrtly!$A$3:$BH$3,0))+INDEX(Qrtly!$A:$BH,MATCH(Annual!$A50,Qrtly!$A:$A,0),MATCH("3Q"&amp;RIGHT(Annual!Q$1,2),Qrtly!$A$3:$BH$3,0))+INDEX(Qrtly!$A:$BH,MATCH(Annual!$A50,Qrtly!$A:$A,0),MATCH("4Q"&amp;RIGHT(Annual!Q$1,2),Qrtly!$A$3:$BH$3,0))</f>
        <v>3048705.0318439063</v>
      </c>
      <c r="R50" s="102">
        <f>INDEX(Qrtly!$A:$BH,MATCH(Annual!$A50,Qrtly!$A:$A,0),MATCH("1Q"&amp;RIGHT(Annual!R$1,2),Qrtly!$A$3:$BH$3,0))+INDEX(Qrtly!$A:$BH,MATCH(Annual!$A50,Qrtly!$A:$A,0),MATCH("2Q"&amp;RIGHT(Annual!R$1,2),Qrtly!$A$3:$BH$3,0))+INDEX(Qrtly!$A:$BH,MATCH(Annual!$A50,Qrtly!$A:$A,0),MATCH("3Q"&amp;RIGHT(Annual!R$1,2),Qrtly!$A$3:$BH$3,0))+INDEX(Qrtly!$A:$BH,MATCH(Annual!$A50,Qrtly!$A:$A,0),MATCH("4Q"&amp;RIGHT(Annual!R$1,2),Qrtly!$A$3:$BH$3,0))</f>
        <v>3888219.5121560022</v>
      </c>
      <c r="S50" s="102">
        <f>INDEX(Qrtly!$A:$BH,MATCH(Annual!$A50,Qrtly!$A:$A,0),MATCH("1Q"&amp;RIGHT(Annual!S$1,2),Qrtly!$A$3:$BH$3,0))+INDEX(Qrtly!$A:$BH,MATCH(Annual!$A50,Qrtly!$A:$A,0),MATCH("2Q"&amp;RIGHT(Annual!S$1,2),Qrtly!$A$3:$BH$3,0))+INDEX(Qrtly!$A:$BH,MATCH(Annual!$A50,Qrtly!$A:$A,0),MATCH("3Q"&amp;RIGHT(Annual!S$1,2),Qrtly!$A$3:$BH$3,0))+INDEX(Qrtly!$A:$BH,MATCH(Annual!$A50,Qrtly!$A:$A,0),MATCH("4Q"&amp;RIGHT(Annual!S$1,2),Qrtly!$A$3:$BH$3,0))</f>
        <v>4751232.8710346045</v>
      </c>
      <c r="T50" s="102">
        <f>INDEX(Qrtly!$A:$BH,MATCH(Annual!$A50,Qrtly!$A:$A,0),MATCH("1Q"&amp;RIGHT(Annual!T$1,2),Qrtly!$A$3:$BH$3,0))+INDEX(Qrtly!$A:$BH,MATCH(Annual!$A50,Qrtly!$A:$A,0),MATCH("2Q"&amp;RIGHT(Annual!T$1,2),Qrtly!$A$3:$BH$3,0))+INDEX(Qrtly!$A:$BH,MATCH(Annual!$A50,Qrtly!$A:$A,0),MATCH("3Q"&amp;RIGHT(Annual!T$1,2),Qrtly!$A$3:$BH$3,0))+INDEX(Qrtly!$A:$BH,MATCH(Annual!$A50,Qrtly!$A:$A,0),MATCH("4Q"&amp;RIGHT(Annual!T$1,2),Qrtly!$A$3:$BH$3,0))</f>
        <v>5611889.7875001179</v>
      </c>
      <c r="U50" s="102">
        <f>INDEX(Qrtly!$A:$BH,MATCH(Annual!$A50,Qrtly!$A:$A,0),MATCH("1Q"&amp;RIGHT(Annual!U$1,2),Qrtly!$A$3:$BH$3,0))+INDEX(Qrtly!$A:$BH,MATCH(Annual!$A50,Qrtly!$A:$A,0),MATCH("2Q"&amp;RIGHT(Annual!U$1,2),Qrtly!$A$3:$BH$3,0))+INDEX(Qrtly!$A:$BH,MATCH(Annual!$A50,Qrtly!$A:$A,0),MATCH("3Q"&amp;RIGHT(Annual!U$1,2),Qrtly!$A$3:$BH$3,0))+INDEX(Qrtly!$A:$BH,MATCH(Annual!$A50,Qrtly!$A:$A,0),MATCH("4Q"&amp;RIGHT(Annual!U$1,2),Qrtly!$A$3:$BH$3,0))</f>
        <v>6617327.1766303312</v>
      </c>
      <c r="V50" s="102">
        <f>INDEX(Qrtly!$A:$BH,MATCH(Annual!$A50,Qrtly!$A:$A,0),MATCH("1Q"&amp;RIGHT(Annual!V$1,2),Qrtly!$A$3:$BH$3,0))+INDEX(Qrtly!$A:$BH,MATCH(Annual!$A50,Qrtly!$A:$A,0),MATCH("2Q"&amp;RIGHT(Annual!V$1,2),Qrtly!$A$3:$BH$3,0))+INDEX(Qrtly!$A:$BH,MATCH(Annual!$A50,Qrtly!$A:$A,0),MATCH("3Q"&amp;RIGHT(Annual!V$1,2),Qrtly!$A$3:$BH$3,0))+INDEX(Qrtly!$A:$BH,MATCH(Annual!$A50,Qrtly!$A:$A,0),MATCH("4Q"&amp;RIGHT(Annual!V$1,2),Qrtly!$A$3:$BH$3,0))</f>
        <v>7797721.9641663022</v>
      </c>
      <c r="W50" s="102">
        <f>INDEX(Qrtly!$A:$BH,MATCH(Annual!$A50,Qrtly!$A:$A,0),MATCH("1Q"&amp;RIGHT(Annual!W$1,2),Qrtly!$A$3:$BH$3,0))+INDEX(Qrtly!$A:$BH,MATCH(Annual!$A50,Qrtly!$A:$A,0),MATCH("2Q"&amp;RIGHT(Annual!W$1,2),Qrtly!$A$3:$BH$3,0))+INDEX(Qrtly!$A:$BH,MATCH(Annual!$A50,Qrtly!$A:$A,0),MATCH("3Q"&amp;RIGHT(Annual!W$1,2),Qrtly!$A$3:$BH$3,0))+INDEX(Qrtly!$A:$BH,MATCH(Annual!$A50,Qrtly!$A:$A,0),MATCH("4Q"&amp;RIGHT(Annual!W$1,2),Qrtly!$A$3:$BH$3,0))</f>
        <v>9190643.7316159885</v>
      </c>
      <c r="X50" s="102">
        <f>INDEX(Qrtly!$A:$BH,MATCH(Annual!$A50,Qrtly!$A:$A,0),MATCH("1Q"&amp;RIGHT(Annual!X$1,2),Qrtly!$A$3:$BH$3,0))+INDEX(Qrtly!$A:$BH,MATCH(Annual!$A50,Qrtly!$A:$A,0),MATCH("2Q"&amp;RIGHT(Annual!X$1,2),Qrtly!$A$3:$BH$3,0))+INDEX(Qrtly!$A:$BH,MATCH(Annual!$A50,Qrtly!$A:$A,0),MATCH("3Q"&amp;RIGHT(Annual!X$1,2),Qrtly!$A$3:$BH$3,0))+INDEX(Qrtly!$A:$BH,MATCH(Annual!$A50,Qrtly!$A:$A,0),MATCH("4Q"&amp;RIGHT(Annual!X$1,2),Qrtly!$A$3:$BH$3,0))</f>
        <v>10842960.686573401</v>
      </c>
      <c r="Y50" s="102">
        <f>INDEX(Qrtly!$A:$BH,MATCH(Annual!$A50,Qrtly!$A:$A,0),MATCH("1Q"&amp;RIGHT(Annual!Y$1,2),Qrtly!$A$3:$BH$3,0))+INDEX(Qrtly!$A:$BH,MATCH(Annual!$A50,Qrtly!$A:$A,0),MATCH("2Q"&amp;RIGHT(Annual!Y$1,2),Qrtly!$A$3:$BH$3,0))+INDEX(Qrtly!$A:$BH,MATCH(Annual!$A50,Qrtly!$A:$A,0),MATCH("3Q"&amp;RIGHT(Annual!Y$1,2),Qrtly!$A$3:$BH$3,0))+INDEX(Qrtly!$A:$BH,MATCH(Annual!$A50,Qrtly!$A:$A,0),MATCH("4Q"&amp;RIGHT(Annual!Y$1,2),Qrtly!$A$3:$BH$3,0))</f>
        <v>12813259.852265622</v>
      </c>
      <c r="Z50" s="102">
        <f>INDEX(Qrtly!$A:$BH,MATCH(Annual!$A50,Qrtly!$A:$A,0),MATCH("1Q"&amp;RIGHT(Annual!Z$1,2),Qrtly!$A$3:$BH$3,0))+INDEX(Qrtly!$A:$BH,MATCH(Annual!$A50,Qrtly!$A:$A,0),MATCH("2Q"&amp;RIGHT(Annual!Z$1,2),Qrtly!$A$3:$BH$3,0))+INDEX(Qrtly!$A:$BH,MATCH(Annual!$A50,Qrtly!$A:$A,0),MATCH("3Q"&amp;RIGHT(Annual!Z$1,2),Qrtly!$A$3:$BH$3,0))+INDEX(Qrtly!$A:$BH,MATCH(Annual!$A50,Qrtly!$A:$A,0),MATCH("4Q"&amp;RIGHT(Annual!Z$1,2),Qrtly!$A$3:$BH$3,0))</f>
        <v>15174885.972291712</v>
      </c>
      <c r="AA50" s="115">
        <v>0.03</v>
      </c>
      <c r="AB50" s="115">
        <v>0.03</v>
      </c>
      <c r="AC50" s="103">
        <v>2101135.5895927823</v>
      </c>
      <c r="AD50" s="104">
        <f t="shared" si="11"/>
        <v>588.05878206016496</v>
      </c>
      <c r="AE50" s="103">
        <v>2992604.377203661</v>
      </c>
      <c r="AF50" s="104">
        <f t="shared" ref="AF50" si="71">IF(ISBLANK(AE50),"",INDEX($A50:$AA50,1,MATCH(AE$3,$A$3:$AA$3,0))-AE50)</f>
        <v>56100.654640245251</v>
      </c>
      <c r="AG50" s="1"/>
      <c r="AH50" s="1"/>
      <c r="AI50" s="1"/>
      <c r="AJ50" s="1"/>
    </row>
    <row r="51" spans="1:36" x14ac:dyDescent="0.25">
      <c r="A51" s="82"/>
      <c r="B51" s="92" t="s">
        <v>299</v>
      </c>
      <c r="C51" s="93" t="s">
        <v>300</v>
      </c>
      <c r="D51" s="94"/>
      <c r="E51" s="2"/>
      <c r="F51" s="2"/>
      <c r="G51" s="50">
        <v>-0.13</v>
      </c>
      <c r="H51" s="50">
        <v>-0.59</v>
      </c>
      <c r="I51" s="50">
        <v>-0.61</v>
      </c>
      <c r="J51" s="50">
        <v>-3.05</v>
      </c>
      <c r="K51" s="50">
        <v>-1.17</v>
      </c>
      <c r="L51" s="50">
        <v>-38.299999999999997</v>
      </c>
      <c r="M51" s="50">
        <v>-1.54</v>
      </c>
      <c r="N51" s="50">
        <v>-3.42</v>
      </c>
      <c r="O51" s="330">
        <f>O50/N$35-1</f>
        <v>-0.10244808694390828</v>
      </c>
      <c r="P51" s="330">
        <f t="shared" ref="P51:Z51" si="72">P50/O$35-1</f>
        <v>-0.30613993439656362</v>
      </c>
      <c r="Q51" s="330">
        <f t="shared" si="72"/>
        <v>-0.12710714082701813</v>
      </c>
      <c r="R51" s="330">
        <f t="shared" si="72"/>
        <v>-0.16564553878684429</v>
      </c>
      <c r="S51" s="330">
        <f t="shared" si="72"/>
        <v>-0.17256043914770702</v>
      </c>
      <c r="T51" s="330">
        <f t="shared" si="72"/>
        <v>-0.1839273338236429</v>
      </c>
      <c r="U51" s="330">
        <f t="shared" si="72"/>
        <v>-0.17603679437777742</v>
      </c>
      <c r="V51" s="330">
        <f t="shared" si="72"/>
        <v>-0.16832977664213256</v>
      </c>
      <c r="W51" s="330">
        <f t="shared" si="72"/>
        <v>-0.16059069166598494</v>
      </c>
      <c r="X51" s="330">
        <f t="shared" si="72"/>
        <v>-0.15264215687491034</v>
      </c>
      <c r="Y51" s="330">
        <f t="shared" si="72"/>
        <v>-0.14433959205639901</v>
      </c>
      <c r="Z51" s="330">
        <f t="shared" si="72"/>
        <v>-0.13557017603598276</v>
      </c>
      <c r="AA51" s="1"/>
      <c r="AB51" s="2"/>
      <c r="AC51" s="116">
        <v>-0.30633407528916601</v>
      </c>
      <c r="AD51" s="117">
        <f t="shared" si="11"/>
        <v>1.941408926023902E-4</v>
      </c>
      <c r="AE51" s="116">
        <v>-0.14471520519231995</v>
      </c>
      <c r="AF51" s="117">
        <f t="shared" ref="AF51" si="73">IF(ISBLANK(AE51),"",INDEX($A51:$AA51,1,MATCH(AE$3,$A$3:$AA$3,0))-AE51)</f>
        <v>1.7608064365301823E-2</v>
      </c>
      <c r="AG51" s="1"/>
      <c r="AH51" s="1"/>
      <c r="AI51" s="1"/>
      <c r="AJ51" s="1"/>
    </row>
    <row r="52" spans="1:36" x14ac:dyDescent="0.25">
      <c r="A52" s="82"/>
      <c r="B52" s="92" t="s">
        <v>336</v>
      </c>
      <c r="C52" s="93" t="s">
        <v>7</v>
      </c>
      <c r="D52" s="2"/>
      <c r="E52" s="2"/>
      <c r="F52" s="62">
        <v>-0.11899999999999999</v>
      </c>
      <c r="G52" s="62">
        <v>-7.6999999999999999E-2</v>
      </c>
      <c r="H52" s="62">
        <v>-2.4E-2</v>
      </c>
      <c r="I52" s="62">
        <v>-6.0000000000000001E-3</v>
      </c>
      <c r="J52" s="62">
        <v>8.9999999999999993E-3</v>
      </c>
      <c r="K52" s="62">
        <v>-1E-3</v>
      </c>
      <c r="L52" s="62">
        <v>1.4999999999999999E-2</v>
      </c>
      <c r="M52" s="62">
        <v>-8.0000000000000002E-3</v>
      </c>
      <c r="N52" s="62">
        <v>1.6E-2</v>
      </c>
      <c r="O52" s="330">
        <f>O50/O$10</f>
        <v>6.669650781829467E-2</v>
      </c>
      <c r="P52" s="330">
        <f t="shared" ref="P52:Z52" si="74">P50/P$10</f>
        <v>8.7608662886227984E-2</v>
      </c>
      <c r="Q52" s="330">
        <f t="shared" si="74"/>
        <v>0.11133353683053233</v>
      </c>
      <c r="R52" s="330">
        <f t="shared" si="74"/>
        <v>0.12497226211411527</v>
      </c>
      <c r="S52" s="330">
        <f t="shared" si="74"/>
        <v>0.13440311752563974</v>
      </c>
      <c r="T52" s="330">
        <f t="shared" si="74"/>
        <v>0.14074743439859788</v>
      </c>
      <c r="U52" s="330">
        <f t="shared" si="74"/>
        <v>0.1470255119138468</v>
      </c>
      <c r="V52" s="330">
        <f t="shared" si="74"/>
        <v>0.15335765927390968</v>
      </c>
      <c r="W52" s="330">
        <f t="shared" si="74"/>
        <v>0.15986696033841888</v>
      </c>
      <c r="X52" s="330">
        <f t="shared" si="74"/>
        <v>0.16667932795213122</v>
      </c>
      <c r="Y52" s="330">
        <f t="shared" si="74"/>
        <v>0.17392387513224769</v>
      </c>
      <c r="Z52" s="330">
        <f t="shared" si="74"/>
        <v>0.18173310003139936</v>
      </c>
      <c r="AA52" s="1"/>
      <c r="AB52" s="1"/>
      <c r="AC52" s="105">
        <v>8.1059243243753326E-2</v>
      </c>
      <c r="AD52" s="106">
        <f t="shared" si="11"/>
        <v>6.5494196424746576E-3</v>
      </c>
      <c r="AE52" s="105">
        <v>9.7123552469656829E-2</v>
      </c>
      <c r="AF52" s="106">
        <f t="shared" ref="AF52" si="75">IF(ISBLANK(AE52),"",INDEX($A52:$AA52,1,MATCH(AE$3,$A$3:$AA$3,0))-AE52)</f>
        <v>1.4209984360875505E-2</v>
      </c>
      <c r="AG52" s="1"/>
      <c r="AH52" s="2"/>
      <c r="AI52" s="1"/>
      <c r="AJ52" s="1"/>
    </row>
    <row r="53" spans="1:36" x14ac:dyDescent="0.25">
      <c r="A53" s="82"/>
      <c r="B53" s="92" t="s">
        <v>325</v>
      </c>
      <c r="C53" s="93" t="s">
        <v>7</v>
      </c>
      <c r="D53" s="2"/>
      <c r="E53" s="2"/>
      <c r="F53" s="62">
        <v>-0.40799999999999997</v>
      </c>
      <c r="G53" s="62">
        <v>-0.22900000000000001</v>
      </c>
      <c r="H53" s="62">
        <v>-6.4000000000000001E-2</v>
      </c>
      <c r="I53" s="62">
        <v>-1.6E-2</v>
      </c>
      <c r="J53" s="62">
        <v>2.3E-2</v>
      </c>
      <c r="K53" s="62">
        <v>-3.0000000000000001E-3</v>
      </c>
      <c r="L53" s="62">
        <v>6.0999999999999999E-2</v>
      </c>
      <c r="M53" s="62">
        <v>-2.4E-2</v>
      </c>
      <c r="N53" s="62">
        <v>4.7E-2</v>
      </c>
      <c r="O53" s="330">
        <f>O50/O$19</f>
        <v>0.18098587968369123</v>
      </c>
      <c r="P53" s="330">
        <f t="shared" ref="P53:Z53" si="76">P50/P$19</f>
        <v>0.20361635008496232</v>
      </c>
      <c r="Q53" s="330">
        <f t="shared" si="76"/>
        <v>0.24443441249854894</v>
      </c>
      <c r="R53" s="330">
        <f t="shared" si="76"/>
        <v>0.26586129726485913</v>
      </c>
      <c r="S53" s="330">
        <f t="shared" si="76"/>
        <v>0.28035225119698776</v>
      </c>
      <c r="T53" s="330">
        <f t="shared" si="76"/>
        <v>0.28937620950815368</v>
      </c>
      <c r="U53" s="330">
        <f t="shared" si="76"/>
        <v>0.29761058719728006</v>
      </c>
      <c r="V53" s="330">
        <f t="shared" si="76"/>
        <v>0.30525764353688528</v>
      </c>
      <c r="W53" s="330">
        <f t="shared" si="76"/>
        <v>0.31251030992923534</v>
      </c>
      <c r="X53" s="330">
        <f t="shared" si="76"/>
        <v>0.31955055166687385</v>
      </c>
      <c r="Y53" s="330">
        <f t="shared" si="76"/>
        <v>0.32654804790464015</v>
      </c>
      <c r="Z53" s="330">
        <f t="shared" si="76"/>
        <v>0.33365864227587055</v>
      </c>
      <c r="AA53" s="1"/>
      <c r="AB53" s="1"/>
      <c r="AC53" s="105">
        <v>0.20558204911996975</v>
      </c>
      <c r="AD53" s="91">
        <f t="shared" si="11"/>
        <v>-1.9656990350074288E-3</v>
      </c>
      <c r="AE53" s="105">
        <v>0.24269509085922306</v>
      </c>
      <c r="AF53" s="91">
        <f t="shared" ref="AF53" si="77">IF(ISBLANK(AE53),"",INDEX($A53:$AA53,1,MATCH(AE$3,$A$3:$AA$3,0))-AE53)</f>
        <v>1.7393216393258859E-3</v>
      </c>
      <c r="AG53" s="1"/>
      <c r="AH53" s="2"/>
      <c r="AI53" s="1"/>
      <c r="AJ53" s="1"/>
    </row>
    <row r="54" spans="1:36" x14ac:dyDescent="0.25">
      <c r="A54" s="82"/>
      <c r="B54" s="107" t="s">
        <v>301</v>
      </c>
      <c r="C54" s="93"/>
      <c r="D54" s="120"/>
      <c r="E54" s="120"/>
      <c r="F54" s="120"/>
      <c r="G54" s="120"/>
      <c r="H54" s="120"/>
      <c r="I54" s="48"/>
      <c r="J54" s="48"/>
      <c r="K54" s="48" t="s">
        <v>308</v>
      </c>
      <c r="L54" s="48"/>
      <c r="M54" s="48" t="s">
        <v>308</v>
      </c>
      <c r="N54" s="108">
        <v>-150000</v>
      </c>
      <c r="O54" s="108">
        <v>875000</v>
      </c>
      <c r="P54" s="108">
        <v>2100000</v>
      </c>
      <c r="Q54" s="126"/>
      <c r="R54" s="120"/>
      <c r="S54" s="120"/>
      <c r="T54" s="120"/>
      <c r="U54" s="2"/>
      <c r="V54" s="2"/>
      <c r="W54" s="2"/>
      <c r="X54" s="2"/>
      <c r="Y54" s="2"/>
      <c r="Z54" s="2"/>
      <c r="AA54" s="1"/>
      <c r="AB54" s="120"/>
      <c r="AC54" s="127">
        <v>2100000</v>
      </c>
      <c r="AD54" s="122">
        <f t="shared" si="11"/>
        <v>0</v>
      </c>
      <c r="AE54" s="127"/>
      <c r="AF54" s="122" t="str">
        <f t="shared" ref="AF54" si="78">IF(ISBLANK(AE54),"",INDEX($A54:$AA54,1,MATCH(AE$3,$A$3:$AA$3,0))-AE54)</f>
        <v/>
      </c>
      <c r="AG54" s="1"/>
      <c r="AH54" s="1"/>
      <c r="AI54" s="1"/>
      <c r="AJ54" s="1"/>
    </row>
    <row r="55" spans="1:36" x14ac:dyDescent="0.25">
      <c r="A55" s="82"/>
      <c r="B55" s="107" t="s">
        <v>309</v>
      </c>
      <c r="C55" s="93"/>
      <c r="D55" s="1"/>
      <c r="E55" s="2"/>
      <c r="F55" s="2"/>
      <c r="G55" s="2"/>
      <c r="H55" s="2"/>
      <c r="I55" s="48"/>
      <c r="J55" s="48"/>
      <c r="K55" s="48"/>
      <c r="L55" s="48"/>
      <c r="M55" s="48"/>
      <c r="N55" s="48"/>
      <c r="O55" s="108">
        <v>1560000</v>
      </c>
      <c r="P55" s="108">
        <v>2056000</v>
      </c>
      <c r="Q55" s="126"/>
      <c r="R55" s="2">
        <v>2056000</v>
      </c>
      <c r="S55" s="2"/>
      <c r="T55" s="2"/>
      <c r="U55" s="2"/>
      <c r="V55" s="2"/>
      <c r="W55" s="2"/>
      <c r="X55" s="2"/>
      <c r="Y55" s="2"/>
      <c r="Z55" s="2"/>
      <c r="AA55" s="1"/>
      <c r="AB55" s="1"/>
      <c r="AC55" s="116">
        <v>2030000</v>
      </c>
      <c r="AD55" s="91">
        <f t="shared" si="11"/>
        <v>26000</v>
      </c>
      <c r="AE55" s="116"/>
      <c r="AF55" s="91" t="str">
        <f t="shared" ref="AF55" si="79">IF(ISBLANK(AE55),"",INDEX($A55:$AA55,1,MATCH(AE$3,$A$3:$AA$3,0))-AE55)</f>
        <v/>
      </c>
      <c r="AG55" s="1"/>
      <c r="AH55" s="1"/>
      <c r="AI55" s="1"/>
      <c r="AJ55" s="1"/>
    </row>
    <row r="56" spans="1:36" x14ac:dyDescent="0.25">
      <c r="A56" s="82"/>
      <c r="B56" s="110" t="s">
        <v>302</v>
      </c>
      <c r="C56" s="93"/>
      <c r="D56" s="120"/>
      <c r="E56" s="120"/>
      <c r="F56" s="120"/>
      <c r="G56" s="120"/>
      <c r="H56" s="120"/>
      <c r="I56" s="120"/>
      <c r="J56" s="120"/>
      <c r="K56" s="46"/>
      <c r="L56" s="120"/>
      <c r="M56" s="46" t="e">
        <v>#VALUE!</v>
      </c>
      <c r="N56" s="123">
        <v>-3.34</v>
      </c>
      <c r="O56" s="123">
        <v>0.84</v>
      </c>
      <c r="P56" s="123">
        <v>0</v>
      </c>
      <c r="Q56" s="128"/>
      <c r="R56" s="341">
        <f>R55/P55-1</f>
        <v>0</v>
      </c>
      <c r="S56" s="120"/>
      <c r="T56" s="120"/>
      <c r="U56" s="128"/>
      <c r="V56" s="128"/>
      <c r="W56" s="128"/>
      <c r="X56" s="128"/>
      <c r="Y56" s="128"/>
      <c r="Z56" s="128"/>
      <c r="AA56" s="1"/>
      <c r="AB56" s="120"/>
      <c r="AC56" s="121">
        <v>0</v>
      </c>
      <c r="AD56" s="122">
        <f t="shared" si="11"/>
        <v>0</v>
      </c>
      <c r="AE56" s="127"/>
      <c r="AF56" s="122" t="str">
        <f t="shared" ref="AF56" si="80">IF(ISBLANK(AE56),"",INDEX($A56:$AA56,1,MATCH(AE$3,$A$3:$AA$3,0))-AE56)</f>
        <v/>
      </c>
      <c r="AG56" s="1"/>
      <c r="AH56" s="1"/>
      <c r="AI56" s="1"/>
      <c r="AJ56" s="1"/>
    </row>
    <row r="57" spans="1:36" x14ac:dyDescent="0.25">
      <c r="A57" s="82"/>
      <c r="B57" s="129"/>
      <c r="C57" s="93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47"/>
      <c r="P57" s="48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"/>
      <c r="AB57" s="120"/>
      <c r="AC57" s="121"/>
      <c r="AD57" s="122" t="str">
        <f t="shared" si="11"/>
        <v/>
      </c>
      <c r="AE57" s="121"/>
      <c r="AF57" s="122" t="str">
        <f t="shared" ref="AF57" si="81">IF(ISBLANK(AE57),"",INDEX($A57:$AA57,1,MATCH(AE$3,$A$3:$AA$3,0))-AE57)</f>
        <v/>
      </c>
      <c r="AG57" s="1"/>
      <c r="AH57" s="1"/>
      <c r="AI57" s="1"/>
      <c r="AJ57" s="1"/>
    </row>
    <row r="58" spans="1:36" x14ac:dyDescent="0.25">
      <c r="A58" s="82"/>
      <c r="B58" s="92" t="s">
        <v>70</v>
      </c>
      <c r="C58" s="93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330">
        <f>N53+N20</f>
        <v>0.3</v>
      </c>
      <c r="O58" s="330">
        <f>O53+O20</f>
        <v>0.36541906094720417</v>
      </c>
      <c r="P58" s="330">
        <f t="shared" ref="P58:Z58" si="82">P53+P20</f>
        <v>0.36481974687286728</v>
      </c>
      <c r="Q58" s="330">
        <f t="shared" si="82"/>
        <v>0.45277704168068755</v>
      </c>
      <c r="R58" s="330">
        <f t="shared" si="82"/>
        <v>0.43844160369052682</v>
      </c>
      <c r="S58" s="330">
        <f t="shared" si="82"/>
        <v>0.43914725307418484</v>
      </c>
      <c r="T58" s="330">
        <f t="shared" si="82"/>
        <v>0.4336871247534092</v>
      </c>
      <c r="U58" s="330">
        <f t="shared" si="82"/>
        <v>0.44414718290958777</v>
      </c>
      <c r="V58" s="330">
        <f t="shared" si="82"/>
        <v>0.45411726991953244</v>
      </c>
      <c r="W58" s="330">
        <f t="shared" si="82"/>
        <v>0.4637887802948123</v>
      </c>
      <c r="X58" s="330">
        <f t="shared" si="82"/>
        <v>0.47334044325827518</v>
      </c>
      <c r="Y58" s="330">
        <f t="shared" si="82"/>
        <v>0.48293778932168802</v>
      </c>
      <c r="Z58" s="330">
        <f t="shared" si="82"/>
        <v>0.4927309138050851</v>
      </c>
      <c r="AA58" s="1"/>
      <c r="AB58" s="120"/>
      <c r="AC58" s="130">
        <v>0.35536065505344244</v>
      </c>
      <c r="AD58" s="122">
        <f t="shared" si="11"/>
        <v>9.4590918194248363E-3</v>
      </c>
      <c r="AE58" s="130">
        <v>0.44917314548475396</v>
      </c>
      <c r="AF58" s="122">
        <f t="shared" ref="AF58" si="83">IF(ISBLANK(AE58),"",INDEX($A58:$AA58,1,MATCH(AE$3,$A$3:$AA$3,0))-AE58)</f>
        <v>3.603896195933598E-3</v>
      </c>
      <c r="AG58" s="1"/>
      <c r="AH58" s="1"/>
      <c r="AI58" s="1"/>
      <c r="AJ58" s="1"/>
    </row>
    <row r="59" spans="1:36" x14ac:dyDescent="0.25">
      <c r="A59" s="82"/>
      <c r="B59" s="129"/>
      <c r="C59" s="93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47"/>
      <c r="P59" s="48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"/>
      <c r="AB59" s="120"/>
      <c r="AC59" s="121"/>
      <c r="AD59" s="122" t="str">
        <f t="shared" si="11"/>
        <v/>
      </c>
      <c r="AE59" s="121"/>
      <c r="AF59" s="122" t="str">
        <f t="shared" ref="AF59" si="84">IF(ISBLANK(AE59),"",INDEX($A59:$AA59,1,MATCH(AE$3,$A$3:$AA$3,0))-AE59)</f>
        <v/>
      </c>
      <c r="AG59" s="1"/>
      <c r="AH59" s="1"/>
      <c r="AI59" s="1"/>
      <c r="AJ59" s="1"/>
    </row>
    <row r="60" spans="1:36" x14ac:dyDescent="0.25">
      <c r="A60" s="82"/>
      <c r="B60" s="95" t="s">
        <v>337</v>
      </c>
      <c r="C60" s="131"/>
      <c r="D60" s="2"/>
      <c r="E60" s="2"/>
      <c r="F60" s="2"/>
      <c r="G60" s="2"/>
      <c r="H60" s="2"/>
      <c r="I60" s="2"/>
      <c r="J60" s="2"/>
      <c r="K60" s="2"/>
      <c r="L60" s="2"/>
      <c r="M60" s="48"/>
      <c r="N60" s="48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90"/>
      <c r="AD60" s="91" t="str">
        <f t="shared" si="11"/>
        <v/>
      </c>
      <c r="AE60" s="90"/>
      <c r="AF60" s="91" t="str">
        <f t="shared" ref="AF60" si="85">IF(ISBLANK(AE60),"",INDEX($A60:$AA60,1,MATCH(AE$3,$A$3:$AA$3,0))-AE60)</f>
        <v/>
      </c>
      <c r="AG60" s="1"/>
      <c r="AH60" s="2"/>
      <c r="AI60" s="1"/>
      <c r="AJ60" s="1"/>
    </row>
    <row r="61" spans="1:36" x14ac:dyDescent="0.25">
      <c r="A61" s="82" t="s">
        <v>338</v>
      </c>
      <c r="B61" s="92" t="s">
        <v>338</v>
      </c>
      <c r="C61" s="93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97">
        <f>P64</f>
        <v>120582</v>
      </c>
      <c r="Q61" s="97">
        <f t="shared" ref="Q61:Z61" si="86">Q64</f>
        <v>182803.81909711548</v>
      </c>
      <c r="R61" s="97">
        <f t="shared" si="86"/>
        <v>187373.91457454348</v>
      </c>
      <c r="S61" s="97">
        <f t="shared" si="86"/>
        <v>192058.26243890711</v>
      </c>
      <c r="T61" s="97">
        <f t="shared" si="86"/>
        <v>196859.71899987984</v>
      </c>
      <c r="U61" s="97">
        <f t="shared" si="86"/>
        <v>201781.21197487693</v>
      </c>
      <c r="V61" s="97">
        <f t="shared" si="86"/>
        <v>206825.74227424891</v>
      </c>
      <c r="W61" s="97">
        <f t="shared" si="86"/>
        <v>211996.3858311052</v>
      </c>
      <c r="X61" s="97">
        <f t="shared" si="86"/>
        <v>217296.29547688289</v>
      </c>
      <c r="Y61" s="97">
        <f t="shared" si="86"/>
        <v>222728.70286380508</v>
      </c>
      <c r="Z61" s="97">
        <f t="shared" si="86"/>
        <v>228296.9204354003</v>
      </c>
      <c r="AA61" s="1"/>
      <c r="AB61" s="1"/>
      <c r="AC61" s="98">
        <v>88744.935468450145</v>
      </c>
      <c r="AD61" s="99">
        <f t="shared" si="11"/>
        <v>31837.064531549855</v>
      </c>
      <c r="AE61" s="98">
        <v>97419.241452341797</v>
      </c>
      <c r="AF61" s="99">
        <f t="shared" ref="AF61" si="87">IF(ISBLANK(AE61),"",INDEX($A61:$AA61,1,MATCH(AE$3,$A$3:$AA$3,0))-AE61)</f>
        <v>85384.577644773686</v>
      </c>
      <c r="AG61" s="1"/>
      <c r="AH61" s="1"/>
      <c r="AI61" s="1"/>
      <c r="AJ61" s="1"/>
    </row>
    <row r="62" spans="1:36" x14ac:dyDescent="0.25">
      <c r="A62" s="82" t="s">
        <v>339</v>
      </c>
      <c r="B62" s="92" t="s">
        <v>339</v>
      </c>
      <c r="C62" s="93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132">
        <v>0</v>
      </c>
      <c r="Q62" s="132">
        <v>0</v>
      </c>
      <c r="R62" s="132">
        <v>0</v>
      </c>
      <c r="S62" s="132">
        <v>0</v>
      </c>
      <c r="T62" s="132">
        <v>0</v>
      </c>
      <c r="U62" s="132">
        <v>0</v>
      </c>
      <c r="V62" s="132">
        <v>0</v>
      </c>
      <c r="W62" s="132">
        <v>0</v>
      </c>
      <c r="X62" s="132">
        <v>0</v>
      </c>
      <c r="Y62" s="132">
        <v>0</v>
      </c>
      <c r="Z62" s="132">
        <v>0</v>
      </c>
      <c r="AA62" s="1"/>
      <c r="AB62" s="1"/>
      <c r="AC62" s="90">
        <v>0</v>
      </c>
      <c r="AD62" s="91">
        <f t="shared" si="11"/>
        <v>0</v>
      </c>
      <c r="AE62" s="90">
        <v>0</v>
      </c>
      <c r="AF62" s="91">
        <f t="shared" ref="AF62" si="88">IF(ISBLANK(AE62),"",INDEX($A62:$AA62,1,MATCH(AE$3,$A$3:$AA$3,0))-AE62)</f>
        <v>0</v>
      </c>
      <c r="AG62" s="1"/>
      <c r="AH62" s="1"/>
      <c r="AI62" s="1"/>
      <c r="AJ62" s="1"/>
    </row>
    <row r="63" spans="1:36" x14ac:dyDescent="0.25">
      <c r="A63" s="82" t="s">
        <v>340</v>
      </c>
      <c r="B63" s="92" t="s">
        <v>340</v>
      </c>
      <c r="C63" s="93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132">
        <v>0</v>
      </c>
      <c r="Q63" s="132">
        <v>0</v>
      </c>
      <c r="R63" s="132">
        <v>0</v>
      </c>
      <c r="S63" s="132">
        <v>0</v>
      </c>
      <c r="T63" s="132">
        <v>0</v>
      </c>
      <c r="U63" s="132">
        <v>0</v>
      </c>
      <c r="V63" s="132">
        <v>0</v>
      </c>
      <c r="W63" s="132">
        <v>0</v>
      </c>
      <c r="X63" s="132">
        <v>0</v>
      </c>
      <c r="Y63" s="132">
        <v>0</v>
      </c>
      <c r="Z63" s="132">
        <v>0</v>
      </c>
      <c r="AA63" s="1"/>
      <c r="AB63" s="1"/>
      <c r="AC63" s="90">
        <v>0</v>
      </c>
      <c r="AD63" s="91">
        <f t="shared" si="11"/>
        <v>0</v>
      </c>
      <c r="AE63" s="90">
        <v>0</v>
      </c>
      <c r="AF63" s="91">
        <f t="shared" ref="AF63" si="89">IF(ISBLANK(AE63),"",INDEX($A63:$AA63,1,MATCH(AE$3,$A$3:$AA$3,0))-AE63)</f>
        <v>0</v>
      </c>
      <c r="AG63" s="1"/>
      <c r="AH63" s="1"/>
      <c r="AI63" s="1"/>
      <c r="AJ63" s="1"/>
    </row>
    <row r="64" spans="1:36" x14ac:dyDescent="0.25">
      <c r="A64" s="82" t="s">
        <v>87</v>
      </c>
      <c r="B64" s="100" t="s">
        <v>87</v>
      </c>
      <c r="C64" s="5" t="s">
        <v>298</v>
      </c>
      <c r="D64" s="124"/>
      <c r="E64" s="119"/>
      <c r="F64" s="133">
        <v>1163</v>
      </c>
      <c r="G64" s="101">
        <v>-533</v>
      </c>
      <c r="H64" s="133">
        <v>10053</v>
      </c>
      <c r="I64" s="133">
        <v>17982</v>
      </c>
      <c r="J64" s="133">
        <v>21516</v>
      </c>
      <c r="K64" s="133">
        <v>56943</v>
      </c>
      <c r="L64" s="133">
        <v>33124</v>
      </c>
      <c r="M64" s="133">
        <v>36228</v>
      </c>
      <c r="N64" s="133">
        <v>-47221</v>
      </c>
      <c r="O64" s="102">
        <f>INDEX(Qrtly!$A:$BH,MATCH(Annual!$A64,Qrtly!$A:$A,0),MATCH("1Q"&amp;RIGHT(Annual!O$1,2),Qrtly!$A$3:$BH$3,0))+INDEX(Qrtly!$A:$BH,MATCH(Annual!$A64,Qrtly!$A:$A,0),MATCH("2Q"&amp;RIGHT(Annual!O$1,2),Qrtly!$A$3:$BH$3,0))+INDEX(Qrtly!$A:$BH,MATCH(Annual!$A64,Qrtly!$A:$A,0),MATCH("3Q"&amp;RIGHT(Annual!O$1,2),Qrtly!$A$3:$BH$3,0))+INDEX(Qrtly!$A:$BH,MATCH(Annual!$A64,Qrtly!$A:$A,0),MATCH("4Q"&amp;RIGHT(Annual!O$1,2),Qrtly!$A$3:$BH$3,0))</f>
        <v>9302</v>
      </c>
      <c r="P64" s="102">
        <f>INDEX(Qrtly!$A:$BH,MATCH(Annual!$A64,Qrtly!$A:$A,0),MATCH("1Q"&amp;RIGHT(Annual!P$1,2),Qrtly!$A$3:$BH$3,0))+INDEX(Qrtly!$A:$BH,MATCH(Annual!$A64,Qrtly!$A:$A,0),MATCH("2Q"&amp;RIGHT(Annual!P$1,2),Qrtly!$A$3:$BH$3,0))+INDEX(Qrtly!$A:$BH,MATCH(Annual!$A64,Qrtly!$A:$A,0),MATCH("3Q"&amp;RIGHT(Annual!P$1,2),Qrtly!$A$3:$BH$3,0))+INDEX(Qrtly!$A:$BH,MATCH(Annual!$A64,Qrtly!$A:$A,0),MATCH("4Q"&amp;RIGHT(Annual!P$1,2),Qrtly!$A$3:$BH$3,0))</f>
        <v>120582</v>
      </c>
      <c r="Q64" s="102">
        <f>INDEX(Qrtly!$A:$BH,MATCH(Annual!$A64,Qrtly!$A:$A,0),MATCH("1Q"&amp;RIGHT(Annual!Q$1,2),Qrtly!$A$3:$BH$3,0))+INDEX(Qrtly!$A:$BH,MATCH(Annual!$A64,Qrtly!$A:$A,0),MATCH("2Q"&amp;RIGHT(Annual!Q$1,2),Qrtly!$A$3:$BH$3,0))+INDEX(Qrtly!$A:$BH,MATCH(Annual!$A64,Qrtly!$A:$A,0),MATCH("3Q"&amp;RIGHT(Annual!Q$1,2),Qrtly!$A$3:$BH$3,0))+INDEX(Qrtly!$A:$BH,MATCH(Annual!$A64,Qrtly!$A:$A,0),MATCH("4Q"&amp;RIGHT(Annual!Q$1,2),Qrtly!$A$3:$BH$3,0))</f>
        <v>182803.81909711548</v>
      </c>
      <c r="R64" s="102">
        <f>INDEX(Qrtly!$A:$BH,MATCH(Annual!$A64,Qrtly!$A:$A,0),MATCH("1Q"&amp;RIGHT(Annual!R$1,2),Qrtly!$A$3:$BH$3,0))+INDEX(Qrtly!$A:$BH,MATCH(Annual!$A64,Qrtly!$A:$A,0),MATCH("2Q"&amp;RIGHT(Annual!R$1,2),Qrtly!$A$3:$BH$3,0))+INDEX(Qrtly!$A:$BH,MATCH(Annual!$A64,Qrtly!$A:$A,0),MATCH("3Q"&amp;RIGHT(Annual!R$1,2),Qrtly!$A$3:$BH$3,0))+INDEX(Qrtly!$A:$BH,MATCH(Annual!$A64,Qrtly!$A:$A,0),MATCH("4Q"&amp;RIGHT(Annual!R$1,2),Qrtly!$A$3:$BH$3,0))</f>
        <v>187373.91457454348</v>
      </c>
      <c r="S64" s="102">
        <f>INDEX(Qrtly!$A:$BH,MATCH(Annual!$A64,Qrtly!$A:$A,0),MATCH("1Q"&amp;RIGHT(Annual!S$1,2),Qrtly!$A$3:$BH$3,0))+INDEX(Qrtly!$A:$BH,MATCH(Annual!$A64,Qrtly!$A:$A,0),MATCH("2Q"&amp;RIGHT(Annual!S$1,2),Qrtly!$A$3:$BH$3,0))+INDEX(Qrtly!$A:$BH,MATCH(Annual!$A64,Qrtly!$A:$A,0),MATCH("3Q"&amp;RIGHT(Annual!S$1,2),Qrtly!$A$3:$BH$3,0))+INDEX(Qrtly!$A:$BH,MATCH(Annual!$A64,Qrtly!$A:$A,0),MATCH("4Q"&amp;RIGHT(Annual!S$1,2),Qrtly!$A$3:$BH$3,0))</f>
        <v>192058.26243890711</v>
      </c>
      <c r="T64" s="102">
        <f>INDEX(Qrtly!$A:$BH,MATCH(Annual!$A64,Qrtly!$A:$A,0),MATCH("1Q"&amp;RIGHT(Annual!T$1,2),Qrtly!$A$3:$BH$3,0))+INDEX(Qrtly!$A:$BH,MATCH(Annual!$A64,Qrtly!$A:$A,0),MATCH("2Q"&amp;RIGHT(Annual!T$1,2),Qrtly!$A$3:$BH$3,0))+INDEX(Qrtly!$A:$BH,MATCH(Annual!$A64,Qrtly!$A:$A,0),MATCH("3Q"&amp;RIGHT(Annual!T$1,2),Qrtly!$A$3:$BH$3,0))+INDEX(Qrtly!$A:$BH,MATCH(Annual!$A64,Qrtly!$A:$A,0),MATCH("4Q"&amp;RIGHT(Annual!T$1,2),Qrtly!$A$3:$BH$3,0))</f>
        <v>196859.71899987984</v>
      </c>
      <c r="U64" s="102">
        <f>INDEX(Qrtly!$A:$BH,MATCH(Annual!$A64,Qrtly!$A:$A,0),MATCH("1Q"&amp;RIGHT(Annual!U$1,2),Qrtly!$A$3:$BH$3,0))+INDEX(Qrtly!$A:$BH,MATCH(Annual!$A64,Qrtly!$A:$A,0),MATCH("2Q"&amp;RIGHT(Annual!U$1,2),Qrtly!$A$3:$BH$3,0))+INDEX(Qrtly!$A:$BH,MATCH(Annual!$A64,Qrtly!$A:$A,0),MATCH("3Q"&amp;RIGHT(Annual!U$1,2),Qrtly!$A$3:$BH$3,0))+INDEX(Qrtly!$A:$BH,MATCH(Annual!$A64,Qrtly!$A:$A,0),MATCH("4Q"&amp;RIGHT(Annual!U$1,2),Qrtly!$A$3:$BH$3,0))</f>
        <v>201781.21197487693</v>
      </c>
      <c r="V64" s="102">
        <f>INDEX(Qrtly!$A:$BH,MATCH(Annual!$A64,Qrtly!$A:$A,0),MATCH("1Q"&amp;RIGHT(Annual!V$1,2),Qrtly!$A$3:$BH$3,0))+INDEX(Qrtly!$A:$BH,MATCH(Annual!$A64,Qrtly!$A:$A,0),MATCH("2Q"&amp;RIGHT(Annual!V$1,2),Qrtly!$A$3:$BH$3,0))+INDEX(Qrtly!$A:$BH,MATCH(Annual!$A64,Qrtly!$A:$A,0),MATCH("3Q"&amp;RIGHT(Annual!V$1,2),Qrtly!$A$3:$BH$3,0))+INDEX(Qrtly!$A:$BH,MATCH(Annual!$A64,Qrtly!$A:$A,0),MATCH("4Q"&amp;RIGHT(Annual!V$1,2),Qrtly!$A$3:$BH$3,0))</f>
        <v>206825.74227424891</v>
      </c>
      <c r="W64" s="102">
        <f>INDEX(Qrtly!$A:$BH,MATCH(Annual!$A64,Qrtly!$A:$A,0),MATCH("1Q"&amp;RIGHT(Annual!W$1,2),Qrtly!$A$3:$BH$3,0))+INDEX(Qrtly!$A:$BH,MATCH(Annual!$A64,Qrtly!$A:$A,0),MATCH("2Q"&amp;RIGHT(Annual!W$1,2),Qrtly!$A$3:$BH$3,0))+INDEX(Qrtly!$A:$BH,MATCH(Annual!$A64,Qrtly!$A:$A,0),MATCH("3Q"&amp;RIGHT(Annual!W$1,2),Qrtly!$A$3:$BH$3,0))+INDEX(Qrtly!$A:$BH,MATCH(Annual!$A64,Qrtly!$A:$A,0),MATCH("4Q"&amp;RIGHT(Annual!W$1,2),Qrtly!$A$3:$BH$3,0))</f>
        <v>211996.3858311052</v>
      </c>
      <c r="X64" s="102">
        <f>INDEX(Qrtly!$A:$BH,MATCH(Annual!$A64,Qrtly!$A:$A,0),MATCH("1Q"&amp;RIGHT(Annual!X$1,2),Qrtly!$A$3:$BH$3,0))+INDEX(Qrtly!$A:$BH,MATCH(Annual!$A64,Qrtly!$A:$A,0),MATCH("2Q"&amp;RIGHT(Annual!X$1,2),Qrtly!$A$3:$BH$3,0))+INDEX(Qrtly!$A:$BH,MATCH(Annual!$A64,Qrtly!$A:$A,0),MATCH("3Q"&amp;RIGHT(Annual!X$1,2),Qrtly!$A$3:$BH$3,0))+INDEX(Qrtly!$A:$BH,MATCH(Annual!$A64,Qrtly!$A:$A,0),MATCH("4Q"&amp;RIGHT(Annual!X$1,2),Qrtly!$A$3:$BH$3,0))</f>
        <v>217296.29547688289</v>
      </c>
      <c r="Y64" s="102">
        <f>INDEX(Qrtly!$A:$BH,MATCH(Annual!$A64,Qrtly!$A:$A,0),MATCH("1Q"&amp;RIGHT(Annual!Y$1,2),Qrtly!$A$3:$BH$3,0))+INDEX(Qrtly!$A:$BH,MATCH(Annual!$A64,Qrtly!$A:$A,0),MATCH("2Q"&amp;RIGHT(Annual!Y$1,2),Qrtly!$A$3:$BH$3,0))+INDEX(Qrtly!$A:$BH,MATCH(Annual!$A64,Qrtly!$A:$A,0),MATCH("3Q"&amp;RIGHT(Annual!Y$1,2),Qrtly!$A$3:$BH$3,0))+INDEX(Qrtly!$A:$BH,MATCH(Annual!$A64,Qrtly!$A:$A,0),MATCH("4Q"&amp;RIGHT(Annual!Y$1,2),Qrtly!$A$3:$BH$3,0))</f>
        <v>222728.70286380508</v>
      </c>
      <c r="Z64" s="102">
        <f>INDEX(Qrtly!$A:$BH,MATCH(Annual!$A64,Qrtly!$A:$A,0),MATCH("1Q"&amp;RIGHT(Annual!Z$1,2),Qrtly!$A$3:$BH$3,0))+INDEX(Qrtly!$A:$BH,MATCH(Annual!$A64,Qrtly!$A:$A,0),MATCH("2Q"&amp;RIGHT(Annual!Z$1,2),Qrtly!$A$3:$BH$3,0))+INDEX(Qrtly!$A:$BH,MATCH(Annual!$A64,Qrtly!$A:$A,0),MATCH("3Q"&amp;RIGHT(Annual!Z$1,2),Qrtly!$A$3:$BH$3,0))+INDEX(Qrtly!$A:$BH,MATCH(Annual!$A64,Qrtly!$A:$A,0),MATCH("4Q"&amp;RIGHT(Annual!Z$1,2),Qrtly!$A$3:$BH$3,0))</f>
        <v>228296.9204354003</v>
      </c>
      <c r="AA64" s="1"/>
      <c r="AB64" s="1"/>
      <c r="AC64" s="103">
        <v>88744.935468450145</v>
      </c>
      <c r="AD64" s="104">
        <f t="shared" si="11"/>
        <v>31837.064531549855</v>
      </c>
      <c r="AE64" s="103">
        <v>97419.241452341797</v>
      </c>
      <c r="AF64" s="104">
        <f t="shared" ref="AF64" si="90">IF(ISBLANK(AE64),"",INDEX($A64:$AA64,1,MATCH(AE$3,$A$3:$AA$3,0))-AE64)</f>
        <v>85384.577644773686</v>
      </c>
      <c r="AG64" s="1"/>
      <c r="AH64" s="1"/>
      <c r="AI64" s="1"/>
      <c r="AJ64" s="1"/>
    </row>
    <row r="65" spans="1:36" x14ac:dyDescent="0.25">
      <c r="A65" s="82"/>
      <c r="B65" s="129" t="s">
        <v>341</v>
      </c>
      <c r="C65" s="134"/>
      <c r="D65" s="48"/>
      <c r="E65" s="135"/>
      <c r="F65" s="135"/>
      <c r="G65" s="135"/>
      <c r="H65" s="135"/>
      <c r="I65" s="135"/>
      <c r="J65" s="135"/>
      <c r="K65" s="135"/>
      <c r="L65" s="46" t="e">
        <v>#DIV/0!</v>
      </c>
      <c r="M65" s="136">
        <v>0</v>
      </c>
      <c r="N65" s="136">
        <v>0</v>
      </c>
      <c r="O65" s="331">
        <f>O61/AVERAGE(N144:O144)</f>
        <v>0</v>
      </c>
      <c r="P65" s="331">
        <f t="shared" ref="P65:Z65" si="91">P61/AVERAGE(O144:P144)</f>
        <v>1.3147141300677997E-2</v>
      </c>
      <c r="Q65" s="331">
        <f t="shared" si="91"/>
        <v>1.7993366918177375E-2</v>
      </c>
      <c r="R65" s="331">
        <f t="shared" si="91"/>
        <v>1.7908849180449014E-2</v>
      </c>
      <c r="S65" s="331">
        <f t="shared" si="91"/>
        <v>1.8062536590520709E-2</v>
      </c>
      <c r="T65" s="331">
        <f t="shared" si="91"/>
        <v>1.7719260488418993E-2</v>
      </c>
      <c r="U65" s="331">
        <f t="shared" si="91"/>
        <v>1.6946902612240553E-2</v>
      </c>
      <c r="V65" s="331">
        <f t="shared" si="91"/>
        <v>1.5821242338358712E-2</v>
      </c>
      <c r="W65" s="331">
        <f t="shared" si="91"/>
        <v>1.4431927145904577E-2</v>
      </c>
      <c r="X65" s="331">
        <f t="shared" si="91"/>
        <v>1.2888037082983493E-2</v>
      </c>
      <c r="Y65" s="331">
        <f t="shared" si="91"/>
        <v>1.1296260041227246E-2</v>
      </c>
      <c r="Z65" s="331">
        <f t="shared" si="91"/>
        <v>1.1917492866410835E-2</v>
      </c>
      <c r="AA65" s="1"/>
      <c r="AB65" s="1"/>
      <c r="AC65" s="105">
        <v>9.9511686810084717E-3</v>
      </c>
      <c r="AD65" s="91">
        <f t="shared" si="11"/>
        <v>3.1959726196695258E-3</v>
      </c>
      <c r="AE65" s="105">
        <v>1.0099451608443949E-2</v>
      </c>
      <c r="AF65" s="91">
        <f t="shared" ref="AF65" si="92">IF(ISBLANK(AE65),"",INDEX($A65:$AA65,1,MATCH(AE$3,$A$3:$AA$3,0))-AE65)</f>
        <v>7.893915309733426E-3</v>
      </c>
      <c r="AG65" s="1"/>
      <c r="AH65" s="1"/>
      <c r="AI65" s="1"/>
      <c r="AJ65" s="1"/>
    </row>
    <row r="66" spans="1:36" x14ac:dyDescent="0.25">
      <c r="A66" s="82"/>
      <c r="B66" s="129" t="s">
        <v>342</v>
      </c>
      <c r="C66" s="134"/>
      <c r="D66" s="48"/>
      <c r="E66" s="135"/>
      <c r="F66" s="135"/>
      <c r="G66" s="135"/>
      <c r="H66" s="135"/>
      <c r="I66" s="66"/>
      <c r="J66" s="66"/>
      <c r="K66" s="66"/>
      <c r="L66" s="46" t="e">
        <v>#DIV/0!</v>
      </c>
      <c r="M66" s="136">
        <v>0</v>
      </c>
      <c r="N66" s="136">
        <v>0</v>
      </c>
      <c r="O66" s="331">
        <f>O63/AVERAGE(N166:O166)</f>
        <v>0</v>
      </c>
      <c r="P66" s="331">
        <f t="shared" ref="P66:Z66" si="93">P63/AVERAGE(O166:P166)</f>
        <v>0</v>
      </c>
      <c r="Q66" s="331">
        <f t="shared" si="93"/>
        <v>0</v>
      </c>
      <c r="R66" s="331">
        <f t="shared" si="93"/>
        <v>0</v>
      </c>
      <c r="S66" s="331">
        <f t="shared" si="93"/>
        <v>0</v>
      </c>
      <c r="T66" s="331">
        <f t="shared" si="93"/>
        <v>0</v>
      </c>
      <c r="U66" s="331">
        <f t="shared" si="93"/>
        <v>0</v>
      </c>
      <c r="V66" s="331">
        <f t="shared" si="93"/>
        <v>0</v>
      </c>
      <c r="W66" s="331">
        <f t="shared" si="93"/>
        <v>0</v>
      </c>
      <c r="X66" s="331">
        <f t="shared" si="93"/>
        <v>0</v>
      </c>
      <c r="Y66" s="331">
        <f t="shared" si="93"/>
        <v>0</v>
      </c>
      <c r="Z66" s="331">
        <f t="shared" si="93"/>
        <v>0</v>
      </c>
      <c r="AA66" s="1"/>
      <c r="AB66" s="1"/>
      <c r="AC66" s="105">
        <v>0</v>
      </c>
      <c r="AD66" s="106">
        <f t="shared" si="11"/>
        <v>0</v>
      </c>
      <c r="AE66" s="105">
        <v>0</v>
      </c>
      <c r="AF66" s="106">
        <f t="shared" ref="AF66" si="94">IF(ISBLANK(AE66),"",INDEX($A66:$AA66,1,MATCH(AE$3,$A$3:$AA$3,0))-AE66)</f>
        <v>0</v>
      </c>
      <c r="AG66" s="1"/>
      <c r="AH66" s="1"/>
      <c r="AI66" s="1"/>
      <c r="AJ66" s="1"/>
    </row>
    <row r="67" spans="1:36" x14ac:dyDescent="0.25">
      <c r="A67" s="82"/>
      <c r="B67" s="129"/>
      <c r="C67" s="93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"/>
      <c r="AB67" s="120"/>
      <c r="AC67" s="121"/>
      <c r="AD67" s="122" t="str">
        <f t="shared" si="11"/>
        <v/>
      </c>
      <c r="AE67" s="121"/>
      <c r="AF67" s="122" t="str">
        <f t="shared" ref="AF67" si="95">IF(ISBLANK(AE67),"",INDEX($A67:$AA67,1,MATCH(AE$3,$A$3:$AA$3,0))-AE67)</f>
        <v/>
      </c>
      <c r="AG67" s="1"/>
      <c r="AH67" s="1"/>
      <c r="AI67" s="1"/>
      <c r="AJ67" s="1"/>
    </row>
    <row r="68" spans="1:36" x14ac:dyDescent="0.25">
      <c r="A68" s="82"/>
      <c r="B68" s="95" t="s">
        <v>95</v>
      </c>
      <c r="C68" s="13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1"/>
      <c r="AB68" s="1"/>
      <c r="AC68" s="90"/>
      <c r="AD68" s="91" t="str">
        <f t="shared" si="11"/>
        <v/>
      </c>
      <c r="AE68" s="90"/>
      <c r="AF68" s="91" t="str">
        <f t="shared" ref="AF68" si="96">IF(ISBLANK(AE68),"",INDEX($A68:$AA68,1,MATCH(AE$3,$A$3:$AA$3,0))-AE68)</f>
        <v/>
      </c>
      <c r="AG68" s="1"/>
      <c r="AH68" s="2"/>
      <c r="AI68" s="1"/>
      <c r="AJ68" s="1"/>
    </row>
    <row r="69" spans="1:36" x14ac:dyDescent="0.25">
      <c r="A69" s="82" t="s">
        <v>343</v>
      </c>
      <c r="B69" s="92" t="s">
        <v>344</v>
      </c>
      <c r="C69" s="131"/>
      <c r="D69" s="2"/>
      <c r="E69" s="2"/>
      <c r="F69" s="137">
        <v>82292</v>
      </c>
      <c r="G69" s="137">
        <v>138786</v>
      </c>
      <c r="H69" s="137">
        <v>155759</v>
      </c>
      <c r="I69" s="137">
        <v>216784</v>
      </c>
      <c r="J69" s="137">
        <v>297708</v>
      </c>
      <c r="K69" s="137">
        <v>397132</v>
      </c>
      <c r="L69" s="137">
        <v>607632</v>
      </c>
      <c r="M69" s="137">
        <v>1068795</v>
      </c>
      <c r="N69" s="137">
        <v>1275496</v>
      </c>
      <c r="O69" s="137">
        <f>INDEX(Qrtly!$A:$BH,MATCH(Annual!$A69,Qrtly!$A:$A,0),MATCH("1Q"&amp;RIGHT(Annual!O$1,2),Qrtly!$A$3:$BH$3,0))+INDEX(Qrtly!$A:$BH,MATCH(Annual!$A69,Qrtly!$A:$A,0),MATCH("2Q"&amp;RIGHT(Annual!O$1,2),Qrtly!$A$3:$BH$3,0))+INDEX(Qrtly!$A:$BH,MATCH(Annual!$A69,Qrtly!$A:$A,0),MATCH("3Q"&amp;RIGHT(Annual!O$1,2),Qrtly!$A$3:$BH$3,0))+INDEX(Qrtly!$A:$BH,MATCH(Annual!$A69,Qrtly!$A:$A,0),MATCH("4Q"&amp;RIGHT(Annual!O$1,2),Qrtly!$A$3:$BH$3,0))</f>
        <v>1264132</v>
      </c>
      <c r="P69" s="137">
        <f>INDEX(Qrtly!$A:$BH,MATCH(Annual!$A69,Qrtly!$A:$A,0),MATCH("1Q"&amp;RIGHT(Annual!P$1,2),Qrtly!$A$3:$BH$3,0))+INDEX(Qrtly!$A:$BH,MATCH(Annual!$A69,Qrtly!$A:$A,0),MATCH("2Q"&amp;RIGHT(Annual!P$1,2),Qrtly!$A$3:$BH$3,0))+INDEX(Qrtly!$A:$BH,MATCH(Annual!$A69,Qrtly!$A:$A,0),MATCH("3Q"&amp;RIGHT(Annual!P$1,2),Qrtly!$A$3:$BH$3,0))+INDEX(Qrtly!$A:$BH,MATCH(Annual!$A69,Qrtly!$A:$A,0),MATCH("4Q"&amp;RIGHT(Annual!P$1,2),Qrtly!$A$3:$BH$3,0))</f>
        <v>0</v>
      </c>
      <c r="Q69" s="137">
        <f>INDEX(Qrtly!$A:$BH,MATCH(Annual!$A69,Qrtly!$A:$A,0),MATCH("1Q"&amp;RIGHT(Annual!Q$1,2),Qrtly!$A$3:$BH$3,0))+INDEX(Qrtly!$A:$BH,MATCH(Annual!$A69,Qrtly!$A:$A,0),MATCH("2Q"&amp;RIGHT(Annual!Q$1,2),Qrtly!$A$3:$BH$3,0))+INDEX(Qrtly!$A:$BH,MATCH(Annual!$A69,Qrtly!$A:$A,0),MATCH("3Q"&amp;RIGHT(Annual!Q$1,2),Qrtly!$A$3:$BH$3,0))+INDEX(Qrtly!$A:$BH,MATCH(Annual!$A69,Qrtly!$A:$A,0),MATCH("4Q"&amp;RIGHT(Annual!Q$1,2),Qrtly!$A$3:$BH$3,0))</f>
        <v>0</v>
      </c>
      <c r="R69" s="137">
        <f>INDEX(Qrtly!$A:$BH,MATCH(Annual!$A69,Qrtly!$A:$A,0),MATCH("1Q"&amp;RIGHT(Annual!R$1,2),Qrtly!$A$3:$BH$3,0))+INDEX(Qrtly!$A:$BH,MATCH(Annual!$A69,Qrtly!$A:$A,0),MATCH("2Q"&amp;RIGHT(Annual!R$1,2),Qrtly!$A$3:$BH$3,0))+INDEX(Qrtly!$A:$BH,MATCH(Annual!$A69,Qrtly!$A:$A,0),MATCH("3Q"&amp;RIGHT(Annual!R$1,2),Qrtly!$A$3:$BH$3,0))+INDEX(Qrtly!$A:$BH,MATCH(Annual!$A69,Qrtly!$A:$A,0),MATCH("4Q"&amp;RIGHT(Annual!R$1,2),Qrtly!$A$3:$BH$3,0))</f>
        <v>0</v>
      </c>
      <c r="S69" s="137">
        <f>INDEX(Qrtly!$A:$BH,MATCH(Annual!$A69,Qrtly!$A:$A,0),MATCH("1Q"&amp;RIGHT(Annual!S$1,2),Qrtly!$A$3:$BH$3,0))+INDEX(Qrtly!$A:$BH,MATCH(Annual!$A69,Qrtly!$A:$A,0),MATCH("2Q"&amp;RIGHT(Annual!S$1,2),Qrtly!$A$3:$BH$3,0))+INDEX(Qrtly!$A:$BH,MATCH(Annual!$A69,Qrtly!$A:$A,0),MATCH("3Q"&amp;RIGHT(Annual!S$1,2),Qrtly!$A$3:$BH$3,0))+INDEX(Qrtly!$A:$BH,MATCH(Annual!$A69,Qrtly!$A:$A,0),MATCH("4Q"&amp;RIGHT(Annual!S$1,2),Qrtly!$A$3:$BH$3,0))</f>
        <v>0</v>
      </c>
      <c r="T69" s="137">
        <f>INDEX(Qrtly!$A:$BH,MATCH(Annual!$A69,Qrtly!$A:$A,0),MATCH("1Q"&amp;RIGHT(Annual!T$1,2),Qrtly!$A$3:$BH$3,0))+INDEX(Qrtly!$A:$BH,MATCH(Annual!$A69,Qrtly!$A:$A,0),MATCH("2Q"&amp;RIGHT(Annual!T$1,2),Qrtly!$A$3:$BH$3,0))+INDEX(Qrtly!$A:$BH,MATCH(Annual!$A69,Qrtly!$A:$A,0),MATCH("3Q"&amp;RIGHT(Annual!T$1,2),Qrtly!$A$3:$BH$3,0))+INDEX(Qrtly!$A:$BH,MATCH(Annual!$A69,Qrtly!$A:$A,0),MATCH("4Q"&amp;RIGHT(Annual!T$1,2),Qrtly!$A$3:$BH$3,0))</f>
        <v>0</v>
      </c>
      <c r="U69" s="137">
        <f>INDEX(Qrtly!$A:$BH,MATCH(Annual!$A69,Qrtly!$A:$A,0),MATCH("1Q"&amp;RIGHT(Annual!U$1,2),Qrtly!$A$3:$BH$3,0))+INDEX(Qrtly!$A:$BH,MATCH(Annual!$A69,Qrtly!$A:$A,0),MATCH("2Q"&amp;RIGHT(Annual!U$1,2),Qrtly!$A$3:$BH$3,0))+INDEX(Qrtly!$A:$BH,MATCH(Annual!$A69,Qrtly!$A:$A,0),MATCH("3Q"&amp;RIGHT(Annual!U$1,2),Qrtly!$A$3:$BH$3,0))+INDEX(Qrtly!$A:$BH,MATCH(Annual!$A69,Qrtly!$A:$A,0),MATCH("4Q"&amp;RIGHT(Annual!U$1,2),Qrtly!$A$3:$BH$3,0))</f>
        <v>0</v>
      </c>
      <c r="V69" s="137">
        <f>INDEX(Qrtly!$A:$BH,MATCH(Annual!$A69,Qrtly!$A:$A,0),MATCH("1Q"&amp;RIGHT(Annual!V$1,2),Qrtly!$A$3:$BH$3,0))+INDEX(Qrtly!$A:$BH,MATCH(Annual!$A69,Qrtly!$A:$A,0),MATCH("2Q"&amp;RIGHT(Annual!V$1,2),Qrtly!$A$3:$BH$3,0))+INDEX(Qrtly!$A:$BH,MATCH(Annual!$A69,Qrtly!$A:$A,0),MATCH("3Q"&amp;RIGHT(Annual!V$1,2),Qrtly!$A$3:$BH$3,0))+INDEX(Qrtly!$A:$BH,MATCH(Annual!$A69,Qrtly!$A:$A,0),MATCH("4Q"&amp;RIGHT(Annual!V$1,2),Qrtly!$A$3:$BH$3,0))</f>
        <v>0</v>
      </c>
      <c r="W69" s="137">
        <f>INDEX(Qrtly!$A:$BH,MATCH(Annual!$A69,Qrtly!$A:$A,0),MATCH("1Q"&amp;RIGHT(Annual!W$1,2),Qrtly!$A$3:$BH$3,0))+INDEX(Qrtly!$A:$BH,MATCH(Annual!$A69,Qrtly!$A:$A,0),MATCH("2Q"&amp;RIGHT(Annual!W$1,2),Qrtly!$A$3:$BH$3,0))+INDEX(Qrtly!$A:$BH,MATCH(Annual!$A69,Qrtly!$A:$A,0),MATCH("3Q"&amp;RIGHT(Annual!W$1,2),Qrtly!$A$3:$BH$3,0))+INDEX(Qrtly!$A:$BH,MATCH(Annual!$A69,Qrtly!$A:$A,0),MATCH("4Q"&amp;RIGHT(Annual!W$1,2),Qrtly!$A$3:$BH$3,0))</f>
        <v>0</v>
      </c>
      <c r="X69" s="137">
        <f>INDEX(Qrtly!$A:$BH,MATCH(Annual!$A69,Qrtly!$A:$A,0),MATCH("1Q"&amp;RIGHT(Annual!X$1,2),Qrtly!$A$3:$BH$3,0))+INDEX(Qrtly!$A:$BH,MATCH(Annual!$A69,Qrtly!$A:$A,0),MATCH("2Q"&amp;RIGHT(Annual!X$1,2),Qrtly!$A$3:$BH$3,0))+INDEX(Qrtly!$A:$BH,MATCH(Annual!$A69,Qrtly!$A:$A,0),MATCH("3Q"&amp;RIGHT(Annual!X$1,2),Qrtly!$A$3:$BH$3,0))+INDEX(Qrtly!$A:$BH,MATCH(Annual!$A69,Qrtly!$A:$A,0),MATCH("4Q"&amp;RIGHT(Annual!X$1,2),Qrtly!$A$3:$BH$3,0))</f>
        <v>0</v>
      </c>
      <c r="Y69" s="137">
        <f>INDEX(Qrtly!$A:$BH,MATCH(Annual!$A69,Qrtly!$A:$A,0),MATCH("1Q"&amp;RIGHT(Annual!Y$1,2),Qrtly!$A$3:$BH$3,0))+INDEX(Qrtly!$A:$BH,MATCH(Annual!$A69,Qrtly!$A:$A,0),MATCH("2Q"&amp;RIGHT(Annual!Y$1,2),Qrtly!$A$3:$BH$3,0))+INDEX(Qrtly!$A:$BH,MATCH(Annual!$A69,Qrtly!$A:$A,0),MATCH("3Q"&amp;RIGHT(Annual!Y$1,2),Qrtly!$A$3:$BH$3,0))+INDEX(Qrtly!$A:$BH,MATCH(Annual!$A69,Qrtly!$A:$A,0),MATCH("4Q"&amp;RIGHT(Annual!Y$1,2),Qrtly!$A$3:$BH$3,0))</f>
        <v>0</v>
      </c>
      <c r="Z69" s="137">
        <f>INDEX(Qrtly!$A:$BH,MATCH(Annual!$A69,Qrtly!$A:$A,0),MATCH("1Q"&amp;RIGHT(Annual!Z$1,2),Qrtly!$A$3:$BH$3,0))+INDEX(Qrtly!$A:$BH,MATCH(Annual!$A69,Qrtly!$A:$A,0),MATCH("2Q"&amp;RIGHT(Annual!Z$1,2),Qrtly!$A$3:$BH$3,0))+INDEX(Qrtly!$A:$BH,MATCH(Annual!$A69,Qrtly!$A:$A,0),MATCH("3Q"&amp;RIGHT(Annual!Z$1,2),Qrtly!$A$3:$BH$3,0))+INDEX(Qrtly!$A:$BH,MATCH(Annual!$A69,Qrtly!$A:$A,0),MATCH("4Q"&amp;RIGHT(Annual!Z$1,2),Qrtly!$A$3:$BH$3,0))</f>
        <v>0</v>
      </c>
      <c r="AA69" s="1"/>
      <c r="AB69" s="1"/>
      <c r="AC69" s="105">
        <v>0</v>
      </c>
      <c r="AD69" s="91">
        <f t="shared" si="11"/>
        <v>0</v>
      </c>
      <c r="AE69" s="105">
        <v>0</v>
      </c>
      <c r="AF69" s="91">
        <f t="shared" ref="AF69" si="97">IF(ISBLANK(AE69),"",INDEX($A69:$AA69,1,MATCH(AE$3,$A$3:$AA$3,0))-AE69)</f>
        <v>0</v>
      </c>
      <c r="AG69" s="1"/>
      <c r="AH69" s="2"/>
      <c r="AI69" s="1"/>
      <c r="AJ69" s="1"/>
    </row>
    <row r="70" spans="1:36" x14ac:dyDescent="0.25">
      <c r="A70" s="82" t="s">
        <v>345</v>
      </c>
      <c r="B70" s="92" t="s">
        <v>346</v>
      </c>
      <c r="C70" s="131"/>
      <c r="D70" s="2"/>
      <c r="E70" s="2"/>
      <c r="F70" s="137">
        <v>-106167</v>
      </c>
      <c r="G70" s="137">
        <v>9260</v>
      </c>
      <c r="H70" s="137">
        <v>23433</v>
      </c>
      <c r="I70" s="137">
        <v>49114</v>
      </c>
      <c r="J70" s="137">
        <v>66192</v>
      </c>
      <c r="K70" s="137">
        <v>90297</v>
      </c>
      <c r="L70" s="137">
        <v>44326</v>
      </c>
      <c r="M70" s="137">
        <v>-26846</v>
      </c>
      <c r="N70" s="137">
        <v>27704</v>
      </c>
      <c r="O70" s="137">
        <f>INDEX(Qrtly!$A:$BH,MATCH(Annual!$A70,Qrtly!$A:$A,0),MATCH("1Q"&amp;RIGHT(Annual!O$1,2),Qrtly!$A$3:$BH$3,0))+INDEX(Qrtly!$A:$BH,MATCH(Annual!$A70,Qrtly!$A:$A,0),MATCH("2Q"&amp;RIGHT(Annual!O$1,2),Qrtly!$A$3:$BH$3,0))+INDEX(Qrtly!$A:$BH,MATCH(Annual!$A70,Qrtly!$A:$A,0),MATCH("3Q"&amp;RIGHT(Annual!O$1,2),Qrtly!$A$3:$BH$3,0))+INDEX(Qrtly!$A:$BH,MATCH(Annual!$A70,Qrtly!$A:$A,0),MATCH("4Q"&amp;RIGHT(Annual!O$1,2),Qrtly!$A$3:$BH$3,0))</f>
        <v>38433</v>
      </c>
      <c r="P70" s="137">
        <f>INDEX(Qrtly!$A:$BH,MATCH(Annual!$A70,Qrtly!$A:$A,0),MATCH("1Q"&amp;RIGHT(Annual!P$1,2),Qrtly!$A$3:$BH$3,0))+INDEX(Qrtly!$A:$BH,MATCH(Annual!$A70,Qrtly!$A:$A,0),MATCH("2Q"&amp;RIGHT(Annual!P$1,2),Qrtly!$A$3:$BH$3,0))+INDEX(Qrtly!$A:$BH,MATCH(Annual!$A70,Qrtly!$A:$A,0),MATCH("3Q"&amp;RIGHT(Annual!P$1,2),Qrtly!$A$3:$BH$3,0))+INDEX(Qrtly!$A:$BH,MATCH(Annual!$A70,Qrtly!$A:$A,0),MATCH("4Q"&amp;RIGHT(Annual!P$1,2),Qrtly!$A$3:$BH$3,0))</f>
        <v>1638.25</v>
      </c>
      <c r="Q70" s="137">
        <f>INDEX(Qrtly!$A:$BH,MATCH(Annual!$A70,Qrtly!$A:$A,0),MATCH("1Q"&amp;RIGHT(Annual!Q$1,2),Qrtly!$A$3:$BH$3,0))+INDEX(Qrtly!$A:$BH,MATCH(Annual!$A70,Qrtly!$A:$A,0),MATCH("2Q"&amp;RIGHT(Annual!Q$1,2),Qrtly!$A$3:$BH$3,0))+INDEX(Qrtly!$A:$BH,MATCH(Annual!$A70,Qrtly!$A:$A,0),MATCH("3Q"&amp;RIGHT(Annual!Q$1,2),Qrtly!$A$3:$BH$3,0))+INDEX(Qrtly!$A:$BH,MATCH(Annual!$A70,Qrtly!$A:$A,0),MATCH("4Q"&amp;RIGHT(Annual!Q$1,2),Qrtly!$A$3:$BH$3,0))</f>
        <v>-3404.6787109375</v>
      </c>
      <c r="R70" s="137">
        <f>INDEX(Qrtly!$A:$BH,MATCH(Annual!$A70,Qrtly!$A:$A,0),MATCH("1Q"&amp;RIGHT(Annual!R$1,2),Qrtly!$A$3:$BH$3,0))+INDEX(Qrtly!$A:$BH,MATCH(Annual!$A70,Qrtly!$A:$A,0),MATCH("2Q"&amp;RIGHT(Annual!R$1,2),Qrtly!$A$3:$BH$3,0))+INDEX(Qrtly!$A:$BH,MATCH(Annual!$A70,Qrtly!$A:$A,0),MATCH("3Q"&amp;RIGHT(Annual!R$1,2),Qrtly!$A$3:$BH$3,0))+INDEX(Qrtly!$A:$BH,MATCH(Annual!$A70,Qrtly!$A:$A,0),MATCH("4Q"&amp;RIGHT(Annual!R$1,2),Qrtly!$A$3:$BH$3,0))</f>
        <v>-3641.2859153747559</v>
      </c>
      <c r="S70" s="137">
        <f>INDEX(Qrtly!$A:$BH,MATCH(Annual!$A70,Qrtly!$A:$A,0),MATCH("1Q"&amp;RIGHT(Annual!S$1,2),Qrtly!$A$3:$BH$3,0))+INDEX(Qrtly!$A:$BH,MATCH(Annual!$A70,Qrtly!$A:$A,0),MATCH("2Q"&amp;RIGHT(Annual!S$1,2),Qrtly!$A$3:$BH$3,0))+INDEX(Qrtly!$A:$BH,MATCH(Annual!$A70,Qrtly!$A:$A,0),MATCH("3Q"&amp;RIGHT(Annual!S$1,2),Qrtly!$A$3:$BH$3,0))+INDEX(Qrtly!$A:$BH,MATCH(Annual!$A70,Qrtly!$A:$A,0),MATCH("4Q"&amp;RIGHT(Annual!S$1,2),Qrtly!$A$3:$BH$3,0))</f>
        <v>-3586.9954751580954</v>
      </c>
      <c r="T70" s="137">
        <f>INDEX(Qrtly!$A:$BH,MATCH(Annual!$A70,Qrtly!$A:$A,0),MATCH("1Q"&amp;RIGHT(Annual!T$1,2),Qrtly!$A$3:$BH$3,0))+INDEX(Qrtly!$A:$BH,MATCH(Annual!$A70,Qrtly!$A:$A,0),MATCH("2Q"&amp;RIGHT(Annual!T$1,2),Qrtly!$A$3:$BH$3,0))+INDEX(Qrtly!$A:$BH,MATCH(Annual!$A70,Qrtly!$A:$A,0),MATCH("3Q"&amp;RIGHT(Annual!T$1,2),Qrtly!$A$3:$BH$3,0))+INDEX(Qrtly!$A:$BH,MATCH(Annual!$A70,Qrtly!$A:$A,0),MATCH("4Q"&amp;RIGHT(Annual!T$1,2),Qrtly!$A$3:$BH$3,0))</f>
        <v>-3566.0938317463151</v>
      </c>
      <c r="U70" s="137">
        <f>INDEX(Qrtly!$A:$BH,MATCH(Annual!$A70,Qrtly!$A:$A,0),MATCH("1Q"&amp;RIGHT(Annual!U$1,2),Qrtly!$A$3:$BH$3,0))+INDEX(Qrtly!$A:$BH,MATCH(Annual!$A70,Qrtly!$A:$A,0),MATCH("2Q"&amp;RIGHT(Annual!U$1,2),Qrtly!$A$3:$BH$3,0))+INDEX(Qrtly!$A:$BH,MATCH(Annual!$A70,Qrtly!$A:$A,0),MATCH("3Q"&amp;RIGHT(Annual!U$1,2),Qrtly!$A$3:$BH$3,0))+INDEX(Qrtly!$A:$BH,MATCH(Annual!$A70,Qrtly!$A:$A,0),MATCH("4Q"&amp;RIGHT(Annual!U$1,2),Qrtly!$A$3:$BH$3,0))</f>
        <v>-3561.6092591791512</v>
      </c>
      <c r="V70" s="137">
        <f>INDEX(Qrtly!$A:$BH,MATCH(Annual!$A70,Qrtly!$A:$A,0),MATCH("1Q"&amp;RIGHT(Annual!V$1,2),Qrtly!$A$3:$BH$3,0))+INDEX(Qrtly!$A:$BH,MATCH(Annual!$A70,Qrtly!$A:$A,0),MATCH("2Q"&amp;RIGHT(Annual!V$1,2),Qrtly!$A$3:$BH$3,0))+INDEX(Qrtly!$A:$BH,MATCH(Annual!$A70,Qrtly!$A:$A,0),MATCH("3Q"&amp;RIGHT(Annual!V$1,2),Qrtly!$A$3:$BH$3,0))+INDEX(Qrtly!$A:$BH,MATCH(Annual!$A70,Qrtly!$A:$A,0),MATCH("4Q"&amp;RIGHT(Annual!V$1,2),Qrtly!$A$3:$BH$3,0))</f>
        <v>-3560.8873155897209</v>
      </c>
      <c r="W70" s="137">
        <f>INDEX(Qrtly!$A:$BH,MATCH(Annual!$A70,Qrtly!$A:$A,0),MATCH("1Q"&amp;RIGHT(Annual!W$1,2),Qrtly!$A$3:$BH$3,0))+INDEX(Qrtly!$A:$BH,MATCH(Annual!$A70,Qrtly!$A:$A,0),MATCH("2Q"&amp;RIGHT(Annual!W$1,2),Qrtly!$A$3:$BH$3,0))+INDEX(Qrtly!$A:$BH,MATCH(Annual!$A70,Qrtly!$A:$A,0),MATCH("3Q"&amp;RIGHT(Annual!W$1,2),Qrtly!$A$3:$BH$3,0))+INDEX(Qrtly!$A:$BH,MATCH(Annual!$A70,Qrtly!$A:$A,0),MATCH("4Q"&amp;RIGHT(Annual!W$1,2),Qrtly!$A$3:$BH$3,0))</f>
        <v>-3560.8023196412505</v>
      </c>
      <c r="X70" s="137">
        <f>INDEX(Qrtly!$A:$BH,MATCH(Annual!$A70,Qrtly!$A:$A,0),MATCH("1Q"&amp;RIGHT(Annual!X$1,2),Qrtly!$A$3:$BH$3,0))+INDEX(Qrtly!$A:$BH,MATCH(Annual!$A70,Qrtly!$A:$A,0),MATCH("2Q"&amp;RIGHT(Annual!X$1,2),Qrtly!$A$3:$BH$3,0))+INDEX(Qrtly!$A:$BH,MATCH(Annual!$A70,Qrtly!$A:$A,0),MATCH("3Q"&amp;RIGHT(Annual!X$1,2),Qrtly!$A$3:$BH$3,0))+INDEX(Qrtly!$A:$BH,MATCH(Annual!$A70,Qrtly!$A:$A,0),MATCH("4Q"&amp;RIGHT(Annual!X$1,2),Qrtly!$A$3:$BH$3,0))</f>
        <v>-3560.7980456954124</v>
      </c>
      <c r="Y70" s="137">
        <f>INDEX(Qrtly!$A:$BH,MATCH(Annual!$A70,Qrtly!$A:$A,0),MATCH("1Q"&amp;RIGHT(Annual!Y$1,2),Qrtly!$A$3:$BH$3,0))+INDEX(Qrtly!$A:$BH,MATCH(Annual!$A70,Qrtly!$A:$A,0),MATCH("2Q"&amp;RIGHT(Annual!Y$1,2),Qrtly!$A$3:$BH$3,0))+INDEX(Qrtly!$A:$BH,MATCH(Annual!$A70,Qrtly!$A:$A,0),MATCH("3Q"&amp;RIGHT(Annual!Y$1,2),Qrtly!$A$3:$BH$3,0))+INDEX(Qrtly!$A:$BH,MATCH(Annual!$A70,Qrtly!$A:$A,0),MATCH("4Q"&amp;RIGHT(Annual!Y$1,2),Qrtly!$A$3:$BH$3,0))</f>
        <v>-3560.7993153344878</v>
      </c>
      <c r="Z70" s="137">
        <f>INDEX(Qrtly!$A:$BH,MATCH(Annual!$A70,Qrtly!$A:$A,0),MATCH("1Q"&amp;RIGHT(Annual!Z$1,2),Qrtly!$A$3:$BH$3,0))+INDEX(Qrtly!$A:$BH,MATCH(Annual!$A70,Qrtly!$A:$A,0),MATCH("2Q"&amp;RIGHT(Annual!Z$1,2),Qrtly!$A$3:$BH$3,0))+INDEX(Qrtly!$A:$BH,MATCH(Annual!$A70,Qrtly!$A:$A,0),MATCH("3Q"&amp;RIGHT(Annual!Z$1,2),Qrtly!$A$3:$BH$3,0))+INDEX(Qrtly!$A:$BH,MATCH(Annual!$A70,Qrtly!$A:$A,0),MATCH("4Q"&amp;RIGHT(Annual!Z$1,2),Qrtly!$A$3:$BH$3,0))</f>
        <v>-3560.799844257504</v>
      </c>
      <c r="AA70" s="1"/>
      <c r="AB70" s="1"/>
      <c r="AC70" s="137">
        <v>-17495.8125</v>
      </c>
      <c r="AD70" s="91">
        <f t="shared" si="11"/>
        <v>19134.0625</v>
      </c>
      <c r="AE70" s="105">
        <v>-22119.073486328125</v>
      </c>
      <c r="AF70" s="91">
        <f t="shared" ref="AF70" si="98">IF(ISBLANK(AE70),"",INDEX($A70:$AA70,1,MATCH(AE$3,$A$3:$AA$3,0))-AE70)</f>
        <v>18714.394775390625</v>
      </c>
      <c r="AG70" s="1"/>
      <c r="AH70" s="2"/>
      <c r="AI70" s="1"/>
      <c r="AJ70" s="1"/>
    </row>
    <row r="71" spans="1:36" x14ac:dyDescent="0.25">
      <c r="A71" s="82" t="s">
        <v>347</v>
      </c>
      <c r="B71" s="100" t="s">
        <v>348</v>
      </c>
      <c r="C71" s="5" t="s">
        <v>298</v>
      </c>
      <c r="D71" s="101"/>
      <c r="E71" s="101"/>
      <c r="F71" s="102">
        <v>-176071</v>
      </c>
      <c r="G71" s="102">
        <v>16935</v>
      </c>
      <c r="H71" s="102">
        <v>115110</v>
      </c>
      <c r="I71" s="102">
        <v>226694</v>
      </c>
      <c r="J71" s="102">
        <v>385931</v>
      </c>
      <c r="K71" s="102">
        <v>423213</v>
      </c>
      <c r="L71" s="102">
        <v>890102</v>
      </c>
      <c r="M71" s="102">
        <v>860313</v>
      </c>
      <c r="N71" s="102">
        <v>1701772</v>
      </c>
      <c r="O71" s="102">
        <f>INDEX(Qrtly!$A:$BH,MATCH(Annual!$A71,Qrtly!$A:$A,0),MATCH("1Q"&amp;RIGHT(Annual!O$1,2),Qrtly!$A$3:$BH$3,0))+INDEX(Qrtly!$A:$BH,MATCH(Annual!$A71,Qrtly!$A:$A,0),MATCH("2Q"&amp;RIGHT(Annual!O$1,2),Qrtly!$A$3:$BH$3,0))+INDEX(Qrtly!$A:$BH,MATCH(Annual!$A71,Qrtly!$A:$A,0),MATCH("3Q"&amp;RIGHT(Annual!O$1,2),Qrtly!$A$3:$BH$3,0))+INDEX(Qrtly!$A:$BH,MATCH(Annual!$A71,Qrtly!$A:$A,0),MATCH("4Q"&amp;RIGHT(Annual!O$1,2),Qrtly!$A$3:$BH$3,0))</f>
        <v>2902053</v>
      </c>
      <c r="P71" s="102">
        <f>INDEX(Qrtly!$A:$BH,MATCH(Annual!$A71,Qrtly!$A:$A,0),MATCH("1Q"&amp;RIGHT(Annual!P$1,2),Qrtly!$A$3:$BH$3,0))+INDEX(Qrtly!$A:$BH,MATCH(Annual!$A71,Qrtly!$A:$A,0),MATCH("2Q"&amp;RIGHT(Annual!P$1,2),Qrtly!$A$3:$BH$3,0))+INDEX(Qrtly!$A:$BH,MATCH(Annual!$A71,Qrtly!$A:$A,0),MATCH("3Q"&amp;RIGHT(Annual!P$1,2),Qrtly!$A$3:$BH$3,0))+INDEX(Qrtly!$A:$BH,MATCH(Annual!$A71,Qrtly!$A:$A,0),MATCH("4Q"&amp;RIGHT(Annual!P$1,2),Qrtly!$A$3:$BH$3,0))</f>
        <v>1982779.8983748425</v>
      </c>
      <c r="Q71" s="102">
        <f>INDEX(Qrtly!$A:$BH,MATCH(Annual!$A71,Qrtly!$A:$A,0),MATCH("1Q"&amp;RIGHT(Annual!Q$1,2),Qrtly!$A$3:$BH$3,0))+INDEX(Qrtly!$A:$BH,MATCH(Annual!$A71,Qrtly!$A:$A,0),MATCH("2Q"&amp;RIGHT(Annual!Q$1,2),Qrtly!$A$3:$BH$3,0))+INDEX(Qrtly!$A:$BH,MATCH(Annual!$A71,Qrtly!$A:$A,0),MATCH("3Q"&amp;RIGHT(Annual!Q$1,2),Qrtly!$A$3:$BH$3,0))+INDEX(Qrtly!$A:$BH,MATCH(Annual!$A71,Qrtly!$A:$A,0),MATCH("4Q"&amp;RIGHT(Annual!Q$1,2),Qrtly!$A$3:$BH$3,0))</f>
        <v>2862496.5340358531</v>
      </c>
      <c r="R71" s="102">
        <f>INDEX(Qrtly!$A:$BH,MATCH(Annual!$A71,Qrtly!$A:$A,0),MATCH("1Q"&amp;RIGHT(Annual!R$1,2),Qrtly!$A$3:$BH$3,0))+INDEX(Qrtly!$A:$BH,MATCH(Annual!$A71,Qrtly!$A:$A,0),MATCH("2Q"&amp;RIGHT(Annual!R$1,2),Qrtly!$A$3:$BH$3,0))+INDEX(Qrtly!$A:$BH,MATCH(Annual!$A71,Qrtly!$A:$A,0),MATCH("3Q"&amp;RIGHT(Annual!R$1,2),Qrtly!$A$3:$BH$3,0))+INDEX(Qrtly!$A:$BH,MATCH(Annual!$A71,Qrtly!$A:$A,0),MATCH("4Q"&amp;RIGHT(Annual!R$1,2),Qrtly!$A$3:$BH$3,0))</f>
        <v>3697204.3116660845</v>
      </c>
      <c r="S71" s="102">
        <f>INDEX(Qrtly!$A:$BH,MATCH(Annual!$A71,Qrtly!$A:$A,0),MATCH("1Q"&amp;RIGHT(Annual!S$1,2),Qrtly!$A$3:$BH$3,0))+INDEX(Qrtly!$A:$BH,MATCH(Annual!$A71,Qrtly!$A:$A,0),MATCH("2Q"&amp;RIGHT(Annual!S$1,2),Qrtly!$A$3:$BH$3,0))+INDEX(Qrtly!$A:$BH,MATCH(Annual!$A71,Qrtly!$A:$A,0),MATCH("3Q"&amp;RIGHT(Annual!S$1,2),Qrtly!$A$3:$BH$3,0))+INDEX(Qrtly!$A:$BH,MATCH(Annual!$A71,Qrtly!$A:$A,0),MATCH("4Q"&amp;RIGHT(Annual!S$1,2),Qrtly!$A$3:$BH$3,0))</f>
        <v>4555587.6131205391</v>
      </c>
      <c r="T71" s="102">
        <f>INDEX(Qrtly!$A:$BH,MATCH(Annual!$A71,Qrtly!$A:$A,0),MATCH("1Q"&amp;RIGHT(Annual!T$1,2),Qrtly!$A$3:$BH$3,0))+INDEX(Qrtly!$A:$BH,MATCH(Annual!$A71,Qrtly!$A:$A,0),MATCH("2Q"&amp;RIGHT(Annual!T$1,2),Qrtly!$A$3:$BH$3,0))+INDEX(Qrtly!$A:$BH,MATCH(Annual!$A71,Qrtly!$A:$A,0),MATCH("3Q"&amp;RIGHT(Annual!T$1,2),Qrtly!$A$3:$BH$3,0))+INDEX(Qrtly!$A:$BH,MATCH(Annual!$A71,Qrtly!$A:$A,0),MATCH("4Q"&amp;RIGHT(Annual!T$1,2),Qrtly!$A$3:$BH$3,0))</f>
        <v>5411463.9746684916</v>
      </c>
      <c r="U71" s="102">
        <f>INDEX(Qrtly!$A:$BH,MATCH(Annual!$A71,Qrtly!$A:$A,0),MATCH("1Q"&amp;RIGHT(Annual!U$1,2),Qrtly!$A$3:$BH$3,0))+INDEX(Qrtly!$A:$BH,MATCH(Annual!$A71,Qrtly!$A:$A,0),MATCH("2Q"&amp;RIGHT(Annual!U$1,2),Qrtly!$A$3:$BH$3,0))+INDEX(Qrtly!$A:$BH,MATCH(Annual!$A71,Qrtly!$A:$A,0),MATCH("3Q"&amp;RIGHT(Annual!U$1,2),Qrtly!$A$3:$BH$3,0))+INDEX(Qrtly!$A:$BH,MATCH(Annual!$A71,Qrtly!$A:$A,0),MATCH("4Q"&amp;RIGHT(Annual!U$1,2),Qrtly!$A$3:$BH$3,0))</f>
        <v>6411984.3553962754</v>
      </c>
      <c r="V71" s="102">
        <f>INDEX(Qrtly!$A:$BH,MATCH(Annual!$A71,Qrtly!$A:$A,0),MATCH("1Q"&amp;RIGHT(Annual!V$1,2),Qrtly!$A$3:$BH$3,0))+INDEX(Qrtly!$A:$BH,MATCH(Annual!$A71,Qrtly!$A:$A,0),MATCH("2Q"&amp;RIGHT(Annual!V$1,2),Qrtly!$A$3:$BH$3,0))+INDEX(Qrtly!$A:$BH,MATCH(Annual!$A71,Qrtly!$A:$A,0),MATCH("3Q"&amp;RIGHT(Annual!V$1,2),Qrtly!$A$3:$BH$3,0))+INDEX(Qrtly!$A:$BH,MATCH(Annual!$A71,Qrtly!$A:$A,0),MATCH("4Q"&amp;RIGHT(Annual!V$1,2),Qrtly!$A$3:$BH$3,0))</f>
        <v>7587335.3345764633</v>
      </c>
      <c r="W71" s="102">
        <f>INDEX(Qrtly!$A:$BH,MATCH(Annual!$A71,Qrtly!$A:$A,0),MATCH("1Q"&amp;RIGHT(Annual!W$1,2),Qrtly!$A$3:$BH$3,0))+INDEX(Qrtly!$A:$BH,MATCH(Annual!$A71,Qrtly!$A:$A,0),MATCH("2Q"&amp;RIGHT(Annual!W$1,2),Qrtly!$A$3:$BH$3,0))+INDEX(Qrtly!$A:$BH,MATCH(Annual!$A71,Qrtly!$A:$A,0),MATCH("3Q"&amp;RIGHT(Annual!W$1,2),Qrtly!$A$3:$BH$3,0))+INDEX(Qrtly!$A:$BH,MATCH(Annual!$A71,Qrtly!$A:$A,0),MATCH("4Q"&amp;RIGHT(Annual!W$1,2),Qrtly!$A$3:$BH$3,0))</f>
        <v>8975086.5434652418</v>
      </c>
      <c r="X71" s="102">
        <f>INDEX(Qrtly!$A:$BH,MATCH(Annual!$A71,Qrtly!$A:$A,0),MATCH("1Q"&amp;RIGHT(Annual!X$1,2),Qrtly!$A$3:$BH$3,0))+INDEX(Qrtly!$A:$BH,MATCH(Annual!$A71,Qrtly!$A:$A,0),MATCH("2Q"&amp;RIGHT(Annual!X$1,2),Qrtly!$A$3:$BH$3,0))+INDEX(Qrtly!$A:$BH,MATCH(Annual!$A71,Qrtly!$A:$A,0),MATCH("3Q"&amp;RIGHT(Annual!X$1,2),Qrtly!$A$3:$BH$3,0))+INDEX(Qrtly!$A:$BH,MATCH(Annual!$A71,Qrtly!$A:$A,0),MATCH("4Q"&amp;RIGHT(Annual!X$1,2),Qrtly!$A$3:$BH$3,0))</f>
        <v>10622103.593050823</v>
      </c>
      <c r="Y71" s="102">
        <f>INDEX(Qrtly!$A:$BH,MATCH(Annual!$A71,Qrtly!$A:$A,0),MATCH("1Q"&amp;RIGHT(Annual!Y$1,2),Qrtly!$A$3:$BH$3,0))+INDEX(Qrtly!$A:$BH,MATCH(Annual!$A71,Qrtly!$A:$A,0),MATCH("2Q"&amp;RIGHT(Annual!Y$1,2),Qrtly!$A$3:$BH$3,0))+INDEX(Qrtly!$A:$BH,MATCH(Annual!$A71,Qrtly!$A:$A,0),MATCH("3Q"&amp;RIGHT(Annual!Y$1,2),Qrtly!$A$3:$BH$3,0))+INDEX(Qrtly!$A:$BH,MATCH(Annual!$A71,Qrtly!$A:$A,0),MATCH("4Q"&amp;RIGHT(Annual!Y$1,2),Qrtly!$A$3:$BH$3,0))</f>
        <v>12586970.35008648</v>
      </c>
      <c r="Z71" s="102">
        <f>INDEX(Qrtly!$A:$BH,MATCH(Annual!$A71,Qrtly!$A:$A,0),MATCH("1Q"&amp;RIGHT(Annual!Z$1,2),Qrtly!$A$3:$BH$3,0))+INDEX(Qrtly!$A:$BH,MATCH(Annual!$A71,Qrtly!$A:$A,0),MATCH("2Q"&amp;RIGHT(Annual!Z$1,2),Qrtly!$A$3:$BH$3,0))+INDEX(Qrtly!$A:$BH,MATCH(Annual!$A71,Qrtly!$A:$A,0),MATCH("3Q"&amp;RIGHT(Annual!Z$1,2),Qrtly!$A$3:$BH$3,0))+INDEX(Qrtly!$A:$BH,MATCH(Annual!$A71,Qrtly!$A:$A,0),MATCH("4Q"&amp;RIGHT(Annual!Z$1,2),Qrtly!$A$3:$BH$3,0))</f>
        <v>14943028.252012055</v>
      </c>
      <c r="AA71" s="1"/>
      <c r="AB71" s="1"/>
      <c r="AC71" s="103">
        <v>1994894.8416243321</v>
      </c>
      <c r="AD71" s="104">
        <f t="shared" si="11"/>
        <v>-12114.943249489646</v>
      </c>
      <c r="AE71" s="103">
        <v>2873066.062264991</v>
      </c>
      <c r="AF71" s="104">
        <f t="shared" ref="AF71" si="99">IF(ISBLANK(AE71),"",INDEX($A71:$AA71,1,MATCH(AE$3,$A$3:$AA$3,0))-AE71)</f>
        <v>-10569.528229137883</v>
      </c>
      <c r="AG71" s="1"/>
      <c r="AH71" s="1"/>
      <c r="AI71" s="1"/>
      <c r="AJ71" s="1"/>
    </row>
    <row r="72" spans="1:36" x14ac:dyDescent="0.25">
      <c r="A72" s="82"/>
      <c r="B72" s="92"/>
      <c r="C72" s="93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1"/>
      <c r="AB72" s="1"/>
      <c r="AC72" s="90"/>
      <c r="AD72" s="91" t="str">
        <f t="shared" si="11"/>
        <v/>
      </c>
      <c r="AE72" s="90"/>
      <c r="AF72" s="91" t="str">
        <f t="shared" ref="AF72" si="100">IF(ISBLANK(AE72),"",INDEX($A72:$AA72,1,MATCH(AE$3,$A$3:$AA$3,0))-AE72)</f>
        <v/>
      </c>
      <c r="AG72" s="1"/>
      <c r="AH72" s="1"/>
      <c r="AI72" s="1"/>
      <c r="AJ72" s="1"/>
    </row>
    <row r="73" spans="1:36" x14ac:dyDescent="0.25">
      <c r="A73" s="82"/>
      <c r="B73" s="95" t="s">
        <v>96</v>
      </c>
      <c r="C73" s="13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1"/>
      <c r="AB73" s="1"/>
      <c r="AC73" s="90"/>
      <c r="AD73" s="91" t="str">
        <f t="shared" si="11"/>
        <v/>
      </c>
      <c r="AE73" s="90"/>
      <c r="AF73" s="91" t="str">
        <f t="shared" ref="AF73" si="101">IF(ISBLANK(AE73),"",INDEX($A73:$AA73,1,MATCH(AE$3,$A$3:$AA$3,0))-AE73)</f>
        <v/>
      </c>
      <c r="AG73" s="1"/>
      <c r="AH73" s="1"/>
      <c r="AI73" s="1"/>
      <c r="AJ73" s="1"/>
    </row>
    <row r="74" spans="1:36" x14ac:dyDescent="0.25">
      <c r="A74" s="82" t="s">
        <v>349</v>
      </c>
      <c r="B74" s="92" t="s">
        <v>350</v>
      </c>
      <c r="C74" s="131"/>
      <c r="D74" s="2"/>
      <c r="E74" s="2"/>
      <c r="F74" s="137">
        <v>3746</v>
      </c>
      <c r="G74" s="137">
        <v>1917</v>
      </c>
      <c r="H74" s="2">
        <v>149</v>
      </c>
      <c r="I74" s="137">
        <v>2326</v>
      </c>
      <c r="J74" s="137">
        <v>2767</v>
      </c>
      <c r="K74" s="137">
        <v>2862</v>
      </c>
      <c r="L74" s="137">
        <v>-1364</v>
      </c>
      <c r="M74" s="137">
        <v>-12312</v>
      </c>
      <c r="N74" s="137">
        <v>-8019</v>
      </c>
      <c r="O74" s="137">
        <f>INDEX(Qrtly!$A:$BH,MATCH(Annual!$A74,Qrtly!$A:$A,0),MATCH("1Q"&amp;RIGHT(Annual!O$1,2),Qrtly!$A$3:$BH$3,0))+INDEX(Qrtly!$A:$BH,MATCH(Annual!$A74,Qrtly!$A:$A,0),MATCH("2Q"&amp;RIGHT(Annual!O$1,2),Qrtly!$A$3:$BH$3,0))+INDEX(Qrtly!$A:$BH,MATCH(Annual!$A74,Qrtly!$A:$A,0),MATCH("3Q"&amp;RIGHT(Annual!O$1,2),Qrtly!$A$3:$BH$3,0))+INDEX(Qrtly!$A:$BH,MATCH(Annual!$A74,Qrtly!$A:$A,0),MATCH("4Q"&amp;RIGHT(Annual!O$1,2),Qrtly!$A$3:$BH$3,0))</f>
        <v>-1509343</v>
      </c>
      <c r="P74" s="137">
        <f>INDEX(Qrtly!$A:$BH,MATCH(Annual!$A74,Qrtly!$A:$A,0),MATCH("1Q"&amp;RIGHT(Annual!P$1,2),Qrtly!$A$3:$BH$3,0))+INDEX(Qrtly!$A:$BH,MATCH(Annual!$A74,Qrtly!$A:$A,0),MATCH("2Q"&amp;RIGHT(Annual!P$1,2),Qrtly!$A$3:$BH$3,0))+INDEX(Qrtly!$A:$BH,MATCH(Annual!$A74,Qrtly!$A:$A,0),MATCH("3Q"&amp;RIGHT(Annual!P$1,2),Qrtly!$A$3:$BH$3,0))+INDEX(Qrtly!$A:$BH,MATCH(Annual!$A74,Qrtly!$A:$A,0),MATCH("4Q"&amp;RIGHT(Annual!P$1,2),Qrtly!$A$3:$BH$3,0))</f>
        <v>299304</v>
      </c>
      <c r="Q74" s="137">
        <f>INDEX(Qrtly!$A:$BH,MATCH(Annual!$A74,Qrtly!$A:$A,0),MATCH("1Q"&amp;RIGHT(Annual!Q$1,2),Qrtly!$A$3:$BH$3,0))+INDEX(Qrtly!$A:$BH,MATCH(Annual!$A74,Qrtly!$A:$A,0),MATCH("2Q"&amp;RIGHT(Annual!Q$1,2),Qrtly!$A$3:$BH$3,0))+INDEX(Qrtly!$A:$BH,MATCH(Annual!$A74,Qrtly!$A:$A,0),MATCH("3Q"&amp;RIGHT(Annual!Q$1,2),Qrtly!$A$3:$BH$3,0))+INDEX(Qrtly!$A:$BH,MATCH(Annual!$A74,Qrtly!$A:$A,0),MATCH("4Q"&amp;RIGHT(Annual!Q$1,2),Qrtly!$A$3:$BH$3,0))</f>
        <v>0</v>
      </c>
      <c r="R74" s="137">
        <f>INDEX(Qrtly!$A:$BH,MATCH(Annual!$A74,Qrtly!$A:$A,0),MATCH("1Q"&amp;RIGHT(Annual!R$1,2),Qrtly!$A$3:$BH$3,0))+INDEX(Qrtly!$A:$BH,MATCH(Annual!$A74,Qrtly!$A:$A,0),MATCH("2Q"&amp;RIGHT(Annual!R$1,2),Qrtly!$A$3:$BH$3,0))+INDEX(Qrtly!$A:$BH,MATCH(Annual!$A74,Qrtly!$A:$A,0),MATCH("3Q"&amp;RIGHT(Annual!R$1,2),Qrtly!$A$3:$BH$3,0))+INDEX(Qrtly!$A:$BH,MATCH(Annual!$A74,Qrtly!$A:$A,0),MATCH("4Q"&amp;RIGHT(Annual!R$1,2),Qrtly!$A$3:$BH$3,0))</f>
        <v>0</v>
      </c>
      <c r="S74" s="137">
        <f>INDEX(Qrtly!$A:$BH,MATCH(Annual!$A74,Qrtly!$A:$A,0),MATCH("1Q"&amp;RIGHT(Annual!S$1,2),Qrtly!$A$3:$BH$3,0))+INDEX(Qrtly!$A:$BH,MATCH(Annual!$A74,Qrtly!$A:$A,0),MATCH("2Q"&amp;RIGHT(Annual!S$1,2),Qrtly!$A$3:$BH$3,0))+INDEX(Qrtly!$A:$BH,MATCH(Annual!$A74,Qrtly!$A:$A,0),MATCH("3Q"&amp;RIGHT(Annual!S$1,2),Qrtly!$A$3:$BH$3,0))+INDEX(Qrtly!$A:$BH,MATCH(Annual!$A74,Qrtly!$A:$A,0),MATCH("4Q"&amp;RIGHT(Annual!S$1,2),Qrtly!$A$3:$BH$3,0))</f>
        <v>0</v>
      </c>
      <c r="T74" s="137">
        <f>INDEX(Qrtly!$A:$BH,MATCH(Annual!$A74,Qrtly!$A:$A,0),MATCH("1Q"&amp;RIGHT(Annual!T$1,2),Qrtly!$A$3:$BH$3,0))+INDEX(Qrtly!$A:$BH,MATCH(Annual!$A74,Qrtly!$A:$A,0),MATCH("2Q"&amp;RIGHT(Annual!T$1,2),Qrtly!$A$3:$BH$3,0))+INDEX(Qrtly!$A:$BH,MATCH(Annual!$A74,Qrtly!$A:$A,0),MATCH("3Q"&amp;RIGHT(Annual!T$1,2),Qrtly!$A$3:$BH$3,0))+INDEX(Qrtly!$A:$BH,MATCH(Annual!$A74,Qrtly!$A:$A,0),MATCH("4Q"&amp;RIGHT(Annual!T$1,2),Qrtly!$A$3:$BH$3,0))</f>
        <v>0</v>
      </c>
      <c r="U74" s="137">
        <f>INDEX(Qrtly!$A:$BH,MATCH(Annual!$A74,Qrtly!$A:$A,0),MATCH("1Q"&amp;RIGHT(Annual!U$1,2),Qrtly!$A$3:$BH$3,0))+INDEX(Qrtly!$A:$BH,MATCH(Annual!$A74,Qrtly!$A:$A,0),MATCH("2Q"&amp;RIGHT(Annual!U$1,2),Qrtly!$A$3:$BH$3,0))+INDEX(Qrtly!$A:$BH,MATCH(Annual!$A74,Qrtly!$A:$A,0),MATCH("3Q"&amp;RIGHT(Annual!U$1,2),Qrtly!$A$3:$BH$3,0))+INDEX(Qrtly!$A:$BH,MATCH(Annual!$A74,Qrtly!$A:$A,0),MATCH("4Q"&amp;RIGHT(Annual!U$1,2),Qrtly!$A$3:$BH$3,0))</f>
        <v>0</v>
      </c>
      <c r="V74" s="137">
        <f>INDEX(Qrtly!$A:$BH,MATCH(Annual!$A74,Qrtly!$A:$A,0),MATCH("1Q"&amp;RIGHT(Annual!V$1,2),Qrtly!$A$3:$BH$3,0))+INDEX(Qrtly!$A:$BH,MATCH(Annual!$A74,Qrtly!$A:$A,0),MATCH("2Q"&amp;RIGHT(Annual!V$1,2),Qrtly!$A$3:$BH$3,0))+INDEX(Qrtly!$A:$BH,MATCH(Annual!$A74,Qrtly!$A:$A,0),MATCH("3Q"&amp;RIGHT(Annual!V$1,2),Qrtly!$A$3:$BH$3,0))+INDEX(Qrtly!$A:$BH,MATCH(Annual!$A74,Qrtly!$A:$A,0),MATCH("4Q"&amp;RIGHT(Annual!V$1,2),Qrtly!$A$3:$BH$3,0))</f>
        <v>0</v>
      </c>
      <c r="W74" s="137">
        <f>INDEX(Qrtly!$A:$BH,MATCH(Annual!$A74,Qrtly!$A:$A,0),MATCH("1Q"&amp;RIGHT(Annual!W$1,2),Qrtly!$A$3:$BH$3,0))+INDEX(Qrtly!$A:$BH,MATCH(Annual!$A74,Qrtly!$A:$A,0),MATCH("2Q"&amp;RIGHT(Annual!W$1,2),Qrtly!$A$3:$BH$3,0))+INDEX(Qrtly!$A:$BH,MATCH(Annual!$A74,Qrtly!$A:$A,0),MATCH("3Q"&amp;RIGHT(Annual!W$1,2),Qrtly!$A$3:$BH$3,0))+INDEX(Qrtly!$A:$BH,MATCH(Annual!$A74,Qrtly!$A:$A,0),MATCH("4Q"&amp;RIGHT(Annual!W$1,2),Qrtly!$A$3:$BH$3,0))</f>
        <v>0</v>
      </c>
      <c r="X74" s="137">
        <f>INDEX(Qrtly!$A:$BH,MATCH(Annual!$A74,Qrtly!$A:$A,0),MATCH("1Q"&amp;RIGHT(Annual!X$1,2),Qrtly!$A$3:$BH$3,0))+INDEX(Qrtly!$A:$BH,MATCH(Annual!$A74,Qrtly!$A:$A,0),MATCH("2Q"&amp;RIGHT(Annual!X$1,2),Qrtly!$A$3:$BH$3,0))+INDEX(Qrtly!$A:$BH,MATCH(Annual!$A74,Qrtly!$A:$A,0),MATCH("3Q"&amp;RIGHT(Annual!X$1,2),Qrtly!$A$3:$BH$3,0))+INDEX(Qrtly!$A:$BH,MATCH(Annual!$A74,Qrtly!$A:$A,0),MATCH("4Q"&amp;RIGHT(Annual!X$1,2),Qrtly!$A$3:$BH$3,0))</f>
        <v>0</v>
      </c>
      <c r="Y74" s="137">
        <f>INDEX(Qrtly!$A:$BH,MATCH(Annual!$A74,Qrtly!$A:$A,0),MATCH("1Q"&amp;RIGHT(Annual!Y$1,2),Qrtly!$A$3:$BH$3,0))+INDEX(Qrtly!$A:$BH,MATCH(Annual!$A74,Qrtly!$A:$A,0),MATCH("2Q"&amp;RIGHT(Annual!Y$1,2),Qrtly!$A$3:$BH$3,0))+INDEX(Qrtly!$A:$BH,MATCH(Annual!$A74,Qrtly!$A:$A,0),MATCH("3Q"&amp;RIGHT(Annual!Y$1,2),Qrtly!$A$3:$BH$3,0))+INDEX(Qrtly!$A:$BH,MATCH(Annual!$A74,Qrtly!$A:$A,0),MATCH("4Q"&amp;RIGHT(Annual!Y$1,2),Qrtly!$A$3:$BH$3,0))</f>
        <v>0</v>
      </c>
      <c r="Z74" s="137">
        <f>INDEX(Qrtly!$A:$BH,MATCH(Annual!$A74,Qrtly!$A:$A,0),MATCH("1Q"&amp;RIGHT(Annual!Z$1,2),Qrtly!$A$3:$BH$3,0))+INDEX(Qrtly!$A:$BH,MATCH(Annual!$A74,Qrtly!$A:$A,0),MATCH("2Q"&amp;RIGHT(Annual!Z$1,2),Qrtly!$A$3:$BH$3,0))+INDEX(Qrtly!$A:$BH,MATCH(Annual!$A74,Qrtly!$A:$A,0),MATCH("3Q"&amp;RIGHT(Annual!Z$1,2),Qrtly!$A$3:$BH$3,0))+INDEX(Qrtly!$A:$BH,MATCH(Annual!$A74,Qrtly!$A:$A,0),MATCH("4Q"&amp;RIGHT(Annual!Z$1,2),Qrtly!$A$3:$BH$3,0))</f>
        <v>0</v>
      </c>
      <c r="AA74" s="1"/>
      <c r="AB74" s="1"/>
      <c r="AC74" s="90">
        <v>159376</v>
      </c>
      <c r="AD74" s="91">
        <f t="shared" si="11"/>
        <v>139928</v>
      </c>
      <c r="AE74" s="90">
        <v>0</v>
      </c>
      <c r="AF74" s="91">
        <f t="shared" ref="AF74" si="102">IF(ISBLANK(AE74),"",INDEX($A74:$AA74,1,MATCH(AE$3,$A$3:$AA$3,0))-AE74)</f>
        <v>0</v>
      </c>
      <c r="AG74" s="1"/>
      <c r="AH74" s="1"/>
      <c r="AI74" s="1"/>
      <c r="AJ74" s="1"/>
    </row>
    <row r="75" spans="1:36" x14ac:dyDescent="0.25">
      <c r="A75" s="82" t="s">
        <v>351</v>
      </c>
      <c r="B75" s="92" t="s">
        <v>352</v>
      </c>
      <c r="C75" s="131"/>
      <c r="D75" s="2"/>
      <c r="E75" s="2"/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137">
        <v>-264523</v>
      </c>
      <c r="N75" s="137">
        <v>-582703</v>
      </c>
      <c r="O75" s="137">
        <f>INDEX(Qrtly!$A:$BH,MATCH(Annual!$A75,Qrtly!$A:$A,0),MATCH("1Q"&amp;RIGHT(Annual!O$1,2),Qrtly!$A$3:$BH$3,0))+INDEX(Qrtly!$A:$BH,MATCH(Annual!$A75,Qrtly!$A:$A,0),MATCH("2Q"&amp;RIGHT(Annual!O$1,2),Qrtly!$A$3:$BH$3,0))+INDEX(Qrtly!$A:$BH,MATCH(Annual!$A75,Qrtly!$A:$A,0),MATCH("3Q"&amp;RIGHT(Annual!O$1,2),Qrtly!$A$3:$BH$3,0))+INDEX(Qrtly!$A:$BH,MATCH(Annual!$A75,Qrtly!$A:$A,0),MATCH("4Q"&amp;RIGHT(Annual!O$1,2),Qrtly!$A$3:$BH$3,0))</f>
        <v>-2270630</v>
      </c>
      <c r="P75" s="137">
        <f>INDEX(Qrtly!$A:$BH,MATCH(Annual!$A75,Qrtly!$A:$A,0),MATCH("1Q"&amp;RIGHT(Annual!P$1,2),Qrtly!$A$3:$BH$3,0))+INDEX(Qrtly!$A:$BH,MATCH(Annual!$A75,Qrtly!$A:$A,0),MATCH("2Q"&amp;RIGHT(Annual!P$1,2),Qrtly!$A$3:$BH$3,0))+INDEX(Qrtly!$A:$BH,MATCH(Annual!$A75,Qrtly!$A:$A,0),MATCH("3Q"&amp;RIGHT(Annual!P$1,2),Qrtly!$A$3:$BH$3,0))+INDEX(Qrtly!$A:$BH,MATCH(Annual!$A75,Qrtly!$A:$A,0),MATCH("4Q"&amp;RIGHT(Annual!P$1,2),Qrtly!$A$3:$BH$3,0))</f>
        <v>-46409</v>
      </c>
      <c r="Q75" s="137">
        <f>INDEX(Qrtly!$A:$BH,MATCH(Annual!$A75,Qrtly!$A:$A,0),MATCH("1Q"&amp;RIGHT(Annual!Q$1,2),Qrtly!$A$3:$BH$3,0))+INDEX(Qrtly!$A:$BH,MATCH(Annual!$A75,Qrtly!$A:$A,0),MATCH("2Q"&amp;RIGHT(Annual!Q$1,2),Qrtly!$A$3:$BH$3,0))+INDEX(Qrtly!$A:$BH,MATCH(Annual!$A75,Qrtly!$A:$A,0),MATCH("3Q"&amp;RIGHT(Annual!Q$1,2),Qrtly!$A$3:$BH$3,0))+INDEX(Qrtly!$A:$BH,MATCH(Annual!$A75,Qrtly!$A:$A,0),MATCH("4Q"&amp;RIGHT(Annual!Q$1,2),Qrtly!$A$3:$BH$3,0))</f>
        <v>0</v>
      </c>
      <c r="R75" s="137">
        <f>INDEX(Qrtly!$A:$BH,MATCH(Annual!$A75,Qrtly!$A:$A,0),MATCH("1Q"&amp;RIGHT(Annual!R$1,2),Qrtly!$A$3:$BH$3,0))+INDEX(Qrtly!$A:$BH,MATCH(Annual!$A75,Qrtly!$A:$A,0),MATCH("2Q"&amp;RIGHT(Annual!R$1,2),Qrtly!$A$3:$BH$3,0))+INDEX(Qrtly!$A:$BH,MATCH(Annual!$A75,Qrtly!$A:$A,0),MATCH("3Q"&amp;RIGHT(Annual!R$1,2),Qrtly!$A$3:$BH$3,0))+INDEX(Qrtly!$A:$BH,MATCH(Annual!$A75,Qrtly!$A:$A,0),MATCH("4Q"&amp;RIGHT(Annual!R$1,2),Qrtly!$A$3:$BH$3,0))</f>
        <v>0</v>
      </c>
      <c r="S75" s="137">
        <f>INDEX(Qrtly!$A:$BH,MATCH(Annual!$A75,Qrtly!$A:$A,0),MATCH("1Q"&amp;RIGHT(Annual!S$1,2),Qrtly!$A$3:$BH$3,0))+INDEX(Qrtly!$A:$BH,MATCH(Annual!$A75,Qrtly!$A:$A,0),MATCH("2Q"&amp;RIGHT(Annual!S$1,2),Qrtly!$A$3:$BH$3,0))+INDEX(Qrtly!$A:$BH,MATCH(Annual!$A75,Qrtly!$A:$A,0),MATCH("3Q"&amp;RIGHT(Annual!S$1,2),Qrtly!$A$3:$BH$3,0))+INDEX(Qrtly!$A:$BH,MATCH(Annual!$A75,Qrtly!$A:$A,0),MATCH("4Q"&amp;RIGHT(Annual!S$1,2),Qrtly!$A$3:$BH$3,0))</f>
        <v>0</v>
      </c>
      <c r="T75" s="137">
        <f>INDEX(Qrtly!$A:$BH,MATCH(Annual!$A75,Qrtly!$A:$A,0),MATCH("1Q"&amp;RIGHT(Annual!T$1,2),Qrtly!$A$3:$BH$3,0))+INDEX(Qrtly!$A:$BH,MATCH(Annual!$A75,Qrtly!$A:$A,0),MATCH("2Q"&amp;RIGHT(Annual!T$1,2),Qrtly!$A$3:$BH$3,0))+INDEX(Qrtly!$A:$BH,MATCH(Annual!$A75,Qrtly!$A:$A,0),MATCH("3Q"&amp;RIGHT(Annual!T$1,2),Qrtly!$A$3:$BH$3,0))+INDEX(Qrtly!$A:$BH,MATCH(Annual!$A75,Qrtly!$A:$A,0),MATCH("4Q"&amp;RIGHT(Annual!T$1,2),Qrtly!$A$3:$BH$3,0))</f>
        <v>0</v>
      </c>
      <c r="U75" s="137">
        <f>INDEX(Qrtly!$A:$BH,MATCH(Annual!$A75,Qrtly!$A:$A,0),MATCH("1Q"&amp;RIGHT(Annual!U$1,2),Qrtly!$A$3:$BH$3,0))+INDEX(Qrtly!$A:$BH,MATCH(Annual!$A75,Qrtly!$A:$A,0),MATCH("2Q"&amp;RIGHT(Annual!U$1,2),Qrtly!$A$3:$BH$3,0))+INDEX(Qrtly!$A:$BH,MATCH(Annual!$A75,Qrtly!$A:$A,0),MATCH("3Q"&amp;RIGHT(Annual!U$1,2),Qrtly!$A$3:$BH$3,0))+INDEX(Qrtly!$A:$BH,MATCH(Annual!$A75,Qrtly!$A:$A,0),MATCH("4Q"&amp;RIGHT(Annual!U$1,2),Qrtly!$A$3:$BH$3,0))</f>
        <v>0</v>
      </c>
      <c r="V75" s="137">
        <f>INDEX(Qrtly!$A:$BH,MATCH(Annual!$A75,Qrtly!$A:$A,0),MATCH("1Q"&amp;RIGHT(Annual!V$1,2),Qrtly!$A$3:$BH$3,0))+INDEX(Qrtly!$A:$BH,MATCH(Annual!$A75,Qrtly!$A:$A,0),MATCH("2Q"&amp;RIGHT(Annual!V$1,2),Qrtly!$A$3:$BH$3,0))+INDEX(Qrtly!$A:$BH,MATCH(Annual!$A75,Qrtly!$A:$A,0),MATCH("3Q"&amp;RIGHT(Annual!V$1,2),Qrtly!$A$3:$BH$3,0))+INDEX(Qrtly!$A:$BH,MATCH(Annual!$A75,Qrtly!$A:$A,0),MATCH("4Q"&amp;RIGHT(Annual!V$1,2),Qrtly!$A$3:$BH$3,0))</f>
        <v>0</v>
      </c>
      <c r="W75" s="137">
        <f>INDEX(Qrtly!$A:$BH,MATCH(Annual!$A75,Qrtly!$A:$A,0),MATCH("1Q"&amp;RIGHT(Annual!W$1,2),Qrtly!$A$3:$BH$3,0))+INDEX(Qrtly!$A:$BH,MATCH(Annual!$A75,Qrtly!$A:$A,0),MATCH("2Q"&amp;RIGHT(Annual!W$1,2),Qrtly!$A$3:$BH$3,0))+INDEX(Qrtly!$A:$BH,MATCH(Annual!$A75,Qrtly!$A:$A,0),MATCH("3Q"&amp;RIGHT(Annual!W$1,2),Qrtly!$A$3:$BH$3,0))+INDEX(Qrtly!$A:$BH,MATCH(Annual!$A75,Qrtly!$A:$A,0),MATCH("4Q"&amp;RIGHT(Annual!W$1,2),Qrtly!$A$3:$BH$3,0))</f>
        <v>0</v>
      </c>
      <c r="X75" s="137">
        <f>INDEX(Qrtly!$A:$BH,MATCH(Annual!$A75,Qrtly!$A:$A,0),MATCH("1Q"&amp;RIGHT(Annual!X$1,2),Qrtly!$A$3:$BH$3,0))+INDEX(Qrtly!$A:$BH,MATCH(Annual!$A75,Qrtly!$A:$A,0),MATCH("2Q"&amp;RIGHT(Annual!X$1,2),Qrtly!$A$3:$BH$3,0))+INDEX(Qrtly!$A:$BH,MATCH(Annual!$A75,Qrtly!$A:$A,0),MATCH("3Q"&amp;RIGHT(Annual!X$1,2),Qrtly!$A$3:$BH$3,0))+INDEX(Qrtly!$A:$BH,MATCH(Annual!$A75,Qrtly!$A:$A,0),MATCH("4Q"&amp;RIGHT(Annual!X$1,2),Qrtly!$A$3:$BH$3,0))</f>
        <v>0</v>
      </c>
      <c r="Y75" s="137">
        <f>INDEX(Qrtly!$A:$BH,MATCH(Annual!$A75,Qrtly!$A:$A,0),MATCH("1Q"&amp;RIGHT(Annual!Y$1,2),Qrtly!$A$3:$BH$3,0))+INDEX(Qrtly!$A:$BH,MATCH(Annual!$A75,Qrtly!$A:$A,0),MATCH("2Q"&amp;RIGHT(Annual!Y$1,2),Qrtly!$A$3:$BH$3,0))+INDEX(Qrtly!$A:$BH,MATCH(Annual!$A75,Qrtly!$A:$A,0),MATCH("3Q"&amp;RIGHT(Annual!Y$1,2),Qrtly!$A$3:$BH$3,0))+INDEX(Qrtly!$A:$BH,MATCH(Annual!$A75,Qrtly!$A:$A,0),MATCH("4Q"&amp;RIGHT(Annual!Y$1,2),Qrtly!$A$3:$BH$3,0))</f>
        <v>0</v>
      </c>
      <c r="Z75" s="137">
        <f>INDEX(Qrtly!$A:$BH,MATCH(Annual!$A75,Qrtly!$A:$A,0),MATCH("1Q"&amp;RIGHT(Annual!Z$1,2),Qrtly!$A$3:$BH$3,0))+INDEX(Qrtly!$A:$BH,MATCH(Annual!$A75,Qrtly!$A:$A,0),MATCH("2Q"&amp;RIGHT(Annual!Z$1,2),Qrtly!$A$3:$BH$3,0))+INDEX(Qrtly!$A:$BH,MATCH(Annual!$A75,Qrtly!$A:$A,0),MATCH("3Q"&amp;RIGHT(Annual!Z$1,2),Qrtly!$A$3:$BH$3,0))+INDEX(Qrtly!$A:$BH,MATCH(Annual!$A75,Qrtly!$A:$A,0),MATCH("4Q"&amp;RIGHT(Annual!Z$1,2),Qrtly!$A$3:$BH$3,0))</f>
        <v>0</v>
      </c>
      <c r="AA75" s="1"/>
      <c r="AB75" s="1"/>
      <c r="AC75" s="90">
        <v>-77433</v>
      </c>
      <c r="AD75" s="91">
        <f t="shared" si="11"/>
        <v>31024</v>
      </c>
      <c r="AE75" s="90">
        <v>0</v>
      </c>
      <c r="AF75" s="91">
        <f t="shared" ref="AF75" si="103">IF(ISBLANK(AE75),"",INDEX($A75:$AA75,1,MATCH(AE$3,$A$3:$AA$3,0))-AE75)</f>
        <v>0</v>
      </c>
      <c r="AG75" s="1"/>
      <c r="AH75" s="1"/>
      <c r="AI75" s="1"/>
      <c r="AJ75" s="1"/>
    </row>
    <row r="76" spans="1:36" x14ac:dyDescent="0.25">
      <c r="A76" s="82" t="s">
        <v>353</v>
      </c>
      <c r="B76" s="100" t="s">
        <v>354</v>
      </c>
      <c r="C76" s="5" t="s">
        <v>298</v>
      </c>
      <c r="D76" s="118"/>
      <c r="E76" s="119"/>
      <c r="F76" s="102">
        <v>3746</v>
      </c>
      <c r="G76" s="102">
        <v>1917</v>
      </c>
      <c r="H76" s="101">
        <v>149</v>
      </c>
      <c r="I76" s="102">
        <v>2326</v>
      </c>
      <c r="J76" s="102">
        <v>2767</v>
      </c>
      <c r="K76" s="102">
        <v>2862</v>
      </c>
      <c r="L76" s="102">
        <v>-1364</v>
      </c>
      <c r="M76" s="102">
        <v>252211</v>
      </c>
      <c r="N76" s="102">
        <v>574684</v>
      </c>
      <c r="O76" s="102">
        <f>INDEX(Qrtly!$A:$BH,MATCH(Annual!$A76,Qrtly!$A:$A,0),MATCH("1Q"&amp;RIGHT(Annual!O$1,2),Qrtly!$A$3:$BH$3,0))+INDEX(Qrtly!$A:$BH,MATCH(Annual!$A76,Qrtly!$A:$A,0),MATCH("2Q"&amp;RIGHT(Annual!O$1,2),Qrtly!$A$3:$BH$3,0))+INDEX(Qrtly!$A:$BH,MATCH(Annual!$A76,Qrtly!$A:$A,0),MATCH("3Q"&amp;RIGHT(Annual!O$1,2),Qrtly!$A$3:$BH$3,0))+INDEX(Qrtly!$A:$BH,MATCH(Annual!$A76,Qrtly!$A:$A,0),MATCH("4Q"&amp;RIGHT(Annual!O$1,2),Qrtly!$A$3:$BH$3,0))</f>
        <v>761287</v>
      </c>
      <c r="P76" s="102">
        <f>INDEX(Qrtly!$A:$BH,MATCH(Annual!$A76,Qrtly!$A:$A,0),MATCH("1Q"&amp;RIGHT(Annual!P$1,2),Qrtly!$A$3:$BH$3,0))+INDEX(Qrtly!$A:$BH,MATCH(Annual!$A76,Qrtly!$A:$A,0),MATCH("2Q"&amp;RIGHT(Annual!P$1,2),Qrtly!$A$3:$BH$3,0))+INDEX(Qrtly!$A:$BH,MATCH(Annual!$A76,Qrtly!$A:$A,0),MATCH("3Q"&amp;RIGHT(Annual!P$1,2),Qrtly!$A$3:$BH$3,0))+INDEX(Qrtly!$A:$BH,MATCH(Annual!$A76,Qrtly!$A:$A,0),MATCH("4Q"&amp;RIGHT(Annual!P$1,2),Qrtly!$A$3:$BH$3,0))</f>
        <v>485997.97459371062</v>
      </c>
      <c r="Q76" s="102">
        <f>INDEX(Qrtly!$A:$BH,MATCH(Annual!$A76,Qrtly!$A:$A,0),MATCH("1Q"&amp;RIGHT(Annual!Q$1,2),Qrtly!$A$3:$BH$3,0))+INDEX(Qrtly!$A:$BH,MATCH(Annual!$A76,Qrtly!$A:$A,0),MATCH("2Q"&amp;RIGHT(Annual!Q$1,2),Qrtly!$A$3:$BH$3,0))+INDEX(Qrtly!$A:$BH,MATCH(Annual!$A76,Qrtly!$A:$A,0),MATCH("3Q"&amp;RIGHT(Annual!Q$1,2),Qrtly!$A$3:$BH$3,0))+INDEX(Qrtly!$A:$BH,MATCH(Annual!$A76,Qrtly!$A:$A,0),MATCH("4Q"&amp;RIGHT(Annual!Q$1,2),Qrtly!$A$3:$BH$3,0))</f>
        <v>715624.13350896328</v>
      </c>
      <c r="R76" s="102">
        <f>INDEX(Qrtly!$A:$BH,MATCH(Annual!$A76,Qrtly!$A:$A,0),MATCH("1Q"&amp;RIGHT(Annual!R$1,2),Qrtly!$A$3:$BH$3,0))+INDEX(Qrtly!$A:$BH,MATCH(Annual!$A76,Qrtly!$A:$A,0),MATCH("2Q"&amp;RIGHT(Annual!R$1,2),Qrtly!$A$3:$BH$3,0))+INDEX(Qrtly!$A:$BH,MATCH(Annual!$A76,Qrtly!$A:$A,0),MATCH("3Q"&amp;RIGHT(Annual!R$1,2),Qrtly!$A$3:$BH$3,0))+INDEX(Qrtly!$A:$BH,MATCH(Annual!$A76,Qrtly!$A:$A,0),MATCH("4Q"&amp;RIGHT(Annual!R$1,2),Qrtly!$A$3:$BH$3,0))</f>
        <v>924301.07791652111</v>
      </c>
      <c r="S76" s="102">
        <f>INDEX(Qrtly!$A:$BH,MATCH(Annual!$A76,Qrtly!$A:$A,0),MATCH("1Q"&amp;RIGHT(Annual!S$1,2),Qrtly!$A$3:$BH$3,0))+INDEX(Qrtly!$A:$BH,MATCH(Annual!$A76,Qrtly!$A:$A,0),MATCH("2Q"&amp;RIGHT(Annual!S$1,2),Qrtly!$A$3:$BH$3,0))+INDEX(Qrtly!$A:$BH,MATCH(Annual!$A76,Qrtly!$A:$A,0),MATCH("3Q"&amp;RIGHT(Annual!S$1,2),Qrtly!$A$3:$BH$3,0))+INDEX(Qrtly!$A:$BH,MATCH(Annual!$A76,Qrtly!$A:$A,0),MATCH("4Q"&amp;RIGHT(Annual!S$1,2),Qrtly!$A$3:$BH$3,0))</f>
        <v>1138896.9032801348</v>
      </c>
      <c r="T76" s="102">
        <f>INDEX(Qrtly!$A:$BH,MATCH(Annual!$A76,Qrtly!$A:$A,0),MATCH("1Q"&amp;RIGHT(Annual!T$1,2),Qrtly!$A$3:$BH$3,0))+INDEX(Qrtly!$A:$BH,MATCH(Annual!$A76,Qrtly!$A:$A,0),MATCH("2Q"&amp;RIGHT(Annual!T$1,2),Qrtly!$A$3:$BH$3,0))+INDEX(Qrtly!$A:$BH,MATCH(Annual!$A76,Qrtly!$A:$A,0),MATCH("3Q"&amp;RIGHT(Annual!T$1,2),Qrtly!$A$3:$BH$3,0))+INDEX(Qrtly!$A:$BH,MATCH(Annual!$A76,Qrtly!$A:$A,0),MATCH("4Q"&amp;RIGHT(Annual!T$1,2),Qrtly!$A$3:$BH$3,0))</f>
        <v>1352865.9936671229</v>
      </c>
      <c r="U76" s="102">
        <f>INDEX(Qrtly!$A:$BH,MATCH(Annual!$A76,Qrtly!$A:$A,0),MATCH("1Q"&amp;RIGHT(Annual!U$1,2),Qrtly!$A$3:$BH$3,0))+INDEX(Qrtly!$A:$BH,MATCH(Annual!$A76,Qrtly!$A:$A,0),MATCH("2Q"&amp;RIGHT(Annual!U$1,2),Qrtly!$A$3:$BH$3,0))+INDEX(Qrtly!$A:$BH,MATCH(Annual!$A76,Qrtly!$A:$A,0),MATCH("3Q"&amp;RIGHT(Annual!U$1,2),Qrtly!$A$3:$BH$3,0))+INDEX(Qrtly!$A:$BH,MATCH(Annual!$A76,Qrtly!$A:$A,0),MATCH("4Q"&amp;RIGHT(Annual!U$1,2),Qrtly!$A$3:$BH$3,0))</f>
        <v>1602996.0888490689</v>
      </c>
      <c r="V76" s="102">
        <f>INDEX(Qrtly!$A:$BH,MATCH(Annual!$A76,Qrtly!$A:$A,0),MATCH("1Q"&amp;RIGHT(Annual!V$1,2),Qrtly!$A$3:$BH$3,0))+INDEX(Qrtly!$A:$BH,MATCH(Annual!$A76,Qrtly!$A:$A,0),MATCH("2Q"&amp;RIGHT(Annual!V$1,2),Qrtly!$A$3:$BH$3,0))+INDEX(Qrtly!$A:$BH,MATCH(Annual!$A76,Qrtly!$A:$A,0),MATCH("3Q"&amp;RIGHT(Annual!V$1,2),Qrtly!$A$3:$BH$3,0))+INDEX(Qrtly!$A:$BH,MATCH(Annual!$A76,Qrtly!$A:$A,0),MATCH("4Q"&amp;RIGHT(Annual!V$1,2),Qrtly!$A$3:$BH$3,0))</f>
        <v>1896833.8336441158</v>
      </c>
      <c r="W76" s="102">
        <f>INDEX(Qrtly!$A:$BH,MATCH(Annual!$A76,Qrtly!$A:$A,0),MATCH("1Q"&amp;RIGHT(Annual!W$1,2),Qrtly!$A$3:$BH$3,0))+INDEX(Qrtly!$A:$BH,MATCH(Annual!$A76,Qrtly!$A:$A,0),MATCH("2Q"&amp;RIGHT(Annual!W$1,2),Qrtly!$A$3:$BH$3,0))+INDEX(Qrtly!$A:$BH,MATCH(Annual!$A76,Qrtly!$A:$A,0),MATCH("3Q"&amp;RIGHT(Annual!W$1,2),Qrtly!$A$3:$BH$3,0))+INDEX(Qrtly!$A:$BH,MATCH(Annual!$A76,Qrtly!$A:$A,0),MATCH("4Q"&amp;RIGHT(Annual!W$1,2),Qrtly!$A$3:$BH$3,0))</f>
        <v>2243771.6358663104</v>
      </c>
      <c r="X76" s="102">
        <f>INDEX(Qrtly!$A:$BH,MATCH(Annual!$A76,Qrtly!$A:$A,0),MATCH("1Q"&amp;RIGHT(Annual!X$1,2),Qrtly!$A$3:$BH$3,0))+INDEX(Qrtly!$A:$BH,MATCH(Annual!$A76,Qrtly!$A:$A,0),MATCH("2Q"&amp;RIGHT(Annual!X$1,2),Qrtly!$A$3:$BH$3,0))+INDEX(Qrtly!$A:$BH,MATCH(Annual!$A76,Qrtly!$A:$A,0),MATCH("3Q"&amp;RIGHT(Annual!X$1,2),Qrtly!$A$3:$BH$3,0))+INDEX(Qrtly!$A:$BH,MATCH(Annual!$A76,Qrtly!$A:$A,0),MATCH("4Q"&amp;RIGHT(Annual!X$1,2),Qrtly!$A$3:$BH$3,0))</f>
        <v>2655525.8982627057</v>
      </c>
      <c r="Y76" s="102">
        <f>INDEX(Qrtly!$A:$BH,MATCH(Annual!$A76,Qrtly!$A:$A,0),MATCH("1Q"&amp;RIGHT(Annual!Y$1,2),Qrtly!$A$3:$BH$3,0))+INDEX(Qrtly!$A:$BH,MATCH(Annual!$A76,Qrtly!$A:$A,0),MATCH("2Q"&amp;RIGHT(Annual!Y$1,2),Qrtly!$A$3:$BH$3,0))+INDEX(Qrtly!$A:$BH,MATCH(Annual!$A76,Qrtly!$A:$A,0),MATCH("3Q"&amp;RIGHT(Annual!Y$1,2),Qrtly!$A$3:$BH$3,0))+INDEX(Qrtly!$A:$BH,MATCH(Annual!$A76,Qrtly!$A:$A,0),MATCH("4Q"&amp;RIGHT(Annual!Y$1,2),Qrtly!$A$3:$BH$3,0))</f>
        <v>3146742.5875216201</v>
      </c>
      <c r="Z76" s="102">
        <f>INDEX(Qrtly!$A:$BH,MATCH(Annual!$A76,Qrtly!$A:$A,0),MATCH("1Q"&amp;RIGHT(Annual!Z$1,2),Qrtly!$A$3:$BH$3,0))+INDEX(Qrtly!$A:$BH,MATCH(Annual!$A76,Qrtly!$A:$A,0),MATCH("2Q"&amp;RIGHT(Annual!Z$1,2),Qrtly!$A$3:$BH$3,0))+INDEX(Qrtly!$A:$BH,MATCH(Annual!$A76,Qrtly!$A:$A,0),MATCH("3Q"&amp;RIGHT(Annual!Z$1,2),Qrtly!$A$3:$BH$3,0))+INDEX(Qrtly!$A:$BH,MATCH(Annual!$A76,Qrtly!$A:$A,0),MATCH("4Q"&amp;RIGHT(Annual!Z$1,2),Qrtly!$A$3:$BH$3,0))</f>
        <v>3735757.0630030138</v>
      </c>
      <c r="AA76" s="1"/>
      <c r="AB76" s="1"/>
      <c r="AC76" s="103">
        <v>448340.52515735308</v>
      </c>
      <c r="AD76" s="104">
        <f t="shared" si="11"/>
        <v>37657.449436357536</v>
      </c>
      <c r="AE76" s="103">
        <v>632074.53369829804</v>
      </c>
      <c r="AF76" s="104">
        <f t="shared" ref="AF76" si="104">IF(ISBLANK(AE76),"",INDEX($A76:$AA76,1,MATCH(AE$3,$A$3:$AA$3,0))-AE76)</f>
        <v>83549.599810665241</v>
      </c>
      <c r="AG76" s="1"/>
      <c r="AH76" s="1"/>
      <c r="AI76" s="1"/>
      <c r="AJ76" s="1"/>
    </row>
    <row r="77" spans="1:36" x14ac:dyDescent="0.25">
      <c r="A77" s="82" t="s">
        <v>355</v>
      </c>
      <c r="B77" s="92" t="s">
        <v>355</v>
      </c>
      <c r="C77" s="93" t="s">
        <v>7</v>
      </c>
      <c r="D77" s="2"/>
      <c r="E77" s="2"/>
      <c r="F77" s="62">
        <v>-2.1000000000000001E-2</v>
      </c>
      <c r="G77" s="62">
        <v>0.113</v>
      </c>
      <c r="H77" s="62">
        <v>1E-3</v>
      </c>
      <c r="I77" s="62">
        <v>0.01</v>
      </c>
      <c r="J77" s="62">
        <v>7.0000000000000001E-3</v>
      </c>
      <c r="K77" s="62">
        <v>7.0000000000000001E-3</v>
      </c>
      <c r="L77" s="62">
        <v>-2E-3</v>
      </c>
      <c r="M77" s="62">
        <v>0.29299999999999998</v>
      </c>
      <c r="N77" s="62">
        <v>0.33800000000000002</v>
      </c>
      <c r="O77" s="330">
        <f>O76/O71</f>
        <v>0.26232704916140404</v>
      </c>
      <c r="P77" s="330">
        <f t="shared" ref="P77:Z77" si="105">P76/P71</f>
        <v>0.24510939161328596</v>
      </c>
      <c r="Q77" s="330">
        <f t="shared" si="105"/>
        <v>0.25</v>
      </c>
      <c r="R77" s="330">
        <f t="shared" si="105"/>
        <v>0.25</v>
      </c>
      <c r="S77" s="330">
        <f t="shared" si="105"/>
        <v>0.25</v>
      </c>
      <c r="T77" s="330">
        <f t="shared" si="105"/>
        <v>0.25</v>
      </c>
      <c r="U77" s="330">
        <f t="shared" si="105"/>
        <v>0.25</v>
      </c>
      <c r="V77" s="330">
        <f t="shared" si="105"/>
        <v>0.25</v>
      </c>
      <c r="W77" s="330">
        <f t="shared" si="105"/>
        <v>0.25</v>
      </c>
      <c r="X77" s="330">
        <f t="shared" si="105"/>
        <v>0.25</v>
      </c>
      <c r="Y77" s="330">
        <f t="shared" si="105"/>
        <v>0.25</v>
      </c>
      <c r="Z77" s="330">
        <f t="shared" si="105"/>
        <v>0.25</v>
      </c>
      <c r="AA77" s="1"/>
      <c r="AB77" s="1"/>
      <c r="AC77" s="105">
        <v>0.22474393928067621</v>
      </c>
      <c r="AD77" s="106">
        <f t="shared" si="11"/>
        <v>2.0365452332609751E-2</v>
      </c>
      <c r="AE77" s="105">
        <v>0.22</v>
      </c>
      <c r="AF77" s="106">
        <f t="shared" ref="AF77" si="106">IF(ISBLANK(AE77),"",INDEX($A77:$AA77,1,MATCH(AE$3,$A$3:$AA$3,0))-AE77)</f>
        <v>0.03</v>
      </c>
      <c r="AG77" s="1"/>
      <c r="AH77" s="2"/>
      <c r="AI77" s="1"/>
      <c r="AJ77" s="1"/>
    </row>
    <row r="78" spans="1:36" x14ac:dyDescent="0.25">
      <c r="A78" s="82"/>
      <c r="B78" s="92"/>
      <c r="C78" s="93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1"/>
      <c r="AB78" s="1"/>
      <c r="AC78" s="90"/>
      <c r="AD78" s="91" t="str">
        <f t="shared" si="11"/>
        <v/>
      </c>
      <c r="AE78" s="90"/>
      <c r="AF78" s="91" t="str">
        <f t="shared" ref="AF78" si="107">IF(ISBLANK(AE78),"",INDEX($A78:$AA78,1,MATCH(AE$3,$A$3:$AA$3,0))-AE78)</f>
        <v/>
      </c>
      <c r="AG78" s="1"/>
      <c r="AH78" s="1"/>
      <c r="AI78" s="1"/>
      <c r="AJ78" s="1"/>
    </row>
    <row r="79" spans="1:36" ht="15.75" thickBot="1" x14ac:dyDescent="0.3">
      <c r="A79" s="138" t="s">
        <v>38</v>
      </c>
      <c r="B79" s="139" t="s">
        <v>38</v>
      </c>
      <c r="C79" s="5" t="s">
        <v>298</v>
      </c>
      <c r="D79" s="101"/>
      <c r="E79" s="119"/>
      <c r="F79" s="102">
        <v>-179817</v>
      </c>
      <c r="G79" s="102">
        <v>15018</v>
      </c>
      <c r="H79" s="102">
        <v>114961</v>
      </c>
      <c r="I79" s="102">
        <v>224368</v>
      </c>
      <c r="J79" s="102">
        <v>383164</v>
      </c>
      <c r="K79" s="102">
        <v>420351</v>
      </c>
      <c r="L79" s="102">
        <v>891466</v>
      </c>
      <c r="M79" s="102">
        <v>608102</v>
      </c>
      <c r="N79" s="102">
        <v>1127088</v>
      </c>
      <c r="O79" s="102">
        <f>INDEX(Qrtly!$A:$BH,MATCH(Annual!$A79,Qrtly!$A:$A,0),MATCH("1Q"&amp;RIGHT(Annual!O$1,2),Qrtly!$A$3:$BH$3,0))+INDEX(Qrtly!$A:$BH,MATCH(Annual!$A79,Qrtly!$A:$A,0),MATCH("2Q"&amp;RIGHT(Annual!O$1,2),Qrtly!$A$3:$BH$3,0))+INDEX(Qrtly!$A:$BH,MATCH(Annual!$A79,Qrtly!$A:$A,0),MATCH("3Q"&amp;RIGHT(Annual!O$1,2),Qrtly!$A$3:$BH$3,0))+INDEX(Qrtly!$A:$BH,MATCH(Annual!$A79,Qrtly!$A:$A,0),MATCH("4Q"&amp;RIGHT(Annual!O$1,2),Qrtly!$A$3:$BH$3,0))</f>
        <v>2140766</v>
      </c>
      <c r="P79" s="102">
        <f>INDEX(Qrtly!$A:$BH,MATCH(Annual!$A79,Qrtly!$A:$A,0),MATCH("1Q"&amp;RIGHT(Annual!P$1,2),Qrtly!$A$3:$BH$3,0))+INDEX(Qrtly!$A:$BH,MATCH(Annual!$A79,Qrtly!$A:$A,0),MATCH("2Q"&amp;RIGHT(Annual!P$1,2),Qrtly!$A$3:$BH$3,0))+INDEX(Qrtly!$A:$BH,MATCH(Annual!$A79,Qrtly!$A:$A,0),MATCH("3Q"&amp;RIGHT(Annual!P$1,2),Qrtly!$A$3:$BH$3,0))+INDEX(Qrtly!$A:$BH,MATCH(Annual!$A79,Qrtly!$A:$A,0),MATCH("4Q"&amp;RIGHT(Annual!P$1,2),Qrtly!$A$3:$BH$3,0))</f>
        <v>1496781.9237811319</v>
      </c>
      <c r="Q79" s="102">
        <f>INDEX(Qrtly!$A:$BH,MATCH(Annual!$A79,Qrtly!$A:$A,0),MATCH("1Q"&amp;RIGHT(Annual!Q$1,2),Qrtly!$A$3:$BH$3,0))+INDEX(Qrtly!$A:$BH,MATCH(Annual!$A79,Qrtly!$A:$A,0),MATCH("2Q"&amp;RIGHT(Annual!Q$1,2),Qrtly!$A$3:$BH$3,0))+INDEX(Qrtly!$A:$BH,MATCH(Annual!$A79,Qrtly!$A:$A,0),MATCH("3Q"&amp;RIGHT(Annual!Q$1,2),Qrtly!$A$3:$BH$3,0))+INDEX(Qrtly!$A:$BH,MATCH(Annual!$A79,Qrtly!$A:$A,0),MATCH("4Q"&amp;RIGHT(Annual!Q$1,2),Qrtly!$A$3:$BH$3,0))</f>
        <v>2146872.4005268896</v>
      </c>
      <c r="R79" s="102">
        <f>INDEX(Qrtly!$A:$BH,MATCH(Annual!$A79,Qrtly!$A:$A,0),MATCH("1Q"&amp;RIGHT(Annual!R$1,2),Qrtly!$A$3:$BH$3,0))+INDEX(Qrtly!$A:$BH,MATCH(Annual!$A79,Qrtly!$A:$A,0),MATCH("2Q"&amp;RIGHT(Annual!R$1,2),Qrtly!$A$3:$BH$3,0))+INDEX(Qrtly!$A:$BH,MATCH(Annual!$A79,Qrtly!$A:$A,0),MATCH("3Q"&amp;RIGHT(Annual!R$1,2),Qrtly!$A$3:$BH$3,0))+INDEX(Qrtly!$A:$BH,MATCH(Annual!$A79,Qrtly!$A:$A,0),MATCH("4Q"&amp;RIGHT(Annual!R$1,2),Qrtly!$A$3:$BH$3,0))</f>
        <v>2772903.2337495633</v>
      </c>
      <c r="S79" s="102">
        <f>INDEX(Qrtly!$A:$BH,MATCH(Annual!$A79,Qrtly!$A:$A,0),MATCH("1Q"&amp;RIGHT(Annual!S$1,2),Qrtly!$A$3:$BH$3,0))+INDEX(Qrtly!$A:$BH,MATCH(Annual!$A79,Qrtly!$A:$A,0),MATCH("2Q"&amp;RIGHT(Annual!S$1,2),Qrtly!$A$3:$BH$3,0))+INDEX(Qrtly!$A:$BH,MATCH(Annual!$A79,Qrtly!$A:$A,0),MATCH("3Q"&amp;RIGHT(Annual!S$1,2),Qrtly!$A$3:$BH$3,0))+INDEX(Qrtly!$A:$BH,MATCH(Annual!$A79,Qrtly!$A:$A,0),MATCH("4Q"&amp;RIGHT(Annual!S$1,2),Qrtly!$A$3:$BH$3,0))</f>
        <v>3416690.7098404048</v>
      </c>
      <c r="T79" s="102">
        <f>INDEX(Qrtly!$A:$BH,MATCH(Annual!$A79,Qrtly!$A:$A,0),MATCH("1Q"&amp;RIGHT(Annual!T$1,2),Qrtly!$A$3:$BH$3,0))+INDEX(Qrtly!$A:$BH,MATCH(Annual!$A79,Qrtly!$A:$A,0),MATCH("2Q"&amp;RIGHT(Annual!T$1,2),Qrtly!$A$3:$BH$3,0))+INDEX(Qrtly!$A:$BH,MATCH(Annual!$A79,Qrtly!$A:$A,0),MATCH("3Q"&amp;RIGHT(Annual!T$1,2),Qrtly!$A$3:$BH$3,0))+INDEX(Qrtly!$A:$BH,MATCH(Annual!$A79,Qrtly!$A:$A,0),MATCH("4Q"&amp;RIGHT(Annual!T$1,2),Qrtly!$A$3:$BH$3,0))</f>
        <v>4058597.9810013687</v>
      </c>
      <c r="U79" s="102">
        <f>INDEX(Qrtly!$A:$BH,MATCH(Annual!$A79,Qrtly!$A:$A,0),MATCH("1Q"&amp;RIGHT(Annual!U$1,2),Qrtly!$A$3:$BH$3,0))+INDEX(Qrtly!$A:$BH,MATCH(Annual!$A79,Qrtly!$A:$A,0),MATCH("2Q"&amp;RIGHT(Annual!U$1,2),Qrtly!$A$3:$BH$3,0))+INDEX(Qrtly!$A:$BH,MATCH(Annual!$A79,Qrtly!$A:$A,0),MATCH("3Q"&amp;RIGHT(Annual!U$1,2),Qrtly!$A$3:$BH$3,0))+INDEX(Qrtly!$A:$BH,MATCH(Annual!$A79,Qrtly!$A:$A,0),MATCH("4Q"&amp;RIGHT(Annual!U$1,2),Qrtly!$A$3:$BH$3,0))</f>
        <v>4808988.2665472068</v>
      </c>
      <c r="V79" s="102">
        <f>INDEX(Qrtly!$A:$BH,MATCH(Annual!$A79,Qrtly!$A:$A,0),MATCH("1Q"&amp;RIGHT(Annual!V$1,2),Qrtly!$A$3:$BH$3,0))+INDEX(Qrtly!$A:$BH,MATCH(Annual!$A79,Qrtly!$A:$A,0),MATCH("2Q"&amp;RIGHT(Annual!V$1,2),Qrtly!$A$3:$BH$3,0))+INDEX(Qrtly!$A:$BH,MATCH(Annual!$A79,Qrtly!$A:$A,0),MATCH("3Q"&amp;RIGHT(Annual!V$1,2),Qrtly!$A$3:$BH$3,0))+INDEX(Qrtly!$A:$BH,MATCH(Annual!$A79,Qrtly!$A:$A,0),MATCH("4Q"&amp;RIGHT(Annual!V$1,2),Qrtly!$A$3:$BH$3,0))</f>
        <v>5690501.500932348</v>
      </c>
      <c r="W79" s="102">
        <f>INDEX(Qrtly!$A:$BH,MATCH(Annual!$A79,Qrtly!$A:$A,0),MATCH("1Q"&amp;RIGHT(Annual!W$1,2),Qrtly!$A$3:$BH$3,0))+INDEX(Qrtly!$A:$BH,MATCH(Annual!$A79,Qrtly!$A:$A,0),MATCH("2Q"&amp;RIGHT(Annual!W$1,2),Qrtly!$A$3:$BH$3,0))+INDEX(Qrtly!$A:$BH,MATCH(Annual!$A79,Qrtly!$A:$A,0),MATCH("3Q"&amp;RIGHT(Annual!W$1,2),Qrtly!$A$3:$BH$3,0))+INDEX(Qrtly!$A:$BH,MATCH(Annual!$A79,Qrtly!$A:$A,0),MATCH("4Q"&amp;RIGHT(Annual!W$1,2),Qrtly!$A$3:$BH$3,0))</f>
        <v>6731314.9075989313</v>
      </c>
      <c r="X79" s="102">
        <f>INDEX(Qrtly!$A:$BH,MATCH(Annual!$A79,Qrtly!$A:$A,0),MATCH("1Q"&amp;RIGHT(Annual!X$1,2),Qrtly!$A$3:$BH$3,0))+INDEX(Qrtly!$A:$BH,MATCH(Annual!$A79,Qrtly!$A:$A,0),MATCH("2Q"&amp;RIGHT(Annual!X$1,2),Qrtly!$A$3:$BH$3,0))+INDEX(Qrtly!$A:$BH,MATCH(Annual!$A79,Qrtly!$A:$A,0),MATCH("3Q"&amp;RIGHT(Annual!X$1,2),Qrtly!$A$3:$BH$3,0))+INDEX(Qrtly!$A:$BH,MATCH(Annual!$A79,Qrtly!$A:$A,0),MATCH("4Q"&amp;RIGHT(Annual!X$1,2),Qrtly!$A$3:$BH$3,0))</f>
        <v>7966577.694788117</v>
      </c>
      <c r="Y79" s="102">
        <f>INDEX(Qrtly!$A:$BH,MATCH(Annual!$A79,Qrtly!$A:$A,0),MATCH("1Q"&amp;RIGHT(Annual!Y$1,2),Qrtly!$A$3:$BH$3,0))+INDEX(Qrtly!$A:$BH,MATCH(Annual!$A79,Qrtly!$A:$A,0),MATCH("2Q"&amp;RIGHT(Annual!Y$1,2),Qrtly!$A$3:$BH$3,0))+INDEX(Qrtly!$A:$BH,MATCH(Annual!$A79,Qrtly!$A:$A,0),MATCH("3Q"&amp;RIGHT(Annual!Y$1,2),Qrtly!$A$3:$BH$3,0))+INDEX(Qrtly!$A:$BH,MATCH(Annual!$A79,Qrtly!$A:$A,0),MATCH("4Q"&amp;RIGHT(Annual!Y$1,2),Qrtly!$A$3:$BH$3,0))</f>
        <v>9440227.7625648621</v>
      </c>
      <c r="Z79" s="102">
        <f>INDEX(Qrtly!$A:$BH,MATCH(Annual!$A79,Qrtly!$A:$A,0),MATCH("1Q"&amp;RIGHT(Annual!Z$1,2),Qrtly!$A$3:$BH$3,0))+INDEX(Qrtly!$A:$BH,MATCH(Annual!$A79,Qrtly!$A:$A,0),MATCH("2Q"&amp;RIGHT(Annual!Z$1,2),Qrtly!$A$3:$BH$3,0))+INDEX(Qrtly!$A:$BH,MATCH(Annual!$A79,Qrtly!$A:$A,0),MATCH("3Q"&amp;RIGHT(Annual!Z$1,2),Qrtly!$A$3:$BH$3,0))+INDEX(Qrtly!$A:$BH,MATCH(Annual!$A79,Qrtly!$A:$A,0),MATCH("4Q"&amp;RIGHT(Annual!Z$1,2),Qrtly!$A$3:$BH$3,0))</f>
        <v>11207271.189009041</v>
      </c>
      <c r="AA79" s="115"/>
      <c r="AB79" s="115">
        <v>-0.01</v>
      </c>
      <c r="AC79" s="103">
        <v>1546554.3164669792</v>
      </c>
      <c r="AD79" s="104">
        <f t="shared" si="11"/>
        <v>-49772.392685847357</v>
      </c>
      <c r="AE79" s="103">
        <v>2240991.528566693</v>
      </c>
      <c r="AF79" s="104">
        <f t="shared" ref="AF79" si="108">IF(ISBLANK(AE79),"",INDEX($A79:$AA79,1,MATCH(AE$3,$A$3:$AA$3,0))-AE79)</f>
        <v>-94119.128039803356</v>
      </c>
      <c r="AG79" s="17"/>
      <c r="AH79" s="17"/>
      <c r="AI79" s="17"/>
      <c r="AJ79" s="17"/>
    </row>
    <row r="80" spans="1:36" x14ac:dyDescent="0.25">
      <c r="A80" s="82"/>
      <c r="B80" s="92"/>
      <c r="C80" s="9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1"/>
      <c r="AB80" s="1"/>
      <c r="AC80" s="90"/>
      <c r="AD80" s="91" t="str">
        <f t="shared" si="11"/>
        <v/>
      </c>
      <c r="AE80" s="90"/>
      <c r="AF80" s="91" t="str">
        <f t="shared" ref="AF80" si="109">IF(ISBLANK(AE80),"",INDEX($A80:$AA80,1,MATCH(AE$3,$A$3:$AA$3,0))-AE80)</f>
        <v/>
      </c>
      <c r="AG80" s="1"/>
      <c r="AH80" s="1"/>
      <c r="AI80" s="1"/>
      <c r="AJ80" s="1"/>
    </row>
    <row r="81" spans="1:36" x14ac:dyDescent="0.25">
      <c r="A81" s="82" t="s">
        <v>356</v>
      </c>
      <c r="B81" s="92" t="s">
        <v>357</v>
      </c>
      <c r="C81" s="93"/>
      <c r="D81" s="48"/>
      <c r="E81" s="46"/>
      <c r="F81" s="46">
        <v>0</v>
      </c>
      <c r="G81" s="97">
        <v>186608</v>
      </c>
      <c r="H81" s="97">
        <v>177774</v>
      </c>
      <c r="I81" s="97">
        <v>262821</v>
      </c>
      <c r="J81" s="97">
        <v>7718</v>
      </c>
      <c r="K81" s="97">
        <v>207246</v>
      </c>
      <c r="L81" s="97">
        <v>725184</v>
      </c>
      <c r="M81" s="97">
        <v>1148849</v>
      </c>
      <c r="N81" s="97">
        <v>1117316</v>
      </c>
      <c r="O81" s="97">
        <f>INDEX(Qrtly!$A:$BH,MATCH(Annual!$A81,Qrtly!$A:$A,0),MATCH("1Q"&amp;RIGHT(Annual!O$1,2),Qrtly!$A$3:$BH$3,0))+INDEX(Qrtly!$A:$BH,MATCH(Annual!$A81,Qrtly!$A:$A,0),MATCH("2Q"&amp;RIGHT(Annual!O$1,2),Qrtly!$A$3:$BH$3,0))+INDEX(Qrtly!$A:$BH,MATCH(Annual!$A81,Qrtly!$A:$A,0),MATCH("3Q"&amp;RIGHT(Annual!O$1,2),Qrtly!$A$3:$BH$3,0))+INDEX(Qrtly!$A:$BH,MATCH(Annual!$A81,Qrtly!$A:$A,0),MATCH("4Q"&amp;RIGHT(Annual!O$1,2),Qrtly!$A$3:$BH$3,0))</f>
        <v>-756281</v>
      </c>
      <c r="P81" s="97">
        <f>INDEX(Qrtly!$A:$BH,MATCH(Annual!$A81,Qrtly!$A:$A,0),MATCH("1Q"&amp;RIGHT(Annual!P$1,2),Qrtly!$A$3:$BH$3,0))+INDEX(Qrtly!$A:$BH,MATCH(Annual!$A81,Qrtly!$A:$A,0),MATCH("2Q"&amp;RIGHT(Annual!P$1,2),Qrtly!$A$3:$BH$3,0))+INDEX(Qrtly!$A:$BH,MATCH(Annual!$A81,Qrtly!$A:$A,0),MATCH("3Q"&amp;RIGHT(Annual!P$1,2),Qrtly!$A$3:$BH$3,0))+INDEX(Qrtly!$A:$BH,MATCH(Annual!$A81,Qrtly!$A:$A,0),MATCH("4Q"&amp;RIGHT(Annual!P$1,2),Qrtly!$A$3:$BH$3,0))</f>
        <v>144949</v>
      </c>
      <c r="Q81" s="97">
        <f>INDEX(Qrtly!$A:$BH,MATCH(Annual!$A81,Qrtly!$A:$A,0),MATCH("1Q"&amp;RIGHT(Annual!Q$1,2),Qrtly!$A$3:$BH$3,0))+INDEX(Qrtly!$A:$BH,MATCH(Annual!$A81,Qrtly!$A:$A,0),MATCH("2Q"&amp;RIGHT(Annual!Q$1,2),Qrtly!$A$3:$BH$3,0))+INDEX(Qrtly!$A:$BH,MATCH(Annual!$A81,Qrtly!$A:$A,0),MATCH("3Q"&amp;RIGHT(Annual!Q$1,2),Qrtly!$A$3:$BH$3,0))+INDEX(Qrtly!$A:$BH,MATCH(Annual!$A81,Qrtly!$A:$A,0),MATCH("4Q"&amp;RIGHT(Annual!Q$1,2),Qrtly!$A$3:$BH$3,0))</f>
        <v>1198618.1268893771</v>
      </c>
      <c r="R81" s="97">
        <f>INDEX(Qrtly!$A:$BH,MATCH(Annual!$A81,Qrtly!$A:$A,0),MATCH("1Q"&amp;RIGHT(Annual!R$1,2),Qrtly!$A$3:$BH$3,0))+INDEX(Qrtly!$A:$BH,MATCH(Annual!$A81,Qrtly!$A:$A,0),MATCH("2Q"&amp;RIGHT(Annual!R$1,2),Qrtly!$A$3:$BH$3,0))+INDEX(Qrtly!$A:$BH,MATCH(Annual!$A81,Qrtly!$A:$A,0),MATCH("3Q"&amp;RIGHT(Annual!R$1,2),Qrtly!$A$3:$BH$3,0))+INDEX(Qrtly!$A:$BH,MATCH(Annual!$A81,Qrtly!$A:$A,0),MATCH("4Q"&amp;RIGHT(Annual!R$1,2),Qrtly!$A$3:$BH$3,0))</f>
        <v>1385052.1219148161</v>
      </c>
      <c r="S81" s="97">
        <f>INDEX(Qrtly!$A:$BH,MATCH(Annual!$A81,Qrtly!$A:$A,0),MATCH("1Q"&amp;RIGHT(Annual!S$1,2),Qrtly!$A$3:$BH$3,0))+INDEX(Qrtly!$A:$BH,MATCH(Annual!$A81,Qrtly!$A:$A,0),MATCH("2Q"&amp;RIGHT(Annual!S$1,2),Qrtly!$A$3:$BH$3,0))+INDEX(Qrtly!$A:$BH,MATCH(Annual!$A81,Qrtly!$A:$A,0),MATCH("3Q"&amp;RIGHT(Annual!S$1,2),Qrtly!$A$3:$BH$3,0))+INDEX(Qrtly!$A:$BH,MATCH(Annual!$A81,Qrtly!$A:$A,0),MATCH("4Q"&amp;RIGHT(Annual!S$1,2),Qrtly!$A$3:$BH$3,0))</f>
        <v>1593029.4370125066</v>
      </c>
      <c r="T81" s="97">
        <f>INDEX(Qrtly!$A:$BH,MATCH(Annual!$A81,Qrtly!$A:$A,0),MATCH("1Q"&amp;RIGHT(Annual!T$1,2),Qrtly!$A$3:$BH$3,0))+INDEX(Qrtly!$A:$BH,MATCH(Annual!$A81,Qrtly!$A:$A,0),MATCH("2Q"&amp;RIGHT(Annual!T$1,2),Qrtly!$A$3:$BH$3,0))+INDEX(Qrtly!$A:$BH,MATCH(Annual!$A81,Qrtly!$A:$A,0),MATCH("3Q"&amp;RIGHT(Annual!T$1,2),Qrtly!$A$3:$BH$3,0))+INDEX(Qrtly!$A:$BH,MATCH(Annual!$A81,Qrtly!$A:$A,0),MATCH("4Q"&amp;RIGHT(Annual!T$1,2),Qrtly!$A$3:$BH$3,0))</f>
        <v>1818888.8313756217</v>
      </c>
      <c r="U81" s="97">
        <f>INDEX(Qrtly!$A:$BH,MATCH(Annual!$A81,Qrtly!$A:$A,0),MATCH("1Q"&amp;RIGHT(Annual!U$1,2),Qrtly!$A$3:$BH$3,0))+INDEX(Qrtly!$A:$BH,MATCH(Annual!$A81,Qrtly!$A:$A,0),MATCH("2Q"&amp;RIGHT(Annual!U$1,2),Qrtly!$A$3:$BH$3,0))+INDEX(Qrtly!$A:$BH,MATCH(Annual!$A81,Qrtly!$A:$A,0),MATCH("3Q"&amp;RIGHT(Annual!U$1,2),Qrtly!$A$3:$BH$3,0))+INDEX(Qrtly!$A:$BH,MATCH(Annual!$A81,Qrtly!$A:$A,0),MATCH("4Q"&amp;RIGHT(Annual!U$1,2),Qrtly!$A$3:$BH$3,0))</f>
        <v>2081238.8204292303</v>
      </c>
      <c r="V81" s="97">
        <f>INDEX(Qrtly!$A:$BH,MATCH(Annual!$A81,Qrtly!$A:$A,0),MATCH("1Q"&amp;RIGHT(Annual!V$1,2),Qrtly!$A$3:$BH$3,0))+INDEX(Qrtly!$A:$BH,MATCH(Annual!$A81,Qrtly!$A:$A,0),MATCH("2Q"&amp;RIGHT(Annual!V$1,2),Qrtly!$A$3:$BH$3,0))+INDEX(Qrtly!$A:$BH,MATCH(Annual!$A81,Qrtly!$A:$A,0),MATCH("3Q"&amp;RIGHT(Annual!V$1,2),Qrtly!$A$3:$BH$3,0))+INDEX(Qrtly!$A:$BH,MATCH(Annual!$A81,Qrtly!$A:$A,0),MATCH("4Q"&amp;RIGHT(Annual!V$1,2),Qrtly!$A$3:$BH$3,0))</f>
        <v>2386170.2905996842</v>
      </c>
      <c r="W81" s="97">
        <f>INDEX(Qrtly!$A:$BH,MATCH(Annual!$A81,Qrtly!$A:$A,0),MATCH("1Q"&amp;RIGHT(Annual!W$1,2),Qrtly!$A$3:$BH$3,0))+INDEX(Qrtly!$A:$BH,MATCH(Annual!$A81,Qrtly!$A:$A,0),MATCH("2Q"&amp;RIGHT(Annual!W$1,2),Qrtly!$A$3:$BH$3,0))+INDEX(Qrtly!$A:$BH,MATCH(Annual!$A81,Qrtly!$A:$A,0),MATCH("3Q"&amp;RIGHT(Annual!W$1,2),Qrtly!$A$3:$BH$3,0))+INDEX(Qrtly!$A:$BH,MATCH(Annual!$A81,Qrtly!$A:$A,0),MATCH("4Q"&amp;RIGHT(Annual!W$1,2),Qrtly!$A$3:$BH$3,0))</f>
        <v>2740807.684954905</v>
      </c>
      <c r="X81" s="97">
        <f>INDEX(Qrtly!$A:$BH,MATCH(Annual!$A81,Qrtly!$A:$A,0),MATCH("1Q"&amp;RIGHT(Annual!X$1,2),Qrtly!$A$3:$BH$3,0))+INDEX(Qrtly!$A:$BH,MATCH(Annual!$A81,Qrtly!$A:$A,0),MATCH("2Q"&amp;RIGHT(Annual!X$1,2),Qrtly!$A$3:$BH$3,0))+INDEX(Qrtly!$A:$BH,MATCH(Annual!$A81,Qrtly!$A:$A,0),MATCH("3Q"&amp;RIGHT(Annual!X$1,2),Qrtly!$A$3:$BH$3,0))+INDEX(Qrtly!$A:$BH,MATCH(Annual!$A81,Qrtly!$A:$A,0),MATCH("4Q"&amp;RIGHT(Annual!X$1,2),Qrtly!$A$3:$BH$3,0))</f>
        <v>3153480.2492755377</v>
      </c>
      <c r="Y81" s="97">
        <f>INDEX(Qrtly!$A:$BH,MATCH(Annual!$A81,Qrtly!$A:$A,0),MATCH("1Q"&amp;RIGHT(Annual!Y$1,2),Qrtly!$A$3:$BH$3,0))+INDEX(Qrtly!$A:$BH,MATCH(Annual!$A81,Qrtly!$A:$A,0),MATCH("2Q"&amp;RIGHT(Annual!Y$1,2),Qrtly!$A$3:$BH$3,0))+INDEX(Qrtly!$A:$BH,MATCH(Annual!$A81,Qrtly!$A:$A,0),MATCH("3Q"&amp;RIGHT(Annual!Y$1,2),Qrtly!$A$3:$BH$3,0))+INDEX(Qrtly!$A:$BH,MATCH(Annual!$A81,Qrtly!$A:$A,0),MATCH("4Q"&amp;RIGHT(Annual!Y$1,2),Qrtly!$A$3:$BH$3,0))</f>
        <v>3633925.5593287852</v>
      </c>
      <c r="Z81" s="97">
        <f>INDEX(Qrtly!$A:$BH,MATCH(Annual!$A81,Qrtly!$A:$A,0),MATCH("1Q"&amp;RIGHT(Annual!Z$1,2),Qrtly!$A$3:$BH$3,0))+INDEX(Qrtly!$A:$BH,MATCH(Annual!$A81,Qrtly!$A:$A,0),MATCH("2Q"&amp;RIGHT(Annual!Z$1,2),Qrtly!$A$3:$BH$3,0))+INDEX(Qrtly!$A:$BH,MATCH(Annual!$A81,Qrtly!$A:$A,0),MATCH("3Q"&amp;RIGHT(Annual!Z$1,2),Qrtly!$A$3:$BH$3,0))+INDEX(Qrtly!$A:$BH,MATCH(Annual!$A81,Qrtly!$A:$A,0),MATCH("4Q"&amp;RIGHT(Annual!Z$1,2),Qrtly!$A$3:$BH$3,0))</f>
        <v>4193529.65446252</v>
      </c>
      <c r="AA81" s="1"/>
      <c r="AB81" s="1"/>
      <c r="AC81" s="90">
        <v>508209</v>
      </c>
      <c r="AD81" s="91">
        <f t="shared" ref="AD81:AD144" si="110">IF(ISBLANK(AC81),"",INDEX($A81:$AA81,1,MATCH(AC$3,$A$3:$AA$3,0))-AC81)</f>
        <v>-363260</v>
      </c>
      <c r="AE81" s="90">
        <v>1176034.9892810381</v>
      </c>
      <c r="AF81" s="91">
        <f t="shared" ref="AF81" si="111">IF(ISBLANK(AE81),"",INDEX($A81:$AA81,1,MATCH(AE$3,$A$3:$AA$3,0))-AE81)</f>
        <v>22583.137608339079</v>
      </c>
      <c r="AG81" s="1"/>
      <c r="AH81" s="1"/>
      <c r="AI81" s="1"/>
      <c r="AJ81" s="1"/>
    </row>
    <row r="82" spans="1:36" x14ac:dyDescent="0.25">
      <c r="A82" s="82" t="s">
        <v>358</v>
      </c>
      <c r="B82" s="140" t="s">
        <v>359</v>
      </c>
      <c r="C82" s="24" t="s">
        <v>298</v>
      </c>
      <c r="D82" s="118"/>
      <c r="E82" s="119"/>
      <c r="F82" s="141">
        <v>-179817</v>
      </c>
      <c r="G82" s="141">
        <v>-171590</v>
      </c>
      <c r="H82" s="141">
        <v>-62813</v>
      </c>
      <c r="I82" s="141">
        <v>-38453</v>
      </c>
      <c r="J82" s="141">
        <v>375446</v>
      </c>
      <c r="K82" s="141">
        <v>213105</v>
      </c>
      <c r="L82" s="141">
        <v>158824</v>
      </c>
      <c r="M82" s="141">
        <v>-553005</v>
      </c>
      <c r="N82" s="141">
        <v>-21124</v>
      </c>
      <c r="O82" s="141">
        <f>INDEX(Qrtly!$A:$BH,MATCH(Annual!$A82,Qrtly!$A:$A,0),MATCH("1Q"&amp;RIGHT(Annual!O$1,2),Qrtly!$A$3:$BH$3,0))+INDEX(Qrtly!$A:$BH,MATCH(Annual!$A82,Qrtly!$A:$A,0),MATCH("2Q"&amp;RIGHT(Annual!O$1,2),Qrtly!$A$3:$BH$3,0))+INDEX(Qrtly!$A:$BH,MATCH(Annual!$A82,Qrtly!$A:$A,0),MATCH("3Q"&amp;RIGHT(Annual!O$1,2),Qrtly!$A$3:$BH$3,0))+INDEX(Qrtly!$A:$BH,MATCH(Annual!$A82,Qrtly!$A:$A,0),MATCH("4Q"&amp;RIGHT(Annual!O$1,2),Qrtly!$A$3:$BH$3,0))</f>
        <v>2866497</v>
      </c>
      <c r="P82" s="141">
        <f>INDEX(Qrtly!$A:$BH,MATCH(Annual!$A82,Qrtly!$A:$A,0),MATCH("1Q"&amp;RIGHT(Annual!P$1,2),Qrtly!$A$3:$BH$3,0))+INDEX(Qrtly!$A:$BH,MATCH(Annual!$A82,Qrtly!$A:$A,0),MATCH("2Q"&amp;RIGHT(Annual!P$1,2),Qrtly!$A$3:$BH$3,0))+INDEX(Qrtly!$A:$BH,MATCH(Annual!$A82,Qrtly!$A:$A,0),MATCH("3Q"&amp;RIGHT(Annual!P$1,2),Qrtly!$A$3:$BH$3,0))+INDEX(Qrtly!$A:$BH,MATCH(Annual!$A82,Qrtly!$A:$A,0),MATCH("4Q"&amp;RIGHT(Annual!P$1,2),Qrtly!$A$3:$BH$3,0))</f>
        <v>1350682.9237811319</v>
      </c>
      <c r="Q82" s="141">
        <f>INDEX(Qrtly!$A:$BH,MATCH(Annual!$A82,Qrtly!$A:$A,0),MATCH("1Q"&amp;RIGHT(Annual!Q$1,2),Qrtly!$A$3:$BH$3,0))+INDEX(Qrtly!$A:$BH,MATCH(Annual!$A82,Qrtly!$A:$A,0),MATCH("2Q"&amp;RIGHT(Annual!Q$1,2),Qrtly!$A$3:$BH$3,0))+INDEX(Qrtly!$A:$BH,MATCH(Annual!$A82,Qrtly!$A:$A,0),MATCH("3Q"&amp;RIGHT(Annual!Q$1,2),Qrtly!$A$3:$BH$3,0))+INDEX(Qrtly!$A:$BH,MATCH(Annual!$A82,Qrtly!$A:$A,0),MATCH("4Q"&amp;RIGHT(Annual!Q$1,2),Qrtly!$A$3:$BH$3,0))</f>
        <v>948254.27363751247</v>
      </c>
      <c r="R82" s="141">
        <f>INDEX(Qrtly!$A:$BH,MATCH(Annual!$A82,Qrtly!$A:$A,0),MATCH("1Q"&amp;RIGHT(Annual!R$1,2),Qrtly!$A$3:$BH$3,0))+INDEX(Qrtly!$A:$BH,MATCH(Annual!$A82,Qrtly!$A:$A,0),MATCH("2Q"&amp;RIGHT(Annual!R$1,2),Qrtly!$A$3:$BH$3,0))+INDEX(Qrtly!$A:$BH,MATCH(Annual!$A82,Qrtly!$A:$A,0),MATCH("3Q"&amp;RIGHT(Annual!R$1,2),Qrtly!$A$3:$BH$3,0))+INDEX(Qrtly!$A:$BH,MATCH(Annual!$A82,Qrtly!$A:$A,0),MATCH("4Q"&amp;RIGHT(Annual!R$1,2),Qrtly!$A$3:$BH$3,0))</f>
        <v>1387851.1118347473</v>
      </c>
      <c r="S82" s="141">
        <f>INDEX(Qrtly!$A:$BH,MATCH(Annual!$A82,Qrtly!$A:$A,0),MATCH("1Q"&amp;RIGHT(Annual!S$1,2),Qrtly!$A$3:$BH$3,0))+INDEX(Qrtly!$A:$BH,MATCH(Annual!$A82,Qrtly!$A:$A,0),MATCH("2Q"&amp;RIGHT(Annual!S$1,2),Qrtly!$A$3:$BH$3,0))+INDEX(Qrtly!$A:$BH,MATCH(Annual!$A82,Qrtly!$A:$A,0),MATCH("3Q"&amp;RIGHT(Annual!S$1,2),Qrtly!$A$3:$BH$3,0))+INDEX(Qrtly!$A:$BH,MATCH(Annual!$A82,Qrtly!$A:$A,0),MATCH("4Q"&amp;RIGHT(Annual!S$1,2),Qrtly!$A$3:$BH$3,0))</f>
        <v>1823661.2728278979</v>
      </c>
      <c r="T82" s="141">
        <f>INDEX(Qrtly!$A:$BH,MATCH(Annual!$A82,Qrtly!$A:$A,0),MATCH("1Q"&amp;RIGHT(Annual!T$1,2),Qrtly!$A$3:$BH$3,0))+INDEX(Qrtly!$A:$BH,MATCH(Annual!$A82,Qrtly!$A:$A,0),MATCH("2Q"&amp;RIGHT(Annual!T$1,2),Qrtly!$A$3:$BH$3,0))+INDEX(Qrtly!$A:$BH,MATCH(Annual!$A82,Qrtly!$A:$A,0),MATCH("3Q"&amp;RIGHT(Annual!T$1,2),Qrtly!$A$3:$BH$3,0))+INDEX(Qrtly!$A:$BH,MATCH(Annual!$A82,Qrtly!$A:$A,0),MATCH("4Q"&amp;RIGHT(Annual!T$1,2),Qrtly!$A$3:$BH$3,0))</f>
        <v>2239709.1496257465</v>
      </c>
      <c r="U82" s="141">
        <f>INDEX(Qrtly!$A:$BH,MATCH(Annual!$A82,Qrtly!$A:$A,0),MATCH("1Q"&amp;RIGHT(Annual!U$1,2),Qrtly!$A$3:$BH$3,0))+INDEX(Qrtly!$A:$BH,MATCH(Annual!$A82,Qrtly!$A:$A,0),MATCH("2Q"&amp;RIGHT(Annual!U$1,2),Qrtly!$A$3:$BH$3,0))+INDEX(Qrtly!$A:$BH,MATCH(Annual!$A82,Qrtly!$A:$A,0),MATCH("3Q"&amp;RIGHT(Annual!U$1,2),Qrtly!$A$3:$BH$3,0))+INDEX(Qrtly!$A:$BH,MATCH(Annual!$A82,Qrtly!$A:$A,0),MATCH("4Q"&amp;RIGHT(Annual!U$1,2),Qrtly!$A$3:$BH$3,0))</f>
        <v>2727749.4461179762</v>
      </c>
      <c r="V82" s="141">
        <f>INDEX(Qrtly!$A:$BH,MATCH(Annual!$A82,Qrtly!$A:$A,0),MATCH("1Q"&amp;RIGHT(Annual!V$1,2),Qrtly!$A$3:$BH$3,0))+INDEX(Qrtly!$A:$BH,MATCH(Annual!$A82,Qrtly!$A:$A,0),MATCH("2Q"&amp;RIGHT(Annual!V$1,2),Qrtly!$A$3:$BH$3,0))+INDEX(Qrtly!$A:$BH,MATCH(Annual!$A82,Qrtly!$A:$A,0),MATCH("3Q"&amp;RIGHT(Annual!V$1,2),Qrtly!$A$3:$BH$3,0))+INDEX(Qrtly!$A:$BH,MATCH(Annual!$A82,Qrtly!$A:$A,0),MATCH("4Q"&amp;RIGHT(Annual!V$1,2),Qrtly!$A$3:$BH$3,0))</f>
        <v>3304331.2103326633</v>
      </c>
      <c r="W82" s="141">
        <f>INDEX(Qrtly!$A:$BH,MATCH(Annual!$A82,Qrtly!$A:$A,0),MATCH("1Q"&amp;RIGHT(Annual!W$1,2),Qrtly!$A$3:$BH$3,0))+INDEX(Qrtly!$A:$BH,MATCH(Annual!$A82,Qrtly!$A:$A,0),MATCH("2Q"&amp;RIGHT(Annual!W$1,2),Qrtly!$A$3:$BH$3,0))+INDEX(Qrtly!$A:$BH,MATCH(Annual!$A82,Qrtly!$A:$A,0),MATCH("3Q"&amp;RIGHT(Annual!W$1,2),Qrtly!$A$3:$BH$3,0))+INDEX(Qrtly!$A:$BH,MATCH(Annual!$A82,Qrtly!$A:$A,0),MATCH("4Q"&amp;RIGHT(Annual!W$1,2),Qrtly!$A$3:$BH$3,0))</f>
        <v>3990507.2226440264</v>
      </c>
      <c r="X82" s="141">
        <f>INDEX(Qrtly!$A:$BH,MATCH(Annual!$A82,Qrtly!$A:$A,0),MATCH("1Q"&amp;RIGHT(Annual!X$1,2),Qrtly!$A$3:$BH$3,0))+INDEX(Qrtly!$A:$BH,MATCH(Annual!$A82,Qrtly!$A:$A,0),MATCH("2Q"&amp;RIGHT(Annual!X$1,2),Qrtly!$A$3:$BH$3,0))+INDEX(Qrtly!$A:$BH,MATCH(Annual!$A82,Qrtly!$A:$A,0),MATCH("3Q"&amp;RIGHT(Annual!X$1,2),Qrtly!$A$3:$BH$3,0))+INDEX(Qrtly!$A:$BH,MATCH(Annual!$A82,Qrtly!$A:$A,0),MATCH("4Q"&amp;RIGHT(Annual!X$1,2),Qrtly!$A$3:$BH$3,0))</f>
        <v>4813097.4455125798</v>
      </c>
      <c r="Y82" s="141">
        <f>INDEX(Qrtly!$A:$BH,MATCH(Annual!$A82,Qrtly!$A:$A,0),MATCH("1Q"&amp;RIGHT(Annual!Y$1,2),Qrtly!$A$3:$BH$3,0))+INDEX(Qrtly!$A:$BH,MATCH(Annual!$A82,Qrtly!$A:$A,0),MATCH("2Q"&amp;RIGHT(Annual!Y$1,2),Qrtly!$A$3:$BH$3,0))+INDEX(Qrtly!$A:$BH,MATCH(Annual!$A82,Qrtly!$A:$A,0),MATCH("3Q"&amp;RIGHT(Annual!Y$1,2),Qrtly!$A$3:$BH$3,0))+INDEX(Qrtly!$A:$BH,MATCH(Annual!$A82,Qrtly!$A:$A,0),MATCH("4Q"&amp;RIGHT(Annual!Y$1,2),Qrtly!$A$3:$BH$3,0))</f>
        <v>5806302.203236077</v>
      </c>
      <c r="Z82" s="141">
        <f>INDEX(Qrtly!$A:$BH,MATCH(Annual!$A82,Qrtly!$A:$A,0),MATCH("1Q"&amp;RIGHT(Annual!Z$1,2),Qrtly!$A$3:$BH$3,0))+INDEX(Qrtly!$A:$BH,MATCH(Annual!$A82,Qrtly!$A:$A,0),MATCH("2Q"&amp;RIGHT(Annual!Z$1,2),Qrtly!$A$3:$BH$3,0))+INDEX(Qrtly!$A:$BH,MATCH(Annual!$A82,Qrtly!$A:$A,0),MATCH("3Q"&amp;RIGHT(Annual!Z$1,2),Qrtly!$A$3:$BH$3,0))+INDEX(Qrtly!$A:$BH,MATCH(Annual!$A82,Qrtly!$A:$A,0),MATCH("4Q"&amp;RIGHT(Annual!Z$1,2),Qrtly!$A$3:$BH$3,0))</f>
        <v>7013741.5345465215</v>
      </c>
      <c r="AA82" s="1"/>
      <c r="AB82" s="1"/>
      <c r="AC82" s="103">
        <v>1037195.3164669792</v>
      </c>
      <c r="AD82" s="104">
        <f t="shared" si="110"/>
        <v>313487.60731415264</v>
      </c>
      <c r="AE82" s="103">
        <v>1064956.5392856549</v>
      </c>
      <c r="AF82" s="104">
        <f t="shared" ref="AF82" si="112">IF(ISBLANK(AE82),"",INDEX($A82:$AA82,1,MATCH(AE$3,$A$3:$AA$3,0))-AE82)</f>
        <v>-116702.26564814243</v>
      </c>
      <c r="AG82" s="1"/>
      <c r="AH82" s="1"/>
      <c r="AI82" s="1"/>
      <c r="AJ82" s="1"/>
    </row>
    <row r="83" spans="1:36" x14ac:dyDescent="0.25">
      <c r="A83" s="82" t="s">
        <v>360</v>
      </c>
      <c r="B83" s="92" t="s">
        <v>361</v>
      </c>
      <c r="C83" s="93"/>
      <c r="D83" s="48"/>
      <c r="E83" s="135"/>
      <c r="F83" s="46">
        <v>0</v>
      </c>
      <c r="G83" s="46">
        <v>0</v>
      </c>
      <c r="H83" s="46">
        <v>0</v>
      </c>
      <c r="I83" s="46">
        <v>0</v>
      </c>
      <c r="J83" s="46">
        <v>0</v>
      </c>
      <c r="K83" s="46">
        <v>0</v>
      </c>
      <c r="L83" s="97">
        <v>-7458</v>
      </c>
      <c r="M83" s="97">
        <v>-12258</v>
      </c>
      <c r="N83" s="97">
        <v>-30896</v>
      </c>
      <c r="O83" s="97">
        <f>INDEX(Qrtly!$A:$BH,MATCH(Annual!$A83,Qrtly!$A:$A,0),MATCH("1Q"&amp;RIGHT(Annual!O$1,2),Qrtly!$A$3:$BH$3,0))+INDEX(Qrtly!$A:$BH,MATCH(Annual!$A83,Qrtly!$A:$A,0),MATCH("2Q"&amp;RIGHT(Annual!O$1,2),Qrtly!$A$3:$BH$3,0))+INDEX(Qrtly!$A:$BH,MATCH(Annual!$A83,Qrtly!$A:$A,0),MATCH("3Q"&amp;RIGHT(Annual!O$1,2),Qrtly!$A$3:$BH$3,0))+INDEX(Qrtly!$A:$BH,MATCH(Annual!$A83,Qrtly!$A:$A,0),MATCH("4Q"&amp;RIGHT(Annual!O$1,2),Qrtly!$A$3:$BH$3,0))</f>
        <v>-30550</v>
      </c>
      <c r="P83" s="97">
        <f>INDEX(Qrtly!$A:$BH,MATCH(Annual!$A83,Qrtly!$A:$A,0),MATCH("1Q"&amp;RIGHT(Annual!P$1,2),Qrtly!$A$3:$BH$3,0))+INDEX(Qrtly!$A:$BH,MATCH(Annual!$A83,Qrtly!$A:$A,0),MATCH("2Q"&amp;RIGHT(Annual!P$1,2),Qrtly!$A$3:$BH$3,0))+INDEX(Qrtly!$A:$BH,MATCH(Annual!$A83,Qrtly!$A:$A,0),MATCH("3Q"&amp;RIGHT(Annual!P$1,2),Qrtly!$A$3:$BH$3,0))+INDEX(Qrtly!$A:$BH,MATCH(Annual!$A83,Qrtly!$A:$A,0),MATCH("4Q"&amp;RIGHT(Annual!P$1,2),Qrtly!$A$3:$BH$3,0))</f>
        <v>-6862.75</v>
      </c>
      <c r="Q83" s="97">
        <f>INDEX(Qrtly!$A:$BH,MATCH(Annual!$A83,Qrtly!$A:$A,0),MATCH("1Q"&amp;RIGHT(Annual!Q$1,2),Qrtly!$A$3:$BH$3,0))+INDEX(Qrtly!$A:$BH,MATCH(Annual!$A83,Qrtly!$A:$A,0),MATCH("2Q"&amp;RIGHT(Annual!Q$1,2),Qrtly!$A$3:$BH$3,0))+INDEX(Qrtly!$A:$BH,MATCH(Annual!$A83,Qrtly!$A:$A,0),MATCH("3Q"&amp;RIGHT(Annual!Q$1,2),Qrtly!$A$3:$BH$3,0))+INDEX(Qrtly!$A:$BH,MATCH(Annual!$A83,Qrtly!$A:$A,0),MATCH("4Q"&amp;RIGHT(Annual!Q$1,2),Qrtly!$A$3:$BH$3,0))</f>
        <v>-8739.6669921875</v>
      </c>
      <c r="R83" s="97">
        <f>INDEX(Qrtly!$A:$BH,MATCH(Annual!$A83,Qrtly!$A:$A,0),MATCH("1Q"&amp;RIGHT(Annual!R$1,2),Qrtly!$A$3:$BH$3,0))+INDEX(Qrtly!$A:$BH,MATCH(Annual!$A83,Qrtly!$A:$A,0),MATCH("2Q"&amp;RIGHT(Annual!R$1,2),Qrtly!$A$3:$BH$3,0))+INDEX(Qrtly!$A:$BH,MATCH(Annual!$A83,Qrtly!$A:$A,0),MATCH("3Q"&amp;RIGHT(Annual!R$1,2),Qrtly!$A$3:$BH$3,0))+INDEX(Qrtly!$A:$BH,MATCH(Annual!$A83,Qrtly!$A:$A,0),MATCH("4Q"&amp;RIGHT(Annual!R$1,2),Qrtly!$A$3:$BH$3,0))</f>
        <v>-9344.9252738952637</v>
      </c>
      <c r="S83" s="97">
        <f>INDEX(Qrtly!$A:$BH,MATCH(Annual!$A83,Qrtly!$A:$A,0),MATCH("1Q"&amp;RIGHT(Annual!S$1,2),Qrtly!$A$3:$BH$3,0))+INDEX(Qrtly!$A:$BH,MATCH(Annual!$A83,Qrtly!$A:$A,0),MATCH("2Q"&amp;RIGHT(Annual!S$1,2),Qrtly!$A$3:$BH$3,0))+INDEX(Qrtly!$A:$BH,MATCH(Annual!$A83,Qrtly!$A:$A,0),MATCH("3Q"&amp;RIGHT(Annual!S$1,2),Qrtly!$A$3:$BH$3,0))+INDEX(Qrtly!$A:$BH,MATCH(Annual!$A83,Qrtly!$A:$A,0),MATCH("4Q"&amp;RIGHT(Annual!S$1,2),Qrtly!$A$3:$BH$3,0))</f>
        <v>-9488.9582034796476</v>
      </c>
      <c r="T83" s="97">
        <f>INDEX(Qrtly!$A:$BH,MATCH(Annual!$A83,Qrtly!$A:$A,0),MATCH("1Q"&amp;RIGHT(Annual!T$1,2),Qrtly!$A$3:$BH$3,0))+INDEX(Qrtly!$A:$BH,MATCH(Annual!$A83,Qrtly!$A:$A,0),MATCH("2Q"&amp;RIGHT(Annual!T$1,2),Qrtly!$A$3:$BH$3,0))+INDEX(Qrtly!$A:$BH,MATCH(Annual!$A83,Qrtly!$A:$A,0),MATCH("3Q"&amp;RIGHT(Annual!T$1,2),Qrtly!$A$3:$BH$3,0))+INDEX(Qrtly!$A:$BH,MATCH(Annual!$A83,Qrtly!$A:$A,0),MATCH("4Q"&amp;RIGHT(Annual!T$1,2),Qrtly!$A$3:$BH$3,0))</f>
        <v>-9517.3097228721599</v>
      </c>
      <c r="U83" s="97">
        <f>INDEX(Qrtly!$A:$BH,MATCH(Annual!$A83,Qrtly!$A:$A,0),MATCH("1Q"&amp;RIGHT(Annual!U$1,2),Qrtly!$A$3:$BH$3,0))+INDEX(Qrtly!$A:$BH,MATCH(Annual!$A83,Qrtly!$A:$A,0),MATCH("2Q"&amp;RIGHT(Annual!U$1,2),Qrtly!$A$3:$BH$3,0))+INDEX(Qrtly!$A:$BH,MATCH(Annual!$A83,Qrtly!$A:$A,0),MATCH("3Q"&amp;RIGHT(Annual!U$1,2),Qrtly!$A$3:$BH$3,0))+INDEX(Qrtly!$A:$BH,MATCH(Annual!$A83,Qrtly!$A:$A,0),MATCH("4Q"&amp;RIGHT(Annual!U$1,2),Qrtly!$A$3:$BH$3,0))</f>
        <v>-9522.0612355305311</v>
      </c>
      <c r="V83" s="97">
        <f>INDEX(Qrtly!$A:$BH,MATCH(Annual!$A83,Qrtly!$A:$A,0),MATCH("1Q"&amp;RIGHT(Annual!V$1,2),Qrtly!$A$3:$BH$3,0))+INDEX(Qrtly!$A:$BH,MATCH(Annual!$A83,Qrtly!$A:$A,0),MATCH("2Q"&amp;RIGHT(Annual!V$1,2),Qrtly!$A$3:$BH$3,0))+INDEX(Qrtly!$A:$BH,MATCH(Annual!$A83,Qrtly!$A:$A,0),MATCH("3Q"&amp;RIGHT(Annual!V$1,2),Qrtly!$A$3:$BH$3,0))+INDEX(Qrtly!$A:$BH,MATCH(Annual!$A83,Qrtly!$A:$A,0),MATCH("4Q"&amp;RIGHT(Annual!V$1,2),Qrtly!$A$3:$BH$3,0))</f>
        <v>-9522.7277453387924</v>
      </c>
      <c r="W83" s="97">
        <f>INDEX(Qrtly!$A:$BH,MATCH(Annual!$A83,Qrtly!$A:$A,0),MATCH("1Q"&amp;RIGHT(Annual!W$1,2),Qrtly!$A$3:$BH$3,0))+INDEX(Qrtly!$A:$BH,MATCH(Annual!$A83,Qrtly!$A:$A,0),MATCH("2Q"&amp;RIGHT(Annual!W$1,2),Qrtly!$A$3:$BH$3,0))+INDEX(Qrtly!$A:$BH,MATCH(Annual!$A83,Qrtly!$A:$A,0),MATCH("3Q"&amp;RIGHT(Annual!W$1,2),Qrtly!$A$3:$BH$3,0))+INDEX(Qrtly!$A:$BH,MATCH(Annual!$A83,Qrtly!$A:$A,0),MATCH("4Q"&amp;RIGHT(Annual!W$1,2),Qrtly!$A$3:$BH$3,0))</f>
        <v>-9522.7986043226792</v>
      </c>
      <c r="X83" s="97">
        <f>INDEX(Qrtly!$A:$BH,MATCH(Annual!$A83,Qrtly!$A:$A,0),MATCH("1Q"&amp;RIGHT(Annual!X$1,2),Qrtly!$A$3:$BH$3,0))+INDEX(Qrtly!$A:$BH,MATCH(Annual!$A83,Qrtly!$A:$A,0),MATCH("2Q"&amp;RIGHT(Annual!X$1,2),Qrtly!$A$3:$BH$3,0))+INDEX(Qrtly!$A:$BH,MATCH(Annual!$A83,Qrtly!$A:$A,0),MATCH("3Q"&amp;RIGHT(Annual!X$1,2),Qrtly!$A$3:$BH$3,0))+INDEX(Qrtly!$A:$BH,MATCH(Annual!$A83,Qrtly!$A:$A,0),MATCH("4Q"&amp;RIGHT(Annual!X$1,2),Qrtly!$A$3:$BH$3,0))</f>
        <v>-9522.801578546465</v>
      </c>
      <c r="Y83" s="97">
        <f>INDEX(Qrtly!$A:$BH,MATCH(Annual!$A83,Qrtly!$A:$A,0),MATCH("1Q"&amp;RIGHT(Annual!Y$1,2),Qrtly!$A$3:$BH$3,0))+INDEX(Qrtly!$A:$BH,MATCH(Annual!$A83,Qrtly!$A:$A,0),MATCH("2Q"&amp;RIGHT(Annual!Y$1,2),Qrtly!$A$3:$BH$3,0))+INDEX(Qrtly!$A:$BH,MATCH(Annual!$A83,Qrtly!$A:$A,0),MATCH("3Q"&amp;RIGHT(Annual!Y$1,2),Qrtly!$A$3:$BH$3,0))+INDEX(Qrtly!$A:$BH,MATCH(Annual!$A83,Qrtly!$A:$A,0),MATCH("4Q"&amp;RIGHT(Annual!Y$1,2),Qrtly!$A$3:$BH$3,0))</f>
        <v>-9522.8005126690678</v>
      </c>
      <c r="Z83" s="97">
        <f>INDEX(Qrtly!$A:$BH,MATCH(Annual!$A83,Qrtly!$A:$A,0),MATCH("1Q"&amp;RIGHT(Annual!Z$1,2),Qrtly!$A$3:$BH$3,0))+INDEX(Qrtly!$A:$BH,MATCH(Annual!$A83,Qrtly!$A:$A,0),MATCH("2Q"&amp;RIGHT(Annual!Z$1,2),Qrtly!$A$3:$BH$3,0))+INDEX(Qrtly!$A:$BH,MATCH(Annual!$A83,Qrtly!$A:$A,0),MATCH("3Q"&amp;RIGHT(Annual!Z$1,2),Qrtly!$A$3:$BH$3,0))+INDEX(Qrtly!$A:$BH,MATCH(Annual!$A83,Qrtly!$A:$A,0),MATCH("4Q"&amp;RIGHT(Annual!Z$1,2),Qrtly!$A$3:$BH$3,0))</f>
        <v>-9522.8001098519198</v>
      </c>
      <c r="AA83" s="1"/>
      <c r="AB83" s="1"/>
      <c r="AC83" s="142">
        <v>-14818.6875</v>
      </c>
      <c r="AD83" s="85">
        <f t="shared" si="110"/>
        <v>7955.9375</v>
      </c>
      <c r="AE83" s="142">
        <v>-18616.217529296875</v>
      </c>
      <c r="AF83" s="85">
        <f t="shared" ref="AF83" si="113">IF(ISBLANK(AE83),"",INDEX($A83:$AA83,1,MATCH(AE$3,$A$3:$AA$3,0))-AE83)</f>
        <v>9876.550537109375</v>
      </c>
      <c r="AG83" s="1"/>
      <c r="AH83" s="1"/>
      <c r="AI83" s="1"/>
      <c r="AJ83" s="1"/>
    </row>
    <row r="84" spans="1:36" x14ac:dyDescent="0.25">
      <c r="A84" s="82" t="s">
        <v>362</v>
      </c>
      <c r="B84" s="140" t="s">
        <v>363</v>
      </c>
      <c r="C84" s="24" t="s">
        <v>298</v>
      </c>
      <c r="D84" s="143"/>
      <c r="E84" s="119"/>
      <c r="F84" s="141">
        <v>-179817</v>
      </c>
      <c r="G84" s="141">
        <v>-171590</v>
      </c>
      <c r="H84" s="141">
        <v>-62813</v>
      </c>
      <c r="I84" s="141">
        <v>-38453</v>
      </c>
      <c r="J84" s="141">
        <v>375446</v>
      </c>
      <c r="K84" s="141">
        <v>213105</v>
      </c>
      <c r="L84" s="141">
        <v>166282</v>
      </c>
      <c r="M84" s="141">
        <v>-540747</v>
      </c>
      <c r="N84" s="141">
        <v>9772</v>
      </c>
      <c r="O84" s="141">
        <f>INDEX(Qrtly!$A:$BH,MATCH(Annual!$A84,Qrtly!$A:$A,0),MATCH("1Q"&amp;RIGHT(Annual!O$1,2),Qrtly!$A$3:$BH$3,0))+INDEX(Qrtly!$A:$BH,MATCH(Annual!$A84,Qrtly!$A:$A,0),MATCH("2Q"&amp;RIGHT(Annual!O$1,2),Qrtly!$A$3:$BH$3,0))+INDEX(Qrtly!$A:$BH,MATCH(Annual!$A84,Qrtly!$A:$A,0),MATCH("3Q"&amp;RIGHT(Annual!O$1,2),Qrtly!$A$3:$BH$3,0))+INDEX(Qrtly!$A:$BH,MATCH(Annual!$A84,Qrtly!$A:$A,0),MATCH("4Q"&amp;RIGHT(Annual!O$1,2),Qrtly!$A$3:$BH$3,0))</f>
        <v>2897047</v>
      </c>
      <c r="P84" s="141">
        <f>INDEX(Qrtly!$A:$BH,MATCH(Annual!$A84,Qrtly!$A:$A,0),MATCH("1Q"&amp;RIGHT(Annual!P$1,2),Qrtly!$A$3:$BH$3,0))+INDEX(Qrtly!$A:$BH,MATCH(Annual!$A84,Qrtly!$A:$A,0),MATCH("2Q"&amp;RIGHT(Annual!P$1,2),Qrtly!$A$3:$BH$3,0))+INDEX(Qrtly!$A:$BH,MATCH(Annual!$A84,Qrtly!$A:$A,0),MATCH("3Q"&amp;RIGHT(Annual!P$1,2),Qrtly!$A$3:$BH$3,0))+INDEX(Qrtly!$A:$BH,MATCH(Annual!$A84,Qrtly!$A:$A,0),MATCH("4Q"&amp;RIGHT(Annual!P$1,2),Qrtly!$A$3:$BH$3,0))</f>
        <v>1346260.1737811319</v>
      </c>
      <c r="Q84" s="141">
        <f>INDEX(Qrtly!$A:$BH,MATCH(Annual!$A84,Qrtly!$A:$A,0),MATCH("1Q"&amp;RIGHT(Annual!Q$1,2),Qrtly!$A$3:$BH$3,0))+INDEX(Qrtly!$A:$BH,MATCH(Annual!$A84,Qrtly!$A:$A,0),MATCH("2Q"&amp;RIGHT(Annual!Q$1,2),Qrtly!$A$3:$BH$3,0))+INDEX(Qrtly!$A:$BH,MATCH(Annual!$A84,Qrtly!$A:$A,0),MATCH("3Q"&amp;RIGHT(Annual!Q$1,2),Qrtly!$A$3:$BH$3,0))+INDEX(Qrtly!$A:$BH,MATCH(Annual!$A84,Qrtly!$A:$A,0),MATCH("4Q"&amp;RIGHT(Annual!Q$1,2),Qrtly!$A$3:$BH$3,0))</f>
        <v>939514.60664532497</v>
      </c>
      <c r="R84" s="141">
        <f>INDEX(Qrtly!$A:$BH,MATCH(Annual!$A84,Qrtly!$A:$A,0),MATCH("1Q"&amp;RIGHT(Annual!R$1,2),Qrtly!$A$3:$BH$3,0))+INDEX(Qrtly!$A:$BH,MATCH(Annual!$A84,Qrtly!$A:$A,0),MATCH("2Q"&amp;RIGHT(Annual!R$1,2),Qrtly!$A$3:$BH$3,0))+INDEX(Qrtly!$A:$BH,MATCH(Annual!$A84,Qrtly!$A:$A,0),MATCH("3Q"&amp;RIGHT(Annual!R$1,2),Qrtly!$A$3:$BH$3,0))+INDEX(Qrtly!$A:$BH,MATCH(Annual!$A84,Qrtly!$A:$A,0),MATCH("4Q"&amp;RIGHT(Annual!R$1,2),Qrtly!$A$3:$BH$3,0))</f>
        <v>1378506.186560852</v>
      </c>
      <c r="S84" s="141">
        <f>INDEX(Qrtly!$A:$BH,MATCH(Annual!$A84,Qrtly!$A:$A,0),MATCH("1Q"&amp;RIGHT(Annual!S$1,2),Qrtly!$A$3:$BH$3,0))+INDEX(Qrtly!$A:$BH,MATCH(Annual!$A84,Qrtly!$A:$A,0),MATCH("2Q"&amp;RIGHT(Annual!S$1,2),Qrtly!$A$3:$BH$3,0))+INDEX(Qrtly!$A:$BH,MATCH(Annual!$A84,Qrtly!$A:$A,0),MATCH("3Q"&amp;RIGHT(Annual!S$1,2),Qrtly!$A$3:$BH$3,0))+INDEX(Qrtly!$A:$BH,MATCH(Annual!$A84,Qrtly!$A:$A,0),MATCH("4Q"&amp;RIGHT(Annual!S$1,2),Qrtly!$A$3:$BH$3,0))</f>
        <v>1814172.3146244183</v>
      </c>
      <c r="T84" s="141">
        <f>INDEX(Qrtly!$A:$BH,MATCH(Annual!$A84,Qrtly!$A:$A,0),MATCH("1Q"&amp;RIGHT(Annual!T$1,2),Qrtly!$A$3:$BH$3,0))+INDEX(Qrtly!$A:$BH,MATCH(Annual!$A84,Qrtly!$A:$A,0),MATCH("2Q"&amp;RIGHT(Annual!T$1,2),Qrtly!$A$3:$BH$3,0))+INDEX(Qrtly!$A:$BH,MATCH(Annual!$A84,Qrtly!$A:$A,0),MATCH("3Q"&amp;RIGHT(Annual!T$1,2),Qrtly!$A$3:$BH$3,0))+INDEX(Qrtly!$A:$BH,MATCH(Annual!$A84,Qrtly!$A:$A,0),MATCH("4Q"&amp;RIGHT(Annual!T$1,2),Qrtly!$A$3:$BH$3,0))</f>
        <v>2230191.8399028745</v>
      </c>
      <c r="U84" s="141">
        <f>INDEX(Qrtly!$A:$BH,MATCH(Annual!$A84,Qrtly!$A:$A,0),MATCH("1Q"&amp;RIGHT(Annual!U$1,2),Qrtly!$A$3:$BH$3,0))+INDEX(Qrtly!$A:$BH,MATCH(Annual!$A84,Qrtly!$A:$A,0),MATCH("2Q"&amp;RIGHT(Annual!U$1,2),Qrtly!$A$3:$BH$3,0))+INDEX(Qrtly!$A:$BH,MATCH(Annual!$A84,Qrtly!$A:$A,0),MATCH("3Q"&amp;RIGHT(Annual!U$1,2),Qrtly!$A$3:$BH$3,0))+INDEX(Qrtly!$A:$BH,MATCH(Annual!$A84,Qrtly!$A:$A,0),MATCH("4Q"&amp;RIGHT(Annual!U$1,2),Qrtly!$A$3:$BH$3,0))</f>
        <v>2718227.3848824459</v>
      </c>
      <c r="V84" s="141">
        <f>INDEX(Qrtly!$A:$BH,MATCH(Annual!$A84,Qrtly!$A:$A,0),MATCH("1Q"&amp;RIGHT(Annual!V$1,2),Qrtly!$A$3:$BH$3,0))+INDEX(Qrtly!$A:$BH,MATCH(Annual!$A84,Qrtly!$A:$A,0),MATCH("2Q"&amp;RIGHT(Annual!V$1,2),Qrtly!$A$3:$BH$3,0))+INDEX(Qrtly!$A:$BH,MATCH(Annual!$A84,Qrtly!$A:$A,0),MATCH("3Q"&amp;RIGHT(Annual!V$1,2),Qrtly!$A$3:$BH$3,0))+INDEX(Qrtly!$A:$BH,MATCH(Annual!$A84,Qrtly!$A:$A,0),MATCH("4Q"&amp;RIGHT(Annual!V$1,2),Qrtly!$A$3:$BH$3,0))</f>
        <v>3294808.482587324</v>
      </c>
      <c r="W84" s="141">
        <f>INDEX(Qrtly!$A:$BH,MATCH(Annual!$A84,Qrtly!$A:$A,0),MATCH("1Q"&amp;RIGHT(Annual!W$1,2),Qrtly!$A$3:$BH$3,0))+INDEX(Qrtly!$A:$BH,MATCH(Annual!$A84,Qrtly!$A:$A,0),MATCH("2Q"&amp;RIGHT(Annual!W$1,2),Qrtly!$A$3:$BH$3,0))+INDEX(Qrtly!$A:$BH,MATCH(Annual!$A84,Qrtly!$A:$A,0),MATCH("3Q"&amp;RIGHT(Annual!W$1,2),Qrtly!$A$3:$BH$3,0))+INDEX(Qrtly!$A:$BH,MATCH(Annual!$A84,Qrtly!$A:$A,0),MATCH("4Q"&amp;RIGHT(Annual!W$1,2),Qrtly!$A$3:$BH$3,0))</f>
        <v>3980984.4240397038</v>
      </c>
      <c r="X84" s="141">
        <f>INDEX(Qrtly!$A:$BH,MATCH(Annual!$A84,Qrtly!$A:$A,0),MATCH("1Q"&amp;RIGHT(Annual!X$1,2),Qrtly!$A$3:$BH$3,0))+INDEX(Qrtly!$A:$BH,MATCH(Annual!$A84,Qrtly!$A:$A,0),MATCH("2Q"&amp;RIGHT(Annual!X$1,2),Qrtly!$A$3:$BH$3,0))+INDEX(Qrtly!$A:$BH,MATCH(Annual!$A84,Qrtly!$A:$A,0),MATCH("3Q"&amp;RIGHT(Annual!X$1,2),Qrtly!$A$3:$BH$3,0))+INDEX(Qrtly!$A:$BH,MATCH(Annual!$A84,Qrtly!$A:$A,0),MATCH("4Q"&amp;RIGHT(Annual!X$1,2),Qrtly!$A$3:$BH$3,0))</f>
        <v>4803574.6439340329</v>
      </c>
      <c r="Y84" s="141">
        <f>INDEX(Qrtly!$A:$BH,MATCH(Annual!$A84,Qrtly!$A:$A,0),MATCH("1Q"&amp;RIGHT(Annual!Y$1,2),Qrtly!$A$3:$BH$3,0))+INDEX(Qrtly!$A:$BH,MATCH(Annual!$A84,Qrtly!$A:$A,0),MATCH("2Q"&amp;RIGHT(Annual!Y$1,2),Qrtly!$A$3:$BH$3,0))+INDEX(Qrtly!$A:$BH,MATCH(Annual!$A84,Qrtly!$A:$A,0),MATCH("3Q"&amp;RIGHT(Annual!Y$1,2),Qrtly!$A$3:$BH$3,0))+INDEX(Qrtly!$A:$BH,MATCH(Annual!$A84,Qrtly!$A:$A,0),MATCH("4Q"&amp;RIGHT(Annual!Y$1,2),Qrtly!$A$3:$BH$3,0))</f>
        <v>5796779.4027234074</v>
      </c>
      <c r="Z84" s="141">
        <f>INDEX(Qrtly!$A:$BH,MATCH(Annual!$A84,Qrtly!$A:$A,0),MATCH("1Q"&amp;RIGHT(Annual!Z$1,2),Qrtly!$A$3:$BH$3,0))+INDEX(Qrtly!$A:$BH,MATCH(Annual!$A84,Qrtly!$A:$A,0),MATCH("2Q"&amp;RIGHT(Annual!Z$1,2),Qrtly!$A$3:$BH$3,0))+INDEX(Qrtly!$A:$BH,MATCH(Annual!$A84,Qrtly!$A:$A,0),MATCH("3Q"&amp;RIGHT(Annual!Z$1,2),Qrtly!$A$3:$BH$3,0))+INDEX(Qrtly!$A:$BH,MATCH(Annual!$A84,Qrtly!$A:$A,0),MATCH("4Q"&amp;RIGHT(Annual!Z$1,2),Qrtly!$A$3:$BH$3,0))</f>
        <v>7004218.7344366703</v>
      </c>
      <c r="AA84" s="1"/>
      <c r="AB84" s="1"/>
      <c r="AC84" s="142">
        <v>1024924.6289669792</v>
      </c>
      <c r="AD84" s="85">
        <f t="shared" si="110"/>
        <v>321335.54481415264</v>
      </c>
      <c r="AE84" s="142">
        <v>1046340.321756358</v>
      </c>
      <c r="AF84" s="85">
        <f t="shared" ref="AF84" si="114">IF(ISBLANK(AE84),"",INDEX($A84:$AA84,1,MATCH(AE$3,$A$3:$AA$3,0))-AE84)</f>
        <v>-106825.71511103306</v>
      </c>
      <c r="AG84" s="1"/>
      <c r="AH84" s="1"/>
      <c r="AI84" s="1"/>
      <c r="AJ84" s="1"/>
    </row>
    <row r="85" spans="1:36" x14ac:dyDescent="0.25">
      <c r="A85" s="82"/>
      <c r="B85" s="92"/>
      <c r="C85" s="93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>
        <f>O87*75</f>
        <v>46475.999999999993</v>
      </c>
      <c r="P85" s="48">
        <f>P87*75</f>
        <v>46475.999999999993</v>
      </c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1"/>
      <c r="AB85" s="1"/>
      <c r="AC85" s="90">
        <v>46475.999999999993</v>
      </c>
      <c r="AD85" s="91">
        <f t="shared" si="110"/>
        <v>0</v>
      </c>
      <c r="AE85" s="90"/>
      <c r="AF85" s="91" t="str">
        <f t="shared" ref="AF85" si="115">IF(ISBLANK(AE85),"",INDEX($A85:$AA85,1,MATCH(AE$3,$A$3:$AA$3,0))-AE85)</f>
        <v/>
      </c>
      <c r="AG85" s="1"/>
      <c r="AH85" s="1"/>
      <c r="AI85" s="1"/>
      <c r="AJ85" s="1"/>
    </row>
    <row r="86" spans="1:36" x14ac:dyDescent="0.25">
      <c r="A86" s="82"/>
      <c r="B86" s="95" t="s">
        <v>47</v>
      </c>
      <c r="C86" s="93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>
        <f>P87/O87</f>
        <v>1</v>
      </c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1"/>
      <c r="AB86" s="1"/>
      <c r="AC86" s="90">
        <v>1</v>
      </c>
      <c r="AD86" s="91">
        <f t="shared" si="110"/>
        <v>0</v>
      </c>
      <c r="AE86" s="90"/>
      <c r="AF86" s="91" t="str">
        <f t="shared" ref="AF86" si="116">IF(ISBLANK(AE86),"",INDEX($A86:$AA86,1,MATCH(AE$3,$A$3:$AA$3,0))-AE86)</f>
        <v/>
      </c>
      <c r="AG86" s="1"/>
      <c r="AH86" s="1"/>
      <c r="AI86" s="1"/>
      <c r="AJ86" s="1"/>
    </row>
    <row r="87" spans="1:36" x14ac:dyDescent="0.25">
      <c r="A87" s="82" t="s">
        <v>41</v>
      </c>
      <c r="B87" s="100" t="s">
        <v>41</v>
      </c>
      <c r="C87" s="5" t="s">
        <v>364</v>
      </c>
      <c r="D87" s="124"/>
      <c r="E87" s="119"/>
      <c r="F87" s="119"/>
      <c r="G87" s="119"/>
      <c r="H87" s="119"/>
      <c r="I87" s="119"/>
      <c r="J87" s="119"/>
      <c r="K87" s="119"/>
      <c r="L87" s="119"/>
      <c r="M87" s="119">
        <v>600.05999999999995</v>
      </c>
      <c r="N87" s="119">
        <v>615.82000000000005</v>
      </c>
      <c r="O87" s="119">
        <v>619.67999999999995</v>
      </c>
      <c r="P87" s="356">
        <f>O87+(P211+P47)/P94/1000</f>
        <v>619.67999999999995</v>
      </c>
      <c r="Q87" s="356">
        <f>P87+(Q211+Q47)/Q94/1000</f>
        <v>619.67999999999995</v>
      </c>
      <c r="R87" s="356">
        <f t="shared" ref="R87:Z87" si="117">Q87+(R211+R47)/R94/1000</f>
        <v>607.70685576252458</v>
      </c>
      <c r="S87" s="356">
        <f t="shared" si="117"/>
        <v>595.73371152504922</v>
      </c>
      <c r="T87" s="356">
        <f>S87+(T211+T47)/T94/1000</f>
        <v>583.76056728757385</v>
      </c>
      <c r="U87" s="356">
        <f t="shared" si="117"/>
        <v>571.78742305009848</v>
      </c>
      <c r="V87" s="356">
        <f t="shared" si="117"/>
        <v>559.81427881262312</v>
      </c>
      <c r="W87" s="356">
        <f t="shared" si="117"/>
        <v>547.84113457514775</v>
      </c>
      <c r="X87" s="356">
        <f t="shared" si="117"/>
        <v>535.86799033767238</v>
      </c>
      <c r="Y87" s="356">
        <f t="shared" si="117"/>
        <v>523.89484610019701</v>
      </c>
      <c r="Z87" s="356">
        <f t="shared" si="117"/>
        <v>511.92170186272165</v>
      </c>
      <c r="AA87" s="1"/>
      <c r="AB87" s="1"/>
      <c r="AC87" s="145">
        <v>619.67999999999995</v>
      </c>
      <c r="AD87" s="146">
        <f t="shared" si="110"/>
        <v>0</v>
      </c>
      <c r="AE87" s="145">
        <v>619.67999999999995</v>
      </c>
      <c r="AF87" s="146">
        <f t="shared" ref="AF87" si="118">IF(ISBLANK(AE87),"",INDEX($A87:$AA87,1,MATCH(AE$3,$A$3:$AA$3,0))-AE87)</f>
        <v>0</v>
      </c>
      <c r="AG87" s="1"/>
      <c r="AH87" s="1"/>
      <c r="AI87" s="1"/>
      <c r="AJ87" s="1"/>
    </row>
    <row r="88" spans="1:36" x14ac:dyDescent="0.25">
      <c r="A88" s="82"/>
      <c r="B88" s="100" t="s">
        <v>365</v>
      </c>
      <c r="C88" s="5" t="s">
        <v>364</v>
      </c>
      <c r="D88" s="119"/>
      <c r="E88" s="119"/>
      <c r="F88" s="119"/>
      <c r="G88" s="119"/>
      <c r="H88" s="119"/>
      <c r="I88" s="119"/>
      <c r="J88" s="119"/>
      <c r="K88" s="119"/>
      <c r="L88" s="119">
        <v>458.43</v>
      </c>
      <c r="M88" s="119">
        <v>578.95000000000005</v>
      </c>
      <c r="N88" s="119">
        <v>608.86</v>
      </c>
      <c r="O88" s="119">
        <v>616.99</v>
      </c>
      <c r="P88" s="356">
        <f>AVERAGE(O87:P87)</f>
        <v>619.67999999999995</v>
      </c>
      <c r="Q88" s="356">
        <f t="shared" ref="Q88:Z88" si="119">AVERAGE(P87:Q87)</f>
        <v>619.67999999999995</v>
      </c>
      <c r="R88" s="356">
        <f t="shared" si="119"/>
        <v>613.69342788126232</v>
      </c>
      <c r="S88" s="356">
        <f t="shared" si="119"/>
        <v>601.72028364378684</v>
      </c>
      <c r="T88" s="356">
        <f t="shared" si="119"/>
        <v>589.74713940631159</v>
      </c>
      <c r="U88" s="356">
        <f t="shared" si="119"/>
        <v>577.77399516883611</v>
      </c>
      <c r="V88" s="356">
        <f t="shared" si="119"/>
        <v>565.80085093136086</v>
      </c>
      <c r="W88" s="356">
        <f t="shared" si="119"/>
        <v>553.82770669388537</v>
      </c>
      <c r="X88" s="356">
        <f t="shared" si="119"/>
        <v>541.85456245641012</v>
      </c>
      <c r="Y88" s="356">
        <f t="shared" si="119"/>
        <v>529.88141821893464</v>
      </c>
      <c r="Z88" s="356">
        <f t="shared" si="119"/>
        <v>517.90827398145939</v>
      </c>
      <c r="AA88" s="1"/>
      <c r="AB88" s="1"/>
      <c r="AC88" s="145">
        <v>619.67999999999995</v>
      </c>
      <c r="AD88" s="146">
        <f t="shared" si="110"/>
        <v>0</v>
      </c>
      <c r="AE88" s="145">
        <v>619.67999999999995</v>
      </c>
      <c r="AF88" s="146">
        <f t="shared" ref="AF88" si="120">IF(ISBLANK(AE88),"",INDEX($A88:$AA88,1,MATCH(AE$3,$A$3:$AA$3,0))-AE88)</f>
        <v>0</v>
      </c>
      <c r="AG88" s="1"/>
      <c r="AH88" s="1"/>
      <c r="AI88" s="1"/>
      <c r="AJ88" s="1"/>
    </row>
    <row r="89" spans="1:36" x14ac:dyDescent="0.25">
      <c r="A89" s="82"/>
      <c r="B89" s="92" t="s">
        <v>366</v>
      </c>
      <c r="C89" s="93" t="s">
        <v>364</v>
      </c>
      <c r="D89" s="46"/>
      <c r="E89" s="46"/>
      <c r="F89" s="46"/>
      <c r="G89" s="46"/>
      <c r="H89" s="46"/>
      <c r="I89" s="46"/>
      <c r="J89" s="46"/>
      <c r="K89" s="46"/>
      <c r="L89" s="46">
        <v>43.35</v>
      </c>
      <c r="M89" s="46">
        <v>0</v>
      </c>
      <c r="N89" s="46">
        <v>5.17</v>
      </c>
      <c r="O89" s="46">
        <v>19.399999999999999</v>
      </c>
      <c r="P89" s="361">
        <v>19.399999999999999</v>
      </c>
      <c r="Q89" s="361">
        <v>19.399999999999999</v>
      </c>
      <c r="R89" s="361">
        <v>19.399999999999999</v>
      </c>
      <c r="S89" s="361">
        <v>19.399999999999999</v>
      </c>
      <c r="T89" s="361">
        <v>19.399999999999999</v>
      </c>
      <c r="U89" s="361">
        <v>19.399999999999999</v>
      </c>
      <c r="V89" s="361">
        <v>19.399999999999999</v>
      </c>
      <c r="W89" s="361">
        <v>19.399999999999999</v>
      </c>
      <c r="X89" s="361">
        <v>19.399999999999999</v>
      </c>
      <c r="Y89" s="361">
        <v>19.399999999999999</v>
      </c>
      <c r="Z89" s="361">
        <v>19.399999999999999</v>
      </c>
      <c r="AA89" s="1"/>
      <c r="AB89" s="1"/>
      <c r="AC89" s="90">
        <v>19.399999999999999</v>
      </c>
      <c r="AD89" s="91">
        <f t="shared" si="110"/>
        <v>0</v>
      </c>
      <c r="AE89" s="90">
        <v>19.399999999999999</v>
      </c>
      <c r="AF89" s="91">
        <f t="shared" ref="AF89" si="121">IF(ISBLANK(AE89),"",INDEX($A89:$AA89,1,MATCH(AE$3,$A$3:$AA$3,0))-AE89)</f>
        <v>0</v>
      </c>
      <c r="AG89" s="1"/>
      <c r="AH89" s="1"/>
      <c r="AI89" s="1"/>
      <c r="AJ89" s="1"/>
    </row>
    <row r="90" spans="1:36" x14ac:dyDescent="0.25">
      <c r="A90" s="82" t="s">
        <v>367</v>
      </c>
      <c r="B90" s="100" t="s">
        <v>367</v>
      </c>
      <c r="C90" s="5" t="s">
        <v>364</v>
      </c>
      <c r="D90" s="119"/>
      <c r="E90" s="119"/>
      <c r="F90" s="119"/>
      <c r="G90" s="119"/>
      <c r="H90" s="119"/>
      <c r="I90" s="119"/>
      <c r="J90" s="119"/>
      <c r="K90" s="119"/>
      <c r="L90" s="119">
        <v>501.78</v>
      </c>
      <c r="M90" s="119">
        <v>578.95000000000005</v>
      </c>
      <c r="N90" s="119">
        <v>614.02</v>
      </c>
      <c r="O90" s="119">
        <v>636.39</v>
      </c>
      <c r="P90" s="356">
        <f>P88+P89</f>
        <v>639.07999999999993</v>
      </c>
      <c r="Q90" s="356">
        <f t="shared" ref="Q90:Z90" si="122">Q88+Q89</f>
        <v>639.07999999999993</v>
      </c>
      <c r="R90" s="356">
        <f t="shared" si="122"/>
        <v>633.0934278812623</v>
      </c>
      <c r="S90" s="356">
        <f t="shared" si="122"/>
        <v>621.12028364378682</v>
      </c>
      <c r="T90" s="356">
        <f t="shared" si="122"/>
        <v>609.14713940631157</v>
      </c>
      <c r="U90" s="356">
        <f t="shared" si="122"/>
        <v>597.17399516883609</v>
      </c>
      <c r="V90" s="356">
        <f t="shared" si="122"/>
        <v>585.20085093136083</v>
      </c>
      <c r="W90" s="356">
        <f t="shared" si="122"/>
        <v>573.22770669388535</v>
      </c>
      <c r="X90" s="356">
        <f t="shared" si="122"/>
        <v>561.2545624564101</v>
      </c>
      <c r="Y90" s="356">
        <f t="shared" si="122"/>
        <v>549.28141821893462</v>
      </c>
      <c r="Z90" s="356">
        <f t="shared" si="122"/>
        <v>537.30827398145937</v>
      </c>
      <c r="AA90" s="1"/>
      <c r="AB90" s="1"/>
      <c r="AC90" s="145">
        <v>639.07999999999993</v>
      </c>
      <c r="AD90" s="146">
        <f t="shared" si="110"/>
        <v>0</v>
      </c>
      <c r="AE90" s="145">
        <v>639.07999999999993</v>
      </c>
      <c r="AF90" s="146">
        <f t="shared" ref="AF90" si="123">IF(ISBLANK(AE90),"",INDEX($A90:$AA90,1,MATCH(AE$3,$A$3:$AA$3,0))-AE90)</f>
        <v>0</v>
      </c>
      <c r="AG90" s="1"/>
      <c r="AH90" s="1"/>
      <c r="AI90" s="1"/>
      <c r="AJ90" s="1"/>
    </row>
    <row r="91" spans="1:36" x14ac:dyDescent="0.25">
      <c r="A91" s="82"/>
      <c r="B91" s="92"/>
      <c r="C91" s="131"/>
      <c r="D91" s="2"/>
      <c r="E91" s="2"/>
      <c r="F91" s="2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76"/>
      <c r="AD91" s="77" t="str">
        <f t="shared" si="110"/>
        <v/>
      </c>
      <c r="AE91" s="76"/>
      <c r="AF91" s="77" t="str">
        <f t="shared" ref="AF91" si="124">IF(ISBLANK(AE91),"",INDEX($A91:$AA91,1,MATCH(AE$3,$A$3:$AA$3,0))-AE91)</f>
        <v/>
      </c>
      <c r="AG91" s="1"/>
      <c r="AH91" s="1"/>
      <c r="AI91" s="1"/>
      <c r="AJ91" s="1"/>
    </row>
    <row r="92" spans="1:36" x14ac:dyDescent="0.25">
      <c r="A92" s="82" t="s">
        <v>47</v>
      </c>
      <c r="B92" s="147" t="s">
        <v>368</v>
      </c>
      <c r="C92" s="148" t="s">
        <v>369</v>
      </c>
      <c r="D92" s="149"/>
      <c r="E92" s="149"/>
      <c r="F92" s="149"/>
      <c r="G92" s="149"/>
      <c r="H92" s="149"/>
      <c r="I92" s="149"/>
      <c r="J92" s="149"/>
      <c r="K92" s="149"/>
      <c r="L92" s="348">
        <f t="shared" ref="L92:N92" si="125">L79/L90/1000</f>
        <v>1.7766072780899997</v>
      </c>
      <c r="M92" s="348">
        <f t="shared" si="125"/>
        <v>1.0503532256671559</v>
      </c>
      <c r="N92" s="348">
        <f t="shared" si="125"/>
        <v>1.8355884173153969</v>
      </c>
      <c r="O92" s="348">
        <f>O79/O90/1000</f>
        <v>3.3639214946809348</v>
      </c>
      <c r="P92" s="348">
        <f t="shared" ref="P92:Z92" si="126">P79/P90/1000</f>
        <v>2.3420885081384677</v>
      </c>
      <c r="Q92" s="348">
        <f t="shared" si="126"/>
        <v>3.3593171442180787</v>
      </c>
      <c r="R92" s="348">
        <f t="shared" si="126"/>
        <v>4.3799273719038281</v>
      </c>
      <c r="S92" s="348">
        <f t="shared" si="126"/>
        <v>5.5008519280621027</v>
      </c>
      <c r="T92" s="348">
        <f t="shared" si="126"/>
        <v>6.6627547245103527</v>
      </c>
      <c r="U92" s="348">
        <f t="shared" si="126"/>
        <v>8.0529097138390711</v>
      </c>
      <c r="V92" s="348">
        <f t="shared" si="126"/>
        <v>9.7240143992883503</v>
      </c>
      <c r="W92" s="348">
        <f t="shared" si="126"/>
        <v>11.74282894736905</v>
      </c>
      <c r="X92" s="348">
        <f t="shared" si="126"/>
        <v>14.19423239950382</v>
      </c>
      <c r="Y92" s="348">
        <f t="shared" si="126"/>
        <v>17.186504857883509</v>
      </c>
      <c r="Z92" s="348">
        <f t="shared" si="126"/>
        <v>20.858177198655543</v>
      </c>
      <c r="AA92" s="1"/>
      <c r="AB92" s="1"/>
      <c r="AC92" s="150">
        <v>2.4199698261046807</v>
      </c>
      <c r="AD92" s="151">
        <f t="shared" si="110"/>
        <v>-7.7881317966213004E-2</v>
      </c>
      <c r="AE92" s="150">
        <v>3.506589986491039</v>
      </c>
      <c r="AF92" s="151">
        <f t="shared" ref="AF92" si="127">IF(ISBLANK(AE92),"",INDEX($A92:$AA92,1,MATCH(AE$3,$A$3:$AA$3,0))-AE92)</f>
        <v>-0.14727284227296034</v>
      </c>
      <c r="AG92" s="1"/>
      <c r="AH92" s="1"/>
      <c r="AI92" s="1"/>
      <c r="AJ92" s="1"/>
    </row>
    <row r="93" spans="1:36" x14ac:dyDescent="0.25">
      <c r="A93" s="82"/>
      <c r="B93" s="92" t="s">
        <v>370</v>
      </c>
      <c r="C93" s="93" t="s">
        <v>300</v>
      </c>
      <c r="D93" s="2"/>
      <c r="E93" s="2"/>
      <c r="F93" s="2"/>
      <c r="G93" s="2"/>
      <c r="H93" s="2"/>
      <c r="I93" s="2"/>
      <c r="J93" s="2"/>
      <c r="K93" s="2"/>
      <c r="L93" s="2" t="e">
        <v>#DIV/0!</v>
      </c>
      <c r="M93" s="50">
        <v>-0.41</v>
      </c>
      <c r="N93" s="50">
        <v>0.75</v>
      </c>
      <c r="O93" s="50">
        <f>O92/N92-1</f>
        <v>0.83261207302711737</v>
      </c>
      <c r="P93" s="50">
        <f t="shared" ref="P93:Z93" si="128">P92/O92-1</f>
        <v>-0.30376243564488625</v>
      </c>
      <c r="Q93" s="50">
        <f t="shared" si="128"/>
        <v>0.43432544609004631</v>
      </c>
      <c r="R93" s="50">
        <f t="shared" si="128"/>
        <v>0.3038147885031881</v>
      </c>
      <c r="S93" s="50">
        <f t="shared" si="128"/>
        <v>0.25592309209251596</v>
      </c>
      <c r="T93" s="50">
        <f t="shared" si="128"/>
        <v>0.21122233640227739</v>
      </c>
      <c r="U93" s="50">
        <f t="shared" si="128"/>
        <v>0.20864567987393245</v>
      </c>
      <c r="V93" s="50">
        <f t="shared" si="128"/>
        <v>0.20751563656270178</v>
      </c>
      <c r="W93" s="50">
        <f t="shared" si="128"/>
        <v>0.20761122569177259</v>
      </c>
      <c r="X93" s="50">
        <f t="shared" si="128"/>
        <v>0.20875748621749279</v>
      </c>
      <c r="Y93" s="50">
        <f t="shared" si="128"/>
        <v>0.21080903666789963</v>
      </c>
      <c r="Z93" s="50">
        <f t="shared" si="128"/>
        <v>0.21363694195727212</v>
      </c>
      <c r="AA93" s="1"/>
      <c r="AB93" s="1"/>
      <c r="AC93" s="116">
        <v>-0.28061049286341544</v>
      </c>
      <c r="AD93" s="91">
        <f t="shared" si="110"/>
        <v>-2.3151942781470813E-2</v>
      </c>
      <c r="AE93" s="116">
        <v>0.44902219385745124</v>
      </c>
      <c r="AF93" s="91">
        <f t="shared" ref="AF93" si="129">IF(ISBLANK(AE93),"",INDEX($A93:$AA93,1,MATCH(AE$3,$A$3:$AA$3,0))-AE93)</f>
        <v>-1.4696747767404927E-2</v>
      </c>
      <c r="AG93" s="1"/>
      <c r="AH93" s="1"/>
      <c r="AI93" s="1"/>
      <c r="AJ93" s="1"/>
    </row>
    <row r="94" spans="1:36" x14ac:dyDescent="0.25">
      <c r="A94" s="82"/>
      <c r="B94" s="92" t="s">
        <v>371</v>
      </c>
      <c r="C94" s="93" t="s">
        <v>369</v>
      </c>
      <c r="D94" s="48"/>
      <c r="E94" s="48"/>
      <c r="F94" s="48"/>
      <c r="G94" s="48"/>
      <c r="H94" s="46"/>
      <c r="I94" s="46"/>
      <c r="J94" s="46"/>
      <c r="K94" s="46"/>
      <c r="L94" s="46">
        <f>Value!$G$5</f>
        <v>62.75</v>
      </c>
      <c r="M94" s="46">
        <f>Value!$G$5</f>
        <v>62.75</v>
      </c>
      <c r="N94" s="46">
        <f>Value!$G$5</f>
        <v>62.75</v>
      </c>
      <c r="O94" s="46">
        <f>Value!$G$5</f>
        <v>62.75</v>
      </c>
      <c r="P94" s="352">
        <f>O94*1.1</f>
        <v>69.025000000000006</v>
      </c>
      <c r="Q94" s="352">
        <f t="shared" ref="Q94:Z94" si="130">P94*1.1</f>
        <v>75.927500000000009</v>
      </c>
      <c r="R94" s="352">
        <f t="shared" si="130"/>
        <v>83.520250000000019</v>
      </c>
      <c r="S94" s="352">
        <f t="shared" si="130"/>
        <v>91.87227500000003</v>
      </c>
      <c r="T94" s="352">
        <f t="shared" si="130"/>
        <v>101.05950250000004</v>
      </c>
      <c r="U94" s="352">
        <f t="shared" si="130"/>
        <v>111.16545275000004</v>
      </c>
      <c r="V94" s="352">
        <f t="shared" si="130"/>
        <v>122.28199802500005</v>
      </c>
      <c r="W94" s="352">
        <f t="shared" si="130"/>
        <v>134.51019782750006</v>
      </c>
      <c r="X94" s="352">
        <f t="shared" si="130"/>
        <v>147.96121761025009</v>
      </c>
      <c r="Y94" s="352">
        <f t="shared" si="130"/>
        <v>162.75733937127512</v>
      </c>
      <c r="Z94" s="352">
        <f t="shared" si="130"/>
        <v>179.03307330840266</v>
      </c>
      <c r="AA94" s="1"/>
      <c r="AB94" s="1"/>
      <c r="AC94" s="152">
        <v>79.86</v>
      </c>
      <c r="AD94" s="91">
        <f t="shared" si="110"/>
        <v>-10.834999999999994</v>
      </c>
      <c r="AE94" s="152">
        <v>87.846000000000004</v>
      </c>
      <c r="AF94" s="91">
        <f t="shared" ref="AF94" si="131">IF(ISBLANK(AE94),"",INDEX($A94:$AA94,1,MATCH(AE$3,$A$3:$AA$3,0))-AE94)</f>
        <v>-11.918499999999995</v>
      </c>
      <c r="AG94" s="1"/>
      <c r="AH94" s="1"/>
      <c r="AI94" s="1"/>
      <c r="AJ94" s="1"/>
    </row>
    <row r="95" spans="1:36" x14ac:dyDescent="0.25">
      <c r="A95" s="82"/>
      <c r="B95" s="92" t="s">
        <v>372</v>
      </c>
      <c r="C95" s="93" t="s">
        <v>11</v>
      </c>
      <c r="D95" s="46"/>
      <c r="E95" s="46"/>
      <c r="F95" s="46"/>
      <c r="G95" s="46"/>
      <c r="H95" s="46"/>
      <c r="I95" s="46"/>
      <c r="J95" s="46"/>
      <c r="K95" s="46"/>
      <c r="L95" s="349">
        <f t="shared" ref="L95:N95" si="132">L94/L92</f>
        <v>35.320129988131903</v>
      </c>
      <c r="M95" s="349">
        <f t="shared" si="132"/>
        <v>59.741807295486616</v>
      </c>
      <c r="N95" s="349">
        <f t="shared" si="132"/>
        <v>34.185223336598384</v>
      </c>
      <c r="O95" s="349">
        <f>O94/O92</f>
        <v>18.653824145189152</v>
      </c>
      <c r="P95" s="349">
        <f t="shared" ref="P95:Z95" si="133">P94/P92</f>
        <v>29.471559149087096</v>
      </c>
      <c r="Q95" s="349">
        <f t="shared" si="133"/>
        <v>22.602063675554827</v>
      </c>
      <c r="R95" s="349">
        <f t="shared" si="133"/>
        <v>19.068866423622037</v>
      </c>
      <c r="S95" s="349">
        <f t="shared" si="133"/>
        <v>16.701463009997028</v>
      </c>
      <c r="T95" s="349">
        <f t="shared" si="133"/>
        <v>15.167825723530131</v>
      </c>
      <c r="U95" s="349">
        <f t="shared" si="133"/>
        <v>13.804383347172042</v>
      </c>
      <c r="V95" s="349">
        <f t="shared" si="133"/>
        <v>12.575258838977987</v>
      </c>
      <c r="W95" s="349">
        <f t="shared" si="133"/>
        <v>11.454667221192617</v>
      </c>
      <c r="X95" s="349">
        <f t="shared" si="133"/>
        <v>10.424037978652674</v>
      </c>
      <c r="Y95" s="349">
        <f t="shared" si="133"/>
        <v>9.4700662361037171</v>
      </c>
      <c r="Z95" s="349">
        <f t="shared" si="133"/>
        <v>8.5833518242400686</v>
      </c>
      <c r="AA95" s="1"/>
      <c r="AB95" s="1"/>
      <c r="AC95" s="90">
        <v>33.000411467339298</v>
      </c>
      <c r="AD95" s="91">
        <f t="shared" si="110"/>
        <v>-3.528852318252202</v>
      </c>
      <c r="AE95" s="90">
        <v>25.051688488937199</v>
      </c>
      <c r="AF95" s="91">
        <f t="shared" ref="AF95" si="134">IF(ISBLANK(AE95),"",INDEX($A95:$AA95,1,MATCH(AE$3,$A$3:$AA$3,0))-AE95)</f>
        <v>-2.4496248133823713</v>
      </c>
      <c r="AG95" s="1"/>
      <c r="AH95" s="1"/>
      <c r="AI95" s="1"/>
      <c r="AJ95" s="1"/>
    </row>
    <row r="96" spans="1:36" x14ac:dyDescent="0.25">
      <c r="A96" s="82"/>
      <c r="B96" s="92"/>
      <c r="C96" s="131"/>
      <c r="D96" s="2"/>
      <c r="E96" s="2"/>
      <c r="F96" s="2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76"/>
      <c r="AD96" s="77" t="str">
        <f t="shared" si="110"/>
        <v/>
      </c>
      <c r="AE96" s="76"/>
      <c r="AF96" s="77" t="str">
        <f t="shared" ref="AF96" si="135">IF(ISBLANK(AE96),"",INDEX($A96:$AA96,1,MATCH(AE$3,$A$3:$AA$3,0))-AE96)</f>
        <v/>
      </c>
      <c r="AG96" s="1"/>
      <c r="AH96" s="1"/>
      <c r="AI96" s="1"/>
      <c r="AJ96" s="1"/>
    </row>
    <row r="97" spans="1:36" x14ac:dyDescent="0.25">
      <c r="A97" s="82"/>
      <c r="B97" s="95" t="s">
        <v>60</v>
      </c>
      <c r="C97" s="13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76"/>
      <c r="AD97" s="77" t="str">
        <f t="shared" si="110"/>
        <v/>
      </c>
      <c r="AE97" s="76"/>
      <c r="AF97" s="77" t="str">
        <f t="shared" ref="AF97" si="136">IF(ISBLANK(AE97),"",INDEX($A97:$AA97,1,MATCH(AE$3,$A$3:$AA$3,0))-AE97)</f>
        <v/>
      </c>
      <c r="AG97" s="1"/>
      <c r="AH97" s="1"/>
      <c r="AI97" s="1"/>
      <c r="AJ97" s="1"/>
    </row>
    <row r="98" spans="1:36" x14ac:dyDescent="0.25">
      <c r="A98" s="82" t="s">
        <v>60</v>
      </c>
      <c r="B98" s="100" t="s">
        <v>60</v>
      </c>
      <c r="C98" s="5" t="s">
        <v>369</v>
      </c>
      <c r="D98" s="119"/>
      <c r="E98" s="119"/>
      <c r="F98" s="119"/>
      <c r="G98" s="119"/>
      <c r="H98" s="119"/>
      <c r="I98" s="119"/>
      <c r="J98" s="119">
        <v>0</v>
      </c>
      <c r="K98" s="119">
        <v>0</v>
      </c>
      <c r="L98" s="119">
        <v>0</v>
      </c>
      <c r="M98" s="119">
        <v>0</v>
      </c>
      <c r="N98" s="119">
        <v>0</v>
      </c>
      <c r="O98" s="119">
        <v>0</v>
      </c>
      <c r="P98" s="101">
        <f>P92*P100</f>
        <v>0</v>
      </c>
      <c r="Q98" s="101">
        <f t="shared" ref="Q98:Z98" si="137">Q92*Q100</f>
        <v>0</v>
      </c>
      <c r="R98" s="101">
        <f t="shared" si="137"/>
        <v>0</v>
      </c>
      <c r="S98" s="101">
        <f t="shared" si="137"/>
        <v>0</v>
      </c>
      <c r="T98" s="101">
        <f t="shared" si="137"/>
        <v>0</v>
      </c>
      <c r="U98" s="101">
        <f t="shared" si="137"/>
        <v>0</v>
      </c>
      <c r="V98" s="101">
        <f t="shared" si="137"/>
        <v>0</v>
      </c>
      <c r="W98" s="101">
        <f t="shared" si="137"/>
        <v>0</v>
      </c>
      <c r="X98" s="101">
        <f t="shared" si="137"/>
        <v>0</v>
      </c>
      <c r="Y98" s="101">
        <f t="shared" si="137"/>
        <v>0</v>
      </c>
      <c r="Z98" s="353">
        <f t="shared" si="137"/>
        <v>16.686541758924434</v>
      </c>
      <c r="AA98" s="1"/>
      <c r="AB98" s="1"/>
      <c r="AC98" s="145">
        <v>0</v>
      </c>
      <c r="AD98" s="146">
        <f t="shared" si="110"/>
        <v>0</v>
      </c>
      <c r="AE98" s="145">
        <v>0</v>
      </c>
      <c r="AF98" s="146">
        <f t="shared" ref="AF98" si="138">IF(ISBLANK(AE98),"",INDEX($A98:$AA98,1,MATCH(AE$3,$A$3:$AA$3,0))-AE98)</f>
        <v>0</v>
      </c>
      <c r="AG98" s="1"/>
      <c r="AH98" s="1"/>
      <c r="AI98" s="1"/>
      <c r="AJ98" s="1"/>
    </row>
    <row r="99" spans="1:36" x14ac:dyDescent="0.25">
      <c r="A99" s="82"/>
      <c r="B99" s="100" t="s">
        <v>60</v>
      </c>
      <c r="C99" s="5" t="s">
        <v>298</v>
      </c>
      <c r="D99" s="101"/>
      <c r="E99" s="101"/>
      <c r="F99" s="101"/>
      <c r="G99" s="101"/>
      <c r="H99" s="101"/>
      <c r="I99" s="101"/>
      <c r="J99" s="101">
        <v>0</v>
      </c>
      <c r="K99" s="101">
        <v>0</v>
      </c>
      <c r="L99" s="101">
        <v>0</v>
      </c>
      <c r="M99" s="101">
        <v>0</v>
      </c>
      <c r="N99" s="101">
        <v>0</v>
      </c>
      <c r="O99" s="101">
        <v>0</v>
      </c>
      <c r="P99" s="101">
        <f>P98*P87*1000</f>
        <v>0</v>
      </c>
      <c r="Q99" s="101">
        <f t="shared" ref="Q99:Z99" si="139">Q98*Q87*1000</f>
        <v>0</v>
      </c>
      <c r="R99" s="101">
        <f t="shared" si="139"/>
        <v>0</v>
      </c>
      <c r="S99" s="101">
        <f t="shared" si="139"/>
        <v>0</v>
      </c>
      <c r="T99" s="101">
        <f t="shared" si="139"/>
        <v>0</v>
      </c>
      <c r="U99" s="101">
        <f t="shared" si="139"/>
        <v>0</v>
      </c>
      <c r="V99" s="101">
        <f t="shared" si="139"/>
        <v>0</v>
      </c>
      <c r="W99" s="101">
        <f t="shared" si="139"/>
        <v>0</v>
      </c>
      <c r="X99" s="101">
        <f t="shared" si="139"/>
        <v>0</v>
      </c>
      <c r="Y99" s="101">
        <f t="shared" si="139"/>
        <v>0</v>
      </c>
      <c r="Z99" s="101">
        <f t="shared" si="139"/>
        <v>8542202.8554319702</v>
      </c>
      <c r="AA99" s="1"/>
      <c r="AB99" s="1"/>
      <c r="AC99" s="145">
        <v>0</v>
      </c>
      <c r="AD99" s="146">
        <f t="shared" si="110"/>
        <v>0</v>
      </c>
      <c r="AE99" s="145">
        <v>0</v>
      </c>
      <c r="AF99" s="146">
        <f t="shared" ref="AF99" si="140">IF(ISBLANK(AE99),"",INDEX($A99:$AA99,1,MATCH(AE$3,$A$3:$AA$3,0))-AE99)</f>
        <v>0</v>
      </c>
      <c r="AG99" s="1"/>
      <c r="AH99" s="1"/>
      <c r="AI99" s="1"/>
      <c r="AJ99" s="1"/>
    </row>
    <row r="100" spans="1:36" x14ac:dyDescent="0.25">
      <c r="A100" s="82"/>
      <c r="B100" s="92" t="s">
        <v>373</v>
      </c>
      <c r="C100" s="93" t="s">
        <v>7</v>
      </c>
      <c r="D100" s="2"/>
      <c r="E100" s="2"/>
      <c r="F100" s="2"/>
      <c r="G100" s="2"/>
      <c r="H100" s="2"/>
      <c r="I100" s="2"/>
      <c r="J100" s="2" t="e">
        <v>#DIV/0!</v>
      </c>
      <c r="K100" s="2" t="e">
        <v>#DIV/0!</v>
      </c>
      <c r="L100" s="50">
        <v>0</v>
      </c>
      <c r="M100" s="50">
        <v>0</v>
      </c>
      <c r="N100" s="50">
        <v>0</v>
      </c>
      <c r="O100" s="50">
        <v>0</v>
      </c>
      <c r="P100" s="153">
        <v>0</v>
      </c>
      <c r="Q100" s="153">
        <v>0</v>
      </c>
      <c r="R100" s="153">
        <v>0</v>
      </c>
      <c r="S100" s="153">
        <v>0</v>
      </c>
      <c r="T100" s="153">
        <v>0</v>
      </c>
      <c r="U100" s="153">
        <v>0</v>
      </c>
      <c r="V100" s="153">
        <v>0</v>
      </c>
      <c r="W100" s="153">
        <v>0</v>
      </c>
      <c r="X100" s="153">
        <v>0</v>
      </c>
      <c r="Y100" s="153">
        <v>0</v>
      </c>
      <c r="Z100" s="154">
        <f>Value!$K$9</f>
        <v>0.8</v>
      </c>
      <c r="AA100" s="1"/>
      <c r="AB100" s="1"/>
      <c r="AC100" s="116">
        <v>0</v>
      </c>
      <c r="AD100" s="117">
        <f t="shared" si="110"/>
        <v>0</v>
      </c>
      <c r="AE100" s="116">
        <v>0</v>
      </c>
      <c r="AF100" s="117">
        <f t="shared" ref="AF100" si="141">IF(ISBLANK(AE100),"",INDEX($A100:$AA100,1,MATCH(AE$3,$A$3:$AA$3,0))-AE100)</f>
        <v>0</v>
      </c>
      <c r="AG100" s="1"/>
      <c r="AH100" s="1"/>
      <c r="AI100" s="1"/>
      <c r="AJ100" s="1"/>
    </row>
    <row r="101" spans="1:36" x14ac:dyDescent="0.25">
      <c r="A101" s="82"/>
      <c r="B101" s="92" t="s">
        <v>62</v>
      </c>
      <c r="C101" s="93" t="s">
        <v>7</v>
      </c>
      <c r="D101" s="2"/>
      <c r="E101" s="2"/>
      <c r="F101" s="2"/>
      <c r="G101" s="2"/>
      <c r="H101" s="2"/>
      <c r="I101" s="2"/>
      <c r="J101" s="2" t="e">
        <v>#VALUE!</v>
      </c>
      <c r="K101" s="2" t="e">
        <v>#VALUE!</v>
      </c>
      <c r="L101" s="2" t="e">
        <v>#VALUE!</v>
      </c>
      <c r="M101" s="2" t="e">
        <v>#VALUE!</v>
      </c>
      <c r="N101" s="2" t="e">
        <v>#VALUE!</v>
      </c>
      <c r="O101" s="2" t="e">
        <v>#VALUE!</v>
      </c>
      <c r="P101" s="2" t="e">
        <v>#VALUE!</v>
      </c>
      <c r="Q101" s="2" t="e">
        <v>#VALUE!</v>
      </c>
      <c r="R101" s="2" t="e">
        <v>#VALUE!</v>
      </c>
      <c r="S101" s="2" t="e">
        <v>#VALUE!</v>
      </c>
      <c r="T101" s="2" t="e">
        <v>#VALUE!</v>
      </c>
      <c r="U101" s="2" t="e">
        <v>#VALUE!</v>
      </c>
      <c r="V101" s="2" t="e">
        <v>#VALUE!</v>
      </c>
      <c r="W101" s="2" t="e">
        <v>#VALUE!</v>
      </c>
      <c r="X101" s="2" t="e">
        <v>#VALUE!</v>
      </c>
      <c r="Y101" s="2" t="e">
        <v>#VALUE!</v>
      </c>
      <c r="Z101" s="2" t="e">
        <v>#VALUE!</v>
      </c>
      <c r="AA101" s="1"/>
      <c r="AB101" s="1"/>
      <c r="AC101" s="105" t="e">
        <v>#VALUE!</v>
      </c>
      <c r="AD101" s="91" t="e">
        <f t="shared" si="110"/>
        <v>#VALUE!</v>
      </c>
      <c r="AE101" s="105" t="e">
        <v>#VALUE!</v>
      </c>
      <c r="AF101" s="91" t="e">
        <f t="shared" ref="AF101" si="142">IF(ISBLANK(AE101),"",INDEX($A101:$AA101,1,MATCH(AE$3,$A$3:$AA$3,0))-AE101)</f>
        <v>#VALUE!</v>
      </c>
      <c r="AG101" s="1"/>
      <c r="AH101" s="1"/>
      <c r="AI101" s="1"/>
      <c r="AJ101" s="1"/>
    </row>
    <row r="102" spans="1:36" x14ac:dyDescent="0.25">
      <c r="A102" s="82"/>
      <c r="B102" s="92" t="s">
        <v>374</v>
      </c>
      <c r="C102" s="93" t="s">
        <v>300</v>
      </c>
      <c r="D102" s="2"/>
      <c r="E102" s="2"/>
      <c r="F102" s="2"/>
      <c r="G102" s="2"/>
      <c r="H102" s="2"/>
      <c r="I102" s="2"/>
      <c r="J102" s="2" t="e">
        <v>#DIV/0!</v>
      </c>
      <c r="K102" s="2" t="e">
        <v>#DIV/0!</v>
      </c>
      <c r="L102" s="2" t="e">
        <v>#DIV/0!</v>
      </c>
      <c r="M102" s="2" t="e">
        <v>#DIV/0!</v>
      </c>
      <c r="N102" s="2" t="e">
        <v>#DIV/0!</v>
      </c>
      <c r="O102" s="2" t="e">
        <v>#DIV/0!</v>
      </c>
      <c r="P102" s="2" t="e">
        <v>#VALUE!</v>
      </c>
      <c r="Q102" s="2" t="e">
        <v>#VALUE!</v>
      </c>
      <c r="R102" s="2" t="e">
        <v>#VALUE!</v>
      </c>
      <c r="S102" s="2" t="e">
        <v>#VALUE!</v>
      </c>
      <c r="T102" s="2" t="e">
        <v>#VALUE!</v>
      </c>
      <c r="U102" s="2" t="e">
        <v>#VALUE!</v>
      </c>
      <c r="V102" s="2" t="e">
        <v>#VALUE!</v>
      </c>
      <c r="W102" s="2" t="e">
        <v>#VALUE!</v>
      </c>
      <c r="X102" s="2" t="e">
        <v>#VALUE!</v>
      </c>
      <c r="Y102" s="2" t="e">
        <v>#VALUE!</v>
      </c>
      <c r="Z102" s="2" t="e">
        <v>#VALUE!</v>
      </c>
      <c r="AA102" s="1"/>
      <c r="AB102" s="1"/>
      <c r="AC102" s="90" t="e">
        <v>#VALUE!</v>
      </c>
      <c r="AD102" s="91" t="e">
        <f t="shared" si="110"/>
        <v>#VALUE!</v>
      </c>
      <c r="AE102" s="90" t="e">
        <v>#VALUE!</v>
      </c>
      <c r="AF102" s="91" t="e">
        <f t="shared" ref="AF102" si="143">IF(ISBLANK(AE102),"",INDEX($A102:$AA102,1,MATCH(AE$3,$A$3:$AA$3,0))-AE102)</f>
        <v>#VALUE!</v>
      </c>
      <c r="AG102" s="1"/>
      <c r="AH102" s="1"/>
      <c r="AI102" s="1"/>
      <c r="AJ102" s="1"/>
    </row>
    <row r="103" spans="1:36" x14ac:dyDescent="0.25">
      <c r="A103" s="82"/>
      <c r="B103" s="155"/>
      <c r="C103" s="111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1"/>
      <c r="AB103" s="1"/>
      <c r="AC103" s="90"/>
      <c r="AD103" s="91" t="str">
        <f t="shared" si="110"/>
        <v/>
      </c>
      <c r="AE103" s="90"/>
      <c r="AF103" s="91" t="str">
        <f t="shared" ref="AF103" si="144">IF(ISBLANK(AE103),"",INDEX($A103:$AA103,1,MATCH(AE$3,$A$3:$AA$3,0))-AE103)</f>
        <v/>
      </c>
      <c r="AG103" s="1"/>
      <c r="AH103" s="1"/>
      <c r="AI103" s="1"/>
      <c r="AJ103" s="1"/>
    </row>
    <row r="104" spans="1:36" x14ac:dyDescent="0.25">
      <c r="A104" s="82"/>
      <c r="B104" s="156" t="s">
        <v>375</v>
      </c>
      <c r="C104" s="157"/>
      <c r="D104" s="158"/>
      <c r="E104" s="158"/>
      <c r="F104" s="158" t="s">
        <v>376</v>
      </c>
      <c r="G104" s="158">
        <v>2016</v>
      </c>
      <c r="H104" s="158">
        <v>2017</v>
      </c>
      <c r="I104" s="158">
        <v>2018</v>
      </c>
      <c r="J104" s="158">
        <v>2019</v>
      </c>
      <c r="K104" s="158">
        <v>2020</v>
      </c>
      <c r="L104" s="158">
        <v>2021</v>
      </c>
      <c r="M104" s="158">
        <v>2022</v>
      </c>
      <c r="N104" s="158">
        <v>2023</v>
      </c>
      <c r="O104" s="158">
        <v>2024</v>
      </c>
      <c r="P104" s="158">
        <v>2025</v>
      </c>
      <c r="Q104" s="158">
        <v>2026</v>
      </c>
      <c r="R104" s="158">
        <v>2027</v>
      </c>
      <c r="S104" s="158">
        <v>2028</v>
      </c>
      <c r="T104" s="158">
        <v>2029</v>
      </c>
      <c r="U104" s="158">
        <v>2030</v>
      </c>
      <c r="V104" s="158">
        <v>2031</v>
      </c>
      <c r="W104" s="158">
        <v>2032</v>
      </c>
      <c r="X104" s="158">
        <v>2033</v>
      </c>
      <c r="Y104" s="158">
        <v>2034</v>
      </c>
      <c r="Z104" s="158">
        <v>2035</v>
      </c>
      <c r="AA104" s="1"/>
      <c r="AB104" s="1"/>
      <c r="AC104" s="84">
        <v>2025</v>
      </c>
      <c r="AD104" s="85">
        <f t="shared" si="110"/>
        <v>0</v>
      </c>
      <c r="AE104" s="84">
        <v>2026</v>
      </c>
      <c r="AF104" s="85">
        <f t="shared" ref="AF104" si="145">IF(ISBLANK(AE104),"",INDEX($A104:$AA104,1,MATCH(AE$3,$A$3:$AA$3,0))-AE104)</f>
        <v>0</v>
      </c>
      <c r="AG104" s="1"/>
      <c r="AH104" s="1"/>
      <c r="AI104" s="1"/>
      <c r="AJ104" s="1"/>
    </row>
    <row r="105" spans="1:36" x14ac:dyDescent="0.25">
      <c r="A105" s="82"/>
      <c r="B105" s="92"/>
      <c r="C105" s="111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1"/>
      <c r="AB105" s="1"/>
      <c r="AC105" s="90"/>
      <c r="AD105" s="91" t="str">
        <f t="shared" si="110"/>
        <v/>
      </c>
      <c r="AE105" s="90"/>
      <c r="AF105" s="91" t="str">
        <f t="shared" ref="AF105" si="146">IF(ISBLANK(AE105),"",INDEX($A105:$AA105,1,MATCH(AE$3,$A$3:$AA$3,0))-AE105)</f>
        <v/>
      </c>
      <c r="AG105" s="1"/>
      <c r="AH105" s="1"/>
      <c r="AI105" s="1"/>
      <c r="AJ105" s="1"/>
    </row>
    <row r="106" spans="1:36" x14ac:dyDescent="0.25">
      <c r="A106" s="109"/>
      <c r="B106" s="95" t="s">
        <v>377</v>
      </c>
      <c r="C106" s="111"/>
      <c r="D106" s="45"/>
      <c r="E106" s="46"/>
      <c r="F106" s="46"/>
      <c r="G106" s="46"/>
      <c r="H106" s="46"/>
      <c r="I106" s="46"/>
      <c r="J106" s="2"/>
      <c r="K106" s="2"/>
      <c r="L106" s="46"/>
      <c r="M106" s="2"/>
      <c r="N106" s="2"/>
      <c r="O106" s="2"/>
      <c r="P106" s="50">
        <v>0.16</v>
      </c>
      <c r="Q106" s="45"/>
      <c r="R106" s="46"/>
      <c r="S106" s="46"/>
      <c r="T106" s="46"/>
      <c r="U106" s="46"/>
      <c r="V106" s="46"/>
      <c r="W106" s="46"/>
      <c r="X106" s="46"/>
      <c r="Y106" s="46"/>
      <c r="Z106" s="46"/>
      <c r="AA106" s="45"/>
      <c r="AB106" s="45"/>
      <c r="AC106" s="116">
        <v>0.16</v>
      </c>
      <c r="AD106" s="91">
        <f t="shared" si="110"/>
        <v>0</v>
      </c>
      <c r="AE106" s="90"/>
      <c r="AF106" s="91" t="str">
        <f t="shared" ref="AF106" si="147">IF(ISBLANK(AE106),"",INDEX($A106:$AA106,1,MATCH(AE$3,$A$3:$AA$3,0))-AE106)</f>
        <v/>
      </c>
      <c r="AG106" s="45"/>
      <c r="AH106" s="45"/>
      <c r="AI106" s="45"/>
      <c r="AJ106" s="45"/>
    </row>
    <row r="107" spans="1:36" x14ac:dyDescent="0.25">
      <c r="A107" s="109"/>
      <c r="B107" s="92" t="s">
        <v>378</v>
      </c>
      <c r="C107" s="111" t="s">
        <v>298</v>
      </c>
      <c r="D107" s="46"/>
      <c r="E107" s="46"/>
      <c r="F107" s="46"/>
      <c r="G107" s="46"/>
      <c r="H107" s="46"/>
      <c r="I107" s="46"/>
      <c r="J107" s="46"/>
      <c r="K107" s="46"/>
      <c r="L107" s="46"/>
      <c r="M107" s="108">
        <v>2068966</v>
      </c>
      <c r="N107" s="108">
        <v>3600000</v>
      </c>
      <c r="O107" s="108">
        <v>9000000</v>
      </c>
      <c r="P107" s="97">
        <f>O107*(1+P108)</f>
        <v>18000000</v>
      </c>
      <c r="Q107" s="97">
        <f t="shared" ref="Q107:Z107" si="148">P107*(1+Q108)</f>
        <v>31500000</v>
      </c>
      <c r="R107" s="97">
        <f t="shared" si="148"/>
        <v>47250000</v>
      </c>
      <c r="S107" s="97">
        <f t="shared" si="148"/>
        <v>70875000</v>
      </c>
      <c r="T107" s="97">
        <f t="shared" si="148"/>
        <v>92137500</v>
      </c>
      <c r="U107" s="97">
        <f t="shared" si="148"/>
        <v>119778750</v>
      </c>
      <c r="V107" s="97">
        <f t="shared" si="148"/>
        <v>155712375</v>
      </c>
      <c r="W107" s="97">
        <f t="shared" si="148"/>
        <v>202426087.5</v>
      </c>
      <c r="X107" s="97">
        <f t="shared" si="148"/>
        <v>263153913.75</v>
      </c>
      <c r="Y107" s="97">
        <f t="shared" si="148"/>
        <v>342100087.875</v>
      </c>
      <c r="Z107" s="97">
        <f t="shared" si="148"/>
        <v>444730114.23750001</v>
      </c>
      <c r="AA107" s="45"/>
      <c r="AB107" s="45"/>
      <c r="AC107" s="116">
        <v>18000000</v>
      </c>
      <c r="AD107" s="91">
        <f t="shared" si="110"/>
        <v>0</v>
      </c>
      <c r="AE107" s="116">
        <v>31500000</v>
      </c>
      <c r="AF107" s="91">
        <f t="shared" ref="AF107" si="149">IF(ISBLANK(AE107),"",INDEX($A107:$AA107,1,MATCH(AE$3,$A$3:$AA$3,0))-AE107)</f>
        <v>0</v>
      </c>
      <c r="AG107" s="45"/>
      <c r="AH107" s="45"/>
      <c r="AI107" s="45"/>
      <c r="AJ107" s="45"/>
    </row>
    <row r="108" spans="1:36" x14ac:dyDescent="0.25">
      <c r="A108" s="82"/>
      <c r="B108" s="129" t="s">
        <v>299</v>
      </c>
      <c r="C108" s="93" t="s">
        <v>300</v>
      </c>
      <c r="D108" s="1"/>
      <c r="E108" s="2"/>
      <c r="F108" s="2"/>
      <c r="G108" s="2"/>
      <c r="H108" s="2"/>
      <c r="I108" s="2"/>
      <c r="J108" s="2"/>
      <c r="K108" s="2"/>
      <c r="L108" s="2"/>
      <c r="M108" s="2"/>
      <c r="N108" s="62">
        <v>0.74</v>
      </c>
      <c r="O108" s="62">
        <v>1.5</v>
      </c>
      <c r="P108" s="159">
        <v>1</v>
      </c>
      <c r="Q108" s="159">
        <v>0.75</v>
      </c>
      <c r="R108" s="159">
        <v>0.5</v>
      </c>
      <c r="S108" s="159">
        <v>0.5</v>
      </c>
      <c r="T108" s="159">
        <v>0.3</v>
      </c>
      <c r="U108" s="159">
        <v>0.3</v>
      </c>
      <c r="V108" s="159">
        <v>0.3</v>
      </c>
      <c r="W108" s="159">
        <v>0.3</v>
      </c>
      <c r="X108" s="159">
        <v>0.3</v>
      </c>
      <c r="Y108" s="159">
        <v>0.3</v>
      </c>
      <c r="Z108" s="159">
        <v>0.3</v>
      </c>
      <c r="AA108" s="1"/>
      <c r="AB108" s="1"/>
      <c r="AC108" s="105">
        <v>1</v>
      </c>
      <c r="AD108" s="106">
        <f t="shared" si="110"/>
        <v>0</v>
      </c>
      <c r="AE108" s="105">
        <v>0.75</v>
      </c>
      <c r="AF108" s="106">
        <f t="shared" ref="AF108" si="150">IF(ISBLANK(AE108),"",INDEX($A108:$AA108,1,MATCH(AE$3,$A$3:$AA$3,0))-AE108)</f>
        <v>0</v>
      </c>
      <c r="AG108" s="1"/>
      <c r="AH108" s="1"/>
      <c r="AI108" s="1"/>
      <c r="AJ108" s="1"/>
    </row>
    <row r="109" spans="1:36" x14ac:dyDescent="0.25">
      <c r="A109" s="109"/>
      <c r="B109" s="155" t="s">
        <v>379</v>
      </c>
      <c r="C109" s="111" t="s">
        <v>7</v>
      </c>
      <c r="D109" s="46"/>
      <c r="E109" s="46"/>
      <c r="F109" s="46"/>
      <c r="G109" s="46"/>
      <c r="H109" s="46"/>
      <c r="I109" s="46"/>
      <c r="J109" s="46"/>
      <c r="K109" s="46"/>
      <c r="L109" s="46"/>
      <c r="M109" s="160">
        <v>0.05</v>
      </c>
      <c r="N109" s="160">
        <v>0.05</v>
      </c>
      <c r="O109" s="160">
        <v>0.05</v>
      </c>
      <c r="P109" s="160">
        <v>0.05</v>
      </c>
      <c r="Q109" s="160">
        <v>0.05</v>
      </c>
      <c r="R109" s="160">
        <v>0.05</v>
      </c>
      <c r="S109" s="160">
        <v>0.05</v>
      </c>
      <c r="T109" s="160">
        <v>0.05</v>
      </c>
      <c r="U109" s="160">
        <v>0.05</v>
      </c>
      <c r="V109" s="160">
        <v>0.05</v>
      </c>
      <c r="W109" s="160">
        <v>0.05</v>
      </c>
      <c r="X109" s="160">
        <v>0.05</v>
      </c>
      <c r="Y109" s="160">
        <v>0.05</v>
      </c>
      <c r="Z109" s="160">
        <v>0.05</v>
      </c>
      <c r="AA109" s="45"/>
      <c r="AB109" s="45"/>
      <c r="AC109" s="116">
        <v>0.05</v>
      </c>
      <c r="AD109" s="91">
        <f t="shared" si="110"/>
        <v>0</v>
      </c>
      <c r="AE109" s="116">
        <v>0.05</v>
      </c>
      <c r="AF109" s="91">
        <f t="shared" ref="AF109" si="151">IF(ISBLANK(AE109),"",INDEX($A109:$AA109,1,MATCH(AE$3,$A$3:$AA$3,0))-AE109)</f>
        <v>0</v>
      </c>
      <c r="AG109" s="45"/>
      <c r="AH109" s="45"/>
      <c r="AI109" s="45"/>
      <c r="AJ109" s="45"/>
    </row>
    <row r="110" spans="1:36" x14ac:dyDescent="0.25">
      <c r="A110" s="109"/>
      <c r="B110" s="155" t="s">
        <v>380</v>
      </c>
      <c r="C110" s="111" t="s">
        <v>298</v>
      </c>
      <c r="D110" s="46"/>
      <c r="E110" s="46"/>
      <c r="F110" s="46"/>
      <c r="G110" s="46"/>
      <c r="H110" s="46"/>
      <c r="I110" s="46"/>
      <c r="J110" s="46"/>
      <c r="K110" s="46"/>
      <c r="L110" s="46"/>
      <c r="M110" s="97">
        <f>M107*M109</f>
        <v>103448.3</v>
      </c>
      <c r="N110" s="97">
        <f t="shared" ref="N110:Z110" si="152">N107*N109</f>
        <v>180000</v>
      </c>
      <c r="O110" s="97">
        <f t="shared" si="152"/>
        <v>450000</v>
      </c>
      <c r="P110" s="97">
        <f t="shared" si="152"/>
        <v>900000</v>
      </c>
      <c r="Q110" s="97">
        <f t="shared" si="152"/>
        <v>1575000</v>
      </c>
      <c r="R110" s="97">
        <f t="shared" si="152"/>
        <v>2362500</v>
      </c>
      <c r="S110" s="97">
        <f t="shared" si="152"/>
        <v>3543750</v>
      </c>
      <c r="T110" s="97">
        <f t="shared" si="152"/>
        <v>4606875</v>
      </c>
      <c r="U110" s="97">
        <f t="shared" si="152"/>
        <v>5988937.5</v>
      </c>
      <c r="V110" s="97">
        <f t="shared" si="152"/>
        <v>7785618.75</v>
      </c>
      <c r="W110" s="97">
        <f t="shared" si="152"/>
        <v>10121304.375</v>
      </c>
      <c r="X110" s="97">
        <f t="shared" si="152"/>
        <v>13157695.6875</v>
      </c>
      <c r="Y110" s="97">
        <f t="shared" si="152"/>
        <v>17105004.393750001</v>
      </c>
      <c r="Z110" s="97">
        <f t="shared" si="152"/>
        <v>22236505.711875003</v>
      </c>
      <c r="AA110" s="45"/>
      <c r="AB110" s="45"/>
      <c r="AC110" s="116">
        <v>900000</v>
      </c>
      <c r="AD110" s="91">
        <f t="shared" si="110"/>
        <v>0</v>
      </c>
      <c r="AE110" s="116">
        <v>1575000</v>
      </c>
      <c r="AF110" s="91">
        <f t="shared" ref="AF110" si="153">IF(ISBLANK(AE110),"",INDEX($A110:$AA110,1,MATCH(AE$3,$A$3:$AA$3,0))-AE110)</f>
        <v>0</v>
      </c>
      <c r="AG110" s="45"/>
      <c r="AH110" s="45"/>
      <c r="AI110" s="45"/>
      <c r="AJ110" s="45"/>
    </row>
    <row r="111" spans="1:36" x14ac:dyDescent="0.25">
      <c r="A111" s="109"/>
      <c r="B111" s="110" t="s">
        <v>381</v>
      </c>
      <c r="C111" s="111" t="s">
        <v>7</v>
      </c>
      <c r="D111" s="46"/>
      <c r="E111" s="46"/>
      <c r="F111" s="46"/>
      <c r="G111" s="46"/>
      <c r="H111" s="46"/>
      <c r="I111" s="46"/>
      <c r="J111" s="46"/>
      <c r="K111" s="46"/>
      <c r="L111" s="46"/>
      <c r="M111" s="160">
        <v>0.9</v>
      </c>
      <c r="N111" s="160">
        <v>0.9</v>
      </c>
      <c r="O111" s="160">
        <v>0.9</v>
      </c>
      <c r="P111" s="160">
        <v>0.9</v>
      </c>
      <c r="Q111" s="160">
        <v>0.9</v>
      </c>
      <c r="R111" s="160">
        <v>0.9</v>
      </c>
      <c r="S111" s="160">
        <v>0.9</v>
      </c>
      <c r="T111" s="160">
        <v>0.9</v>
      </c>
      <c r="U111" s="160">
        <v>0.9</v>
      </c>
      <c r="V111" s="160">
        <v>0.9</v>
      </c>
      <c r="W111" s="160">
        <v>0.9</v>
      </c>
      <c r="X111" s="160">
        <v>0.9</v>
      </c>
      <c r="Y111" s="160">
        <v>0.9</v>
      </c>
      <c r="Z111" s="160">
        <v>0.9</v>
      </c>
      <c r="AA111" s="45"/>
      <c r="AB111" s="45"/>
      <c r="AC111" s="116">
        <v>0.9</v>
      </c>
      <c r="AD111" s="91">
        <f t="shared" si="110"/>
        <v>0</v>
      </c>
      <c r="AE111" s="116">
        <v>0.9</v>
      </c>
      <c r="AF111" s="91">
        <f t="shared" ref="AF111" si="154">IF(ISBLANK(AE111),"",INDEX($A111:$AA111,1,MATCH(AE$3,$A$3:$AA$3,0))-AE111)</f>
        <v>0</v>
      </c>
      <c r="AG111" s="45"/>
      <c r="AH111" s="45"/>
      <c r="AI111" s="45"/>
      <c r="AJ111" s="45"/>
    </row>
    <row r="112" spans="1:36" x14ac:dyDescent="0.25">
      <c r="A112" s="109"/>
      <c r="B112" s="155" t="s">
        <v>382</v>
      </c>
      <c r="C112" s="111" t="s">
        <v>298</v>
      </c>
      <c r="D112" s="46"/>
      <c r="E112" s="46"/>
      <c r="F112" s="46"/>
      <c r="G112" s="46"/>
      <c r="H112" s="46"/>
      <c r="I112" s="46"/>
      <c r="J112" s="46"/>
      <c r="K112" s="46"/>
      <c r="L112" s="46"/>
      <c r="M112" s="97">
        <f>M110*M111</f>
        <v>93103.47</v>
      </c>
      <c r="N112" s="97">
        <f t="shared" ref="N112:AA112" si="155">N110*N111</f>
        <v>162000</v>
      </c>
      <c r="O112" s="97">
        <f t="shared" si="155"/>
        <v>405000</v>
      </c>
      <c r="P112" s="97">
        <f t="shared" si="155"/>
        <v>810000</v>
      </c>
      <c r="Q112" s="97">
        <f t="shared" si="155"/>
        <v>1417500</v>
      </c>
      <c r="R112" s="97">
        <f t="shared" si="155"/>
        <v>2126250</v>
      </c>
      <c r="S112" s="97">
        <f t="shared" si="155"/>
        <v>3189375</v>
      </c>
      <c r="T112" s="97">
        <f t="shared" si="155"/>
        <v>4146187.5</v>
      </c>
      <c r="U112" s="97">
        <f t="shared" si="155"/>
        <v>5390043.75</v>
      </c>
      <c r="V112" s="97">
        <f t="shared" si="155"/>
        <v>7007056.875</v>
      </c>
      <c r="W112" s="97">
        <f t="shared" si="155"/>
        <v>9109173.9375</v>
      </c>
      <c r="X112" s="97">
        <f t="shared" si="155"/>
        <v>11841926.11875</v>
      </c>
      <c r="Y112" s="97">
        <f t="shared" si="155"/>
        <v>15394503.954375001</v>
      </c>
      <c r="Z112" s="97">
        <f t="shared" si="155"/>
        <v>20012855.140687503</v>
      </c>
      <c r="AA112" s="97">
        <f t="shared" si="155"/>
        <v>0</v>
      </c>
      <c r="AB112" s="45"/>
      <c r="AC112" s="116">
        <v>810000</v>
      </c>
      <c r="AD112" s="91">
        <f t="shared" si="110"/>
        <v>0</v>
      </c>
      <c r="AE112" s="116">
        <v>1417500</v>
      </c>
      <c r="AF112" s="91">
        <f t="shared" ref="AF112" si="156">IF(ISBLANK(AE112),"",INDEX($A112:$AA112,1,MATCH(AE$3,$A$3:$AA$3,0))-AE112)</f>
        <v>0</v>
      </c>
      <c r="AG112" s="45"/>
      <c r="AH112" s="45"/>
      <c r="AI112" s="45"/>
      <c r="AJ112" s="45"/>
    </row>
    <row r="113" spans="1:36" x14ac:dyDescent="0.25">
      <c r="A113" s="109"/>
      <c r="B113" s="155"/>
      <c r="C113" s="111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5"/>
      <c r="AB113" s="45"/>
      <c r="AC113" s="90"/>
      <c r="AD113" s="91" t="str">
        <f t="shared" si="110"/>
        <v/>
      </c>
      <c r="AE113" s="90"/>
      <c r="AF113" s="91" t="str">
        <f t="shared" ref="AF113" si="157">IF(ISBLANK(AE113),"",INDEX($A113:$AA113,1,MATCH(AE$3,$A$3:$AA$3,0))-AE113)</f>
        <v/>
      </c>
      <c r="AG113" s="45"/>
      <c r="AH113" s="45"/>
      <c r="AI113" s="45"/>
      <c r="AJ113" s="45"/>
    </row>
    <row r="114" spans="1:36" x14ac:dyDescent="0.25">
      <c r="A114" s="109"/>
      <c r="B114" s="155" t="s">
        <v>383</v>
      </c>
      <c r="C114" s="111" t="s">
        <v>7</v>
      </c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123">
        <v>0</v>
      </c>
      <c r="P114" s="160">
        <v>0.05</v>
      </c>
      <c r="Q114" s="160">
        <v>0.05</v>
      </c>
      <c r="R114" s="160">
        <v>0.05</v>
      </c>
      <c r="S114" s="160">
        <v>0.05</v>
      </c>
      <c r="T114" s="160">
        <v>0.05</v>
      </c>
      <c r="U114" s="160">
        <v>0.05</v>
      </c>
      <c r="V114" s="160">
        <v>0.05</v>
      </c>
      <c r="W114" s="160">
        <v>0.05</v>
      </c>
      <c r="X114" s="160">
        <v>0.05</v>
      </c>
      <c r="Y114" s="160">
        <v>0.05</v>
      </c>
      <c r="Z114" s="160">
        <v>0.05</v>
      </c>
      <c r="AA114" s="45"/>
      <c r="AB114" s="45"/>
      <c r="AC114" s="116">
        <v>0.05</v>
      </c>
      <c r="AD114" s="91">
        <f t="shared" si="110"/>
        <v>0</v>
      </c>
      <c r="AE114" s="116">
        <v>0.05</v>
      </c>
      <c r="AF114" s="91">
        <f t="shared" ref="AF114" si="158">IF(ISBLANK(AE114),"",INDEX($A114:$AA114,1,MATCH(AE$3,$A$3:$AA$3,0))-AE114)</f>
        <v>0</v>
      </c>
      <c r="AG114" s="45"/>
      <c r="AH114" s="45"/>
      <c r="AI114" s="45"/>
      <c r="AJ114" s="45"/>
    </row>
    <row r="115" spans="1:36" x14ac:dyDescent="0.25">
      <c r="A115" s="109"/>
      <c r="B115" s="155" t="s">
        <v>384</v>
      </c>
      <c r="C115" s="111"/>
      <c r="D115" s="46"/>
      <c r="E115" s="46"/>
      <c r="F115" s="46"/>
      <c r="G115" s="46"/>
      <c r="H115" s="46"/>
      <c r="I115" s="46"/>
      <c r="J115" s="46"/>
      <c r="K115" s="46"/>
      <c r="L115" s="46"/>
      <c r="M115" s="46">
        <v>0</v>
      </c>
      <c r="N115" s="46">
        <v>0</v>
      </c>
      <c r="O115" s="46">
        <v>0</v>
      </c>
      <c r="P115" s="97">
        <f>P114*P112</f>
        <v>40500</v>
      </c>
      <c r="Q115" s="97">
        <f t="shared" ref="Q115:Z115" si="159">Q114*Q112</f>
        <v>70875</v>
      </c>
      <c r="R115" s="97">
        <f t="shared" si="159"/>
        <v>106312.5</v>
      </c>
      <c r="S115" s="97">
        <f t="shared" si="159"/>
        <v>159468.75</v>
      </c>
      <c r="T115" s="97">
        <f t="shared" si="159"/>
        <v>207309.375</v>
      </c>
      <c r="U115" s="97">
        <f t="shared" si="159"/>
        <v>269502.1875</v>
      </c>
      <c r="V115" s="97">
        <f t="shared" si="159"/>
        <v>350352.84375</v>
      </c>
      <c r="W115" s="97">
        <f t="shared" si="159"/>
        <v>455458.69687500002</v>
      </c>
      <c r="X115" s="97">
        <f t="shared" si="159"/>
        <v>592096.30593750009</v>
      </c>
      <c r="Y115" s="97">
        <f t="shared" si="159"/>
        <v>769725.1977187501</v>
      </c>
      <c r="Z115" s="97">
        <f t="shared" si="159"/>
        <v>1000642.7570343752</v>
      </c>
      <c r="AA115" s="45"/>
      <c r="AB115" s="45"/>
      <c r="AC115" s="116">
        <v>40500</v>
      </c>
      <c r="AD115" s="91">
        <f t="shared" si="110"/>
        <v>0</v>
      </c>
      <c r="AE115" s="116">
        <v>70875</v>
      </c>
      <c r="AF115" s="91">
        <f t="shared" ref="AF115" si="160">IF(ISBLANK(AE115),"",INDEX($A115:$AA115,1,MATCH(AE$3,$A$3:$AA$3,0))-AE115)</f>
        <v>0</v>
      </c>
      <c r="AG115" s="45"/>
      <c r="AH115" s="45"/>
      <c r="AI115" s="45"/>
      <c r="AJ115" s="45"/>
    </row>
    <row r="116" spans="1:36" x14ac:dyDescent="0.25">
      <c r="A116" s="109"/>
      <c r="B116" s="110"/>
      <c r="C116" s="111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5"/>
      <c r="AB116" s="45"/>
      <c r="AC116" s="90"/>
      <c r="AD116" s="91" t="str">
        <f t="shared" si="110"/>
        <v/>
      </c>
      <c r="AE116" s="90"/>
      <c r="AF116" s="91" t="str">
        <f t="shared" ref="AF116" si="161">IF(ISBLANK(AE116),"",INDEX($A116:$AA116,1,MATCH(AE$3,$A$3:$AA$3,0))-AE116)</f>
        <v/>
      </c>
      <c r="AG116" s="45"/>
      <c r="AH116" s="45"/>
      <c r="AI116" s="45"/>
      <c r="AJ116" s="45"/>
    </row>
    <row r="117" spans="1:36" x14ac:dyDescent="0.25">
      <c r="A117" s="109"/>
      <c r="B117" s="155" t="s">
        <v>385</v>
      </c>
      <c r="C117" s="111" t="s">
        <v>7</v>
      </c>
      <c r="D117" s="46"/>
      <c r="E117" s="46"/>
      <c r="F117" s="46"/>
      <c r="G117" s="46"/>
      <c r="H117" s="46"/>
      <c r="I117" s="46"/>
      <c r="J117" s="46"/>
      <c r="K117" s="46"/>
      <c r="L117" s="46"/>
      <c r="M117" s="160">
        <v>0.5</v>
      </c>
      <c r="N117" s="160">
        <v>0.5</v>
      </c>
      <c r="O117" s="160">
        <v>0.5</v>
      </c>
      <c r="P117" s="160">
        <v>0.5</v>
      </c>
      <c r="Q117" s="160">
        <v>0.5</v>
      </c>
      <c r="R117" s="160">
        <v>0.5</v>
      </c>
      <c r="S117" s="160">
        <v>0.5</v>
      </c>
      <c r="T117" s="160">
        <v>0.5</v>
      </c>
      <c r="U117" s="160">
        <v>0.5</v>
      </c>
      <c r="V117" s="160">
        <v>0.5</v>
      </c>
      <c r="W117" s="160">
        <v>0.5</v>
      </c>
      <c r="X117" s="160">
        <v>0.5</v>
      </c>
      <c r="Y117" s="160">
        <v>0.5</v>
      </c>
      <c r="Z117" s="160">
        <v>0.5</v>
      </c>
      <c r="AA117" s="45"/>
      <c r="AB117" s="45"/>
      <c r="AC117" s="116">
        <v>0.5</v>
      </c>
      <c r="AD117" s="91">
        <f t="shared" si="110"/>
        <v>0</v>
      </c>
      <c r="AE117" s="116">
        <v>0.5</v>
      </c>
      <c r="AF117" s="91">
        <f t="shared" ref="AF117" si="162">IF(ISBLANK(AE117),"",INDEX($A117:$AA117,1,MATCH(AE$3,$A$3:$AA$3,0))-AE117)</f>
        <v>0</v>
      </c>
      <c r="AG117" s="45"/>
      <c r="AH117" s="45"/>
      <c r="AI117" s="45"/>
      <c r="AJ117" s="45"/>
    </row>
    <row r="118" spans="1:36" x14ac:dyDescent="0.25">
      <c r="A118" s="109"/>
      <c r="B118" s="155" t="s">
        <v>386</v>
      </c>
      <c r="C118" s="111" t="s">
        <v>11</v>
      </c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132">
        <v>1</v>
      </c>
      <c r="Q118" s="132">
        <v>1</v>
      </c>
      <c r="R118" s="132">
        <v>1</v>
      </c>
      <c r="S118" s="132">
        <v>1</v>
      </c>
      <c r="T118" s="132">
        <v>1</v>
      </c>
      <c r="U118" s="132">
        <v>1</v>
      </c>
      <c r="V118" s="132">
        <v>1</v>
      </c>
      <c r="W118" s="132">
        <v>1</v>
      </c>
      <c r="X118" s="132">
        <v>1</v>
      </c>
      <c r="Y118" s="132">
        <v>1</v>
      </c>
      <c r="Z118" s="132">
        <v>1</v>
      </c>
      <c r="AA118" s="45"/>
      <c r="AB118" s="45"/>
      <c r="AC118" s="116">
        <v>1</v>
      </c>
      <c r="AD118" s="91">
        <f t="shared" si="110"/>
        <v>0</v>
      </c>
      <c r="AE118" s="116">
        <v>1</v>
      </c>
      <c r="AF118" s="91">
        <f t="shared" ref="AF118" si="163">IF(ISBLANK(AE118),"",INDEX($A118:$AA118,1,MATCH(AE$3,$A$3:$AA$3,0))-AE118)</f>
        <v>0</v>
      </c>
      <c r="AG118" s="45"/>
      <c r="AH118" s="45"/>
      <c r="AI118" s="45"/>
      <c r="AJ118" s="45"/>
    </row>
    <row r="119" spans="1:36" x14ac:dyDescent="0.25">
      <c r="A119" s="109"/>
      <c r="B119" s="155" t="s">
        <v>387</v>
      </c>
      <c r="C119" s="111" t="s">
        <v>298</v>
      </c>
      <c r="D119" s="46"/>
      <c r="E119" s="46"/>
      <c r="F119" s="46"/>
      <c r="G119" s="46"/>
      <c r="H119" s="46"/>
      <c r="I119" s="46"/>
      <c r="J119" s="46"/>
      <c r="K119" s="46"/>
      <c r="L119" s="46"/>
      <c r="M119" s="97">
        <f t="shared" ref="M119:O119" si="164">M107*M117</f>
        <v>1034483</v>
      </c>
      <c r="N119" s="97">
        <f t="shared" si="164"/>
        <v>1800000</v>
      </c>
      <c r="O119" s="97">
        <f t="shared" si="164"/>
        <v>4500000</v>
      </c>
      <c r="P119" s="97">
        <f>P107*P117</f>
        <v>9000000</v>
      </c>
      <c r="Q119" s="97">
        <f t="shared" ref="Q119:Z119" si="165">Q107*Q117</f>
        <v>15750000</v>
      </c>
      <c r="R119" s="97">
        <f t="shared" si="165"/>
        <v>23625000</v>
      </c>
      <c r="S119" s="97">
        <f t="shared" si="165"/>
        <v>35437500</v>
      </c>
      <c r="T119" s="97">
        <f t="shared" si="165"/>
        <v>46068750</v>
      </c>
      <c r="U119" s="97">
        <f t="shared" si="165"/>
        <v>59889375</v>
      </c>
      <c r="V119" s="97">
        <f t="shared" si="165"/>
        <v>77856187.5</v>
      </c>
      <c r="W119" s="97">
        <f t="shared" si="165"/>
        <v>101213043.75</v>
      </c>
      <c r="X119" s="97">
        <f t="shared" si="165"/>
        <v>131576956.875</v>
      </c>
      <c r="Y119" s="97">
        <f t="shared" si="165"/>
        <v>171050043.9375</v>
      </c>
      <c r="Z119" s="97">
        <f t="shared" si="165"/>
        <v>222365057.11875001</v>
      </c>
      <c r="AA119" s="45"/>
      <c r="AB119" s="45"/>
      <c r="AC119" s="116">
        <v>9000000</v>
      </c>
      <c r="AD119" s="91">
        <f t="shared" si="110"/>
        <v>0</v>
      </c>
      <c r="AE119" s="116">
        <v>15750000</v>
      </c>
      <c r="AF119" s="91">
        <f t="shared" ref="AF119" si="166">IF(ISBLANK(AE119),"",INDEX($A119:$AA119,1,MATCH(AE$3,$A$3:$AA$3,0))-AE119)</f>
        <v>0</v>
      </c>
      <c r="AG119" s="45"/>
      <c r="AH119" s="45"/>
      <c r="AI119" s="45"/>
      <c r="AJ119" s="45"/>
    </row>
    <row r="120" spans="1:36" x14ac:dyDescent="0.25">
      <c r="A120" s="109"/>
      <c r="B120" s="155" t="s">
        <v>388</v>
      </c>
      <c r="C120" s="111" t="s">
        <v>7</v>
      </c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136">
        <v>1.49E-2</v>
      </c>
      <c r="P120" s="161">
        <v>1.4999999999999999E-2</v>
      </c>
      <c r="Q120" s="161">
        <v>1.4999999999999999E-2</v>
      </c>
      <c r="R120" s="161">
        <v>1.4999999999999999E-2</v>
      </c>
      <c r="S120" s="161">
        <v>1.4999999999999999E-2</v>
      </c>
      <c r="T120" s="161">
        <v>1.4999999999999999E-2</v>
      </c>
      <c r="U120" s="161">
        <v>1.4999999999999999E-2</v>
      </c>
      <c r="V120" s="161">
        <v>1.4999999999999999E-2</v>
      </c>
      <c r="W120" s="161">
        <v>1.4999999999999999E-2</v>
      </c>
      <c r="X120" s="161">
        <v>1.4999999999999999E-2</v>
      </c>
      <c r="Y120" s="161">
        <v>1.4999999999999999E-2</v>
      </c>
      <c r="Z120" s="161">
        <v>1.4999999999999999E-2</v>
      </c>
      <c r="AA120" s="45"/>
      <c r="AB120" s="45"/>
      <c r="AC120" s="116">
        <v>1.4999999999999999E-2</v>
      </c>
      <c r="AD120" s="91">
        <f t="shared" si="110"/>
        <v>0</v>
      </c>
      <c r="AE120" s="116">
        <v>1.4999999999999999E-2</v>
      </c>
      <c r="AF120" s="91">
        <f t="shared" ref="AF120" si="167">IF(ISBLANK(AE120),"",INDEX($A120:$AA120,1,MATCH(AE$3,$A$3:$AA$3,0))-AE120)</f>
        <v>0</v>
      </c>
      <c r="AG120" s="45"/>
      <c r="AH120" s="45"/>
      <c r="AI120" s="45"/>
      <c r="AJ120" s="45"/>
    </row>
    <row r="121" spans="1:36" x14ac:dyDescent="0.25">
      <c r="A121" s="109"/>
      <c r="B121" s="155" t="s">
        <v>389</v>
      </c>
      <c r="C121" s="111"/>
      <c r="D121" s="46"/>
      <c r="E121" s="46"/>
      <c r="F121" s="46"/>
      <c r="G121" s="46"/>
      <c r="H121" s="46"/>
      <c r="I121" s="46"/>
      <c r="J121" s="46"/>
      <c r="K121" s="46"/>
      <c r="L121" s="46"/>
      <c r="M121" s="46">
        <v>0</v>
      </c>
      <c r="N121" s="46">
        <v>0</v>
      </c>
      <c r="O121" s="97">
        <f>O119*O120</f>
        <v>67050</v>
      </c>
      <c r="P121" s="97">
        <f>P119*P120</f>
        <v>135000</v>
      </c>
      <c r="Q121" s="97">
        <f t="shared" ref="Q121:Z121" si="168">Q119*Q120</f>
        <v>236250</v>
      </c>
      <c r="R121" s="97">
        <f t="shared" si="168"/>
        <v>354375</v>
      </c>
      <c r="S121" s="97">
        <f t="shared" si="168"/>
        <v>531562.5</v>
      </c>
      <c r="T121" s="97">
        <f t="shared" si="168"/>
        <v>691031.25</v>
      </c>
      <c r="U121" s="97">
        <f t="shared" si="168"/>
        <v>898340.625</v>
      </c>
      <c r="V121" s="97">
        <f t="shared" si="168"/>
        <v>1167842.8125</v>
      </c>
      <c r="W121" s="97">
        <f t="shared" si="168"/>
        <v>1518195.65625</v>
      </c>
      <c r="X121" s="97">
        <f t="shared" si="168"/>
        <v>1973654.3531249999</v>
      </c>
      <c r="Y121" s="97">
        <f t="shared" si="168"/>
        <v>2565750.6590625001</v>
      </c>
      <c r="Z121" s="97">
        <f t="shared" si="168"/>
        <v>3335475.8567812499</v>
      </c>
      <c r="AA121" s="97"/>
      <c r="AB121" s="45"/>
      <c r="AC121" s="116">
        <v>135000</v>
      </c>
      <c r="AD121" s="91">
        <f t="shared" si="110"/>
        <v>0</v>
      </c>
      <c r="AE121" s="116">
        <v>236250</v>
      </c>
      <c r="AF121" s="91">
        <f t="shared" ref="AF121" si="169">IF(ISBLANK(AE121),"",INDEX($A121:$AA121,1,MATCH(AE$3,$A$3:$AA$3,0))-AE121)</f>
        <v>0</v>
      </c>
      <c r="AG121" s="45"/>
      <c r="AH121" s="45"/>
      <c r="AI121" s="45"/>
      <c r="AJ121" s="45"/>
    </row>
    <row r="122" spans="1:36" x14ac:dyDescent="0.25">
      <c r="A122" s="109"/>
      <c r="B122" s="110"/>
      <c r="C122" s="111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5"/>
      <c r="AB122" s="45"/>
      <c r="AC122" s="90"/>
      <c r="AD122" s="91" t="str">
        <f t="shared" si="110"/>
        <v/>
      </c>
      <c r="AE122" s="90"/>
      <c r="AF122" s="91" t="str">
        <f t="shared" ref="AF122" si="170">IF(ISBLANK(AE122),"",INDEX($A122:$AA122,1,MATCH(AE$3,$A$3:$AA$3,0))-AE122)</f>
        <v/>
      </c>
      <c r="AG122" s="45"/>
      <c r="AH122" s="45"/>
      <c r="AI122" s="45"/>
      <c r="AJ122" s="45"/>
    </row>
    <row r="123" spans="1:36" x14ac:dyDescent="0.25">
      <c r="A123" s="109"/>
      <c r="B123" s="162" t="s">
        <v>390</v>
      </c>
      <c r="C123" s="163" t="s">
        <v>298</v>
      </c>
      <c r="D123" s="163"/>
      <c r="E123" s="163"/>
      <c r="F123" s="163"/>
      <c r="G123" s="163"/>
      <c r="H123" s="163"/>
      <c r="I123" s="163"/>
      <c r="J123" s="163"/>
      <c r="K123" s="163"/>
      <c r="L123" s="163"/>
      <c r="M123" s="164">
        <f t="shared" ref="M123:O123" si="171">M112+M115+M121</f>
        <v>93103.47</v>
      </c>
      <c r="N123" s="164">
        <f t="shared" si="171"/>
        <v>162000</v>
      </c>
      <c r="O123" s="164">
        <f t="shared" si="171"/>
        <v>472050</v>
      </c>
      <c r="P123" s="164">
        <f>P112+P115+P121</f>
        <v>985500</v>
      </c>
      <c r="Q123" s="164">
        <f t="shared" ref="Q123:Z123" si="172">Q112+Q115+Q121</f>
        <v>1724625</v>
      </c>
      <c r="R123" s="164">
        <f t="shared" si="172"/>
        <v>2586937.5</v>
      </c>
      <c r="S123" s="164">
        <f t="shared" si="172"/>
        <v>3880406.25</v>
      </c>
      <c r="T123" s="164">
        <f t="shared" si="172"/>
        <v>5044528.125</v>
      </c>
      <c r="U123" s="164">
        <f t="shared" si="172"/>
        <v>6557886.5625</v>
      </c>
      <c r="V123" s="164">
        <f t="shared" si="172"/>
        <v>8525252.53125</v>
      </c>
      <c r="W123" s="164">
        <f t="shared" si="172"/>
        <v>11082828.290625</v>
      </c>
      <c r="X123" s="164">
        <f t="shared" si="172"/>
        <v>14407676.777812501</v>
      </c>
      <c r="Y123" s="164">
        <f t="shared" si="172"/>
        <v>18729979.811156251</v>
      </c>
      <c r="Z123" s="164">
        <f t="shared" si="172"/>
        <v>24348973.754503131</v>
      </c>
      <c r="AA123" s="45"/>
      <c r="AB123" s="45"/>
      <c r="AC123" s="116">
        <v>985500</v>
      </c>
      <c r="AD123" s="91">
        <f t="shared" si="110"/>
        <v>0</v>
      </c>
      <c r="AE123" s="116">
        <v>1724625</v>
      </c>
      <c r="AF123" s="91">
        <f t="shared" ref="AF123" si="173">IF(ISBLANK(AE123),"",INDEX($A123:$AA123,1,MATCH(AE$3,$A$3:$AA$3,0))-AE123)</f>
        <v>0</v>
      </c>
      <c r="AG123" s="45"/>
      <c r="AH123" s="45"/>
      <c r="AI123" s="45"/>
      <c r="AJ123" s="45"/>
    </row>
    <row r="124" spans="1:36" x14ac:dyDescent="0.25">
      <c r="A124" s="109"/>
      <c r="B124" s="155" t="s">
        <v>391</v>
      </c>
      <c r="C124" s="111" t="s">
        <v>7</v>
      </c>
      <c r="D124" s="46"/>
      <c r="E124" s="46"/>
      <c r="F124" s="46"/>
      <c r="G124" s="46"/>
      <c r="H124" s="46"/>
      <c r="I124" s="46"/>
      <c r="J124" s="46"/>
      <c r="K124" s="46"/>
      <c r="L124" s="46"/>
      <c r="M124" s="331">
        <f t="shared" ref="M124:O124" si="174">M123/M17</f>
        <v>2.8690990748347786E-2</v>
      </c>
      <c r="N124" s="331">
        <f t="shared" si="174"/>
        <v>3.7469963314130363E-2</v>
      </c>
      <c r="O124" s="331">
        <f t="shared" si="174"/>
        <v>9.0102883922175386E-2</v>
      </c>
      <c r="P124" s="331">
        <f>P123/P17</f>
        <v>0.15682169895919648</v>
      </c>
      <c r="Q124" s="331">
        <f t="shared" ref="Q124:Z124" si="175">Q123/Q17</f>
        <v>0.22039563177643173</v>
      </c>
      <c r="R124" s="331">
        <f t="shared" si="175"/>
        <v>0.27870534503651245</v>
      </c>
      <c r="S124" s="331">
        <f t="shared" si="175"/>
        <v>0.35919681755310723</v>
      </c>
      <c r="T124" s="331">
        <f t="shared" si="175"/>
        <v>0.40506293296398688</v>
      </c>
      <c r="U124" s="331">
        <f t="shared" si="175"/>
        <v>0.45596435406542757</v>
      </c>
      <c r="V124" s="331">
        <f t="shared" si="175"/>
        <v>0.51228522295242862</v>
      </c>
      <c r="W124" s="331">
        <f t="shared" si="175"/>
        <v>0.5744077102444759</v>
      </c>
      <c r="X124" s="331">
        <f t="shared" si="175"/>
        <v>0.64270619895902992</v>
      </c>
      <c r="Y124" s="331">
        <f t="shared" si="175"/>
        <v>0.71754110478245325</v>
      </c>
      <c r="Z124" s="331">
        <f t="shared" si="175"/>
        <v>0.79925255661765882</v>
      </c>
      <c r="AA124" s="45"/>
      <c r="AB124" s="45"/>
      <c r="AC124" s="116">
        <v>0.16041216294221386</v>
      </c>
      <c r="AD124" s="91">
        <f t="shared" si="110"/>
        <v>-3.5904639830173779E-3</v>
      </c>
      <c r="AE124" s="116">
        <v>0.22512806495598986</v>
      </c>
      <c r="AF124" s="91">
        <f t="shared" ref="AF124" si="176">IF(ISBLANK(AE124),"",INDEX($A124:$AA124,1,MATCH(AE$3,$A$3:$AA$3,0))-AE124)</f>
        <v>-4.7324331795581265E-3</v>
      </c>
      <c r="AG124" s="45"/>
      <c r="AH124" s="45"/>
      <c r="AI124" s="45"/>
      <c r="AJ124" s="45"/>
    </row>
    <row r="125" spans="1:36" x14ac:dyDescent="0.25">
      <c r="A125" s="109"/>
      <c r="B125" s="165" t="s">
        <v>696</v>
      </c>
      <c r="C125" s="166" t="s">
        <v>7</v>
      </c>
      <c r="D125" s="167"/>
      <c r="E125" s="167"/>
      <c r="F125" s="167"/>
      <c r="G125" s="167"/>
      <c r="H125" s="167"/>
      <c r="I125" s="167"/>
      <c r="J125" s="167"/>
      <c r="K125" s="167"/>
      <c r="L125" s="167"/>
      <c r="M125" s="354">
        <f t="shared" ref="M125:O125" si="177">(M123-L123)/L17</f>
        <v>4.495912542066121E-2</v>
      </c>
      <c r="N125" s="354">
        <f t="shared" si="177"/>
        <v>2.1231321505237835E-2</v>
      </c>
      <c r="O125" s="354">
        <f t="shared" si="177"/>
        <v>7.1713346453988386E-2</v>
      </c>
      <c r="P125" s="354">
        <f>(P123-O123)/O17</f>
        <v>9.8005138756150731E-2</v>
      </c>
      <c r="Q125" s="354">
        <f t="shared" ref="Q125:Z125" si="178">(Q123-P123)/P17</f>
        <v>0.11761627421939735</v>
      </c>
      <c r="R125" s="354">
        <f t="shared" si="178"/>
        <v>0.11019781588821587</v>
      </c>
      <c r="S125" s="354">
        <f t="shared" si="178"/>
        <v>0.13935267251825623</v>
      </c>
      <c r="T125" s="354">
        <f t="shared" si="178"/>
        <v>0.10775904526593218</v>
      </c>
      <c r="U125" s="354">
        <f t="shared" si="178"/>
        <v>0.12151887988919606</v>
      </c>
      <c r="V125" s="354">
        <f t="shared" si="178"/>
        <v>0.13678930621962829</v>
      </c>
      <c r="W125" s="354">
        <f t="shared" si="178"/>
        <v>0.1536855668857286</v>
      </c>
      <c r="X125" s="354">
        <f t="shared" si="178"/>
        <v>0.17232231307334281</v>
      </c>
      <c r="Y125" s="354">
        <f t="shared" si="178"/>
        <v>0.19281185968770892</v>
      </c>
      <c r="Z125" s="354">
        <f t="shared" si="178"/>
        <v>0.21526233143473619</v>
      </c>
      <c r="AA125" s="45"/>
      <c r="AB125" s="45"/>
      <c r="AC125" s="116">
        <v>9.8005138756150731E-2</v>
      </c>
      <c r="AD125" s="91">
        <f t="shared" si="110"/>
        <v>0</v>
      </c>
      <c r="AE125" s="116">
        <v>0.12030912220666039</v>
      </c>
      <c r="AF125" s="91">
        <f t="shared" ref="AF125" si="179">IF(ISBLANK(AE125),"",INDEX($A125:$AA125,1,MATCH(AE$3,$A$3:$AA$3,0))-AE125)</f>
        <v>-2.6928479872630334E-3</v>
      </c>
      <c r="AG125" s="45"/>
      <c r="AH125" s="45"/>
      <c r="AI125" s="45"/>
      <c r="AJ125" s="45"/>
    </row>
    <row r="126" spans="1:36" x14ac:dyDescent="0.25">
      <c r="A126" s="109"/>
      <c r="B126" s="155"/>
      <c r="C126" s="111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5"/>
      <c r="AB126" s="45"/>
      <c r="AC126" s="90"/>
      <c r="AD126" s="91" t="str">
        <f t="shared" si="110"/>
        <v/>
      </c>
      <c r="AE126" s="90"/>
      <c r="AF126" s="91" t="str">
        <f t="shared" ref="AF126" si="180">IF(ISBLANK(AE126),"",INDEX($A126:$AA126,1,MATCH(AE$3,$A$3:$AA$3,0))-AE126)</f>
        <v/>
      </c>
      <c r="AG126" s="45"/>
      <c r="AH126" s="45"/>
      <c r="AI126" s="45"/>
      <c r="AJ126" s="45"/>
    </row>
    <row r="127" spans="1:36" x14ac:dyDescent="0.25">
      <c r="A127" s="109"/>
      <c r="B127" s="155" t="s">
        <v>392</v>
      </c>
      <c r="C127" s="111" t="s">
        <v>7</v>
      </c>
      <c r="D127" s="46"/>
      <c r="E127" s="46"/>
      <c r="F127" s="46"/>
      <c r="G127" s="46"/>
      <c r="H127" s="46"/>
      <c r="I127" s="46"/>
      <c r="J127" s="46"/>
      <c r="K127" s="46" t="s">
        <v>393</v>
      </c>
      <c r="L127" s="46"/>
      <c r="M127" s="161">
        <v>-2.7E-2</v>
      </c>
      <c r="N127" s="161">
        <v>-2.7E-2</v>
      </c>
      <c r="O127" s="161">
        <v>-2.7E-2</v>
      </c>
      <c r="P127" s="161">
        <v>-2.7E-2</v>
      </c>
      <c r="Q127" s="161">
        <v>-2.7E-2</v>
      </c>
      <c r="R127" s="161">
        <v>-2.7E-2</v>
      </c>
      <c r="S127" s="161">
        <v>-2.7E-2</v>
      </c>
      <c r="T127" s="161">
        <v>-2.7E-2</v>
      </c>
      <c r="U127" s="161">
        <v>-2.7E-2</v>
      </c>
      <c r="V127" s="161">
        <v>-2.7E-2</v>
      </c>
      <c r="W127" s="161">
        <v>-2.7E-2</v>
      </c>
      <c r="X127" s="161">
        <v>-2.7E-2</v>
      </c>
      <c r="Y127" s="161">
        <v>-2.7E-2</v>
      </c>
      <c r="Z127" s="161">
        <v>-2.7E-2</v>
      </c>
      <c r="AA127" s="45"/>
      <c r="AB127" s="45"/>
      <c r="AC127" s="116">
        <v>-2.7E-2</v>
      </c>
      <c r="AD127" s="91">
        <f t="shared" si="110"/>
        <v>0</v>
      </c>
      <c r="AE127" s="116">
        <v>-2.7E-2</v>
      </c>
      <c r="AF127" s="91">
        <f t="shared" ref="AF127" si="181">IF(ISBLANK(AE127),"",INDEX($A127:$AA127,1,MATCH(AE$3,$A$3:$AA$3,0))-AE127)</f>
        <v>0</v>
      </c>
      <c r="AG127" s="45"/>
      <c r="AH127" s="45"/>
      <c r="AI127" s="45"/>
      <c r="AJ127" s="45"/>
    </row>
    <row r="128" spans="1:36" x14ac:dyDescent="0.25">
      <c r="A128" s="109"/>
      <c r="B128" s="162" t="s">
        <v>394</v>
      </c>
      <c r="C128" s="168" t="s">
        <v>298</v>
      </c>
      <c r="D128" s="163"/>
      <c r="E128" s="163"/>
      <c r="F128" s="163"/>
      <c r="G128" s="163"/>
      <c r="H128" s="163"/>
      <c r="I128" s="163"/>
      <c r="J128" s="163"/>
      <c r="K128" s="163"/>
      <c r="L128" s="163"/>
      <c r="M128" s="164">
        <f t="shared" ref="M128:O128" si="182">M107*M127</f>
        <v>-55862.082000000002</v>
      </c>
      <c r="N128" s="164">
        <f t="shared" si="182"/>
        <v>-97200</v>
      </c>
      <c r="O128" s="164">
        <f t="shared" si="182"/>
        <v>-243000</v>
      </c>
      <c r="P128" s="164">
        <f>P107*P127</f>
        <v>-486000</v>
      </c>
      <c r="Q128" s="164">
        <f t="shared" ref="Q128:Z128" si="183">Q107*Q127</f>
        <v>-850500</v>
      </c>
      <c r="R128" s="164">
        <f t="shared" si="183"/>
        <v>-1275750</v>
      </c>
      <c r="S128" s="164">
        <f t="shared" si="183"/>
        <v>-1913625</v>
      </c>
      <c r="T128" s="164">
        <f t="shared" si="183"/>
        <v>-2487712.5</v>
      </c>
      <c r="U128" s="164">
        <f t="shared" si="183"/>
        <v>-3234026.25</v>
      </c>
      <c r="V128" s="164">
        <f t="shared" si="183"/>
        <v>-4204234.125</v>
      </c>
      <c r="W128" s="164">
        <f t="shared" si="183"/>
        <v>-5465504.3624999998</v>
      </c>
      <c r="X128" s="164">
        <f t="shared" si="183"/>
        <v>-7105155.6712499997</v>
      </c>
      <c r="Y128" s="164">
        <f t="shared" si="183"/>
        <v>-9236702.3726250008</v>
      </c>
      <c r="Z128" s="164">
        <f t="shared" si="183"/>
        <v>-12007713.0844125</v>
      </c>
      <c r="AA128" s="45"/>
      <c r="AB128" s="45"/>
      <c r="AC128" s="116">
        <v>-486000</v>
      </c>
      <c r="AD128" s="91">
        <f t="shared" si="110"/>
        <v>0</v>
      </c>
      <c r="AE128" s="116">
        <v>-850500</v>
      </c>
      <c r="AF128" s="91">
        <f t="shared" ref="AF128" si="184">IF(ISBLANK(AE128),"",INDEX($A128:$AA128,1,MATCH(AE$3,$A$3:$AA$3,0))-AE128)</f>
        <v>0</v>
      </c>
      <c r="AG128" s="45"/>
      <c r="AH128" s="45"/>
      <c r="AI128" s="45"/>
      <c r="AJ128" s="45"/>
    </row>
    <row r="129" spans="1:36" x14ac:dyDescent="0.25">
      <c r="A129" s="82"/>
      <c r="B129" s="92"/>
      <c r="C129" s="111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341"/>
      <c r="O129" s="341"/>
      <c r="P129" s="341"/>
      <c r="Q129" s="341"/>
      <c r="R129" s="341"/>
      <c r="S129" s="46"/>
      <c r="T129" s="46"/>
      <c r="U129" s="46"/>
      <c r="V129" s="46"/>
      <c r="W129" s="46"/>
      <c r="X129" s="46"/>
      <c r="Y129" s="46"/>
      <c r="Z129" s="46"/>
      <c r="AA129" s="1"/>
      <c r="AB129" s="1"/>
      <c r="AC129" s="90"/>
      <c r="AD129" s="91" t="str">
        <f t="shared" si="110"/>
        <v/>
      </c>
      <c r="AE129" s="90"/>
      <c r="AF129" s="91" t="str">
        <f t="shared" ref="AF129" si="185">IF(ISBLANK(AE129),"",INDEX($A129:$AA129,1,MATCH(AE$3,$A$3:$AA$3,0))-AE129)</f>
        <v/>
      </c>
      <c r="AG129" s="1"/>
      <c r="AH129" s="1"/>
      <c r="AI129" s="1"/>
      <c r="AJ129" s="1"/>
    </row>
    <row r="130" spans="1:36" x14ac:dyDescent="0.25">
      <c r="A130" s="82"/>
      <c r="B130" s="169" t="s">
        <v>395</v>
      </c>
      <c r="C130" s="168" t="s">
        <v>298</v>
      </c>
      <c r="D130" s="170"/>
      <c r="E130" s="170"/>
      <c r="F130" s="170"/>
      <c r="G130" s="170"/>
      <c r="H130" s="170"/>
      <c r="I130" s="170"/>
      <c r="J130" s="170"/>
      <c r="K130" s="170"/>
      <c r="L130" s="170"/>
      <c r="M130" s="164">
        <f t="shared" ref="M130:O130" si="186">M123+M128</f>
        <v>37241.387999999999</v>
      </c>
      <c r="N130" s="164">
        <f t="shared" si="186"/>
        <v>64800</v>
      </c>
      <c r="O130" s="164">
        <f t="shared" si="186"/>
        <v>229050</v>
      </c>
      <c r="P130" s="164">
        <f>P123+P128</f>
        <v>499500</v>
      </c>
      <c r="Q130" s="164">
        <f t="shared" ref="Q130:Z130" si="187">Q123+Q128</f>
        <v>874125</v>
      </c>
      <c r="R130" s="164">
        <f t="shared" si="187"/>
        <v>1311187.5</v>
      </c>
      <c r="S130" s="164">
        <f t="shared" si="187"/>
        <v>1966781.25</v>
      </c>
      <c r="T130" s="164">
        <f t="shared" si="187"/>
        <v>2556815.625</v>
      </c>
      <c r="U130" s="164">
        <f t="shared" si="187"/>
        <v>3323860.3125</v>
      </c>
      <c r="V130" s="164">
        <f t="shared" si="187"/>
        <v>4321018.40625</v>
      </c>
      <c r="W130" s="164">
        <f t="shared" si="187"/>
        <v>5617323.9281250006</v>
      </c>
      <c r="X130" s="164">
        <f t="shared" si="187"/>
        <v>7302521.1065625018</v>
      </c>
      <c r="Y130" s="164">
        <f t="shared" si="187"/>
        <v>9493277.4385312498</v>
      </c>
      <c r="Z130" s="164">
        <f t="shared" si="187"/>
        <v>12341260.670090631</v>
      </c>
      <c r="AA130" s="1"/>
      <c r="AB130" s="1"/>
      <c r="AC130" s="98">
        <v>499500</v>
      </c>
      <c r="AD130" s="91">
        <f t="shared" si="110"/>
        <v>0</v>
      </c>
      <c r="AE130" s="98">
        <v>874125</v>
      </c>
      <c r="AF130" s="91">
        <f t="shared" ref="AF130" si="188">IF(ISBLANK(AE130),"",INDEX($A130:$AA130,1,MATCH(AE$3,$A$3:$AA$3,0))-AE130)</f>
        <v>0</v>
      </c>
      <c r="AG130" s="1"/>
      <c r="AH130" s="1"/>
      <c r="AI130" s="1"/>
      <c r="AJ130" s="1"/>
    </row>
    <row r="131" spans="1:36" x14ac:dyDescent="0.25">
      <c r="A131" s="82"/>
      <c r="B131" s="92"/>
      <c r="C131" s="111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13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1"/>
      <c r="AB131" s="1"/>
      <c r="AC131" s="90"/>
      <c r="AD131" s="91" t="str">
        <f t="shared" si="110"/>
        <v/>
      </c>
      <c r="AE131" s="90"/>
      <c r="AF131" s="91" t="str">
        <f t="shared" ref="AF131" si="189">IF(ISBLANK(AE131),"",INDEX($A131:$AA131,1,MATCH(AE$3,$A$3:$AA$3,0))-AE131)</f>
        <v/>
      </c>
      <c r="AG131" s="1"/>
      <c r="AH131" s="1"/>
      <c r="AI131" s="1"/>
      <c r="AJ131" s="1"/>
    </row>
    <row r="132" spans="1:36" x14ac:dyDescent="0.25">
      <c r="A132" s="82"/>
      <c r="B132" s="92"/>
      <c r="C132" s="111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123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1"/>
      <c r="AB132" s="1"/>
      <c r="AC132" s="90"/>
      <c r="AD132" s="91" t="str">
        <f t="shared" si="110"/>
        <v/>
      </c>
      <c r="AE132" s="90"/>
      <c r="AF132" s="91" t="str">
        <f t="shared" ref="AF132" si="190">IF(ISBLANK(AE132),"",INDEX($A132:$AA132,1,MATCH(AE$3,$A$3:$AA$3,0))-AE132)</f>
        <v/>
      </c>
      <c r="AG132" s="1"/>
      <c r="AH132" s="1"/>
      <c r="AI132" s="1"/>
      <c r="AJ132" s="1"/>
    </row>
    <row r="133" spans="1:36" x14ac:dyDescent="0.25">
      <c r="A133" s="82"/>
      <c r="B133" s="92"/>
      <c r="C133" s="111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1"/>
      <c r="P133" s="1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1"/>
      <c r="AB133" s="1"/>
      <c r="AC133" s="90"/>
      <c r="AD133" s="91" t="str">
        <f t="shared" si="110"/>
        <v/>
      </c>
      <c r="AE133" s="90"/>
      <c r="AF133" s="91" t="str">
        <f t="shared" ref="AF133" si="191">IF(ISBLANK(AE133),"",INDEX($A133:$AA133,1,MATCH(AE$3,$A$3:$AA$3,0))-AE133)</f>
        <v/>
      </c>
      <c r="AG133" s="1"/>
      <c r="AH133" s="1"/>
      <c r="AI133" s="1"/>
      <c r="AJ133" s="1"/>
    </row>
    <row r="134" spans="1:36" x14ac:dyDescent="0.25">
      <c r="A134" s="82"/>
      <c r="B134" s="92"/>
      <c r="C134" s="111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1"/>
      <c r="P134" s="1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1"/>
      <c r="AB134" s="1"/>
      <c r="AC134" s="90"/>
      <c r="AD134" s="91" t="str">
        <f t="shared" si="110"/>
        <v/>
      </c>
      <c r="AE134" s="90"/>
      <c r="AF134" s="91" t="str">
        <f t="shared" ref="AF134" si="192">IF(ISBLANK(AE134),"",INDEX($A134:$AA134,1,MATCH(AE$3,$A$3:$AA$3,0))-AE134)</f>
        <v/>
      </c>
      <c r="AG134" s="1"/>
      <c r="AH134" s="1"/>
      <c r="AI134" s="1"/>
      <c r="AJ134" s="1"/>
    </row>
    <row r="135" spans="1:36" x14ac:dyDescent="0.25">
      <c r="A135" s="82"/>
      <c r="B135" s="92"/>
      <c r="C135" s="111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1"/>
      <c r="AB135" s="1"/>
      <c r="AC135" s="90"/>
      <c r="AD135" s="91" t="str">
        <f t="shared" si="110"/>
        <v/>
      </c>
      <c r="AE135" s="90"/>
      <c r="AF135" s="91" t="str">
        <f t="shared" ref="AF135" si="193">IF(ISBLANK(AE135),"",INDEX($A135:$AA135,1,MATCH(AE$3,$A$3:$AA$3,0))-AE135)</f>
        <v/>
      </c>
      <c r="AG135" s="1"/>
      <c r="AH135" s="1"/>
      <c r="AI135" s="1"/>
      <c r="AJ135" s="1"/>
    </row>
    <row r="136" spans="1:36" x14ac:dyDescent="0.25">
      <c r="A136" s="82"/>
      <c r="B136" s="92"/>
      <c r="C136" s="111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1"/>
      <c r="AB136" s="1"/>
      <c r="AC136" s="90"/>
      <c r="AD136" s="91" t="str">
        <f t="shared" si="110"/>
        <v/>
      </c>
      <c r="AE136" s="90"/>
      <c r="AF136" s="91" t="str">
        <f t="shared" ref="AF136" si="194">IF(ISBLANK(AE136),"",INDEX($A136:$AA136,1,MATCH(AE$3,$A$3:$AA$3,0))-AE136)</f>
        <v/>
      </c>
      <c r="AG136" s="1"/>
      <c r="AH136" s="1"/>
      <c r="AI136" s="1"/>
      <c r="AJ136" s="1"/>
    </row>
    <row r="137" spans="1:36" x14ac:dyDescent="0.25">
      <c r="A137" s="82"/>
      <c r="B137" s="92"/>
      <c r="C137" s="111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1"/>
      <c r="AB137" s="1"/>
      <c r="AC137" s="90"/>
      <c r="AD137" s="91" t="str">
        <f t="shared" si="110"/>
        <v/>
      </c>
      <c r="AE137" s="90"/>
      <c r="AF137" s="91" t="str">
        <f t="shared" ref="AF137" si="195">IF(ISBLANK(AE137),"",INDEX($A137:$AA137,1,MATCH(AE$3,$A$3:$AA$3,0))-AE137)</f>
        <v/>
      </c>
      <c r="AG137" s="1"/>
      <c r="AH137" s="1"/>
      <c r="AI137" s="1"/>
      <c r="AJ137" s="1"/>
    </row>
    <row r="138" spans="1:36" x14ac:dyDescent="0.25">
      <c r="A138" s="82"/>
      <c r="B138" s="92"/>
      <c r="C138" s="111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1"/>
      <c r="AB138" s="1"/>
      <c r="AC138" s="90"/>
      <c r="AD138" s="91" t="str">
        <f t="shared" si="110"/>
        <v/>
      </c>
      <c r="AE138" s="90"/>
      <c r="AF138" s="91" t="str">
        <f t="shared" ref="AF138" si="196">IF(ISBLANK(AE138),"",INDEX($A138:$AA138,1,MATCH(AE$3,$A$3:$AA$3,0))-AE138)</f>
        <v/>
      </c>
      <c r="AG138" s="1"/>
      <c r="AH138" s="1"/>
      <c r="AI138" s="1"/>
      <c r="AJ138" s="1"/>
    </row>
    <row r="139" spans="1:36" x14ac:dyDescent="0.25">
      <c r="A139" s="82"/>
      <c r="B139" s="92"/>
      <c r="C139" s="111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1"/>
      <c r="AB139" s="1"/>
      <c r="AC139" s="90"/>
      <c r="AD139" s="91" t="str">
        <f t="shared" si="110"/>
        <v/>
      </c>
      <c r="AE139" s="90"/>
      <c r="AF139" s="91" t="str">
        <f t="shared" ref="AF139" si="197">IF(ISBLANK(AE139),"",INDEX($A139:$AA139,1,MATCH(AE$3,$A$3:$AA$3,0))-AE139)</f>
        <v/>
      </c>
      <c r="AG139" s="1"/>
      <c r="AH139" s="1"/>
      <c r="AI139" s="1"/>
      <c r="AJ139" s="1"/>
    </row>
    <row r="140" spans="1:36" x14ac:dyDescent="0.25">
      <c r="A140" s="82"/>
      <c r="B140" s="92"/>
      <c r="C140" s="111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1"/>
      <c r="AB140" s="1"/>
      <c r="AC140" s="90"/>
      <c r="AD140" s="91" t="str">
        <f t="shared" si="110"/>
        <v/>
      </c>
      <c r="AE140" s="90"/>
      <c r="AF140" s="91" t="str">
        <f t="shared" ref="AF140" si="198">IF(ISBLANK(AE140),"",INDEX($A140:$AA140,1,MATCH(AE$3,$A$3:$AA$3,0))-AE140)</f>
        <v/>
      </c>
      <c r="AG140" s="1"/>
      <c r="AH140" s="1"/>
      <c r="AI140" s="1"/>
      <c r="AJ140" s="1"/>
    </row>
    <row r="141" spans="1:36" x14ac:dyDescent="0.25">
      <c r="A141" s="82"/>
      <c r="B141" s="92"/>
      <c r="C141" s="111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1"/>
      <c r="AB141" s="1"/>
      <c r="AC141" s="90"/>
      <c r="AD141" s="91" t="str">
        <f t="shared" si="110"/>
        <v/>
      </c>
      <c r="AE141" s="90"/>
      <c r="AF141" s="91" t="str">
        <f t="shared" ref="AF141" si="199">IF(ISBLANK(AE141),"",INDEX($A141:$AA141,1,MATCH(AE$3,$A$3:$AA$3,0))-AE141)</f>
        <v/>
      </c>
      <c r="AG141" s="1"/>
      <c r="AH141" s="1"/>
      <c r="AI141" s="1"/>
      <c r="AJ141" s="1"/>
    </row>
    <row r="142" spans="1:36" x14ac:dyDescent="0.25">
      <c r="A142" s="82"/>
      <c r="B142" s="86" t="s">
        <v>396</v>
      </c>
      <c r="C142" s="171"/>
      <c r="D142" s="172"/>
      <c r="E142" s="172"/>
      <c r="F142" s="172"/>
      <c r="G142" s="172"/>
      <c r="H142" s="172">
        <v>2017</v>
      </c>
      <c r="I142" s="172">
        <v>2018</v>
      </c>
      <c r="J142" s="172">
        <v>2019</v>
      </c>
      <c r="K142" s="172">
        <v>2020</v>
      </c>
      <c r="L142" s="172">
        <v>2021</v>
      </c>
      <c r="M142" s="172">
        <v>2022</v>
      </c>
      <c r="N142" s="172">
        <v>2023</v>
      </c>
      <c r="O142" s="172">
        <v>2024</v>
      </c>
      <c r="P142" s="172">
        <v>2025</v>
      </c>
      <c r="Q142" s="172">
        <v>2026</v>
      </c>
      <c r="R142" s="172">
        <v>2027</v>
      </c>
      <c r="S142" s="172">
        <v>2028</v>
      </c>
      <c r="T142" s="172">
        <v>2029</v>
      </c>
      <c r="U142" s="172">
        <v>2030</v>
      </c>
      <c r="V142" s="172">
        <v>2031</v>
      </c>
      <c r="W142" s="172">
        <v>2032</v>
      </c>
      <c r="X142" s="172">
        <v>2033</v>
      </c>
      <c r="Y142" s="172">
        <v>2034</v>
      </c>
      <c r="Z142" s="172">
        <v>2035</v>
      </c>
      <c r="AA142" s="1"/>
      <c r="AB142" s="1"/>
      <c r="AC142" s="84">
        <v>2025</v>
      </c>
      <c r="AD142" s="85">
        <f t="shared" si="110"/>
        <v>0</v>
      </c>
      <c r="AE142" s="84">
        <v>2026</v>
      </c>
      <c r="AF142" s="85">
        <f t="shared" ref="AF142" si="200">IF(ISBLANK(AE142),"",INDEX($A142:$AA142,1,MATCH(AE$3,$A$3:$AA$3,0))-AE142)</f>
        <v>0</v>
      </c>
      <c r="AG142" s="1"/>
      <c r="AH142" s="1"/>
      <c r="AI142" s="1"/>
      <c r="AJ142" s="1"/>
    </row>
    <row r="143" spans="1:36" x14ac:dyDescent="0.25">
      <c r="A143" s="82"/>
      <c r="B143" s="95" t="s">
        <v>397</v>
      </c>
      <c r="C143" s="93"/>
      <c r="D143" s="2"/>
      <c r="E143" s="2"/>
      <c r="F143" s="2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76"/>
      <c r="AD143" s="77" t="str">
        <f t="shared" si="110"/>
        <v/>
      </c>
      <c r="AE143" s="76"/>
      <c r="AF143" s="77" t="str">
        <f t="shared" ref="AF143" si="201">IF(ISBLANK(AE143),"",INDEX($A143:$AA143,1,MATCH(AE$3,$A$3:$AA$3,0))-AE143)</f>
        <v/>
      </c>
      <c r="AG143" s="1"/>
      <c r="AH143" s="1"/>
      <c r="AI143" s="1"/>
      <c r="AJ143" s="1"/>
    </row>
    <row r="144" spans="1:36" x14ac:dyDescent="0.25">
      <c r="A144" s="82"/>
      <c r="B144" s="92" t="s">
        <v>398</v>
      </c>
      <c r="C144" s="93" t="s">
        <v>298</v>
      </c>
      <c r="D144" s="48"/>
      <c r="E144" s="48"/>
      <c r="F144" s="48"/>
      <c r="G144" s="48"/>
      <c r="H144" s="48"/>
      <c r="I144" s="48"/>
      <c r="J144" s="48"/>
      <c r="K144" s="48"/>
      <c r="L144" s="48"/>
      <c r="M144" s="108">
        <v>5626053</v>
      </c>
      <c r="N144" s="108">
        <v>5848366</v>
      </c>
      <c r="O144" s="108">
        <v>8478673</v>
      </c>
      <c r="P144" s="97">
        <f>O144+P218</f>
        <v>9864782.3934217785</v>
      </c>
      <c r="Q144" s="97">
        <f t="shared" ref="Q144:Z144" si="202">P144+Q218</f>
        <v>10454240.714192644</v>
      </c>
      <c r="R144" s="97">
        <f t="shared" si="202"/>
        <v>10471047.41421468</v>
      </c>
      <c r="S144" s="97">
        <f t="shared" si="202"/>
        <v>10794876.28109842</v>
      </c>
      <c r="T144" s="97">
        <f t="shared" si="202"/>
        <v>11424980.933433078</v>
      </c>
      <c r="U144" s="97">
        <f t="shared" si="202"/>
        <v>12388363.202873304</v>
      </c>
      <c r="V144" s="97">
        <f t="shared" si="202"/>
        <v>13756959.376858436</v>
      </c>
      <c r="W144" s="97">
        <f t="shared" si="202"/>
        <v>15621845.503162667</v>
      </c>
      <c r="X144" s="97">
        <f t="shared" si="202"/>
        <v>18098773.715692077</v>
      </c>
      <c r="Y144" s="97">
        <f t="shared" si="202"/>
        <v>21335287.124077231</v>
      </c>
      <c r="Z144" s="97">
        <f t="shared" si="202"/>
        <v>16977623.652458601</v>
      </c>
      <c r="AA144" s="1"/>
      <c r="AB144" s="1"/>
      <c r="AC144" s="125">
        <v>9357410.0397373103</v>
      </c>
      <c r="AD144" s="91">
        <f t="shared" si="110"/>
        <v>507372.35368446819</v>
      </c>
      <c r="AE144" s="125">
        <v>9934576.3431454059</v>
      </c>
      <c r="AF144" s="91">
        <f t="shared" ref="AF144" si="203">IF(ISBLANK(AE144),"",INDEX($A144:$AA144,1,MATCH(AE$3,$A$3:$AA$3,0))-AE144)</f>
        <v>519664.37104723789</v>
      </c>
      <c r="AG144" s="1"/>
      <c r="AH144" s="1"/>
      <c r="AI144" s="1"/>
      <c r="AJ144" s="1"/>
    </row>
    <row r="145" spans="1:36" x14ac:dyDescent="0.25">
      <c r="A145" s="82"/>
      <c r="B145" s="92" t="s">
        <v>399</v>
      </c>
      <c r="C145" s="93"/>
      <c r="D145" s="48"/>
      <c r="E145" s="48"/>
      <c r="F145" s="48"/>
      <c r="G145" s="48"/>
      <c r="H145" s="48"/>
      <c r="I145" s="48"/>
      <c r="J145" s="48"/>
      <c r="K145" s="48"/>
      <c r="L145" s="48"/>
      <c r="M145" s="108">
        <v>9997352</v>
      </c>
      <c r="N145" s="108">
        <v>13008916</v>
      </c>
      <c r="O145" s="108">
        <v>11401528</v>
      </c>
      <c r="P145" s="97">
        <f>P$10*P152</f>
        <v>11339537.826491514</v>
      </c>
      <c r="Q145" s="97">
        <f t="shared" ref="Q145:Z145" si="204">Q$10*Q152</f>
        <v>12943633.187255707</v>
      </c>
      <c r="R145" s="97">
        <f t="shared" si="204"/>
        <v>14706317.555867761</v>
      </c>
      <c r="S145" s="97">
        <f t="shared" si="204"/>
        <v>16709512.120721852</v>
      </c>
      <c r="T145" s="97">
        <f t="shared" si="204"/>
        <v>18846705.374284968</v>
      </c>
      <c r="U145" s="97">
        <f t="shared" si="204"/>
        <v>21274369.735713586</v>
      </c>
      <c r="V145" s="97">
        <f t="shared" si="204"/>
        <v>24034166.745327551</v>
      </c>
      <c r="W145" s="97">
        <f t="shared" si="204"/>
        <v>27174027.40448254</v>
      </c>
      <c r="X145" s="97">
        <f t="shared" si="204"/>
        <v>30749137.438280936</v>
      </c>
      <c r="Y145" s="97">
        <f t="shared" si="204"/>
        <v>34823083.620408475</v>
      </c>
      <c r="Z145" s="97">
        <f t="shared" si="204"/>
        <v>39469188.447241709</v>
      </c>
      <c r="AA145" s="1"/>
      <c r="AB145" s="1"/>
      <c r="AC145" s="125">
        <v>12252319.953090936</v>
      </c>
      <c r="AD145" s="173">
        <f t="shared" ref="AD145:AD208" si="205">IF(ISBLANK(AC145),"",INDEX($A145:$AA145,1,MATCH(AC$3,$A$3:$AA$3,0))-AC145)</f>
        <v>-912782.12659942172</v>
      </c>
      <c r="AE145" s="125">
        <v>14564364.617293296</v>
      </c>
      <c r="AF145" s="173">
        <f t="shared" ref="AF145" si="206">IF(ISBLANK(AE145),"",INDEX($A145:$AA145,1,MATCH(AE$3,$A$3:$AA$3,0))-AE145)</f>
        <v>-1620731.4300375897</v>
      </c>
      <c r="AG145" s="1"/>
      <c r="AH145" s="1"/>
      <c r="AI145" s="1"/>
      <c r="AJ145" s="1"/>
    </row>
    <row r="146" spans="1:36" x14ac:dyDescent="0.25">
      <c r="A146" s="82"/>
      <c r="B146" s="92" t="s">
        <v>400</v>
      </c>
      <c r="C146" s="93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97">
        <f>P$10*P153</f>
        <v>0</v>
      </c>
      <c r="Q146" s="97">
        <f t="shared" ref="Q146:Z146" si="207">Q$10*Q153</f>
        <v>0</v>
      </c>
      <c r="R146" s="97">
        <f t="shared" si="207"/>
        <v>0</v>
      </c>
      <c r="S146" s="97">
        <f t="shared" si="207"/>
        <v>0</v>
      </c>
      <c r="T146" s="97">
        <f t="shared" si="207"/>
        <v>0</v>
      </c>
      <c r="U146" s="97">
        <f t="shared" si="207"/>
        <v>0</v>
      </c>
      <c r="V146" s="97">
        <f t="shared" si="207"/>
        <v>0</v>
      </c>
      <c r="W146" s="97">
        <f t="shared" si="207"/>
        <v>0</v>
      </c>
      <c r="X146" s="97">
        <f t="shared" si="207"/>
        <v>0</v>
      </c>
      <c r="Y146" s="97">
        <f t="shared" si="207"/>
        <v>0</v>
      </c>
      <c r="Z146" s="97">
        <f t="shared" si="207"/>
        <v>0</v>
      </c>
      <c r="AA146" s="1"/>
      <c r="AB146" s="1"/>
      <c r="AC146" s="90">
        <v>0</v>
      </c>
      <c r="AD146" s="91">
        <f t="shared" si="205"/>
        <v>0</v>
      </c>
      <c r="AE146" s="90">
        <v>0</v>
      </c>
      <c r="AF146" s="91">
        <f t="shared" ref="AF146" si="208">IF(ISBLANK(AE146),"",INDEX($A146:$AA146,1,MATCH(AE$3,$A$3:$AA$3,0))-AE146)</f>
        <v>0</v>
      </c>
      <c r="AG146" s="1"/>
      <c r="AH146" s="1"/>
      <c r="AI146" s="1"/>
      <c r="AJ146" s="1"/>
    </row>
    <row r="147" spans="1:36" x14ac:dyDescent="0.25">
      <c r="A147" s="82"/>
      <c r="B147" s="92" t="s">
        <v>401</v>
      </c>
      <c r="C147" s="93"/>
      <c r="D147" s="48"/>
      <c r="E147" s="48"/>
      <c r="F147" s="48"/>
      <c r="G147" s="48"/>
      <c r="H147" s="48"/>
      <c r="I147" s="48"/>
      <c r="J147" s="48"/>
      <c r="K147" s="48"/>
      <c r="L147" s="48"/>
      <c r="M147" s="108">
        <v>11966761</v>
      </c>
      <c r="N147" s="108">
        <v>296056</v>
      </c>
      <c r="O147" s="108">
        <v>314432</v>
      </c>
      <c r="P147" s="97">
        <f>O147-P199-P43+P48</f>
        <v>-90162.536162443284</v>
      </c>
      <c r="Q147" s="97">
        <f t="shared" ref="Q147:Z147" si="209">P147-Q199-Q43+Q48</f>
        <v>-524772.4703822122</v>
      </c>
      <c r="R147" s="97">
        <f t="shared" si="209"/>
        <v>-996485.06871127617</v>
      </c>
      <c r="S147" s="97">
        <f t="shared" si="209"/>
        <v>-1509808.2315487787</v>
      </c>
      <c r="T147" s="97">
        <f t="shared" si="209"/>
        <v>-2067314.9775807704</v>
      </c>
      <c r="U147" s="97">
        <f t="shared" si="209"/>
        <v>-2674428.077617472</v>
      </c>
      <c r="V147" s="97">
        <f t="shared" si="209"/>
        <v>-3337337.8615548802</v>
      </c>
      <c r="W147" s="97">
        <f t="shared" si="209"/>
        <v>-4063111.5210639182</v>
      </c>
      <c r="X147" s="97">
        <f t="shared" si="209"/>
        <v>-4859824.3752554655</v>
      </c>
      <c r="Y147" s="97">
        <f t="shared" si="209"/>
        <v>-5736714.0357513698</v>
      </c>
      <c r="Z147" s="97">
        <f t="shared" si="209"/>
        <v>-6704359.9050815208</v>
      </c>
      <c r="AA147" s="1"/>
      <c r="AB147" s="1"/>
      <c r="AC147" s="125">
        <v>-107013.35059131624</v>
      </c>
      <c r="AD147" s="173">
        <f t="shared" si="205"/>
        <v>16850.814428872953</v>
      </c>
      <c r="AE147" s="125">
        <v>-571171.91104614246</v>
      </c>
      <c r="AF147" s="173">
        <f t="shared" ref="AF147" si="210">IF(ISBLANK(AE147),"",INDEX($A147:$AA147,1,MATCH(AE$3,$A$3:$AA$3,0))-AE147)</f>
        <v>46399.440663930262</v>
      </c>
      <c r="AG147" s="1"/>
      <c r="AH147" s="1"/>
      <c r="AI147" s="1"/>
      <c r="AJ147" s="1"/>
    </row>
    <row r="148" spans="1:36" x14ac:dyDescent="0.25">
      <c r="A148" s="82"/>
      <c r="B148" s="92" t="s">
        <v>402</v>
      </c>
      <c r="C148" s="93"/>
      <c r="D148" s="48"/>
      <c r="E148" s="48"/>
      <c r="F148" s="48"/>
      <c r="G148" s="48"/>
      <c r="H148" s="48"/>
      <c r="I148" s="48"/>
      <c r="J148" s="48"/>
      <c r="K148" s="48"/>
      <c r="L148" s="48"/>
      <c r="M148" s="108">
        <v>2014034</v>
      </c>
      <c r="N148" s="108">
        <v>13681241</v>
      </c>
      <c r="O148" s="108">
        <v>12850489</v>
      </c>
      <c r="P148" s="97">
        <f>O148-P200+P48</f>
        <v>12656979</v>
      </c>
      <c r="Q148" s="97">
        <f t="shared" ref="Q148:Z148" si="211">P148-Q200+Q48</f>
        <v>12458353</v>
      </c>
      <c r="R148" s="97">
        <f t="shared" si="211"/>
        <v>12254761</v>
      </c>
      <c r="S148" s="97">
        <f t="shared" si="211"/>
        <v>12046080</v>
      </c>
      <c r="T148" s="97">
        <f t="shared" si="211"/>
        <v>11832180</v>
      </c>
      <c r="U148" s="97">
        <f t="shared" si="211"/>
        <v>11612934</v>
      </c>
      <c r="V148" s="97">
        <f t="shared" si="211"/>
        <v>11388207</v>
      </c>
      <c r="W148" s="97">
        <f t="shared" si="211"/>
        <v>11157861</v>
      </c>
      <c r="X148" s="97">
        <f t="shared" si="211"/>
        <v>10921756</v>
      </c>
      <c r="Y148" s="97">
        <f t="shared" si="211"/>
        <v>10679749</v>
      </c>
      <c r="Z148" s="97">
        <f t="shared" si="211"/>
        <v>10431692</v>
      </c>
      <c r="AA148" s="1"/>
      <c r="AB148" s="1"/>
      <c r="AC148" s="125">
        <v>12656375</v>
      </c>
      <c r="AD148" s="173">
        <f t="shared" si="205"/>
        <v>604</v>
      </c>
      <c r="AE148" s="125">
        <v>12457749</v>
      </c>
      <c r="AF148" s="173">
        <f t="shared" ref="AF148" si="212">IF(ISBLANK(AE148),"",INDEX($A148:$AA148,1,MATCH(AE$3,$A$3:$AA$3,0))-AE148)</f>
        <v>604</v>
      </c>
      <c r="AG148" s="1"/>
      <c r="AH148" s="1"/>
      <c r="AI148" s="1"/>
      <c r="AJ148" s="1"/>
    </row>
    <row r="149" spans="1:36" x14ac:dyDescent="0.25">
      <c r="A149" s="82"/>
      <c r="B149" s="92" t="s">
        <v>403</v>
      </c>
      <c r="C149" s="93"/>
      <c r="D149" s="48"/>
      <c r="E149" s="48"/>
      <c r="F149" s="48"/>
      <c r="G149" s="48"/>
      <c r="H149" s="48"/>
      <c r="I149" s="48"/>
      <c r="J149" s="48"/>
      <c r="K149" s="48"/>
      <c r="L149" s="48"/>
      <c r="M149" s="108">
        <v>373172</v>
      </c>
      <c r="N149" s="108">
        <v>244701</v>
      </c>
      <c r="O149" s="108">
        <v>219954</v>
      </c>
      <c r="P149" s="174">
        <f>O149</f>
        <v>219954</v>
      </c>
      <c r="Q149" s="174">
        <f t="shared" ref="Q149:Z149" si="213">P149</f>
        <v>219954</v>
      </c>
      <c r="R149" s="174">
        <f t="shared" si="213"/>
        <v>219954</v>
      </c>
      <c r="S149" s="174">
        <f t="shared" si="213"/>
        <v>219954</v>
      </c>
      <c r="T149" s="174">
        <f t="shared" si="213"/>
        <v>219954</v>
      </c>
      <c r="U149" s="174">
        <f t="shared" si="213"/>
        <v>219954</v>
      </c>
      <c r="V149" s="174">
        <f t="shared" si="213"/>
        <v>219954</v>
      </c>
      <c r="W149" s="174">
        <f t="shared" si="213"/>
        <v>219954</v>
      </c>
      <c r="X149" s="174">
        <f t="shared" si="213"/>
        <v>219954</v>
      </c>
      <c r="Y149" s="174">
        <f t="shared" si="213"/>
        <v>219954</v>
      </c>
      <c r="Z149" s="174">
        <f t="shared" si="213"/>
        <v>219954</v>
      </c>
      <c r="AA149" s="1"/>
      <c r="AB149" s="1"/>
      <c r="AC149" s="125">
        <v>219954</v>
      </c>
      <c r="AD149" s="91">
        <f t="shared" si="205"/>
        <v>0</v>
      </c>
      <c r="AE149" s="125">
        <v>219954</v>
      </c>
      <c r="AF149" s="91">
        <f t="shared" ref="AF149" si="214">IF(ISBLANK(AE149),"",INDEX($A149:$AA149,1,MATCH(AE$3,$A$3:$AA$3,0))-AE149)</f>
        <v>0</v>
      </c>
      <c r="AG149" s="1"/>
      <c r="AH149" s="1"/>
      <c r="AI149" s="1"/>
      <c r="AJ149" s="1"/>
    </row>
    <row r="150" spans="1:36" x14ac:dyDescent="0.25">
      <c r="A150" s="82"/>
      <c r="B150" s="92" t="s">
        <v>404</v>
      </c>
      <c r="C150" s="93"/>
      <c r="D150" s="46"/>
      <c r="E150" s="46"/>
      <c r="F150" s="46"/>
      <c r="G150" s="46"/>
      <c r="H150" s="46"/>
      <c r="I150" s="46"/>
      <c r="J150" s="46"/>
      <c r="K150" s="46"/>
      <c r="L150" s="46"/>
      <c r="M150" s="97">
        <f t="shared" ref="M150:N150" si="215">M151-SUM(M144:M149)</f>
        <v>1386968</v>
      </c>
      <c r="N150" s="97">
        <f t="shared" si="215"/>
        <v>990613</v>
      </c>
      <c r="O150" s="97">
        <f>O151-SUM(O144:O149)</f>
        <v>3512519</v>
      </c>
      <c r="P150" s="174">
        <f>O150</f>
        <v>3512519</v>
      </c>
      <c r="Q150" s="174">
        <f t="shared" ref="Q150:Z150" si="216">P150</f>
        <v>3512519</v>
      </c>
      <c r="R150" s="174">
        <f t="shared" si="216"/>
        <v>3512519</v>
      </c>
      <c r="S150" s="174">
        <f t="shared" si="216"/>
        <v>3512519</v>
      </c>
      <c r="T150" s="174">
        <f t="shared" si="216"/>
        <v>3512519</v>
      </c>
      <c r="U150" s="174">
        <f t="shared" si="216"/>
        <v>3512519</v>
      </c>
      <c r="V150" s="174">
        <f t="shared" si="216"/>
        <v>3512519</v>
      </c>
      <c r="W150" s="174">
        <f t="shared" si="216"/>
        <v>3512519</v>
      </c>
      <c r="X150" s="174">
        <f t="shared" si="216"/>
        <v>3512519</v>
      </c>
      <c r="Y150" s="174">
        <f t="shared" si="216"/>
        <v>3512519</v>
      </c>
      <c r="Z150" s="174">
        <f t="shared" si="216"/>
        <v>3512519</v>
      </c>
      <c r="AA150" s="1"/>
      <c r="AB150" s="1"/>
      <c r="AC150" s="125">
        <v>3512519</v>
      </c>
      <c r="AD150" s="91">
        <f t="shared" si="205"/>
        <v>0</v>
      </c>
      <c r="AE150" s="125">
        <v>3512519</v>
      </c>
      <c r="AF150" s="91">
        <f t="shared" ref="AF150" si="217">IF(ISBLANK(AE150),"",INDEX($A150:$AA150,1,MATCH(AE$3,$A$3:$AA$3,0))-AE150)</f>
        <v>0</v>
      </c>
      <c r="AG150" s="1"/>
      <c r="AH150" s="1"/>
      <c r="AI150" s="1"/>
      <c r="AJ150" s="1"/>
    </row>
    <row r="151" spans="1:36" x14ac:dyDescent="0.25">
      <c r="A151" s="82"/>
      <c r="B151" s="100" t="s">
        <v>405</v>
      </c>
      <c r="C151" s="5" t="s">
        <v>298</v>
      </c>
      <c r="D151" s="119"/>
      <c r="E151" s="119"/>
      <c r="F151" s="119"/>
      <c r="G151" s="119"/>
      <c r="H151" s="119"/>
      <c r="I151" s="119"/>
      <c r="J151" s="119"/>
      <c r="K151" s="119"/>
      <c r="L151" s="119"/>
      <c r="M151" s="175">
        <v>31364340</v>
      </c>
      <c r="N151" s="175">
        <v>34069893</v>
      </c>
      <c r="O151" s="175">
        <v>36777595</v>
      </c>
      <c r="P151" s="177">
        <f>SUM(P144:P150)</f>
        <v>37503609.683750853</v>
      </c>
      <c r="Q151" s="177">
        <f t="shared" ref="Q151:Z151" si="218">SUM(Q144:Q150)</f>
        <v>39063927.431066141</v>
      </c>
      <c r="R151" s="177">
        <f t="shared" si="218"/>
        <v>40168113.901371166</v>
      </c>
      <c r="S151" s="177">
        <f t="shared" si="218"/>
        <v>41773133.170271493</v>
      </c>
      <c r="T151" s="177">
        <f t="shared" si="218"/>
        <v>43769024.330137275</v>
      </c>
      <c r="U151" s="177">
        <f t="shared" si="218"/>
        <v>46333711.860969417</v>
      </c>
      <c r="V151" s="177">
        <f t="shared" si="218"/>
        <v>49574468.260631107</v>
      </c>
      <c r="W151" s="177">
        <f t="shared" si="218"/>
        <v>53623095.386581294</v>
      </c>
      <c r="X151" s="177">
        <f t="shared" si="218"/>
        <v>58642315.778717548</v>
      </c>
      <c r="Y151" s="177">
        <f t="shared" si="218"/>
        <v>64833878.708734334</v>
      </c>
      <c r="Z151" s="177">
        <f t="shared" si="218"/>
        <v>63906617.194618791</v>
      </c>
      <c r="AA151" s="1"/>
      <c r="AB151" s="1"/>
      <c r="AC151" s="176">
        <v>37891564.642236933</v>
      </c>
      <c r="AD151" s="146">
        <f t="shared" si="205"/>
        <v>-387954.95848608017</v>
      </c>
      <c r="AE151" s="176">
        <v>40117991.049392559</v>
      </c>
      <c r="AF151" s="146">
        <f t="shared" ref="AF151" si="219">IF(ISBLANK(AE151),"",INDEX($A151:$AA151,1,MATCH(AE$3,$A$3:$AA$3,0))-AE151)</f>
        <v>-1054063.6183264181</v>
      </c>
      <c r="AG151" s="1"/>
      <c r="AH151" s="1"/>
      <c r="AI151" s="1"/>
      <c r="AJ151" s="1"/>
    </row>
    <row r="152" spans="1:36" x14ac:dyDescent="0.25">
      <c r="A152" s="82"/>
      <c r="B152" s="92" t="s">
        <v>406</v>
      </c>
      <c r="C152" s="93" t="s">
        <v>7</v>
      </c>
      <c r="D152" s="2"/>
      <c r="E152" s="2"/>
      <c r="F152" s="2"/>
      <c r="G152" s="2"/>
      <c r="H152" s="2"/>
      <c r="I152" s="2"/>
      <c r="J152" s="2"/>
      <c r="K152" s="2"/>
      <c r="L152" s="2"/>
      <c r="M152" s="330">
        <f t="shared" ref="M152:N153" si="220">M145/M$10</f>
        <v>0.57024797583926656</v>
      </c>
      <c r="N152" s="330">
        <f t="shared" si="220"/>
        <v>0.59359097389109128</v>
      </c>
      <c r="O152" s="330">
        <f>O145/O$10</f>
        <v>0.47267953020127274</v>
      </c>
      <c r="P152" s="355">
        <f>O152</f>
        <v>0.47267953020127274</v>
      </c>
      <c r="Q152" s="355">
        <f t="shared" ref="Q152:Z152" si="221">P152</f>
        <v>0.47267953020127274</v>
      </c>
      <c r="R152" s="355">
        <f t="shared" si="221"/>
        <v>0.47267953020127274</v>
      </c>
      <c r="S152" s="355">
        <f t="shared" si="221"/>
        <v>0.47267953020127274</v>
      </c>
      <c r="T152" s="355">
        <f t="shared" si="221"/>
        <v>0.47267953020127274</v>
      </c>
      <c r="U152" s="355">
        <f t="shared" si="221"/>
        <v>0.47267953020127274</v>
      </c>
      <c r="V152" s="355">
        <f t="shared" si="221"/>
        <v>0.47267953020127274</v>
      </c>
      <c r="W152" s="355">
        <f t="shared" si="221"/>
        <v>0.47267953020127274</v>
      </c>
      <c r="X152" s="355">
        <f t="shared" si="221"/>
        <v>0.47267953020127274</v>
      </c>
      <c r="Y152" s="355">
        <f t="shared" si="221"/>
        <v>0.47267953020127274</v>
      </c>
      <c r="Z152" s="355">
        <f t="shared" si="221"/>
        <v>0.47267953020127274</v>
      </c>
      <c r="AA152" s="1"/>
      <c r="AB152" s="1"/>
      <c r="AC152" s="105">
        <v>0.47267953020127274</v>
      </c>
      <c r="AD152" s="106">
        <f t="shared" si="205"/>
        <v>0</v>
      </c>
      <c r="AE152" s="105">
        <v>0.47267953020127274</v>
      </c>
      <c r="AF152" s="106">
        <f t="shared" ref="AF152" si="222">IF(ISBLANK(AE152),"",INDEX($A152:$AA152,1,MATCH(AE$3,$A$3:$AA$3,0))-AE152)</f>
        <v>0</v>
      </c>
      <c r="AG152" s="1"/>
      <c r="AH152" s="1"/>
      <c r="AI152" s="1"/>
      <c r="AJ152" s="1"/>
    </row>
    <row r="153" spans="1:36" x14ac:dyDescent="0.25">
      <c r="A153" s="82"/>
      <c r="B153" s="92" t="s">
        <v>407</v>
      </c>
      <c r="C153" s="93" t="s">
        <v>7</v>
      </c>
      <c r="D153" s="2"/>
      <c r="E153" s="2"/>
      <c r="F153" s="2"/>
      <c r="G153" s="2"/>
      <c r="H153" s="2"/>
      <c r="I153" s="2"/>
      <c r="J153" s="2"/>
      <c r="K153" s="2"/>
      <c r="L153" s="2"/>
      <c r="M153" s="330">
        <f t="shared" si="220"/>
        <v>0</v>
      </c>
      <c r="N153" s="330">
        <f t="shared" si="220"/>
        <v>0</v>
      </c>
      <c r="O153" s="330">
        <f>O146/O$10</f>
        <v>0</v>
      </c>
      <c r="P153" s="355">
        <f>O153</f>
        <v>0</v>
      </c>
      <c r="Q153" s="355">
        <f t="shared" ref="Q153:Z153" si="223">P153</f>
        <v>0</v>
      </c>
      <c r="R153" s="355">
        <f t="shared" si="223"/>
        <v>0</v>
      </c>
      <c r="S153" s="355">
        <f t="shared" si="223"/>
        <v>0</v>
      </c>
      <c r="T153" s="355">
        <f t="shared" si="223"/>
        <v>0</v>
      </c>
      <c r="U153" s="355">
        <f t="shared" si="223"/>
        <v>0</v>
      </c>
      <c r="V153" s="355">
        <f t="shared" si="223"/>
        <v>0</v>
      </c>
      <c r="W153" s="355">
        <f t="shared" si="223"/>
        <v>0</v>
      </c>
      <c r="X153" s="355">
        <f t="shared" si="223"/>
        <v>0</v>
      </c>
      <c r="Y153" s="355">
        <f t="shared" si="223"/>
        <v>0</v>
      </c>
      <c r="Z153" s="355">
        <f t="shared" si="223"/>
        <v>0</v>
      </c>
      <c r="AA153" s="1"/>
      <c r="AB153" s="1"/>
      <c r="AC153" s="105">
        <v>0</v>
      </c>
      <c r="AD153" s="106">
        <f t="shared" si="205"/>
        <v>0</v>
      </c>
      <c r="AE153" s="105">
        <v>0</v>
      </c>
      <c r="AF153" s="106">
        <f t="shared" ref="AF153" si="224">IF(ISBLANK(AE153),"",INDEX($A153:$AA153,1,MATCH(AE$3,$A$3:$AA$3,0))-AE153)</f>
        <v>0</v>
      </c>
      <c r="AG153" s="1"/>
      <c r="AH153" s="1"/>
      <c r="AI153" s="1"/>
      <c r="AJ153" s="1"/>
    </row>
    <row r="154" spans="1:36" x14ac:dyDescent="0.25">
      <c r="A154" s="82"/>
      <c r="B154" s="92" t="s">
        <v>408</v>
      </c>
      <c r="C154" s="93"/>
      <c r="D154" s="46"/>
      <c r="E154" s="46"/>
      <c r="F154" s="46"/>
      <c r="G154" s="46"/>
      <c r="H154" s="46"/>
      <c r="I154" s="46"/>
      <c r="J154" s="46"/>
      <c r="K154" s="46"/>
      <c r="L154" s="46"/>
      <c r="M154" s="97">
        <f t="shared" ref="M154:N154" si="225">M145+M146-M159</f>
        <v>1562836</v>
      </c>
      <c r="N154" s="97">
        <f t="shared" si="225"/>
        <v>3087287</v>
      </c>
      <c r="O154" s="97">
        <f>O145+O146-O159</f>
        <v>2854730</v>
      </c>
      <c r="P154" s="97">
        <f t="shared" ref="P154:Z154" si="226">P145+P146-P159</f>
        <v>2839208.8165217973</v>
      </c>
      <c r="Q154" s="97">
        <f t="shared" si="226"/>
        <v>3240844.3823191505</v>
      </c>
      <c r="R154" s="97">
        <f t="shared" si="226"/>
        <v>3682187.6783763003</v>
      </c>
      <c r="S154" s="97">
        <f t="shared" si="226"/>
        <v>4183750.2426331192</v>
      </c>
      <c r="T154" s="97">
        <f t="shared" si="226"/>
        <v>4718863.5797879472</v>
      </c>
      <c r="U154" s="97">
        <f t="shared" si="226"/>
        <v>5326705.4657615777</v>
      </c>
      <c r="V154" s="97">
        <f t="shared" si="226"/>
        <v>6017707.1733621098</v>
      </c>
      <c r="W154" s="97">
        <f t="shared" si="226"/>
        <v>6803869.7315305844</v>
      </c>
      <c r="X154" s="97">
        <f t="shared" si="226"/>
        <v>7699010.6167509966</v>
      </c>
      <c r="Y154" s="97">
        <f t="shared" si="226"/>
        <v>8719050.7714131549</v>
      </c>
      <c r="Z154" s="97">
        <f t="shared" si="226"/>
        <v>9882348.7813207433</v>
      </c>
      <c r="AA154" s="1"/>
      <c r="AB154" s="1"/>
      <c r="AC154" s="125">
        <v>3067752.4398209862</v>
      </c>
      <c r="AD154" s="173">
        <f t="shared" si="205"/>
        <v>-228543.62329918891</v>
      </c>
      <c r="AE154" s="125">
        <v>3646645.3096396998</v>
      </c>
      <c r="AF154" s="173">
        <f t="shared" ref="AF154" si="227">IF(ISBLANK(AE154),"",INDEX($A154:$AA154,1,MATCH(AE$3,$A$3:$AA$3,0))-AE154)</f>
        <v>-405800.92732054926</v>
      </c>
      <c r="AG154" s="1"/>
      <c r="AH154" s="1"/>
      <c r="AI154" s="1"/>
      <c r="AJ154" s="1"/>
    </row>
    <row r="155" spans="1:36" x14ac:dyDescent="0.25">
      <c r="A155" s="82"/>
      <c r="B155" s="92" t="s">
        <v>409</v>
      </c>
      <c r="C155" s="93" t="s">
        <v>7</v>
      </c>
      <c r="D155" s="2"/>
      <c r="E155" s="2"/>
      <c r="F155" s="2"/>
      <c r="G155" s="2"/>
      <c r="H155" s="2"/>
      <c r="I155" s="2"/>
      <c r="J155" s="2"/>
      <c r="K155" s="2"/>
      <c r="L155" s="2"/>
      <c r="M155" s="62"/>
      <c r="N155" s="62"/>
      <c r="O155" s="6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1"/>
      <c r="AB155" s="1"/>
      <c r="AC155" s="105"/>
      <c r="AD155" s="91" t="str">
        <f t="shared" si="205"/>
        <v/>
      </c>
      <c r="AE155" s="105"/>
      <c r="AF155" s="91" t="str">
        <f t="shared" ref="AF155" si="228">IF(ISBLANK(AE155),"",INDEX($A155:$AA155,1,MATCH(AE$3,$A$3:$AA$3,0))-AE155)</f>
        <v/>
      </c>
      <c r="AG155" s="1"/>
      <c r="AH155" s="1"/>
      <c r="AI155" s="1"/>
      <c r="AJ155" s="1"/>
    </row>
    <row r="156" spans="1:36" x14ac:dyDescent="0.25">
      <c r="A156" s="82"/>
      <c r="B156" s="92" t="s">
        <v>410</v>
      </c>
      <c r="C156" s="93" t="s">
        <v>7</v>
      </c>
      <c r="D156" s="2"/>
      <c r="E156" s="2"/>
      <c r="F156" s="2"/>
      <c r="G156" s="2"/>
      <c r="H156" s="2"/>
      <c r="I156" s="2"/>
      <c r="J156" s="2"/>
      <c r="K156" s="2"/>
      <c r="L156" s="2"/>
      <c r="M156" s="62"/>
      <c r="N156" s="62"/>
      <c r="O156" s="6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1"/>
      <c r="AB156" s="1"/>
      <c r="AC156" s="105"/>
      <c r="AD156" s="91" t="str">
        <f t="shared" si="205"/>
        <v/>
      </c>
      <c r="AE156" s="105"/>
      <c r="AF156" s="91" t="str">
        <f t="shared" ref="AF156" si="229">IF(ISBLANK(AE156),"",INDEX($A156:$AA156,1,MATCH(AE$3,$A$3:$AA$3,0))-AE156)</f>
        <v/>
      </c>
      <c r="AG156" s="1"/>
      <c r="AH156" s="1"/>
      <c r="AI156" s="1"/>
      <c r="AJ156" s="1"/>
    </row>
    <row r="157" spans="1:36" x14ac:dyDescent="0.25">
      <c r="A157" s="82"/>
      <c r="B157" s="92"/>
      <c r="C157" s="9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1"/>
      <c r="AB157" s="1"/>
      <c r="AC157" s="90"/>
      <c r="AD157" s="91" t="str">
        <f t="shared" si="205"/>
        <v/>
      </c>
      <c r="AE157" s="90"/>
      <c r="AF157" s="91" t="str">
        <f t="shared" ref="AF157" si="230">IF(ISBLANK(AE157),"",INDEX($A157:$AA157,1,MATCH(AE$3,$A$3:$AA$3,0))-AE157)</f>
        <v/>
      </c>
      <c r="AG157" s="1"/>
      <c r="AH157" s="1"/>
      <c r="AI157" s="1"/>
      <c r="AJ157" s="1"/>
    </row>
    <row r="158" spans="1:36" x14ac:dyDescent="0.25">
      <c r="A158" s="82"/>
      <c r="B158" s="95" t="s">
        <v>411</v>
      </c>
      <c r="C158" s="9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1"/>
      <c r="AB158" s="1"/>
      <c r="AC158" s="90"/>
      <c r="AD158" s="91" t="str">
        <f t="shared" si="205"/>
        <v/>
      </c>
      <c r="AE158" s="90"/>
      <c r="AF158" s="91" t="str">
        <f t="shared" ref="AF158" si="231">IF(ISBLANK(AE158),"",INDEX($A158:$AA158,1,MATCH(AE$3,$A$3:$AA$3,0))-AE158)</f>
        <v/>
      </c>
      <c r="AG158" s="1"/>
      <c r="AH158" s="1"/>
      <c r="AI158" s="1"/>
      <c r="AJ158" s="1"/>
    </row>
    <row r="159" spans="1:36" x14ac:dyDescent="0.25">
      <c r="A159" s="82"/>
      <c r="B159" s="92" t="s">
        <v>412</v>
      </c>
      <c r="C159" s="93"/>
      <c r="D159" s="48"/>
      <c r="E159" s="48"/>
      <c r="F159" s="48"/>
      <c r="G159" s="48"/>
      <c r="H159" s="48"/>
      <c r="I159" s="48"/>
      <c r="J159" s="48"/>
      <c r="K159" s="48"/>
      <c r="L159" s="48"/>
      <c r="M159" s="108">
        <v>8434516</v>
      </c>
      <c r="N159" s="108">
        <v>9921629</v>
      </c>
      <c r="O159" s="108">
        <v>8546798</v>
      </c>
      <c r="P159" s="97">
        <f>P$10*P165</f>
        <v>8500329.0099697169</v>
      </c>
      <c r="Q159" s="97">
        <f t="shared" ref="Q159:Z159" si="232">Q$10*Q165</f>
        <v>9702788.8049365561</v>
      </c>
      <c r="R159" s="97">
        <f t="shared" si="232"/>
        <v>11024129.877491461</v>
      </c>
      <c r="S159" s="97">
        <f t="shared" si="232"/>
        <v>12525761.878088733</v>
      </c>
      <c r="T159" s="97">
        <f t="shared" si="232"/>
        <v>14127841.794497021</v>
      </c>
      <c r="U159" s="97">
        <f t="shared" si="232"/>
        <v>15947664.269952009</v>
      </c>
      <c r="V159" s="97">
        <f t="shared" si="232"/>
        <v>18016459.571965441</v>
      </c>
      <c r="W159" s="97">
        <f t="shared" si="232"/>
        <v>20370157.672951955</v>
      </c>
      <c r="X159" s="97">
        <f t="shared" si="232"/>
        <v>23050126.82152994</v>
      </c>
      <c r="Y159" s="97">
        <f t="shared" si="232"/>
        <v>26104032.84899532</v>
      </c>
      <c r="Z159" s="97">
        <f t="shared" si="232"/>
        <v>29586839.665920965</v>
      </c>
      <c r="AA159" s="1"/>
      <c r="AB159" s="1"/>
      <c r="AC159" s="125">
        <v>9184567.5132699497</v>
      </c>
      <c r="AD159" s="173">
        <f t="shared" si="205"/>
        <v>-684238.50330023281</v>
      </c>
      <c r="AE159" s="125">
        <v>10917719.307653597</v>
      </c>
      <c r="AF159" s="173">
        <f t="shared" ref="AF159" si="233">IF(ISBLANK(AE159),"",INDEX($A159:$AA159,1,MATCH(AE$3,$A$3:$AA$3,0))-AE159)</f>
        <v>-1214930.5027170405</v>
      </c>
      <c r="AG159" s="1"/>
      <c r="AH159" s="1"/>
      <c r="AI159" s="1"/>
      <c r="AJ159" s="1"/>
    </row>
    <row r="160" spans="1:36" x14ac:dyDescent="0.25">
      <c r="A160" s="82"/>
      <c r="B160" s="92" t="s">
        <v>413</v>
      </c>
      <c r="C160" s="93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174">
        <f>O160</f>
        <v>0</v>
      </c>
      <c r="Q160" s="174">
        <f t="shared" ref="Q160:Z160" si="234">P160</f>
        <v>0</v>
      </c>
      <c r="R160" s="174">
        <f t="shared" si="234"/>
        <v>0</v>
      </c>
      <c r="S160" s="174">
        <f t="shared" si="234"/>
        <v>0</v>
      </c>
      <c r="T160" s="174">
        <f t="shared" si="234"/>
        <v>0</v>
      </c>
      <c r="U160" s="174">
        <f t="shared" si="234"/>
        <v>0</v>
      </c>
      <c r="V160" s="174">
        <f t="shared" si="234"/>
        <v>0</v>
      </c>
      <c r="W160" s="174">
        <f t="shared" si="234"/>
        <v>0</v>
      </c>
      <c r="X160" s="174">
        <f t="shared" si="234"/>
        <v>0</v>
      </c>
      <c r="Y160" s="174">
        <f t="shared" si="234"/>
        <v>0</v>
      </c>
      <c r="Z160" s="174">
        <f t="shared" si="234"/>
        <v>0</v>
      </c>
      <c r="AA160" s="1"/>
      <c r="AB160" s="1"/>
      <c r="AC160" s="90">
        <v>0</v>
      </c>
      <c r="AD160" s="91">
        <f t="shared" si="205"/>
        <v>0</v>
      </c>
      <c r="AE160" s="90">
        <v>0</v>
      </c>
      <c r="AF160" s="91">
        <f t="shared" ref="AF160" si="235">IF(ISBLANK(AE160),"",INDEX($A160:$AA160,1,MATCH(AE$3,$A$3:$AA$3,0))-AE160)</f>
        <v>0</v>
      </c>
      <c r="AG160" s="1"/>
      <c r="AH160" s="1"/>
      <c r="AI160" s="1"/>
      <c r="AJ160" s="1"/>
    </row>
    <row r="161" spans="1:36" x14ac:dyDescent="0.25">
      <c r="A161" s="82"/>
      <c r="B161" s="92" t="s">
        <v>414</v>
      </c>
      <c r="C161" s="93"/>
      <c r="D161" s="48"/>
      <c r="E161" s="48"/>
      <c r="F161" s="48"/>
      <c r="G161" s="48"/>
      <c r="H161" s="48"/>
      <c r="I161" s="48"/>
      <c r="J161" s="48"/>
      <c r="K161" s="48"/>
      <c r="L161" s="48"/>
      <c r="M161" s="108">
        <v>357419</v>
      </c>
      <c r="N161" s="108">
        <v>289788</v>
      </c>
      <c r="O161" s="108">
        <v>278617</v>
      </c>
      <c r="P161" s="174">
        <f t="shared" ref="P161:Z162" si="236">O161</f>
        <v>278617</v>
      </c>
      <c r="Q161" s="174">
        <f t="shared" si="236"/>
        <v>278617</v>
      </c>
      <c r="R161" s="174">
        <f t="shared" si="236"/>
        <v>278617</v>
      </c>
      <c r="S161" s="174">
        <f t="shared" si="236"/>
        <v>278617</v>
      </c>
      <c r="T161" s="174">
        <f t="shared" si="236"/>
        <v>278617</v>
      </c>
      <c r="U161" s="174">
        <f t="shared" si="236"/>
        <v>278617</v>
      </c>
      <c r="V161" s="174">
        <f t="shared" si="236"/>
        <v>278617</v>
      </c>
      <c r="W161" s="174">
        <f t="shared" si="236"/>
        <v>278617</v>
      </c>
      <c r="X161" s="174">
        <f t="shared" si="236"/>
        <v>278617</v>
      </c>
      <c r="Y161" s="174">
        <f t="shared" si="236"/>
        <v>278617</v>
      </c>
      <c r="Z161" s="174">
        <f t="shared" si="236"/>
        <v>278617</v>
      </c>
      <c r="AA161" s="1"/>
      <c r="AB161" s="1"/>
      <c r="AC161" s="125">
        <v>278617</v>
      </c>
      <c r="AD161" s="91">
        <f t="shared" si="205"/>
        <v>0</v>
      </c>
      <c r="AE161" s="125">
        <v>278617</v>
      </c>
      <c r="AF161" s="91">
        <f t="shared" ref="AF161" si="237">IF(ISBLANK(AE161),"",INDEX($A161:$AA161,1,MATCH(AE$3,$A$3:$AA$3,0))-AE161)</f>
        <v>0</v>
      </c>
      <c r="AG161" s="1"/>
      <c r="AH161" s="1"/>
      <c r="AI161" s="1"/>
      <c r="AJ161" s="1"/>
    </row>
    <row r="162" spans="1:36" x14ac:dyDescent="0.25">
      <c r="A162" s="82"/>
      <c r="B162" s="92" t="s">
        <v>320</v>
      </c>
      <c r="C162" s="93"/>
      <c r="D162" s="46"/>
      <c r="E162" s="46"/>
      <c r="F162" s="46"/>
      <c r="G162" s="46"/>
      <c r="H162" s="46"/>
      <c r="I162" s="46"/>
      <c r="J162" s="46"/>
      <c r="K162" s="46"/>
      <c r="L162" s="46"/>
      <c r="M162" s="97">
        <f t="shared" ref="M162:N162" si="238">M164-SUM(M159:M161,M163)</f>
        <v>1211221</v>
      </c>
      <c r="N162" s="97">
        <f t="shared" si="238"/>
        <v>1045549</v>
      </c>
      <c r="O162" s="97">
        <f>O164-SUM(O159:O161,O163)</f>
        <v>1611279</v>
      </c>
      <c r="P162" s="174">
        <f t="shared" si="236"/>
        <v>1611279</v>
      </c>
      <c r="Q162" s="174">
        <f t="shared" si="236"/>
        <v>1611279</v>
      </c>
      <c r="R162" s="174">
        <f t="shared" si="236"/>
        <v>1611279</v>
      </c>
      <c r="S162" s="174">
        <f t="shared" si="236"/>
        <v>1611279</v>
      </c>
      <c r="T162" s="174">
        <f t="shared" si="236"/>
        <v>1611279</v>
      </c>
      <c r="U162" s="174">
        <f t="shared" si="236"/>
        <v>1611279</v>
      </c>
      <c r="V162" s="174">
        <f t="shared" si="236"/>
        <v>1611279</v>
      </c>
      <c r="W162" s="174">
        <f t="shared" si="236"/>
        <v>1611279</v>
      </c>
      <c r="X162" s="174">
        <f t="shared" si="236"/>
        <v>1611279</v>
      </c>
      <c r="Y162" s="174">
        <f t="shared" si="236"/>
        <v>1611279</v>
      </c>
      <c r="Z162" s="174">
        <f t="shared" si="236"/>
        <v>1611279</v>
      </c>
      <c r="AA162" s="1"/>
      <c r="AB162" s="1"/>
      <c r="AC162" s="125">
        <v>1611279</v>
      </c>
      <c r="AD162" s="91">
        <f t="shared" si="205"/>
        <v>0</v>
      </c>
      <c r="AE162" s="125">
        <v>1611279</v>
      </c>
      <c r="AF162" s="91">
        <f t="shared" ref="AF162" si="239">IF(ISBLANK(AE162),"",INDEX($A162:$AA162,1,MATCH(AE$3,$A$3:$AA$3,0))-AE162)</f>
        <v>0</v>
      </c>
      <c r="AG162" s="1"/>
      <c r="AH162" s="1"/>
      <c r="AI162" s="1"/>
      <c r="AJ162" s="1"/>
    </row>
    <row r="163" spans="1:36" x14ac:dyDescent="0.25">
      <c r="A163" s="82" t="s">
        <v>415</v>
      </c>
      <c r="B163" s="92" t="s">
        <v>415</v>
      </c>
      <c r="C163" s="93"/>
      <c r="D163" s="48"/>
      <c r="E163" s="48"/>
      <c r="F163" s="48"/>
      <c r="G163" s="48"/>
      <c r="H163" s="48"/>
      <c r="I163" s="48"/>
      <c r="J163" s="48"/>
      <c r="K163" s="48"/>
      <c r="L163" s="48"/>
      <c r="M163" s="108">
        <v>4109829</v>
      </c>
      <c r="N163" s="108">
        <v>4120091</v>
      </c>
      <c r="O163" s="108">
        <v>5105939</v>
      </c>
      <c r="P163" s="97">
        <f>O163+P213</f>
        <v>5105939</v>
      </c>
      <c r="Q163" s="97">
        <f t="shared" ref="Q163:Z163" si="240">P163+Q213</f>
        <v>5105939</v>
      </c>
      <c r="R163" s="97">
        <f t="shared" si="240"/>
        <v>5105939</v>
      </c>
      <c r="S163" s="97">
        <f t="shared" si="240"/>
        <v>5105939</v>
      </c>
      <c r="T163" s="97">
        <f t="shared" si="240"/>
        <v>5105939</v>
      </c>
      <c r="U163" s="97">
        <f t="shared" si="240"/>
        <v>5105939</v>
      </c>
      <c r="V163" s="97">
        <f t="shared" si="240"/>
        <v>5105939</v>
      </c>
      <c r="W163" s="97">
        <f t="shared" si="240"/>
        <v>5105939</v>
      </c>
      <c r="X163" s="97">
        <f t="shared" si="240"/>
        <v>5105939</v>
      </c>
      <c r="Y163" s="97">
        <f t="shared" si="240"/>
        <v>5105939</v>
      </c>
      <c r="Z163" s="97">
        <f t="shared" si="240"/>
        <v>5105939</v>
      </c>
      <c r="AA163" s="1"/>
      <c r="AB163" s="1"/>
      <c r="AC163" s="125">
        <v>5105939</v>
      </c>
      <c r="AD163" s="91">
        <f t="shared" si="205"/>
        <v>0</v>
      </c>
      <c r="AE163" s="125">
        <v>5105939</v>
      </c>
      <c r="AF163" s="91">
        <f t="shared" ref="AF163" si="241">IF(ISBLANK(AE163),"",INDEX($A163:$AA163,1,MATCH(AE$3,$A$3:$AA$3,0))-AE163)</f>
        <v>0</v>
      </c>
      <c r="AG163" s="1"/>
      <c r="AH163" s="1"/>
      <c r="AI163" s="1"/>
      <c r="AJ163" s="1"/>
    </row>
    <row r="164" spans="1:36" x14ac:dyDescent="0.25">
      <c r="A164" s="82"/>
      <c r="B164" s="100" t="s">
        <v>416</v>
      </c>
      <c r="C164" s="5" t="s">
        <v>298</v>
      </c>
      <c r="D164" s="119"/>
      <c r="E164" s="119"/>
      <c r="F164" s="119"/>
      <c r="G164" s="119"/>
      <c r="H164" s="119"/>
      <c r="I164" s="119"/>
      <c r="J164" s="119"/>
      <c r="K164" s="119"/>
      <c r="L164" s="119"/>
      <c r="M164" s="175">
        <v>14112985</v>
      </c>
      <c r="N164" s="175">
        <v>15377057</v>
      </c>
      <c r="O164" s="175">
        <v>15542633</v>
      </c>
      <c r="P164" s="177">
        <f>SUM(P159:P163)</f>
        <v>15496164.009969717</v>
      </c>
      <c r="Q164" s="177">
        <f t="shared" ref="Q164:Z164" si="242">SUM(Q159:Q163)</f>
        <v>16698623.804936556</v>
      </c>
      <c r="R164" s="177">
        <f t="shared" si="242"/>
        <v>18019964.877491459</v>
      </c>
      <c r="S164" s="177">
        <f t="shared" si="242"/>
        <v>19521596.878088735</v>
      </c>
      <c r="T164" s="177">
        <f t="shared" si="242"/>
        <v>21123676.794497021</v>
      </c>
      <c r="U164" s="177">
        <f t="shared" si="242"/>
        <v>22943499.269952007</v>
      </c>
      <c r="V164" s="177">
        <f t="shared" si="242"/>
        <v>25012294.571965441</v>
      </c>
      <c r="W164" s="177">
        <f t="shared" si="242"/>
        <v>27365992.672951955</v>
      </c>
      <c r="X164" s="177">
        <f t="shared" si="242"/>
        <v>30045961.82152994</v>
      </c>
      <c r="Y164" s="177">
        <f t="shared" si="242"/>
        <v>33099867.84899532</v>
      </c>
      <c r="Z164" s="177">
        <f t="shared" si="242"/>
        <v>36582674.665920965</v>
      </c>
      <c r="AA164" s="1"/>
      <c r="AB164" s="1"/>
      <c r="AC164" s="176">
        <v>16180402.51326995</v>
      </c>
      <c r="AD164" s="178">
        <f t="shared" si="205"/>
        <v>-684238.50330023281</v>
      </c>
      <c r="AE164" s="176">
        <v>17913554.307653598</v>
      </c>
      <c r="AF164" s="178">
        <f t="shared" ref="AF164" si="243">IF(ISBLANK(AE164),"",INDEX($A164:$AA164,1,MATCH(AE$3,$A$3:$AA$3,0))-AE164)</f>
        <v>-1214930.5027170423</v>
      </c>
      <c r="AG164" s="1"/>
      <c r="AH164" s="1"/>
      <c r="AI164" s="1"/>
      <c r="AJ164" s="1"/>
    </row>
    <row r="165" spans="1:36" x14ac:dyDescent="0.25">
      <c r="A165" s="82"/>
      <c r="B165" s="92" t="s">
        <v>417</v>
      </c>
      <c r="C165" s="93" t="s">
        <v>7</v>
      </c>
      <c r="D165" s="2"/>
      <c r="E165" s="2"/>
      <c r="F165" s="2"/>
      <c r="G165" s="2"/>
      <c r="H165" s="2"/>
      <c r="I165" s="2"/>
      <c r="J165" s="2"/>
      <c r="K165" s="2"/>
      <c r="L165" s="2"/>
      <c r="M165" s="330">
        <f t="shared" ref="M165:N165" si="244">M159/M$10</f>
        <v>0.48110396394804417</v>
      </c>
      <c r="N165" s="330">
        <f t="shared" si="244"/>
        <v>0.45271945953806558</v>
      </c>
      <c r="O165" s="330">
        <f>O159/O$10</f>
        <v>0.35432939018043696</v>
      </c>
      <c r="P165" s="355">
        <f>O165</f>
        <v>0.35432939018043696</v>
      </c>
      <c r="Q165" s="355">
        <f t="shared" ref="Q165:Z165" si="245">P165</f>
        <v>0.35432939018043696</v>
      </c>
      <c r="R165" s="355">
        <f t="shared" si="245"/>
        <v>0.35432939018043696</v>
      </c>
      <c r="S165" s="355">
        <f t="shared" si="245"/>
        <v>0.35432939018043696</v>
      </c>
      <c r="T165" s="355">
        <f t="shared" si="245"/>
        <v>0.35432939018043696</v>
      </c>
      <c r="U165" s="355">
        <f t="shared" si="245"/>
        <v>0.35432939018043696</v>
      </c>
      <c r="V165" s="355">
        <f t="shared" si="245"/>
        <v>0.35432939018043696</v>
      </c>
      <c r="W165" s="355">
        <f t="shared" si="245"/>
        <v>0.35432939018043696</v>
      </c>
      <c r="X165" s="355">
        <f t="shared" si="245"/>
        <v>0.35432939018043696</v>
      </c>
      <c r="Y165" s="355">
        <f t="shared" si="245"/>
        <v>0.35432939018043696</v>
      </c>
      <c r="Z165" s="355">
        <f t="shared" si="245"/>
        <v>0.35432939018043696</v>
      </c>
      <c r="AA165" s="1"/>
      <c r="AB165" s="1"/>
      <c r="AC165" s="105">
        <v>0.35432939018043696</v>
      </c>
      <c r="AD165" s="106">
        <f t="shared" si="205"/>
        <v>0</v>
      </c>
      <c r="AE165" s="105">
        <v>0.35432939018043696</v>
      </c>
      <c r="AF165" s="106">
        <f t="shared" ref="AF165" si="246">IF(ISBLANK(AE165),"",INDEX($A165:$AA165,1,MATCH(AE$3,$A$3:$AA$3,0))-AE165)</f>
        <v>0</v>
      </c>
      <c r="AG165" s="1"/>
      <c r="AH165" s="1"/>
      <c r="AI165" s="1"/>
      <c r="AJ165" s="1"/>
    </row>
    <row r="166" spans="1:36" x14ac:dyDescent="0.25">
      <c r="A166" s="82" t="s">
        <v>59</v>
      </c>
      <c r="B166" s="92" t="s">
        <v>59</v>
      </c>
      <c r="C166" s="93"/>
      <c r="D166" s="2"/>
      <c r="E166" s="2"/>
      <c r="F166" s="2"/>
      <c r="G166" s="2"/>
      <c r="H166" s="2"/>
      <c r="I166" s="2"/>
      <c r="J166" s="2"/>
      <c r="K166" s="2"/>
      <c r="L166" s="2"/>
      <c r="M166" s="137">
        <f t="shared" ref="M166:N166" si="247">M163-M144</f>
        <v>-1516224</v>
      </c>
      <c r="N166" s="137">
        <f t="shared" si="247"/>
        <v>-1728275</v>
      </c>
      <c r="O166" s="137">
        <f>O163-O144</f>
        <v>-3372734</v>
      </c>
      <c r="P166" s="137">
        <f t="shared" ref="P166:Z166" si="248">P163-P144</f>
        <v>-4758843.3934217785</v>
      </c>
      <c r="Q166" s="137">
        <f t="shared" si="248"/>
        <v>-5348301.7141926438</v>
      </c>
      <c r="R166" s="137">
        <f t="shared" si="248"/>
        <v>-5365108.41421468</v>
      </c>
      <c r="S166" s="137">
        <f t="shared" si="248"/>
        <v>-5688937.2810984198</v>
      </c>
      <c r="T166" s="137">
        <f t="shared" si="248"/>
        <v>-6319041.9334330782</v>
      </c>
      <c r="U166" s="137">
        <f t="shared" si="248"/>
        <v>-7282424.2028733045</v>
      </c>
      <c r="V166" s="137">
        <f t="shared" si="248"/>
        <v>-8651020.3768584356</v>
      </c>
      <c r="W166" s="137">
        <f t="shared" si="248"/>
        <v>-10515906.503162667</v>
      </c>
      <c r="X166" s="137">
        <f t="shared" si="248"/>
        <v>-12992834.715692077</v>
      </c>
      <c r="Y166" s="137">
        <f t="shared" si="248"/>
        <v>-16229348.124077231</v>
      </c>
      <c r="Z166" s="137">
        <f t="shared" si="248"/>
        <v>-11871684.652458601</v>
      </c>
      <c r="AA166" s="137"/>
      <c r="AB166" s="1"/>
      <c r="AC166" s="125">
        <v>-4251471.0397373103</v>
      </c>
      <c r="AD166" s="91">
        <f t="shared" si="205"/>
        <v>-507372.35368446819</v>
      </c>
      <c r="AE166" s="125">
        <v>-4828637.3431454059</v>
      </c>
      <c r="AF166" s="91">
        <f t="shared" ref="AF166" si="249">IF(ISBLANK(AE166),"",INDEX($A166:$AA166,1,MATCH(AE$3,$A$3:$AA$3,0))-AE166)</f>
        <v>-519664.37104723789</v>
      </c>
      <c r="AG166" s="1"/>
      <c r="AH166" s="1"/>
      <c r="AI166" s="1"/>
      <c r="AJ166" s="1"/>
    </row>
    <row r="167" spans="1:36" x14ac:dyDescent="0.25">
      <c r="A167" s="82" t="s">
        <v>418</v>
      </c>
      <c r="B167" s="92" t="s">
        <v>418</v>
      </c>
      <c r="C167" s="93"/>
      <c r="D167" s="2"/>
      <c r="E167" s="2"/>
      <c r="F167" s="2"/>
      <c r="G167" s="2"/>
      <c r="H167" s="46"/>
      <c r="I167" s="46"/>
      <c r="J167" s="46"/>
      <c r="K167" s="48"/>
      <c r="L167" s="48"/>
      <c r="M167" s="48"/>
      <c r="N167" s="48"/>
      <c r="O167" s="48"/>
      <c r="P167" s="97">
        <f>P166</f>
        <v>-4758843.3934217785</v>
      </c>
      <c r="Q167" s="97">
        <f t="shared" ref="Q167:Z167" si="250">Q166</f>
        <v>-5348301.7141926438</v>
      </c>
      <c r="R167" s="97">
        <f t="shared" si="250"/>
        <v>-5365108.41421468</v>
      </c>
      <c r="S167" s="97">
        <f t="shared" si="250"/>
        <v>-5688937.2810984198</v>
      </c>
      <c r="T167" s="97">
        <f t="shared" si="250"/>
        <v>-6319041.9334330782</v>
      </c>
      <c r="U167" s="97">
        <f t="shared" si="250"/>
        <v>-7282424.2028733045</v>
      </c>
      <c r="V167" s="97">
        <f t="shared" si="250"/>
        <v>-8651020.3768584356</v>
      </c>
      <c r="W167" s="97">
        <f t="shared" si="250"/>
        <v>-10515906.503162667</v>
      </c>
      <c r="X167" s="97">
        <f t="shared" si="250"/>
        <v>-12992834.715692077</v>
      </c>
      <c r="Y167" s="97">
        <f t="shared" si="250"/>
        <v>-16229348.124077231</v>
      </c>
      <c r="Z167" s="97">
        <f t="shared" si="250"/>
        <v>-11871684.652458601</v>
      </c>
      <c r="AA167" s="1"/>
      <c r="AB167" s="1"/>
      <c r="AC167" s="125">
        <v>-4251471.0397373103</v>
      </c>
      <c r="AD167" s="91">
        <f t="shared" si="205"/>
        <v>-507372.35368446819</v>
      </c>
      <c r="AE167" s="125">
        <v>-4828637.3431454059</v>
      </c>
      <c r="AF167" s="91">
        <f t="shared" ref="AF167" si="251">IF(ISBLANK(AE167),"",INDEX($A167:$AA167,1,MATCH(AE$3,$A$3:$AA$3,0))-AE167)</f>
        <v>-519664.37104723789</v>
      </c>
      <c r="AG167" s="1"/>
      <c r="AH167" s="1"/>
      <c r="AI167" s="1"/>
      <c r="AJ167" s="1"/>
    </row>
    <row r="168" spans="1:36" x14ac:dyDescent="0.25">
      <c r="A168" s="82"/>
      <c r="B168" s="179"/>
      <c r="C168" s="134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1"/>
      <c r="AB168" s="1"/>
      <c r="AC168" s="84"/>
      <c r="AD168" s="85" t="str">
        <f t="shared" si="205"/>
        <v/>
      </c>
      <c r="AE168" s="84"/>
      <c r="AF168" s="85" t="str">
        <f t="shared" ref="AF168" si="252">IF(ISBLANK(AE168),"",INDEX($A168:$AA168,1,MATCH(AE$3,$A$3:$AA$3,0))-AE168)</f>
        <v/>
      </c>
      <c r="AG168" s="1"/>
      <c r="AH168" s="1"/>
      <c r="AI168" s="1"/>
      <c r="AJ168" s="1"/>
    </row>
    <row r="169" spans="1:36" x14ac:dyDescent="0.25">
      <c r="A169" s="82"/>
      <c r="B169" s="92" t="s">
        <v>419</v>
      </c>
      <c r="C169" s="93" t="s">
        <v>11</v>
      </c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1"/>
      <c r="AB169" s="1"/>
      <c r="AC169" s="90"/>
      <c r="AD169" s="91" t="str">
        <f t="shared" si="205"/>
        <v/>
      </c>
      <c r="AE169" s="90"/>
      <c r="AF169" s="91" t="str">
        <f t="shared" ref="AF169" si="253">IF(ISBLANK(AE169),"",INDEX($A169:$AA169,1,MATCH(AE$3,$A$3:$AA$3,0))-AE169)</f>
        <v/>
      </c>
      <c r="AG169" s="1"/>
      <c r="AH169" s="1"/>
      <c r="AI169" s="1"/>
      <c r="AJ169" s="1"/>
    </row>
    <row r="170" spans="1:36" x14ac:dyDescent="0.25">
      <c r="A170" s="82"/>
      <c r="B170" s="92" t="s">
        <v>420</v>
      </c>
      <c r="C170" s="93" t="s">
        <v>7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1"/>
      <c r="AB170" s="1"/>
      <c r="AC170" s="90"/>
      <c r="AD170" s="91" t="str">
        <f t="shared" si="205"/>
        <v/>
      </c>
      <c r="AE170" s="90"/>
      <c r="AF170" s="91" t="str">
        <f t="shared" ref="AF170" si="254">IF(ISBLANK(AE170),"",INDEX($A170:$AA170,1,MATCH(AE$3,$A$3:$AA$3,0))-AE170)</f>
        <v/>
      </c>
      <c r="AG170" s="1"/>
      <c r="AH170" s="1"/>
      <c r="AI170" s="1"/>
      <c r="AJ170" s="1"/>
    </row>
    <row r="171" spans="1:36" x14ac:dyDescent="0.25">
      <c r="A171" s="82"/>
      <c r="B171" s="92"/>
      <c r="C171" s="9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76"/>
      <c r="AD171" s="77" t="str">
        <f t="shared" si="205"/>
        <v/>
      </c>
      <c r="AE171" s="76"/>
      <c r="AF171" s="77" t="str">
        <f t="shared" ref="AF171" si="255">IF(ISBLANK(AE171),"",INDEX($A171:$AA171,1,MATCH(AE$3,$A$3:$AA$3,0))-AE171)</f>
        <v/>
      </c>
      <c r="AG171" s="1"/>
      <c r="AH171" s="1"/>
      <c r="AI171" s="1"/>
      <c r="AJ171" s="1"/>
    </row>
    <row r="172" spans="1:36" x14ac:dyDescent="0.25">
      <c r="A172" s="82"/>
      <c r="B172" s="95" t="s">
        <v>421</v>
      </c>
      <c r="C172" s="131"/>
      <c r="D172" s="1"/>
      <c r="E172" s="1"/>
      <c r="F172" s="1"/>
      <c r="G172" s="1"/>
      <c r="H172" s="1"/>
      <c r="I172" s="1"/>
      <c r="J172" s="1"/>
      <c r="K172" s="1"/>
      <c r="L172" s="48"/>
      <c r="M172" s="48"/>
      <c r="N172" s="48"/>
      <c r="O172" s="48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76"/>
      <c r="AD172" s="77" t="str">
        <f t="shared" si="205"/>
        <v/>
      </c>
      <c r="AE172" s="76"/>
      <c r="AF172" s="77" t="str">
        <f t="shared" ref="AF172" si="256">IF(ISBLANK(AE172),"",INDEX($A172:$AA172,1,MATCH(AE$3,$A$3:$AA$3,0))-AE172)</f>
        <v/>
      </c>
      <c r="AG172" s="1"/>
      <c r="AH172" s="1"/>
      <c r="AI172" s="1"/>
      <c r="AJ172" s="1"/>
    </row>
    <row r="173" spans="1:36" x14ac:dyDescent="0.25">
      <c r="A173" s="82"/>
      <c r="B173" s="92" t="s">
        <v>422</v>
      </c>
      <c r="C173" s="93"/>
      <c r="D173" s="48"/>
      <c r="E173" s="48"/>
      <c r="F173" s="48"/>
      <c r="G173" s="48"/>
      <c r="H173" s="48"/>
      <c r="I173" s="48"/>
      <c r="J173" s="48"/>
      <c r="K173" s="48"/>
      <c r="L173" s="48"/>
      <c r="M173" s="108">
        <v>18314681</v>
      </c>
      <c r="N173" s="108">
        <v>19601992</v>
      </c>
      <c r="O173" s="108">
        <v>19900379</v>
      </c>
      <c r="P173" s="97">
        <f>O173+P211</f>
        <v>18682961</v>
      </c>
      <c r="Q173" s="97">
        <f t="shared" ref="Q173:Z173" si="257">P173+Q211</f>
        <v>17285716.873110622</v>
      </c>
      <c r="R173" s="97">
        <f t="shared" si="257"/>
        <v>14697072.751195807</v>
      </c>
      <c r="S173" s="97">
        <f t="shared" si="257"/>
        <v>11795362.3141833</v>
      </c>
      <c r="T173" s="97">
        <f t="shared" si="257"/>
        <v>8552573.4828076791</v>
      </c>
      <c r="U173" s="97">
        <f t="shared" si="257"/>
        <v>4921088.662378449</v>
      </c>
      <c r="V173" s="97">
        <f t="shared" si="257"/>
        <v>846091.37177876476</v>
      </c>
      <c r="W173" s="97">
        <f t="shared" si="257"/>
        <v>-3735572.3131761411</v>
      </c>
      <c r="X173" s="97">
        <f t="shared" si="257"/>
        <v>-8896718.5624516793</v>
      </c>
      <c r="Y173" s="97">
        <f t="shared" si="257"/>
        <v>-14721368.221780466</v>
      </c>
      <c r="Z173" s="97">
        <f t="shared" si="257"/>
        <v>-21306543.686242986</v>
      </c>
      <c r="AA173" s="1"/>
      <c r="AB173" s="1"/>
      <c r="AC173" s="125">
        <v>18703911</v>
      </c>
      <c r="AD173" s="173">
        <f t="shared" si="205"/>
        <v>-20950</v>
      </c>
      <c r="AE173" s="125">
        <v>17329250.01071896</v>
      </c>
      <c r="AF173" s="173">
        <f t="shared" ref="AF173" si="258">IF(ISBLANK(AE173),"",INDEX($A173:$AA173,1,MATCH(AE$3,$A$3:$AA$3,0))-AE173)</f>
        <v>-43533.137608338147</v>
      </c>
      <c r="AG173" s="1"/>
      <c r="AH173" s="1"/>
      <c r="AI173" s="1"/>
      <c r="AJ173" s="1"/>
    </row>
    <row r="174" spans="1:36" x14ac:dyDescent="0.25">
      <c r="A174" s="82"/>
      <c r="B174" s="92" t="s">
        <v>423</v>
      </c>
      <c r="C174" s="93"/>
      <c r="D174" s="48"/>
      <c r="E174" s="48"/>
      <c r="F174" s="48"/>
      <c r="G174" s="48"/>
      <c r="H174" s="48"/>
      <c r="I174" s="48"/>
      <c r="J174" s="48"/>
      <c r="K174" s="48"/>
      <c r="L174" s="48"/>
      <c r="M174" s="108">
        <v>-523090</v>
      </c>
      <c r="N174" s="108">
        <v>-378307</v>
      </c>
      <c r="O174" s="108">
        <v>-1001065</v>
      </c>
      <c r="P174" s="97">
        <f>O174+P82-P99</f>
        <v>349617.92378113186</v>
      </c>
      <c r="Q174" s="97">
        <f t="shared" ref="Q174:Z174" si="259">P174+Q82-Q99</f>
        <v>1297872.1974186443</v>
      </c>
      <c r="R174" s="97">
        <f t="shared" si="259"/>
        <v>2685723.3092533918</v>
      </c>
      <c r="S174" s="97">
        <f t="shared" si="259"/>
        <v>4509384.58208129</v>
      </c>
      <c r="T174" s="97">
        <f t="shared" si="259"/>
        <v>6749093.7317070365</v>
      </c>
      <c r="U174" s="97">
        <f t="shared" si="259"/>
        <v>9476843.1778250132</v>
      </c>
      <c r="V174" s="97">
        <f t="shared" si="259"/>
        <v>12781174.388157677</v>
      </c>
      <c r="W174" s="97">
        <f t="shared" si="259"/>
        <v>16771681.610801704</v>
      </c>
      <c r="X174" s="97">
        <f t="shared" si="259"/>
        <v>21584779.056314282</v>
      </c>
      <c r="Y174" s="97">
        <f t="shared" si="259"/>
        <v>27391081.259550359</v>
      </c>
      <c r="Z174" s="97">
        <f t="shared" si="259"/>
        <v>25862619.938664909</v>
      </c>
      <c r="AA174" s="1"/>
      <c r="AB174" s="1"/>
      <c r="AC174" s="125">
        <v>36130.316466979217</v>
      </c>
      <c r="AD174" s="91">
        <f t="shared" si="205"/>
        <v>313487.60731415264</v>
      </c>
      <c r="AE174" s="125">
        <v>1101086.8557526341</v>
      </c>
      <c r="AF174" s="91">
        <f t="shared" ref="AF174" si="260">IF(ISBLANK(AE174),"",INDEX($A174:$AA174,1,MATCH(AE$3,$A$3:$AA$3,0))-AE174)</f>
        <v>196785.34166601021</v>
      </c>
      <c r="AG174" s="1"/>
      <c r="AH174" s="1"/>
      <c r="AI174" s="1"/>
      <c r="AJ174" s="1"/>
    </row>
    <row r="175" spans="1:36" x14ac:dyDescent="0.25">
      <c r="A175" s="82"/>
      <c r="B175" s="92" t="s">
        <v>424</v>
      </c>
      <c r="C175" s="93"/>
      <c r="D175" s="48"/>
      <c r="E175" s="48"/>
      <c r="F175" s="48"/>
      <c r="G175" s="48"/>
      <c r="H175" s="48"/>
      <c r="I175" s="48"/>
      <c r="J175" s="48"/>
      <c r="K175" s="48"/>
      <c r="L175" s="48"/>
      <c r="M175" s="108">
        <v>-568712</v>
      </c>
      <c r="N175" s="108">
        <v>-528429</v>
      </c>
      <c r="O175" s="108">
        <v>2368618</v>
      </c>
      <c r="P175" s="97">
        <f>P177-P173-P174-P176</f>
        <v>3007836.7500000023</v>
      </c>
      <c r="Q175" s="97">
        <f t="shared" ref="Q175:Z175" si="261">Q177-Q173-Q174-Q176</f>
        <v>3814684.5556003163</v>
      </c>
      <c r="R175" s="97">
        <f t="shared" si="261"/>
        <v>4798322.963430508</v>
      </c>
      <c r="S175" s="97">
        <f t="shared" si="261"/>
        <v>5979759.3959181681</v>
      </c>
      <c r="T175" s="97">
        <f t="shared" si="261"/>
        <v>7376650.321125539</v>
      </c>
      <c r="U175" s="97">
        <f t="shared" si="261"/>
        <v>9025250.750813948</v>
      </c>
      <c r="V175" s="97">
        <f t="shared" si="261"/>
        <v>10967877.928729225</v>
      </c>
      <c r="W175" s="97">
        <f t="shared" si="261"/>
        <v>13253963.416003775</v>
      </c>
      <c r="X175" s="97">
        <f t="shared" si="261"/>
        <v>15941263.463325001</v>
      </c>
      <c r="Y175" s="97">
        <f t="shared" si="261"/>
        <v>19097267.821969118</v>
      </c>
      <c r="Z175" s="97">
        <f t="shared" si="261"/>
        <v>22800836.276275907</v>
      </c>
      <c r="AA175" s="1"/>
      <c r="AB175" s="1"/>
      <c r="AC175" s="125">
        <v>3004090.8125000042</v>
      </c>
      <c r="AD175" s="91">
        <f t="shared" si="205"/>
        <v>3745.9374999981374</v>
      </c>
      <c r="AE175" s="125">
        <v>3807069.8752673659</v>
      </c>
      <c r="AF175" s="91">
        <f t="shared" ref="AF175" si="262">IF(ISBLANK(AE175),"",INDEX($A175:$AA175,1,MATCH(AE$3,$A$3:$AA$3,0))-AE175)</f>
        <v>7614.6803329503164</v>
      </c>
      <c r="AG175" s="1"/>
      <c r="AH175" s="1"/>
      <c r="AI175" s="1"/>
      <c r="AJ175" s="1"/>
    </row>
    <row r="176" spans="1:36" x14ac:dyDescent="0.25">
      <c r="A176" s="82"/>
      <c r="B176" s="92" t="s">
        <v>425</v>
      </c>
      <c r="C176" s="93"/>
      <c r="D176" s="48"/>
      <c r="E176" s="48"/>
      <c r="F176" s="48"/>
      <c r="G176" s="48"/>
      <c r="H176" s="48"/>
      <c r="I176" s="48"/>
      <c r="J176" s="48"/>
      <c r="K176" s="48"/>
      <c r="L176" s="48"/>
      <c r="M176" s="108">
        <v>28476</v>
      </c>
      <c r="N176" s="108">
        <v>-2420</v>
      </c>
      <c r="O176" s="108">
        <v>-32970</v>
      </c>
      <c r="P176" s="174">
        <f>O176</f>
        <v>-32970</v>
      </c>
      <c r="Q176" s="174">
        <f t="shared" ref="Q176:Z176" si="263">P176</f>
        <v>-32970</v>
      </c>
      <c r="R176" s="174">
        <f t="shared" si="263"/>
        <v>-32970</v>
      </c>
      <c r="S176" s="174">
        <f t="shared" si="263"/>
        <v>-32970</v>
      </c>
      <c r="T176" s="174">
        <f t="shared" si="263"/>
        <v>-32970</v>
      </c>
      <c r="U176" s="174">
        <f t="shared" si="263"/>
        <v>-32970</v>
      </c>
      <c r="V176" s="174">
        <f t="shared" si="263"/>
        <v>-32970</v>
      </c>
      <c r="W176" s="174">
        <f t="shared" si="263"/>
        <v>-32970</v>
      </c>
      <c r="X176" s="174">
        <f t="shared" si="263"/>
        <v>-32970</v>
      </c>
      <c r="Y176" s="174">
        <f t="shared" si="263"/>
        <v>-32970</v>
      </c>
      <c r="Z176" s="174">
        <f t="shared" si="263"/>
        <v>-32970</v>
      </c>
      <c r="AA176" s="1"/>
      <c r="AB176" s="1"/>
      <c r="AC176" s="125">
        <v>-32970</v>
      </c>
      <c r="AD176" s="91">
        <f t="shared" si="205"/>
        <v>0</v>
      </c>
      <c r="AE176" s="125">
        <v>-32970</v>
      </c>
      <c r="AF176" s="91">
        <f t="shared" ref="AF176" si="264">IF(ISBLANK(AE176),"",INDEX($A176:$AA176,1,MATCH(AE$3,$A$3:$AA$3,0))-AE176)</f>
        <v>0</v>
      </c>
      <c r="AG176" s="1"/>
      <c r="AH176" s="1"/>
      <c r="AI176" s="1"/>
      <c r="AJ176" s="1"/>
    </row>
    <row r="177" spans="1:36" x14ac:dyDescent="0.25">
      <c r="A177" s="82"/>
      <c r="B177" s="100" t="s">
        <v>426</v>
      </c>
      <c r="C177" s="5" t="s">
        <v>298</v>
      </c>
      <c r="D177" s="144"/>
      <c r="E177" s="144"/>
      <c r="F177" s="144"/>
      <c r="G177" s="144"/>
      <c r="H177" s="144"/>
      <c r="I177" s="144"/>
      <c r="J177" s="144"/>
      <c r="K177" s="144"/>
      <c r="L177" s="144"/>
      <c r="M177" s="177">
        <f t="shared" ref="M177:N177" si="265">SUM(M173:M176)</f>
        <v>17251355</v>
      </c>
      <c r="N177" s="177">
        <f t="shared" si="265"/>
        <v>18692836</v>
      </c>
      <c r="O177" s="177">
        <f>SUM(O173:O176)</f>
        <v>21234962</v>
      </c>
      <c r="P177" s="177">
        <f>P151-P164</f>
        <v>22007445.673781134</v>
      </c>
      <c r="Q177" s="177">
        <f t="shared" ref="Q177:Z177" si="266">Q151-Q164</f>
        <v>22365303.626129583</v>
      </c>
      <c r="R177" s="177">
        <f t="shared" si="266"/>
        <v>22148149.023879707</v>
      </c>
      <c r="S177" s="177">
        <f t="shared" si="266"/>
        <v>22251536.292182758</v>
      </c>
      <c r="T177" s="177">
        <f t="shared" si="266"/>
        <v>22645347.535640255</v>
      </c>
      <c r="U177" s="177">
        <f t="shared" si="266"/>
        <v>23390212.59101741</v>
      </c>
      <c r="V177" s="177">
        <f t="shared" si="266"/>
        <v>24562173.688665666</v>
      </c>
      <c r="W177" s="177">
        <f t="shared" si="266"/>
        <v>26257102.713629339</v>
      </c>
      <c r="X177" s="177">
        <f t="shared" si="266"/>
        <v>28596353.957187608</v>
      </c>
      <c r="Y177" s="177">
        <f t="shared" si="266"/>
        <v>31734010.859739013</v>
      </c>
      <c r="Z177" s="177">
        <f t="shared" si="266"/>
        <v>27323942.528697826</v>
      </c>
      <c r="AA177" s="1"/>
      <c r="AB177" s="1"/>
      <c r="AC177" s="176">
        <v>21711162.128966983</v>
      </c>
      <c r="AD177" s="146">
        <f t="shared" si="205"/>
        <v>296283.54481415078</v>
      </c>
      <c r="AE177" s="176">
        <v>22204436.74173896</v>
      </c>
      <c r="AF177" s="146">
        <f t="shared" ref="AF177" si="267">IF(ISBLANK(AE177),"",INDEX($A177:$AA177,1,MATCH(AE$3,$A$3:$AA$3,0))-AE177)</f>
        <v>160866.88439062238</v>
      </c>
      <c r="AG177" s="1"/>
      <c r="AH177" s="1"/>
      <c r="AI177" s="1"/>
      <c r="AJ177" s="1"/>
    </row>
    <row r="178" spans="1:36" x14ac:dyDescent="0.25">
      <c r="A178" s="82"/>
      <c r="B178" s="92" t="s">
        <v>17</v>
      </c>
      <c r="C178" s="93" t="s">
        <v>7</v>
      </c>
      <c r="D178" s="2"/>
      <c r="E178" s="2"/>
      <c r="F178" s="2"/>
      <c r="G178" s="2"/>
      <c r="H178" s="2"/>
      <c r="I178" s="2"/>
      <c r="J178" s="2"/>
      <c r="K178" s="2"/>
      <c r="L178" s="2"/>
      <c r="M178" s="330">
        <f t="shared" ref="M178:N178" si="268">M79/M177</f>
        <v>3.5249520979656383E-2</v>
      </c>
      <c r="N178" s="330">
        <f t="shared" si="268"/>
        <v>6.0295184743502803E-2</v>
      </c>
      <c r="O178" s="330">
        <f>O79/O177</f>
        <v>0.10081327199926235</v>
      </c>
      <c r="P178" s="330">
        <f t="shared" ref="P178" si="269">P79/P177</f>
        <v>6.8012523850704901E-2</v>
      </c>
      <c r="Q178" s="330">
        <f t="shared" ref="Q178:R178" si="270">Q79/Q177</f>
        <v>9.5991202999751793E-2</v>
      </c>
      <c r="R178" s="330">
        <f t="shared" si="270"/>
        <v>0.12519796714207912</v>
      </c>
      <c r="S178" s="330">
        <f t="shared" ref="S178" si="271">S79/S177</f>
        <v>0.15354853098573382</v>
      </c>
      <c r="T178" s="330">
        <f t="shared" ref="T178:U178" si="272">T79/T177</f>
        <v>0.17922436273560238</v>
      </c>
      <c r="U178" s="330">
        <f t="shared" si="272"/>
        <v>0.20559831373204415</v>
      </c>
      <c r="V178" s="330">
        <f t="shared" ref="V178" si="273">V79/V177</f>
        <v>0.23167743918195063</v>
      </c>
      <c r="W178" s="330">
        <f t="shared" ref="W178:X178" si="274">W79/W177</f>
        <v>0.25636167786725728</v>
      </c>
      <c r="X178" s="330">
        <f t="shared" si="274"/>
        <v>0.27858718306239671</v>
      </c>
      <c r="Y178" s="330">
        <f t="shared" ref="Y178" si="275">Y79/Y177</f>
        <v>0.29747981760924186</v>
      </c>
      <c r="Z178" s="330">
        <f t="shared" ref="Z178" si="276">Z79/Z177</f>
        <v>0.41016303475379706</v>
      </c>
      <c r="AA178" s="1"/>
      <c r="AB178" s="1"/>
      <c r="AC178" s="105">
        <v>7.1233142992542534E-2</v>
      </c>
      <c r="AD178" s="91">
        <f t="shared" si="205"/>
        <v>-3.2206191418376329E-3</v>
      </c>
      <c r="AE178" s="105">
        <v>0.10092539408370454</v>
      </c>
      <c r="AF178" s="91">
        <f t="shared" ref="AF178" si="277">IF(ISBLANK(AE178),"",INDEX($A178:$AA178,1,MATCH(AE$3,$A$3:$AA$3,0))-AE178)</f>
        <v>-4.934191083952752E-3</v>
      </c>
      <c r="AG178" s="1"/>
      <c r="AH178" s="1"/>
      <c r="AI178" s="1"/>
      <c r="AJ178" s="1"/>
    </row>
    <row r="179" spans="1:36" x14ac:dyDescent="0.25">
      <c r="A179" s="82"/>
      <c r="B179" s="92" t="s">
        <v>427</v>
      </c>
      <c r="C179" s="134" t="s">
        <v>11</v>
      </c>
      <c r="D179" s="2"/>
      <c r="E179" s="2"/>
      <c r="F179" s="2"/>
      <c r="G179" s="2"/>
      <c r="H179" s="2"/>
      <c r="I179" s="2"/>
      <c r="J179" s="2"/>
      <c r="K179" s="2"/>
      <c r="L179" s="2"/>
      <c r="M179" s="339">
        <f t="shared" ref="M179:N179" si="278">M87*M94/M177*1000</f>
        <v>2.182655507350002</v>
      </c>
      <c r="N179" s="339">
        <f t="shared" si="278"/>
        <v>2.067246778391465</v>
      </c>
      <c r="O179" s="339">
        <f>O87*O94/O177*1000</f>
        <v>1.8311744565401153</v>
      </c>
      <c r="P179" s="339">
        <f t="shared" ref="P179:Z179" si="279">P87*P94/P177*1000</f>
        <v>1.9435882125547481</v>
      </c>
      <c r="Q179" s="339">
        <f t="shared" si="279"/>
        <v>2.1037386295543148</v>
      </c>
      <c r="R179" s="339">
        <f t="shared" si="279"/>
        <v>2.2916510298569892</v>
      </c>
      <c r="S179" s="339">
        <f t="shared" si="279"/>
        <v>2.4596688809854372</v>
      </c>
      <c r="T179" s="339">
        <f t="shared" si="279"/>
        <v>2.6051511206154712</v>
      </c>
      <c r="U179" s="339">
        <f t="shared" si="279"/>
        <v>2.7175044909395236</v>
      </c>
      <c r="V179" s="339">
        <f t="shared" si="279"/>
        <v>2.7870175255588636</v>
      </c>
      <c r="W179" s="339">
        <f t="shared" si="279"/>
        <v>2.8064870748856325</v>
      </c>
      <c r="X179" s="339">
        <f t="shared" si="279"/>
        <v>2.7726499835406817</v>
      </c>
      <c r="Y179" s="339">
        <f t="shared" si="279"/>
        <v>2.6869509700008019</v>
      </c>
      <c r="Z179" s="339">
        <f t="shared" si="279"/>
        <v>3.3542346783042625</v>
      </c>
      <c r="AA179" s="1"/>
      <c r="AB179" s="1"/>
      <c r="AC179" s="90">
        <v>2.2793641586773328</v>
      </c>
      <c r="AD179" s="91">
        <f t="shared" si="205"/>
        <v>-0.33577594612258466</v>
      </c>
      <c r="AE179" s="90">
        <v>2.4516005478163176</v>
      </c>
      <c r="AF179" s="91">
        <f t="shared" ref="AF179" si="280">IF(ISBLANK(AE179),"",INDEX($A179:$AA179,1,MATCH(AE$3,$A$3:$AA$3,0))-AE179)</f>
        <v>-0.34786191826200286</v>
      </c>
      <c r="AG179" s="1"/>
      <c r="AH179" s="1"/>
      <c r="AI179" s="1"/>
      <c r="AJ179" s="1"/>
    </row>
    <row r="180" spans="1:36" x14ac:dyDescent="0.25">
      <c r="A180" s="82"/>
      <c r="B180" s="1"/>
      <c r="C180" s="9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76"/>
      <c r="AD180" s="77" t="str">
        <f t="shared" si="205"/>
        <v/>
      </c>
      <c r="AE180" s="76"/>
      <c r="AF180" s="77" t="str">
        <f t="shared" ref="AF180" si="281">IF(ISBLANK(AE180),"",INDEX($A180:$AA180,1,MATCH(AE$3,$A$3:$AA$3,0))-AE180)</f>
        <v/>
      </c>
      <c r="AG180" s="1"/>
      <c r="AH180" s="1"/>
      <c r="AI180" s="1"/>
      <c r="AJ180" s="1"/>
    </row>
    <row r="181" spans="1:36" x14ac:dyDescent="0.25">
      <c r="A181" s="82"/>
      <c r="B181" s="86" t="s">
        <v>428</v>
      </c>
      <c r="C181" s="171"/>
      <c r="D181" s="180"/>
      <c r="E181" s="180">
        <v>2014</v>
      </c>
      <c r="F181" s="180">
        <v>2015</v>
      </c>
      <c r="G181" s="180">
        <v>2016</v>
      </c>
      <c r="H181" s="180">
        <v>2017</v>
      </c>
      <c r="I181" s="180">
        <v>2018</v>
      </c>
      <c r="J181" s="180">
        <v>2019</v>
      </c>
      <c r="K181" s="180">
        <v>2020</v>
      </c>
      <c r="L181" s="180">
        <v>2021</v>
      </c>
      <c r="M181" s="180">
        <v>2022</v>
      </c>
      <c r="N181" s="180">
        <v>2023</v>
      </c>
      <c r="O181" s="180">
        <v>2024</v>
      </c>
      <c r="P181" s="180">
        <v>2025</v>
      </c>
      <c r="Q181" s="180">
        <v>2026</v>
      </c>
      <c r="R181" s="180">
        <v>2027</v>
      </c>
      <c r="S181" s="180">
        <v>2028</v>
      </c>
      <c r="T181" s="180">
        <v>2029</v>
      </c>
      <c r="U181" s="180">
        <v>2030</v>
      </c>
      <c r="V181" s="180">
        <v>2031</v>
      </c>
      <c r="W181" s="180">
        <v>2032</v>
      </c>
      <c r="X181" s="180">
        <v>2033</v>
      </c>
      <c r="Y181" s="180">
        <v>2034</v>
      </c>
      <c r="Z181" s="180">
        <v>2035</v>
      </c>
      <c r="AA181" s="1"/>
      <c r="AB181" s="1"/>
      <c r="AC181" s="90">
        <v>2025</v>
      </c>
      <c r="AD181" s="91">
        <f t="shared" si="205"/>
        <v>0</v>
      </c>
      <c r="AE181" s="90">
        <v>2026</v>
      </c>
      <c r="AF181" s="91">
        <f t="shared" ref="AF181" si="282">IF(ISBLANK(AE181),"",INDEX($A181:$AA181,1,MATCH(AE$3,$A$3:$AA$3,0))-AE181)</f>
        <v>0</v>
      </c>
      <c r="AG181" s="1"/>
      <c r="AH181" s="1"/>
      <c r="AI181" s="1"/>
      <c r="AJ181" s="1"/>
    </row>
    <row r="182" spans="1:36" x14ac:dyDescent="0.25">
      <c r="A182" s="82"/>
      <c r="B182" s="95" t="s">
        <v>429</v>
      </c>
      <c r="C182" s="13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76"/>
      <c r="AD182" s="77" t="str">
        <f t="shared" si="205"/>
        <v/>
      </c>
      <c r="AE182" s="76"/>
      <c r="AF182" s="77" t="str">
        <f t="shared" ref="AF182" si="283">IF(ISBLANK(AE182),"",INDEX($A182:$AA182,1,MATCH(AE$3,$A$3:$AA$3,0))-AE182)</f>
        <v/>
      </c>
      <c r="AG182" s="1"/>
      <c r="AH182" s="1"/>
      <c r="AI182" s="1"/>
      <c r="AJ182" s="1"/>
    </row>
    <row r="183" spans="1:36" x14ac:dyDescent="0.25">
      <c r="A183" s="82" t="s">
        <v>430</v>
      </c>
      <c r="B183" s="92" t="s">
        <v>430</v>
      </c>
      <c r="C183" s="131"/>
      <c r="D183" s="1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76"/>
      <c r="AD183" s="77" t="str">
        <f t="shared" si="205"/>
        <v/>
      </c>
      <c r="AE183" s="76"/>
      <c r="AF183" s="77" t="str">
        <f t="shared" ref="AF183" si="284">IF(ISBLANK(AE183),"",INDEX($A183:$AA183,1,MATCH(AE$3,$A$3:$AA$3,0))-AE183)</f>
        <v/>
      </c>
      <c r="AG183" s="1"/>
      <c r="AH183" s="1"/>
      <c r="AI183" s="1"/>
      <c r="AJ183" s="1"/>
    </row>
    <row r="184" spans="1:36" x14ac:dyDescent="0.25">
      <c r="A184" s="82" t="s">
        <v>431</v>
      </c>
      <c r="B184" s="92" t="s">
        <v>431</v>
      </c>
      <c r="C184" s="131"/>
      <c r="D184" s="1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76"/>
      <c r="AD184" s="77" t="str">
        <f t="shared" si="205"/>
        <v/>
      </c>
      <c r="AE184" s="76"/>
      <c r="AF184" s="77" t="str">
        <f t="shared" ref="AF184" si="285">IF(ISBLANK(AE184),"",INDEX($A184:$AA184,1,MATCH(AE$3,$A$3:$AA$3,0))-AE184)</f>
        <v/>
      </c>
      <c r="AG184" s="1"/>
      <c r="AH184" s="1"/>
      <c r="AI184" s="1"/>
      <c r="AJ184" s="1"/>
    </row>
    <row r="185" spans="1:36" x14ac:dyDescent="0.25">
      <c r="A185" s="82"/>
      <c r="B185" s="92" t="s">
        <v>432</v>
      </c>
      <c r="C185" s="93"/>
      <c r="D185" s="2"/>
      <c r="E185" s="2"/>
      <c r="F185" s="2"/>
      <c r="G185" s="2"/>
      <c r="H185" s="2"/>
      <c r="I185" s="2"/>
      <c r="J185" s="2"/>
      <c r="K185" s="2"/>
      <c r="L185" s="137">
        <f t="shared" ref="L185:N185" si="286">L35</f>
        <v>1013656</v>
      </c>
      <c r="M185" s="137">
        <f t="shared" si="286"/>
        <v>990964</v>
      </c>
      <c r="N185" s="137">
        <f t="shared" si="286"/>
        <v>1792420</v>
      </c>
      <c r="O185" s="137">
        <f>O35</f>
        <v>3029031</v>
      </c>
      <c r="P185" s="137">
        <f t="shared" ref="P185:Z185" si="287">P35</f>
        <v>3492645.1738102054</v>
      </c>
      <c r="Q185" s="137">
        <f t="shared" si="287"/>
        <v>4660153.0799062438</v>
      </c>
      <c r="R185" s="137">
        <f t="shared" si="287"/>
        <v>5742090.5354593648</v>
      </c>
      <c r="S185" s="137">
        <f t="shared" si="287"/>
        <v>6876703.5340053439</v>
      </c>
      <c r="T185" s="137">
        <f t="shared" si="287"/>
        <v>8031095.4803293701</v>
      </c>
      <c r="U185" s="137">
        <f t="shared" si="287"/>
        <v>9375978.2966414373</v>
      </c>
      <c r="V185" s="137">
        <f t="shared" si="287"/>
        <v>10948941.881353164</v>
      </c>
      <c r="W185" s="137">
        <f t="shared" si="287"/>
        <v>12796200.300199179</v>
      </c>
      <c r="X185" s="137">
        <f t="shared" si="287"/>
        <v>14974702.268928844</v>
      </c>
      <c r="Y185" s="137">
        <f t="shared" si="287"/>
        <v>17554792.247569863</v>
      </c>
      <c r="Z185" s="137">
        <f t="shared" si="287"/>
        <v>20623521.833274934</v>
      </c>
      <c r="AA185" s="1"/>
      <c r="AB185" s="1"/>
      <c r="AC185" s="98">
        <v>3498956.5994524434</v>
      </c>
      <c r="AD185" s="99">
        <f t="shared" si="205"/>
        <v>-6311.4256422379985</v>
      </c>
      <c r="AE185" s="98">
        <v>4632901.5369877974</v>
      </c>
      <c r="AF185" s="99">
        <f t="shared" ref="AF185" si="288">IF(ISBLANK(AE185),"",INDEX($A185:$AA185,1,MATCH(AE$3,$A$3:$AA$3,0))-AE185)</f>
        <v>27251.542918446474</v>
      </c>
      <c r="AG185" s="1"/>
      <c r="AH185" s="1"/>
      <c r="AI185" s="1"/>
      <c r="AJ185" s="1"/>
    </row>
    <row r="186" spans="1:36" x14ac:dyDescent="0.25">
      <c r="A186" s="82"/>
      <c r="B186" s="92" t="s">
        <v>408</v>
      </c>
      <c r="C186" s="93"/>
      <c r="D186" s="94"/>
      <c r="E186" s="2"/>
      <c r="F186" s="2"/>
      <c r="G186" s="2"/>
      <c r="H186" s="2"/>
      <c r="I186" s="2"/>
      <c r="J186" s="2"/>
      <c r="K186" s="2"/>
      <c r="L186" s="137">
        <f t="shared" ref="L186:N186" si="289">-(L154-K154)</f>
        <v>0</v>
      </c>
      <c r="M186" s="137">
        <f t="shared" si="289"/>
        <v>-1562836</v>
      </c>
      <c r="N186" s="137">
        <f t="shared" si="289"/>
        <v>-1524451</v>
      </c>
      <c r="O186" s="137">
        <f>-(O154-N154)</f>
        <v>232557</v>
      </c>
      <c r="P186" s="137">
        <f t="shared" ref="P186:Z186" si="290">-(P154-O154)</f>
        <v>15521.183478202671</v>
      </c>
      <c r="Q186" s="137">
        <f t="shared" si="290"/>
        <v>-401635.56579735316</v>
      </c>
      <c r="R186" s="137">
        <f t="shared" si="290"/>
        <v>-441343.29605714977</v>
      </c>
      <c r="S186" s="137">
        <f t="shared" si="290"/>
        <v>-501562.56425681897</v>
      </c>
      <c r="T186" s="137">
        <f t="shared" si="290"/>
        <v>-535113.33715482801</v>
      </c>
      <c r="U186" s="137">
        <f t="shared" si="290"/>
        <v>-607841.88597363047</v>
      </c>
      <c r="V186" s="137">
        <f t="shared" si="290"/>
        <v>-691001.7076005321</v>
      </c>
      <c r="W186" s="137">
        <f t="shared" si="290"/>
        <v>-786162.55816847458</v>
      </c>
      <c r="X186" s="137">
        <f t="shared" si="290"/>
        <v>-895140.88522041216</v>
      </c>
      <c r="Y186" s="137">
        <f t="shared" si="290"/>
        <v>-1020040.1546621583</v>
      </c>
      <c r="Z186" s="137">
        <f t="shared" si="290"/>
        <v>-1163298.0099075884</v>
      </c>
      <c r="AA186" s="1"/>
      <c r="AB186" s="1"/>
      <c r="AC186" s="98">
        <v>-213022.43982098624</v>
      </c>
      <c r="AD186" s="99">
        <f t="shared" si="205"/>
        <v>228543.62329918891</v>
      </c>
      <c r="AE186" s="98">
        <v>-578892.86981871352</v>
      </c>
      <c r="AF186" s="99">
        <f t="shared" ref="AF186" si="291">IF(ISBLANK(AE186),"",INDEX($A186:$AA186,1,MATCH(AE$3,$A$3:$AA$3,0))-AE186)</f>
        <v>177257.30402136035</v>
      </c>
      <c r="AG186" s="1"/>
      <c r="AH186" s="1"/>
      <c r="AI186" s="1"/>
      <c r="AJ186" s="1"/>
    </row>
    <row r="187" spans="1:36" x14ac:dyDescent="0.25">
      <c r="A187" s="82"/>
      <c r="B187" s="92" t="s">
        <v>433</v>
      </c>
      <c r="C187" s="93"/>
      <c r="D187" s="2"/>
      <c r="E187" s="2"/>
      <c r="F187" s="2"/>
      <c r="G187" s="2"/>
      <c r="H187" s="2"/>
      <c r="I187" s="2"/>
      <c r="J187" s="2"/>
      <c r="K187" s="2"/>
      <c r="L187" s="137">
        <f t="shared" ref="L187:N187" si="292">L188-L185-L186</f>
        <v>-134066</v>
      </c>
      <c r="M187" s="137">
        <f t="shared" si="292"/>
        <v>1036214</v>
      </c>
      <c r="N187" s="137">
        <f t="shared" si="292"/>
        <v>360455</v>
      </c>
      <c r="O187" s="137">
        <f>O188-O185-O186</f>
        <v>-783649</v>
      </c>
      <c r="P187" s="137">
        <f>-P81</f>
        <v>-144949</v>
      </c>
      <c r="Q187" s="137">
        <f>-Q81</f>
        <v>-1198618.1268893771</v>
      </c>
      <c r="R187" s="137">
        <f t="shared" ref="R187:Z187" si="293">-R81</f>
        <v>-1385052.1219148161</v>
      </c>
      <c r="S187" s="137">
        <f t="shared" si="293"/>
        <v>-1593029.4370125066</v>
      </c>
      <c r="T187" s="137">
        <f t="shared" si="293"/>
        <v>-1818888.8313756217</v>
      </c>
      <c r="U187" s="137">
        <f t="shared" si="293"/>
        <v>-2081238.8204292303</v>
      </c>
      <c r="V187" s="137">
        <f t="shared" si="293"/>
        <v>-2386170.2905996842</v>
      </c>
      <c r="W187" s="137">
        <f t="shared" si="293"/>
        <v>-2740807.684954905</v>
      </c>
      <c r="X187" s="137">
        <f t="shared" si="293"/>
        <v>-3153480.2492755377</v>
      </c>
      <c r="Y187" s="137">
        <f t="shared" si="293"/>
        <v>-3633925.5593287852</v>
      </c>
      <c r="Z187" s="137">
        <f t="shared" si="293"/>
        <v>-4193529.65446252</v>
      </c>
      <c r="AA187" s="1"/>
      <c r="AB187" s="1"/>
      <c r="AC187" s="98">
        <v>-508209</v>
      </c>
      <c r="AD187" s="99">
        <f t="shared" si="205"/>
        <v>363260</v>
      </c>
      <c r="AE187" s="98">
        <v>-1176034.9892810381</v>
      </c>
      <c r="AF187" s="99">
        <f t="shared" ref="AF187" si="294">IF(ISBLANK(AE187),"",INDEX($A187:$AA187,1,MATCH(AE$3,$A$3:$AA$3,0))-AE187)</f>
        <v>-22583.137608339079</v>
      </c>
      <c r="AG187" s="1"/>
      <c r="AH187" s="1"/>
      <c r="AI187" s="1"/>
      <c r="AJ187" s="1"/>
    </row>
    <row r="188" spans="1:36" x14ac:dyDescent="0.25">
      <c r="A188" s="82"/>
      <c r="B188" s="100" t="s">
        <v>434</v>
      </c>
      <c r="C188" s="5" t="s">
        <v>298</v>
      </c>
      <c r="D188" s="119"/>
      <c r="E188" s="144"/>
      <c r="F188" s="144"/>
      <c r="G188" s="144"/>
      <c r="H188" s="101"/>
      <c r="I188" s="101"/>
      <c r="J188" s="101"/>
      <c r="K188" s="101"/>
      <c r="L188" s="102">
        <f t="shared" ref="L188:N188" si="295">L192-L191-L190-L189</f>
        <v>879590</v>
      </c>
      <c r="M188" s="102">
        <f t="shared" si="295"/>
        <v>464342</v>
      </c>
      <c r="N188" s="102">
        <f t="shared" si="295"/>
        <v>628424</v>
      </c>
      <c r="O188" s="102">
        <f>O192-O191-O190-O189</f>
        <v>2477939</v>
      </c>
      <c r="P188" s="177">
        <f>SUM(P185:P187)</f>
        <v>3363217.3572884081</v>
      </c>
      <c r="Q188" s="177">
        <f t="shared" ref="Q188:Z188" si="296">SUM(Q185:Q187)</f>
        <v>3059899.3872195138</v>
      </c>
      <c r="R188" s="177">
        <f t="shared" si="296"/>
        <v>3915695.1174873989</v>
      </c>
      <c r="S188" s="177">
        <f t="shared" si="296"/>
        <v>4782111.5327360183</v>
      </c>
      <c r="T188" s="177">
        <f t="shared" si="296"/>
        <v>5677093.3117989209</v>
      </c>
      <c r="U188" s="177">
        <f t="shared" si="296"/>
        <v>6686897.5902385768</v>
      </c>
      <c r="V188" s="177">
        <f t="shared" si="296"/>
        <v>7871769.8831529478</v>
      </c>
      <c r="W188" s="177">
        <f t="shared" si="296"/>
        <v>9269230.0570757985</v>
      </c>
      <c r="X188" s="177">
        <f t="shared" si="296"/>
        <v>10926081.134432895</v>
      </c>
      <c r="Y188" s="177">
        <f t="shared" si="296"/>
        <v>12900826.533578919</v>
      </c>
      <c r="Z188" s="177">
        <f t="shared" si="296"/>
        <v>15266694.168904826</v>
      </c>
      <c r="AA188" s="1"/>
      <c r="AB188" s="1"/>
      <c r="AC188" s="103">
        <v>2777725.1596314572</v>
      </c>
      <c r="AD188" s="104">
        <f t="shared" si="205"/>
        <v>585492.19765695091</v>
      </c>
      <c r="AE188" s="103">
        <v>2877973.677888046</v>
      </c>
      <c r="AF188" s="104">
        <f t="shared" ref="AF188" si="297">IF(ISBLANK(AE188),"",INDEX($A188:$AA188,1,MATCH(AE$3,$A$3:$AA$3,0))-AE188)</f>
        <v>181925.70933146775</v>
      </c>
      <c r="AG188" s="1"/>
      <c r="AH188" s="1"/>
      <c r="AI188" s="1"/>
      <c r="AJ188" s="1"/>
    </row>
    <row r="189" spans="1:36" x14ac:dyDescent="0.25">
      <c r="A189" s="82"/>
      <c r="B189" s="92" t="s">
        <v>435</v>
      </c>
      <c r="C189" s="93"/>
      <c r="D189" s="48"/>
      <c r="E189" s="48"/>
      <c r="F189" s="48"/>
      <c r="G189" s="48"/>
      <c r="H189" s="48"/>
      <c r="I189" s="46"/>
      <c r="J189" s="46"/>
      <c r="K189" s="46"/>
      <c r="L189" s="97">
        <f t="shared" ref="L189:N189" si="298">-L195*L64</f>
        <v>-33124</v>
      </c>
      <c r="M189" s="97">
        <f t="shared" si="298"/>
        <v>-36228</v>
      </c>
      <c r="N189" s="97">
        <f t="shared" si="298"/>
        <v>47221</v>
      </c>
      <c r="O189" s="97">
        <f>-O195*O64</f>
        <v>-9302</v>
      </c>
      <c r="P189" s="97">
        <f t="shared" ref="P189:Z189" si="299">-P195*P64</f>
        <v>-120582</v>
      </c>
      <c r="Q189" s="97">
        <f t="shared" si="299"/>
        <v>-182803.81909711548</v>
      </c>
      <c r="R189" s="97">
        <f t="shared" si="299"/>
        <v>-187373.91457454348</v>
      </c>
      <c r="S189" s="97">
        <f t="shared" si="299"/>
        <v>-192058.26243890711</v>
      </c>
      <c r="T189" s="97">
        <f t="shared" si="299"/>
        <v>-196859.71899987984</v>
      </c>
      <c r="U189" s="97">
        <f t="shared" si="299"/>
        <v>-201781.21197487693</v>
      </c>
      <c r="V189" s="97">
        <f t="shared" si="299"/>
        <v>-206825.74227424891</v>
      </c>
      <c r="W189" s="97">
        <f t="shared" si="299"/>
        <v>-211996.3858311052</v>
      </c>
      <c r="X189" s="97">
        <f t="shared" si="299"/>
        <v>-217296.29547688289</v>
      </c>
      <c r="Y189" s="97">
        <f t="shared" si="299"/>
        <v>-222728.70286380508</v>
      </c>
      <c r="Z189" s="97">
        <f t="shared" si="299"/>
        <v>-228296.9204354003</v>
      </c>
      <c r="AA189" s="1"/>
      <c r="AB189" s="1"/>
      <c r="AC189" s="98">
        <v>-88744.935468450145</v>
      </c>
      <c r="AD189" s="99">
        <f t="shared" si="205"/>
        <v>-31837.064531549855</v>
      </c>
      <c r="AE189" s="98">
        <v>-97419.241452341797</v>
      </c>
      <c r="AF189" s="99">
        <f t="shared" ref="AF189" si="300">IF(ISBLANK(AE189),"",INDEX($A189:$AA189,1,MATCH(AE$3,$A$3:$AA$3,0))-AE189)</f>
        <v>-85384.577644773686</v>
      </c>
      <c r="AG189" s="1"/>
      <c r="AH189" s="1"/>
      <c r="AI189" s="1"/>
      <c r="AJ189" s="1"/>
    </row>
    <row r="190" spans="1:36" x14ac:dyDescent="0.25">
      <c r="A190" s="82"/>
      <c r="B190" s="92" t="s">
        <v>436</v>
      </c>
      <c r="C190" s="93"/>
      <c r="D190" s="48"/>
      <c r="E190" s="48"/>
      <c r="F190" s="48"/>
      <c r="G190" s="48"/>
      <c r="H190" s="48"/>
      <c r="I190" s="46"/>
      <c r="J190" s="46"/>
      <c r="K190" s="46"/>
      <c r="L190" s="97">
        <f t="shared" ref="L190:Z190" si="301">-L196*L76</f>
        <v>1364</v>
      </c>
      <c r="M190" s="97">
        <f t="shared" si="301"/>
        <v>-252211</v>
      </c>
      <c r="N190" s="97">
        <f t="shared" si="301"/>
        <v>-574684</v>
      </c>
      <c r="O190" s="97">
        <f>-O196*O76</f>
        <v>-761287</v>
      </c>
      <c r="P190" s="97">
        <f t="shared" si="301"/>
        <v>-485997.97459371062</v>
      </c>
      <c r="Q190" s="97">
        <f t="shared" si="301"/>
        <v>-715624.13350896328</v>
      </c>
      <c r="R190" s="97">
        <f t="shared" si="301"/>
        <v>-924301.07791652111</v>
      </c>
      <c r="S190" s="97">
        <f t="shared" si="301"/>
        <v>-1138896.9032801348</v>
      </c>
      <c r="T190" s="97">
        <f t="shared" si="301"/>
        <v>-1352865.9936671229</v>
      </c>
      <c r="U190" s="97">
        <f t="shared" si="301"/>
        <v>-1602996.0888490689</v>
      </c>
      <c r="V190" s="97">
        <f t="shared" si="301"/>
        <v>-1896833.8336441158</v>
      </c>
      <c r="W190" s="97">
        <f t="shared" si="301"/>
        <v>-2243771.6358663104</v>
      </c>
      <c r="X190" s="97">
        <f t="shared" si="301"/>
        <v>-2655525.8982627057</v>
      </c>
      <c r="Y190" s="97">
        <f t="shared" si="301"/>
        <v>-3146742.5875216201</v>
      </c>
      <c r="Z190" s="97">
        <f t="shared" si="301"/>
        <v>-3735757.0630030138</v>
      </c>
      <c r="AA190" s="1"/>
      <c r="AB190" s="1"/>
      <c r="AC190" s="98">
        <v>-448340.52515735308</v>
      </c>
      <c r="AD190" s="99">
        <f t="shared" si="205"/>
        <v>-37657.449436357536</v>
      </c>
      <c r="AE190" s="98">
        <v>-632074.53369829804</v>
      </c>
      <c r="AF190" s="99">
        <f t="shared" ref="AF190" si="302">IF(ISBLANK(AE190),"",INDEX($A190:$AA190,1,MATCH(AE$3,$A$3:$AA$3,0))-AE190)</f>
        <v>-83549.599810665241</v>
      </c>
      <c r="AG190" s="1"/>
      <c r="AH190" s="1"/>
      <c r="AI190" s="1"/>
      <c r="AJ190" s="1"/>
    </row>
    <row r="191" spans="1:36" x14ac:dyDescent="0.25">
      <c r="A191" s="82"/>
      <c r="B191" s="92" t="s">
        <v>320</v>
      </c>
      <c r="C191" s="93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181">
        <v>0</v>
      </c>
      <c r="Q191" s="181">
        <v>0</v>
      </c>
      <c r="R191" s="181">
        <v>0</v>
      </c>
      <c r="S191" s="181">
        <v>0</v>
      </c>
      <c r="T191" s="181">
        <v>0</v>
      </c>
      <c r="U191" s="181">
        <v>0</v>
      </c>
      <c r="V191" s="181">
        <v>0</v>
      </c>
      <c r="W191" s="181">
        <v>0</v>
      </c>
      <c r="X191" s="181">
        <v>0</v>
      </c>
      <c r="Y191" s="181">
        <v>0</v>
      </c>
      <c r="Z191" s="181">
        <v>0</v>
      </c>
      <c r="AA191" s="1"/>
      <c r="AB191" s="1"/>
      <c r="AC191" s="90">
        <v>0</v>
      </c>
      <c r="AD191" s="91">
        <f t="shared" si="205"/>
        <v>0</v>
      </c>
      <c r="AE191" s="90">
        <v>0</v>
      </c>
      <c r="AF191" s="91">
        <f t="shared" ref="AF191" si="303">IF(ISBLANK(AE191),"",INDEX($A191:$AA191,1,MATCH(AE$3,$A$3:$AA$3,0))-AE191)</f>
        <v>0</v>
      </c>
      <c r="AG191" s="1"/>
      <c r="AH191" s="1"/>
      <c r="AI191" s="1"/>
      <c r="AJ191" s="1"/>
    </row>
    <row r="192" spans="1:36" x14ac:dyDescent="0.25">
      <c r="A192" s="82" t="s">
        <v>437</v>
      </c>
      <c r="B192" s="100" t="s">
        <v>438</v>
      </c>
      <c r="C192" s="5" t="s">
        <v>298</v>
      </c>
      <c r="D192" s="119"/>
      <c r="E192" s="119"/>
      <c r="F192" s="119"/>
      <c r="G192" s="119"/>
      <c r="H192" s="119"/>
      <c r="I192" s="119"/>
      <c r="J192" s="119"/>
      <c r="K192" s="119"/>
      <c r="L192" s="175">
        <v>847830</v>
      </c>
      <c r="M192" s="175">
        <v>175903</v>
      </c>
      <c r="N192" s="175">
        <v>100961</v>
      </c>
      <c r="O192" s="175">
        <v>1707350</v>
      </c>
      <c r="P192" s="177">
        <f>SUM(P188:P191)</f>
        <v>2756637.3826946975</v>
      </c>
      <c r="Q192" s="177">
        <f t="shared" ref="Q192:Z192" si="304">SUM(Q188:Q191)</f>
        <v>2161471.4346134346</v>
      </c>
      <c r="R192" s="177">
        <f t="shared" si="304"/>
        <v>2804020.1249963343</v>
      </c>
      <c r="S192" s="177">
        <f t="shared" si="304"/>
        <v>3451156.3670169762</v>
      </c>
      <c r="T192" s="177">
        <f t="shared" si="304"/>
        <v>4127367.5991319185</v>
      </c>
      <c r="U192" s="177">
        <f t="shared" si="304"/>
        <v>4882120.2894146312</v>
      </c>
      <c r="V192" s="177">
        <f t="shared" si="304"/>
        <v>5768110.3072345834</v>
      </c>
      <c r="W192" s="177">
        <f t="shared" si="304"/>
        <v>6813462.0353783835</v>
      </c>
      <c r="X192" s="177">
        <f t="shared" si="304"/>
        <v>8053258.9406933058</v>
      </c>
      <c r="Y192" s="177">
        <f t="shared" si="304"/>
        <v>9531355.2431934942</v>
      </c>
      <c r="Z192" s="177">
        <f t="shared" si="304"/>
        <v>11302640.185466412</v>
      </c>
      <c r="AA192" s="1"/>
      <c r="AB192" s="1"/>
      <c r="AC192" s="103">
        <v>2240639.6990056541</v>
      </c>
      <c r="AD192" s="104">
        <f t="shared" si="205"/>
        <v>515997.68368904339</v>
      </c>
      <c r="AE192" s="103">
        <v>2148479.9027374061</v>
      </c>
      <c r="AF192" s="104">
        <f t="shared" ref="AF192" si="305">IF(ISBLANK(AE192),"",INDEX($A192:$AA192,1,MATCH(AE$3,$A$3:$AA$3,0))-AE192)</f>
        <v>12991.531876028515</v>
      </c>
      <c r="AG192" s="1"/>
      <c r="AH192" s="1"/>
      <c r="AI192" s="1"/>
      <c r="AJ192" s="1"/>
    </row>
    <row r="193" spans="1:36" x14ac:dyDescent="0.25">
      <c r="A193" s="82"/>
      <c r="B193" s="92" t="s">
        <v>439</v>
      </c>
      <c r="C193" s="93" t="s">
        <v>300</v>
      </c>
      <c r="D193" s="94"/>
      <c r="E193" s="94"/>
      <c r="F193" s="94"/>
      <c r="G193" s="94"/>
      <c r="H193" s="2"/>
      <c r="I193" s="2"/>
      <c r="J193" s="2"/>
      <c r="K193" s="2"/>
      <c r="L193" s="62" t="e">
        <f t="shared" ref="L193:N193" si="306">L192/K192-1</f>
        <v>#DIV/0!</v>
      </c>
      <c r="M193" s="62">
        <f t="shared" si="306"/>
        <v>-0.7925256242407086</v>
      </c>
      <c r="N193" s="62">
        <f t="shared" si="306"/>
        <v>-0.42604162521389632</v>
      </c>
      <c r="O193" s="62">
        <f>O192/N192-1</f>
        <v>15.910985430017533</v>
      </c>
      <c r="P193" s="62">
        <v>0.94699999999999995</v>
      </c>
      <c r="Q193" s="62">
        <v>0.06</v>
      </c>
      <c r="R193" s="62">
        <v>0.36499999999999999</v>
      </c>
      <c r="S193" s="62">
        <v>0.26800000000000002</v>
      </c>
      <c r="T193" s="62">
        <v>0.245</v>
      </c>
      <c r="U193" s="62">
        <v>0.23799999999999999</v>
      </c>
      <c r="V193" s="62">
        <v>0.23300000000000001</v>
      </c>
      <c r="W193" s="62">
        <v>0.22800000000000001</v>
      </c>
      <c r="X193" s="62">
        <v>0.22500000000000001</v>
      </c>
      <c r="Y193" s="62">
        <v>0.222</v>
      </c>
      <c r="Z193" s="62">
        <v>0.22</v>
      </c>
      <c r="AA193" s="1"/>
      <c r="AB193" s="1"/>
      <c r="AC193" s="105">
        <v>0.94699999999999995</v>
      </c>
      <c r="AD193" s="106">
        <f t="shared" si="205"/>
        <v>0</v>
      </c>
      <c r="AE193" s="105">
        <v>0.06</v>
      </c>
      <c r="AF193" s="106">
        <f t="shared" ref="AF193" si="307">IF(ISBLANK(AE193),"",INDEX($A193:$AA193,1,MATCH(AE$3,$A$3:$AA$3,0))-AE193)</f>
        <v>0</v>
      </c>
      <c r="AG193" s="1"/>
      <c r="AH193" s="1"/>
      <c r="AI193" s="1"/>
      <c r="AJ193" s="1"/>
    </row>
    <row r="194" spans="1:36" x14ac:dyDescent="0.25">
      <c r="A194" s="82"/>
      <c r="B194" s="179" t="s">
        <v>440</v>
      </c>
      <c r="C194" s="134" t="s">
        <v>7</v>
      </c>
      <c r="D194" s="72"/>
      <c r="E194" s="72"/>
      <c r="F194" s="72"/>
      <c r="G194" s="72"/>
      <c r="H194" s="72"/>
      <c r="I194" s="72"/>
      <c r="J194" s="72"/>
      <c r="K194" s="72"/>
      <c r="L194" s="182">
        <f t="shared" ref="L194:Z194" si="308">L188/L185</f>
        <v>0.86774014063942795</v>
      </c>
      <c r="M194" s="182">
        <f t="shared" si="308"/>
        <v>0.46857605321686763</v>
      </c>
      <c r="N194" s="182">
        <f t="shared" si="308"/>
        <v>0.35060086363687082</v>
      </c>
      <c r="O194" s="182">
        <f>O188/O185</f>
        <v>0.81806326841818389</v>
      </c>
      <c r="P194" s="182">
        <f t="shared" si="308"/>
        <v>0.96294275253257355</v>
      </c>
      <c r="Q194" s="182">
        <f t="shared" si="308"/>
        <v>0.65660920033147818</v>
      </c>
      <c r="R194" s="182">
        <f t="shared" si="308"/>
        <v>0.68192848811885631</v>
      </c>
      <c r="S194" s="182">
        <f t="shared" si="308"/>
        <v>0.69540754652115588</v>
      </c>
      <c r="T194" s="182">
        <f t="shared" si="308"/>
        <v>0.70688903222528898</v>
      </c>
      <c r="U194" s="182">
        <f t="shared" si="308"/>
        <v>0.71319465325915754</v>
      </c>
      <c r="V194" s="182">
        <f t="shared" si="308"/>
        <v>0.71895256806131547</v>
      </c>
      <c r="W194" s="182">
        <f t="shared" si="308"/>
        <v>0.72437362964156782</v>
      </c>
      <c r="X194" s="182">
        <f t="shared" si="308"/>
        <v>0.72963595123380365</v>
      </c>
      <c r="Y194" s="182">
        <f t="shared" si="308"/>
        <v>0.7348891602727341</v>
      </c>
      <c r="Z194" s="182">
        <f t="shared" si="308"/>
        <v>0.74025640685059146</v>
      </c>
      <c r="AA194" s="1"/>
      <c r="AB194" s="1"/>
      <c r="AC194" s="183">
        <v>0.79387242472974584</v>
      </c>
      <c r="AD194" s="184">
        <f t="shared" si="205"/>
        <v>0.16907032780282771</v>
      </c>
      <c r="AE194" s="183">
        <v>0.62120329018674469</v>
      </c>
      <c r="AF194" s="184">
        <f t="shared" ref="AF194" si="309">IF(ISBLANK(AE194),"",INDEX($A194:$AA194,1,MATCH(AE$3,$A$3:$AA$3,0))-AE194)</f>
        <v>3.5405910144733488E-2</v>
      </c>
      <c r="AG194" s="1"/>
      <c r="AH194" s="1"/>
      <c r="AI194" s="1"/>
      <c r="AJ194" s="1"/>
    </row>
    <row r="195" spans="1:36" x14ac:dyDescent="0.25">
      <c r="A195" s="82"/>
      <c r="B195" s="92" t="s">
        <v>441</v>
      </c>
      <c r="C195" s="93" t="s">
        <v>7</v>
      </c>
      <c r="D195" s="2"/>
      <c r="E195" s="2"/>
      <c r="F195" s="2"/>
      <c r="G195" s="2"/>
      <c r="H195" s="2"/>
      <c r="I195" s="2"/>
      <c r="J195" s="2"/>
      <c r="K195" s="2"/>
      <c r="L195" s="153">
        <v>1</v>
      </c>
      <c r="M195" s="153">
        <v>1</v>
      </c>
      <c r="N195" s="153">
        <v>1</v>
      </c>
      <c r="O195" s="153">
        <v>1</v>
      </c>
      <c r="P195" s="153">
        <f>O195</f>
        <v>1</v>
      </c>
      <c r="Q195" s="153">
        <f t="shared" ref="Q195:Z195" si="310">P195</f>
        <v>1</v>
      </c>
      <c r="R195" s="153">
        <f t="shared" si="310"/>
        <v>1</v>
      </c>
      <c r="S195" s="153">
        <f t="shared" si="310"/>
        <v>1</v>
      </c>
      <c r="T195" s="153">
        <f t="shared" si="310"/>
        <v>1</v>
      </c>
      <c r="U195" s="153">
        <f t="shared" si="310"/>
        <v>1</v>
      </c>
      <c r="V195" s="153">
        <f t="shared" si="310"/>
        <v>1</v>
      </c>
      <c r="W195" s="153">
        <f t="shared" si="310"/>
        <v>1</v>
      </c>
      <c r="X195" s="153">
        <f t="shared" si="310"/>
        <v>1</v>
      </c>
      <c r="Y195" s="153">
        <f t="shared" si="310"/>
        <v>1</v>
      </c>
      <c r="Z195" s="153">
        <f t="shared" si="310"/>
        <v>1</v>
      </c>
      <c r="AA195" s="1"/>
      <c r="AB195" s="1"/>
      <c r="AC195" s="116">
        <v>1</v>
      </c>
      <c r="AD195" s="117">
        <f t="shared" si="205"/>
        <v>0</v>
      </c>
      <c r="AE195" s="116">
        <v>1</v>
      </c>
      <c r="AF195" s="117">
        <f t="shared" ref="AF195" si="311">IF(ISBLANK(AE195),"",INDEX($A195:$AA195,1,MATCH(AE$3,$A$3:$AA$3,0))-AE195)</f>
        <v>0</v>
      </c>
      <c r="AG195" s="1"/>
      <c r="AH195" s="1"/>
      <c r="AI195" s="1"/>
      <c r="AJ195" s="1"/>
    </row>
    <row r="196" spans="1:36" x14ac:dyDescent="0.25">
      <c r="A196" s="82"/>
      <c r="B196" s="92" t="s">
        <v>442</v>
      </c>
      <c r="C196" s="93" t="s">
        <v>7</v>
      </c>
      <c r="D196" s="2"/>
      <c r="E196" s="2"/>
      <c r="F196" s="2"/>
      <c r="G196" s="2"/>
      <c r="H196" s="2"/>
      <c r="I196" s="2"/>
      <c r="J196" s="2"/>
      <c r="K196" s="2"/>
      <c r="L196" s="153">
        <v>1</v>
      </c>
      <c r="M196" s="153">
        <v>1</v>
      </c>
      <c r="N196" s="153">
        <v>1</v>
      </c>
      <c r="O196" s="153">
        <v>1</v>
      </c>
      <c r="P196" s="153">
        <f>O196</f>
        <v>1</v>
      </c>
      <c r="Q196" s="153">
        <f t="shared" ref="Q196:Z196" si="312">P196</f>
        <v>1</v>
      </c>
      <c r="R196" s="153">
        <f t="shared" si="312"/>
        <v>1</v>
      </c>
      <c r="S196" s="153">
        <f t="shared" si="312"/>
        <v>1</v>
      </c>
      <c r="T196" s="153">
        <f t="shared" si="312"/>
        <v>1</v>
      </c>
      <c r="U196" s="153">
        <f t="shared" si="312"/>
        <v>1</v>
      </c>
      <c r="V196" s="153">
        <f t="shared" si="312"/>
        <v>1</v>
      </c>
      <c r="W196" s="153">
        <f t="shared" si="312"/>
        <v>1</v>
      </c>
      <c r="X196" s="153">
        <f t="shared" si="312"/>
        <v>1</v>
      </c>
      <c r="Y196" s="153">
        <f t="shared" si="312"/>
        <v>1</v>
      </c>
      <c r="Z196" s="153">
        <f t="shared" si="312"/>
        <v>1</v>
      </c>
      <c r="AA196" s="1"/>
      <c r="AB196" s="1"/>
      <c r="AC196" s="116">
        <v>1</v>
      </c>
      <c r="AD196" s="117">
        <f t="shared" si="205"/>
        <v>0</v>
      </c>
      <c r="AE196" s="116">
        <v>1</v>
      </c>
      <c r="AF196" s="117">
        <f t="shared" ref="AF196" si="313">IF(ISBLANK(AE196),"",INDEX($A196:$AA196,1,MATCH(AE$3,$A$3:$AA$3,0))-AE196)</f>
        <v>0</v>
      </c>
      <c r="AG196" s="1"/>
      <c r="AH196" s="1"/>
      <c r="AI196" s="1"/>
      <c r="AJ196" s="1"/>
    </row>
    <row r="197" spans="1:36" x14ac:dyDescent="0.25">
      <c r="A197" s="82"/>
      <c r="B197" s="92"/>
      <c r="C197" s="13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76"/>
      <c r="AD197" s="77" t="str">
        <f t="shared" si="205"/>
        <v/>
      </c>
      <c r="AE197" s="76"/>
      <c r="AF197" s="77" t="str">
        <f t="shared" ref="AF197" si="314">IF(ISBLANK(AE197),"",INDEX($A197:$AA197,1,MATCH(AE$3,$A$3:$AA$3,0))-AE197)</f>
        <v/>
      </c>
      <c r="AG197" s="1"/>
      <c r="AH197" s="1"/>
      <c r="AI197" s="1"/>
      <c r="AJ197" s="1"/>
    </row>
    <row r="198" spans="1:36" x14ac:dyDescent="0.25">
      <c r="A198" s="82"/>
      <c r="B198" s="95" t="s">
        <v>443</v>
      </c>
      <c r="C198" s="13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76"/>
      <c r="AD198" s="77" t="str">
        <f t="shared" si="205"/>
        <v/>
      </c>
      <c r="AE198" s="76"/>
      <c r="AF198" s="77" t="str">
        <f t="shared" ref="AF198" si="315">IF(ISBLANK(AE198),"",INDEX($A198:$AA198,1,MATCH(AE$3,$A$3:$AA$3,0))-AE198)</f>
        <v/>
      </c>
      <c r="AG198" s="1"/>
      <c r="AH198" s="1"/>
      <c r="AI198" s="1"/>
      <c r="AJ198" s="1"/>
    </row>
    <row r="199" spans="1:36" x14ac:dyDescent="0.25">
      <c r="A199" s="82"/>
      <c r="B199" s="92" t="s">
        <v>444</v>
      </c>
      <c r="C199" s="93"/>
      <c r="D199" s="48"/>
      <c r="E199" s="48"/>
      <c r="F199" s="48"/>
      <c r="G199" s="48"/>
      <c r="H199" s="48"/>
      <c r="I199" s="48"/>
      <c r="J199" s="48"/>
      <c r="K199" s="48"/>
      <c r="L199" s="108">
        <v>-134320</v>
      </c>
      <c r="M199" s="108">
        <v>-170815</v>
      </c>
      <c r="N199" s="108">
        <v>-151151</v>
      </c>
      <c r="O199" s="108">
        <v>-153947</v>
      </c>
      <c r="P199" s="137">
        <f>-P$10*P206</f>
        <v>-153109.98927291931</v>
      </c>
      <c r="Q199" s="137">
        <f t="shared" ref="Q199:Z199" si="316">-Q$10*Q206</f>
        <v>-174768.98695319207</v>
      </c>
      <c r="R199" s="137">
        <f t="shared" si="316"/>
        <v>-198569.30305948239</v>
      </c>
      <c r="S199" s="137">
        <f t="shared" si="316"/>
        <v>-225617.0631207297</v>
      </c>
      <c r="T199" s="137">
        <f t="shared" si="316"/>
        <v>-254474.11542163894</v>
      </c>
      <c r="U199" s="137">
        <f t="shared" si="316"/>
        <v>-287253.19954517495</v>
      </c>
      <c r="V199" s="137">
        <f t="shared" si="316"/>
        <v>-324516.84264976945</v>
      </c>
      <c r="W199" s="137">
        <f t="shared" si="316"/>
        <v>-366912.22411924729</v>
      </c>
      <c r="X199" s="137">
        <f t="shared" si="316"/>
        <v>-415184.4788883591</v>
      </c>
      <c r="Y199" s="137">
        <f t="shared" si="316"/>
        <v>-470192.17547955184</v>
      </c>
      <c r="Z199" s="137">
        <f t="shared" si="316"/>
        <v>-532925.33719055203</v>
      </c>
      <c r="AA199" s="1"/>
      <c r="AB199" s="1"/>
      <c r="AC199" s="90">
        <v>-165434.65926834461</v>
      </c>
      <c r="AD199" s="91">
        <f t="shared" si="205"/>
        <v>12324.669995425298</v>
      </c>
      <c r="AE199" s="90">
        <v>-196652.61004827169</v>
      </c>
      <c r="AF199" s="91">
        <f t="shared" ref="AF199" si="317">IF(ISBLANK(AE199),"",INDEX($A199:$AA199,1,MATCH(AE$3,$A$3:$AA$3,0))-AE199)</f>
        <v>21883.623095079616</v>
      </c>
      <c r="AG199" s="1"/>
      <c r="AH199" s="1"/>
      <c r="AI199" s="1"/>
      <c r="AJ199" s="1"/>
    </row>
    <row r="200" spans="1:36" x14ac:dyDescent="0.25">
      <c r="A200" s="82"/>
      <c r="B200" s="92" t="s">
        <v>445</v>
      </c>
      <c r="C200" s="93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137">
        <f>-P$10*P207</f>
        <v>0</v>
      </c>
      <c r="Q200" s="137">
        <f t="shared" ref="Q200:Z200" si="318">-Q$10*Q207</f>
        <v>0</v>
      </c>
      <c r="R200" s="137">
        <f t="shared" si="318"/>
        <v>0</v>
      </c>
      <c r="S200" s="137">
        <f t="shared" si="318"/>
        <v>0</v>
      </c>
      <c r="T200" s="137">
        <f t="shared" si="318"/>
        <v>0</v>
      </c>
      <c r="U200" s="137">
        <f t="shared" si="318"/>
        <v>0</v>
      </c>
      <c r="V200" s="137">
        <f t="shared" si="318"/>
        <v>0</v>
      </c>
      <c r="W200" s="137">
        <f t="shared" si="318"/>
        <v>0</v>
      </c>
      <c r="X200" s="137">
        <f t="shared" si="318"/>
        <v>0</v>
      </c>
      <c r="Y200" s="137">
        <f t="shared" si="318"/>
        <v>0</v>
      </c>
      <c r="Z200" s="137">
        <f t="shared" si="318"/>
        <v>0</v>
      </c>
      <c r="AA200" s="1"/>
      <c r="AB200" s="1"/>
      <c r="AC200" s="90">
        <v>0</v>
      </c>
      <c r="AD200" s="91">
        <f t="shared" si="205"/>
        <v>0</v>
      </c>
      <c r="AE200" s="90">
        <v>0</v>
      </c>
      <c r="AF200" s="91">
        <f t="shared" ref="AF200" si="319">IF(ISBLANK(AE200),"",INDEX($A200:$AA200,1,MATCH(AE$3,$A$3:$AA$3,0))-AE200)</f>
        <v>0</v>
      </c>
      <c r="AG200" s="1"/>
      <c r="AH200" s="1"/>
      <c r="AI200" s="1"/>
      <c r="AJ200" s="1"/>
    </row>
    <row r="201" spans="1:36" x14ac:dyDescent="0.25">
      <c r="A201" s="82" t="s">
        <v>446</v>
      </c>
      <c r="B201" s="92" t="s">
        <v>447</v>
      </c>
      <c r="C201" s="93"/>
      <c r="D201" s="48"/>
      <c r="E201" s="48"/>
      <c r="F201" s="48"/>
      <c r="G201" s="48"/>
      <c r="H201" s="48"/>
      <c r="I201" s="48"/>
      <c r="J201" s="48"/>
      <c r="K201" s="48"/>
      <c r="L201" s="108">
        <v>-163970</v>
      </c>
      <c r="M201" s="108">
        <v>539453</v>
      </c>
      <c r="N201" s="108">
        <v>-4969</v>
      </c>
      <c r="O201" s="108">
        <v>-53934</v>
      </c>
      <c r="P201" s="132">
        <v>0</v>
      </c>
      <c r="Q201" s="132">
        <v>0</v>
      </c>
      <c r="R201" s="132">
        <v>0</v>
      </c>
      <c r="S201" s="132">
        <v>0</v>
      </c>
      <c r="T201" s="132">
        <v>0</v>
      </c>
      <c r="U201" s="132">
        <v>0</v>
      </c>
      <c r="V201" s="132">
        <v>0</v>
      </c>
      <c r="W201" s="132">
        <v>0</v>
      </c>
      <c r="X201" s="132">
        <v>0</v>
      </c>
      <c r="Y201" s="132">
        <v>0</v>
      </c>
      <c r="Z201" s="132">
        <v>0</v>
      </c>
      <c r="AA201" s="1"/>
      <c r="AB201" s="1"/>
      <c r="AC201" s="90">
        <v>0</v>
      </c>
      <c r="AD201" s="91">
        <f t="shared" si="205"/>
        <v>0</v>
      </c>
      <c r="AE201" s="90">
        <v>0</v>
      </c>
      <c r="AF201" s="91">
        <f t="shared" ref="AF201" si="320">IF(ISBLANK(AE201),"",INDEX($A201:$AA201,1,MATCH(AE$3,$A$3:$AA$3,0))-AE201)</f>
        <v>0</v>
      </c>
      <c r="AG201" s="1"/>
      <c r="AH201" s="1"/>
      <c r="AI201" s="1"/>
      <c r="AJ201" s="1"/>
    </row>
    <row r="202" spans="1:36" x14ac:dyDescent="0.25">
      <c r="A202" s="82"/>
      <c r="B202" s="92" t="s">
        <v>448</v>
      </c>
      <c r="C202" s="93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132">
        <v>0</v>
      </c>
      <c r="Q202" s="132">
        <v>0</v>
      </c>
      <c r="R202" s="132">
        <v>0</v>
      </c>
      <c r="S202" s="132">
        <v>0</v>
      </c>
      <c r="T202" s="132">
        <v>0</v>
      </c>
      <c r="U202" s="132">
        <v>0</v>
      </c>
      <c r="V202" s="132">
        <v>0</v>
      </c>
      <c r="W202" s="132">
        <v>0</v>
      </c>
      <c r="X202" s="132">
        <v>0</v>
      </c>
      <c r="Y202" s="132">
        <v>0</v>
      </c>
      <c r="Z202" s="132">
        <v>0</v>
      </c>
      <c r="AA202" s="1"/>
      <c r="AB202" s="1"/>
      <c r="AC202" s="90">
        <v>0</v>
      </c>
      <c r="AD202" s="91">
        <f t="shared" si="205"/>
        <v>0</v>
      </c>
      <c r="AE202" s="90">
        <v>0</v>
      </c>
      <c r="AF202" s="91">
        <f t="shared" ref="AF202" si="321">IF(ISBLANK(AE202),"",INDEX($A202:$AA202,1,MATCH(AE$3,$A$3:$AA$3,0))-AE202)</f>
        <v>0</v>
      </c>
      <c r="AG202" s="1"/>
      <c r="AH202" s="1"/>
      <c r="AI202" s="1"/>
      <c r="AJ202" s="1"/>
    </row>
    <row r="203" spans="1:36" x14ac:dyDescent="0.25">
      <c r="A203" s="82"/>
      <c r="B203" s="92" t="s">
        <v>449</v>
      </c>
      <c r="C203" s="93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132">
        <v>0</v>
      </c>
      <c r="Q203" s="132">
        <v>0</v>
      </c>
      <c r="R203" s="132">
        <v>0</v>
      </c>
      <c r="S203" s="132">
        <v>0</v>
      </c>
      <c r="T203" s="132">
        <v>0</v>
      </c>
      <c r="U203" s="132">
        <v>0</v>
      </c>
      <c r="V203" s="132">
        <v>0</v>
      </c>
      <c r="W203" s="132">
        <v>0</v>
      </c>
      <c r="X203" s="132">
        <v>0</v>
      </c>
      <c r="Y203" s="132">
        <v>0</v>
      </c>
      <c r="Z203" s="132">
        <v>0</v>
      </c>
      <c r="AA203" s="1"/>
      <c r="AB203" s="1"/>
      <c r="AC203" s="90">
        <v>0</v>
      </c>
      <c r="AD203" s="91">
        <f t="shared" si="205"/>
        <v>0</v>
      </c>
      <c r="AE203" s="90">
        <v>0</v>
      </c>
      <c r="AF203" s="91">
        <f t="shared" ref="AF203" si="322">IF(ISBLANK(AE203),"",INDEX($A203:$AA203,1,MATCH(AE$3,$A$3:$AA$3,0))-AE203)</f>
        <v>0</v>
      </c>
      <c r="AG203" s="1"/>
      <c r="AH203" s="1"/>
      <c r="AI203" s="1"/>
      <c r="AJ203" s="1"/>
    </row>
    <row r="204" spans="1:36" x14ac:dyDescent="0.25">
      <c r="A204" s="82"/>
      <c r="B204" s="92" t="s">
        <v>320</v>
      </c>
      <c r="C204" s="93"/>
      <c r="D204" s="46"/>
      <c r="E204" s="46"/>
      <c r="F204" s="46"/>
      <c r="G204" s="46"/>
      <c r="H204" s="46"/>
      <c r="I204" s="46"/>
      <c r="J204" s="46"/>
      <c r="K204" s="46"/>
      <c r="L204" s="97">
        <f t="shared" ref="L204:N204" si="323">L205-SUM(L199:L203)</f>
        <v>-1012589</v>
      </c>
      <c r="M204" s="97">
        <f t="shared" si="323"/>
        <v>857058</v>
      </c>
      <c r="N204" s="97">
        <f t="shared" si="323"/>
        <v>839321</v>
      </c>
      <c r="O204" s="97">
        <f>O205-SUM(O199:O203)</f>
        <v>857833</v>
      </c>
      <c r="P204" s="132">
        <v>0</v>
      </c>
      <c r="Q204" s="132">
        <v>0</v>
      </c>
      <c r="R204" s="132">
        <v>0</v>
      </c>
      <c r="S204" s="132">
        <v>0</v>
      </c>
      <c r="T204" s="132">
        <v>0</v>
      </c>
      <c r="U204" s="132">
        <v>0</v>
      </c>
      <c r="V204" s="132">
        <v>0</v>
      </c>
      <c r="W204" s="132">
        <v>0</v>
      </c>
      <c r="X204" s="132">
        <v>0</v>
      </c>
      <c r="Y204" s="132">
        <v>0</v>
      </c>
      <c r="Z204" s="132">
        <v>0</v>
      </c>
      <c r="AA204" s="1"/>
      <c r="AB204" s="1"/>
      <c r="AC204" s="90">
        <v>0</v>
      </c>
      <c r="AD204" s="91">
        <f t="shared" si="205"/>
        <v>0</v>
      </c>
      <c r="AE204" s="90">
        <v>0</v>
      </c>
      <c r="AF204" s="91">
        <f t="shared" ref="AF204" si="324">IF(ISBLANK(AE204),"",INDEX($A204:$AA204,1,MATCH(AE$3,$A$3:$AA$3,0))-AE204)</f>
        <v>0</v>
      </c>
      <c r="AG204" s="1"/>
      <c r="AH204" s="1"/>
      <c r="AI204" s="1"/>
      <c r="AJ204" s="1"/>
    </row>
    <row r="205" spans="1:36" x14ac:dyDescent="0.25">
      <c r="A205" s="82" t="s">
        <v>450</v>
      </c>
      <c r="B205" s="100" t="s">
        <v>451</v>
      </c>
      <c r="C205" s="5" t="s">
        <v>298</v>
      </c>
      <c r="D205" s="119"/>
      <c r="E205" s="119"/>
      <c r="F205" s="119"/>
      <c r="G205" s="119"/>
      <c r="H205" s="119"/>
      <c r="I205" s="119"/>
      <c r="J205" s="119"/>
      <c r="K205" s="119"/>
      <c r="L205" s="175">
        <v>-1310879</v>
      </c>
      <c r="M205" s="175">
        <v>1225696</v>
      </c>
      <c r="N205" s="175">
        <v>683201</v>
      </c>
      <c r="O205" s="175">
        <v>649952</v>
      </c>
      <c r="P205" s="177">
        <f>SUM(P199:P204)</f>
        <v>-153109.98927291931</v>
      </c>
      <c r="Q205" s="177">
        <f t="shared" ref="Q205:Z205" si="325">SUM(Q199:Q204)</f>
        <v>-174768.98695319207</v>
      </c>
      <c r="R205" s="177">
        <f t="shared" si="325"/>
        <v>-198569.30305948239</v>
      </c>
      <c r="S205" s="177">
        <f t="shared" si="325"/>
        <v>-225617.0631207297</v>
      </c>
      <c r="T205" s="177">
        <f t="shared" si="325"/>
        <v>-254474.11542163894</v>
      </c>
      <c r="U205" s="177">
        <f t="shared" si="325"/>
        <v>-287253.19954517495</v>
      </c>
      <c r="V205" s="177">
        <f t="shared" si="325"/>
        <v>-324516.84264976945</v>
      </c>
      <c r="W205" s="177">
        <f t="shared" si="325"/>
        <v>-366912.22411924729</v>
      </c>
      <c r="X205" s="177">
        <f t="shared" si="325"/>
        <v>-415184.4788883591</v>
      </c>
      <c r="Y205" s="177">
        <f t="shared" si="325"/>
        <v>-470192.17547955184</v>
      </c>
      <c r="Z205" s="177">
        <f t="shared" si="325"/>
        <v>-532925.33719055203</v>
      </c>
      <c r="AA205" s="1"/>
      <c r="AB205" s="1"/>
      <c r="AC205" s="145">
        <v>-165434.65926834461</v>
      </c>
      <c r="AD205" s="146">
        <f t="shared" si="205"/>
        <v>12324.669995425298</v>
      </c>
      <c r="AE205" s="145">
        <v>-196652.61004827169</v>
      </c>
      <c r="AF205" s="146">
        <f t="shared" ref="AF205" si="326">IF(ISBLANK(AE205),"",INDEX($A205:$AA205,1,MATCH(AE$3,$A$3:$AA$3,0))-AE205)</f>
        <v>21883.623095079616</v>
      </c>
      <c r="AG205" s="1"/>
      <c r="AH205" s="1"/>
      <c r="AI205" s="1"/>
      <c r="AJ205" s="1"/>
    </row>
    <row r="206" spans="1:36" x14ac:dyDescent="0.25">
      <c r="A206" s="82"/>
      <c r="B206" s="92" t="s">
        <v>452</v>
      </c>
      <c r="C206" s="93" t="s">
        <v>7</v>
      </c>
      <c r="D206" s="2"/>
      <c r="E206" s="2"/>
      <c r="F206" s="2"/>
      <c r="G206" s="2"/>
      <c r="H206" s="2"/>
      <c r="I206" s="2"/>
      <c r="J206" s="2"/>
      <c r="K206" s="2"/>
      <c r="L206" s="330">
        <f t="shared" ref="L206:N207" si="327">-L199/L$10</f>
        <v>7.6053709365098178E-3</v>
      </c>
      <c r="M206" s="330">
        <f t="shared" si="327"/>
        <v>9.7432708174108821E-3</v>
      </c>
      <c r="N206" s="330">
        <f t="shared" si="327"/>
        <v>6.8969520054255364E-3</v>
      </c>
      <c r="O206" s="330">
        <f>-O199/O$10</f>
        <v>6.3822669764873035E-3</v>
      </c>
      <c r="P206" s="355">
        <f>O206</f>
        <v>6.3822669764873035E-3</v>
      </c>
      <c r="Q206" s="355">
        <f t="shared" ref="Q206:Z206" si="328">P206</f>
        <v>6.3822669764873035E-3</v>
      </c>
      <c r="R206" s="355">
        <f t="shared" si="328"/>
        <v>6.3822669764873035E-3</v>
      </c>
      <c r="S206" s="355">
        <f t="shared" si="328"/>
        <v>6.3822669764873035E-3</v>
      </c>
      <c r="T206" s="355">
        <f t="shared" si="328"/>
        <v>6.3822669764873035E-3</v>
      </c>
      <c r="U206" s="355">
        <f t="shared" si="328"/>
        <v>6.3822669764873035E-3</v>
      </c>
      <c r="V206" s="355">
        <f t="shared" si="328"/>
        <v>6.3822669764873035E-3</v>
      </c>
      <c r="W206" s="355">
        <f t="shared" si="328"/>
        <v>6.3822669764873035E-3</v>
      </c>
      <c r="X206" s="355">
        <f t="shared" si="328"/>
        <v>6.3822669764873035E-3</v>
      </c>
      <c r="Y206" s="355">
        <f t="shared" si="328"/>
        <v>6.3822669764873035E-3</v>
      </c>
      <c r="Z206" s="355">
        <f t="shared" si="328"/>
        <v>6.3822669764873035E-3</v>
      </c>
      <c r="AA206" s="1"/>
      <c r="AB206" s="1"/>
      <c r="AC206" s="105">
        <v>6.3822669764873035E-3</v>
      </c>
      <c r="AD206" s="106">
        <f t="shared" si="205"/>
        <v>0</v>
      </c>
      <c r="AE206" s="105">
        <v>6.3822669764873035E-3</v>
      </c>
      <c r="AF206" s="106">
        <f t="shared" ref="AF206" si="329">IF(ISBLANK(AE206),"",INDEX($A206:$AA206,1,MATCH(AE$3,$A$3:$AA$3,0))-AE206)</f>
        <v>0</v>
      </c>
      <c r="AG206" s="1"/>
      <c r="AH206" s="1"/>
      <c r="AI206" s="1"/>
      <c r="AJ206" s="1"/>
    </row>
    <row r="207" spans="1:36" x14ac:dyDescent="0.25">
      <c r="A207" s="82"/>
      <c r="B207" s="92" t="s">
        <v>453</v>
      </c>
      <c r="C207" s="93" t="s">
        <v>7</v>
      </c>
      <c r="D207" s="2"/>
      <c r="E207" s="2"/>
      <c r="F207" s="2"/>
      <c r="G207" s="2"/>
      <c r="H207" s="2"/>
      <c r="I207" s="2"/>
      <c r="J207" s="2"/>
      <c r="K207" s="2"/>
      <c r="L207" s="330">
        <f t="shared" si="327"/>
        <v>0</v>
      </c>
      <c r="M207" s="330">
        <f t="shared" si="327"/>
        <v>0</v>
      </c>
      <c r="N207" s="330">
        <f t="shared" si="327"/>
        <v>0</v>
      </c>
      <c r="O207" s="330">
        <f>-O200/O$10</f>
        <v>0</v>
      </c>
      <c r="P207" s="355">
        <f>O207</f>
        <v>0</v>
      </c>
      <c r="Q207" s="355">
        <f t="shared" ref="Q207:Z207" si="330">P207</f>
        <v>0</v>
      </c>
      <c r="R207" s="355">
        <f t="shared" si="330"/>
        <v>0</v>
      </c>
      <c r="S207" s="355">
        <f t="shared" si="330"/>
        <v>0</v>
      </c>
      <c r="T207" s="355">
        <f t="shared" si="330"/>
        <v>0</v>
      </c>
      <c r="U207" s="355">
        <f t="shared" si="330"/>
        <v>0</v>
      </c>
      <c r="V207" s="355">
        <f t="shared" si="330"/>
        <v>0</v>
      </c>
      <c r="W207" s="355">
        <f t="shared" si="330"/>
        <v>0</v>
      </c>
      <c r="X207" s="355">
        <f t="shared" si="330"/>
        <v>0</v>
      </c>
      <c r="Y207" s="355">
        <f t="shared" si="330"/>
        <v>0</v>
      </c>
      <c r="Z207" s="355">
        <f t="shared" si="330"/>
        <v>0</v>
      </c>
      <c r="AA207" s="1"/>
      <c r="AB207" s="1"/>
      <c r="AC207" s="105">
        <v>0</v>
      </c>
      <c r="AD207" s="106">
        <f t="shared" si="205"/>
        <v>0</v>
      </c>
      <c r="AE207" s="105">
        <v>0</v>
      </c>
      <c r="AF207" s="106">
        <f t="shared" ref="AF207" si="331">IF(ISBLANK(AE207),"",INDEX($A207:$AA207,1,MATCH(AE$3,$A$3:$AA$3,0))-AE207)</f>
        <v>0</v>
      </c>
      <c r="AG207" s="1"/>
      <c r="AH207" s="1"/>
      <c r="AI207" s="1"/>
      <c r="AJ207" s="1"/>
    </row>
    <row r="208" spans="1:36" x14ac:dyDescent="0.25">
      <c r="A208" s="82"/>
      <c r="B208" s="92"/>
      <c r="C208" s="13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76"/>
      <c r="AD208" s="77" t="str">
        <f t="shared" si="205"/>
        <v/>
      </c>
      <c r="AE208" s="76"/>
      <c r="AF208" s="77" t="str">
        <f t="shared" ref="AF208" si="332">IF(ISBLANK(AE208),"",INDEX($A208:$AA208,1,MATCH(AE$3,$A$3:$AA$3,0))-AE208)</f>
        <v/>
      </c>
      <c r="AG208" s="1"/>
      <c r="AH208" s="1"/>
      <c r="AI208" s="1"/>
      <c r="AJ208" s="1"/>
    </row>
    <row r="209" spans="1:36" x14ac:dyDescent="0.25">
      <c r="A209" s="82"/>
      <c r="B209" s="95" t="s">
        <v>454</v>
      </c>
      <c r="C209" s="13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 t="s">
        <v>455</v>
      </c>
      <c r="Q209" s="1"/>
      <c r="R209" s="360">
        <v>1000000</v>
      </c>
      <c r="S209" s="360">
        <f>R209*1.1</f>
        <v>1100000</v>
      </c>
      <c r="T209" s="360">
        <f t="shared" ref="T209:Z209" si="333">S209*1.1</f>
        <v>1210000</v>
      </c>
      <c r="U209" s="360">
        <f t="shared" si="333"/>
        <v>1331000</v>
      </c>
      <c r="V209" s="360">
        <f t="shared" si="333"/>
        <v>1464100.0000000002</v>
      </c>
      <c r="W209" s="360">
        <f t="shared" si="333"/>
        <v>1610510.0000000005</v>
      </c>
      <c r="X209" s="360">
        <f t="shared" si="333"/>
        <v>1771561.0000000007</v>
      </c>
      <c r="Y209" s="360">
        <f t="shared" si="333"/>
        <v>1948717.100000001</v>
      </c>
      <c r="Z209" s="360">
        <f t="shared" si="333"/>
        <v>2143588.8100000015</v>
      </c>
      <c r="AA209" s="1"/>
      <c r="AB209" s="1"/>
      <c r="AC209" s="76" t="s">
        <v>455</v>
      </c>
      <c r="AD209" s="77" t="e">
        <f t="shared" ref="AD209:AD272" si="334">IF(ISBLANK(AC209),"",INDEX($A209:$AA209,1,MATCH(AC$3,$A$3:$AA$3,0))-AC209)</f>
        <v>#VALUE!</v>
      </c>
      <c r="AE209" s="76"/>
      <c r="AF209" s="77" t="str">
        <f t="shared" ref="AF209" si="335">IF(ISBLANK(AE209),"",INDEX($A209:$AA209,1,MATCH(AE$3,$A$3:$AA$3,0))-AE209)</f>
        <v/>
      </c>
      <c r="AG209" s="1"/>
      <c r="AH209" s="1"/>
      <c r="AI209" s="1"/>
      <c r="AJ209" s="1"/>
    </row>
    <row r="210" spans="1:36" x14ac:dyDescent="0.25">
      <c r="A210" s="82"/>
      <c r="B210" s="92" t="s">
        <v>456</v>
      </c>
      <c r="C210" s="93" t="s">
        <v>298</v>
      </c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2">
        <f>-P99</f>
        <v>0</v>
      </c>
      <c r="Q210" s="2">
        <f t="shared" ref="Q210:Z210" si="336">-Q99</f>
        <v>0</v>
      </c>
      <c r="R210" s="2">
        <f t="shared" si="336"/>
        <v>0</v>
      </c>
      <c r="S210" s="2">
        <f t="shared" si="336"/>
        <v>0</v>
      </c>
      <c r="T210" s="2">
        <f t="shared" si="336"/>
        <v>0</v>
      </c>
      <c r="U210" s="2">
        <f t="shared" si="336"/>
        <v>0</v>
      </c>
      <c r="V210" s="2">
        <f t="shared" si="336"/>
        <v>0</v>
      </c>
      <c r="W210" s="2">
        <f t="shared" si="336"/>
        <v>0</v>
      </c>
      <c r="X210" s="2">
        <f t="shared" si="336"/>
        <v>0</v>
      </c>
      <c r="Y210" s="2">
        <f t="shared" si="336"/>
        <v>0</v>
      </c>
      <c r="Z210" s="2">
        <f t="shared" si="336"/>
        <v>-8542202.8554319702</v>
      </c>
      <c r="AA210" s="1"/>
      <c r="AB210" s="1"/>
      <c r="AC210" s="90">
        <v>0</v>
      </c>
      <c r="AD210" s="91">
        <f t="shared" si="334"/>
        <v>0</v>
      </c>
      <c r="AE210" s="90">
        <v>0</v>
      </c>
      <c r="AF210" s="91">
        <f t="shared" ref="AF210" si="337">IF(ISBLANK(AE210),"",INDEX($A210:$AA210,1,MATCH(AE$3,$A$3:$AA$3,0))-AE210)</f>
        <v>0</v>
      </c>
      <c r="AG210" s="1"/>
      <c r="AH210" s="1"/>
      <c r="AI210" s="1"/>
      <c r="AJ210" s="1"/>
    </row>
    <row r="211" spans="1:36" x14ac:dyDescent="0.25">
      <c r="A211" s="82"/>
      <c r="B211" s="92" t="s">
        <v>458</v>
      </c>
      <c r="C211" s="93" t="s">
        <v>298</v>
      </c>
      <c r="D211" s="48"/>
      <c r="E211" s="48"/>
      <c r="F211" s="48"/>
      <c r="G211" s="48"/>
      <c r="H211" s="48"/>
      <c r="I211" s="48"/>
      <c r="J211" s="48"/>
      <c r="K211" s="48"/>
      <c r="L211" s="48">
        <v>0</v>
      </c>
      <c r="M211" s="48">
        <v>0</v>
      </c>
      <c r="N211" s="108">
        <v>-156812</v>
      </c>
      <c r="O211" s="108">
        <v>-1170339</v>
      </c>
      <c r="P211" s="174">
        <f>-P47</f>
        <v>-1217418</v>
      </c>
      <c r="Q211" s="174">
        <f t="shared" ref="Q211" si="338">-Q47</f>
        <v>-1397244.1268893771</v>
      </c>
      <c r="R211" s="174">
        <f>-R47-R209</f>
        <v>-2588644.1219148161</v>
      </c>
      <c r="S211" s="174">
        <f t="shared" ref="S211:Z211" si="339">-S47-S209</f>
        <v>-2901710.4370125066</v>
      </c>
      <c r="T211" s="174">
        <f t="shared" si="339"/>
        <v>-3242788.8313756217</v>
      </c>
      <c r="U211" s="174">
        <f t="shared" si="339"/>
        <v>-3631484.8204292301</v>
      </c>
      <c r="V211" s="174">
        <f t="shared" si="339"/>
        <v>-4074997.2905996842</v>
      </c>
      <c r="W211" s="174">
        <f t="shared" si="339"/>
        <v>-4581663.6849549059</v>
      </c>
      <c r="X211" s="174">
        <f t="shared" si="339"/>
        <v>-5161146.2492755381</v>
      </c>
      <c r="Y211" s="174">
        <f t="shared" si="339"/>
        <v>-5824649.6593287867</v>
      </c>
      <c r="Z211" s="174">
        <f t="shared" si="339"/>
        <v>-6585175.4644625215</v>
      </c>
      <c r="AA211" s="1"/>
      <c r="AB211" s="1"/>
      <c r="AC211" s="125">
        <v>-1196468</v>
      </c>
      <c r="AD211" s="173">
        <f t="shared" si="334"/>
        <v>-20950</v>
      </c>
      <c r="AE211" s="125">
        <v>-1374660.9892810381</v>
      </c>
      <c r="AF211" s="173">
        <f t="shared" ref="AF211" si="340">IF(ISBLANK(AE211),"",INDEX($A211:$AA211,1,MATCH(AE$3,$A$3:$AA$3,0))-AE211)</f>
        <v>-22583.137608339079</v>
      </c>
      <c r="AG211" s="1"/>
      <c r="AH211" s="1"/>
      <c r="AI211" s="1"/>
      <c r="AJ211" s="1"/>
    </row>
    <row r="212" spans="1:36" x14ac:dyDescent="0.25">
      <c r="A212" s="82"/>
      <c r="B212" s="92" t="s">
        <v>459</v>
      </c>
      <c r="C212" s="93" t="s">
        <v>298</v>
      </c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132">
        <v>0</v>
      </c>
      <c r="Q212" s="132">
        <v>0</v>
      </c>
      <c r="R212" s="132">
        <v>0</v>
      </c>
      <c r="S212" s="132">
        <v>0</v>
      </c>
      <c r="T212" s="132">
        <v>0</v>
      </c>
      <c r="U212" s="132">
        <v>0</v>
      </c>
      <c r="V212" s="132">
        <v>0</v>
      </c>
      <c r="W212" s="132">
        <v>0</v>
      </c>
      <c r="X212" s="132">
        <v>0</v>
      </c>
      <c r="Y212" s="132">
        <v>0</v>
      </c>
      <c r="Z212" s="132">
        <v>0</v>
      </c>
      <c r="AA212" s="1"/>
      <c r="AB212" s="1"/>
      <c r="AC212" s="90">
        <v>0</v>
      </c>
      <c r="AD212" s="91">
        <f t="shared" si="334"/>
        <v>0</v>
      </c>
      <c r="AE212" s="90">
        <v>0</v>
      </c>
      <c r="AF212" s="91">
        <f t="shared" ref="AF212" si="341">IF(ISBLANK(AE212),"",INDEX($A212:$AA212,1,MATCH(AE$3,$A$3:$AA$3,0))-AE212)</f>
        <v>0</v>
      </c>
      <c r="AG212" s="1"/>
      <c r="AH212" s="1"/>
      <c r="AI212" s="1"/>
      <c r="AJ212" s="1"/>
    </row>
    <row r="213" spans="1:36" x14ac:dyDescent="0.25">
      <c r="A213" s="82"/>
      <c r="B213" s="92" t="s">
        <v>460</v>
      </c>
      <c r="C213" s="93" t="s">
        <v>298</v>
      </c>
      <c r="D213" s="2"/>
      <c r="E213" s="2"/>
      <c r="F213" s="2"/>
      <c r="G213" s="2"/>
      <c r="H213" s="2"/>
      <c r="I213" s="2"/>
      <c r="J213" s="2"/>
      <c r="K213" s="2"/>
      <c r="L213" s="137">
        <v>2652034</v>
      </c>
      <c r="M213" s="137">
        <v>97580</v>
      </c>
      <c r="N213" s="137">
        <v>-83325</v>
      </c>
      <c r="O213" s="137">
        <v>3123001</v>
      </c>
      <c r="P213" s="132">
        <v>0</v>
      </c>
      <c r="Q213" s="132">
        <v>0</v>
      </c>
      <c r="R213" s="132">
        <v>0</v>
      </c>
      <c r="S213" s="132">
        <v>0</v>
      </c>
      <c r="T213" s="132">
        <v>0</v>
      </c>
      <c r="U213" s="132">
        <v>0</v>
      </c>
      <c r="V213" s="132">
        <v>0</v>
      </c>
      <c r="W213" s="132">
        <v>0</v>
      </c>
      <c r="X213" s="132">
        <v>0</v>
      </c>
      <c r="Y213" s="132">
        <v>0</v>
      </c>
      <c r="Z213" s="132">
        <v>0</v>
      </c>
      <c r="AA213" s="1"/>
      <c r="AB213" s="1"/>
      <c r="AC213" s="90">
        <v>0</v>
      </c>
      <c r="AD213" s="91">
        <f t="shared" si="334"/>
        <v>0</v>
      </c>
      <c r="AE213" s="90">
        <v>0</v>
      </c>
      <c r="AF213" s="91">
        <f t="shared" ref="AF213" si="342">IF(ISBLANK(AE213),"",INDEX($A213:$AA213,1,MATCH(AE$3,$A$3:$AA$3,0))-AE213)</f>
        <v>0</v>
      </c>
      <c r="AG213" s="1"/>
      <c r="AH213" s="1"/>
      <c r="AI213" s="1"/>
      <c r="AJ213" s="1"/>
    </row>
    <row r="214" spans="1:36" x14ac:dyDescent="0.25">
      <c r="A214" s="82"/>
      <c r="B214" s="100" t="s">
        <v>461</v>
      </c>
      <c r="C214" s="5" t="s">
        <v>298</v>
      </c>
      <c r="D214" s="119"/>
      <c r="E214" s="119"/>
      <c r="F214" s="119"/>
      <c r="G214" s="119"/>
      <c r="H214" s="119"/>
      <c r="I214" s="119"/>
      <c r="J214" s="119"/>
      <c r="K214" s="119"/>
      <c r="L214" s="175">
        <v>2652034</v>
      </c>
      <c r="M214" s="175">
        <v>97580</v>
      </c>
      <c r="N214" s="175">
        <v>-240137</v>
      </c>
      <c r="O214" s="175">
        <v>1952662</v>
      </c>
      <c r="P214" s="177">
        <f>SUM(P210:P213)</f>
        <v>-1217418</v>
      </c>
      <c r="Q214" s="177">
        <f t="shared" ref="Q214:Z214" si="343">SUM(Q210:Q213)</f>
        <v>-1397244.1268893771</v>
      </c>
      <c r="R214" s="177">
        <f t="shared" si="343"/>
        <v>-2588644.1219148161</v>
      </c>
      <c r="S214" s="177">
        <f t="shared" si="343"/>
        <v>-2901710.4370125066</v>
      </c>
      <c r="T214" s="177">
        <f t="shared" si="343"/>
        <v>-3242788.8313756217</v>
      </c>
      <c r="U214" s="177">
        <f t="shared" si="343"/>
        <v>-3631484.8204292301</v>
      </c>
      <c r="V214" s="177">
        <f t="shared" si="343"/>
        <v>-4074997.2905996842</v>
      </c>
      <c r="W214" s="177">
        <f t="shared" si="343"/>
        <v>-4581663.6849549059</v>
      </c>
      <c r="X214" s="177">
        <f t="shared" si="343"/>
        <v>-5161146.2492755381</v>
      </c>
      <c r="Y214" s="177">
        <f t="shared" si="343"/>
        <v>-5824649.6593287867</v>
      </c>
      <c r="Z214" s="177">
        <f t="shared" si="343"/>
        <v>-15127378.319894493</v>
      </c>
      <c r="AA214" s="1"/>
      <c r="AB214" s="1"/>
      <c r="AC214" s="176">
        <v>-1196468</v>
      </c>
      <c r="AD214" s="146">
        <f t="shared" si="334"/>
        <v>-20950</v>
      </c>
      <c r="AE214" s="176">
        <v>-1374660.9892810381</v>
      </c>
      <c r="AF214" s="146">
        <f t="shared" ref="AF214" si="344">IF(ISBLANK(AE214),"",INDEX($A214:$AA214,1,MATCH(AE$3,$A$3:$AA$3,0))-AE214)</f>
        <v>-22583.137608339079</v>
      </c>
      <c r="AG214" s="1"/>
      <c r="AH214" s="1"/>
      <c r="AI214" s="1"/>
      <c r="AJ214" s="1"/>
    </row>
    <row r="215" spans="1:36" x14ac:dyDescent="0.25">
      <c r="A215" s="82"/>
      <c r="B215" s="92" t="s">
        <v>462</v>
      </c>
      <c r="C215" s="93" t="s">
        <v>7</v>
      </c>
      <c r="D215" s="2"/>
      <c r="E215" s="2"/>
      <c r="F215" s="2"/>
      <c r="G215" s="2"/>
      <c r="H215" s="2"/>
      <c r="I215" s="2"/>
      <c r="J215" s="2"/>
      <c r="K215" s="2"/>
      <c r="L215" s="2" t="e">
        <f t="shared" ref="L215:N215" si="345">L210/L99</f>
        <v>#DIV/0!</v>
      </c>
      <c r="M215" s="2" t="e">
        <f t="shared" si="345"/>
        <v>#DIV/0!</v>
      </c>
      <c r="N215" s="2" t="e">
        <f t="shared" si="345"/>
        <v>#DIV/0!</v>
      </c>
      <c r="O215" s="2" t="e">
        <f>O210/O99</f>
        <v>#DIV/0!</v>
      </c>
      <c r="P215" s="153">
        <v>-1</v>
      </c>
      <c r="Q215" s="153">
        <v>-1</v>
      </c>
      <c r="R215" s="153">
        <v>-1</v>
      </c>
      <c r="S215" s="153">
        <v>-1</v>
      </c>
      <c r="T215" s="153">
        <v>-1</v>
      </c>
      <c r="U215" s="153">
        <v>-1</v>
      </c>
      <c r="V215" s="153">
        <v>-1</v>
      </c>
      <c r="W215" s="153">
        <v>-1</v>
      </c>
      <c r="X215" s="153">
        <v>-1</v>
      </c>
      <c r="Y215" s="153">
        <v>-1</v>
      </c>
      <c r="Z215" s="153">
        <v>-1</v>
      </c>
      <c r="AA215" s="1"/>
      <c r="AB215" s="1"/>
      <c r="AC215" s="116">
        <v>-1</v>
      </c>
      <c r="AD215" s="117">
        <f t="shared" si="334"/>
        <v>0</v>
      </c>
      <c r="AE215" s="116">
        <v>-1</v>
      </c>
      <c r="AF215" s="117">
        <f t="shared" ref="AF215" si="346">IF(ISBLANK(AE215),"",INDEX($A215:$AA215,1,MATCH(AE$3,$A$3:$AA$3,0))-AE215)</f>
        <v>0</v>
      </c>
      <c r="AG215" s="1"/>
      <c r="AH215" s="1"/>
      <c r="AI215" s="1"/>
      <c r="AJ215" s="1"/>
    </row>
    <row r="216" spans="1:36" x14ac:dyDescent="0.25">
      <c r="A216" s="82"/>
      <c r="B216" s="92" t="s">
        <v>463</v>
      </c>
      <c r="C216" s="93" t="s">
        <v>7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153">
        <v>0</v>
      </c>
      <c r="Q216" s="153">
        <v>0</v>
      </c>
      <c r="R216" s="153">
        <v>0</v>
      </c>
      <c r="S216" s="153">
        <v>0</v>
      </c>
      <c r="T216" s="153">
        <v>0</v>
      </c>
      <c r="U216" s="153">
        <v>0</v>
      </c>
      <c r="V216" s="153">
        <v>0</v>
      </c>
      <c r="W216" s="153">
        <v>0</v>
      </c>
      <c r="X216" s="153">
        <v>0</v>
      </c>
      <c r="Y216" s="153">
        <v>0</v>
      </c>
      <c r="Z216" s="153">
        <v>0</v>
      </c>
      <c r="AA216" s="1"/>
      <c r="AB216" s="1"/>
      <c r="AC216" s="116">
        <v>0</v>
      </c>
      <c r="AD216" s="117">
        <f t="shared" si="334"/>
        <v>0</v>
      </c>
      <c r="AE216" s="116">
        <v>0</v>
      </c>
      <c r="AF216" s="117">
        <f t="shared" ref="AF216" si="347">IF(ISBLANK(AE216),"",INDEX($A216:$AA216,1,MATCH(AE$3,$A$3:$AA$3,0))-AE216)</f>
        <v>0</v>
      </c>
      <c r="AG216" s="1"/>
      <c r="AH216" s="1"/>
      <c r="AI216" s="1"/>
      <c r="AJ216" s="1"/>
    </row>
    <row r="217" spans="1:36" x14ac:dyDescent="0.25">
      <c r="A217" s="82"/>
      <c r="B217" s="1"/>
      <c r="C217" s="13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76"/>
      <c r="AD217" s="77" t="str">
        <f t="shared" si="334"/>
        <v/>
      </c>
      <c r="AE217" s="76"/>
      <c r="AF217" s="77" t="str">
        <f t="shared" ref="AF217" si="348">IF(ISBLANK(AE217),"",INDEX($A217:$AA217,1,MATCH(AE$3,$A$3:$AA$3,0))-AE217)</f>
        <v/>
      </c>
      <c r="AG217" s="1"/>
      <c r="AH217" s="1"/>
      <c r="AI217" s="1"/>
      <c r="AJ217" s="1"/>
    </row>
    <row r="218" spans="1:36" x14ac:dyDescent="0.25">
      <c r="A218" s="82"/>
      <c r="B218" s="40" t="s">
        <v>464</v>
      </c>
      <c r="C218" s="5" t="s">
        <v>457</v>
      </c>
      <c r="D218" s="144"/>
      <c r="E218" s="144"/>
      <c r="F218" s="144"/>
      <c r="G218" s="144"/>
      <c r="H218" s="144"/>
      <c r="I218" s="144">
        <v>0</v>
      </c>
      <c r="J218" s="144">
        <v>0</v>
      </c>
      <c r="K218" s="144">
        <v>0</v>
      </c>
      <c r="L218" s="177">
        <f t="shared" ref="L218:N218" si="349">L192+L205+L214</f>
        <v>2188985</v>
      </c>
      <c r="M218" s="177">
        <f t="shared" si="349"/>
        <v>1499179</v>
      </c>
      <c r="N218" s="177">
        <f t="shared" si="349"/>
        <v>544025</v>
      </c>
      <c r="O218" s="177">
        <f>O192+O205+O214</f>
        <v>4309964</v>
      </c>
      <c r="P218" s="177">
        <f t="shared" ref="P218:Z218" si="350">P192+P205+P214</f>
        <v>1386109.393421778</v>
      </c>
      <c r="Q218" s="177">
        <f t="shared" si="350"/>
        <v>589458.32077086531</v>
      </c>
      <c r="R218" s="177">
        <f t="shared" si="350"/>
        <v>16806.700022035744</v>
      </c>
      <c r="S218" s="177">
        <f t="shared" si="350"/>
        <v>323828.86688373983</v>
      </c>
      <c r="T218" s="177">
        <f t="shared" si="350"/>
        <v>630104.65233465796</v>
      </c>
      <c r="U218" s="177">
        <f t="shared" si="350"/>
        <v>963382.26944022626</v>
      </c>
      <c r="V218" s="177">
        <f t="shared" si="350"/>
        <v>1368596.1739851302</v>
      </c>
      <c r="W218" s="177">
        <f t="shared" si="350"/>
        <v>1864886.1263042307</v>
      </c>
      <c r="X218" s="177">
        <f t="shared" si="350"/>
        <v>2476928.2125294087</v>
      </c>
      <c r="Y218" s="177">
        <f t="shared" si="350"/>
        <v>3236513.4083851557</v>
      </c>
      <c r="Z218" s="177">
        <f t="shared" si="350"/>
        <v>-4357663.4716186319</v>
      </c>
      <c r="AA218" s="1"/>
      <c r="AB218" s="1"/>
      <c r="AC218" s="176">
        <v>878737.03973730956</v>
      </c>
      <c r="AD218" s="146">
        <f t="shared" si="334"/>
        <v>507372.35368446843</v>
      </c>
      <c r="AE218" s="176">
        <v>577166.30340809631</v>
      </c>
      <c r="AF218" s="146">
        <f t="shared" ref="AF218" si="351">IF(ISBLANK(AE218),"",INDEX($A218:$AA218,1,MATCH(AE$3,$A$3:$AA$3,0))-AE218)</f>
        <v>12292.017362768995</v>
      </c>
      <c r="AG218" s="1"/>
      <c r="AH218" s="1"/>
      <c r="AI218" s="1"/>
      <c r="AJ218" s="1"/>
    </row>
    <row r="219" spans="1:36" x14ac:dyDescent="0.25">
      <c r="A219" s="82"/>
      <c r="B219" s="17"/>
      <c r="C219" s="131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1"/>
      <c r="AB219" s="1"/>
      <c r="AC219" s="84"/>
      <c r="AD219" s="85" t="str">
        <f t="shared" si="334"/>
        <v/>
      </c>
      <c r="AE219" s="84"/>
      <c r="AF219" s="85" t="str">
        <f t="shared" ref="AF219" si="352">IF(ISBLANK(AE219),"",INDEX($A219:$AA219,1,MATCH(AE$3,$A$3:$AA$3,0))-AE219)</f>
        <v/>
      </c>
      <c r="AG219" s="1"/>
      <c r="AH219" s="1"/>
      <c r="AI219" s="1"/>
      <c r="AJ219" s="1"/>
    </row>
    <row r="220" spans="1:36" x14ac:dyDescent="0.25">
      <c r="A220" s="82"/>
      <c r="B220" s="86" t="s">
        <v>465</v>
      </c>
      <c r="C220" s="171"/>
      <c r="D220" s="180"/>
      <c r="E220" s="180"/>
      <c r="F220" s="180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  <c r="AA220" s="1"/>
      <c r="AB220" s="1"/>
      <c r="AC220" s="90"/>
      <c r="AD220" s="91" t="str">
        <f t="shared" si="334"/>
        <v/>
      </c>
      <c r="AE220" s="90"/>
      <c r="AF220" s="91" t="str">
        <f t="shared" ref="AF220" si="353">IF(ISBLANK(AE220),"",INDEX($A220:$AA220,1,MATCH(AE$3,$A$3:$AA$3,0))-AE220)</f>
        <v/>
      </c>
      <c r="AG220" s="1"/>
      <c r="AH220" s="1"/>
      <c r="AI220" s="1"/>
      <c r="AJ220" s="1"/>
    </row>
    <row r="221" spans="1:36" x14ac:dyDescent="0.25">
      <c r="A221" s="82"/>
      <c r="B221" s="95" t="s">
        <v>466</v>
      </c>
      <c r="C221" s="13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76"/>
      <c r="AD221" s="77" t="str">
        <f t="shared" si="334"/>
        <v/>
      </c>
      <c r="AE221" s="76"/>
      <c r="AF221" s="77" t="str">
        <f t="shared" ref="AF221" si="354">IF(ISBLANK(AE221),"",INDEX($A221:$AA221,1,MATCH(AE$3,$A$3:$AA$3,0))-AE221)</f>
        <v/>
      </c>
      <c r="AG221" s="1"/>
      <c r="AH221" s="1"/>
      <c r="AI221" s="1"/>
      <c r="AJ221" s="1"/>
    </row>
    <row r="222" spans="1:36" x14ac:dyDescent="0.25">
      <c r="A222" s="82"/>
      <c r="B222" s="92" t="s">
        <v>467</v>
      </c>
      <c r="C222" s="93" t="s">
        <v>457</v>
      </c>
      <c r="D222" s="2"/>
      <c r="E222" s="2"/>
      <c r="F222" s="2"/>
      <c r="G222" s="2"/>
      <c r="H222" s="2">
        <v>0</v>
      </c>
      <c r="I222" s="2">
        <v>0</v>
      </c>
      <c r="J222" s="2">
        <v>0</v>
      </c>
      <c r="K222" s="2">
        <v>0</v>
      </c>
      <c r="L222" s="186">
        <v>847830</v>
      </c>
      <c r="M222" s="186">
        <v>175903</v>
      </c>
      <c r="N222" s="186">
        <v>100961</v>
      </c>
      <c r="O222" s="186">
        <v>1707350</v>
      </c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  <c r="AA222" s="1"/>
      <c r="AB222" s="1"/>
      <c r="AC222" s="98"/>
      <c r="AD222" s="99" t="str">
        <f t="shared" si="334"/>
        <v/>
      </c>
      <c r="AE222" s="98"/>
      <c r="AF222" s="99" t="str">
        <f t="shared" ref="AF222" si="355">IF(ISBLANK(AE222),"",INDEX($A222:$AA222,1,MATCH(AE$3,$A$3:$AA$3,0))-AE222)</f>
        <v/>
      </c>
      <c r="AG222" s="1"/>
      <c r="AH222" s="1"/>
      <c r="AI222" s="1"/>
      <c r="AJ222" s="1"/>
    </row>
    <row r="223" spans="1:36" x14ac:dyDescent="0.25">
      <c r="A223" s="82"/>
      <c r="B223" s="92" t="s">
        <v>468</v>
      </c>
      <c r="C223" s="93" t="s">
        <v>457</v>
      </c>
      <c r="D223" s="2"/>
      <c r="E223" s="2"/>
      <c r="F223" s="2"/>
      <c r="G223" s="2"/>
      <c r="H223" s="2">
        <v>0</v>
      </c>
      <c r="I223" s="2">
        <v>0</v>
      </c>
      <c r="J223" s="2">
        <v>0</v>
      </c>
      <c r="K223" s="2">
        <v>0</v>
      </c>
      <c r="L223" s="186">
        <v>134320</v>
      </c>
      <c r="M223" s="186">
        <v>170815</v>
      </c>
      <c r="N223" s="186">
        <v>151151</v>
      </c>
      <c r="O223" s="186">
        <v>153947</v>
      </c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  <c r="AA223" s="1"/>
      <c r="AB223" s="1"/>
      <c r="AC223" s="98"/>
      <c r="AD223" s="99" t="str">
        <f t="shared" si="334"/>
        <v/>
      </c>
      <c r="AE223" s="98"/>
      <c r="AF223" s="99" t="str">
        <f t="shared" ref="AF223" si="356">IF(ISBLANK(AE223),"",INDEX($A223:$AA223,1,MATCH(AE$3,$A$3:$AA$3,0))-AE223)</f>
        <v/>
      </c>
      <c r="AG223" s="1"/>
      <c r="AH223" s="1"/>
      <c r="AI223" s="1"/>
      <c r="AJ223" s="1"/>
    </row>
    <row r="224" spans="1:36" x14ac:dyDescent="0.25">
      <c r="A224" s="82"/>
      <c r="B224" s="100" t="s">
        <v>466</v>
      </c>
      <c r="C224" s="5" t="s">
        <v>457</v>
      </c>
      <c r="D224" s="144"/>
      <c r="E224" s="144"/>
      <c r="F224" s="144"/>
      <c r="G224" s="144"/>
      <c r="H224" s="144">
        <v>0</v>
      </c>
      <c r="I224" s="144">
        <v>0</v>
      </c>
      <c r="J224" s="144">
        <v>0</v>
      </c>
      <c r="K224" s="144">
        <v>0</v>
      </c>
      <c r="L224" s="185">
        <v>713510</v>
      </c>
      <c r="M224" s="185">
        <v>5088</v>
      </c>
      <c r="N224" s="185">
        <v>-50190</v>
      </c>
      <c r="O224" s="185">
        <v>1553403</v>
      </c>
      <c r="P224" s="185"/>
      <c r="Q224" s="185"/>
      <c r="R224" s="185"/>
      <c r="S224" s="185"/>
      <c r="T224" s="185"/>
      <c r="U224" s="185"/>
      <c r="V224" s="185"/>
      <c r="W224" s="185"/>
      <c r="X224" s="185"/>
      <c r="Y224" s="185"/>
      <c r="Z224" s="185"/>
      <c r="AA224" s="1"/>
      <c r="AB224" s="1"/>
      <c r="AC224" s="103"/>
      <c r="AD224" s="104" t="str">
        <f t="shared" si="334"/>
        <v/>
      </c>
      <c r="AE224" s="103"/>
      <c r="AF224" s="104" t="str">
        <f t="shared" ref="AF224" si="357">IF(ISBLANK(AE224),"",INDEX($A224:$AA224,1,MATCH(AE$3,$A$3:$AA$3,0))-AE224)</f>
        <v/>
      </c>
      <c r="AG224" s="1"/>
      <c r="AH224" s="1"/>
      <c r="AI224" s="1"/>
      <c r="AJ224" s="1"/>
    </row>
    <row r="225" spans="1:36" x14ac:dyDescent="0.25">
      <c r="A225" s="82"/>
      <c r="B225" s="100" t="s">
        <v>469</v>
      </c>
      <c r="C225" s="5" t="s">
        <v>457</v>
      </c>
      <c r="D225" s="144"/>
      <c r="E225" s="144"/>
      <c r="F225" s="144"/>
      <c r="G225" s="144"/>
      <c r="H225" s="144" t="e">
        <v>#DIV/0!</v>
      </c>
      <c r="I225" s="144" t="e">
        <v>#DIV/0!</v>
      </c>
      <c r="J225" s="144" t="e">
        <v>#DIV/0!</v>
      </c>
      <c r="K225" s="144" t="e">
        <v>#DIV/0!</v>
      </c>
      <c r="L225" s="185">
        <v>1556.41</v>
      </c>
      <c r="M225" s="144">
        <v>8.7899999999999991</v>
      </c>
      <c r="N225" s="144">
        <v>-82.43</v>
      </c>
      <c r="O225" s="185">
        <v>2517.6999999999998</v>
      </c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"/>
      <c r="AB225" s="1"/>
      <c r="AC225" s="103"/>
      <c r="AD225" s="146" t="str">
        <f t="shared" si="334"/>
        <v/>
      </c>
      <c r="AE225" s="103"/>
      <c r="AF225" s="146" t="str">
        <f t="shared" ref="AF225" si="358">IF(ISBLANK(AE225),"",INDEX($A225:$AA225,1,MATCH(AE$3,$A$3:$AA$3,0))-AE225)</f>
        <v/>
      </c>
      <c r="AG225" s="1"/>
      <c r="AH225" s="1"/>
      <c r="AI225" s="1"/>
      <c r="AJ225" s="1"/>
    </row>
    <row r="226" spans="1:36" x14ac:dyDescent="0.25">
      <c r="A226" s="82"/>
      <c r="B226" s="92" t="s">
        <v>470</v>
      </c>
      <c r="C226" s="93" t="s">
        <v>7</v>
      </c>
      <c r="D226" s="2"/>
      <c r="E226" s="2"/>
      <c r="F226" s="2"/>
      <c r="G226" s="2"/>
      <c r="H226" s="2" t="e">
        <v>#DIV/0!</v>
      </c>
      <c r="I226" s="2" t="e">
        <v>#DIV/0!</v>
      </c>
      <c r="J226" s="2" t="e">
        <v>#DIV/0!</v>
      </c>
      <c r="K226" s="2" t="e">
        <v>#DIV/0!</v>
      </c>
      <c r="L226" s="2" t="e">
        <v>#VALUE!</v>
      </c>
      <c r="M226" s="2" t="e">
        <v>#VALUE!</v>
      </c>
      <c r="N226" s="2" t="e">
        <v>#VALUE!</v>
      </c>
      <c r="O226" s="2" t="e">
        <v>#VALUE!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1"/>
      <c r="AB226" s="1"/>
      <c r="AC226" s="105"/>
      <c r="AD226" s="91" t="str">
        <f t="shared" si="334"/>
        <v/>
      </c>
      <c r="AE226" s="105"/>
      <c r="AF226" s="91" t="str">
        <f t="shared" ref="AF226" si="359">IF(ISBLANK(AE226),"",INDEX($A226:$AA226,1,MATCH(AE$3,$A$3:$AA$3,0))-AE226)</f>
        <v/>
      </c>
      <c r="AG226" s="1"/>
      <c r="AH226" s="1"/>
      <c r="AI226" s="1"/>
      <c r="AJ226" s="1"/>
    </row>
    <row r="227" spans="1:36" x14ac:dyDescent="0.25">
      <c r="A227" s="82"/>
      <c r="B227" s="92" t="s">
        <v>471</v>
      </c>
      <c r="C227" s="93" t="s">
        <v>7</v>
      </c>
      <c r="D227" s="2"/>
      <c r="E227" s="2"/>
      <c r="F227" s="2"/>
      <c r="G227" s="2"/>
      <c r="H227" s="62">
        <v>0</v>
      </c>
      <c r="I227" s="62">
        <v>0</v>
      </c>
      <c r="J227" s="62">
        <v>0</v>
      </c>
      <c r="K227" s="62">
        <v>0</v>
      </c>
      <c r="L227" s="62">
        <v>4.8000000000000001E-2</v>
      </c>
      <c r="M227" s="62">
        <v>0.01</v>
      </c>
      <c r="N227" s="62">
        <v>5.0000000000000001E-3</v>
      </c>
      <c r="O227" s="62">
        <v>7.0999999999999994E-2</v>
      </c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1"/>
      <c r="AB227" s="1"/>
      <c r="AC227" s="105"/>
      <c r="AD227" s="106" t="str">
        <f t="shared" si="334"/>
        <v/>
      </c>
      <c r="AE227" s="105"/>
      <c r="AF227" s="106" t="str">
        <f t="shared" ref="AF227" si="360">IF(ISBLANK(AE227),"",INDEX($A227:$AA227,1,MATCH(AE$3,$A$3:$AA$3,0))-AE227)</f>
        <v/>
      </c>
      <c r="AG227" s="1"/>
      <c r="AH227" s="1"/>
      <c r="AI227" s="1"/>
      <c r="AJ227" s="1"/>
    </row>
    <row r="228" spans="1:36" x14ac:dyDescent="0.25">
      <c r="A228" s="82"/>
      <c r="B228" s="92" t="s">
        <v>452</v>
      </c>
      <c r="C228" s="93" t="s">
        <v>7</v>
      </c>
      <c r="D228" s="2"/>
      <c r="E228" s="2"/>
      <c r="F228" s="2"/>
      <c r="G228" s="2"/>
      <c r="H228" s="62">
        <v>0</v>
      </c>
      <c r="I228" s="62">
        <v>0</v>
      </c>
      <c r="J228" s="62">
        <v>0</v>
      </c>
      <c r="K228" s="62">
        <v>0</v>
      </c>
      <c r="L228" s="62">
        <v>8.0000000000000002E-3</v>
      </c>
      <c r="M228" s="62">
        <v>0.01</v>
      </c>
      <c r="N228" s="62">
        <v>7.0000000000000001E-3</v>
      </c>
      <c r="O228" s="62">
        <v>6.0000000000000001E-3</v>
      </c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1"/>
      <c r="AB228" s="1"/>
      <c r="AC228" s="105"/>
      <c r="AD228" s="106" t="str">
        <f t="shared" si="334"/>
        <v/>
      </c>
      <c r="AE228" s="105"/>
      <c r="AF228" s="106" t="str">
        <f t="shared" ref="AF228" si="361">IF(ISBLANK(AE228),"",INDEX($A228:$AA228,1,MATCH(AE$3,$A$3:$AA$3,0))-AE228)</f>
        <v/>
      </c>
      <c r="AG228" s="1"/>
      <c r="AH228" s="1"/>
      <c r="AI228" s="1"/>
      <c r="AJ228" s="1"/>
    </row>
    <row r="229" spans="1:36" x14ac:dyDescent="0.25">
      <c r="A229" s="82"/>
      <c r="B229" s="92" t="s">
        <v>472</v>
      </c>
      <c r="C229" s="93" t="s">
        <v>7</v>
      </c>
      <c r="D229" s="2"/>
      <c r="E229" s="2"/>
      <c r="F229" s="2"/>
      <c r="G229" s="2"/>
      <c r="H229" s="62">
        <v>0</v>
      </c>
      <c r="I229" s="62">
        <v>0</v>
      </c>
      <c r="J229" s="62">
        <v>0</v>
      </c>
      <c r="K229" s="62">
        <v>0</v>
      </c>
      <c r="L229" s="62">
        <v>0.04</v>
      </c>
      <c r="M229" s="62">
        <v>0</v>
      </c>
      <c r="N229" s="62">
        <v>-2E-3</v>
      </c>
      <c r="O229" s="62">
        <v>6.4000000000000001E-2</v>
      </c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1"/>
      <c r="AB229" s="1"/>
      <c r="AC229" s="105"/>
      <c r="AD229" s="106" t="str">
        <f t="shared" si="334"/>
        <v/>
      </c>
      <c r="AE229" s="105"/>
      <c r="AF229" s="106" t="str">
        <f t="shared" ref="AF229" si="362">IF(ISBLANK(AE229),"",INDEX($A229:$AA229,1,MATCH(AE$3,$A$3:$AA$3,0))-AE229)</f>
        <v/>
      </c>
      <c r="AG229" s="1"/>
      <c r="AH229" s="1"/>
      <c r="AI229" s="1"/>
      <c r="AJ229" s="1"/>
    </row>
    <row r="230" spans="1:36" x14ac:dyDescent="0.25">
      <c r="A230" s="82"/>
      <c r="B230" s="187"/>
      <c r="C230" s="188"/>
      <c r="D230" s="189"/>
      <c r="E230" s="189"/>
      <c r="F230" s="189"/>
      <c r="G230" s="189"/>
      <c r="H230" s="189"/>
      <c r="I230" s="189"/>
      <c r="J230" s="189"/>
      <c r="K230" s="189"/>
      <c r="L230" s="189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  <c r="AA230" s="187"/>
      <c r="AB230" s="187"/>
      <c r="AC230" s="190"/>
      <c r="AD230" s="191" t="str">
        <f t="shared" si="334"/>
        <v/>
      </c>
      <c r="AE230" s="190"/>
      <c r="AF230" s="191" t="str">
        <f t="shared" ref="AF230" si="363">IF(ISBLANK(AE230),"",INDEX($A230:$AA230,1,MATCH(AE$3,$A$3:$AA$3,0))-AE230)</f>
        <v/>
      </c>
      <c r="AG230" s="187"/>
      <c r="AH230" s="187"/>
      <c r="AI230" s="187"/>
      <c r="AJ230" s="187"/>
    </row>
    <row r="231" spans="1:36" x14ac:dyDescent="0.25">
      <c r="A231" s="82"/>
      <c r="B231" s="95" t="s">
        <v>473</v>
      </c>
      <c r="C231" s="13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76"/>
      <c r="AD231" s="77" t="str">
        <f t="shared" si="334"/>
        <v/>
      </c>
      <c r="AE231" s="76"/>
      <c r="AF231" s="77" t="str">
        <f t="shared" ref="AF231" si="364">IF(ISBLANK(AE231),"",INDEX($A231:$AA231,1,MATCH(AE$3,$A$3:$AA$3,0))-AE231)</f>
        <v/>
      </c>
      <c r="AG231" s="1"/>
      <c r="AH231" s="1"/>
      <c r="AI231" s="1"/>
      <c r="AJ231" s="1"/>
    </row>
    <row r="232" spans="1:36" x14ac:dyDescent="0.25">
      <c r="A232" s="82"/>
      <c r="B232" s="92" t="s">
        <v>466</v>
      </c>
      <c r="C232" s="93" t="s">
        <v>457</v>
      </c>
      <c r="D232" s="2"/>
      <c r="E232" s="2"/>
      <c r="F232" s="2"/>
      <c r="G232" s="2"/>
      <c r="H232" s="2">
        <v>0</v>
      </c>
      <c r="I232" s="2">
        <v>0</v>
      </c>
      <c r="J232" s="2">
        <v>0</v>
      </c>
      <c r="K232" s="2">
        <v>0</v>
      </c>
      <c r="L232" s="2">
        <v>713510</v>
      </c>
      <c r="M232" s="2">
        <v>5088</v>
      </c>
      <c r="N232" s="2">
        <v>-50190</v>
      </c>
      <c r="O232" s="2">
        <v>1553403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1"/>
      <c r="AB232" s="1"/>
      <c r="AC232" s="90"/>
      <c r="AD232" s="91" t="str">
        <f t="shared" si="334"/>
        <v/>
      </c>
      <c r="AE232" s="90"/>
      <c r="AF232" s="91" t="str">
        <f t="shared" ref="AF232" si="365">IF(ISBLANK(AE232),"",INDEX($A232:$AA232,1,MATCH(AE$3,$A$3:$AA$3,0))-AE232)</f>
        <v/>
      </c>
      <c r="AG232" s="1"/>
      <c r="AH232" s="1"/>
      <c r="AI232" s="1"/>
      <c r="AJ232" s="1"/>
    </row>
    <row r="233" spans="1:36" x14ac:dyDescent="0.25">
      <c r="A233" s="82"/>
      <c r="B233" s="92" t="s">
        <v>60</v>
      </c>
      <c r="C233" s="93" t="s">
        <v>457</v>
      </c>
      <c r="D233" s="2"/>
      <c r="E233" s="2"/>
      <c r="F233" s="2"/>
      <c r="G233" s="2"/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1"/>
      <c r="AB233" s="1"/>
      <c r="AC233" s="90"/>
      <c r="AD233" s="91" t="str">
        <f t="shared" si="334"/>
        <v/>
      </c>
      <c r="AE233" s="90"/>
      <c r="AF233" s="91" t="str">
        <f t="shared" ref="AF233" si="366">IF(ISBLANK(AE233),"",INDEX($A233:$AA233,1,MATCH(AE$3,$A$3:$AA$3,0))-AE233)</f>
        <v/>
      </c>
      <c r="AG233" s="1"/>
      <c r="AH233" s="1"/>
      <c r="AI233" s="1"/>
      <c r="AJ233" s="1"/>
    </row>
    <row r="234" spans="1:36" x14ac:dyDescent="0.25">
      <c r="A234" s="82"/>
      <c r="B234" s="92" t="s">
        <v>474</v>
      </c>
      <c r="C234" s="93" t="s">
        <v>457</v>
      </c>
      <c r="D234" s="2"/>
      <c r="E234" s="2"/>
      <c r="F234" s="2"/>
      <c r="G234" s="2"/>
      <c r="H234" s="2">
        <v>0</v>
      </c>
      <c r="I234" s="2">
        <v>0</v>
      </c>
      <c r="J234" s="2">
        <v>0</v>
      </c>
      <c r="K234" s="2">
        <v>0</v>
      </c>
      <c r="L234" s="2">
        <v>163970</v>
      </c>
      <c r="M234" s="2">
        <v>-539453</v>
      </c>
      <c r="N234" s="2">
        <v>4969</v>
      </c>
      <c r="O234" s="2">
        <v>53934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1"/>
      <c r="AB234" s="1"/>
      <c r="AC234" s="90"/>
      <c r="AD234" s="91" t="str">
        <f t="shared" si="334"/>
        <v/>
      </c>
      <c r="AE234" s="90"/>
      <c r="AF234" s="91" t="str">
        <f t="shared" ref="AF234" si="367">IF(ISBLANK(AE234),"",INDEX($A234:$AA234,1,MATCH(AE$3,$A$3:$AA$3,0))-AE234)</f>
        <v/>
      </c>
      <c r="AG234" s="1"/>
      <c r="AH234" s="1"/>
      <c r="AI234" s="1"/>
      <c r="AJ234" s="1"/>
    </row>
    <row r="235" spans="1:36" x14ac:dyDescent="0.25">
      <c r="A235" s="82"/>
      <c r="B235" s="92" t="s">
        <v>475</v>
      </c>
      <c r="C235" s="93" t="s">
        <v>457</v>
      </c>
      <c r="D235" s="2"/>
      <c r="E235" s="2"/>
      <c r="F235" s="2"/>
      <c r="G235" s="2"/>
      <c r="H235" s="2">
        <v>0</v>
      </c>
      <c r="I235" s="2">
        <v>0</v>
      </c>
      <c r="J235" s="2">
        <v>0</v>
      </c>
      <c r="K235" s="2">
        <v>0</v>
      </c>
      <c r="L235" s="2">
        <v>549540</v>
      </c>
      <c r="M235" s="2">
        <v>544541</v>
      </c>
      <c r="N235" s="2">
        <v>-55159</v>
      </c>
      <c r="O235" s="2">
        <v>1499469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1"/>
      <c r="AB235" s="1"/>
      <c r="AC235" s="90"/>
      <c r="AD235" s="91" t="str">
        <f t="shared" si="334"/>
        <v/>
      </c>
      <c r="AE235" s="90"/>
      <c r="AF235" s="91" t="str">
        <f t="shared" ref="AF235" si="368">IF(ISBLANK(AE235),"",INDEX($A235:$AA235,1,MATCH(AE$3,$A$3:$AA$3,0))-AE235)</f>
        <v/>
      </c>
      <c r="AG235" s="1"/>
      <c r="AH235" s="1"/>
      <c r="AI235" s="1"/>
      <c r="AJ235" s="1"/>
    </row>
    <row r="236" spans="1:36" x14ac:dyDescent="0.25">
      <c r="A236" s="82"/>
      <c r="B236" s="92" t="s">
        <v>476</v>
      </c>
      <c r="C236" s="93" t="s">
        <v>11</v>
      </c>
      <c r="D236" s="2"/>
      <c r="E236" s="2"/>
      <c r="F236" s="2"/>
      <c r="G236" s="2"/>
      <c r="H236" s="2" t="e">
        <v>#REF!</v>
      </c>
      <c r="I236" s="2" t="e">
        <v>#REF!</v>
      </c>
      <c r="J236" s="2" t="e">
        <v>#REF!</v>
      </c>
      <c r="K236" s="2" t="e">
        <v>#REF!</v>
      </c>
      <c r="L236" s="2" t="e">
        <v>#REF!</v>
      </c>
      <c r="M236" s="2" t="e">
        <v>#REF!</v>
      </c>
      <c r="N236" s="2" t="e">
        <v>#REF!</v>
      </c>
      <c r="O236" s="2" t="e">
        <v>#REF!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1"/>
      <c r="AB236" s="1"/>
      <c r="AC236" s="90"/>
      <c r="AD236" s="91" t="str">
        <f t="shared" si="334"/>
        <v/>
      </c>
      <c r="AE236" s="90"/>
      <c r="AF236" s="91" t="str">
        <f t="shared" ref="AF236" si="369">IF(ISBLANK(AE236),"",INDEX($A236:$AA236,1,MATCH(AE$3,$A$3:$AA$3,0))-AE236)</f>
        <v/>
      </c>
      <c r="AG236" s="1"/>
      <c r="AH236" s="1"/>
      <c r="AI236" s="1"/>
      <c r="AJ236" s="1"/>
    </row>
    <row r="237" spans="1:36" x14ac:dyDescent="0.25">
      <c r="A237" s="82"/>
      <c r="B237" s="187"/>
      <c r="C237" s="188"/>
      <c r="D237" s="189"/>
      <c r="E237" s="189"/>
      <c r="F237" s="189"/>
      <c r="G237" s="189"/>
      <c r="H237" s="189"/>
      <c r="I237" s="189"/>
      <c r="J237" s="189"/>
      <c r="K237" s="189"/>
      <c r="L237" s="189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  <c r="AA237" s="187"/>
      <c r="AB237" s="187"/>
      <c r="AC237" s="190"/>
      <c r="AD237" s="191" t="str">
        <f t="shared" si="334"/>
        <v/>
      </c>
      <c r="AE237" s="190"/>
      <c r="AF237" s="191" t="str">
        <f t="shared" ref="AF237" si="370">IF(ISBLANK(AE237),"",INDEX($A237:$AA237,1,MATCH(AE$3,$A$3:$AA$3,0))-AE237)</f>
        <v/>
      </c>
      <c r="AG237" s="187"/>
      <c r="AH237" s="187"/>
      <c r="AI237" s="187"/>
      <c r="AJ237" s="187"/>
    </row>
    <row r="238" spans="1:36" x14ac:dyDescent="0.25">
      <c r="A238" s="82"/>
      <c r="B238" s="95" t="s">
        <v>473</v>
      </c>
      <c r="C238" s="13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76"/>
      <c r="AD238" s="77" t="str">
        <f t="shared" si="334"/>
        <v/>
      </c>
      <c r="AE238" s="76"/>
      <c r="AF238" s="77" t="str">
        <f t="shared" ref="AF238" si="371">IF(ISBLANK(AE238),"",INDEX($A238:$AA238,1,MATCH(AE$3,$A$3:$AA$3,0))-AE238)</f>
        <v/>
      </c>
      <c r="AG238" s="1"/>
      <c r="AH238" s="1"/>
      <c r="AI238" s="1"/>
      <c r="AJ238" s="1"/>
    </row>
    <row r="239" spans="1:36" x14ac:dyDescent="0.25">
      <c r="A239" s="82"/>
      <c r="B239" s="92" t="s">
        <v>104</v>
      </c>
      <c r="C239" s="93" t="s">
        <v>457</v>
      </c>
      <c r="D239" s="2"/>
      <c r="E239" s="2"/>
      <c r="F239" s="2"/>
      <c r="G239" s="2"/>
      <c r="H239" s="2">
        <v>114961</v>
      </c>
      <c r="I239" s="2">
        <v>224368</v>
      </c>
      <c r="J239" s="2">
        <v>383164</v>
      </c>
      <c r="K239" s="2">
        <v>420351</v>
      </c>
      <c r="L239" s="2">
        <v>891466</v>
      </c>
      <c r="M239" s="2">
        <v>608102</v>
      </c>
      <c r="N239" s="2">
        <v>1127088</v>
      </c>
      <c r="O239" s="2">
        <v>2140766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1"/>
      <c r="AB239" s="1"/>
      <c r="AC239" s="90"/>
      <c r="AD239" s="91" t="str">
        <f t="shared" si="334"/>
        <v/>
      </c>
      <c r="AE239" s="90"/>
      <c r="AF239" s="91" t="str">
        <f t="shared" ref="AF239" si="372">IF(ISBLANK(AE239),"",INDEX($A239:$AA239,1,MATCH(AE$3,$A$3:$AA$3,0))-AE239)</f>
        <v/>
      </c>
      <c r="AG239" s="1"/>
      <c r="AH239" s="1"/>
      <c r="AI239" s="1"/>
      <c r="AJ239" s="1"/>
    </row>
    <row r="240" spans="1:36" x14ac:dyDescent="0.25">
      <c r="A240" s="82"/>
      <c r="B240" s="92" t="s">
        <v>466</v>
      </c>
      <c r="C240" s="93" t="s">
        <v>457</v>
      </c>
      <c r="D240" s="2"/>
      <c r="E240" s="2"/>
      <c r="F240" s="2"/>
      <c r="G240" s="2"/>
      <c r="H240" s="2">
        <v>0</v>
      </c>
      <c r="I240" s="2">
        <v>0</v>
      </c>
      <c r="J240" s="2">
        <v>0</v>
      </c>
      <c r="K240" s="2">
        <v>0</v>
      </c>
      <c r="L240" s="2">
        <v>713510</v>
      </c>
      <c r="M240" s="2">
        <v>5088</v>
      </c>
      <c r="N240" s="2">
        <v>-50190</v>
      </c>
      <c r="O240" s="2">
        <v>1553403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1"/>
      <c r="AB240" s="1"/>
      <c r="AC240" s="90"/>
      <c r="AD240" s="91" t="str">
        <f t="shared" si="334"/>
        <v/>
      </c>
      <c r="AE240" s="90"/>
      <c r="AF240" s="91" t="str">
        <f t="shared" ref="AF240" si="373">IF(ISBLANK(AE240),"",INDEX($A240:$AA240,1,MATCH(AE$3,$A$3:$AA$3,0))-AE240)</f>
        <v/>
      </c>
      <c r="AG240" s="1"/>
      <c r="AH240" s="1"/>
      <c r="AI240" s="1"/>
      <c r="AJ240" s="1"/>
    </row>
    <row r="241" spans="1:36" x14ac:dyDescent="0.25">
      <c r="A241" s="82"/>
      <c r="B241" s="92" t="s">
        <v>477</v>
      </c>
      <c r="C241" s="93" t="s">
        <v>457</v>
      </c>
      <c r="D241" s="2"/>
      <c r="E241" s="2"/>
      <c r="F241" s="2"/>
      <c r="G241" s="2"/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1"/>
      <c r="AB241" s="1"/>
      <c r="AC241" s="90"/>
      <c r="AD241" s="91" t="str">
        <f t="shared" si="334"/>
        <v/>
      </c>
      <c r="AE241" s="90"/>
      <c r="AF241" s="91" t="str">
        <f t="shared" ref="AF241" si="374">IF(ISBLANK(AE241),"",INDEX($A241:$AA241,1,MATCH(AE$3,$A$3:$AA$3,0))-AE241)</f>
        <v/>
      </c>
      <c r="AG241" s="1"/>
      <c r="AH241" s="1"/>
      <c r="AI241" s="1"/>
      <c r="AJ241" s="1"/>
    </row>
    <row r="242" spans="1:36" x14ac:dyDescent="0.25">
      <c r="A242" s="82"/>
      <c r="B242" s="92" t="s">
        <v>478</v>
      </c>
      <c r="C242" s="93" t="s">
        <v>7</v>
      </c>
      <c r="D242" s="2"/>
      <c r="E242" s="2"/>
      <c r="F242" s="2"/>
      <c r="G242" s="2"/>
      <c r="H242" s="50">
        <v>0</v>
      </c>
      <c r="I242" s="50">
        <v>0</v>
      </c>
      <c r="J242" s="50">
        <v>0</v>
      </c>
      <c r="K242" s="50">
        <v>0</v>
      </c>
      <c r="L242" s="50">
        <v>0</v>
      </c>
      <c r="M242" s="50">
        <v>6.76</v>
      </c>
      <c r="N242" s="50">
        <v>3.66</v>
      </c>
      <c r="O242" s="50">
        <v>2.39</v>
      </c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1"/>
      <c r="AB242" s="1"/>
      <c r="AC242" s="116"/>
      <c r="AD242" s="117" t="str">
        <f t="shared" si="334"/>
        <v/>
      </c>
      <c r="AE242" s="116"/>
      <c r="AF242" s="117" t="str">
        <f t="shared" ref="AF242" si="375">IF(ISBLANK(AE242),"",INDEX($A242:$AA242,1,MATCH(AE$3,$A$3:$AA$3,0))-AE242)</f>
        <v/>
      </c>
      <c r="AG242" s="1"/>
      <c r="AH242" s="1"/>
      <c r="AI242" s="1"/>
      <c r="AJ242" s="1"/>
    </row>
    <row r="243" spans="1:36" x14ac:dyDescent="0.25">
      <c r="A243" s="82"/>
      <c r="B243" s="92" t="s">
        <v>479</v>
      </c>
      <c r="C243" s="93" t="s">
        <v>7</v>
      </c>
      <c r="D243" s="2"/>
      <c r="E243" s="2"/>
      <c r="F243" s="2"/>
      <c r="G243" s="2"/>
      <c r="H243" s="2" t="e">
        <v>#DIV/0!</v>
      </c>
      <c r="I243" s="2" t="e">
        <v>#DIV/0!</v>
      </c>
      <c r="J243" s="2" t="e">
        <v>#DIV/0!</v>
      </c>
      <c r="K243" s="2" t="e">
        <v>#DIV/0!</v>
      </c>
      <c r="L243" s="50">
        <v>0</v>
      </c>
      <c r="M243" s="50">
        <v>807.75</v>
      </c>
      <c r="N243" s="50">
        <v>-82.09</v>
      </c>
      <c r="O243" s="50">
        <v>3.29</v>
      </c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1"/>
      <c r="AB243" s="1"/>
      <c r="AC243" s="116"/>
      <c r="AD243" s="117" t="str">
        <f t="shared" si="334"/>
        <v/>
      </c>
      <c r="AE243" s="116"/>
      <c r="AF243" s="117" t="str">
        <f t="shared" ref="AF243" si="376">IF(ISBLANK(AE243),"",INDEX($A243:$AA243,1,MATCH(AE$3,$A$3:$AA$3,0))-AE243)</f>
        <v/>
      </c>
      <c r="AG243" s="1"/>
      <c r="AH243" s="1"/>
      <c r="AI243" s="1"/>
      <c r="AJ243" s="1"/>
    </row>
    <row r="244" spans="1:36" x14ac:dyDescent="0.25">
      <c r="A244" s="82"/>
      <c r="B244" s="17"/>
      <c r="C244" s="131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1"/>
      <c r="AB244" s="1"/>
      <c r="AC244" s="84"/>
      <c r="AD244" s="85" t="str">
        <f t="shared" si="334"/>
        <v/>
      </c>
      <c r="AE244" s="84"/>
      <c r="AF244" s="85" t="str">
        <f t="shared" ref="AF244" si="377">IF(ISBLANK(AE244),"",INDEX($A244:$AA244,1,MATCH(AE$3,$A$3:$AA$3,0))-AE244)</f>
        <v/>
      </c>
      <c r="AG244" s="1"/>
      <c r="AH244" s="1"/>
      <c r="AI244" s="1"/>
      <c r="AJ244" s="1"/>
    </row>
    <row r="245" spans="1:36" x14ac:dyDescent="0.25">
      <c r="A245" s="82"/>
      <c r="B245" s="86" t="s">
        <v>480</v>
      </c>
      <c r="C245" s="171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>
        <v>1</v>
      </c>
      <c r="Q245" s="180">
        <v>2</v>
      </c>
      <c r="R245" s="180">
        <v>3</v>
      </c>
      <c r="S245" s="180">
        <v>4</v>
      </c>
      <c r="T245" s="180">
        <v>5</v>
      </c>
      <c r="U245" s="180">
        <v>6</v>
      </c>
      <c r="V245" s="180">
        <v>7</v>
      </c>
      <c r="W245" s="180">
        <v>8</v>
      </c>
      <c r="X245" s="180">
        <v>9</v>
      </c>
      <c r="Y245" s="180">
        <v>10</v>
      </c>
      <c r="Z245" s="180">
        <v>11</v>
      </c>
      <c r="AA245" s="1"/>
      <c r="AB245" s="1"/>
      <c r="AC245" s="90">
        <v>1</v>
      </c>
      <c r="AD245" s="91">
        <f t="shared" si="334"/>
        <v>0</v>
      </c>
      <c r="AE245" s="90">
        <v>2</v>
      </c>
      <c r="AF245" s="91">
        <f t="shared" ref="AF245" si="378">IF(ISBLANK(AE245),"",INDEX($A245:$AA245,1,MATCH(AE$3,$A$3:$AA$3,0))-AE245)</f>
        <v>0</v>
      </c>
      <c r="AG245" s="1"/>
      <c r="AH245" s="1"/>
      <c r="AI245" s="1"/>
      <c r="AJ245" s="1"/>
    </row>
    <row r="246" spans="1:36" x14ac:dyDescent="0.25">
      <c r="A246" s="82"/>
      <c r="B246" s="92" t="s">
        <v>481</v>
      </c>
      <c r="C246" s="93" t="s">
        <v>7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50">
        <f>(1+Value!$K$7)^Annual!P245</f>
        <v>1.1120000000000001</v>
      </c>
      <c r="Q246" s="50">
        <f>(1+Value!$K$7)^Annual!Q245</f>
        <v>1.2365440000000003</v>
      </c>
      <c r="R246" s="50">
        <f>(1+Value!$K$7)^Annual!R245</f>
        <v>1.3750369280000005</v>
      </c>
      <c r="S246" s="50">
        <f>(1+Value!$K$7)^Annual!S245</f>
        <v>1.5290410639360008</v>
      </c>
      <c r="T246" s="50">
        <f>(1+Value!$K$7)^Annual!T245</f>
        <v>1.7002936630968331</v>
      </c>
      <c r="U246" s="50">
        <f>(1+Value!$K$7)^Annual!U245</f>
        <v>1.8907265533636786</v>
      </c>
      <c r="V246" s="50">
        <f>(1+Value!$K$7)^Annual!V245</f>
        <v>2.1024879273404111</v>
      </c>
      <c r="W246" s="50">
        <f>(1+Value!$K$7)^Annual!W245</f>
        <v>2.3379665752025374</v>
      </c>
      <c r="X246" s="50">
        <f>(1+Value!$K$7)^Annual!X245</f>
        <v>2.599818831625222</v>
      </c>
      <c r="Y246" s="50">
        <f>(1+Value!$K$7)^Annual!Y245</f>
        <v>2.8909985407672472</v>
      </c>
      <c r="Z246" s="50">
        <f>(1+Value!$K$7)^Annual!Z245</f>
        <v>3.2147903773331792</v>
      </c>
      <c r="AA246" s="1"/>
      <c r="AB246" s="1"/>
      <c r="AC246" s="116">
        <v>1.1179999999999999</v>
      </c>
      <c r="AD246" s="117">
        <f t="shared" si="334"/>
        <v>-5.9999999999997833E-3</v>
      </c>
      <c r="AE246" s="116">
        <v>1.2499239999999998</v>
      </c>
      <c r="AF246" s="117">
        <f t="shared" ref="AF246" si="379">IF(ISBLANK(AE246),"",INDEX($A246:$AA246,1,MATCH(AE$3,$A$3:$AA$3,0))-AE246)</f>
        <v>-1.3379999999999503E-2</v>
      </c>
      <c r="AG246" s="1"/>
      <c r="AH246" s="1"/>
      <c r="AI246" s="1"/>
      <c r="AJ246" s="1"/>
    </row>
    <row r="247" spans="1:36" x14ac:dyDescent="0.25">
      <c r="A247" s="82"/>
      <c r="B247" s="92" t="s">
        <v>482</v>
      </c>
      <c r="C247" s="5" t="s">
        <v>369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339">
        <f>P98</f>
        <v>0</v>
      </c>
      <c r="Q247" s="339">
        <f t="shared" ref="Q247:Z247" si="380">Q98</f>
        <v>0</v>
      </c>
      <c r="R247" s="339">
        <f t="shared" si="380"/>
        <v>0</v>
      </c>
      <c r="S247" s="339">
        <f t="shared" si="380"/>
        <v>0</v>
      </c>
      <c r="T247" s="339">
        <f t="shared" si="380"/>
        <v>0</v>
      </c>
      <c r="U247" s="339">
        <f t="shared" si="380"/>
        <v>0</v>
      </c>
      <c r="V247" s="339">
        <f t="shared" si="380"/>
        <v>0</v>
      </c>
      <c r="W247" s="339">
        <f t="shared" si="380"/>
        <v>0</v>
      </c>
      <c r="X247" s="339">
        <f t="shared" si="380"/>
        <v>0</v>
      </c>
      <c r="Y247" s="339">
        <f t="shared" si="380"/>
        <v>0</v>
      </c>
      <c r="Z247" s="339">
        <f t="shared" si="380"/>
        <v>16.686541758924434</v>
      </c>
      <c r="AA247" s="1"/>
      <c r="AB247" s="1"/>
      <c r="AC247" s="90">
        <v>0</v>
      </c>
      <c r="AD247" s="91">
        <f t="shared" si="334"/>
        <v>0</v>
      </c>
      <c r="AE247" s="90">
        <v>0</v>
      </c>
      <c r="AF247" s="91">
        <f t="shared" ref="AF247" si="381">IF(ISBLANK(AE247),"",INDEX($A247:$AA247,1,MATCH(AE$3,$A$3:$AA$3,0))-AE247)</f>
        <v>0</v>
      </c>
      <c r="AG247" s="1"/>
      <c r="AH247" s="1"/>
      <c r="AI247" s="1"/>
      <c r="AJ247" s="1"/>
    </row>
    <row r="248" spans="1:36" x14ac:dyDescent="0.25">
      <c r="A248" s="82"/>
      <c r="B248" s="92" t="s">
        <v>483</v>
      </c>
      <c r="C248" s="5" t="s">
        <v>369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339">
        <f>Z247/(Value!K7-Value!K10)</f>
        <v>320.89503382546985</v>
      </c>
      <c r="Z248" s="2"/>
      <c r="AA248" s="1"/>
      <c r="AB248" s="1"/>
      <c r="AC248" s="90"/>
      <c r="AD248" s="91" t="str">
        <f t="shared" si="334"/>
        <v/>
      </c>
      <c r="AE248" s="90"/>
      <c r="AF248" s="91" t="str">
        <f t="shared" ref="AF248" si="382">IF(ISBLANK(AE248),"",INDEX($A248:$AA248,1,MATCH(AE$3,$A$3:$AA$3,0))-AE248)</f>
        <v/>
      </c>
      <c r="AG248" s="1"/>
      <c r="AH248" s="1"/>
      <c r="AI248" s="1"/>
      <c r="AJ248" s="1"/>
    </row>
    <row r="249" spans="1:36" x14ac:dyDescent="0.25">
      <c r="A249" s="82"/>
      <c r="B249" s="192" t="s">
        <v>484</v>
      </c>
      <c r="C249" s="5" t="s">
        <v>369</v>
      </c>
      <c r="D249" s="357">
        <f>SUM(P249:Z249)</f>
        <v>116.18854591779044</v>
      </c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356">
        <f>(P247+P248)/P246</f>
        <v>0</v>
      </c>
      <c r="Q249" s="356">
        <f t="shared" ref="Q249:Z249" si="383">(Q247+Q248)/Q246</f>
        <v>0</v>
      </c>
      <c r="R249" s="356">
        <f t="shared" si="383"/>
        <v>0</v>
      </c>
      <c r="S249" s="356">
        <f t="shared" si="383"/>
        <v>0</v>
      </c>
      <c r="T249" s="356">
        <f t="shared" si="383"/>
        <v>0</v>
      </c>
      <c r="U249" s="356">
        <f t="shared" si="383"/>
        <v>0</v>
      </c>
      <c r="V249" s="356">
        <f t="shared" si="383"/>
        <v>0</v>
      </c>
      <c r="W249" s="356">
        <f t="shared" si="383"/>
        <v>0</v>
      </c>
      <c r="X249" s="356">
        <f t="shared" si="383"/>
        <v>0</v>
      </c>
      <c r="Y249" s="356">
        <f t="shared" si="383"/>
        <v>110.99799232008846</v>
      </c>
      <c r="Z249" s="356">
        <f t="shared" si="383"/>
        <v>5.190553597701979</v>
      </c>
      <c r="AA249" s="1"/>
      <c r="AB249" s="1"/>
      <c r="AC249" s="145">
        <v>0</v>
      </c>
      <c r="AD249" s="146">
        <f t="shared" si="334"/>
        <v>0</v>
      </c>
      <c r="AE249" s="145">
        <v>0</v>
      </c>
      <c r="AF249" s="146">
        <f t="shared" ref="AF249" si="384">IF(ISBLANK(AE249),"",INDEX($A249:$AA249,1,MATCH(AE$3,$A$3:$AA$3,0))-AE249)</f>
        <v>0</v>
      </c>
      <c r="AG249" s="1"/>
      <c r="AH249" s="1"/>
      <c r="AI249" s="1"/>
      <c r="AJ249" s="1"/>
    </row>
    <row r="250" spans="1:36" x14ac:dyDescent="0.25">
      <c r="A250" s="82"/>
      <c r="B250" s="179" t="s">
        <v>485</v>
      </c>
      <c r="C250" s="134" t="s">
        <v>11</v>
      </c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 t="e">
        <v>#VALUE!</v>
      </c>
      <c r="Q250" s="72" t="e">
        <v>#VALUE!</v>
      </c>
      <c r="R250" s="72" t="e">
        <v>#VALUE!</v>
      </c>
      <c r="S250" s="72" t="e">
        <v>#VALUE!</v>
      </c>
      <c r="T250" s="72" t="e">
        <v>#VALUE!</v>
      </c>
      <c r="U250" s="72" t="e">
        <v>#VALUE!</v>
      </c>
      <c r="V250" s="72" t="e">
        <v>#VALUE!</v>
      </c>
      <c r="W250" s="72" t="e">
        <v>#VALUE!</v>
      </c>
      <c r="X250" s="72" t="e">
        <v>#VALUE!</v>
      </c>
      <c r="Y250" s="72" t="e">
        <v>#VALUE!</v>
      </c>
      <c r="Z250" s="72" t="e">
        <v>#VALUE!</v>
      </c>
      <c r="AA250" s="1"/>
      <c r="AB250" s="1"/>
      <c r="AC250" s="84" t="e">
        <v>#VALUE!</v>
      </c>
      <c r="AD250" s="85" t="e">
        <f t="shared" si="334"/>
        <v>#VALUE!</v>
      </c>
      <c r="AE250" s="84" t="e">
        <v>#VALUE!</v>
      </c>
      <c r="AF250" s="85" t="e">
        <f t="shared" ref="AF250" si="385">IF(ISBLANK(AE250),"",INDEX($A250:$AA250,1,MATCH(AE$3,$A$3:$AA$3,0))-AE250)</f>
        <v>#VALUE!</v>
      </c>
      <c r="AG250" s="1"/>
      <c r="AH250" s="1"/>
      <c r="AI250" s="1"/>
      <c r="AJ250" s="1"/>
    </row>
    <row r="251" spans="1:36" x14ac:dyDescent="0.25">
      <c r="A251" s="82"/>
      <c r="B251" s="179" t="s">
        <v>486</v>
      </c>
      <c r="C251" s="134" t="s">
        <v>11</v>
      </c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 t="e">
        <v>#VALUE!</v>
      </c>
      <c r="Q251" s="72" t="e">
        <v>#VALUE!</v>
      </c>
      <c r="R251" s="72" t="e">
        <v>#VALUE!</v>
      </c>
      <c r="S251" s="72" t="e">
        <v>#VALUE!</v>
      </c>
      <c r="T251" s="72" t="e">
        <v>#VALUE!</v>
      </c>
      <c r="U251" s="72"/>
      <c r="V251" s="72"/>
      <c r="W251" s="72"/>
      <c r="X251" s="72"/>
      <c r="Y251" s="72"/>
      <c r="Z251" s="72"/>
      <c r="AA251" s="1"/>
      <c r="AB251" s="1"/>
      <c r="AC251" s="84" t="e">
        <v>#VALUE!</v>
      </c>
      <c r="AD251" s="85" t="e">
        <f t="shared" si="334"/>
        <v>#VALUE!</v>
      </c>
      <c r="AE251" s="84" t="e">
        <v>#VALUE!</v>
      </c>
      <c r="AF251" s="85" t="e">
        <f t="shared" ref="AF251" si="386">IF(ISBLANK(AE251),"",INDEX($A251:$AA251,1,MATCH(AE$3,$A$3:$AA$3,0))-AE251)</f>
        <v>#VALUE!</v>
      </c>
      <c r="AG251" s="1"/>
      <c r="AH251" s="1"/>
      <c r="AI251" s="1"/>
      <c r="AJ251" s="1"/>
    </row>
    <row r="252" spans="1:36" x14ac:dyDescent="0.25">
      <c r="A252" s="82"/>
      <c r="B252" s="179" t="s">
        <v>487</v>
      </c>
      <c r="C252" s="134" t="s">
        <v>7</v>
      </c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 t="e">
        <v>#VALUE!</v>
      </c>
      <c r="Q252" s="72" t="e">
        <v>#VALUE!</v>
      </c>
      <c r="R252" s="72" t="e">
        <v>#VALUE!</v>
      </c>
      <c r="S252" s="72" t="e">
        <v>#VALUE!</v>
      </c>
      <c r="T252" s="72" t="e">
        <v>#VALUE!</v>
      </c>
      <c r="U252" s="72" t="e">
        <v>#VALUE!</v>
      </c>
      <c r="V252" s="72" t="e">
        <v>#VALUE!</v>
      </c>
      <c r="W252" s="72" t="e">
        <v>#VALUE!</v>
      </c>
      <c r="X252" s="72" t="e">
        <v>#VALUE!</v>
      </c>
      <c r="Y252" s="72" t="e">
        <v>#VALUE!</v>
      </c>
      <c r="Z252" s="72" t="e">
        <v>#VALUE!</v>
      </c>
      <c r="AA252" s="1"/>
      <c r="AB252" s="1"/>
      <c r="AC252" s="84" t="e">
        <v>#VALUE!</v>
      </c>
      <c r="AD252" s="85" t="e">
        <f t="shared" si="334"/>
        <v>#VALUE!</v>
      </c>
      <c r="AE252" s="84" t="e">
        <v>#VALUE!</v>
      </c>
      <c r="AF252" s="85" t="e">
        <f t="shared" ref="AF252" si="387">IF(ISBLANK(AE252),"",INDEX($A252:$AA252,1,MATCH(AE$3,$A$3:$AA$3,0))-AE252)</f>
        <v>#VALUE!</v>
      </c>
      <c r="AG252" s="1"/>
      <c r="AH252" s="1"/>
      <c r="AI252" s="1"/>
      <c r="AJ252" s="1"/>
    </row>
    <row r="253" spans="1:36" x14ac:dyDescent="0.25">
      <c r="A253" s="82"/>
      <c r="B253" s="179" t="s">
        <v>488</v>
      </c>
      <c r="C253" s="134" t="s">
        <v>7</v>
      </c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 t="e">
        <v>#VALUE!</v>
      </c>
      <c r="Q253" s="72" t="e">
        <v>#VALUE!</v>
      </c>
      <c r="R253" s="72" t="e">
        <v>#VALUE!</v>
      </c>
      <c r="S253" s="72" t="e">
        <v>#VALUE!</v>
      </c>
      <c r="T253" s="72" t="e">
        <v>#VALUE!</v>
      </c>
      <c r="U253" s="72" t="e">
        <v>#VALUE!</v>
      </c>
      <c r="V253" s="72" t="e">
        <v>#VALUE!</v>
      </c>
      <c r="W253" s="72" t="e">
        <v>#VALUE!</v>
      </c>
      <c r="X253" s="72" t="e">
        <v>#VALUE!</v>
      </c>
      <c r="Y253" s="72" t="e">
        <v>#VALUE!</v>
      </c>
      <c r="Z253" s="72" t="e">
        <v>#VALUE!</v>
      </c>
      <c r="AA253" s="1"/>
      <c r="AB253" s="1"/>
      <c r="AC253" s="84" t="e">
        <v>#VALUE!</v>
      </c>
      <c r="AD253" s="85" t="e">
        <f t="shared" si="334"/>
        <v>#VALUE!</v>
      </c>
      <c r="AE253" s="84" t="e">
        <v>#VALUE!</v>
      </c>
      <c r="AF253" s="85" t="e">
        <f t="shared" ref="AF253" si="388">IF(ISBLANK(AE253),"",INDEX($A253:$AA253,1,MATCH(AE$3,$A$3:$AA$3,0))-AE253)</f>
        <v>#VALUE!</v>
      </c>
      <c r="AG253" s="1"/>
      <c r="AH253" s="1"/>
      <c r="AI253" s="1"/>
      <c r="AJ253" s="1"/>
    </row>
    <row r="254" spans="1:36" x14ac:dyDescent="0.25">
      <c r="A254" s="82"/>
      <c r="B254" s="179"/>
      <c r="C254" s="134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1"/>
      <c r="AB254" s="1"/>
      <c r="AC254" s="84"/>
      <c r="AD254" s="85" t="str">
        <f t="shared" si="334"/>
        <v/>
      </c>
      <c r="AE254" s="84"/>
      <c r="AF254" s="85" t="str">
        <f t="shared" ref="AF254" si="389">IF(ISBLANK(AE254),"",INDEX($A254:$AA254,1,MATCH(AE$3,$A$3:$AA$3,0))-AE254)</f>
        <v/>
      </c>
      <c r="AG254" s="1"/>
      <c r="AH254" s="1"/>
      <c r="AI254" s="1"/>
      <c r="AJ254" s="1"/>
    </row>
    <row r="255" spans="1:36" x14ac:dyDescent="0.25">
      <c r="A255" s="82"/>
      <c r="B255" s="86" t="s">
        <v>489</v>
      </c>
      <c r="C255" s="171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  <c r="AA255" s="1"/>
      <c r="AB255" s="1"/>
      <c r="AC255" s="90"/>
      <c r="AD255" s="91" t="str">
        <f t="shared" si="334"/>
        <v/>
      </c>
      <c r="AE255" s="90"/>
      <c r="AF255" s="91" t="str">
        <f t="shared" ref="AF255" si="390">IF(ISBLANK(AE255),"",INDEX($A255:$AA255,1,MATCH(AE$3,$A$3:$AA$3,0))-AE255)</f>
        <v/>
      </c>
      <c r="AG255" s="1"/>
      <c r="AH255" s="1"/>
      <c r="AI255" s="1"/>
      <c r="AJ255" s="1"/>
    </row>
    <row r="256" spans="1:36" x14ac:dyDescent="0.25">
      <c r="A256" s="82"/>
      <c r="B256" s="95" t="s">
        <v>489</v>
      </c>
      <c r="C256" s="13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76"/>
      <c r="AD256" s="77" t="str">
        <f t="shared" si="334"/>
        <v/>
      </c>
      <c r="AE256" s="76"/>
      <c r="AF256" s="77" t="str">
        <f t="shared" ref="AF256" si="391">IF(ISBLANK(AE256),"",INDEX($A256:$AA256,1,MATCH(AE$3,$A$3:$AA$3,0))-AE256)</f>
        <v/>
      </c>
      <c r="AG256" s="1"/>
      <c r="AH256" s="1"/>
      <c r="AI256" s="1"/>
      <c r="AJ256" s="1"/>
    </row>
    <row r="257" spans="1:36" x14ac:dyDescent="0.25">
      <c r="A257" s="82"/>
      <c r="B257" s="92" t="s">
        <v>490</v>
      </c>
      <c r="C257" s="93" t="s">
        <v>78</v>
      </c>
      <c r="D257" s="46"/>
      <c r="E257" s="46"/>
      <c r="F257" s="46"/>
      <c r="G257" s="46"/>
      <c r="H257" s="46">
        <v>0</v>
      </c>
      <c r="I257" s="46">
        <v>0</v>
      </c>
      <c r="J257" s="46">
        <v>0</v>
      </c>
      <c r="K257" s="46">
        <v>0</v>
      </c>
      <c r="L257" s="46">
        <v>0</v>
      </c>
      <c r="M257" s="97">
        <v>15735131</v>
      </c>
      <c r="N257" s="97">
        <v>16964561</v>
      </c>
      <c r="O257" s="97">
        <v>17862228</v>
      </c>
      <c r="P257" s="46" t="e">
        <v>#VALUE!</v>
      </c>
      <c r="Q257" s="46" t="e">
        <v>#VALUE!</v>
      </c>
      <c r="R257" s="46" t="e">
        <v>#VALUE!</v>
      </c>
      <c r="S257" s="46" t="e">
        <v>#VALUE!</v>
      </c>
      <c r="T257" s="46" t="e">
        <v>#VALUE!</v>
      </c>
      <c r="U257" s="46" t="e">
        <v>#VALUE!</v>
      </c>
      <c r="V257" s="46" t="e">
        <v>#VALUE!</v>
      </c>
      <c r="W257" s="46" t="e">
        <v>#VALUE!</v>
      </c>
      <c r="X257" s="46" t="e">
        <v>#VALUE!</v>
      </c>
      <c r="Y257" s="46" t="e">
        <v>#VALUE!</v>
      </c>
      <c r="Z257" s="46" t="e">
        <v>#VALUE!</v>
      </c>
      <c r="AA257" s="1"/>
      <c r="AB257" s="1"/>
      <c r="AC257" s="125" t="e">
        <v>#VALUE!</v>
      </c>
      <c r="AD257" s="91" t="e">
        <f t="shared" si="334"/>
        <v>#VALUE!</v>
      </c>
      <c r="AE257" s="125" t="e">
        <v>#VALUE!</v>
      </c>
      <c r="AF257" s="91" t="e">
        <f t="shared" ref="AF257" si="392">IF(ISBLANK(AE257),"",INDEX($A257:$AA257,1,MATCH(AE$3,$A$3:$AA$3,0))-AE257)</f>
        <v>#VALUE!</v>
      </c>
      <c r="AG257" s="1"/>
      <c r="AH257" s="1"/>
      <c r="AI257" s="1"/>
      <c r="AJ257" s="1"/>
    </row>
    <row r="258" spans="1:36" x14ac:dyDescent="0.25">
      <c r="A258" s="82"/>
      <c r="B258" s="92" t="s">
        <v>491</v>
      </c>
      <c r="C258" s="93" t="s">
        <v>78</v>
      </c>
      <c r="D258" s="2"/>
      <c r="E258" s="2"/>
      <c r="F258" s="2"/>
      <c r="G258" s="2"/>
      <c r="H258" s="2">
        <v>-54029</v>
      </c>
      <c r="I258" s="2">
        <v>-21222</v>
      </c>
      <c r="J258" s="2">
        <v>43547</v>
      </c>
      <c r="K258" s="2">
        <v>-7273</v>
      </c>
      <c r="L258" s="2">
        <v>271268</v>
      </c>
      <c r="M258" s="2">
        <v>-145408</v>
      </c>
      <c r="N258" s="2">
        <v>351351</v>
      </c>
      <c r="O258" s="2">
        <v>1608790</v>
      </c>
      <c r="P258" s="2">
        <v>2096595</v>
      </c>
      <c r="Q258" s="2">
        <v>2920681</v>
      </c>
      <c r="R258" s="2">
        <v>3904325</v>
      </c>
      <c r="S258" s="2">
        <v>4930178</v>
      </c>
      <c r="T258" s="2">
        <v>6150782</v>
      </c>
      <c r="U258" s="2">
        <v>7631050</v>
      </c>
      <c r="V258" s="2">
        <v>9424553</v>
      </c>
      <c r="W258" s="2">
        <v>11596144</v>
      </c>
      <c r="X258" s="2">
        <v>14224397</v>
      </c>
      <c r="Y258" s="2">
        <v>17404576</v>
      </c>
      <c r="Z258" s="2">
        <v>21252261</v>
      </c>
      <c r="AA258" s="1"/>
      <c r="AB258" s="1"/>
      <c r="AC258" s="90">
        <v>2096595</v>
      </c>
      <c r="AD258" s="91">
        <f t="shared" si="334"/>
        <v>0</v>
      </c>
      <c r="AE258" s="90">
        <v>2920681</v>
      </c>
      <c r="AF258" s="91">
        <f t="shared" ref="AF258" si="393">IF(ISBLANK(AE258),"",INDEX($A258:$AA258,1,MATCH(AE$3,$A$3:$AA$3,0))-AE258)</f>
        <v>0</v>
      </c>
      <c r="AG258" s="1"/>
      <c r="AH258" s="1"/>
      <c r="AI258" s="1"/>
      <c r="AJ258" s="1"/>
    </row>
    <row r="259" spans="1:36" x14ac:dyDescent="0.25">
      <c r="A259" s="82"/>
      <c r="B259" s="100" t="s">
        <v>492</v>
      </c>
      <c r="C259" s="5" t="s">
        <v>7</v>
      </c>
      <c r="D259" s="144"/>
      <c r="E259" s="144"/>
      <c r="F259" s="144"/>
      <c r="G259" s="144"/>
      <c r="H259" s="144" t="e">
        <v>#DIV/0!</v>
      </c>
      <c r="I259" s="144" t="e">
        <v>#DIV/0!</v>
      </c>
      <c r="J259" s="144" t="e">
        <v>#DIV/0!</v>
      </c>
      <c r="K259" s="144" t="e">
        <v>#DIV/0!</v>
      </c>
      <c r="L259" s="144" t="e">
        <v>#DIV/0!</v>
      </c>
      <c r="M259" s="193">
        <v>-8.9999999999999993E-3</v>
      </c>
      <c r="N259" s="193">
        <v>2.1000000000000001E-2</v>
      </c>
      <c r="O259" s="193">
        <v>0.09</v>
      </c>
      <c r="P259" s="144" t="e">
        <v>#VALUE!</v>
      </c>
      <c r="Q259" s="144" t="e">
        <v>#VALUE!</v>
      </c>
      <c r="R259" s="144" t="e">
        <v>#VALUE!</v>
      </c>
      <c r="S259" s="144" t="e">
        <v>#VALUE!</v>
      </c>
      <c r="T259" s="144" t="e">
        <v>#VALUE!</v>
      </c>
      <c r="U259" s="144" t="e">
        <v>#VALUE!</v>
      </c>
      <c r="V259" s="144" t="e">
        <v>#VALUE!</v>
      </c>
      <c r="W259" s="144" t="e">
        <v>#VALUE!</v>
      </c>
      <c r="X259" s="144" t="e">
        <v>#VALUE!</v>
      </c>
      <c r="Y259" s="144" t="e">
        <v>#VALUE!</v>
      </c>
      <c r="Z259" s="144" t="e">
        <v>#VALUE!</v>
      </c>
      <c r="AA259" s="1"/>
      <c r="AB259" s="1"/>
      <c r="AC259" s="194" t="e">
        <v>#VALUE!</v>
      </c>
      <c r="AD259" s="146" t="e">
        <f t="shared" si="334"/>
        <v>#VALUE!</v>
      </c>
      <c r="AE259" s="194" t="e">
        <v>#VALUE!</v>
      </c>
      <c r="AF259" s="146" t="e">
        <f t="shared" ref="AF259" si="394">IF(ISBLANK(AE259),"",INDEX($A259:$AA259,1,MATCH(AE$3,$A$3:$AA$3,0))-AE259)</f>
        <v>#VALUE!</v>
      </c>
      <c r="AG259" s="1"/>
      <c r="AH259" s="1"/>
      <c r="AI259" s="1"/>
      <c r="AJ259" s="1"/>
    </row>
    <row r="260" spans="1:36" x14ac:dyDescent="0.25">
      <c r="A260" s="82"/>
      <c r="B260" s="17"/>
      <c r="C260" s="131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1"/>
      <c r="AB260" s="1"/>
      <c r="AC260" s="84"/>
      <c r="AD260" s="85" t="str">
        <f t="shared" si="334"/>
        <v/>
      </c>
      <c r="AE260" s="84"/>
      <c r="AF260" s="85" t="str">
        <f t="shared" ref="AF260" si="395">IF(ISBLANK(AE260),"",INDEX($A260:$AA260,1,MATCH(AE$3,$A$3:$AA$3,0))-AE260)</f>
        <v/>
      </c>
      <c r="AG260" s="1"/>
      <c r="AH260" s="1"/>
      <c r="AI260" s="1"/>
      <c r="AJ260" s="1"/>
    </row>
    <row r="261" spans="1:36" x14ac:dyDescent="0.25">
      <c r="A261" s="82"/>
      <c r="B261" s="92" t="s">
        <v>493</v>
      </c>
      <c r="C261" s="93" t="s">
        <v>78</v>
      </c>
      <c r="D261" s="2"/>
      <c r="E261" s="2"/>
      <c r="F261" s="2"/>
      <c r="G261" s="2"/>
      <c r="H261" s="2">
        <v>-53959</v>
      </c>
      <c r="I261" s="2">
        <v>-21004</v>
      </c>
      <c r="J261" s="2">
        <v>43235</v>
      </c>
      <c r="K261" s="2">
        <v>-7224</v>
      </c>
      <c r="L261" s="2">
        <v>271684</v>
      </c>
      <c r="M261" s="2">
        <v>-102780</v>
      </c>
      <c r="N261" s="2">
        <v>232701</v>
      </c>
      <c r="O261" s="2">
        <v>1186761</v>
      </c>
      <c r="P261" s="2">
        <v>1612073</v>
      </c>
      <c r="Q261" s="2">
        <v>2278132</v>
      </c>
      <c r="R261" s="2">
        <v>3045374</v>
      </c>
      <c r="S261" s="2">
        <v>3845539</v>
      </c>
      <c r="T261" s="2">
        <v>4797610</v>
      </c>
      <c r="U261" s="2">
        <v>5952219</v>
      </c>
      <c r="V261" s="2">
        <v>7351151</v>
      </c>
      <c r="W261" s="2">
        <v>9044992</v>
      </c>
      <c r="X261" s="2">
        <v>11095030</v>
      </c>
      <c r="Y261" s="2">
        <v>13575569</v>
      </c>
      <c r="Z261" s="2">
        <v>16576764</v>
      </c>
      <c r="AA261" s="1"/>
      <c r="AB261" s="1"/>
      <c r="AC261" s="90">
        <v>1612073</v>
      </c>
      <c r="AD261" s="91">
        <f t="shared" si="334"/>
        <v>0</v>
      </c>
      <c r="AE261" s="90">
        <v>2278132</v>
      </c>
      <c r="AF261" s="91">
        <f t="shared" ref="AF261" si="396">IF(ISBLANK(AE261),"",INDEX($A261:$AA261,1,MATCH(AE$3,$A$3:$AA$3,0))-AE261)</f>
        <v>0</v>
      </c>
      <c r="AG261" s="1"/>
      <c r="AH261" s="1"/>
      <c r="AI261" s="1"/>
      <c r="AJ261" s="1"/>
    </row>
    <row r="262" spans="1:36" x14ac:dyDescent="0.25">
      <c r="A262" s="82"/>
      <c r="B262" s="100" t="s">
        <v>489</v>
      </c>
      <c r="C262" s="5" t="s">
        <v>7</v>
      </c>
      <c r="D262" s="144"/>
      <c r="E262" s="144"/>
      <c r="F262" s="144"/>
      <c r="G262" s="144"/>
      <c r="H262" s="144" t="e">
        <v>#DIV/0!</v>
      </c>
      <c r="I262" s="144" t="e">
        <v>#DIV/0!</v>
      </c>
      <c r="J262" s="144" t="e">
        <v>#DIV/0!</v>
      </c>
      <c r="K262" s="144" t="e">
        <v>#DIV/0!</v>
      </c>
      <c r="L262" s="144" t="e">
        <v>#DIV/0!</v>
      </c>
      <c r="M262" s="193">
        <v>-7.0000000000000001E-3</v>
      </c>
      <c r="N262" s="193">
        <v>1.4E-2</v>
      </c>
      <c r="O262" s="193">
        <v>6.6000000000000003E-2</v>
      </c>
      <c r="P262" s="144" t="e">
        <v>#VALUE!</v>
      </c>
      <c r="Q262" s="144" t="e">
        <v>#VALUE!</v>
      </c>
      <c r="R262" s="144" t="e">
        <v>#VALUE!</v>
      </c>
      <c r="S262" s="144" t="e">
        <v>#VALUE!</v>
      </c>
      <c r="T262" s="144" t="e">
        <v>#VALUE!</v>
      </c>
      <c r="U262" s="144" t="e">
        <v>#VALUE!</v>
      </c>
      <c r="V262" s="144" t="e">
        <v>#VALUE!</v>
      </c>
      <c r="W262" s="144" t="e">
        <v>#VALUE!</v>
      </c>
      <c r="X262" s="144" t="e">
        <v>#VALUE!</v>
      </c>
      <c r="Y262" s="144" t="e">
        <v>#VALUE!</v>
      </c>
      <c r="Z262" s="144" t="e">
        <v>#VALUE!</v>
      </c>
      <c r="AA262" s="1"/>
      <c r="AB262" s="1"/>
      <c r="AC262" s="194" t="e">
        <v>#VALUE!</v>
      </c>
      <c r="AD262" s="146" t="e">
        <f t="shared" si="334"/>
        <v>#VALUE!</v>
      </c>
      <c r="AE262" s="194" t="e">
        <v>#VALUE!</v>
      </c>
      <c r="AF262" s="146" t="e">
        <f t="shared" ref="AF262" si="397">IF(ISBLANK(AE262),"",INDEX($A262:$AA262,1,MATCH(AE$3,$A$3:$AA$3,0))-AE262)</f>
        <v>#VALUE!</v>
      </c>
      <c r="AG262" s="1"/>
      <c r="AH262" s="1"/>
      <c r="AI262" s="1"/>
      <c r="AJ262" s="1"/>
    </row>
    <row r="263" spans="1:36" x14ac:dyDescent="0.25">
      <c r="A263" s="82"/>
      <c r="B263" s="92" t="s">
        <v>355</v>
      </c>
      <c r="C263" s="93" t="s">
        <v>7</v>
      </c>
      <c r="D263" s="2"/>
      <c r="E263" s="2"/>
      <c r="F263" s="2"/>
      <c r="G263" s="2"/>
      <c r="H263" s="62">
        <v>1E-3</v>
      </c>
      <c r="I263" s="62">
        <v>0.01</v>
      </c>
      <c r="J263" s="62">
        <v>7.0000000000000001E-3</v>
      </c>
      <c r="K263" s="62">
        <v>7.0000000000000001E-3</v>
      </c>
      <c r="L263" s="62">
        <v>-2E-3</v>
      </c>
      <c r="M263" s="62">
        <v>0.29299999999999998</v>
      </c>
      <c r="N263" s="62">
        <v>0.33800000000000002</v>
      </c>
      <c r="O263" s="62">
        <v>0.26200000000000001</v>
      </c>
      <c r="P263" s="62">
        <v>0.23100000000000001</v>
      </c>
      <c r="Q263" s="62">
        <v>0.22</v>
      </c>
      <c r="R263" s="62">
        <v>0.22</v>
      </c>
      <c r="S263" s="62">
        <v>0.22</v>
      </c>
      <c r="T263" s="62">
        <v>0.22</v>
      </c>
      <c r="U263" s="62">
        <v>0.22</v>
      </c>
      <c r="V263" s="62">
        <v>0.22</v>
      </c>
      <c r="W263" s="62">
        <v>0.22</v>
      </c>
      <c r="X263" s="62">
        <v>0.22</v>
      </c>
      <c r="Y263" s="62">
        <v>0.22</v>
      </c>
      <c r="Z263" s="62">
        <v>0.22</v>
      </c>
      <c r="AA263" s="1"/>
      <c r="AB263" s="1"/>
      <c r="AC263" s="105">
        <v>0.23100000000000001</v>
      </c>
      <c r="AD263" s="106">
        <f t="shared" si="334"/>
        <v>0</v>
      </c>
      <c r="AE263" s="105">
        <v>0.22</v>
      </c>
      <c r="AF263" s="106">
        <f t="shared" ref="AF263" si="398">IF(ISBLANK(AE263),"",INDEX($A263:$AA263,1,MATCH(AE$3,$A$3:$AA$3,0))-AE263)</f>
        <v>0</v>
      </c>
      <c r="AG263" s="1"/>
      <c r="AH263" s="1"/>
      <c r="AI263" s="1"/>
      <c r="AJ263" s="1"/>
    </row>
    <row r="264" spans="1:36" x14ac:dyDescent="0.25">
      <c r="A264" s="82"/>
      <c r="B264" s="17"/>
      <c r="C264" s="131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1"/>
      <c r="AB264" s="1"/>
      <c r="AC264" s="84"/>
      <c r="AD264" s="85" t="str">
        <f t="shared" si="334"/>
        <v/>
      </c>
      <c r="AE264" s="84"/>
      <c r="AF264" s="85" t="str">
        <f t="shared" ref="AF264" si="399">IF(ISBLANK(AE264),"",INDEX($A264:$AA264,1,MATCH(AE$3,$A$3:$AA$3,0))-AE264)</f>
        <v/>
      </c>
      <c r="AG264" s="1"/>
      <c r="AH264" s="1"/>
      <c r="AI264" s="1"/>
      <c r="AJ264" s="1"/>
    </row>
    <row r="265" spans="1:36" x14ac:dyDescent="0.25">
      <c r="A265" s="82"/>
      <c r="B265" s="100" t="s">
        <v>494</v>
      </c>
      <c r="C265" s="5" t="s">
        <v>7</v>
      </c>
      <c r="D265" s="144"/>
      <c r="E265" s="144"/>
      <c r="F265" s="144"/>
      <c r="G265" s="144"/>
      <c r="H265" s="144" t="e">
        <v>#DIV/0!</v>
      </c>
      <c r="I265" s="144" t="e">
        <v>#DIV/0!</v>
      </c>
      <c r="J265" s="144" t="e">
        <v>#DIV/0!</v>
      </c>
      <c r="K265" s="144" t="e">
        <v>#DIV/0!</v>
      </c>
      <c r="L265" s="144" t="e">
        <v>#DIV/0!</v>
      </c>
      <c r="M265" s="193">
        <v>-2.4E-2</v>
      </c>
      <c r="N265" s="193">
        <v>0.27300000000000002</v>
      </c>
      <c r="O265" s="193">
        <v>1.0629999999999999</v>
      </c>
      <c r="P265" s="144" t="e">
        <v>#VALUE!</v>
      </c>
      <c r="Q265" s="144" t="e">
        <v>#VALUE!</v>
      </c>
      <c r="R265" s="144" t="e">
        <v>#VALUE!</v>
      </c>
      <c r="S265" s="144" t="e">
        <v>#VALUE!</v>
      </c>
      <c r="T265" s="144" t="e">
        <v>#VALUE!</v>
      </c>
      <c r="U265" s="144" t="e">
        <v>#VALUE!</v>
      </c>
      <c r="V265" s="144" t="e">
        <v>#VALUE!</v>
      </c>
      <c r="W265" s="144" t="e">
        <v>#VALUE!</v>
      </c>
      <c r="X265" s="144" t="e">
        <v>#VALUE!</v>
      </c>
      <c r="Y265" s="144" t="e">
        <v>#VALUE!</v>
      </c>
      <c r="Z265" s="144" t="e">
        <v>#VALUE!</v>
      </c>
      <c r="AA265" s="1"/>
      <c r="AB265" s="1"/>
      <c r="AC265" s="194" t="e">
        <v>#VALUE!</v>
      </c>
      <c r="AD265" s="146" t="e">
        <f t="shared" si="334"/>
        <v>#VALUE!</v>
      </c>
      <c r="AE265" s="194" t="e">
        <v>#VALUE!</v>
      </c>
      <c r="AF265" s="146" t="e">
        <f t="shared" ref="AF265" si="400">IF(ISBLANK(AE265),"",INDEX($A265:$AA265,1,MATCH(AE$3,$A$3:$AA$3,0))-AE265)</f>
        <v>#VALUE!</v>
      </c>
      <c r="AG265" s="1"/>
      <c r="AH265" s="1"/>
      <c r="AI265" s="1"/>
      <c r="AJ265" s="1"/>
    </row>
    <row r="266" spans="1:36" x14ac:dyDescent="0.25">
      <c r="A266" s="82"/>
      <c r="B266" s="17"/>
      <c r="C266" s="131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1"/>
      <c r="AB266" s="1"/>
      <c r="AC266" s="84"/>
      <c r="AD266" s="85" t="str">
        <f t="shared" si="334"/>
        <v/>
      </c>
      <c r="AE266" s="84"/>
      <c r="AF266" s="85" t="str">
        <f t="shared" ref="AF266" si="401">IF(ISBLANK(AE266),"",INDEX($A266:$AA266,1,MATCH(AE$3,$A$3:$AA$3,0))-AE266)</f>
        <v/>
      </c>
      <c r="AG266" s="1"/>
      <c r="AH266" s="1"/>
      <c r="AI266" s="1"/>
      <c r="AJ266" s="1"/>
    </row>
    <row r="267" spans="1:36" x14ac:dyDescent="0.25">
      <c r="A267" s="82"/>
      <c r="B267" s="100" t="s">
        <v>495</v>
      </c>
      <c r="C267" s="5" t="s">
        <v>496</v>
      </c>
      <c r="D267" s="146"/>
      <c r="E267" s="146"/>
      <c r="F267" s="146"/>
      <c r="G267" s="146"/>
      <c r="H267" s="146"/>
      <c r="I267" s="146"/>
      <c r="J267" s="146"/>
      <c r="K267" s="195">
        <v>15</v>
      </c>
      <c r="L267" s="195">
        <v>18</v>
      </c>
      <c r="M267" s="195">
        <v>8</v>
      </c>
      <c r="N267" s="195">
        <v>10</v>
      </c>
      <c r="O267" s="195">
        <v>17</v>
      </c>
      <c r="P267" s="144" t="e">
        <v>#VALUE!</v>
      </c>
      <c r="Q267" s="144" t="e">
        <v>#VALUE!</v>
      </c>
      <c r="R267" s="144" t="e">
        <v>#VALUE!</v>
      </c>
      <c r="S267" s="146"/>
      <c r="T267" s="146"/>
      <c r="U267" s="146"/>
      <c r="V267" s="146"/>
      <c r="W267" s="146"/>
      <c r="X267" s="146"/>
      <c r="Y267" s="146"/>
      <c r="Z267" s="146"/>
      <c r="AA267" s="1"/>
      <c r="AB267" s="1"/>
      <c r="AC267" s="194" t="e">
        <v>#VALUE!</v>
      </c>
      <c r="AD267" s="146" t="e">
        <f t="shared" si="334"/>
        <v>#VALUE!</v>
      </c>
      <c r="AE267" s="194" t="e">
        <v>#VALUE!</v>
      </c>
      <c r="AF267" s="146" t="e">
        <f t="shared" ref="AF267" si="402">IF(ISBLANK(AE267),"",INDEX($A267:$AA267,1,MATCH(AE$3,$A$3:$AA$3,0))-AE267)</f>
        <v>#VALUE!</v>
      </c>
      <c r="AG267" s="1"/>
      <c r="AH267" s="1"/>
      <c r="AI267" s="1"/>
      <c r="AJ267" s="1"/>
    </row>
    <row r="268" spans="1:36" x14ac:dyDescent="0.25">
      <c r="A268" s="44"/>
      <c r="B268" s="1"/>
      <c r="C268" s="9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76"/>
      <c r="AD268" s="77" t="str">
        <f t="shared" si="334"/>
        <v/>
      </c>
      <c r="AE268" s="76"/>
      <c r="AF268" s="77" t="str">
        <f t="shared" ref="AF268" si="403">IF(ISBLANK(AE268),"",INDEX($A268:$AA268,1,MATCH(AE$3,$A$3:$AA$3,0))-AE268)</f>
        <v/>
      </c>
      <c r="AG268" s="1"/>
      <c r="AH268" s="1"/>
      <c r="AI268" s="1"/>
      <c r="AJ268" s="1"/>
    </row>
    <row r="269" spans="1:36" x14ac:dyDescent="0.25">
      <c r="A269" s="82"/>
      <c r="B269" s="17"/>
      <c r="C269" s="131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1"/>
      <c r="U269" s="1"/>
      <c r="V269" s="1"/>
      <c r="W269" s="1"/>
      <c r="X269" s="1"/>
      <c r="Y269" s="1"/>
      <c r="Z269" s="1"/>
      <c r="AA269" s="1"/>
      <c r="AB269" s="1"/>
      <c r="AC269" s="76"/>
      <c r="AD269" s="77" t="str">
        <f t="shared" si="334"/>
        <v/>
      </c>
      <c r="AE269" s="76"/>
      <c r="AF269" s="77" t="str">
        <f t="shared" ref="AF269" si="404">IF(ISBLANK(AE269),"",INDEX($A269:$AA269,1,MATCH(AE$3,$A$3:$AA$3,0))-AE269)</f>
        <v/>
      </c>
      <c r="AG269" s="1"/>
      <c r="AH269" s="1"/>
      <c r="AI269" s="1"/>
      <c r="AJ269" s="1"/>
    </row>
    <row r="270" spans="1:36" x14ac:dyDescent="0.25">
      <c r="A270" s="82"/>
      <c r="B270" s="86" t="s">
        <v>497</v>
      </c>
      <c r="C270" s="171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  <c r="AA270" s="1"/>
      <c r="AB270" s="1"/>
      <c r="AC270" s="90"/>
      <c r="AD270" s="91" t="str">
        <f t="shared" si="334"/>
        <v/>
      </c>
      <c r="AE270" s="90"/>
      <c r="AF270" s="91" t="str">
        <f t="shared" ref="AF270" si="405">IF(ISBLANK(AE270),"",INDEX($A270:$AA270,1,MATCH(AE$3,$A$3:$AA$3,0))-AE270)</f>
        <v/>
      </c>
      <c r="AG270" s="1"/>
      <c r="AH270" s="1"/>
      <c r="AI270" s="1"/>
      <c r="AJ270" s="1"/>
    </row>
    <row r="271" spans="1:36" x14ac:dyDescent="0.25">
      <c r="A271" s="82"/>
      <c r="B271" s="95" t="s">
        <v>70</v>
      </c>
      <c r="C271" s="13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76"/>
      <c r="AD271" s="77" t="str">
        <f t="shared" si="334"/>
        <v/>
      </c>
      <c r="AE271" s="76"/>
      <c r="AF271" s="77" t="str">
        <f t="shared" ref="AF271" si="406">IF(ISBLANK(AE271),"",INDEX($A271:$AA271,1,MATCH(AE$3,$A$3:$AA$3,0))-AE271)</f>
        <v/>
      </c>
      <c r="AG271" s="1"/>
      <c r="AH271" s="1"/>
      <c r="AI271" s="1"/>
      <c r="AJ271" s="1"/>
    </row>
    <row r="272" spans="1:36" x14ac:dyDescent="0.25">
      <c r="A272" s="82"/>
      <c r="B272" s="92" t="s">
        <v>498</v>
      </c>
      <c r="C272" s="93" t="s">
        <v>7</v>
      </c>
      <c r="D272" s="1"/>
      <c r="E272" s="1">
        <v>0</v>
      </c>
      <c r="F272" s="1">
        <v>-40.799999999999997</v>
      </c>
      <c r="G272" s="1">
        <v>-22.9</v>
      </c>
      <c r="H272" s="1">
        <v>-6.4</v>
      </c>
      <c r="I272" s="1">
        <v>-1.6</v>
      </c>
      <c r="J272" s="1">
        <v>2.2999999999999998</v>
      </c>
      <c r="K272" s="1">
        <v>-0.3</v>
      </c>
      <c r="L272" s="1">
        <v>6.1</v>
      </c>
      <c r="M272" s="1">
        <v>-2.4</v>
      </c>
      <c r="N272" s="1">
        <v>4.7</v>
      </c>
      <c r="O272" s="1">
        <v>18.100000000000001</v>
      </c>
      <c r="P272" s="1">
        <v>20.5</v>
      </c>
      <c r="Q272" s="1">
        <v>23.7</v>
      </c>
      <c r="R272" s="1">
        <v>26.5</v>
      </c>
      <c r="S272" s="1">
        <v>28.6</v>
      </c>
      <c r="T272" s="1">
        <v>30.5</v>
      </c>
      <c r="U272" s="1">
        <v>32.200000000000003</v>
      </c>
      <c r="V272" s="1">
        <v>33.9</v>
      </c>
      <c r="W272" s="1">
        <v>35.4</v>
      </c>
      <c r="X272" s="1">
        <v>36.9</v>
      </c>
      <c r="Y272" s="1">
        <v>38.200000000000003</v>
      </c>
      <c r="Z272" s="1">
        <v>39.5</v>
      </c>
      <c r="AA272" s="1"/>
      <c r="AB272" s="1"/>
      <c r="AC272" s="105">
        <v>20.5</v>
      </c>
      <c r="AD272" s="106">
        <f t="shared" si="334"/>
        <v>0</v>
      </c>
      <c r="AE272" s="105">
        <v>23.7</v>
      </c>
      <c r="AF272" s="106">
        <f t="shared" ref="AF272" si="407">IF(ISBLANK(AE272),"",INDEX($A272:$AA272,1,MATCH(AE$3,$A$3:$AA$3,0))-AE272)</f>
        <v>0</v>
      </c>
      <c r="AG272" s="1"/>
      <c r="AH272" s="1"/>
      <c r="AI272" s="1"/>
      <c r="AJ272" s="1"/>
    </row>
    <row r="273" spans="1:36" x14ac:dyDescent="0.25">
      <c r="A273" s="82"/>
      <c r="B273" s="147" t="s">
        <v>499</v>
      </c>
      <c r="C273" s="148" t="s">
        <v>7</v>
      </c>
      <c r="D273" s="196"/>
      <c r="E273" s="196">
        <v>0</v>
      </c>
      <c r="F273" s="196">
        <v>0</v>
      </c>
      <c r="G273" s="196">
        <v>0</v>
      </c>
      <c r="H273" s="196">
        <v>0</v>
      </c>
      <c r="I273" s="196">
        <v>55.3</v>
      </c>
      <c r="J273" s="196">
        <v>44.9</v>
      </c>
      <c r="K273" s="196">
        <v>44.6</v>
      </c>
      <c r="L273" s="196">
        <v>61.7</v>
      </c>
      <c r="M273" s="196">
        <v>35.6</v>
      </c>
      <c r="N273" s="196">
        <v>25.3</v>
      </c>
      <c r="O273" s="196">
        <v>18.399999999999999</v>
      </c>
      <c r="P273" s="196">
        <v>15</v>
      </c>
      <c r="Q273" s="196">
        <v>20.6</v>
      </c>
      <c r="R273" s="196">
        <v>19.600000000000001</v>
      </c>
      <c r="S273" s="196">
        <v>17.100000000000001</v>
      </c>
      <c r="T273" s="196">
        <v>17.100000000000001</v>
      </c>
      <c r="U273" s="196">
        <v>17.3</v>
      </c>
      <c r="V273" s="196">
        <v>17.5</v>
      </c>
      <c r="W273" s="196">
        <v>17.7</v>
      </c>
      <c r="X273" s="196">
        <v>17.899999999999999</v>
      </c>
      <c r="Y273" s="196">
        <v>18.100000000000001</v>
      </c>
      <c r="Z273" s="196">
        <v>18.2</v>
      </c>
      <c r="AA273" s="1"/>
      <c r="AB273" s="1"/>
      <c r="AC273" s="105">
        <v>15</v>
      </c>
      <c r="AD273" s="106">
        <f t="shared" ref="AD273:AD287" si="408">IF(ISBLANK(AC273),"",INDEX($A273:$AA273,1,MATCH(AC$3,$A$3:$AA$3,0))-AC273)</f>
        <v>0</v>
      </c>
      <c r="AE273" s="105">
        <v>20.6</v>
      </c>
      <c r="AF273" s="106">
        <f t="shared" ref="AF273" si="409">IF(ISBLANK(AE273),"",INDEX($A273:$AA273,1,MATCH(AE$3,$A$3:$AA$3,0))-AE273)</f>
        <v>0</v>
      </c>
      <c r="AG273" s="1"/>
      <c r="AH273" s="1"/>
      <c r="AI273" s="1"/>
      <c r="AJ273" s="1"/>
    </row>
    <row r="274" spans="1:36" x14ac:dyDescent="0.25">
      <c r="A274" s="82"/>
      <c r="B274" s="140" t="s">
        <v>500</v>
      </c>
      <c r="C274" s="24"/>
      <c r="D274" s="197"/>
      <c r="E274" s="197">
        <v>0</v>
      </c>
      <c r="F274" s="197">
        <v>-40.799999999999997</v>
      </c>
      <c r="G274" s="197">
        <v>-22.9</v>
      </c>
      <c r="H274" s="197">
        <v>-6.4</v>
      </c>
      <c r="I274" s="197">
        <v>53.7</v>
      </c>
      <c r="J274" s="197">
        <v>47.3</v>
      </c>
      <c r="K274" s="197">
        <v>44.4</v>
      </c>
      <c r="L274" s="197">
        <v>67.8</v>
      </c>
      <c r="M274" s="197">
        <v>33.1</v>
      </c>
      <c r="N274" s="197">
        <v>29.9</v>
      </c>
      <c r="O274" s="197">
        <v>36.5</v>
      </c>
      <c r="P274" s="197">
        <v>35.5</v>
      </c>
      <c r="Q274" s="197">
        <v>44.3</v>
      </c>
      <c r="R274" s="197">
        <v>46</v>
      </c>
      <c r="S274" s="197">
        <v>45.6</v>
      </c>
      <c r="T274" s="197">
        <v>47.5</v>
      </c>
      <c r="U274" s="197">
        <v>49.5</v>
      </c>
      <c r="V274" s="197">
        <v>51.4</v>
      </c>
      <c r="W274" s="197">
        <v>53.1</v>
      </c>
      <c r="X274" s="197">
        <v>54.7</v>
      </c>
      <c r="Y274" s="197">
        <v>56.3</v>
      </c>
      <c r="Z274" s="197">
        <v>57.7</v>
      </c>
      <c r="AA274" s="1"/>
      <c r="AB274" s="1"/>
      <c r="AC274" s="105">
        <v>35.5</v>
      </c>
      <c r="AD274" s="91">
        <f t="shared" si="408"/>
        <v>0</v>
      </c>
      <c r="AE274" s="105">
        <v>44.3</v>
      </c>
      <c r="AF274" s="91">
        <f t="shared" ref="AF274" si="410">IF(ISBLANK(AE274),"",INDEX($A274:$AA274,1,MATCH(AE$3,$A$3:$AA$3,0))-AE274)</f>
        <v>0</v>
      </c>
      <c r="AG274" s="1"/>
      <c r="AH274" s="1"/>
      <c r="AI274" s="1"/>
      <c r="AJ274" s="1"/>
    </row>
    <row r="275" spans="1:36" x14ac:dyDescent="0.25">
      <c r="A275" s="82"/>
      <c r="B275" s="92" t="s">
        <v>501</v>
      </c>
      <c r="C275" s="93" t="s">
        <v>7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47">
        <v>33.1</v>
      </c>
      <c r="Q275" s="47">
        <v>40</v>
      </c>
      <c r="R275" s="1">
        <v>40</v>
      </c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05">
        <v>33.1</v>
      </c>
      <c r="AD275" s="106">
        <f t="shared" si="408"/>
        <v>0</v>
      </c>
      <c r="AE275" s="105">
        <v>40</v>
      </c>
      <c r="AF275" s="106">
        <f t="shared" ref="AF275" si="411">IF(ISBLANK(AE275),"",INDEX($A275:$AA275,1,MATCH(AE$3,$A$3:$AA$3,0))-AE275)</f>
        <v>0</v>
      </c>
      <c r="AG275" s="1"/>
      <c r="AH275" s="1"/>
      <c r="AI275" s="1"/>
      <c r="AJ275" s="1"/>
    </row>
    <row r="276" spans="1:36" x14ac:dyDescent="0.25">
      <c r="A276" s="82"/>
      <c r="B276" s="92"/>
      <c r="C276" s="9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47"/>
      <c r="Q276" s="47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90"/>
      <c r="AD276" s="91" t="str">
        <f t="shared" si="408"/>
        <v/>
      </c>
      <c r="AE276" s="90"/>
      <c r="AF276" s="91" t="str">
        <f t="shared" ref="AF276" si="412">IF(ISBLANK(AE276),"",INDEX($A276:$AA276,1,MATCH(AE$3,$A$3:$AA$3,0))-AE276)</f>
        <v/>
      </c>
      <c r="AG276" s="1"/>
      <c r="AH276" s="1"/>
      <c r="AI276" s="1"/>
      <c r="AJ276" s="1"/>
    </row>
    <row r="277" spans="1:36" x14ac:dyDescent="0.25">
      <c r="A277" s="82"/>
      <c r="B277" s="95" t="s">
        <v>70</v>
      </c>
      <c r="C277" s="13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90"/>
      <c r="AD277" s="91" t="str">
        <f t="shared" si="408"/>
        <v/>
      </c>
      <c r="AE277" s="90"/>
      <c r="AF277" s="91" t="str">
        <f t="shared" ref="AF277" si="413">IF(ISBLANK(AE277),"",INDEX($A277:$AA277,1,MATCH(AE$3,$A$3:$AA$3,0))-AE277)</f>
        <v/>
      </c>
      <c r="AG277" s="1"/>
      <c r="AH277" s="1"/>
      <c r="AI277" s="1"/>
      <c r="AJ277" s="1"/>
    </row>
    <row r="278" spans="1:36" x14ac:dyDescent="0.25">
      <c r="A278" s="82"/>
      <c r="B278" s="92" t="s">
        <v>502</v>
      </c>
      <c r="C278" s="93" t="s">
        <v>7</v>
      </c>
      <c r="D278" s="1"/>
      <c r="E278" s="1">
        <v>0</v>
      </c>
      <c r="F278" s="1">
        <v>-0.4</v>
      </c>
      <c r="G278" s="1">
        <v>-0.2</v>
      </c>
      <c r="H278" s="1">
        <v>-0.1</v>
      </c>
      <c r="I278" s="1">
        <v>0</v>
      </c>
      <c r="J278" s="1">
        <v>0</v>
      </c>
      <c r="K278" s="1">
        <v>0</v>
      </c>
      <c r="L278" s="1">
        <v>0.1</v>
      </c>
      <c r="M278" s="1">
        <v>0</v>
      </c>
      <c r="N278" s="1">
        <v>0</v>
      </c>
      <c r="O278" s="1">
        <v>0.2</v>
      </c>
      <c r="P278" s="1">
        <v>0.2</v>
      </c>
      <c r="Q278" s="1">
        <v>0.2</v>
      </c>
      <c r="R278" s="1">
        <v>0.3</v>
      </c>
      <c r="S278" s="1">
        <v>0.3</v>
      </c>
      <c r="T278" s="1">
        <v>0.3</v>
      </c>
      <c r="U278" s="1">
        <v>0.3</v>
      </c>
      <c r="V278" s="1">
        <v>0.3</v>
      </c>
      <c r="W278" s="1">
        <v>0.4</v>
      </c>
      <c r="X278" s="1">
        <v>0.4</v>
      </c>
      <c r="Y278" s="1">
        <v>0.4</v>
      </c>
      <c r="Z278" s="1">
        <v>0.4</v>
      </c>
      <c r="AA278" s="1"/>
      <c r="AB278" s="1"/>
      <c r="AC278" s="105">
        <v>0.2</v>
      </c>
      <c r="AD278" s="91">
        <f t="shared" si="408"/>
        <v>0</v>
      </c>
      <c r="AE278" s="105">
        <v>0.2</v>
      </c>
      <c r="AF278" s="91">
        <f t="shared" ref="AF278" si="414">IF(ISBLANK(AE278),"",INDEX($A278:$AA278,1,MATCH(AE$3,$A$3:$AA$3,0))-AE278)</f>
        <v>0</v>
      </c>
      <c r="AG278" s="1"/>
      <c r="AH278" s="1"/>
      <c r="AI278" s="1"/>
      <c r="AJ278" s="1"/>
    </row>
    <row r="279" spans="1:36" x14ac:dyDescent="0.25">
      <c r="A279" s="82"/>
      <c r="B279" s="147" t="s">
        <v>503</v>
      </c>
      <c r="C279" s="148" t="s">
        <v>7</v>
      </c>
      <c r="D279" s="196"/>
      <c r="E279" s="1">
        <v>0</v>
      </c>
      <c r="F279" s="1">
        <v>0</v>
      </c>
      <c r="G279" s="1">
        <v>0</v>
      </c>
      <c r="H279" s="1">
        <v>0</v>
      </c>
      <c r="I279" s="1">
        <v>0.6</v>
      </c>
      <c r="J279" s="1">
        <v>0.4</v>
      </c>
      <c r="K279" s="1">
        <v>0.4</v>
      </c>
      <c r="L279" s="1">
        <v>0.6</v>
      </c>
      <c r="M279" s="1">
        <v>0.4</v>
      </c>
      <c r="N279" s="1">
        <v>0.3</v>
      </c>
      <c r="O279" s="1">
        <v>0.2</v>
      </c>
      <c r="P279" s="1">
        <v>0.1</v>
      </c>
      <c r="Q279" s="1">
        <v>0.2</v>
      </c>
      <c r="R279" s="1">
        <v>0.2</v>
      </c>
      <c r="S279" s="1">
        <v>0.2</v>
      </c>
      <c r="T279" s="1">
        <v>0.2</v>
      </c>
      <c r="U279" s="1">
        <v>0.2</v>
      </c>
      <c r="V279" s="1">
        <v>0.2</v>
      </c>
      <c r="W279" s="1">
        <v>0.2</v>
      </c>
      <c r="X279" s="1">
        <v>0.2</v>
      </c>
      <c r="Y279" s="1">
        <v>0.2</v>
      </c>
      <c r="Z279" s="1">
        <v>0.2</v>
      </c>
      <c r="AA279" s="1"/>
      <c r="AB279" s="1"/>
      <c r="AC279" s="105">
        <v>0.1</v>
      </c>
      <c r="AD279" s="91">
        <f t="shared" si="408"/>
        <v>0</v>
      </c>
      <c r="AE279" s="105">
        <v>0.2</v>
      </c>
      <c r="AF279" s="91">
        <f t="shared" ref="AF279" si="415">IF(ISBLANK(AE279),"",INDEX($A279:$AA279,1,MATCH(AE$3,$A$3:$AA$3,0))-AE279)</f>
        <v>0</v>
      </c>
      <c r="AG279" s="1"/>
      <c r="AH279" s="1"/>
      <c r="AI279" s="1"/>
      <c r="AJ279" s="1"/>
    </row>
    <row r="280" spans="1:36" x14ac:dyDescent="0.25">
      <c r="A280" s="82"/>
      <c r="B280" s="140" t="s">
        <v>500</v>
      </c>
      <c r="C280" s="24"/>
      <c r="D280" s="197"/>
      <c r="E280" s="197">
        <v>0</v>
      </c>
      <c r="F280" s="197">
        <v>-0.4</v>
      </c>
      <c r="G280" s="197">
        <v>-0.2</v>
      </c>
      <c r="H280" s="197">
        <v>-0.1</v>
      </c>
      <c r="I280" s="197">
        <v>0.5</v>
      </c>
      <c r="J280" s="197">
        <v>0.5</v>
      </c>
      <c r="K280" s="197">
        <v>0.4</v>
      </c>
      <c r="L280" s="197">
        <v>0.7</v>
      </c>
      <c r="M280" s="197">
        <v>0.3</v>
      </c>
      <c r="N280" s="197">
        <v>0.3</v>
      </c>
      <c r="O280" s="197">
        <v>0.4</v>
      </c>
      <c r="P280" s="197">
        <v>0.4</v>
      </c>
      <c r="Q280" s="197">
        <v>0.4</v>
      </c>
      <c r="R280" s="197">
        <v>0.5</v>
      </c>
      <c r="S280" s="197">
        <v>0.5</v>
      </c>
      <c r="T280" s="197">
        <v>0.5</v>
      </c>
      <c r="U280" s="197">
        <v>0.5</v>
      </c>
      <c r="V280" s="197">
        <v>0.5</v>
      </c>
      <c r="W280" s="197">
        <v>0.5</v>
      </c>
      <c r="X280" s="197">
        <v>0.5</v>
      </c>
      <c r="Y280" s="197">
        <v>0.6</v>
      </c>
      <c r="Z280" s="197">
        <v>0.6</v>
      </c>
      <c r="AA280" s="1"/>
      <c r="AB280" s="1"/>
      <c r="AC280" s="105">
        <v>0.4</v>
      </c>
      <c r="AD280" s="91">
        <f t="shared" si="408"/>
        <v>0</v>
      </c>
      <c r="AE280" s="105">
        <v>0.4</v>
      </c>
      <c r="AF280" s="91">
        <f t="shared" ref="AF280" si="416">IF(ISBLANK(AE280),"",INDEX($A280:$AA280,1,MATCH(AE$3,$A$3:$AA$3,0))-AE280)</f>
        <v>0</v>
      </c>
      <c r="AG280" s="1"/>
      <c r="AH280" s="1"/>
      <c r="AI280" s="1"/>
      <c r="AJ280" s="1"/>
    </row>
    <row r="281" spans="1:36" x14ac:dyDescent="0.25">
      <c r="A281" s="82"/>
      <c r="B281" s="17"/>
      <c r="C281" s="131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1"/>
      <c r="U281" s="1"/>
      <c r="V281" s="1"/>
      <c r="W281" s="1"/>
      <c r="X281" s="1"/>
      <c r="Y281" s="1"/>
      <c r="Z281" s="1"/>
      <c r="AA281" s="1"/>
      <c r="AB281" s="1"/>
      <c r="AC281" s="76"/>
      <c r="AD281" s="77" t="str">
        <f t="shared" si="408"/>
        <v/>
      </c>
      <c r="AE281" s="76"/>
      <c r="AF281" s="77" t="str">
        <f t="shared" ref="AF281" si="417">IF(ISBLANK(AE281),"",INDEX($A281:$AA281,1,MATCH(AE$3,$A$3:$AA$3,0))-AE281)</f>
        <v/>
      </c>
      <c r="AG281" s="1"/>
      <c r="AH281" s="1"/>
      <c r="AI281" s="1"/>
      <c r="AJ281" s="1"/>
    </row>
    <row r="282" spans="1:36" x14ac:dyDescent="0.25">
      <c r="A282" s="44"/>
      <c r="B282" s="86" t="s">
        <v>504</v>
      </c>
      <c r="C282" s="171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1"/>
      <c r="AB282" s="1"/>
      <c r="AC282" s="90"/>
      <c r="AD282" s="91" t="str">
        <f t="shared" si="408"/>
        <v/>
      </c>
      <c r="AE282" s="90"/>
      <c r="AF282" s="91" t="str">
        <f t="shared" ref="AF282" si="418">IF(ISBLANK(AE282),"",INDEX($A282:$AA282,1,MATCH(AE$3,$A$3:$AA$3,0))-AE282)</f>
        <v/>
      </c>
      <c r="AG282" s="1"/>
      <c r="AH282" s="1"/>
      <c r="AI282" s="1"/>
      <c r="AJ282" s="1"/>
    </row>
    <row r="283" spans="1:36" x14ac:dyDescent="0.25">
      <c r="A283" s="44"/>
      <c r="B283" s="92" t="s">
        <v>505</v>
      </c>
      <c r="C283" s="93" t="s">
        <v>7</v>
      </c>
      <c r="D283" s="2"/>
      <c r="E283" s="2"/>
      <c r="F283" s="2"/>
      <c r="G283" s="2"/>
      <c r="H283" s="2" t="e">
        <v>#REF!</v>
      </c>
      <c r="I283" s="2" t="e">
        <v>#REF!</v>
      </c>
      <c r="J283" s="2" t="e">
        <v>#REF!</v>
      </c>
      <c r="K283" s="2" t="e">
        <v>#REF!</v>
      </c>
      <c r="L283" s="2" t="e">
        <v>#REF!</v>
      </c>
      <c r="M283" s="2" t="e">
        <v>#REF!</v>
      </c>
      <c r="N283" s="2" t="e">
        <v>#REF!</v>
      </c>
      <c r="O283" s="2" t="e">
        <v>#REF!</v>
      </c>
      <c r="P283" s="2" t="e">
        <v>#REF!</v>
      </c>
      <c r="Q283" s="2" t="e">
        <v>#REF!</v>
      </c>
      <c r="R283" s="2" t="e">
        <v>#REF!</v>
      </c>
      <c r="S283" s="2" t="e">
        <v>#REF!</v>
      </c>
      <c r="T283" s="2" t="e">
        <v>#REF!</v>
      </c>
      <c r="U283" s="2" t="e">
        <v>#REF!</v>
      </c>
      <c r="V283" s="2" t="e">
        <v>#REF!</v>
      </c>
      <c r="W283" s="2" t="e">
        <v>#REF!</v>
      </c>
      <c r="X283" s="2" t="e">
        <v>#REF!</v>
      </c>
      <c r="Y283" s="2" t="e">
        <v>#REF!</v>
      </c>
      <c r="Z283" s="2" t="e">
        <v>#REF!</v>
      </c>
      <c r="AA283" s="1"/>
      <c r="AB283" s="1"/>
      <c r="AC283" s="90" t="e">
        <v>#REF!</v>
      </c>
      <c r="AD283" s="91" t="e">
        <f t="shared" si="408"/>
        <v>#REF!</v>
      </c>
      <c r="AE283" s="90" t="e">
        <v>#REF!</v>
      </c>
      <c r="AF283" s="91" t="e">
        <f t="shared" ref="AF283" si="419">IF(ISBLANK(AE283),"",INDEX($A283:$AA283,1,MATCH(AE$3,$A$3:$AA$3,0))-AE283)</f>
        <v>#REF!</v>
      </c>
      <c r="AG283" s="1"/>
      <c r="AH283" s="1"/>
      <c r="AI283" s="1"/>
      <c r="AJ283" s="1"/>
    </row>
    <row r="284" spans="1:36" x14ac:dyDescent="0.25">
      <c r="A284" s="44"/>
      <c r="B284" s="92" t="s">
        <v>506</v>
      </c>
      <c r="C284" s="93" t="s">
        <v>7</v>
      </c>
      <c r="D284" s="2"/>
      <c r="E284" s="2"/>
      <c r="F284" s="2"/>
      <c r="G284" s="2"/>
      <c r="H284" s="2" t="e">
        <v>#REF!</v>
      </c>
      <c r="I284" s="2" t="e">
        <v>#REF!</v>
      </c>
      <c r="J284" s="2" t="e">
        <v>#REF!</v>
      </c>
      <c r="K284" s="2" t="e">
        <v>#REF!</v>
      </c>
      <c r="L284" s="2" t="e">
        <v>#REF!</v>
      </c>
      <c r="M284" s="2" t="e">
        <v>#REF!</v>
      </c>
      <c r="N284" s="2" t="e">
        <v>#REF!</v>
      </c>
      <c r="O284" s="2" t="e">
        <v>#REF!</v>
      </c>
      <c r="P284" s="2" t="e">
        <v>#REF!</v>
      </c>
      <c r="Q284" s="2" t="e">
        <v>#REF!</v>
      </c>
      <c r="R284" s="2" t="e">
        <v>#REF!</v>
      </c>
      <c r="S284" s="2" t="e">
        <v>#REF!</v>
      </c>
      <c r="T284" s="2" t="e">
        <v>#REF!</v>
      </c>
      <c r="U284" s="2" t="e">
        <v>#REF!</v>
      </c>
      <c r="V284" s="2" t="e">
        <v>#REF!</v>
      </c>
      <c r="W284" s="2" t="e">
        <v>#REF!</v>
      </c>
      <c r="X284" s="2" t="e">
        <v>#REF!</v>
      </c>
      <c r="Y284" s="2" t="e">
        <v>#REF!</v>
      </c>
      <c r="Z284" s="2" t="e">
        <v>#REF!</v>
      </c>
      <c r="AA284" s="1"/>
      <c r="AB284" s="1"/>
      <c r="AC284" s="90" t="e">
        <v>#REF!</v>
      </c>
      <c r="AD284" s="91" t="e">
        <f t="shared" si="408"/>
        <v>#REF!</v>
      </c>
      <c r="AE284" s="90" t="e">
        <v>#REF!</v>
      </c>
      <c r="AF284" s="91" t="e">
        <f t="shared" ref="AF284" si="420">IF(ISBLANK(AE284),"",INDEX($A284:$AA284,1,MATCH(AE$3,$A$3:$AA$3,0))-AE284)</f>
        <v>#REF!</v>
      </c>
      <c r="AG284" s="1"/>
      <c r="AH284" s="1"/>
      <c r="AI284" s="1"/>
      <c r="AJ284" s="1"/>
    </row>
    <row r="285" spans="1:36" x14ac:dyDescent="0.25">
      <c r="A285" s="44"/>
      <c r="B285" s="92" t="s">
        <v>507</v>
      </c>
      <c r="C285" s="93" t="s">
        <v>7</v>
      </c>
      <c r="D285" s="2"/>
      <c r="E285" s="2"/>
      <c r="F285" s="2"/>
      <c r="G285" s="2"/>
      <c r="H285" s="2" t="e">
        <v>#REF!</v>
      </c>
      <c r="I285" s="2" t="e">
        <v>#REF!</v>
      </c>
      <c r="J285" s="2" t="e">
        <v>#REF!</v>
      </c>
      <c r="K285" s="2" t="e">
        <v>#REF!</v>
      </c>
      <c r="L285" s="2" t="e">
        <v>#REF!</v>
      </c>
      <c r="M285" s="2" t="e">
        <v>#REF!</v>
      </c>
      <c r="N285" s="2" t="e">
        <v>#REF!</v>
      </c>
      <c r="O285" s="2" t="e">
        <v>#REF!</v>
      </c>
      <c r="P285" s="2" t="e">
        <v>#REF!</v>
      </c>
      <c r="Q285" s="2" t="e">
        <v>#REF!</v>
      </c>
      <c r="R285" s="2" t="e">
        <v>#REF!</v>
      </c>
      <c r="S285" s="2" t="e">
        <v>#REF!</v>
      </c>
      <c r="T285" s="2" t="e">
        <v>#REF!</v>
      </c>
      <c r="U285" s="2" t="e">
        <v>#REF!</v>
      </c>
      <c r="V285" s="2" t="e">
        <v>#REF!</v>
      </c>
      <c r="W285" s="2" t="e">
        <v>#REF!</v>
      </c>
      <c r="X285" s="2" t="e">
        <v>#REF!</v>
      </c>
      <c r="Y285" s="2" t="e">
        <v>#REF!</v>
      </c>
      <c r="Z285" s="2" t="e">
        <v>#REF!</v>
      </c>
      <c r="AA285" s="1"/>
      <c r="AB285" s="1"/>
      <c r="AC285" s="90" t="e">
        <v>#REF!</v>
      </c>
      <c r="AD285" s="91" t="e">
        <f t="shared" si="408"/>
        <v>#REF!</v>
      </c>
      <c r="AE285" s="90" t="e">
        <v>#REF!</v>
      </c>
      <c r="AF285" s="91" t="e">
        <f t="shared" ref="AF285" si="421">IF(ISBLANK(AE285),"",INDEX($A285:$AA285,1,MATCH(AE$3,$A$3:$AA$3,0))-AE285)</f>
        <v>#REF!</v>
      </c>
      <c r="AG285" s="1"/>
      <c r="AH285" s="1"/>
      <c r="AI285" s="1"/>
      <c r="AJ285" s="1"/>
    </row>
    <row r="286" spans="1:36" x14ac:dyDescent="0.25">
      <c r="A286" s="44"/>
      <c r="B286" s="92" t="s">
        <v>508</v>
      </c>
      <c r="C286" s="93" t="s">
        <v>7</v>
      </c>
      <c r="D286" s="181"/>
      <c r="E286" s="181"/>
      <c r="F286" s="181"/>
      <c r="G286" s="181"/>
      <c r="H286" s="62">
        <v>0</v>
      </c>
      <c r="I286" s="62">
        <v>0</v>
      </c>
      <c r="J286" s="62">
        <v>0</v>
      </c>
      <c r="K286" s="62">
        <v>0</v>
      </c>
      <c r="L286" s="62">
        <v>0</v>
      </c>
      <c r="M286" s="62">
        <v>0</v>
      </c>
      <c r="N286" s="62">
        <v>0</v>
      </c>
      <c r="O286" s="62">
        <v>0</v>
      </c>
      <c r="P286" s="62">
        <v>0</v>
      </c>
      <c r="Q286" s="62">
        <v>0</v>
      </c>
      <c r="R286" s="62">
        <v>0</v>
      </c>
      <c r="S286" s="62">
        <v>0</v>
      </c>
      <c r="T286" s="62">
        <v>0</v>
      </c>
      <c r="U286" s="62">
        <v>0</v>
      </c>
      <c r="V286" s="62">
        <v>0</v>
      </c>
      <c r="W286" s="62">
        <v>0</v>
      </c>
      <c r="X286" s="62">
        <v>0</v>
      </c>
      <c r="Y286" s="62">
        <v>0</v>
      </c>
      <c r="Z286" s="62">
        <v>0</v>
      </c>
      <c r="AA286" s="1"/>
      <c r="AB286" s="1"/>
      <c r="AC286" s="105">
        <v>0</v>
      </c>
      <c r="AD286" s="106">
        <f t="shared" si="408"/>
        <v>0</v>
      </c>
      <c r="AE286" s="105">
        <v>0</v>
      </c>
      <c r="AF286" s="106">
        <f t="shared" ref="AF286" si="422">IF(ISBLANK(AE286),"",INDEX($A286:$AA286,1,MATCH(AE$3,$A$3:$AA$3,0))-AE286)</f>
        <v>0</v>
      </c>
      <c r="AG286" s="1"/>
      <c r="AH286" s="1"/>
      <c r="AI286" s="1"/>
      <c r="AJ286" s="1"/>
    </row>
    <row r="287" spans="1:36" x14ac:dyDescent="0.25">
      <c r="A287" s="44"/>
      <c r="B287" s="100" t="s">
        <v>509</v>
      </c>
      <c r="C287" s="5" t="s">
        <v>7</v>
      </c>
      <c r="D287" s="144"/>
      <c r="E287" s="144"/>
      <c r="F287" s="144"/>
      <c r="G287" s="144"/>
      <c r="H287" s="144" t="e">
        <v>#REF!</v>
      </c>
      <c r="I287" s="144" t="e">
        <v>#REF!</v>
      </c>
      <c r="J287" s="144" t="e">
        <v>#REF!</v>
      </c>
      <c r="K287" s="144" t="e">
        <v>#REF!</v>
      </c>
      <c r="L287" s="144" t="e">
        <v>#REF!</v>
      </c>
      <c r="M287" s="144" t="e">
        <v>#REF!</v>
      </c>
      <c r="N287" s="144" t="e">
        <v>#REF!</v>
      </c>
      <c r="O287" s="144" t="e">
        <v>#REF!</v>
      </c>
      <c r="P287" s="144" t="e">
        <v>#REF!</v>
      </c>
      <c r="Q287" s="144" t="e">
        <v>#REF!</v>
      </c>
      <c r="R287" s="144" t="e">
        <v>#REF!</v>
      </c>
      <c r="S287" s="144" t="e">
        <v>#REF!</v>
      </c>
      <c r="T287" s="144" t="e">
        <v>#REF!</v>
      </c>
      <c r="U287" s="144" t="e">
        <v>#REF!</v>
      </c>
      <c r="V287" s="144" t="e">
        <v>#REF!</v>
      </c>
      <c r="W287" s="144" t="e">
        <v>#REF!</v>
      </c>
      <c r="X287" s="144" t="e">
        <v>#REF!</v>
      </c>
      <c r="Y287" s="144" t="e">
        <v>#REF!</v>
      </c>
      <c r="Z287" s="144" t="e">
        <v>#REF!</v>
      </c>
      <c r="AA287" s="1"/>
      <c r="AB287" s="1"/>
      <c r="AC287" s="145" t="e">
        <v>#REF!</v>
      </c>
      <c r="AD287" s="146" t="e">
        <f t="shared" si="408"/>
        <v>#REF!</v>
      </c>
      <c r="AE287" s="145" t="e">
        <v>#REF!</v>
      </c>
      <c r="AF287" s="146" t="e">
        <f t="shared" ref="AF287" si="423">IF(ISBLANK(AE287),"",INDEX($A287:$AA287,1,MATCH(AE$3,$A$3:$AA$3,0))-AE287)</f>
        <v>#REF!</v>
      </c>
      <c r="AG287" s="1"/>
      <c r="AH287" s="1"/>
      <c r="AI287" s="1"/>
      <c r="AJ28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93F0-84D4-4DB5-AC94-2B1CBE0CD52F}">
  <dimension ref="A1:BQ305"/>
  <sheetViews>
    <sheetView tabSelected="1" workbookViewId="0">
      <pane xSplit="3" ySplit="5" topLeftCell="O143" activePane="bottomRight" state="frozen"/>
      <selection pane="topRight" activeCell="D1" sqref="D1"/>
      <selection pane="bottomLeft" activeCell="A6" sqref="A6"/>
      <selection pane="bottomRight" activeCell="U144" sqref="U144"/>
    </sheetView>
  </sheetViews>
  <sheetFormatPr defaultRowHeight="15" outlineLevelCol="2" x14ac:dyDescent="0.25"/>
  <cols>
    <col min="2" max="2" width="41.28515625" customWidth="1"/>
    <col min="4" max="27" width="10.5703125" customWidth="1"/>
    <col min="28" max="31" width="10.5703125" customWidth="1" outlineLevel="1"/>
    <col min="32" max="59" width="10.5703125" customWidth="1" outlineLevel="2"/>
    <col min="60" max="60" width="10.5703125" customWidth="1" outlineLevel="1"/>
    <col min="66" max="66" width="10.5703125" style="413" customWidth="1"/>
    <col min="67" max="67" width="10.5703125" style="463" customWidth="1"/>
    <col min="68" max="68" width="10.5703125" style="413" customWidth="1"/>
    <col min="69" max="69" width="10.5703125" style="463" customWidth="1"/>
  </cols>
  <sheetData>
    <row r="1" spans="1:69" x14ac:dyDescent="0.25">
      <c r="A1" s="198"/>
      <c r="B1" s="3" t="s">
        <v>510</v>
      </c>
      <c r="C1" s="1"/>
      <c r="D1" s="1">
        <v>2022</v>
      </c>
      <c r="E1" s="1">
        <v>2022</v>
      </c>
      <c r="F1" s="1">
        <v>2022</v>
      </c>
      <c r="G1" s="1">
        <v>2022</v>
      </c>
      <c r="H1" s="1">
        <v>2023</v>
      </c>
      <c r="I1" s="1">
        <v>2023</v>
      </c>
      <c r="J1" s="1">
        <v>2023</v>
      </c>
      <c r="K1" s="1">
        <v>2023</v>
      </c>
      <c r="L1" s="1">
        <v>2024</v>
      </c>
      <c r="M1" s="1">
        <v>2024</v>
      </c>
      <c r="N1" s="1">
        <v>2024</v>
      </c>
      <c r="O1" s="1">
        <v>2024</v>
      </c>
      <c r="P1" s="1">
        <v>2025</v>
      </c>
      <c r="Q1" s="1">
        <v>2025</v>
      </c>
      <c r="R1" s="1">
        <v>2025</v>
      </c>
      <c r="S1" s="1">
        <v>2025</v>
      </c>
      <c r="T1" s="1">
        <v>2026</v>
      </c>
      <c r="U1" s="1">
        <v>2026</v>
      </c>
      <c r="V1" s="1">
        <v>2026</v>
      </c>
      <c r="W1" s="1">
        <v>2026</v>
      </c>
      <c r="X1" s="1">
        <v>2027</v>
      </c>
      <c r="Y1" s="1">
        <v>2027</v>
      </c>
      <c r="Z1" s="1">
        <v>2027</v>
      </c>
      <c r="AA1" s="1">
        <v>2027</v>
      </c>
      <c r="AB1" s="1">
        <v>2028</v>
      </c>
      <c r="AC1" s="1">
        <v>2028</v>
      </c>
      <c r="AD1" s="1">
        <v>2028</v>
      </c>
      <c r="AE1" s="1">
        <v>2028</v>
      </c>
      <c r="AF1" s="1">
        <v>2029</v>
      </c>
      <c r="AG1" s="1">
        <v>2029</v>
      </c>
      <c r="AH1" s="1">
        <v>2029</v>
      </c>
      <c r="AI1" s="1">
        <v>2029</v>
      </c>
      <c r="AJ1" s="1">
        <v>2030</v>
      </c>
      <c r="AK1" s="1">
        <v>2030</v>
      </c>
      <c r="AL1" s="1">
        <v>2030</v>
      </c>
      <c r="AM1" s="1">
        <v>2030</v>
      </c>
      <c r="AN1" s="1">
        <v>2031</v>
      </c>
      <c r="AO1" s="1">
        <v>2031</v>
      </c>
      <c r="AP1" s="1">
        <v>2031</v>
      </c>
      <c r="AQ1" s="1">
        <v>2031</v>
      </c>
      <c r="AR1" s="1">
        <v>2032</v>
      </c>
      <c r="AS1" s="1">
        <v>2032</v>
      </c>
      <c r="AT1" s="1">
        <v>2032</v>
      </c>
      <c r="AU1" s="1">
        <v>2032</v>
      </c>
      <c r="AV1" s="1">
        <v>2033</v>
      </c>
      <c r="AW1" s="1">
        <v>2033</v>
      </c>
      <c r="AX1" s="1">
        <v>2033</v>
      </c>
      <c r="AY1" s="1">
        <v>2033</v>
      </c>
      <c r="AZ1" s="1">
        <v>2034</v>
      </c>
      <c r="BA1" s="1">
        <v>2034</v>
      </c>
      <c r="BB1" s="1">
        <v>2034</v>
      </c>
      <c r="BC1" s="1">
        <v>2034</v>
      </c>
      <c r="BD1" s="1">
        <v>2035</v>
      </c>
      <c r="BE1" s="1">
        <v>2035</v>
      </c>
      <c r="BF1" s="1">
        <v>2035</v>
      </c>
      <c r="BG1" s="1">
        <v>2035</v>
      </c>
      <c r="BH1" s="187"/>
      <c r="BI1" s="199"/>
      <c r="BJ1" s="199"/>
      <c r="BK1" s="199"/>
      <c r="BL1" s="199"/>
      <c r="BM1" s="187"/>
      <c r="BN1" s="364">
        <v>2025</v>
      </c>
      <c r="BO1" s="414"/>
      <c r="BP1" s="364">
        <v>2025</v>
      </c>
      <c r="BQ1" s="414"/>
    </row>
    <row r="2" spans="1:69" x14ac:dyDescent="0.25">
      <c r="A2" s="486"/>
      <c r="B2" s="486"/>
      <c r="C2" s="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79" t="s">
        <v>31</v>
      </c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79"/>
      <c r="BA2" s="79"/>
      <c r="BB2" s="79"/>
      <c r="BC2" s="79"/>
      <c r="BD2" s="79"/>
      <c r="BE2" s="79"/>
      <c r="BF2" s="79"/>
      <c r="BG2" s="79"/>
      <c r="BH2" s="187"/>
      <c r="BI2" s="202" t="s">
        <v>511</v>
      </c>
      <c r="BJ2" s="202"/>
      <c r="BK2" s="202"/>
      <c r="BL2" s="202"/>
      <c r="BM2" s="187"/>
      <c r="BN2" s="365" t="s">
        <v>31</v>
      </c>
      <c r="BO2" s="415"/>
      <c r="BP2" s="365"/>
      <c r="BQ2" s="415"/>
    </row>
    <row r="3" spans="1:69" x14ac:dyDescent="0.25">
      <c r="A3" s="486"/>
      <c r="B3" s="487"/>
      <c r="C3" s="83" t="s">
        <v>3</v>
      </c>
      <c r="D3" s="35" t="s">
        <v>512</v>
      </c>
      <c r="E3" s="35" t="s">
        <v>513</v>
      </c>
      <c r="F3" s="35" t="s">
        <v>514</v>
      </c>
      <c r="G3" s="35" t="s">
        <v>515</v>
      </c>
      <c r="H3" s="35" t="s">
        <v>516</v>
      </c>
      <c r="I3" s="35" t="s">
        <v>517</v>
      </c>
      <c r="J3" s="35" t="s">
        <v>518</v>
      </c>
      <c r="K3" s="35" t="s">
        <v>519</v>
      </c>
      <c r="L3" s="35" t="s">
        <v>520</v>
      </c>
      <c r="M3" s="35" t="s">
        <v>521</v>
      </c>
      <c r="N3" s="35" t="s">
        <v>522</v>
      </c>
      <c r="O3" s="35" t="s">
        <v>523</v>
      </c>
      <c r="P3" s="35" t="s">
        <v>524</v>
      </c>
      <c r="Q3" s="35" t="s">
        <v>525</v>
      </c>
      <c r="R3" s="35" t="s">
        <v>526</v>
      </c>
      <c r="S3" s="39" t="s">
        <v>527</v>
      </c>
      <c r="T3" s="39" t="s">
        <v>528</v>
      </c>
      <c r="U3" s="39" t="s">
        <v>529</v>
      </c>
      <c r="V3" s="39" t="s">
        <v>530</v>
      </c>
      <c r="W3" s="39" t="s">
        <v>531</v>
      </c>
      <c r="X3" s="39" t="s">
        <v>532</v>
      </c>
      <c r="Y3" s="39" t="s">
        <v>533</v>
      </c>
      <c r="Z3" s="39" t="s">
        <v>534</v>
      </c>
      <c r="AA3" s="39" t="s">
        <v>535</v>
      </c>
      <c r="AB3" s="39" t="s">
        <v>536</v>
      </c>
      <c r="AC3" s="39" t="s">
        <v>537</v>
      </c>
      <c r="AD3" s="39" t="s">
        <v>538</v>
      </c>
      <c r="AE3" s="39" t="s">
        <v>539</v>
      </c>
      <c r="AF3" s="39" t="s">
        <v>540</v>
      </c>
      <c r="AG3" s="39" t="s">
        <v>541</v>
      </c>
      <c r="AH3" s="39" t="s">
        <v>542</v>
      </c>
      <c r="AI3" s="39" t="s">
        <v>543</v>
      </c>
      <c r="AJ3" s="39" t="s">
        <v>544</v>
      </c>
      <c r="AK3" s="39" t="s">
        <v>545</v>
      </c>
      <c r="AL3" s="39" t="s">
        <v>546</v>
      </c>
      <c r="AM3" s="39" t="s">
        <v>547</v>
      </c>
      <c r="AN3" s="39" t="s">
        <v>548</v>
      </c>
      <c r="AO3" s="39" t="s">
        <v>549</v>
      </c>
      <c r="AP3" s="39" t="s">
        <v>550</v>
      </c>
      <c r="AQ3" s="39" t="s">
        <v>551</v>
      </c>
      <c r="AR3" s="39" t="s">
        <v>552</v>
      </c>
      <c r="AS3" s="39" t="s">
        <v>553</v>
      </c>
      <c r="AT3" s="39" t="s">
        <v>554</v>
      </c>
      <c r="AU3" s="39" t="s">
        <v>555</v>
      </c>
      <c r="AV3" s="39" t="s">
        <v>556</v>
      </c>
      <c r="AW3" s="39" t="s">
        <v>557</v>
      </c>
      <c r="AX3" s="39" t="s">
        <v>558</v>
      </c>
      <c r="AY3" s="39" t="s">
        <v>559</v>
      </c>
      <c r="AZ3" s="39" t="s">
        <v>560</v>
      </c>
      <c r="BA3" s="39" t="s">
        <v>561</v>
      </c>
      <c r="BB3" s="39" t="s">
        <v>562</v>
      </c>
      <c r="BC3" s="39" t="s">
        <v>563</v>
      </c>
      <c r="BD3" s="39" t="s">
        <v>564</v>
      </c>
      <c r="BE3" s="39" t="s">
        <v>565</v>
      </c>
      <c r="BF3" s="39" t="s">
        <v>566</v>
      </c>
      <c r="BG3" s="39" t="s">
        <v>567</v>
      </c>
      <c r="BH3" s="187"/>
      <c r="BI3" s="203" t="s">
        <v>568</v>
      </c>
      <c r="BJ3" s="203" t="s">
        <v>569</v>
      </c>
      <c r="BK3" s="203" t="s">
        <v>570</v>
      </c>
      <c r="BL3" s="203" t="s">
        <v>571</v>
      </c>
      <c r="BM3" s="187"/>
      <c r="BN3" s="366" t="s">
        <v>526</v>
      </c>
      <c r="BO3" s="416"/>
      <c r="BP3" s="366" t="s">
        <v>527</v>
      </c>
      <c r="BQ3" s="416"/>
    </row>
    <row r="4" spans="1:69" x14ac:dyDescent="0.25">
      <c r="A4" s="486"/>
      <c r="B4" s="487"/>
      <c r="C4" s="134"/>
      <c r="D4" s="46" t="s">
        <v>572</v>
      </c>
      <c r="E4" s="46" t="s">
        <v>572</v>
      </c>
      <c r="F4" s="46" t="s">
        <v>573</v>
      </c>
      <c r="G4" s="46" t="s">
        <v>573</v>
      </c>
      <c r="H4" s="46" t="s">
        <v>574</v>
      </c>
      <c r="I4" s="46" t="s">
        <v>574</v>
      </c>
      <c r="J4" s="46" t="s">
        <v>575</v>
      </c>
      <c r="K4" s="46" t="s">
        <v>575</v>
      </c>
      <c r="L4" s="46" t="s">
        <v>576</v>
      </c>
      <c r="M4" s="46" t="s">
        <v>576</v>
      </c>
      <c r="N4" s="46" t="s">
        <v>577</v>
      </c>
      <c r="O4" s="46" t="s">
        <v>577</v>
      </c>
      <c r="P4" s="46" t="s">
        <v>578</v>
      </c>
      <c r="Q4" s="46" t="s">
        <v>578</v>
      </c>
      <c r="R4" s="46" t="s">
        <v>578</v>
      </c>
      <c r="S4" s="46" t="s">
        <v>579</v>
      </c>
      <c r="T4" s="46" t="s">
        <v>580</v>
      </c>
      <c r="U4" s="46" t="s">
        <v>580</v>
      </c>
      <c r="V4" s="46" t="s">
        <v>581</v>
      </c>
      <c r="W4" s="46" t="s">
        <v>581</v>
      </c>
      <c r="X4" s="46" t="s">
        <v>582</v>
      </c>
      <c r="Y4" s="46" t="s">
        <v>582</v>
      </c>
      <c r="Z4" s="46" t="s">
        <v>583</v>
      </c>
      <c r="AA4" s="46" t="s">
        <v>583</v>
      </c>
      <c r="AB4" s="46" t="s">
        <v>584</v>
      </c>
      <c r="AC4" s="46" t="s">
        <v>584</v>
      </c>
      <c r="AD4" s="46" t="s">
        <v>585</v>
      </c>
      <c r="AE4" s="46" t="s">
        <v>585</v>
      </c>
      <c r="AF4" s="46" t="s">
        <v>586</v>
      </c>
      <c r="AG4" s="46" t="s">
        <v>586</v>
      </c>
      <c r="AH4" s="46" t="s">
        <v>587</v>
      </c>
      <c r="AI4" s="46" t="s">
        <v>587</v>
      </c>
      <c r="AJ4" s="46" t="s">
        <v>588</v>
      </c>
      <c r="AK4" s="46" t="s">
        <v>588</v>
      </c>
      <c r="AL4" s="46" t="s">
        <v>589</v>
      </c>
      <c r="AM4" s="46" t="s">
        <v>589</v>
      </c>
      <c r="AN4" s="46" t="s">
        <v>590</v>
      </c>
      <c r="AO4" s="46" t="s">
        <v>590</v>
      </c>
      <c r="AP4" s="46" t="s">
        <v>591</v>
      </c>
      <c r="AQ4" s="46" t="s">
        <v>591</v>
      </c>
      <c r="AR4" s="46" t="s">
        <v>592</v>
      </c>
      <c r="AS4" s="46" t="s">
        <v>592</v>
      </c>
      <c r="AT4" s="46" t="s">
        <v>593</v>
      </c>
      <c r="AU4" s="46" t="s">
        <v>593</v>
      </c>
      <c r="AV4" s="46" t="s">
        <v>594</v>
      </c>
      <c r="AW4" s="46" t="s">
        <v>594</v>
      </c>
      <c r="AX4" s="46" t="s">
        <v>595</v>
      </c>
      <c r="AY4" s="46" t="s">
        <v>595</v>
      </c>
      <c r="AZ4" s="46" t="s">
        <v>596</v>
      </c>
      <c r="BA4" s="46" t="s">
        <v>596</v>
      </c>
      <c r="BB4" s="46" t="s">
        <v>597</v>
      </c>
      <c r="BC4" s="46" t="s">
        <v>597</v>
      </c>
      <c r="BD4" s="46" t="s">
        <v>598</v>
      </c>
      <c r="BE4" s="46" t="s">
        <v>598</v>
      </c>
      <c r="BF4" s="46" t="s">
        <v>599</v>
      </c>
      <c r="BG4" s="46" t="s">
        <v>599</v>
      </c>
      <c r="BH4" s="187"/>
      <c r="BI4" s="203"/>
      <c r="BJ4" s="203"/>
      <c r="BK4" s="203"/>
      <c r="BL4" s="203"/>
      <c r="BM4" s="187"/>
      <c r="BN4" s="367" t="s">
        <v>579</v>
      </c>
      <c r="BO4" s="417"/>
      <c r="BP4" s="367" t="s">
        <v>579</v>
      </c>
      <c r="BQ4" s="417"/>
    </row>
    <row r="5" spans="1:69" x14ac:dyDescent="0.25">
      <c r="A5" s="82"/>
      <c r="B5" s="86" t="s">
        <v>288</v>
      </c>
      <c r="C5" s="87"/>
      <c r="D5" s="88"/>
      <c r="E5" s="88"/>
      <c r="F5" s="88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1"/>
      <c r="BI5" s="204"/>
      <c r="BJ5" s="204"/>
      <c r="BK5" s="204"/>
      <c r="BL5" s="204"/>
      <c r="BM5" s="1"/>
      <c r="BN5" s="368"/>
      <c r="BO5" s="418"/>
      <c r="BP5" s="368"/>
      <c r="BQ5" s="418"/>
    </row>
    <row r="6" spans="1:69" x14ac:dyDescent="0.25">
      <c r="A6" s="82"/>
      <c r="B6" s="95" t="s">
        <v>290</v>
      </c>
      <c r="C6" s="114"/>
      <c r="D6" s="2"/>
      <c r="E6" s="46"/>
      <c r="F6" s="2"/>
      <c r="G6" s="2"/>
      <c r="H6" s="2"/>
      <c r="I6" s="46"/>
      <c r="J6" s="2"/>
      <c r="K6" s="2"/>
      <c r="L6" s="2"/>
      <c r="M6" s="46"/>
      <c r="N6" s="46"/>
      <c r="O6" s="2"/>
      <c r="P6" s="2"/>
      <c r="Q6" s="2"/>
      <c r="R6" s="2"/>
      <c r="S6" s="2"/>
      <c r="T6" s="2"/>
      <c r="U6" s="2"/>
      <c r="V6" s="2"/>
      <c r="W6" s="2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204"/>
      <c r="BJ6" s="204"/>
      <c r="BK6" s="204"/>
      <c r="BL6" s="204"/>
      <c r="BM6" s="1"/>
      <c r="BN6" s="369"/>
      <c r="BO6" s="419"/>
      <c r="BP6" s="369"/>
      <c r="BQ6" s="419"/>
    </row>
    <row r="7" spans="1:69" x14ac:dyDescent="0.25">
      <c r="A7" s="82" t="s">
        <v>291</v>
      </c>
      <c r="B7" s="92" t="s">
        <v>292</v>
      </c>
      <c r="C7" s="93"/>
      <c r="D7" s="97">
        <v>1378822</v>
      </c>
      <c r="E7" s="97">
        <v>1621463</v>
      </c>
      <c r="F7" s="97">
        <v>1669556</v>
      </c>
      <c r="G7" s="97">
        <v>1624298</v>
      </c>
      <c r="H7" s="97">
        <v>1555376</v>
      </c>
      <c r="I7" s="97">
        <v>1811713</v>
      </c>
      <c r="J7" s="97">
        <v>1853382</v>
      </c>
      <c r="K7" s="97">
        <v>1812912</v>
      </c>
      <c r="L7" s="97">
        <v>1730037</v>
      </c>
      <c r="M7" s="97">
        <v>1979490</v>
      </c>
      <c r="N7" s="97">
        <v>2001737</v>
      </c>
      <c r="O7" s="97">
        <v>1970392</v>
      </c>
      <c r="P7" s="97">
        <v>1852161</v>
      </c>
      <c r="Q7" s="97">
        <v>2166275</v>
      </c>
      <c r="R7" s="97">
        <f>R139</f>
        <v>2240846</v>
      </c>
      <c r="S7" s="97">
        <f t="shared" ref="S7:BG7" si="0">S139</f>
        <v>2218132.6315708403</v>
      </c>
      <c r="T7" s="97">
        <f t="shared" si="0"/>
        <v>2096505.7695085765</v>
      </c>
      <c r="U7" s="97">
        <f t="shared" si="0"/>
        <v>2461866.1733426368</v>
      </c>
      <c r="V7" s="97">
        <f t="shared" si="0"/>
        <v>2552542.1725500003</v>
      </c>
      <c r="W7" s="97">
        <f t="shared" si="0"/>
        <v>2527118.7296535452</v>
      </c>
      <c r="X7" s="97">
        <f t="shared" si="0"/>
        <v>2371569.4401627081</v>
      </c>
      <c r="Y7" s="97">
        <f t="shared" si="0"/>
        <v>2784453.8857093784</v>
      </c>
      <c r="Z7" s="97">
        <f t="shared" si="0"/>
        <v>2890014.3915680004</v>
      </c>
      <c r="AA7" s="97">
        <f t="shared" si="0"/>
        <v>2862103.1715436289</v>
      </c>
      <c r="AB7" s="97">
        <f t="shared" si="0"/>
        <v>2685979.0050142752</v>
      </c>
      <c r="AC7" s="97">
        <f t="shared" si="0"/>
        <v>3153063.6538681332</v>
      </c>
      <c r="AD7" s="97">
        <f t="shared" si="0"/>
        <v>3276032.4071056005</v>
      </c>
      <c r="AE7" s="97">
        <f t="shared" si="0"/>
        <v>3245449.5685306103</v>
      </c>
      <c r="AF7" s="97">
        <f t="shared" si="0"/>
        <v>2990783.8072437663</v>
      </c>
      <c r="AG7" s="97">
        <f t="shared" si="0"/>
        <v>3508394.5452052578</v>
      </c>
      <c r="AH7" s="97">
        <f t="shared" si="0"/>
        <v>3647313.9387205439</v>
      </c>
      <c r="AI7" s="97">
        <f t="shared" si="0"/>
        <v>3615494.7200815729</v>
      </c>
      <c r="AJ7" s="97">
        <f t="shared" si="0"/>
        <v>3335579.3637597831</v>
      </c>
      <c r="AK7" s="97">
        <f t="shared" si="0"/>
        <v>3909831.7954486986</v>
      </c>
      <c r="AL7" s="97">
        <f t="shared" si="0"/>
        <v>4066897.1998249213</v>
      </c>
      <c r="AM7" s="97">
        <f t="shared" si="0"/>
        <v>4034117.9365649596</v>
      </c>
      <c r="AN7" s="97">
        <f t="shared" si="0"/>
        <v>3726460.9383402001</v>
      </c>
      <c r="AO7" s="97">
        <f t="shared" si="0"/>
        <v>4364316.4724079836</v>
      </c>
      <c r="AP7" s="97">
        <f t="shared" si="0"/>
        <v>4542044.2958394689</v>
      </c>
      <c r="AQ7" s="97">
        <f t="shared" si="0"/>
        <v>4508694.360579513</v>
      </c>
      <c r="AR7" s="97">
        <f t="shared" si="0"/>
        <v>4170568.3186659198</v>
      </c>
      <c r="AS7" s="97">
        <f t="shared" si="0"/>
        <v>4879966.835375879</v>
      </c>
      <c r="AT7" s="97">
        <f t="shared" si="0"/>
        <v>5081244.4891594313</v>
      </c>
      <c r="AU7" s="97">
        <f t="shared" si="0"/>
        <v>5047855.4798129732</v>
      </c>
      <c r="AV7" s="97">
        <f t="shared" si="0"/>
        <v>4676278.4851585813</v>
      </c>
      <c r="AW7" s="97">
        <f t="shared" si="0"/>
        <v>5466293.9210217539</v>
      </c>
      <c r="AX7" s="97">
        <f t="shared" si="0"/>
        <v>5694438.0595262414</v>
      </c>
      <c r="AY7" s="97">
        <f t="shared" si="0"/>
        <v>5661719.6006865148</v>
      </c>
      <c r="AZ7" s="97">
        <f t="shared" si="0"/>
        <v>5253435.2861765046</v>
      </c>
      <c r="BA7" s="97">
        <f t="shared" si="0"/>
        <v>6134458.3542338153</v>
      </c>
      <c r="BB7" s="97">
        <f t="shared" si="0"/>
        <v>6393282.8408682542</v>
      </c>
      <c r="BC7" s="97">
        <f t="shared" si="0"/>
        <v>6362166.4156980421</v>
      </c>
      <c r="BD7" s="97">
        <f t="shared" si="0"/>
        <v>5913623.3781438097</v>
      </c>
      <c r="BE7" s="97">
        <f t="shared" si="0"/>
        <v>6897576.4495127182</v>
      </c>
      <c r="BF7" s="97">
        <f t="shared" si="0"/>
        <v>7191471.7675446905</v>
      </c>
      <c r="BG7" s="97">
        <f t="shared" si="0"/>
        <v>7163164.2927412353</v>
      </c>
      <c r="BH7" s="1"/>
      <c r="BI7" s="204"/>
      <c r="BJ7" s="204"/>
      <c r="BK7" s="204"/>
      <c r="BL7" s="204"/>
      <c r="BM7" s="1"/>
      <c r="BN7" s="370">
        <v>2212026.9877788955</v>
      </c>
      <c r="BO7" s="420">
        <f>IF(ISBLANK(BN7),"",INDEX($A7:$BH7,1,MATCH(BN$3,$A$3:$BH$3,0))-BN7)</f>
        <v>28819.012221104465</v>
      </c>
      <c r="BP7" s="370">
        <v>2208487.0479051638</v>
      </c>
      <c r="BQ7" s="420">
        <f>IF(ISBLANK(BP7),"",INDEX($A7:$BH7,1,MATCH(BP$3,$A$3:$BH$3,0))-BP7)</f>
        <v>9645.583665676415</v>
      </c>
    </row>
    <row r="8" spans="1:69" x14ac:dyDescent="0.25">
      <c r="A8" s="82" t="s">
        <v>293</v>
      </c>
      <c r="B8" s="92" t="s">
        <v>294</v>
      </c>
      <c r="C8" s="93"/>
      <c r="D8" s="97">
        <v>2527225</v>
      </c>
      <c r="E8" s="97">
        <v>2726196</v>
      </c>
      <c r="F8" s="97">
        <v>2789851</v>
      </c>
      <c r="G8" s="97">
        <v>2988531</v>
      </c>
      <c r="H8" s="97">
        <v>3384163</v>
      </c>
      <c r="I8" s="97">
        <v>3673166</v>
      </c>
      <c r="J8" s="97">
        <v>3713928</v>
      </c>
      <c r="K8" s="97">
        <v>3910430</v>
      </c>
      <c r="L8" s="97">
        <v>4172904</v>
      </c>
      <c r="M8" s="97">
        <v>4128827</v>
      </c>
      <c r="N8" s="97">
        <v>3929573</v>
      </c>
      <c r="O8" s="97">
        <v>4016576</v>
      </c>
      <c r="P8" s="97">
        <v>3879014</v>
      </c>
      <c r="Q8" s="97">
        <v>3844928</v>
      </c>
      <c r="R8" s="97">
        <f>R186</f>
        <v>3799501</v>
      </c>
      <c r="S8" s="97">
        <f t="shared" ref="S8:BG8" si="1">S186</f>
        <v>3742696.0641200002</v>
      </c>
      <c r="T8" s="97">
        <f t="shared" si="1"/>
        <v>4349897.7911999999</v>
      </c>
      <c r="U8" s="97">
        <f t="shared" si="1"/>
        <v>4460787.8080000002</v>
      </c>
      <c r="V8" s="97">
        <f t="shared" si="1"/>
        <v>4318080.898</v>
      </c>
      <c r="W8" s="97">
        <f t="shared" si="1"/>
        <v>4253686.1359426398</v>
      </c>
      <c r="X8" s="97">
        <f t="shared" si="1"/>
        <v>4951468.5033263993</v>
      </c>
      <c r="Y8" s="97">
        <f t="shared" si="1"/>
        <v>5074041.750976</v>
      </c>
      <c r="Z8" s="97">
        <f t="shared" si="1"/>
        <v>4908183.6599559998</v>
      </c>
      <c r="AA8" s="97">
        <f t="shared" si="1"/>
        <v>4835174.1693276418</v>
      </c>
      <c r="AB8" s="97">
        <f t="shared" si="1"/>
        <v>5637063.3195722206</v>
      </c>
      <c r="AC8" s="97">
        <f t="shared" si="1"/>
        <v>5772468.3495550714</v>
      </c>
      <c r="AD8" s="97">
        <f t="shared" si="1"/>
        <v>5579773.4927306315</v>
      </c>
      <c r="AE8" s="97">
        <f t="shared" si="1"/>
        <v>5496984.4915056145</v>
      </c>
      <c r="AF8" s="97">
        <f t="shared" si="1"/>
        <v>6418528.0522260312</v>
      </c>
      <c r="AG8" s="97">
        <f t="shared" si="1"/>
        <v>6568012.0189047903</v>
      </c>
      <c r="AH8" s="97">
        <f t="shared" si="1"/>
        <v>6344215.999042769</v>
      </c>
      <c r="AI8" s="97">
        <f t="shared" si="1"/>
        <v>6250323.5340172993</v>
      </c>
      <c r="AJ8" s="97">
        <f t="shared" si="1"/>
        <v>7309392.9334135074</v>
      </c>
      <c r="AK8" s="97">
        <f t="shared" si="1"/>
        <v>7474307.3955207746</v>
      </c>
      <c r="AL8" s="97">
        <f t="shared" si="1"/>
        <v>7214477.0121548362</v>
      </c>
      <c r="AM8" s="97">
        <f t="shared" si="1"/>
        <v>7107975.9798976099</v>
      </c>
      <c r="AN8" s="97">
        <f t="shared" si="1"/>
        <v>8325113.9989282396</v>
      </c>
      <c r="AO8" s="97">
        <f t="shared" si="1"/>
        <v>8506920.4946303479</v>
      </c>
      <c r="AP8" s="97">
        <f t="shared" si="1"/>
        <v>8205349.868050904</v>
      </c>
      <c r="AQ8" s="97">
        <f t="shared" si="1"/>
        <v>8084528.9703848483</v>
      </c>
      <c r="AR8" s="97">
        <f t="shared" si="1"/>
        <v>9483349.3035815135</v>
      </c>
      <c r="AS8" s="97">
        <f t="shared" si="1"/>
        <v>9683624.5313596968</v>
      </c>
      <c r="AT8" s="97">
        <f t="shared" si="1"/>
        <v>9333715.2114282697</v>
      </c>
      <c r="AU8" s="97">
        <f t="shared" si="1"/>
        <v>9196628.4138524905</v>
      </c>
      <c r="AV8" s="97">
        <f t="shared" si="1"/>
        <v>10804275.024920089</v>
      </c>
      <c r="AW8" s="97">
        <f t="shared" si="1"/>
        <v>11024715.421027694</v>
      </c>
      <c r="AX8" s="97">
        <f t="shared" si="1"/>
        <v>10618838.025618944</v>
      </c>
      <c r="AY8" s="97">
        <f t="shared" si="1"/>
        <v>10463272.025785286</v>
      </c>
      <c r="AZ8" s="97">
        <f t="shared" si="1"/>
        <v>12310947.250207217</v>
      </c>
      <c r="BA8" s="97">
        <f t="shared" si="1"/>
        <v>12553372.703761499</v>
      </c>
      <c r="BB8" s="97">
        <f t="shared" si="1"/>
        <v>12082707.256900348</v>
      </c>
      <c r="BC8" s="97">
        <f t="shared" si="1"/>
        <v>11906144.400190303</v>
      </c>
      <c r="BD8" s="97">
        <f t="shared" si="1"/>
        <v>14029716.087816406</v>
      </c>
      <c r="BE8" s="97">
        <f t="shared" si="1"/>
        <v>14296072.475194097</v>
      </c>
      <c r="BF8" s="97">
        <f t="shared" si="1"/>
        <v>13750424.183221463</v>
      </c>
      <c r="BG8" s="97">
        <f t="shared" si="1"/>
        <v>13550000.182361614</v>
      </c>
      <c r="BH8" s="1"/>
      <c r="BI8" s="204"/>
      <c r="BJ8" s="204"/>
      <c r="BK8" s="204"/>
      <c r="BL8" s="204"/>
      <c r="BM8" s="1"/>
      <c r="BN8" s="370">
        <v>4682108.4698999999</v>
      </c>
      <c r="BO8" s="420">
        <f t="shared" ref="BO8:BQ71" si="2">IF(ISBLANK(BN8),"",INDEX($A8:$BH8,1,MATCH(BN$3,$A$3:$BH$3,0))-BN8)</f>
        <v>-882607.46989999991</v>
      </c>
      <c r="BP8" s="370">
        <v>4817522.4850599999</v>
      </c>
      <c r="BQ8" s="420">
        <f t="shared" si="2"/>
        <v>-1074826.4209399996</v>
      </c>
    </row>
    <row r="9" spans="1:69" x14ac:dyDescent="0.25">
      <c r="A9" s="82" t="s">
        <v>295</v>
      </c>
      <c r="B9" s="92" t="s">
        <v>296</v>
      </c>
      <c r="C9" s="93"/>
      <c r="D9" s="97">
        <v>54598</v>
      </c>
      <c r="E9" s="97">
        <v>56841</v>
      </c>
      <c r="F9" s="97">
        <v>56135</v>
      </c>
      <c r="G9" s="97">
        <v>38073</v>
      </c>
      <c r="H9" s="97">
        <v>50592</v>
      </c>
      <c r="I9" s="97">
        <v>50079</v>
      </c>
      <c r="J9" s="97">
        <v>50183</v>
      </c>
      <c r="K9" s="97">
        <v>49700</v>
      </c>
      <c r="L9" s="97">
        <v>54187</v>
      </c>
      <c r="M9" s="97">
        <v>47246</v>
      </c>
      <c r="N9" s="97">
        <v>44491</v>
      </c>
      <c r="O9" s="97">
        <v>45593</v>
      </c>
      <c r="P9" s="97">
        <v>40621</v>
      </c>
      <c r="Q9" s="97">
        <v>43254</v>
      </c>
      <c r="R9" s="97">
        <f>R10-R7-R8</f>
        <v>74605</v>
      </c>
      <c r="S9" s="205">
        <v>87873</v>
      </c>
      <c r="T9" s="205">
        <v>82652</v>
      </c>
      <c r="U9" s="205">
        <v>85417</v>
      </c>
      <c r="V9" s="174">
        <f>R9*1.2</f>
        <v>89526</v>
      </c>
      <c r="W9" s="174">
        <f t="shared" ref="W9:AD9" si="3">S9*1.2</f>
        <v>105447.59999999999</v>
      </c>
      <c r="X9" s="174">
        <f t="shared" si="3"/>
        <v>99182.399999999994</v>
      </c>
      <c r="Y9" s="174">
        <f t="shared" si="3"/>
        <v>102500.4</v>
      </c>
      <c r="Z9" s="174">
        <f t="shared" si="3"/>
        <v>107431.2</v>
      </c>
      <c r="AA9" s="174">
        <f t="shared" si="3"/>
        <v>126537.11999999998</v>
      </c>
      <c r="AB9" s="174">
        <f t="shared" si="3"/>
        <v>119018.87999999999</v>
      </c>
      <c r="AC9" s="174">
        <f t="shared" si="3"/>
        <v>123000.47999999998</v>
      </c>
      <c r="AD9" s="174">
        <f t="shared" si="3"/>
        <v>128917.43999999999</v>
      </c>
      <c r="AE9" s="205">
        <f>AA9*1.05</f>
        <v>132863.976</v>
      </c>
      <c r="AF9" s="174">
        <f t="shared" ref="AF9:BG9" si="4">AB9*1.05</f>
        <v>124969.82399999999</v>
      </c>
      <c r="AG9" s="174">
        <f t="shared" si="4"/>
        <v>129150.50399999999</v>
      </c>
      <c r="AH9" s="174">
        <f t="shared" si="4"/>
        <v>135363.31200000001</v>
      </c>
      <c r="AI9" s="174">
        <f t="shared" si="4"/>
        <v>139507.17480000001</v>
      </c>
      <c r="AJ9" s="174">
        <f t="shared" si="4"/>
        <v>131218.31520000001</v>
      </c>
      <c r="AK9" s="174">
        <f t="shared" si="4"/>
        <v>135608.02919999999</v>
      </c>
      <c r="AL9" s="174">
        <f t="shared" si="4"/>
        <v>142131.47760000001</v>
      </c>
      <c r="AM9" s="174">
        <f t="shared" si="4"/>
        <v>146482.53354</v>
      </c>
      <c r="AN9" s="174">
        <f t="shared" si="4"/>
        <v>137779.23096000002</v>
      </c>
      <c r="AO9" s="174">
        <f t="shared" si="4"/>
        <v>142388.43065999998</v>
      </c>
      <c r="AP9" s="174">
        <f t="shared" si="4"/>
        <v>149238.05148000002</v>
      </c>
      <c r="AQ9" s="174">
        <f t="shared" si="4"/>
        <v>153806.660217</v>
      </c>
      <c r="AR9" s="174">
        <f t="shared" si="4"/>
        <v>144668.19250800004</v>
      </c>
      <c r="AS9" s="174">
        <f t="shared" si="4"/>
        <v>149507.852193</v>
      </c>
      <c r="AT9" s="174">
        <f t="shared" si="4"/>
        <v>156699.95405400003</v>
      </c>
      <c r="AU9" s="174">
        <f t="shared" si="4"/>
        <v>161496.99322785001</v>
      </c>
      <c r="AV9" s="174">
        <f t="shared" si="4"/>
        <v>151901.60213340004</v>
      </c>
      <c r="AW9" s="174">
        <f t="shared" si="4"/>
        <v>156983.24480265001</v>
      </c>
      <c r="AX9" s="174">
        <f t="shared" si="4"/>
        <v>164534.95175670003</v>
      </c>
      <c r="AY9" s="174">
        <f t="shared" si="4"/>
        <v>169571.84288924251</v>
      </c>
      <c r="AZ9" s="174">
        <f t="shared" si="4"/>
        <v>159496.68224007005</v>
      </c>
      <c r="BA9" s="174">
        <f t="shared" si="4"/>
        <v>164832.40704278252</v>
      </c>
      <c r="BB9" s="174">
        <f t="shared" si="4"/>
        <v>172761.69934453504</v>
      </c>
      <c r="BC9" s="174">
        <f t="shared" si="4"/>
        <v>178050.43503370465</v>
      </c>
      <c r="BD9" s="174">
        <f t="shared" si="4"/>
        <v>167471.51635207355</v>
      </c>
      <c r="BE9" s="174">
        <f t="shared" si="4"/>
        <v>173074.02739492166</v>
      </c>
      <c r="BF9" s="174">
        <f t="shared" si="4"/>
        <v>181399.78431176179</v>
      </c>
      <c r="BG9" s="174">
        <f t="shared" si="4"/>
        <v>186952.95678538989</v>
      </c>
      <c r="BH9" s="1"/>
      <c r="BI9" s="204"/>
      <c r="BJ9" s="204"/>
      <c r="BK9" s="204"/>
      <c r="BL9" s="204"/>
      <c r="BM9" s="1"/>
      <c r="BN9" s="371">
        <v>86716</v>
      </c>
      <c r="BO9" s="421">
        <f t="shared" si="2"/>
        <v>-12111</v>
      </c>
      <c r="BP9" s="371">
        <v>87873</v>
      </c>
      <c r="BQ9" s="421">
        <f t="shared" si="2"/>
        <v>0</v>
      </c>
    </row>
    <row r="10" spans="1:69" x14ac:dyDescent="0.25">
      <c r="A10" s="82" t="s">
        <v>49</v>
      </c>
      <c r="B10" s="100" t="s">
        <v>297</v>
      </c>
      <c r="C10" s="5" t="s">
        <v>298</v>
      </c>
      <c r="D10" s="175">
        <v>3960645</v>
      </c>
      <c r="E10" s="175">
        <v>4404499</v>
      </c>
      <c r="F10" s="175">
        <v>4515541</v>
      </c>
      <c r="G10" s="175">
        <v>4650902</v>
      </c>
      <c r="H10" s="175">
        <v>4990131</v>
      </c>
      <c r="I10" s="175">
        <v>5534957</v>
      </c>
      <c r="J10" s="175">
        <v>5617493</v>
      </c>
      <c r="K10" s="175">
        <v>5773042</v>
      </c>
      <c r="L10" s="175">
        <v>5957128</v>
      </c>
      <c r="M10" s="175">
        <v>6155563</v>
      </c>
      <c r="N10" s="175">
        <v>5975801</v>
      </c>
      <c r="O10" s="175">
        <v>6032561</v>
      </c>
      <c r="P10" s="175">
        <v>5771796</v>
      </c>
      <c r="Q10" s="175">
        <v>6054457</v>
      </c>
      <c r="R10" s="175">
        <v>6114952</v>
      </c>
      <c r="S10" s="102">
        <f t="shared" ref="S10:BG10" si="5">SUM(S7:S9)</f>
        <v>6048701.6956908405</v>
      </c>
      <c r="T10" s="102">
        <f t="shared" si="5"/>
        <v>6529055.5607085768</v>
      </c>
      <c r="U10" s="102">
        <f t="shared" si="5"/>
        <v>7008070.981342637</v>
      </c>
      <c r="V10" s="102">
        <f t="shared" si="5"/>
        <v>6960149.0705500003</v>
      </c>
      <c r="W10" s="102">
        <f t="shared" si="5"/>
        <v>6886252.4655961841</v>
      </c>
      <c r="X10" s="102">
        <f t="shared" si="5"/>
        <v>7422220.3434891077</v>
      </c>
      <c r="Y10" s="102">
        <f t="shared" si="5"/>
        <v>7960996.0366853792</v>
      </c>
      <c r="Z10" s="102">
        <f t="shared" si="5"/>
        <v>7905629.2515240004</v>
      </c>
      <c r="AA10" s="102">
        <f t="shared" si="5"/>
        <v>7823814.4608712709</v>
      </c>
      <c r="AB10" s="102">
        <f t="shared" si="5"/>
        <v>8442061.2045864966</v>
      </c>
      <c r="AC10" s="102">
        <f t="shared" si="5"/>
        <v>9048532.4834232051</v>
      </c>
      <c r="AD10" s="102">
        <f t="shared" si="5"/>
        <v>8984723.3398362305</v>
      </c>
      <c r="AE10" s="102">
        <f t="shared" si="5"/>
        <v>8875298.036036225</v>
      </c>
      <c r="AF10" s="102">
        <f t="shared" si="5"/>
        <v>9534281.6834697966</v>
      </c>
      <c r="AG10" s="102">
        <f t="shared" si="5"/>
        <v>10205557.068110049</v>
      </c>
      <c r="AH10" s="102">
        <f t="shared" si="5"/>
        <v>10126893.249763314</v>
      </c>
      <c r="AI10" s="102">
        <f t="shared" si="5"/>
        <v>10005325.428898871</v>
      </c>
      <c r="AJ10" s="102">
        <f t="shared" si="5"/>
        <v>10776190.612373291</v>
      </c>
      <c r="AK10" s="102">
        <f t="shared" si="5"/>
        <v>11519747.220169473</v>
      </c>
      <c r="AL10" s="102">
        <f t="shared" si="5"/>
        <v>11423505.689579759</v>
      </c>
      <c r="AM10" s="102">
        <f t="shared" si="5"/>
        <v>11288576.45000257</v>
      </c>
      <c r="AN10" s="102">
        <f t="shared" si="5"/>
        <v>12189354.16822844</v>
      </c>
      <c r="AO10" s="102">
        <f t="shared" si="5"/>
        <v>13013625.397698332</v>
      </c>
      <c r="AP10" s="102">
        <f t="shared" si="5"/>
        <v>12896632.215370374</v>
      </c>
      <c r="AQ10" s="102">
        <f t="shared" si="5"/>
        <v>12747029.991181361</v>
      </c>
      <c r="AR10" s="102">
        <f t="shared" si="5"/>
        <v>13798585.814755434</v>
      </c>
      <c r="AS10" s="102">
        <f t="shared" si="5"/>
        <v>14713099.218928576</v>
      </c>
      <c r="AT10" s="102">
        <f t="shared" si="5"/>
        <v>14571659.654641701</v>
      </c>
      <c r="AU10" s="102">
        <f t="shared" si="5"/>
        <v>14405980.886893313</v>
      </c>
      <c r="AV10" s="102">
        <f t="shared" si="5"/>
        <v>15632455.112212071</v>
      </c>
      <c r="AW10" s="102">
        <f t="shared" si="5"/>
        <v>16647992.586852098</v>
      </c>
      <c r="AX10" s="102">
        <f t="shared" si="5"/>
        <v>16477811.036901888</v>
      </c>
      <c r="AY10" s="102">
        <f t="shared" si="5"/>
        <v>16294563.469361043</v>
      </c>
      <c r="AZ10" s="102">
        <f t="shared" si="5"/>
        <v>17723879.218623791</v>
      </c>
      <c r="BA10" s="102">
        <f t="shared" si="5"/>
        <v>18852663.465038098</v>
      </c>
      <c r="BB10" s="102">
        <f t="shared" si="5"/>
        <v>18648751.797113135</v>
      </c>
      <c r="BC10" s="102">
        <f t="shared" si="5"/>
        <v>18446361.25092205</v>
      </c>
      <c r="BD10" s="102">
        <f t="shared" si="5"/>
        <v>20110810.982312288</v>
      </c>
      <c r="BE10" s="102">
        <f t="shared" si="5"/>
        <v>21366722.952101737</v>
      </c>
      <c r="BF10" s="102">
        <f t="shared" si="5"/>
        <v>21123295.735077914</v>
      </c>
      <c r="BG10" s="102">
        <f t="shared" si="5"/>
        <v>20900117.431888238</v>
      </c>
      <c r="BH10" s="1"/>
      <c r="BI10" s="204"/>
      <c r="BJ10" s="204"/>
      <c r="BK10" s="204"/>
      <c r="BL10" s="204"/>
      <c r="BM10" s="1"/>
      <c r="BN10" s="372">
        <v>6980851.4576788954</v>
      </c>
      <c r="BO10" s="422">
        <f t="shared" si="2"/>
        <v>-865899.45767889544</v>
      </c>
      <c r="BP10" s="372">
        <v>7113882.5329651637</v>
      </c>
      <c r="BQ10" s="422">
        <f t="shared" si="2"/>
        <v>-1065180.8372743232</v>
      </c>
    </row>
    <row r="11" spans="1:69" x14ac:dyDescent="0.25">
      <c r="A11" s="82"/>
      <c r="B11" s="92" t="s">
        <v>299</v>
      </c>
      <c r="C11" s="93" t="s">
        <v>300</v>
      </c>
      <c r="D11" s="2"/>
      <c r="E11" s="2"/>
      <c r="F11" s="2"/>
      <c r="G11" s="62">
        <v>0.14000000000000001</v>
      </c>
      <c r="H11" s="62">
        <v>0.26</v>
      </c>
      <c r="I11" s="62">
        <v>0.25700000000000001</v>
      </c>
      <c r="J11" s="62">
        <v>0.24399999999999999</v>
      </c>
      <c r="K11" s="62">
        <v>0.24099999999999999</v>
      </c>
      <c r="L11" s="62">
        <v>0.19400000000000001</v>
      </c>
      <c r="M11" s="62">
        <v>0.112</v>
      </c>
      <c r="N11" s="62">
        <v>6.4000000000000001E-2</v>
      </c>
      <c r="O11" s="62">
        <v>4.4999999999999998E-2</v>
      </c>
      <c r="P11" s="62">
        <v>-3.1E-2</v>
      </c>
      <c r="Q11" s="330">
        <f>Q10/M10-1</f>
        <v>-1.6425142590531516E-2</v>
      </c>
      <c r="R11" s="330">
        <f>R10/N10-1</f>
        <v>2.3285748638550707E-2</v>
      </c>
      <c r="S11" s="330">
        <f t="shared" ref="S11:BG11" si="6">S10/O10-1</f>
        <v>2.6755959352653402E-3</v>
      </c>
      <c r="T11" s="330">
        <f t="shared" si="6"/>
        <v>0.1311999870938918</v>
      </c>
      <c r="U11" s="330">
        <f t="shared" si="6"/>
        <v>0.15750611183507246</v>
      </c>
      <c r="V11" s="330">
        <f t="shared" si="6"/>
        <v>0.13821810384611366</v>
      </c>
      <c r="W11" s="330">
        <f t="shared" si="6"/>
        <v>0.1384678584004273</v>
      </c>
      <c r="X11" s="330">
        <f t="shared" si="6"/>
        <v>0.13679846563958464</v>
      </c>
      <c r="Y11" s="330">
        <f t="shared" si="6"/>
        <v>0.13597537152230399</v>
      </c>
      <c r="Z11" s="330">
        <f t="shared" si="6"/>
        <v>0.13584194410067241</v>
      </c>
      <c r="AA11" s="330">
        <f t="shared" si="6"/>
        <v>0.13614981442506791</v>
      </c>
      <c r="AB11" s="330">
        <f t="shared" si="6"/>
        <v>0.13740374361049645</v>
      </c>
      <c r="AC11" s="330">
        <f t="shared" si="6"/>
        <v>0.13660808794858159</v>
      </c>
      <c r="AD11" s="330">
        <f t="shared" si="6"/>
        <v>0.13649692566903626</v>
      </c>
      <c r="AE11" s="330">
        <f t="shared" si="6"/>
        <v>0.1343952595532103</v>
      </c>
      <c r="AF11" s="330">
        <f t="shared" si="6"/>
        <v>0.12937841273762696</v>
      </c>
      <c r="AG11" s="330">
        <f t="shared" si="6"/>
        <v>0.12786875516073981</v>
      </c>
      <c r="AH11" s="330">
        <f t="shared" si="6"/>
        <v>0.12712354813007543</v>
      </c>
      <c r="AI11" s="330">
        <f t="shared" si="6"/>
        <v>0.1273227544894171</v>
      </c>
      <c r="AJ11" s="330">
        <f t="shared" si="6"/>
        <v>0.1302572097336574</v>
      </c>
      <c r="AK11" s="330">
        <f t="shared" si="6"/>
        <v>0.12877201541167782</v>
      </c>
      <c r="AL11" s="330">
        <f t="shared" si="6"/>
        <v>0.12803654663257658</v>
      </c>
      <c r="AM11" s="330">
        <f t="shared" si="6"/>
        <v>0.1282567998635229</v>
      </c>
      <c r="AN11" s="330">
        <f t="shared" si="6"/>
        <v>0.13113757975221274</v>
      </c>
      <c r="AO11" s="330">
        <f t="shared" si="6"/>
        <v>0.12967977065618985</v>
      </c>
      <c r="AP11" s="330">
        <f t="shared" si="6"/>
        <v>0.1289557309131788</v>
      </c>
      <c r="AQ11" s="330">
        <f t="shared" si="6"/>
        <v>0.12919729495019361</v>
      </c>
      <c r="AR11" s="330">
        <f t="shared" si="6"/>
        <v>0.13201943469010513</v>
      </c>
      <c r="AS11" s="330">
        <f t="shared" si="6"/>
        <v>0.13059188114718778</v>
      </c>
      <c r="AT11" s="330">
        <f t="shared" si="6"/>
        <v>0.12988099616231641</v>
      </c>
      <c r="AU11" s="330">
        <f t="shared" si="6"/>
        <v>0.13014411175463203</v>
      </c>
      <c r="AV11" s="330">
        <f t="shared" si="6"/>
        <v>0.13290269902119967</v>
      </c>
      <c r="AW11" s="330">
        <f t="shared" si="6"/>
        <v>0.13150821177323802</v>
      </c>
      <c r="AX11" s="330">
        <f t="shared" si="6"/>
        <v>0.13081223604155445</v>
      </c>
      <c r="AY11" s="330">
        <f t="shared" si="6"/>
        <v>0.13109711843266281</v>
      </c>
      <c r="AZ11" s="330">
        <f t="shared" si="6"/>
        <v>0.13378730924855819</v>
      </c>
      <c r="BA11" s="330">
        <f t="shared" si="6"/>
        <v>0.13242863166140273</v>
      </c>
      <c r="BB11" s="330">
        <f t="shared" si="6"/>
        <v>0.13174934190891308</v>
      </c>
      <c r="BC11" s="330">
        <f t="shared" si="6"/>
        <v>0.13205617846756512</v>
      </c>
      <c r="BD11" s="330">
        <f t="shared" si="6"/>
        <v>0.13467321314062963</v>
      </c>
      <c r="BE11" s="330">
        <f t="shared" si="6"/>
        <v>0.13335301357953555</v>
      </c>
      <c r="BF11" s="330">
        <f t="shared" si="6"/>
        <v>0.1326922018634964</v>
      </c>
      <c r="BG11" s="330">
        <f t="shared" si="6"/>
        <v>0.13302114967761103</v>
      </c>
      <c r="BH11" s="1"/>
      <c r="BI11" s="204"/>
      <c r="BJ11" s="204"/>
      <c r="BK11" s="204"/>
      <c r="BL11" s="204"/>
      <c r="BM11" s="1"/>
      <c r="BN11" s="373">
        <v>0.16818673474550039</v>
      </c>
      <c r="BO11" s="423">
        <f t="shared" si="2"/>
        <v>-0.14490098610694968</v>
      </c>
      <c r="BP11" s="373">
        <v>0.17924750913669407</v>
      </c>
      <c r="BQ11" s="423">
        <f t="shared" si="2"/>
        <v>-0.17657191320142873</v>
      </c>
    </row>
    <row r="12" spans="1:69" x14ac:dyDescent="0.25">
      <c r="A12" s="488"/>
      <c r="B12" s="489"/>
      <c r="C12" s="93"/>
      <c r="D12" s="2"/>
      <c r="E12" s="46"/>
      <c r="F12" s="2"/>
      <c r="G12" s="46"/>
      <c r="H12" s="2"/>
      <c r="I12" s="46"/>
      <c r="J12" s="2"/>
      <c r="K12" s="46"/>
      <c r="L12" s="2"/>
      <c r="M12" s="187"/>
      <c r="N12" s="187"/>
      <c r="O12" s="46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204"/>
      <c r="BJ12" s="204"/>
      <c r="BK12" s="204"/>
      <c r="BL12" s="204"/>
      <c r="BM12" s="1"/>
      <c r="BN12" s="369"/>
      <c r="BO12" s="419" t="str">
        <f t="shared" si="2"/>
        <v/>
      </c>
      <c r="BP12" s="369"/>
      <c r="BQ12" s="419" t="str">
        <f t="shared" si="2"/>
        <v/>
      </c>
    </row>
    <row r="13" spans="1:69" x14ac:dyDescent="0.25">
      <c r="A13" s="82"/>
      <c r="B13" s="95" t="s">
        <v>303</v>
      </c>
      <c r="C13" s="114"/>
      <c r="D13" s="2"/>
      <c r="E13" s="46"/>
      <c r="F13" s="2"/>
      <c r="G13" s="46"/>
      <c r="H13" s="2"/>
      <c r="I13" s="46"/>
      <c r="J13" s="2"/>
      <c r="K13" s="46"/>
      <c r="L13" s="2"/>
      <c r="M13" s="46"/>
      <c r="N13" s="46"/>
      <c r="O13" s="46"/>
      <c r="P13" s="2"/>
      <c r="Q13" s="2"/>
      <c r="R13" s="2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2"/>
      <c r="AD13" s="2"/>
      <c r="AE13" s="2"/>
      <c r="AF13" s="2"/>
      <c r="AG13" s="2"/>
      <c r="AH13" s="2"/>
      <c r="AI13" s="2"/>
      <c r="AJ13" s="2"/>
      <c r="AK13" s="2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204"/>
      <c r="BJ13" s="204"/>
      <c r="BK13" s="204"/>
      <c r="BL13" s="204"/>
      <c r="BM13" s="1"/>
      <c r="BN13" s="374"/>
      <c r="BO13" s="424" t="str">
        <f t="shared" si="2"/>
        <v/>
      </c>
      <c r="BP13" s="374"/>
      <c r="BQ13" s="424" t="str">
        <f t="shared" si="2"/>
        <v/>
      </c>
    </row>
    <row r="14" spans="1:69" x14ac:dyDescent="0.25">
      <c r="A14" s="82" t="s">
        <v>304</v>
      </c>
      <c r="B14" s="92" t="s">
        <v>292</v>
      </c>
      <c r="C14" s="93"/>
      <c r="D14" s="97">
        <v>615081</v>
      </c>
      <c r="E14" s="97">
        <v>680615</v>
      </c>
      <c r="F14" s="97">
        <v>708103</v>
      </c>
      <c r="G14" s="97">
        <v>703103</v>
      </c>
      <c r="H14" s="97">
        <v>691561</v>
      </c>
      <c r="I14" s="97">
        <v>804033</v>
      </c>
      <c r="J14" s="97">
        <v>805338</v>
      </c>
      <c r="K14" s="97">
        <v>827717</v>
      </c>
      <c r="L14" s="97">
        <v>820272</v>
      </c>
      <c r="M14" s="97">
        <v>922584</v>
      </c>
      <c r="N14" s="97">
        <v>932356</v>
      </c>
      <c r="O14" s="97">
        <v>923700</v>
      </c>
      <c r="P14" s="97">
        <v>897899</v>
      </c>
      <c r="Q14" s="97">
        <v>1026811</v>
      </c>
      <c r="R14" s="97">
        <f>R154</f>
        <v>1017660</v>
      </c>
      <c r="S14" s="97">
        <f t="shared" ref="S14:BG14" si="7">S154</f>
        <v>1021766.9143899715</v>
      </c>
      <c r="T14" s="97">
        <f t="shared" si="7"/>
        <v>1000056.6393434989</v>
      </c>
      <c r="U14" s="97">
        <f t="shared" si="7"/>
        <v>1148977.998267031</v>
      </c>
      <c r="V14" s="97">
        <f t="shared" si="7"/>
        <v>1177498.3202380273</v>
      </c>
      <c r="W14" s="97">
        <f t="shared" si="7"/>
        <v>1176680.6361366876</v>
      </c>
      <c r="X14" s="97">
        <f t="shared" si="7"/>
        <v>1144621.1730307033</v>
      </c>
      <c r="Y14" s="97">
        <f t="shared" si="7"/>
        <v>1314541.8445886434</v>
      </c>
      <c r="Z14" s="97">
        <f t="shared" si="7"/>
        <v>1350945.2119579429</v>
      </c>
      <c r="AA14" s="97">
        <f t="shared" si="7"/>
        <v>1351005.1762847831</v>
      </c>
      <c r="AB14" s="97">
        <f t="shared" si="7"/>
        <v>1313902.1062428576</v>
      </c>
      <c r="AC14" s="97">
        <f t="shared" si="7"/>
        <v>1508401.1286301576</v>
      </c>
      <c r="AD14" s="97">
        <f t="shared" si="7"/>
        <v>1551834.0191064735</v>
      </c>
      <c r="AE14" s="97">
        <f t="shared" si="7"/>
        <v>1553066.668623525</v>
      </c>
      <c r="AF14" s="97">
        <f t="shared" si="7"/>
        <v>1487701.5058265571</v>
      </c>
      <c r="AG14" s="97">
        <f t="shared" si="7"/>
        <v>1706498.1022620846</v>
      </c>
      <c r="AH14" s="97">
        <f t="shared" si="7"/>
        <v>1756918.9308765728</v>
      </c>
      <c r="AI14" s="97">
        <f t="shared" si="7"/>
        <v>1760237.2370867915</v>
      </c>
      <c r="AJ14" s="97">
        <f t="shared" si="7"/>
        <v>1687593.1496708316</v>
      </c>
      <c r="AK14" s="97">
        <f t="shared" si="7"/>
        <v>1934093.1058727258</v>
      </c>
      <c r="AL14" s="97">
        <f t="shared" si="7"/>
        <v>1992646.1904343339</v>
      </c>
      <c r="AM14" s="97">
        <f t="shared" si="7"/>
        <v>1998649.4675385787</v>
      </c>
      <c r="AN14" s="97">
        <f t="shared" si="7"/>
        <v>1917954.7784483866</v>
      </c>
      <c r="AO14" s="97">
        <f t="shared" si="7"/>
        <v>2196099.8208951121</v>
      </c>
      <c r="AP14" s="97">
        <f t="shared" si="7"/>
        <v>2264122.1334409947</v>
      </c>
      <c r="AQ14" s="97">
        <f t="shared" si="7"/>
        <v>2273548.1154220812</v>
      </c>
      <c r="AR14" s="97">
        <f t="shared" si="7"/>
        <v>2183958.0754565145</v>
      </c>
      <c r="AS14" s="97">
        <f t="shared" si="7"/>
        <v>2498318.4200359755</v>
      </c>
      <c r="AT14" s="97">
        <f t="shared" si="7"/>
        <v>2577373.1003070655</v>
      </c>
      <c r="AU14" s="97">
        <f t="shared" si="7"/>
        <v>2591127.5803737962</v>
      </c>
      <c r="AV14" s="97">
        <f t="shared" si="7"/>
        <v>2491719.4966105968</v>
      </c>
      <c r="AW14" s="97">
        <f t="shared" si="7"/>
        <v>2847603.4142900212</v>
      </c>
      <c r="AX14" s="97">
        <f t="shared" si="7"/>
        <v>2939519.3122273595</v>
      </c>
      <c r="AY14" s="97">
        <f t="shared" si="7"/>
        <v>2958711.9237207668</v>
      </c>
      <c r="AZ14" s="97">
        <f t="shared" si="7"/>
        <v>2848480.4875470526</v>
      </c>
      <c r="BA14" s="97">
        <f t="shared" si="7"/>
        <v>3252064.13754299</v>
      </c>
      <c r="BB14" s="97">
        <f t="shared" si="7"/>
        <v>3358982.5036764867</v>
      </c>
      <c r="BC14" s="97">
        <f t="shared" si="7"/>
        <v>3384969.8947935668</v>
      </c>
      <c r="BD14" s="97">
        <f t="shared" si="7"/>
        <v>3262822.8898563827</v>
      </c>
      <c r="BE14" s="97">
        <f t="shared" si="7"/>
        <v>3721304.305518128</v>
      </c>
      <c r="BF14" s="97">
        <f t="shared" si="7"/>
        <v>3845733.9613101338</v>
      </c>
      <c r="BG14" s="97">
        <f t="shared" si="7"/>
        <v>3880171.8692346388</v>
      </c>
      <c r="BH14" s="1"/>
      <c r="BI14" s="204"/>
      <c r="BJ14" s="204"/>
      <c r="BK14" s="204"/>
      <c r="BL14" s="204"/>
      <c r="BM14" s="1"/>
      <c r="BN14" s="370">
        <v>1031672.7684716017</v>
      </c>
      <c r="BO14" s="420">
        <f t="shared" si="2"/>
        <v>-14012.768471601652</v>
      </c>
      <c r="BP14" s="370">
        <v>1034858.5471668511</v>
      </c>
      <c r="BQ14" s="420">
        <f t="shared" si="2"/>
        <v>-13091.632776879589</v>
      </c>
    </row>
    <row r="15" spans="1:69" x14ac:dyDescent="0.25">
      <c r="A15" s="82" t="s">
        <v>305</v>
      </c>
      <c r="B15" s="92" t="s">
        <v>294</v>
      </c>
      <c r="C15" s="93"/>
      <c r="D15" s="97">
        <v>669800</v>
      </c>
      <c r="E15" s="97">
        <v>779717</v>
      </c>
      <c r="F15" s="97">
        <v>849335</v>
      </c>
      <c r="G15" s="97">
        <v>946190</v>
      </c>
      <c r="H15" s="97">
        <v>1009954</v>
      </c>
      <c r="I15" s="97">
        <v>1052285</v>
      </c>
      <c r="J15" s="97">
        <v>1077490</v>
      </c>
      <c r="K15" s="97">
        <v>1183734</v>
      </c>
      <c r="L15" s="97">
        <v>1258527</v>
      </c>
      <c r="M15" s="97">
        <v>1298944</v>
      </c>
      <c r="N15" s="97">
        <v>1305943</v>
      </c>
      <c r="O15" s="97">
        <v>1375597</v>
      </c>
      <c r="P15" s="97">
        <v>1379951</v>
      </c>
      <c r="Q15" s="97">
        <v>1500500</v>
      </c>
      <c r="R15" s="97">
        <f>R197</f>
        <v>1623953</v>
      </c>
      <c r="S15" s="97">
        <f t="shared" ref="S15:BG15" si="8">S197</f>
        <v>1779802.88298</v>
      </c>
      <c r="T15" s="97">
        <f t="shared" si="8"/>
        <v>1853208.1735999994</v>
      </c>
      <c r="U15" s="97">
        <f t="shared" si="8"/>
        <v>1923627.0703999992</v>
      </c>
      <c r="V15" s="97">
        <f t="shared" si="8"/>
        <v>1931327.4379999998</v>
      </c>
      <c r="W15" s="97">
        <f t="shared" si="8"/>
        <v>2116969.7223910796</v>
      </c>
      <c r="X15" s="97">
        <f t="shared" si="8"/>
        <v>2195868.8751327996</v>
      </c>
      <c r="Y15" s="97">
        <f t="shared" si="8"/>
        <v>2281007.4451455991</v>
      </c>
      <c r="Z15" s="97">
        <f t="shared" si="8"/>
        <v>2289139.0346775996</v>
      </c>
      <c r="AA15" s="97">
        <f t="shared" si="8"/>
        <v>2515964.8656281889</v>
      </c>
      <c r="AB15" s="97">
        <f t="shared" si="8"/>
        <v>2579636.8712464534</v>
      </c>
      <c r="AC15" s="97">
        <f t="shared" si="8"/>
        <v>2662967.4568383228</v>
      </c>
      <c r="AD15" s="97">
        <f t="shared" si="8"/>
        <v>2652186.6226401371</v>
      </c>
      <c r="AE15" s="97">
        <f t="shared" si="8"/>
        <v>2908217.4846888604</v>
      </c>
      <c r="AF15" s="97">
        <f t="shared" si="8"/>
        <v>2964214.0081842556</v>
      </c>
      <c r="AG15" s="97">
        <f t="shared" si="8"/>
        <v>3066733.1764832488</v>
      </c>
      <c r="AH15" s="97">
        <f t="shared" si="8"/>
        <v>3054557.1063008364</v>
      </c>
      <c r="AI15" s="97">
        <f t="shared" si="8"/>
        <v>3368185.5297403252</v>
      </c>
      <c r="AJ15" s="97">
        <f t="shared" si="8"/>
        <v>3411565.4513432495</v>
      </c>
      <c r="AK15" s="97">
        <f t="shared" si="8"/>
        <v>3537861.8360939552</v>
      </c>
      <c r="AL15" s="97">
        <f t="shared" si="8"/>
        <v>3524110.5542833726</v>
      </c>
      <c r="AM15" s="97">
        <f t="shared" si="8"/>
        <v>3908916.6287422394</v>
      </c>
      <c r="AN15" s="97">
        <f t="shared" si="8"/>
        <v>3933117.2853352232</v>
      </c>
      <c r="AO15" s="97">
        <f t="shared" si="8"/>
        <v>4088900.2720508971</v>
      </c>
      <c r="AP15" s="97">
        <f t="shared" si="8"/>
        <v>4073370.6556034647</v>
      </c>
      <c r="AQ15" s="97">
        <f t="shared" si="8"/>
        <v>4546224.992475966</v>
      </c>
      <c r="AR15" s="97">
        <f t="shared" si="8"/>
        <v>4542607.5266434466</v>
      </c>
      <c r="AS15" s="97">
        <f t="shared" si="8"/>
        <v>4734984.100812912</v>
      </c>
      <c r="AT15" s="97">
        <f t="shared" si="8"/>
        <v>4717446.9101557052</v>
      </c>
      <c r="AU15" s="97">
        <f t="shared" si="8"/>
        <v>5299319.9693585215</v>
      </c>
      <c r="AV15" s="97">
        <f t="shared" si="8"/>
        <v>5256594.7441559471</v>
      </c>
      <c r="AW15" s="97">
        <f t="shared" si="8"/>
        <v>5494415.1296436507</v>
      </c>
      <c r="AX15" s="97">
        <f t="shared" si="8"/>
        <v>5474611.65948069</v>
      </c>
      <c r="AY15" s="97">
        <f t="shared" si="8"/>
        <v>6191583.7171874084</v>
      </c>
      <c r="AZ15" s="97">
        <f t="shared" si="8"/>
        <v>6095085.0160649354</v>
      </c>
      <c r="BA15" s="97">
        <f t="shared" si="8"/>
        <v>6389374.248027592</v>
      </c>
      <c r="BB15" s="97">
        <f t="shared" si="8"/>
        <v>6367012.5497052148</v>
      </c>
      <c r="BC15" s="97">
        <f t="shared" si="8"/>
        <v>7251534.2527813613</v>
      </c>
      <c r="BD15" s="97">
        <f t="shared" si="8"/>
        <v>7082305.6878352007</v>
      </c>
      <c r="BE15" s="97">
        <f t="shared" si="8"/>
        <v>7446802.5438513467</v>
      </c>
      <c r="BF15" s="97">
        <f t="shared" si="8"/>
        <v>7421553.1645485638</v>
      </c>
      <c r="BG15" s="97">
        <f t="shared" si="8"/>
        <v>8514019.0766620599</v>
      </c>
      <c r="BH15" s="1"/>
      <c r="BI15" s="204"/>
      <c r="BJ15" s="204"/>
      <c r="BK15" s="204"/>
      <c r="BL15" s="204"/>
      <c r="BM15" s="1"/>
      <c r="BN15" s="370">
        <v>1561340.0496239997</v>
      </c>
      <c r="BO15" s="420">
        <f t="shared" si="2"/>
        <v>62612.950376000255</v>
      </c>
      <c r="BP15" s="370">
        <v>1701758.0549099999</v>
      </c>
      <c r="BQ15" s="420">
        <f t="shared" si="2"/>
        <v>78044.828070000047</v>
      </c>
    </row>
    <row r="16" spans="1:69" x14ac:dyDescent="0.25">
      <c r="A16" s="82" t="s">
        <v>306</v>
      </c>
      <c r="B16" s="92" t="s">
        <v>296</v>
      </c>
      <c r="C16" s="93"/>
      <c r="D16" s="97">
        <v>10080</v>
      </c>
      <c r="E16" s="97">
        <v>9316</v>
      </c>
      <c r="F16" s="97">
        <v>9651</v>
      </c>
      <c r="G16" s="97">
        <v>10902</v>
      </c>
      <c r="H16" s="97">
        <v>13069</v>
      </c>
      <c r="I16" s="97">
        <v>9783</v>
      </c>
      <c r="J16" s="97">
        <v>15622</v>
      </c>
      <c r="K16" s="97">
        <v>14301</v>
      </c>
      <c r="L16" s="97">
        <v>15674</v>
      </c>
      <c r="M16" s="97">
        <v>11952</v>
      </c>
      <c r="N16" s="97">
        <v>11386</v>
      </c>
      <c r="O16" s="97">
        <v>12101</v>
      </c>
      <c r="P16" s="97">
        <v>11753</v>
      </c>
      <c r="Q16" s="97">
        <v>9219</v>
      </c>
      <c r="R16" s="97">
        <f>R17-R14-R15</f>
        <v>19957</v>
      </c>
      <c r="S16" s="205">
        <v>32706</v>
      </c>
      <c r="T16" s="205">
        <v>32341</v>
      </c>
      <c r="U16" s="205">
        <v>29680</v>
      </c>
      <c r="V16" s="174">
        <v>40627</v>
      </c>
      <c r="W16" s="174">
        <v>41493</v>
      </c>
      <c r="X16" s="174">
        <v>40606</v>
      </c>
      <c r="Y16" s="174">
        <v>38222</v>
      </c>
      <c r="Z16" s="174">
        <v>51033</v>
      </c>
      <c r="AA16" s="174">
        <v>52038</v>
      </c>
      <c r="AB16" s="174">
        <v>50524</v>
      </c>
      <c r="AC16" s="174">
        <v>48472</v>
      </c>
      <c r="AD16" s="174">
        <v>63520</v>
      </c>
      <c r="AE16" s="174">
        <v>54640</v>
      </c>
      <c r="AF16" s="174">
        <v>53050</v>
      </c>
      <c r="AG16" s="174">
        <v>50895</v>
      </c>
      <c r="AH16" s="174">
        <v>66696</v>
      </c>
      <c r="AI16" s="174">
        <v>57372</v>
      </c>
      <c r="AJ16" s="174">
        <v>55703</v>
      </c>
      <c r="AK16" s="174">
        <v>53440</v>
      </c>
      <c r="AL16" s="174">
        <v>70031</v>
      </c>
      <c r="AM16" s="174">
        <v>60241</v>
      </c>
      <c r="AN16" s="174">
        <v>58488</v>
      </c>
      <c r="AO16" s="174">
        <v>56112</v>
      </c>
      <c r="AP16" s="174">
        <v>73532</v>
      </c>
      <c r="AQ16" s="174">
        <v>63253</v>
      </c>
      <c r="AR16" s="174">
        <v>61412</v>
      </c>
      <c r="AS16" s="174">
        <v>58918</v>
      </c>
      <c r="AT16" s="174">
        <v>77209</v>
      </c>
      <c r="AU16" s="174">
        <v>66415</v>
      </c>
      <c r="AV16" s="174">
        <v>64483</v>
      </c>
      <c r="AW16" s="174">
        <v>61863</v>
      </c>
      <c r="AX16" s="174">
        <v>81069</v>
      </c>
      <c r="AY16" s="174">
        <v>69736</v>
      </c>
      <c r="AZ16" s="174">
        <v>67707</v>
      </c>
      <c r="BA16" s="174">
        <v>64957</v>
      </c>
      <c r="BB16" s="174">
        <v>85123</v>
      </c>
      <c r="BC16" s="174">
        <v>73223</v>
      </c>
      <c r="BD16" s="174">
        <v>71092</v>
      </c>
      <c r="BE16" s="174">
        <v>68204</v>
      </c>
      <c r="BF16" s="174">
        <v>89379</v>
      </c>
      <c r="BG16" s="174">
        <v>76884</v>
      </c>
      <c r="BH16" s="1"/>
      <c r="BI16" s="204"/>
      <c r="BJ16" s="204"/>
      <c r="BK16" s="204"/>
      <c r="BL16" s="204"/>
      <c r="BM16" s="1"/>
      <c r="BN16" s="371">
        <v>31955</v>
      </c>
      <c r="BO16" s="421">
        <f t="shared" si="2"/>
        <v>-11998</v>
      </c>
      <c r="BP16" s="371">
        <v>32706</v>
      </c>
      <c r="BQ16" s="421">
        <f t="shared" si="2"/>
        <v>0</v>
      </c>
    </row>
    <row r="17" spans="1:69" x14ac:dyDescent="0.25">
      <c r="A17" s="82" t="s">
        <v>48</v>
      </c>
      <c r="B17" s="100" t="s">
        <v>307</v>
      </c>
      <c r="C17" s="5" t="s">
        <v>298</v>
      </c>
      <c r="D17" s="175">
        <v>1294960</v>
      </c>
      <c r="E17" s="175">
        <v>1469648</v>
      </c>
      <c r="F17" s="175">
        <v>1567089</v>
      </c>
      <c r="G17" s="175">
        <v>1660195</v>
      </c>
      <c r="H17" s="175">
        <v>1714584</v>
      </c>
      <c r="I17" s="175">
        <v>1866101</v>
      </c>
      <c r="J17" s="175">
        <v>1898449</v>
      </c>
      <c r="K17" s="175">
        <v>2025752</v>
      </c>
      <c r="L17" s="175">
        <v>2094473</v>
      </c>
      <c r="M17" s="175">
        <v>2233480</v>
      </c>
      <c r="N17" s="175">
        <v>2249685</v>
      </c>
      <c r="O17" s="175">
        <v>2311398</v>
      </c>
      <c r="P17" s="175">
        <v>2289603</v>
      </c>
      <c r="Q17" s="175">
        <v>2536530</v>
      </c>
      <c r="R17" s="175">
        <v>2661570</v>
      </c>
      <c r="S17" s="102">
        <f t="shared" ref="S17:BG17" si="9">SUM(S14:S16)</f>
        <v>2834275.7973699714</v>
      </c>
      <c r="T17" s="102">
        <f t="shared" si="9"/>
        <v>2885605.8129434981</v>
      </c>
      <c r="U17" s="102">
        <f t="shared" si="9"/>
        <v>3102285.06866703</v>
      </c>
      <c r="V17" s="102">
        <f t="shared" si="9"/>
        <v>3149452.7582380269</v>
      </c>
      <c r="W17" s="102">
        <f t="shared" si="9"/>
        <v>3335143.3585277675</v>
      </c>
      <c r="X17" s="102">
        <f t="shared" si="9"/>
        <v>3381096.0481635029</v>
      </c>
      <c r="Y17" s="102">
        <f t="shared" si="9"/>
        <v>3633771.2897342425</v>
      </c>
      <c r="Z17" s="102">
        <f t="shared" si="9"/>
        <v>3691117.2466355423</v>
      </c>
      <c r="AA17" s="102">
        <f t="shared" si="9"/>
        <v>3919008.041912972</v>
      </c>
      <c r="AB17" s="102">
        <f t="shared" si="9"/>
        <v>3944062.9774893112</v>
      </c>
      <c r="AC17" s="102">
        <f t="shared" si="9"/>
        <v>4219840.5854684804</v>
      </c>
      <c r="AD17" s="102">
        <f t="shared" si="9"/>
        <v>4267540.6417466104</v>
      </c>
      <c r="AE17" s="102">
        <f t="shared" si="9"/>
        <v>4515924.1533123851</v>
      </c>
      <c r="AF17" s="102">
        <f t="shared" si="9"/>
        <v>4504965.5140108131</v>
      </c>
      <c r="AG17" s="102">
        <f t="shared" si="9"/>
        <v>4824126.2787453337</v>
      </c>
      <c r="AH17" s="102">
        <f t="shared" si="9"/>
        <v>4878172.037177409</v>
      </c>
      <c r="AI17" s="102">
        <f t="shared" si="9"/>
        <v>5185794.7668271167</v>
      </c>
      <c r="AJ17" s="102">
        <f t="shared" si="9"/>
        <v>5154861.6010140814</v>
      </c>
      <c r="AK17" s="102">
        <f t="shared" si="9"/>
        <v>5525394.9419666808</v>
      </c>
      <c r="AL17" s="102">
        <f t="shared" si="9"/>
        <v>5586787.744717706</v>
      </c>
      <c r="AM17" s="102">
        <f t="shared" si="9"/>
        <v>5967807.0962808179</v>
      </c>
      <c r="AN17" s="102">
        <f t="shared" si="9"/>
        <v>5909560.0637836102</v>
      </c>
      <c r="AO17" s="102">
        <f t="shared" si="9"/>
        <v>6341112.0929460097</v>
      </c>
      <c r="AP17" s="102">
        <f t="shared" si="9"/>
        <v>6411024.7890444594</v>
      </c>
      <c r="AQ17" s="102">
        <f t="shared" si="9"/>
        <v>6883026.1078980472</v>
      </c>
      <c r="AR17" s="102">
        <f t="shared" si="9"/>
        <v>6787977.6020999607</v>
      </c>
      <c r="AS17" s="102">
        <f t="shared" si="9"/>
        <v>7292220.520848887</v>
      </c>
      <c r="AT17" s="102">
        <f t="shared" si="9"/>
        <v>7372029.0104627702</v>
      </c>
      <c r="AU17" s="102">
        <f t="shared" si="9"/>
        <v>7956862.5497323181</v>
      </c>
      <c r="AV17" s="102">
        <f t="shared" si="9"/>
        <v>7812797.2407665439</v>
      </c>
      <c r="AW17" s="102">
        <f t="shared" si="9"/>
        <v>8403881.543933671</v>
      </c>
      <c r="AX17" s="102">
        <f t="shared" si="9"/>
        <v>8495199.97170805</v>
      </c>
      <c r="AY17" s="102">
        <f t="shared" si="9"/>
        <v>9220031.6409081742</v>
      </c>
      <c r="AZ17" s="102">
        <f t="shared" si="9"/>
        <v>9011272.5036119875</v>
      </c>
      <c r="BA17" s="102">
        <f t="shared" si="9"/>
        <v>9706395.385570582</v>
      </c>
      <c r="BB17" s="102">
        <f t="shared" si="9"/>
        <v>9811118.0533817019</v>
      </c>
      <c r="BC17" s="102">
        <f t="shared" si="9"/>
        <v>10709727.147574928</v>
      </c>
      <c r="BD17" s="102">
        <f t="shared" si="9"/>
        <v>10416220.577691583</v>
      </c>
      <c r="BE17" s="102">
        <f t="shared" si="9"/>
        <v>11236310.849369474</v>
      </c>
      <c r="BF17" s="102">
        <f t="shared" si="9"/>
        <v>11356666.125858698</v>
      </c>
      <c r="BG17" s="102">
        <f t="shared" si="9"/>
        <v>12471074.945896698</v>
      </c>
      <c r="BH17" s="1"/>
      <c r="BI17" s="206">
        <v>981660</v>
      </c>
      <c r="BJ17" s="206">
        <v>1107884</v>
      </c>
      <c r="BK17" s="206">
        <v>1178649</v>
      </c>
      <c r="BL17" s="206">
        <v>1239746</v>
      </c>
      <c r="BM17" s="1"/>
      <c r="BN17" s="372">
        <v>2624967.8180956012</v>
      </c>
      <c r="BO17" s="422">
        <f t="shared" si="2"/>
        <v>36602.181904398836</v>
      </c>
      <c r="BP17" s="372">
        <v>2769322.6020768508</v>
      </c>
      <c r="BQ17" s="422">
        <f t="shared" si="2"/>
        <v>64953.195293120574</v>
      </c>
    </row>
    <row r="18" spans="1:69" x14ac:dyDescent="0.25">
      <c r="A18" s="82"/>
      <c r="B18" s="92" t="s">
        <v>299</v>
      </c>
      <c r="C18" s="93" t="s">
        <v>300</v>
      </c>
      <c r="D18" s="62">
        <v>0.34399999999999997</v>
      </c>
      <c r="E18" s="62">
        <v>0.28799999999999998</v>
      </c>
      <c r="F18" s="62">
        <v>0.38300000000000001</v>
      </c>
      <c r="G18" s="62">
        <v>0.40500000000000003</v>
      </c>
      <c r="H18" s="62">
        <v>0.32400000000000001</v>
      </c>
      <c r="I18" s="62">
        <v>0.27</v>
      </c>
      <c r="J18" s="62">
        <v>0.21099999999999999</v>
      </c>
      <c r="K18" s="62">
        <v>0.22</v>
      </c>
      <c r="L18" s="62">
        <v>0.222</v>
      </c>
      <c r="M18" s="62">
        <v>0.19700000000000001</v>
      </c>
      <c r="N18" s="62">
        <v>0.185</v>
      </c>
      <c r="O18" s="62">
        <v>0.14099999999999999</v>
      </c>
      <c r="P18" s="62">
        <v>9.2999999999999999E-2</v>
      </c>
      <c r="Q18" s="330">
        <f>Q17/M17-1</f>
        <v>0.13568511918620274</v>
      </c>
      <c r="R18" s="330">
        <f>R17/N17-1</f>
        <v>0.18308563198847838</v>
      </c>
      <c r="S18" s="330">
        <f t="shared" ref="S18" si="10">S17/O17-1</f>
        <v>0.22621711940997247</v>
      </c>
      <c r="T18" s="330">
        <f t="shared" ref="T18" si="11">T17/P17-1</f>
        <v>0.26030836478791231</v>
      </c>
      <c r="U18" s="330">
        <f t="shared" ref="U18" si="12">U17/Q17-1</f>
        <v>0.22304292425756045</v>
      </c>
      <c r="V18" s="330">
        <f t="shared" ref="V18" si="13">V17/R17-1</f>
        <v>0.1833063786554654</v>
      </c>
      <c r="W18" s="330">
        <f t="shared" ref="W18" si="14">W17/S17-1</f>
        <v>0.17671800380985125</v>
      </c>
      <c r="X18" s="330">
        <f t="shared" ref="X18" si="15">X17/T17-1</f>
        <v>0.1717109915004551</v>
      </c>
      <c r="Y18" s="330">
        <f t="shared" ref="Y18" si="16">Y17/U17-1</f>
        <v>0.17132088422021718</v>
      </c>
      <c r="Z18" s="330">
        <f t="shared" ref="Z18" si="17">Z17/V17-1</f>
        <v>0.17198685929823299</v>
      </c>
      <c r="AA18" s="330">
        <f t="shared" ref="AA18" si="18">AA17/W17-1</f>
        <v>0.17506434375370894</v>
      </c>
      <c r="AB18" s="330">
        <f t="shared" ref="AB18" si="19">AB17/X17-1</f>
        <v>0.16650427000782564</v>
      </c>
      <c r="AC18" s="330">
        <f t="shared" ref="AC18" si="20">AC17/Y17-1</f>
        <v>0.16128403496112731</v>
      </c>
      <c r="AD18" s="330">
        <f t="shared" ref="AD18" si="21">AD17/Z17-1</f>
        <v>0.15616501904307656</v>
      </c>
      <c r="AE18" s="330">
        <f t="shared" ref="AE18" si="22">AE17/AA17-1</f>
        <v>0.15231306111534337</v>
      </c>
      <c r="AF18" s="330">
        <f t="shared" ref="AF18" si="23">AF17/AB17-1</f>
        <v>0.1422143966064553</v>
      </c>
      <c r="AG18" s="330">
        <f t="shared" ref="AG18" si="24">AG17/AC17-1</f>
        <v>0.1432010714712264</v>
      </c>
      <c r="AH18" s="330">
        <f t="shared" ref="AH18" si="25">AH17/AD17-1</f>
        <v>0.14308742357539228</v>
      </c>
      <c r="AI18" s="330">
        <f t="shared" ref="AI18" si="26">AI17/AE17-1</f>
        <v>0.14833522237599772</v>
      </c>
      <c r="AJ18" s="330">
        <f t="shared" ref="AJ18" si="27">AJ17/AF17-1</f>
        <v>0.14426216693158644</v>
      </c>
      <c r="AK18" s="330">
        <f t="shared" ref="AK18" si="28">AK17/AG17-1</f>
        <v>0.14536697895141626</v>
      </c>
      <c r="AL18" s="330">
        <f t="shared" ref="AL18" si="29">AL17/AH17-1</f>
        <v>0.14526254960665841</v>
      </c>
      <c r="AM18" s="330">
        <f t="shared" ref="AM18" si="30">AM17/AI17-1</f>
        <v>0.15079893528686039</v>
      </c>
      <c r="AN18" s="330">
        <f t="shared" ref="AN18" si="31">AN17/AJ17-1</f>
        <v>0.14640518430622107</v>
      </c>
      <c r="AO18" s="330">
        <f t="shared" ref="AO18" si="32">AO17/AK17-1</f>
        <v>0.14763056026706156</v>
      </c>
      <c r="AP18" s="330">
        <f t="shared" ref="AP18" si="33">AP17/AL17-1</f>
        <v>0.14753326634004793</v>
      </c>
      <c r="AQ18" s="330">
        <f t="shared" ref="AQ18" si="34">AQ17/AM17-1</f>
        <v>0.15335934906267346</v>
      </c>
      <c r="AR18" s="330">
        <f t="shared" ref="AR18" si="35">AR17/AN17-1</f>
        <v>0.14864347410557355</v>
      </c>
      <c r="AS18" s="330">
        <f t="shared" ref="AS18" si="36">AS17/AO17-1</f>
        <v>0.14999079246066493</v>
      </c>
      <c r="AT18" s="330">
        <f t="shared" ref="AT18" si="37">AT17/AP17-1</f>
        <v>0.1498986906212767</v>
      </c>
      <c r="AU18" s="330">
        <f t="shared" ref="AU18" si="38">AU17/AQ17-1</f>
        <v>0.15601225754498871</v>
      </c>
      <c r="AV18" s="330">
        <f t="shared" ref="AV18" si="39">AV17/AR17-1</f>
        <v>0.15097569537494349</v>
      </c>
      <c r="AW18" s="330">
        <f t="shared" ref="AW18" si="40">AW17/AS17-1</f>
        <v>0.1524447896092116</v>
      </c>
      <c r="AX18" s="330">
        <f t="shared" ref="AX18" si="41">AX17/AT17-1</f>
        <v>0.15235574353427217</v>
      </c>
      <c r="AY18" s="330">
        <f t="shared" ref="AY18" si="42">AY17/AU17-1</f>
        <v>0.15875215680561827</v>
      </c>
      <c r="AZ18" s="330">
        <f t="shared" ref="AZ18" si="43">AZ17/AV17-1</f>
        <v>0.15339899730046702</v>
      </c>
      <c r="BA18" s="330">
        <f t="shared" ref="BA18" si="44">BA17/AW17-1</f>
        <v>0.15498955272366111</v>
      </c>
      <c r="BB18" s="330">
        <f t="shared" ref="BB18" si="45">BB17/AX17-1</f>
        <v>0.15490136618986172</v>
      </c>
      <c r="BC18" s="330">
        <f t="shared" ref="BC18" si="46">BC17/AY17-1</f>
        <v>0.161571626289996</v>
      </c>
      <c r="BD18" s="330">
        <f t="shared" ref="BD18" si="47">BD17/AZ17-1</f>
        <v>0.15591006414648434</v>
      </c>
      <c r="BE18" s="330">
        <f t="shared" ref="BE18" si="48">BE17/BA17-1</f>
        <v>0.1576193224184177</v>
      </c>
      <c r="BF18" s="330">
        <f t="shared" ref="BF18" si="49">BF17/BB17-1</f>
        <v>0.157530269645902</v>
      </c>
      <c r="BG18" s="330">
        <f t="shared" ref="BG18" si="50">BG17/BC17-1</f>
        <v>0.16446243438803232</v>
      </c>
      <c r="BH18" s="1"/>
      <c r="BI18" s="204"/>
      <c r="BJ18" s="204"/>
      <c r="BK18" s="204"/>
      <c r="BL18" s="204"/>
      <c r="BM18" s="1"/>
      <c r="BN18" s="373">
        <v>0.16681571779853677</v>
      </c>
      <c r="BO18" s="423">
        <f t="shared" si="2"/>
        <v>1.6269914189941614E-2</v>
      </c>
      <c r="BP18" s="373">
        <v>0.19811585978565827</v>
      </c>
      <c r="BQ18" s="423">
        <f t="shared" si="2"/>
        <v>2.8101259624314201E-2</v>
      </c>
    </row>
    <row r="19" spans="1:69" x14ac:dyDescent="0.25">
      <c r="A19" s="82"/>
      <c r="B19" s="92" t="s">
        <v>600</v>
      </c>
      <c r="C19" s="93" t="s">
        <v>601</v>
      </c>
      <c r="D19" s="136">
        <v>0.32700000000000001</v>
      </c>
      <c r="E19" s="136">
        <v>0.33400000000000002</v>
      </c>
      <c r="F19" s="136">
        <v>0.34699999999999998</v>
      </c>
      <c r="G19" s="136">
        <v>0.35699999999999998</v>
      </c>
      <c r="H19" s="136">
        <v>0.34399999999999997</v>
      </c>
      <c r="I19" s="136">
        <v>0.33700000000000002</v>
      </c>
      <c r="J19" s="136">
        <v>0.33800000000000002</v>
      </c>
      <c r="K19" s="136">
        <v>0.35099999999999998</v>
      </c>
      <c r="L19" s="136">
        <v>0.35199999999999998</v>
      </c>
      <c r="M19" s="136">
        <v>0.36299999999999999</v>
      </c>
      <c r="N19" s="136">
        <v>0.376</v>
      </c>
      <c r="O19" s="136">
        <v>0.38300000000000001</v>
      </c>
      <c r="P19" s="136">
        <v>0.39700000000000002</v>
      </c>
      <c r="Q19" s="331">
        <f>Q17/Q$10</f>
        <v>0.41895251712911663</v>
      </c>
      <c r="R19" s="331">
        <f>R17/R$10</f>
        <v>0.4352560739642764</v>
      </c>
      <c r="S19" s="331">
        <f t="shared" ref="S19:BG19" si="51">S17/S$10</f>
        <v>0.46857589280508571</v>
      </c>
      <c r="T19" s="331">
        <f t="shared" si="51"/>
        <v>0.44196373979551995</v>
      </c>
      <c r="U19" s="331">
        <f t="shared" si="51"/>
        <v>0.4426731802412025</v>
      </c>
      <c r="V19" s="331">
        <f t="shared" si="51"/>
        <v>0.45249788852426875</v>
      </c>
      <c r="W19" s="331">
        <f t="shared" si="51"/>
        <v>0.48431906544091891</v>
      </c>
      <c r="X19" s="331">
        <f t="shared" si="51"/>
        <v>0.45553700802340841</v>
      </c>
      <c r="Y19" s="331">
        <f t="shared" si="51"/>
        <v>0.45644681557299088</v>
      </c>
      <c r="Z19" s="331">
        <f t="shared" si="51"/>
        <v>0.46689733722638088</v>
      </c>
      <c r="AA19" s="331">
        <f t="shared" si="51"/>
        <v>0.5009075894517756</v>
      </c>
      <c r="AB19" s="331">
        <f t="shared" si="51"/>
        <v>0.4671919430466267</v>
      </c>
      <c r="AC19" s="331">
        <f t="shared" si="51"/>
        <v>0.4663563504025845</v>
      </c>
      <c r="AD19" s="331">
        <f t="shared" si="51"/>
        <v>0.47497741225100398</v>
      </c>
      <c r="AE19" s="331">
        <f t="shared" si="51"/>
        <v>0.50881943738412538</v>
      </c>
      <c r="AF19" s="331">
        <f t="shared" si="51"/>
        <v>0.47250182694112808</v>
      </c>
      <c r="AG19" s="331">
        <f t="shared" si="51"/>
        <v>0.47269602693414814</v>
      </c>
      <c r="AH19" s="331">
        <f t="shared" si="51"/>
        <v>0.48170469628396861</v>
      </c>
      <c r="AI19" s="331">
        <f t="shared" si="51"/>
        <v>0.51830345786142362</v>
      </c>
      <c r="AJ19" s="331">
        <f t="shared" si="51"/>
        <v>0.47835657204274362</v>
      </c>
      <c r="AK19" s="331">
        <f t="shared" si="51"/>
        <v>0.4796455023155789</v>
      </c>
      <c r="AL19" s="331">
        <f t="shared" si="51"/>
        <v>0.4890607048774735</v>
      </c>
      <c r="AM19" s="331">
        <f t="shared" si="51"/>
        <v>0.5286589609161445</v>
      </c>
      <c r="AN19" s="331">
        <f t="shared" si="51"/>
        <v>0.4848132216214443</v>
      </c>
      <c r="AO19" s="331">
        <f t="shared" si="51"/>
        <v>0.48726714494698281</v>
      </c>
      <c r="AP19" s="331">
        <f t="shared" si="51"/>
        <v>0.497108445211279</v>
      </c>
      <c r="AQ19" s="331">
        <f t="shared" si="51"/>
        <v>0.53997096677891687</v>
      </c>
      <c r="AR19" s="331">
        <f t="shared" si="51"/>
        <v>0.49193284683139615</v>
      </c>
      <c r="AS19" s="331">
        <f t="shared" si="51"/>
        <v>0.49562776763357647</v>
      </c>
      <c r="AT19" s="331">
        <f t="shared" si="51"/>
        <v>0.50591553640318943</v>
      </c>
      <c r="AU19" s="331">
        <f t="shared" si="51"/>
        <v>0.55233049468860118</v>
      </c>
      <c r="AV19" s="331">
        <f t="shared" si="51"/>
        <v>0.49978056451690611</v>
      </c>
      <c r="AW19" s="331">
        <f t="shared" si="51"/>
        <v>0.50479849147522515</v>
      </c>
      <c r="AX19" s="331">
        <f t="shared" si="51"/>
        <v>0.51555391384712068</v>
      </c>
      <c r="AY19" s="331">
        <f t="shared" si="51"/>
        <v>0.56583483554160652</v>
      </c>
      <c r="AZ19" s="331">
        <f t="shared" si="51"/>
        <v>0.50842551974418648</v>
      </c>
      <c r="BA19" s="331">
        <f t="shared" si="51"/>
        <v>0.51485538919054619</v>
      </c>
      <c r="BB19" s="331">
        <f t="shared" si="51"/>
        <v>0.52610052190734191</v>
      </c>
      <c r="BC19" s="331">
        <f t="shared" si="51"/>
        <v>0.58058752086076582</v>
      </c>
      <c r="BD19" s="331">
        <f t="shared" si="51"/>
        <v>0.51794134939922509</v>
      </c>
      <c r="BE19" s="331">
        <f t="shared" si="51"/>
        <v>0.5258789976618391</v>
      </c>
      <c r="BF19" s="331">
        <f t="shared" si="51"/>
        <v>0.53763703677165831</v>
      </c>
      <c r="BG19" s="331">
        <f t="shared" si="51"/>
        <v>0.59669879781962498</v>
      </c>
      <c r="BH19" s="1"/>
      <c r="BI19" s="204"/>
      <c r="BJ19" s="204"/>
      <c r="BK19" s="204"/>
      <c r="BL19" s="204"/>
      <c r="BM19" s="1"/>
      <c r="BN19" s="375">
        <v>0.37602401856125328</v>
      </c>
      <c r="BO19" s="425">
        <f t="shared" si="2"/>
        <v>5.9232055403023121E-2</v>
      </c>
      <c r="BP19" s="375">
        <v>0.38928427469023152</v>
      </c>
      <c r="BQ19" s="425">
        <f t="shared" si="2"/>
        <v>7.929161811485419E-2</v>
      </c>
    </row>
    <row r="20" spans="1:69" x14ac:dyDescent="0.25">
      <c r="A20" s="82"/>
      <c r="B20" s="92" t="s">
        <v>602</v>
      </c>
      <c r="C20" s="93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7"/>
      <c r="P20" s="108">
        <v>2320000</v>
      </c>
      <c r="Q20" s="108">
        <v>2450000</v>
      </c>
      <c r="R20" s="108">
        <v>2600000</v>
      </c>
      <c r="S20" s="108">
        <v>2755000</v>
      </c>
      <c r="T20" s="48"/>
      <c r="U20" s="48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1"/>
      <c r="BI20" s="204"/>
      <c r="BJ20" s="204"/>
      <c r="BK20" s="204"/>
      <c r="BL20" s="204"/>
      <c r="BM20" s="1"/>
      <c r="BN20" s="376">
        <v>2600000</v>
      </c>
      <c r="BO20" s="426">
        <f t="shared" si="2"/>
        <v>0</v>
      </c>
      <c r="BP20" s="376">
        <v>2743867</v>
      </c>
      <c r="BQ20" s="426">
        <f t="shared" si="2"/>
        <v>11133</v>
      </c>
    </row>
    <row r="21" spans="1:69" x14ac:dyDescent="0.25">
      <c r="A21" s="488"/>
      <c r="B21" s="489"/>
      <c r="C21" s="93"/>
      <c r="D21" s="46"/>
      <c r="E21" s="46"/>
      <c r="F21" s="46"/>
      <c r="G21" s="46"/>
      <c r="H21" s="46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344">
        <f>SUM(T23:T26)/SUM(P23:P26)-1</f>
        <v>0.21849250928178776</v>
      </c>
      <c r="U21" s="344">
        <f t="shared" ref="U21:Y21" si="52">SUM(U23:U26)/SUM(Q23:Q26)-1</f>
        <v>0.158793345627946</v>
      </c>
      <c r="V21" s="344">
        <f t="shared" si="52"/>
        <v>8.7883982199160826E-2</v>
      </c>
      <c r="W21" s="344">
        <f t="shared" si="52"/>
        <v>0.12673971173597365</v>
      </c>
      <c r="X21" s="344">
        <f t="shared" si="52"/>
        <v>0.1368416505490484</v>
      </c>
      <c r="Y21" s="344">
        <f t="shared" si="52"/>
        <v>0.13658034235024763</v>
      </c>
      <c r="Z21" s="108"/>
      <c r="AA21" s="108"/>
      <c r="AB21" s="108"/>
      <c r="AC21" s="108"/>
      <c r="AD21" s="108"/>
      <c r="AE21" s="108"/>
      <c r="AF21" s="108"/>
      <c r="AG21" s="108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>
        <f t="shared" ref="AU21:BD21" si="53">AU15/AQ15-1</f>
        <v>0.16565281703587775</v>
      </c>
      <c r="AV21" s="46">
        <f t="shared" si="53"/>
        <v>0.15717563388974276</v>
      </c>
      <c r="AW21" s="46">
        <f t="shared" si="53"/>
        <v>0.1603872394630339</v>
      </c>
      <c r="AX21" s="46">
        <f t="shared" si="53"/>
        <v>0.16050307798800301</v>
      </c>
      <c r="AY21" s="46">
        <f t="shared" si="53"/>
        <v>0.16837325411337534</v>
      </c>
      <c r="AZ21" s="46">
        <f t="shared" si="53"/>
        <v>0.15951206298358556</v>
      </c>
      <c r="BA21" s="46">
        <f t="shared" si="53"/>
        <v>0.1628852384224535</v>
      </c>
      <c r="BB21" s="46">
        <f t="shared" si="53"/>
        <v>0.16300715844914859</v>
      </c>
      <c r="BC21" s="46">
        <f t="shared" si="53"/>
        <v>0.17119215115376751</v>
      </c>
      <c r="BD21" s="46">
        <f t="shared" si="53"/>
        <v>0.1619699592652486</v>
      </c>
      <c r="BE21" s="46">
        <f>BE15/BA15-1</f>
        <v>0.16549794311237664</v>
      </c>
      <c r="BF21" s="46">
        <f t="shared" ref="BF21:BG21" si="54">BF15/BB15-1</f>
        <v>0.16562565357157544</v>
      </c>
      <c r="BG21" s="46">
        <f t="shared" si="54"/>
        <v>0.17409899476051782</v>
      </c>
      <c r="BH21" s="1"/>
      <c r="BI21" s="204"/>
      <c r="BJ21" s="204"/>
      <c r="BK21" s="204"/>
      <c r="BL21" s="204"/>
      <c r="BM21" s="1"/>
      <c r="BN21" s="377"/>
      <c r="BO21" s="427" t="str">
        <f t="shared" si="2"/>
        <v/>
      </c>
      <c r="BP21" s="377"/>
      <c r="BQ21" s="427" t="str">
        <f t="shared" si="2"/>
        <v/>
      </c>
    </row>
    <row r="22" spans="1:69" x14ac:dyDescent="0.25">
      <c r="A22" s="82"/>
      <c r="B22" s="95" t="s">
        <v>310</v>
      </c>
      <c r="C22" s="114"/>
      <c r="D22" s="2"/>
      <c r="E22" s="46"/>
      <c r="F22" s="2"/>
      <c r="G22" s="46"/>
      <c r="H22" s="187"/>
      <c r="I22" s="46"/>
      <c r="J22" s="2"/>
      <c r="K22" s="46"/>
      <c r="L22" s="16" t="s">
        <v>603</v>
      </c>
      <c r="M22" s="46"/>
      <c r="N22" s="2"/>
      <c r="O22" s="2"/>
      <c r="P22" s="2"/>
      <c r="Q22" s="2"/>
      <c r="R22" s="2"/>
      <c r="S22" s="137"/>
      <c r="T22" s="137"/>
      <c r="U22" s="137"/>
      <c r="V22" s="137"/>
      <c r="W22" s="137"/>
      <c r="X22" s="137"/>
      <c r="Y22" s="137"/>
      <c r="Z22" s="97"/>
      <c r="AA22" s="97"/>
      <c r="AB22" s="97"/>
      <c r="AC22" s="97"/>
      <c r="AD22" s="97"/>
      <c r="AE22" s="97"/>
      <c r="AF22" s="97"/>
      <c r="AG22" s="97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204"/>
      <c r="BJ22" s="204"/>
      <c r="BK22" s="204"/>
      <c r="BL22" s="204"/>
      <c r="BM22" s="1"/>
      <c r="BN22" s="374"/>
      <c r="BO22" s="424" t="str">
        <f t="shared" si="2"/>
        <v/>
      </c>
      <c r="BP22" s="374"/>
      <c r="BQ22" s="424" t="str">
        <f t="shared" si="2"/>
        <v/>
      </c>
    </row>
    <row r="23" spans="1:69" x14ac:dyDescent="0.25">
      <c r="A23" s="82" t="s">
        <v>311</v>
      </c>
      <c r="B23" s="92" t="s">
        <v>312</v>
      </c>
      <c r="C23" s="114"/>
      <c r="D23" s="108">
        <v>286317</v>
      </c>
      <c r="E23" s="108">
        <v>311956</v>
      </c>
      <c r="F23" s="108">
        <v>331250</v>
      </c>
      <c r="G23" s="108">
        <v>381647</v>
      </c>
      <c r="H23" s="108">
        <v>398219</v>
      </c>
      <c r="I23" s="108">
        <v>429444</v>
      </c>
      <c r="J23" s="108">
        <v>430462</v>
      </c>
      <c r="K23" s="108">
        <v>410587</v>
      </c>
      <c r="L23" s="108">
        <v>716070</v>
      </c>
      <c r="M23" s="108">
        <v>713163</v>
      </c>
      <c r="N23" s="108">
        <v>710983</v>
      </c>
      <c r="O23" s="108">
        <v>708912</v>
      </c>
      <c r="P23" s="108">
        <v>723539</v>
      </c>
      <c r="Q23" s="108">
        <v>725288</v>
      </c>
      <c r="R23" s="108">
        <v>711235</v>
      </c>
      <c r="S23" s="97">
        <f t="shared" ref="S23:BG23" si="55">O23*(1+S33)</f>
        <v>723090.24</v>
      </c>
      <c r="T23" s="97">
        <f t="shared" si="55"/>
        <v>738009.78</v>
      </c>
      <c r="U23" s="97">
        <f t="shared" si="55"/>
        <v>739793.76</v>
      </c>
      <c r="V23" s="97">
        <f t="shared" si="55"/>
        <v>725459.70000000007</v>
      </c>
      <c r="W23" s="97">
        <f t="shared" si="55"/>
        <v>737552.04480000003</v>
      </c>
      <c r="X23" s="97">
        <f t="shared" si="55"/>
        <v>767530.1712000001</v>
      </c>
      <c r="Y23" s="97">
        <f t="shared" si="55"/>
        <v>769385.51040000003</v>
      </c>
      <c r="Z23" s="97">
        <f t="shared" si="55"/>
        <v>754478.08800000011</v>
      </c>
      <c r="AA23" s="97">
        <f t="shared" si="55"/>
        <v>767054.12659200002</v>
      </c>
      <c r="AB23" s="97">
        <f t="shared" si="55"/>
        <v>798231.37804800016</v>
      </c>
      <c r="AC23" s="97">
        <f t="shared" si="55"/>
        <v>800160.93081600009</v>
      </c>
      <c r="AD23" s="97">
        <f t="shared" si="55"/>
        <v>784657.21152000013</v>
      </c>
      <c r="AE23" s="97">
        <f t="shared" si="55"/>
        <v>797736.29165568005</v>
      </c>
      <c r="AF23" s="97">
        <f t="shared" si="55"/>
        <v>830160.63316992018</v>
      </c>
      <c r="AG23" s="97">
        <f t="shared" si="55"/>
        <v>832167.36804864008</v>
      </c>
      <c r="AH23" s="97">
        <f t="shared" si="55"/>
        <v>816043.4999808002</v>
      </c>
      <c r="AI23" s="97">
        <f t="shared" si="55"/>
        <v>829645.74332190724</v>
      </c>
      <c r="AJ23" s="97">
        <f t="shared" si="55"/>
        <v>863367.05849671701</v>
      </c>
      <c r="AK23" s="97">
        <f t="shared" si="55"/>
        <v>865454.06277058576</v>
      </c>
      <c r="AL23" s="97">
        <f t="shared" si="55"/>
        <v>848685.2399800322</v>
      </c>
      <c r="AM23" s="97">
        <f t="shared" si="55"/>
        <v>862831.57305478351</v>
      </c>
      <c r="AN23" s="97">
        <f t="shared" si="55"/>
        <v>897901.74083658576</v>
      </c>
      <c r="AO23" s="97">
        <f t="shared" si="55"/>
        <v>900072.22528140922</v>
      </c>
      <c r="AP23" s="97">
        <f t="shared" si="55"/>
        <v>882632.64957923349</v>
      </c>
      <c r="AQ23" s="97">
        <f t="shared" si="55"/>
        <v>897344.83597697492</v>
      </c>
      <c r="AR23" s="97">
        <f t="shared" si="55"/>
        <v>933817.81047004927</v>
      </c>
      <c r="AS23" s="97">
        <f t="shared" si="55"/>
        <v>936075.11429266562</v>
      </c>
      <c r="AT23" s="97">
        <f t="shared" si="55"/>
        <v>917937.95556240284</v>
      </c>
      <c r="AU23" s="97">
        <f t="shared" si="55"/>
        <v>933238.629416054</v>
      </c>
      <c r="AV23" s="97">
        <f t="shared" si="55"/>
        <v>971170.52288885124</v>
      </c>
      <c r="AW23" s="97">
        <f t="shared" si="55"/>
        <v>973518.11886437226</v>
      </c>
      <c r="AX23" s="97">
        <f t="shared" si="55"/>
        <v>954655.47378489899</v>
      </c>
      <c r="AY23" s="97">
        <f t="shared" si="55"/>
        <v>970568.17459269625</v>
      </c>
      <c r="AZ23" s="97">
        <f t="shared" si="55"/>
        <v>1010017.3438044053</v>
      </c>
      <c r="BA23" s="97">
        <f t="shared" si="55"/>
        <v>1012458.8436189472</v>
      </c>
      <c r="BB23" s="97">
        <f t="shared" si="55"/>
        <v>992841.69273629494</v>
      </c>
      <c r="BC23" s="97">
        <f t="shared" si="55"/>
        <v>1009390.9015764041</v>
      </c>
      <c r="BD23" s="97">
        <f t="shared" si="55"/>
        <v>1050418.0375565817</v>
      </c>
      <c r="BE23" s="97">
        <f t="shared" si="55"/>
        <v>1052957.1973637051</v>
      </c>
      <c r="BF23" s="97">
        <f t="shared" si="55"/>
        <v>1032555.3604457468</v>
      </c>
      <c r="BG23" s="97">
        <f t="shared" si="55"/>
        <v>1049766.5376394603</v>
      </c>
      <c r="BH23" s="1"/>
      <c r="BI23" s="204"/>
      <c r="BJ23" s="204"/>
      <c r="BK23" s="204"/>
      <c r="BL23" s="204"/>
      <c r="BM23" s="1"/>
      <c r="BN23" s="370">
        <v>725202.66</v>
      </c>
      <c r="BO23" s="420">
        <f t="shared" si="2"/>
        <v>-13967.660000000033</v>
      </c>
      <c r="BP23" s="370">
        <v>723090.24</v>
      </c>
      <c r="BQ23" s="420">
        <f t="shared" si="2"/>
        <v>0</v>
      </c>
    </row>
    <row r="24" spans="1:69" x14ac:dyDescent="0.25">
      <c r="A24" s="82" t="s">
        <v>313</v>
      </c>
      <c r="B24" s="92" t="s">
        <v>314</v>
      </c>
      <c r="C24" s="114"/>
      <c r="D24" s="108">
        <v>478395</v>
      </c>
      <c r="E24" s="108">
        <v>504176</v>
      </c>
      <c r="F24" s="108">
        <v>455951</v>
      </c>
      <c r="G24" s="108">
        <v>507757</v>
      </c>
      <c r="H24" s="108">
        <v>465188</v>
      </c>
      <c r="I24" s="108">
        <v>502847</v>
      </c>
      <c r="J24" s="108">
        <v>441733</v>
      </c>
      <c r="K24" s="108">
        <v>469991</v>
      </c>
      <c r="L24" s="108">
        <v>442807</v>
      </c>
      <c r="M24" s="108">
        <v>507562</v>
      </c>
      <c r="N24" s="108">
        <v>511755</v>
      </c>
      <c r="O24" s="108">
        <v>520938</v>
      </c>
      <c r="P24" s="108">
        <v>491910</v>
      </c>
      <c r="Q24" s="108">
        <v>549731</v>
      </c>
      <c r="R24" s="108">
        <v>599333</v>
      </c>
      <c r="S24" s="97">
        <f t="shared" ref="S24:BG24" si="56">O24*(1+S34)</f>
        <v>609497.46</v>
      </c>
      <c r="T24" s="97">
        <f t="shared" si="56"/>
        <v>590292</v>
      </c>
      <c r="U24" s="97">
        <f t="shared" si="56"/>
        <v>636316.99236520624</v>
      </c>
      <c r="V24" s="97">
        <f t="shared" si="56"/>
        <v>682171.67083240289</v>
      </c>
      <c r="W24" s="97">
        <f t="shared" si="56"/>
        <v>693893.26798670006</v>
      </c>
      <c r="X24" s="97">
        <f t="shared" si="56"/>
        <v>671043.0398793217</v>
      </c>
      <c r="Y24" s="97">
        <f t="shared" si="56"/>
        <v>722840.43180802022</v>
      </c>
      <c r="Z24" s="97">
        <f t="shared" si="56"/>
        <v>774839.19680868043</v>
      </c>
      <c r="AA24" s="97">
        <f t="shared" si="56"/>
        <v>788366.70765389316</v>
      </c>
      <c r="AB24" s="97">
        <f t="shared" si="56"/>
        <v>763246.86568250821</v>
      </c>
      <c r="AC24" s="97">
        <f t="shared" si="56"/>
        <v>821586.28108924092</v>
      </c>
      <c r="AD24" s="97">
        <f t="shared" si="56"/>
        <v>880602.36506093061</v>
      </c>
      <c r="AE24" s="97">
        <f t="shared" si="56"/>
        <v>894319.45595214795</v>
      </c>
      <c r="AF24" s="97">
        <f t="shared" si="56"/>
        <v>861994.53369147994</v>
      </c>
      <c r="AG24" s="97">
        <f t="shared" si="56"/>
        <v>926641.49610926386</v>
      </c>
      <c r="AH24" s="97">
        <f t="shared" si="56"/>
        <v>992547.66219921212</v>
      </c>
      <c r="AI24" s="97">
        <f t="shared" si="56"/>
        <v>1008186.6724774523</v>
      </c>
      <c r="AJ24" s="97">
        <f t="shared" si="56"/>
        <v>974275.53645579726</v>
      </c>
      <c r="AK24" s="97">
        <f t="shared" si="56"/>
        <v>1045966.9891273462</v>
      </c>
      <c r="AL24" s="97">
        <f t="shared" si="56"/>
        <v>1119630.0372354365</v>
      </c>
      <c r="AM24" s="97">
        <f t="shared" si="56"/>
        <v>1137493.4687544641</v>
      </c>
      <c r="AN24" s="97">
        <f t="shared" si="56"/>
        <v>1102039.6723183992</v>
      </c>
      <c r="AO24" s="97">
        <f t="shared" si="56"/>
        <v>1181607.7483913258</v>
      </c>
      <c r="AP24" s="97">
        <f t="shared" si="56"/>
        <v>1264012.7470394818</v>
      </c>
      <c r="AQ24" s="97">
        <f t="shared" si="56"/>
        <v>1284454.5479410533</v>
      </c>
      <c r="AR24" s="97">
        <f t="shared" si="56"/>
        <v>1247530.3268639429</v>
      </c>
      <c r="AS24" s="97">
        <f t="shared" si="56"/>
        <v>1335916.127031842</v>
      </c>
      <c r="AT24" s="97">
        <f t="shared" si="56"/>
        <v>1428183.9817868357</v>
      </c>
      <c r="AU24" s="97">
        <f t="shared" si="56"/>
        <v>1451618.744172039</v>
      </c>
      <c r="AV24" s="97">
        <f t="shared" si="56"/>
        <v>1413330.4744149602</v>
      </c>
      <c r="AW24" s="97">
        <f t="shared" si="56"/>
        <v>1511600.0679768294</v>
      </c>
      <c r="AX24" s="97">
        <f t="shared" si="56"/>
        <v>1615007.9219231023</v>
      </c>
      <c r="AY24" s="97">
        <f t="shared" si="56"/>
        <v>1641921.778595834</v>
      </c>
      <c r="AZ24" s="97">
        <f t="shared" si="56"/>
        <v>1602416.1556659259</v>
      </c>
      <c r="BA24" s="97">
        <f t="shared" si="56"/>
        <v>1711779.1965982842</v>
      </c>
      <c r="BB24" s="97">
        <f t="shared" si="56"/>
        <v>1827784.1528141524</v>
      </c>
      <c r="BC24" s="97">
        <f t="shared" si="56"/>
        <v>1858747.6940198673</v>
      </c>
      <c r="BD24" s="97">
        <f t="shared" si="56"/>
        <v>1818218.6881379115</v>
      </c>
      <c r="BE24" s="97">
        <f t="shared" si="56"/>
        <v>1940050.1110474216</v>
      </c>
      <c r="BF24" s="97">
        <f t="shared" si="56"/>
        <v>2070316.8565822677</v>
      </c>
      <c r="BG24" s="97">
        <f t="shared" si="56"/>
        <v>2106000.4492389983</v>
      </c>
      <c r="BH24" s="1"/>
      <c r="BI24" s="204"/>
      <c r="BJ24" s="204"/>
      <c r="BK24" s="204"/>
      <c r="BL24" s="204"/>
      <c r="BM24" s="1"/>
      <c r="BN24" s="370">
        <v>597825.40243968356</v>
      </c>
      <c r="BO24" s="420">
        <f t="shared" si="2"/>
        <v>1507.5975603164406</v>
      </c>
      <c r="BP24" s="370">
        <v>614314.83891465119</v>
      </c>
      <c r="BQ24" s="420">
        <f t="shared" si="2"/>
        <v>-4817.3789146512281</v>
      </c>
    </row>
    <row r="25" spans="1:69" x14ac:dyDescent="0.25">
      <c r="A25" s="82" t="s">
        <v>315</v>
      </c>
      <c r="B25" s="92" t="s">
        <v>316</v>
      </c>
      <c r="C25" s="114"/>
      <c r="D25" s="108">
        <v>251616</v>
      </c>
      <c r="E25" s="108">
        <v>312949</v>
      </c>
      <c r="F25" s="108">
        <v>311972</v>
      </c>
      <c r="G25" s="108">
        <v>343190</v>
      </c>
      <c r="H25" s="108">
        <v>362301</v>
      </c>
      <c r="I25" s="108">
        <v>377456</v>
      </c>
      <c r="J25" s="108">
        <v>378961</v>
      </c>
      <c r="K25" s="108">
        <v>414884</v>
      </c>
      <c r="L25" s="108">
        <v>423630</v>
      </c>
      <c r="M25" s="108">
        <v>439414</v>
      </c>
      <c r="N25" s="108">
        <v>408553</v>
      </c>
      <c r="O25" s="108">
        <v>450602</v>
      </c>
      <c r="P25" s="108">
        <v>452870</v>
      </c>
      <c r="Q25" s="108">
        <v>449237</v>
      </c>
      <c r="R25" s="108">
        <v>543974</v>
      </c>
      <c r="S25" s="97">
        <f t="shared" ref="S25:BG25" si="57">O25*(1+S35)</f>
        <v>468626.08</v>
      </c>
      <c r="T25" s="97">
        <f t="shared" si="57"/>
        <v>470984.8</v>
      </c>
      <c r="U25" s="97">
        <f t="shared" si="57"/>
        <v>467206.48000000004</v>
      </c>
      <c r="V25" s="97">
        <f t="shared" si="57"/>
        <v>489576.60000000003</v>
      </c>
      <c r="W25" s="97">
        <f t="shared" si="57"/>
        <v>487371.12320000003</v>
      </c>
      <c r="X25" s="97">
        <f t="shared" si="57"/>
        <v>489824.19199999998</v>
      </c>
      <c r="Y25" s="97">
        <f t="shared" si="57"/>
        <v>485894.73920000007</v>
      </c>
      <c r="Z25" s="97">
        <f t="shared" si="57"/>
        <v>509159.66400000005</v>
      </c>
      <c r="AA25" s="97">
        <f t="shared" si="57"/>
        <v>506865.96812800004</v>
      </c>
      <c r="AB25" s="97">
        <f t="shared" si="57"/>
        <v>509417.15967999998</v>
      </c>
      <c r="AC25" s="97">
        <f t="shared" si="57"/>
        <v>505330.52876800008</v>
      </c>
      <c r="AD25" s="97">
        <f t="shared" si="57"/>
        <v>529526.05056000012</v>
      </c>
      <c r="AE25" s="97">
        <f t="shared" si="57"/>
        <v>527140.60685312003</v>
      </c>
      <c r="AF25" s="97">
        <f t="shared" si="57"/>
        <v>529793.84606719995</v>
      </c>
      <c r="AG25" s="97">
        <f t="shared" si="57"/>
        <v>525543.7499187201</v>
      </c>
      <c r="AH25" s="97">
        <f t="shared" si="57"/>
        <v>550707.09258240019</v>
      </c>
      <c r="AI25" s="97">
        <f t="shared" si="57"/>
        <v>548226.23112724489</v>
      </c>
      <c r="AJ25" s="97">
        <f t="shared" si="57"/>
        <v>550985.599909888</v>
      </c>
      <c r="AK25" s="97">
        <f t="shared" si="57"/>
        <v>546565.49991546897</v>
      </c>
      <c r="AL25" s="97">
        <f t="shared" si="57"/>
        <v>572735.37628569617</v>
      </c>
      <c r="AM25" s="97">
        <f t="shared" si="57"/>
        <v>570155.28037233464</v>
      </c>
      <c r="AN25" s="97">
        <f t="shared" si="57"/>
        <v>573025.02390628355</v>
      </c>
      <c r="AO25" s="97">
        <f t="shared" si="57"/>
        <v>568428.1199120878</v>
      </c>
      <c r="AP25" s="97">
        <f t="shared" si="57"/>
        <v>595644.79133712407</v>
      </c>
      <c r="AQ25" s="97">
        <f t="shared" si="57"/>
        <v>592961.49158722803</v>
      </c>
      <c r="AR25" s="97">
        <f t="shared" si="57"/>
        <v>595946.02486253495</v>
      </c>
      <c r="AS25" s="97">
        <f t="shared" si="57"/>
        <v>591165.24470857135</v>
      </c>
      <c r="AT25" s="97">
        <f t="shared" si="57"/>
        <v>619470.58299060911</v>
      </c>
      <c r="AU25" s="97">
        <f t="shared" si="57"/>
        <v>616679.95125071716</v>
      </c>
      <c r="AV25" s="97">
        <f t="shared" si="57"/>
        <v>619783.86585703632</v>
      </c>
      <c r="AW25" s="97">
        <f t="shared" si="57"/>
        <v>614811.85449691419</v>
      </c>
      <c r="AX25" s="97">
        <f t="shared" si="57"/>
        <v>644249.40631023352</v>
      </c>
      <c r="AY25" s="97">
        <f t="shared" si="57"/>
        <v>641347.14930074592</v>
      </c>
      <c r="AZ25" s="97">
        <f t="shared" si="57"/>
        <v>644575.2204913178</v>
      </c>
      <c r="BA25" s="97">
        <f t="shared" si="57"/>
        <v>639404.32867679081</v>
      </c>
      <c r="BB25" s="97">
        <f t="shared" si="57"/>
        <v>670019.38256264292</v>
      </c>
      <c r="BC25" s="97">
        <f t="shared" si="57"/>
        <v>667001.0352727758</v>
      </c>
      <c r="BD25" s="97">
        <f t="shared" si="57"/>
        <v>670358.22931097052</v>
      </c>
      <c r="BE25" s="97">
        <f t="shared" si="57"/>
        <v>664980.50182386243</v>
      </c>
      <c r="BF25" s="97">
        <f t="shared" si="57"/>
        <v>696820.15786514862</v>
      </c>
      <c r="BG25" s="97">
        <f t="shared" si="57"/>
        <v>693681.07668368681</v>
      </c>
      <c r="BH25" s="1"/>
      <c r="BI25" s="204"/>
      <c r="BJ25" s="204"/>
      <c r="BK25" s="204"/>
      <c r="BL25" s="204"/>
      <c r="BM25" s="1"/>
      <c r="BN25" s="370">
        <v>449408.30000000005</v>
      </c>
      <c r="BO25" s="420">
        <f t="shared" si="2"/>
        <v>94565.699999999953</v>
      </c>
      <c r="BP25" s="370">
        <v>459614.04</v>
      </c>
      <c r="BQ25" s="420">
        <f t="shared" si="2"/>
        <v>9012.0400000000373</v>
      </c>
    </row>
    <row r="26" spans="1:69" x14ac:dyDescent="0.25">
      <c r="A26" s="82" t="s">
        <v>317</v>
      </c>
      <c r="B26" s="16" t="s">
        <v>318</v>
      </c>
      <c r="C26" s="93"/>
      <c r="D26" s="108">
        <v>91150</v>
      </c>
      <c r="E26" s="108">
        <v>156697</v>
      </c>
      <c r="F26" s="108">
        <v>147586</v>
      </c>
      <c r="G26" s="108">
        <v>155250</v>
      </c>
      <c r="H26" s="108">
        <v>127896</v>
      </c>
      <c r="I26" s="108">
        <v>179771</v>
      </c>
      <c r="J26" s="108">
        <v>177338</v>
      </c>
      <c r="K26" s="108">
        <v>175658</v>
      </c>
      <c r="L26" s="108">
        <v>165729</v>
      </c>
      <c r="M26" s="108">
        <v>191812</v>
      </c>
      <c r="N26" s="108">
        <v>192062</v>
      </c>
      <c r="O26" s="108">
        <v>244618</v>
      </c>
      <c r="P26" s="108">
        <v>169689</v>
      </c>
      <c r="Q26" s="108">
        <v>294090</v>
      </c>
      <c r="R26" s="108">
        <v>363455</v>
      </c>
      <c r="S26" s="97">
        <f>O26*(1+S36)</f>
        <v>440312.4</v>
      </c>
      <c r="T26" s="207">
        <f>S26</f>
        <v>440312.4</v>
      </c>
      <c r="U26" s="343">
        <f>(U196-Q196)*0.75/0.05*0.03+Q26*(1+U11)</f>
        <v>495528.6816095761</v>
      </c>
      <c r="V26" s="343">
        <f t="shared" ref="V26:W26" si="58">(V196-R196)*0.75/0.05*0.03+R26*(1+V11)</f>
        <v>515715.4380333891</v>
      </c>
      <c r="W26" s="342">
        <f t="shared" si="58"/>
        <v>606800.12591513828</v>
      </c>
      <c r="X26" s="342">
        <f t="shared" ref="X26" si="59">(X196-T196)*0.75/0.05*0.03+T26*(1+X11)</f>
        <v>617671.99791184301</v>
      </c>
      <c r="Y26" s="342">
        <f t="shared" ref="Y26" si="60">(Y196-U196)*0.75/0.05*0.03+U26*(1+Y11)</f>
        <v>680165.60820191563</v>
      </c>
      <c r="Z26" s="342">
        <f t="shared" ref="Z26" si="61">(Z196-V196)*0.75/0.05*0.03+V26*(1+Z11)</f>
        <v>704012.65049349423</v>
      </c>
      <c r="AA26" s="342">
        <f t="shared" ref="AA26" si="62">(AA196-W196)*0.75/0.05*0.03+W26*(1+AA11)</f>
        <v>811671.89831454132</v>
      </c>
      <c r="AB26" s="342">
        <f t="shared" ref="AB26" si="63">(AB196-X196)*0.75/0.05*0.03+X26*(1+AB11)</f>
        <v>829383.07384944928</v>
      </c>
      <c r="AC26" s="342">
        <f t="shared" ref="AC26" si="64">(AC196-Y196)*0.75/0.05*0.03+Y26*(1+AC11)</f>
        <v>891138.77133223903</v>
      </c>
      <c r="AD26" s="342">
        <f t="shared" ref="AD26" si="65">(AD196-Z196)*0.75/0.05*0.03+Z26*(1+AD11)</f>
        <v>910563.32875110803</v>
      </c>
      <c r="AE26" s="342">
        <f t="shared" ref="AE26" si="66">(AE196-AA196)*0.75/0.05*0.03+AA26*(1+AE11)</f>
        <v>1026191.9886456857</v>
      </c>
      <c r="AF26" s="342">
        <f t="shared" ref="AF26" si="67">(AF196-AB196)*0.75/0.05*0.03+AB26*(1+AF11)</f>
        <v>1052985.8115513059</v>
      </c>
      <c r="AG26" s="342">
        <f t="shared" ref="AG26" si="68">(AG196-AC196)*0.75/0.05*0.03+AC26*(1+AG11)</f>
        <v>1120225.3954566179</v>
      </c>
      <c r="AH26" s="342">
        <f t="shared" ref="AH26" si="69">(AH196-AD196)*0.75/0.05*0.03+AD26*(1+AH11)</f>
        <v>1141872.2990620208</v>
      </c>
      <c r="AI26" s="342">
        <f t="shared" ref="AI26" si="70">(AI196-AE196)*0.75/0.05*0.03+AE26*(1+AI11)</f>
        <v>1275603.8491654519</v>
      </c>
      <c r="AJ26" s="342">
        <f t="shared" ref="AJ26" si="71">(AJ196-AF196)*0.75/0.05*0.03+AF26*(1+AJ11)</f>
        <v>1321142.4949937821</v>
      </c>
      <c r="AK26" s="342">
        <f t="shared" ref="AK26" si="72">(AK196-AG196)*0.75/0.05*0.03+AG26*(1+AK11)</f>
        <v>1394124.1496735879</v>
      </c>
      <c r="AL26" s="342">
        <f t="shared" ref="AL26" si="73">(AL196-AH196)*0.75/0.05*0.03+AH26*(1+AL11)</f>
        <v>1418211.6236120891</v>
      </c>
      <c r="AM26" s="342">
        <f t="shared" ref="AM26" si="74">(AM196-AI196)*0.75/0.05*0.03+AI26*(1+AM11)</f>
        <v>1572957.7331928231</v>
      </c>
      <c r="AN26" s="342">
        <f t="shared" ref="AN26" si="75">(AN196-AJ196)*0.75/0.05*0.03+AJ26*(1+AN11)</f>
        <v>1641941.4282338391</v>
      </c>
      <c r="AO26" s="342">
        <f t="shared" ref="AO26" si="76">(AO196-AK196)*0.75/0.05*0.03+AK26*(1+AO11)</f>
        <v>1720885.702489147</v>
      </c>
      <c r="AP26" s="342">
        <f t="shared" ref="AP26" si="77">(AP196-AL196)*0.75/0.05*0.03+AL26*(1+AP11)</f>
        <v>1747651.7106823826</v>
      </c>
      <c r="AQ26" s="342">
        <f t="shared" ref="AQ26" si="78">(AQ196-AM196)*0.75/0.05*0.03+AM26*(1+AQ11)</f>
        <v>1926808.9997811783</v>
      </c>
      <c r="AR26" s="342">
        <f t="shared" ref="AR26" si="79">(AR196-AN196)*0.75/0.05*0.03+AN26*(1+AR11)</f>
        <v>2024889.5305052153</v>
      </c>
      <c r="AS26" s="342">
        <f t="shared" ref="AS26" si="80">(AS196-AO196)*0.75/0.05*0.03+AO26*(1+AS11)</f>
        <v>2109964.622706234</v>
      </c>
      <c r="AT26" s="342">
        <f t="shared" ref="AT26" si="81">(AT196-AP196)*0.75/0.05*0.03+AP26*(1+AT11)</f>
        <v>2139669.5300794155</v>
      </c>
      <c r="AU26" s="342">
        <f t="shared" ref="AU26" si="82">(AU196-AQ196)*0.75/0.05*0.03+AQ26*(1+AU11)</f>
        <v>2347203.2886111313</v>
      </c>
      <c r="AV26" s="342">
        <f t="shared" ref="AV26" si="83">(AV196-AR196)*0.75/0.05*0.03+AR26*(1+AV11)</f>
        <v>2481158.7227904783</v>
      </c>
      <c r="AW26" s="342">
        <f t="shared" ref="AW26" si="84">(AW196-AS196)*0.75/0.05*0.03+AS26*(1+AW11)</f>
        <v>2572462.7007007576</v>
      </c>
      <c r="AX26" s="342">
        <f t="shared" ref="AX26" si="85">(AX196-AT196)*0.75/0.05*0.03+AT26*(1+AX11)</f>
        <v>2605392.7165886513</v>
      </c>
      <c r="AY26" s="342">
        <f t="shared" ref="AY26" si="86">(AY196-AU196)*0.75/0.05*0.03+AU26*(1+AY11)</f>
        <v>2845935.5614980767</v>
      </c>
      <c r="AZ26" s="342">
        <f t="shared" ref="AZ26" si="87">(AZ196-AV196)*0.75/0.05*0.03+AV26*(1+AZ11)</f>
        <v>3023875.2402428319</v>
      </c>
      <c r="BA26" s="342">
        <f t="shared" ref="BA26" si="88">(BA196-AW196)*0.75/0.05*0.03+AW26*(1+BA11)</f>
        <v>3121414.7011173912</v>
      </c>
      <c r="BB26" s="342">
        <f t="shared" ref="BB26" si="89">(BB196-AX196)*0.75/0.05*0.03+AX26*(1+BB11)</f>
        <v>3157886.3757805298</v>
      </c>
      <c r="BC26" s="342">
        <f t="shared" ref="BC26" si="90">(BC196-AY196)*0.75/0.05*0.03+AY26*(1+BC11)</f>
        <v>3436854.5879865321</v>
      </c>
      <c r="BD26" s="342">
        <f t="shared" ref="BD26" si="91">(BD196-AZ196)*0.75/0.05*0.03+AZ26*(1+BD11)</f>
        <v>3668459.4300007494</v>
      </c>
      <c r="BE26" s="342">
        <f t="shared" ref="BE26" si="92">(BE196-BA196)*0.75/0.05*0.03+BA26*(1+BE11)</f>
        <v>3772124.0439804862</v>
      </c>
      <c r="BF26" s="342">
        <f t="shared" ref="BF26" si="93">(BF196-BB196)*0.75/0.05*0.03+BB26*(1+BF11)</f>
        <v>3812490.1728513711</v>
      </c>
      <c r="BG26" s="342">
        <f t="shared" ref="BG26" si="94">(BG196-BC196)*0.75/0.05*0.03+BC26*(1+BG11)</f>
        <v>4136220.9704842735</v>
      </c>
      <c r="BH26" s="1"/>
      <c r="BI26" s="206">
        <v>90316</v>
      </c>
      <c r="BJ26" s="206">
        <v>108053</v>
      </c>
      <c r="BK26" s="206">
        <v>104535</v>
      </c>
      <c r="BL26" s="206">
        <v>113460</v>
      </c>
      <c r="BM26" s="1"/>
      <c r="BN26" s="370">
        <v>364917.8</v>
      </c>
      <c r="BO26" s="420">
        <f t="shared" si="2"/>
        <v>-1462.7999999999884</v>
      </c>
      <c r="BP26" s="370">
        <v>391388.80000000005</v>
      </c>
      <c r="BQ26" s="420">
        <f t="shared" si="2"/>
        <v>48923.599999999977</v>
      </c>
    </row>
    <row r="27" spans="1:69" x14ac:dyDescent="0.25">
      <c r="A27" s="82"/>
      <c r="B27" s="92" t="s">
        <v>331</v>
      </c>
      <c r="C27" s="93"/>
      <c r="D27" s="48"/>
      <c r="E27" s="48"/>
      <c r="F27" s="48"/>
      <c r="G27" s="48"/>
      <c r="H27" s="48"/>
      <c r="I27" s="48"/>
      <c r="J27" s="48"/>
      <c r="K27" s="48"/>
      <c r="L27" s="108">
        <v>-304358</v>
      </c>
      <c r="M27" s="108">
        <v>-320187</v>
      </c>
      <c r="N27" s="108">
        <v>-324055</v>
      </c>
      <c r="O27" s="108">
        <v>-315532</v>
      </c>
      <c r="P27" s="108">
        <v>-304730</v>
      </c>
      <c r="Q27" s="108">
        <v>-297246</v>
      </c>
      <c r="R27" s="108">
        <v>-307721</v>
      </c>
      <c r="S27" s="174">
        <f>R27</f>
        <v>-307721</v>
      </c>
      <c r="T27" s="174">
        <f>SUM(T23:T26)/SUM(P23:P26)*P27</f>
        <v>-371311.2223534392</v>
      </c>
      <c r="U27" s="174">
        <f>SUM(U23:U26)/SUM(Q23:Q26)*Q27</f>
        <v>-344446.68681452447</v>
      </c>
      <c r="V27" s="174">
        <f t="shared" ref="V27:BG27" si="95">SUM(V23:V26)/SUM(R23:R26)*R27</f>
        <v>-334764.74688630796</v>
      </c>
      <c r="W27" s="174">
        <f t="shared" si="95"/>
        <v>-346721.47083510557</v>
      </c>
      <c r="X27" s="174">
        <f t="shared" si="95"/>
        <v>-422122.06288766855</v>
      </c>
      <c r="Y27" s="174">
        <f t="shared" si="95"/>
        <v>-391491.33322106075</v>
      </c>
      <c r="Z27" s="174">
        <f t="shared" si="95"/>
        <v>-380488.18009531318</v>
      </c>
      <c r="AA27" s="174">
        <f t="shared" si="95"/>
        <v>-394542.54571077361</v>
      </c>
      <c r="AB27" s="174">
        <f t="shared" si="95"/>
        <v>-480847.66789667238</v>
      </c>
      <c r="AC27" s="174">
        <f t="shared" si="95"/>
        <v>-444499.00330646028</v>
      </c>
      <c r="AD27" s="174">
        <f t="shared" si="95"/>
        <v>-430830.6485788998</v>
      </c>
      <c r="AE27" s="174">
        <f t="shared" si="95"/>
        <v>-445533.11723047402</v>
      </c>
      <c r="AF27" s="174">
        <f t="shared" si="95"/>
        <v>-542963.29997680197</v>
      </c>
      <c r="AG27" s="174">
        <f t="shared" si="95"/>
        <v>-501399.26207980106</v>
      </c>
      <c r="AH27" s="174">
        <f t="shared" si="95"/>
        <v>-485746.24041123962</v>
      </c>
      <c r="AI27" s="174">
        <f t="shared" si="95"/>
        <v>-502680.02890777914</v>
      </c>
      <c r="AJ27" s="174">
        <f t="shared" si="95"/>
        <v>-615056.31222490617</v>
      </c>
      <c r="AK27" s="174">
        <f t="shared" si="95"/>
        <v>-567308.32948077354</v>
      </c>
      <c r="AL27" s="174">
        <f t="shared" si="95"/>
        <v>-549301.07983715367</v>
      </c>
      <c r="AM27" s="174">
        <f t="shared" si="95"/>
        <v>-568819.09888639697</v>
      </c>
      <c r="AN27" s="174">
        <f t="shared" si="95"/>
        <v>-698804.83316252066</v>
      </c>
      <c r="AO27" s="174">
        <f t="shared" si="95"/>
        <v>-643725.31860632554</v>
      </c>
      <c r="AP27" s="174">
        <f t="shared" si="95"/>
        <v>-622926.63650620449</v>
      </c>
      <c r="AQ27" s="174">
        <f t="shared" si="95"/>
        <v>-645440.50232463365</v>
      </c>
      <c r="AR27" s="174">
        <f t="shared" si="95"/>
        <v>-796171.41855585075</v>
      </c>
      <c r="AS27" s="174">
        <f t="shared" si="95"/>
        <v>-732401.8563161745</v>
      </c>
      <c r="AT27" s="174">
        <f t="shared" si="95"/>
        <v>-708295.07137163205</v>
      </c>
      <c r="AU27" s="174">
        <f t="shared" si="95"/>
        <v>-734285.3387112479</v>
      </c>
      <c r="AV27" s="174">
        <f t="shared" si="95"/>
        <v>-909451.54969235614</v>
      </c>
      <c r="AW27" s="174">
        <f t="shared" si="95"/>
        <v>-835385.03953241254</v>
      </c>
      <c r="AX27" s="174">
        <f t="shared" si="95"/>
        <v>-807360.20539758576</v>
      </c>
      <c r="AY27" s="174">
        <f t="shared" si="95"/>
        <v>-837388.454653183</v>
      </c>
      <c r="AZ27" s="174">
        <f t="shared" si="95"/>
        <v>-1041330.488873341</v>
      </c>
      <c r="BA27" s="174">
        <f t="shared" si="95"/>
        <v>-955067.79998702509</v>
      </c>
      <c r="BB27" s="174">
        <f t="shared" si="95"/>
        <v>-922405.57299299666</v>
      </c>
      <c r="BC27" s="174">
        <f t="shared" si="95"/>
        <v>-957128.69747542194</v>
      </c>
      <c r="BD27" s="174">
        <f t="shared" si="95"/>
        <v>-1194949.9538320531</v>
      </c>
      <c r="BE27" s="174">
        <f t="shared" si="95"/>
        <v>-1094247.9774122639</v>
      </c>
      <c r="BF27" s="174">
        <f t="shared" si="95"/>
        <v>-1056100.8088714704</v>
      </c>
      <c r="BG27" s="174">
        <f t="shared" si="95"/>
        <v>-1096287.9143467324</v>
      </c>
      <c r="BH27" s="1"/>
      <c r="BI27" s="204"/>
      <c r="BJ27" s="204"/>
      <c r="BK27" s="204"/>
      <c r="BL27" s="204"/>
      <c r="BM27" s="1"/>
      <c r="BN27" s="378">
        <v>-297246</v>
      </c>
      <c r="BO27" s="428">
        <f t="shared" si="2"/>
        <v>-10475</v>
      </c>
      <c r="BP27" s="378">
        <v>-297246</v>
      </c>
      <c r="BQ27" s="428">
        <f t="shared" si="2"/>
        <v>-10475</v>
      </c>
    </row>
    <row r="28" spans="1:69" x14ac:dyDescent="0.25">
      <c r="A28" s="82" t="s">
        <v>319</v>
      </c>
      <c r="B28" s="92" t="s">
        <v>320</v>
      </c>
      <c r="C28" s="93"/>
      <c r="D28" s="97">
        <v>-7879</v>
      </c>
      <c r="E28" s="97">
        <v>-3472</v>
      </c>
      <c r="F28" s="97">
        <v>-7030</v>
      </c>
      <c r="G28" s="97">
        <v>-8550</v>
      </c>
      <c r="H28" s="97">
        <v>-7387</v>
      </c>
      <c r="I28" s="97">
        <v>-7819</v>
      </c>
      <c r="J28" s="97">
        <v>-7533</v>
      </c>
      <c r="K28" s="97">
        <v>-7531</v>
      </c>
      <c r="L28" s="97">
        <v>-54479</v>
      </c>
      <c r="M28" s="97">
        <v>-57760</v>
      </c>
      <c r="N28" s="97">
        <v>-57085</v>
      </c>
      <c r="O28" s="97">
        <v>-55149</v>
      </c>
      <c r="P28" s="97">
        <v>-56469</v>
      </c>
      <c r="Q28" s="97">
        <v>-75992</v>
      </c>
      <c r="R28" s="97">
        <f>R29-SUM(R23:R27)</f>
        <v>-81368</v>
      </c>
      <c r="S28" s="97">
        <f t="shared" ref="S28:BG28" si="96">O28*(1+S11)</f>
        <v>-55296.556440233951</v>
      </c>
      <c r="T28" s="97">
        <f t="shared" si="96"/>
        <v>-63877.732071204977</v>
      </c>
      <c r="U28" s="97">
        <f t="shared" si="96"/>
        <v>-87961.204450570833</v>
      </c>
      <c r="V28" s="97">
        <f t="shared" si="96"/>
        <v>-92614.530673750574</v>
      </c>
      <c r="W28" s="97">
        <f t="shared" si="96"/>
        <v>-62953.352187431505</v>
      </c>
      <c r="X28" s="97">
        <f t="shared" si="96"/>
        <v>-72616.107807082299</v>
      </c>
      <c r="Y28" s="97">
        <f t="shared" si="96"/>
        <v>-99921.761905286534</v>
      </c>
      <c r="Z28" s="97">
        <f t="shared" si="96"/>
        <v>-105195.46857244421</v>
      </c>
      <c r="AA28" s="97">
        <f t="shared" si="96"/>
        <v>-71524.439405186247</v>
      </c>
      <c r="AB28" s="97">
        <f t="shared" si="96"/>
        <v>-82593.832866198805</v>
      </c>
      <c r="AC28" s="97">
        <f t="shared" si="96"/>
        <v>-113571.88274362114</v>
      </c>
      <c r="AD28" s="97">
        <f t="shared" si="96"/>
        <v>-119554.32662689657</v>
      </c>
      <c r="AE28" s="97">
        <f t="shared" si="96"/>
        <v>-81136.985003444119</v>
      </c>
      <c r="AF28" s="97">
        <f t="shared" si="96"/>
        <v>-93279.691864344451</v>
      </c>
      <c r="AG28" s="97">
        <f t="shared" si="96"/>
        <v>-128094.17801130949</v>
      </c>
      <c r="AH28" s="97">
        <f t="shared" si="96"/>
        <v>-134752.49682200962</v>
      </c>
      <c r="AI28" s="97">
        <f t="shared" si="96"/>
        <v>-91467.569425049151</v>
      </c>
      <c r="AJ28" s="97">
        <f t="shared" si="96"/>
        <v>-105430.0442514093</v>
      </c>
      <c r="AK28" s="97">
        <f t="shared" si="96"/>
        <v>-144589.12347632804</v>
      </c>
      <c r="AL28" s="97">
        <f t="shared" si="96"/>
        <v>-152005.74116521698</v>
      </c>
      <c r="AM28" s="97">
        <f t="shared" si="96"/>
        <v>-103198.90717080056</v>
      </c>
      <c r="AN28" s="97">
        <f t="shared" si="96"/>
        <v>-119255.88508770781</v>
      </c>
      <c r="AO28" s="97">
        <f t="shared" si="96"/>
        <v>-163339.40784811779</v>
      </c>
      <c r="AP28" s="97">
        <f t="shared" si="96"/>
        <v>-171607.75262017702</v>
      </c>
      <c r="AQ28" s="97">
        <f t="shared" si="96"/>
        <v>-116531.92681908414</v>
      </c>
      <c r="AR28" s="97">
        <f t="shared" si="96"/>
        <v>-134999.97962045512</v>
      </c>
      <c r="AS28" s="97">
        <f t="shared" si="96"/>
        <v>-184670.20838447122</v>
      </c>
      <c r="AT28" s="97">
        <f t="shared" si="96"/>
        <v>-193896.33847966196</v>
      </c>
      <c r="AU28" s="97">
        <f t="shared" si="96"/>
        <v>-131697.87092600964</v>
      </c>
      <c r="AV28" s="97">
        <f t="shared" si="96"/>
        <v>-152941.84127982057</v>
      </c>
      <c r="AW28" s="97">
        <f t="shared" si="96"/>
        <v>-208955.85725690424</v>
      </c>
      <c r="AX28" s="97">
        <f t="shared" si="96"/>
        <v>-219260.35207645665</v>
      </c>
      <c r="AY28" s="97">
        <f t="shared" si="96"/>
        <v>-148963.08230812626</v>
      </c>
      <c r="AZ28" s="97">
        <f t="shared" si="96"/>
        <v>-173403.51869616783</v>
      </c>
      <c r="BA28" s="97">
        <f t="shared" si="96"/>
        <v>-236627.59551107147</v>
      </c>
      <c r="BB28" s="97">
        <f t="shared" si="96"/>
        <v>-248147.75916924639</v>
      </c>
      <c r="BC28" s="97">
        <f t="shared" si="96"/>
        <v>-168634.57769048677</v>
      </c>
      <c r="BD28" s="97">
        <f t="shared" si="96"/>
        <v>-196756.32772887198</v>
      </c>
      <c r="BE28" s="97">
        <f t="shared" si="96"/>
        <v>-268182.59846855223</v>
      </c>
      <c r="BF28" s="97">
        <f t="shared" si="96"/>
        <v>-281075.03172090632</v>
      </c>
      <c r="BG28" s="97">
        <f t="shared" si="96"/>
        <v>-191066.54309027374</v>
      </c>
      <c r="BH28" s="1"/>
      <c r="BI28" s="204"/>
      <c r="BJ28" s="204"/>
      <c r="BK28" s="204"/>
      <c r="BL28" s="204"/>
      <c r="BM28" s="1"/>
      <c r="BN28" s="370">
        <v>-66685.939752946884</v>
      </c>
      <c r="BO28" s="420">
        <f t="shared" si="2"/>
        <v>-14682.060247053116</v>
      </c>
      <c r="BP28" s="370">
        <v>-65034.320881379543</v>
      </c>
      <c r="BQ28" s="420">
        <f t="shared" si="2"/>
        <v>9737.7644411455913</v>
      </c>
    </row>
    <row r="29" spans="1:69" x14ac:dyDescent="0.25">
      <c r="A29" s="82" t="s">
        <v>321</v>
      </c>
      <c r="B29" s="100" t="s">
        <v>322</v>
      </c>
      <c r="C29" s="5"/>
      <c r="D29" s="102">
        <v>1099599</v>
      </c>
      <c r="E29" s="102">
        <v>1282306</v>
      </c>
      <c r="F29" s="102">
        <v>1239729</v>
      </c>
      <c r="G29" s="102">
        <v>1379294</v>
      </c>
      <c r="H29" s="102">
        <v>1346217</v>
      </c>
      <c r="I29" s="102">
        <v>1481699</v>
      </c>
      <c r="J29" s="102">
        <v>1420961</v>
      </c>
      <c r="K29" s="102">
        <v>1463589</v>
      </c>
      <c r="L29" s="102">
        <v>1389399</v>
      </c>
      <c r="M29" s="102">
        <v>1474004</v>
      </c>
      <c r="N29" s="102">
        <v>1442213</v>
      </c>
      <c r="O29" s="102">
        <v>1554389</v>
      </c>
      <c r="P29" s="102">
        <f>P17-P42</f>
        <v>1476809</v>
      </c>
      <c r="Q29" s="102">
        <f>Q17-Q42</f>
        <v>1645108</v>
      </c>
      <c r="R29" s="102">
        <f>R17-R42</f>
        <v>1828908</v>
      </c>
      <c r="S29" s="102">
        <f t="shared" ref="S29:BG29" si="97">SUM(S23:S28)</f>
        <v>1878508.6235597662</v>
      </c>
      <c r="T29" s="102">
        <f t="shared" si="97"/>
        <v>1804410.0255753556</v>
      </c>
      <c r="U29" s="102">
        <f t="shared" si="97"/>
        <v>1906438.0227096872</v>
      </c>
      <c r="V29" s="102">
        <f t="shared" si="97"/>
        <v>1985544.1313057337</v>
      </c>
      <c r="W29" s="102">
        <f t="shared" si="97"/>
        <v>2115941.7388793016</v>
      </c>
      <c r="X29" s="102">
        <f t="shared" si="97"/>
        <v>2051331.2302964141</v>
      </c>
      <c r="Y29" s="102">
        <f t="shared" si="97"/>
        <v>2166873.1944835889</v>
      </c>
      <c r="Z29" s="102">
        <f t="shared" si="97"/>
        <v>2256805.9506344171</v>
      </c>
      <c r="AA29" s="102">
        <f t="shared" si="97"/>
        <v>2407891.7155724745</v>
      </c>
      <c r="AB29" s="102">
        <f t="shared" si="97"/>
        <v>2336836.9764970862</v>
      </c>
      <c r="AC29" s="102">
        <f t="shared" si="97"/>
        <v>2460145.6259553987</v>
      </c>
      <c r="AD29" s="102">
        <f t="shared" si="97"/>
        <v>2554963.9806862427</v>
      </c>
      <c r="AE29" s="102">
        <f t="shared" si="97"/>
        <v>2718718.2408727161</v>
      </c>
      <c r="AF29" s="102">
        <f t="shared" si="97"/>
        <v>2638691.8326387596</v>
      </c>
      <c r="AG29" s="102">
        <f t="shared" si="97"/>
        <v>2775084.569442132</v>
      </c>
      <c r="AH29" s="102">
        <f t="shared" si="97"/>
        <v>2880671.8165911837</v>
      </c>
      <c r="AI29" s="102">
        <f t="shared" si="97"/>
        <v>3067514.8977592275</v>
      </c>
      <c r="AJ29" s="102">
        <f t="shared" si="97"/>
        <v>2989284.3333798693</v>
      </c>
      <c r="AK29" s="102">
        <f t="shared" si="97"/>
        <v>3140213.2485298873</v>
      </c>
      <c r="AL29" s="102">
        <f t="shared" si="97"/>
        <v>3257955.4561108835</v>
      </c>
      <c r="AM29" s="102">
        <f t="shared" si="97"/>
        <v>3471420.0493172081</v>
      </c>
      <c r="AN29" s="102">
        <f t="shared" si="97"/>
        <v>3396847.1470448789</v>
      </c>
      <c r="AO29" s="102">
        <f t="shared" si="97"/>
        <v>3563929.0696195262</v>
      </c>
      <c r="AP29" s="102">
        <f t="shared" si="97"/>
        <v>3695407.509511841</v>
      </c>
      <c r="AQ29" s="102">
        <f t="shared" si="97"/>
        <v>3939597.4461427168</v>
      </c>
      <c r="AR29" s="102">
        <f t="shared" si="97"/>
        <v>3871012.2945254361</v>
      </c>
      <c r="AS29" s="102">
        <f t="shared" si="97"/>
        <v>4056049.0440386673</v>
      </c>
      <c r="AT29" s="102">
        <f t="shared" si="97"/>
        <v>4203070.6405679695</v>
      </c>
      <c r="AU29" s="102">
        <f t="shared" si="97"/>
        <v>4482757.4038126841</v>
      </c>
      <c r="AV29" s="102">
        <f t="shared" si="97"/>
        <v>4423050.1949791498</v>
      </c>
      <c r="AW29" s="102">
        <f t="shared" si="97"/>
        <v>4628051.8452495569</v>
      </c>
      <c r="AX29" s="102">
        <f t="shared" si="97"/>
        <v>4792684.961132844</v>
      </c>
      <c r="AY29" s="102">
        <f t="shared" si="97"/>
        <v>5113421.1270260429</v>
      </c>
      <c r="AZ29" s="102">
        <f t="shared" si="97"/>
        <v>5066149.9526349716</v>
      </c>
      <c r="BA29" s="102">
        <f t="shared" si="97"/>
        <v>5293361.6745133176</v>
      </c>
      <c r="BB29" s="102">
        <f t="shared" si="97"/>
        <v>5477978.2717313776</v>
      </c>
      <c r="BC29" s="102">
        <f t="shared" si="97"/>
        <v>5846230.9436896704</v>
      </c>
      <c r="BD29" s="102">
        <f t="shared" si="97"/>
        <v>5815748.1034452887</v>
      </c>
      <c r="BE29" s="102">
        <f t="shared" si="97"/>
        <v>6067681.2783346595</v>
      </c>
      <c r="BF29" s="102">
        <f t="shared" si="97"/>
        <v>6275006.7071521571</v>
      </c>
      <c r="BG29" s="102">
        <f t="shared" si="97"/>
        <v>6698314.5766094131</v>
      </c>
      <c r="BH29" s="1"/>
      <c r="BI29" s="204"/>
      <c r="BJ29" s="204"/>
      <c r="BK29" s="204"/>
      <c r="BL29" s="204"/>
      <c r="BM29" s="1"/>
      <c r="BN29" s="372">
        <v>1773422.2226867366</v>
      </c>
      <c r="BO29" s="422">
        <f t="shared" si="2"/>
        <v>55485.777313263388</v>
      </c>
      <c r="BP29" s="372">
        <v>1826127.598033272</v>
      </c>
      <c r="BQ29" s="422">
        <f t="shared" si="2"/>
        <v>52381.025526494253</v>
      </c>
    </row>
    <row r="30" spans="1:69" x14ac:dyDescent="0.25">
      <c r="A30" s="82"/>
      <c r="B30" s="92" t="s">
        <v>695</v>
      </c>
      <c r="C30" s="93" t="s">
        <v>7</v>
      </c>
      <c r="D30" s="330">
        <f t="shared" ref="D30:P30" si="98">D29/D$17</f>
        <v>0.84913742509421142</v>
      </c>
      <c r="E30" s="330">
        <f t="shared" si="98"/>
        <v>0.87252593818383717</v>
      </c>
      <c r="F30" s="330">
        <f t="shared" si="98"/>
        <v>0.79110312177547026</v>
      </c>
      <c r="G30" s="330">
        <f t="shared" si="98"/>
        <v>0.83080240574149422</v>
      </c>
      <c r="H30" s="330">
        <f t="shared" si="98"/>
        <v>0.78515663274590219</v>
      </c>
      <c r="I30" s="330">
        <f t="shared" si="98"/>
        <v>0.79400793419005722</v>
      </c>
      <c r="J30" s="330">
        <f t="shared" si="98"/>
        <v>0.7484852108220974</v>
      </c>
      <c r="K30" s="330">
        <f t="shared" si="98"/>
        <v>0.72249169691057935</v>
      </c>
      <c r="L30" s="330">
        <f t="shared" si="98"/>
        <v>0.66336448357176248</v>
      </c>
      <c r="M30" s="330">
        <f t="shared" si="98"/>
        <v>0.6599584504898186</v>
      </c>
      <c r="N30" s="330">
        <f t="shared" si="98"/>
        <v>0.64107330581837008</v>
      </c>
      <c r="O30" s="330">
        <f t="shared" si="98"/>
        <v>0.67248868433735776</v>
      </c>
      <c r="P30" s="330">
        <f t="shared" si="98"/>
        <v>0.64500657974330045</v>
      </c>
      <c r="Q30" s="330">
        <f>Q29/Q$17</f>
        <v>0.64856634851549166</v>
      </c>
      <c r="R30" s="330">
        <f>R29/R$17</f>
        <v>0.68715382274371894</v>
      </c>
      <c r="S30" s="330">
        <f t="shared" ref="S30:BG30" si="99">S29/S$17</f>
        <v>0.66278257934633722</v>
      </c>
      <c r="T30" s="330">
        <f t="shared" si="99"/>
        <v>0.62531410821311895</v>
      </c>
      <c r="U30" s="330">
        <f t="shared" si="99"/>
        <v>0.61452702782366586</v>
      </c>
      <c r="V30" s="330">
        <f t="shared" si="99"/>
        <v>0.63044099522119956</v>
      </c>
      <c r="W30" s="330">
        <f t="shared" si="99"/>
        <v>0.63443801702525371</v>
      </c>
      <c r="X30" s="330">
        <f t="shared" si="99"/>
        <v>0.60670599151142957</v>
      </c>
      <c r="Y30" s="330">
        <f t="shared" si="99"/>
        <v>0.59631523882783066</v>
      </c>
      <c r="Z30" s="330">
        <f t="shared" si="99"/>
        <v>0.61141540618670365</v>
      </c>
      <c r="AA30" s="330">
        <f t="shared" si="99"/>
        <v>0.61441356838786143</v>
      </c>
      <c r="AB30" s="330">
        <f t="shared" si="99"/>
        <v>0.59249484347348236</v>
      </c>
      <c r="AC30" s="330">
        <f t="shared" si="99"/>
        <v>0.58299492033590106</v>
      </c>
      <c r="AD30" s="330">
        <f t="shared" si="99"/>
        <v>0.59869704712186456</v>
      </c>
      <c r="AE30" s="330">
        <f t="shared" si="99"/>
        <v>0.60202920788174963</v>
      </c>
      <c r="AF30" s="330">
        <f t="shared" si="99"/>
        <v>0.58572964086677493</v>
      </c>
      <c r="AG30" s="330">
        <f t="shared" si="99"/>
        <v>0.57525122873936885</v>
      </c>
      <c r="AH30" s="330">
        <f t="shared" si="99"/>
        <v>0.59052280129463985</v>
      </c>
      <c r="AI30" s="330">
        <f t="shared" si="99"/>
        <v>0.59152261816872087</v>
      </c>
      <c r="AJ30" s="330">
        <f t="shared" si="99"/>
        <v>0.57989613781130567</v>
      </c>
      <c r="AK30" s="330">
        <f t="shared" si="99"/>
        <v>0.56832376355203595</v>
      </c>
      <c r="AL30" s="330">
        <f t="shared" si="99"/>
        <v>0.58315361259093335</v>
      </c>
      <c r="AM30" s="330">
        <f t="shared" si="99"/>
        <v>0.58169106227991574</v>
      </c>
      <c r="AN30" s="330">
        <f t="shared" si="99"/>
        <v>0.57480541874212532</v>
      </c>
      <c r="AO30" s="330">
        <f t="shared" si="99"/>
        <v>0.56203533660666838</v>
      </c>
      <c r="AP30" s="330">
        <f t="shared" si="99"/>
        <v>0.57641447835715331</v>
      </c>
      <c r="AQ30" s="330">
        <f t="shared" si="99"/>
        <v>0.57236415849449673</v>
      </c>
      <c r="AR30" s="330">
        <f t="shared" si="99"/>
        <v>0.57027475949948359</v>
      </c>
      <c r="AS30" s="330">
        <f t="shared" si="99"/>
        <v>0.55621590603879634</v>
      </c>
      <c r="AT30" s="330">
        <f t="shared" si="99"/>
        <v>0.57013756112499714</v>
      </c>
      <c r="AU30" s="330">
        <f t="shared" si="99"/>
        <v>0.56338253624394852</v>
      </c>
      <c r="AV30" s="330">
        <f t="shared" si="99"/>
        <v>0.5661288855545914</v>
      </c>
      <c r="AW30" s="330">
        <f t="shared" si="99"/>
        <v>0.55070407894912665</v>
      </c>
      <c r="AX30" s="330">
        <f t="shared" si="99"/>
        <v>0.56416387808340474</v>
      </c>
      <c r="AY30" s="330">
        <f t="shared" si="99"/>
        <v>0.55459908666022428</v>
      </c>
      <c r="AZ30" s="330">
        <f t="shared" si="99"/>
        <v>0.56220139282263493</v>
      </c>
      <c r="BA30" s="330">
        <f t="shared" si="99"/>
        <v>0.54534783142899468</v>
      </c>
      <c r="BB30" s="330">
        <f t="shared" si="99"/>
        <v>0.55834393612695599</v>
      </c>
      <c r="BC30" s="330">
        <f t="shared" si="99"/>
        <v>0.54588047511681659</v>
      </c>
      <c r="BD30" s="330">
        <f t="shared" si="99"/>
        <v>0.55833572840237988</v>
      </c>
      <c r="BE30" s="330">
        <f t="shared" si="99"/>
        <v>0.54000653414418021</v>
      </c>
      <c r="BF30" s="330">
        <f t="shared" si="99"/>
        <v>0.55253950742323976</v>
      </c>
      <c r="BG30" s="330">
        <f t="shared" si="99"/>
        <v>0.5371080364498434</v>
      </c>
      <c r="BH30" s="1"/>
      <c r="BI30" s="204"/>
      <c r="BJ30" s="204"/>
      <c r="BK30" s="204"/>
      <c r="BL30" s="204"/>
      <c r="BM30" s="1"/>
      <c r="BN30" s="373">
        <v>0.67559770084089799</v>
      </c>
      <c r="BO30" s="423">
        <f t="shared" si="2"/>
        <v>1.1556121902820959E-2</v>
      </c>
      <c r="BP30" s="373">
        <v>0.65941309859088626</v>
      </c>
      <c r="BQ30" s="423">
        <f t="shared" si="2"/>
        <v>3.3694807554509598E-3</v>
      </c>
    </row>
    <row r="31" spans="1:69" x14ac:dyDescent="0.25">
      <c r="A31" s="488"/>
      <c r="B31" s="489"/>
      <c r="C31" s="93"/>
      <c r="D31" s="1"/>
      <c r="E31" s="45"/>
      <c r="F31" s="1"/>
      <c r="G31" s="45"/>
      <c r="H31" s="1"/>
      <c r="I31" s="45"/>
      <c r="J31" s="1"/>
      <c r="K31" s="45"/>
      <c r="L31" s="1"/>
      <c r="M31" s="46"/>
      <c r="N31" s="46"/>
      <c r="O31" s="45"/>
      <c r="P31" s="46"/>
      <c r="Q31" s="341"/>
      <c r="R31" s="341"/>
      <c r="S31" s="341"/>
      <c r="T31" s="346"/>
      <c r="U31" s="346"/>
      <c r="V31" s="346"/>
      <c r="W31" s="346"/>
      <c r="X31" s="346"/>
      <c r="Y31" s="346"/>
      <c r="Z31" s="346"/>
      <c r="AA31" s="346"/>
      <c r="AB31" s="346"/>
      <c r="AC31" s="346"/>
      <c r="AD31" s="346"/>
      <c r="AE31" s="346"/>
      <c r="AF31" s="346"/>
      <c r="AG31" s="346"/>
      <c r="AH31" s="346"/>
      <c r="AI31" s="346"/>
      <c r="AJ31" s="346"/>
      <c r="AK31" s="346"/>
      <c r="AL31" s="346"/>
      <c r="AM31" s="346"/>
      <c r="AN31" s="346"/>
      <c r="AO31" s="346"/>
      <c r="AP31" s="346"/>
      <c r="AQ31" s="346"/>
      <c r="AR31" s="346"/>
      <c r="AS31" s="346"/>
      <c r="AT31" s="346"/>
      <c r="AU31" s="346"/>
      <c r="AV31" s="346"/>
      <c r="AW31" s="346"/>
      <c r="AX31" s="346"/>
      <c r="AY31" s="346"/>
      <c r="AZ31" s="346"/>
      <c r="BA31" s="346"/>
      <c r="BB31" s="346"/>
      <c r="BC31" s="346"/>
      <c r="BD31" s="346"/>
      <c r="BE31" s="346"/>
      <c r="BF31" s="346"/>
      <c r="BG31" s="346"/>
      <c r="BH31" s="1"/>
      <c r="BI31" s="204"/>
      <c r="BJ31" s="204"/>
      <c r="BK31" s="204"/>
      <c r="BL31" s="204"/>
      <c r="BM31" s="1"/>
      <c r="BN31" s="379"/>
      <c r="BO31" s="429" t="str">
        <f t="shared" si="2"/>
        <v/>
      </c>
      <c r="BP31" s="379"/>
      <c r="BQ31" s="429" t="str">
        <f t="shared" si="2"/>
        <v/>
      </c>
    </row>
    <row r="32" spans="1:69" x14ac:dyDescent="0.25">
      <c r="A32" s="208"/>
      <c r="B32" s="209" t="s">
        <v>604</v>
      </c>
      <c r="C32" s="210"/>
      <c r="D32" s="212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46"/>
      <c r="Q32" s="46"/>
      <c r="R32" s="46"/>
      <c r="S32" s="341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97"/>
      <c r="BF32" s="97"/>
      <c r="BG32" s="97"/>
      <c r="BH32" s="211"/>
      <c r="BI32" s="214"/>
      <c r="BJ32" s="214"/>
      <c r="BK32" s="214"/>
      <c r="BL32" s="214"/>
      <c r="BM32" s="211"/>
      <c r="BN32" s="379"/>
      <c r="BO32" s="429" t="str">
        <f t="shared" si="2"/>
        <v/>
      </c>
      <c r="BP32" s="379"/>
      <c r="BQ32" s="429" t="str">
        <f t="shared" si="2"/>
        <v/>
      </c>
    </row>
    <row r="33" spans="1:69" x14ac:dyDescent="0.25">
      <c r="A33" s="208"/>
      <c r="B33" s="215" t="s">
        <v>312</v>
      </c>
      <c r="C33" s="216" t="s">
        <v>300</v>
      </c>
      <c r="D33" s="217">
        <v>0.41</v>
      </c>
      <c r="E33" s="217">
        <v>0.54100000000000004</v>
      </c>
      <c r="F33" s="217">
        <v>0.53600000000000003</v>
      </c>
      <c r="G33" s="217">
        <v>0.60099999999999998</v>
      </c>
      <c r="H33" s="217">
        <v>0.39100000000000001</v>
      </c>
      <c r="I33" s="217">
        <v>0.377</v>
      </c>
      <c r="J33" s="217">
        <v>0.3</v>
      </c>
      <c r="K33" s="217">
        <v>7.5999999999999998E-2</v>
      </c>
      <c r="L33" s="218">
        <v>0.159</v>
      </c>
      <c r="M33" s="218">
        <v>3.3000000000000002E-2</v>
      </c>
      <c r="N33" s="218">
        <v>2.8000000000000001E-2</v>
      </c>
      <c r="O33" s="218">
        <v>8.6999999999999994E-2</v>
      </c>
      <c r="P33" s="217">
        <v>0.01</v>
      </c>
      <c r="Q33" s="332">
        <f>Q23/M23-1</f>
        <v>1.7001723308696537E-2</v>
      </c>
      <c r="R33" s="332">
        <f>R23/N23-1</f>
        <v>3.544388543748056E-4</v>
      </c>
      <c r="S33" s="219">
        <v>0.02</v>
      </c>
      <c r="T33" s="219">
        <v>0.02</v>
      </c>
      <c r="U33" s="219">
        <v>0.02</v>
      </c>
      <c r="V33" s="219">
        <v>0.02</v>
      </c>
      <c r="W33" s="219">
        <v>0.02</v>
      </c>
      <c r="X33" s="219">
        <v>0.04</v>
      </c>
      <c r="Y33" s="219">
        <v>0.04</v>
      </c>
      <c r="Z33" s="219">
        <v>0.04</v>
      </c>
      <c r="AA33" s="219">
        <v>0.04</v>
      </c>
      <c r="AB33" s="219">
        <v>0.04</v>
      </c>
      <c r="AC33" s="219">
        <v>0.04</v>
      </c>
      <c r="AD33" s="219">
        <v>0.04</v>
      </c>
      <c r="AE33" s="219">
        <v>0.04</v>
      </c>
      <c r="AF33" s="219">
        <v>0.04</v>
      </c>
      <c r="AG33" s="219">
        <v>0.04</v>
      </c>
      <c r="AH33" s="219">
        <v>0.04</v>
      </c>
      <c r="AI33" s="219">
        <v>0.04</v>
      </c>
      <c r="AJ33" s="219">
        <v>0.04</v>
      </c>
      <c r="AK33" s="219">
        <v>0.04</v>
      </c>
      <c r="AL33" s="219">
        <v>0.04</v>
      </c>
      <c r="AM33" s="219">
        <v>0.04</v>
      </c>
      <c r="AN33" s="219">
        <v>0.04</v>
      </c>
      <c r="AO33" s="219">
        <v>0.04</v>
      </c>
      <c r="AP33" s="219">
        <v>0.04</v>
      </c>
      <c r="AQ33" s="219">
        <v>0.04</v>
      </c>
      <c r="AR33" s="219">
        <v>0.04</v>
      </c>
      <c r="AS33" s="219">
        <v>0.04</v>
      </c>
      <c r="AT33" s="219">
        <v>0.04</v>
      </c>
      <c r="AU33" s="219">
        <v>0.04</v>
      </c>
      <c r="AV33" s="219">
        <v>0.04</v>
      </c>
      <c r="AW33" s="219">
        <v>0.04</v>
      </c>
      <c r="AX33" s="219">
        <v>0.04</v>
      </c>
      <c r="AY33" s="219">
        <v>0.04</v>
      </c>
      <c r="AZ33" s="219">
        <v>0.04</v>
      </c>
      <c r="BA33" s="219">
        <v>0.04</v>
      </c>
      <c r="BB33" s="219">
        <v>0.04</v>
      </c>
      <c r="BC33" s="219">
        <v>0.04</v>
      </c>
      <c r="BD33" s="219">
        <v>0.04</v>
      </c>
      <c r="BE33" s="219">
        <v>0.04</v>
      </c>
      <c r="BF33" s="219">
        <v>0.04</v>
      </c>
      <c r="BG33" s="219">
        <v>0.04</v>
      </c>
      <c r="BH33" s="219">
        <v>4.4999999999999998E-2</v>
      </c>
      <c r="BI33" s="214"/>
      <c r="BJ33" s="214"/>
      <c r="BK33" s="214"/>
      <c r="BL33" s="214"/>
      <c r="BM33" s="211"/>
      <c r="BN33" s="380">
        <v>0.02</v>
      </c>
      <c r="BO33" s="430">
        <f t="shared" si="2"/>
        <v>-1.9645561145625195E-2</v>
      </c>
      <c r="BP33" s="380">
        <v>0.02</v>
      </c>
      <c r="BQ33" s="430">
        <f t="shared" si="2"/>
        <v>0</v>
      </c>
    </row>
    <row r="34" spans="1:69" x14ac:dyDescent="0.25">
      <c r="A34" s="208"/>
      <c r="B34" s="215" t="s">
        <v>314</v>
      </c>
      <c r="C34" s="216" t="s">
        <v>300</v>
      </c>
      <c r="D34" s="217">
        <v>0.41799999999999998</v>
      </c>
      <c r="E34" s="217">
        <v>0.41</v>
      </c>
      <c r="F34" s="217">
        <v>0.16</v>
      </c>
      <c r="G34" s="217">
        <v>8.6999999999999994E-2</v>
      </c>
      <c r="H34" s="217">
        <v>-2.8000000000000001E-2</v>
      </c>
      <c r="I34" s="217">
        <v>-3.0000000000000001E-3</v>
      </c>
      <c r="J34" s="217">
        <v>-3.1E-2</v>
      </c>
      <c r="K34" s="217">
        <v>-7.3999999999999996E-2</v>
      </c>
      <c r="L34" s="218">
        <v>-0.115</v>
      </c>
      <c r="M34" s="218">
        <v>-5.7000000000000002E-2</v>
      </c>
      <c r="N34" s="218">
        <v>7.6999999999999999E-2</v>
      </c>
      <c r="O34" s="218">
        <v>3.5999999999999997E-2</v>
      </c>
      <c r="P34" s="217">
        <v>0.111</v>
      </c>
      <c r="Q34" s="332">
        <f t="shared" ref="Q34:R36" si="100">Q24/M24-1</f>
        <v>8.3081475760596657E-2</v>
      </c>
      <c r="R34" s="332">
        <f t="shared" si="100"/>
        <v>0.17113267090697692</v>
      </c>
      <c r="S34" s="345">
        <v>0.17</v>
      </c>
      <c r="T34" s="345">
        <v>0.2</v>
      </c>
      <c r="U34" s="345">
        <f t="shared" ref="U34:BG34" si="101">U11</f>
        <v>0.15750611183507246</v>
      </c>
      <c r="V34" s="345">
        <f t="shared" si="101"/>
        <v>0.13821810384611366</v>
      </c>
      <c r="W34" s="345">
        <f t="shared" si="101"/>
        <v>0.1384678584004273</v>
      </c>
      <c r="X34" s="345">
        <f t="shared" si="101"/>
        <v>0.13679846563958464</v>
      </c>
      <c r="Y34" s="345">
        <f t="shared" si="101"/>
        <v>0.13597537152230399</v>
      </c>
      <c r="Z34" s="345">
        <f t="shared" si="101"/>
        <v>0.13584194410067241</v>
      </c>
      <c r="AA34" s="345">
        <f t="shared" si="101"/>
        <v>0.13614981442506791</v>
      </c>
      <c r="AB34" s="345">
        <f t="shared" si="101"/>
        <v>0.13740374361049645</v>
      </c>
      <c r="AC34" s="345">
        <f t="shared" si="101"/>
        <v>0.13660808794858159</v>
      </c>
      <c r="AD34" s="345">
        <f t="shared" si="101"/>
        <v>0.13649692566903626</v>
      </c>
      <c r="AE34" s="345">
        <f t="shared" si="101"/>
        <v>0.1343952595532103</v>
      </c>
      <c r="AF34" s="345">
        <f t="shared" si="101"/>
        <v>0.12937841273762696</v>
      </c>
      <c r="AG34" s="345">
        <f t="shared" si="101"/>
        <v>0.12786875516073981</v>
      </c>
      <c r="AH34" s="345">
        <f t="shared" si="101"/>
        <v>0.12712354813007543</v>
      </c>
      <c r="AI34" s="345">
        <f t="shared" si="101"/>
        <v>0.1273227544894171</v>
      </c>
      <c r="AJ34" s="345">
        <f t="shared" si="101"/>
        <v>0.1302572097336574</v>
      </c>
      <c r="AK34" s="345">
        <f t="shared" si="101"/>
        <v>0.12877201541167782</v>
      </c>
      <c r="AL34" s="345">
        <f t="shared" si="101"/>
        <v>0.12803654663257658</v>
      </c>
      <c r="AM34" s="345">
        <f t="shared" si="101"/>
        <v>0.1282567998635229</v>
      </c>
      <c r="AN34" s="345">
        <f t="shared" si="101"/>
        <v>0.13113757975221274</v>
      </c>
      <c r="AO34" s="345">
        <f t="shared" si="101"/>
        <v>0.12967977065618985</v>
      </c>
      <c r="AP34" s="345">
        <f t="shared" si="101"/>
        <v>0.1289557309131788</v>
      </c>
      <c r="AQ34" s="345">
        <f t="shared" si="101"/>
        <v>0.12919729495019361</v>
      </c>
      <c r="AR34" s="345">
        <f t="shared" si="101"/>
        <v>0.13201943469010513</v>
      </c>
      <c r="AS34" s="345">
        <f t="shared" si="101"/>
        <v>0.13059188114718778</v>
      </c>
      <c r="AT34" s="345">
        <f t="shared" si="101"/>
        <v>0.12988099616231641</v>
      </c>
      <c r="AU34" s="345">
        <f t="shared" si="101"/>
        <v>0.13014411175463203</v>
      </c>
      <c r="AV34" s="345">
        <f t="shared" si="101"/>
        <v>0.13290269902119967</v>
      </c>
      <c r="AW34" s="345">
        <f t="shared" si="101"/>
        <v>0.13150821177323802</v>
      </c>
      <c r="AX34" s="345">
        <f t="shared" si="101"/>
        <v>0.13081223604155445</v>
      </c>
      <c r="AY34" s="345">
        <f t="shared" si="101"/>
        <v>0.13109711843266281</v>
      </c>
      <c r="AZ34" s="345">
        <f t="shared" si="101"/>
        <v>0.13378730924855819</v>
      </c>
      <c r="BA34" s="345">
        <f t="shared" si="101"/>
        <v>0.13242863166140273</v>
      </c>
      <c r="BB34" s="345">
        <f t="shared" si="101"/>
        <v>0.13174934190891308</v>
      </c>
      <c r="BC34" s="345">
        <f t="shared" si="101"/>
        <v>0.13205617846756512</v>
      </c>
      <c r="BD34" s="345">
        <f t="shared" si="101"/>
        <v>0.13467321314062963</v>
      </c>
      <c r="BE34" s="345">
        <f t="shared" si="101"/>
        <v>0.13335301357953555</v>
      </c>
      <c r="BF34" s="345">
        <f t="shared" si="101"/>
        <v>0.1326922018634964</v>
      </c>
      <c r="BG34" s="345">
        <f t="shared" si="101"/>
        <v>0.13302114967761103</v>
      </c>
      <c r="BH34" s="211"/>
      <c r="BI34" s="214"/>
      <c r="BJ34" s="214"/>
      <c r="BK34" s="214"/>
      <c r="BL34" s="214"/>
      <c r="BM34" s="211"/>
      <c r="BN34" s="381">
        <v>0.16818673474550039</v>
      </c>
      <c r="BO34" s="431">
        <f t="shared" si="2"/>
        <v>2.9459361614765367E-3</v>
      </c>
      <c r="BP34" s="381">
        <v>0.17924750913669407</v>
      </c>
      <c r="BQ34" s="431">
        <f t="shared" si="2"/>
        <v>-9.2475091366940598E-3</v>
      </c>
    </row>
    <row r="35" spans="1:69" x14ac:dyDescent="0.25">
      <c r="A35" s="208"/>
      <c r="B35" s="215" t="s">
        <v>316</v>
      </c>
      <c r="C35" s="216" t="s">
        <v>300</v>
      </c>
      <c r="D35" s="217">
        <v>0.48</v>
      </c>
      <c r="E35" s="217">
        <v>0.79100000000000004</v>
      </c>
      <c r="F35" s="217">
        <v>0.35299999999999998</v>
      </c>
      <c r="G35" s="217">
        <v>0.43</v>
      </c>
      <c r="H35" s="217">
        <v>0.44</v>
      </c>
      <c r="I35" s="217">
        <v>0.20599999999999999</v>
      </c>
      <c r="J35" s="217">
        <v>0.215</v>
      </c>
      <c r="K35" s="217">
        <v>0.20899999999999999</v>
      </c>
      <c r="L35" s="218">
        <v>-1.2999999999999999E-2</v>
      </c>
      <c r="M35" s="218">
        <v>-1.7000000000000001E-2</v>
      </c>
      <c r="N35" s="218">
        <v>-0.107</v>
      </c>
      <c r="O35" s="218">
        <v>-0.08</v>
      </c>
      <c r="P35" s="217">
        <v>6.9000000000000006E-2</v>
      </c>
      <c r="Q35" s="332">
        <f t="shared" si="100"/>
        <v>2.2354772492455766E-2</v>
      </c>
      <c r="R35" s="332">
        <f>R25/N25-1</f>
        <v>0.33146495069183191</v>
      </c>
      <c r="S35" s="219">
        <v>0.04</v>
      </c>
      <c r="T35" s="219">
        <v>0.04</v>
      </c>
      <c r="U35" s="219">
        <v>0.04</v>
      </c>
      <c r="V35" s="219">
        <v>-0.1</v>
      </c>
      <c r="W35" s="219">
        <v>0.04</v>
      </c>
      <c r="X35" s="219">
        <v>0.04</v>
      </c>
      <c r="Y35" s="219">
        <v>0.04</v>
      </c>
      <c r="Z35" s="219">
        <v>0.04</v>
      </c>
      <c r="AA35" s="219">
        <v>0.04</v>
      </c>
      <c r="AB35" s="219">
        <v>0.04</v>
      </c>
      <c r="AC35" s="219">
        <v>0.04</v>
      </c>
      <c r="AD35" s="219">
        <v>0.04</v>
      </c>
      <c r="AE35" s="219">
        <v>0.04</v>
      </c>
      <c r="AF35" s="219">
        <v>0.04</v>
      </c>
      <c r="AG35" s="219">
        <v>0.04</v>
      </c>
      <c r="AH35" s="219">
        <v>0.04</v>
      </c>
      <c r="AI35" s="219">
        <v>0.04</v>
      </c>
      <c r="AJ35" s="219">
        <v>0.04</v>
      </c>
      <c r="AK35" s="219">
        <v>0.04</v>
      </c>
      <c r="AL35" s="219">
        <v>0.04</v>
      </c>
      <c r="AM35" s="219">
        <v>0.04</v>
      </c>
      <c r="AN35" s="219">
        <v>0.04</v>
      </c>
      <c r="AO35" s="219">
        <v>0.04</v>
      </c>
      <c r="AP35" s="219">
        <v>0.04</v>
      </c>
      <c r="AQ35" s="219">
        <v>0.04</v>
      </c>
      <c r="AR35" s="219">
        <v>0.04</v>
      </c>
      <c r="AS35" s="219">
        <v>0.04</v>
      </c>
      <c r="AT35" s="219">
        <v>0.04</v>
      </c>
      <c r="AU35" s="219">
        <v>0.04</v>
      </c>
      <c r="AV35" s="219">
        <v>0.04</v>
      </c>
      <c r="AW35" s="219">
        <v>0.04</v>
      </c>
      <c r="AX35" s="219">
        <v>0.04</v>
      </c>
      <c r="AY35" s="219">
        <v>0.04</v>
      </c>
      <c r="AZ35" s="219">
        <v>0.04</v>
      </c>
      <c r="BA35" s="219">
        <v>0.04</v>
      </c>
      <c r="BB35" s="219">
        <v>0.04</v>
      </c>
      <c r="BC35" s="219">
        <v>0.04</v>
      </c>
      <c r="BD35" s="219">
        <v>0.04</v>
      </c>
      <c r="BE35" s="219">
        <v>0.04</v>
      </c>
      <c r="BF35" s="219">
        <v>0.04</v>
      </c>
      <c r="BG35" s="219">
        <v>0.04</v>
      </c>
      <c r="BH35" s="211"/>
      <c r="BI35" s="214"/>
      <c r="BJ35" s="214"/>
      <c r="BK35" s="214"/>
      <c r="BL35" s="214"/>
      <c r="BM35" s="211"/>
      <c r="BN35" s="380">
        <v>0.1</v>
      </c>
      <c r="BO35" s="430">
        <f t="shared" si="2"/>
        <v>0.2314649506918319</v>
      </c>
      <c r="BP35" s="380">
        <v>0.02</v>
      </c>
      <c r="BQ35" s="430">
        <f t="shared" si="2"/>
        <v>0.02</v>
      </c>
    </row>
    <row r="36" spans="1:69" x14ac:dyDescent="0.25">
      <c r="A36" s="208"/>
      <c r="B36" s="220" t="s">
        <v>318</v>
      </c>
      <c r="C36" s="216"/>
      <c r="D36" s="217">
        <v>3.4689999999999999</v>
      </c>
      <c r="E36" s="217">
        <v>2.2530000000000001</v>
      </c>
      <c r="F36" s="217">
        <v>1.369</v>
      </c>
      <c r="G36" s="217">
        <v>1.718</v>
      </c>
      <c r="H36" s="217">
        <v>0.40300000000000002</v>
      </c>
      <c r="I36" s="217">
        <v>0.14699999999999999</v>
      </c>
      <c r="J36" s="217">
        <v>0.20200000000000001</v>
      </c>
      <c r="K36" s="217">
        <v>0.13100000000000001</v>
      </c>
      <c r="L36" s="218">
        <v>0.29599999999999999</v>
      </c>
      <c r="M36" s="218">
        <v>6.7000000000000004E-2</v>
      </c>
      <c r="N36" s="218">
        <v>8.3000000000000004E-2</v>
      </c>
      <c r="O36" s="218">
        <v>0.39300000000000002</v>
      </c>
      <c r="P36" s="217">
        <v>2.4E-2</v>
      </c>
      <c r="Q36" s="332">
        <f t="shared" si="100"/>
        <v>0.53322002794402845</v>
      </c>
      <c r="R36" s="332">
        <f t="shared" si="100"/>
        <v>0.89238370942716405</v>
      </c>
      <c r="S36" s="219">
        <v>0.8</v>
      </c>
      <c r="T36" s="332">
        <f>T26/P26-1</f>
        <v>1.5948199352933896</v>
      </c>
      <c r="U36" s="332">
        <f t="shared" ref="U36" si="102">U26/Q26-1</f>
        <v>0.68495590332747147</v>
      </c>
      <c r="V36" s="332">
        <f t="shared" ref="V36" si="103">V26/R26-1</f>
        <v>0.41892514350714416</v>
      </c>
      <c r="W36" s="332">
        <f t="shared" ref="W36" si="104">W26/S26-1</f>
        <v>0.37811273521967181</v>
      </c>
      <c r="X36" s="332">
        <f t="shared" ref="X36" si="105">X26/T26-1</f>
        <v>0.40280400441105679</v>
      </c>
      <c r="Y36" s="332">
        <f t="shared" ref="Y36" si="106">Y26/U26-1</f>
        <v>0.37260593270323317</v>
      </c>
      <c r="Z36" s="332">
        <f t="shared" ref="Z36" si="107">Z26/V26-1</f>
        <v>0.36511843271194477</v>
      </c>
      <c r="AA36" s="332">
        <f t="shared" ref="AA36" si="108">AA26/W26-1</f>
        <v>0.3376264500446966</v>
      </c>
      <c r="AB36" s="332">
        <f t="shared" ref="AB36" si="109">AB26/X26-1</f>
        <v>0.34275647374874629</v>
      </c>
      <c r="AC36" s="332">
        <f t="shared" ref="AC36" si="110">AC26/Y26-1</f>
        <v>0.31017911018472644</v>
      </c>
      <c r="AD36" s="332">
        <f t="shared" ref="AD36" si="111">AD26/Z26-1</f>
        <v>0.29339057773014066</v>
      </c>
      <c r="AE36" s="332">
        <f t="shared" ref="AE36" si="112">AE26/AA26-1</f>
        <v>0.2642940956519515</v>
      </c>
      <c r="AF36" s="332">
        <f t="shared" ref="AF36" si="113">AF26/AB26-1</f>
        <v>0.26960127925451882</v>
      </c>
      <c r="AG36" s="332">
        <f t="shared" ref="AG36" si="114">AG26/AC26-1</f>
        <v>0.25707177321204178</v>
      </c>
      <c r="AH36" s="332">
        <f t="shared" ref="AH36" si="115">AH26/AD26-1</f>
        <v>0.25402842724642438</v>
      </c>
      <c r="AI36" s="332">
        <f t="shared" ref="AI36" si="116">AI26/AE26-1</f>
        <v>0.24304600238492102</v>
      </c>
      <c r="AJ36" s="332">
        <f t="shared" ref="AJ36" si="117">AJ26/AF26-1</f>
        <v>0.25466314977921289</v>
      </c>
      <c r="AK36" s="332">
        <f t="shared" ref="AK36" si="118">AK26/AG26-1</f>
        <v>0.24450325383431015</v>
      </c>
      <c r="AL36" s="332">
        <f t="shared" ref="AL36" si="119">AL26/AH26-1</f>
        <v>0.24200545435515375</v>
      </c>
      <c r="AM36" s="332">
        <f t="shared" ref="AM36" si="120">AM26/AI26-1</f>
        <v>0.23310833078930515</v>
      </c>
      <c r="AN36" s="332">
        <f t="shared" ref="AN36" si="121">AN26/AJ26-1</f>
        <v>0.24281932831292874</v>
      </c>
      <c r="AO36" s="332">
        <f t="shared" ref="AO36" si="122">AO26/AK26-1</f>
        <v>0.23438483071401151</v>
      </c>
      <c r="AP36" s="332">
        <f t="shared" ref="AP36" si="123">AP26/AL26-1</f>
        <v>0.23229261528066725</v>
      </c>
      <c r="AQ36" s="332">
        <f t="shared" ref="AQ36" si="124">AQ26/AM26-1</f>
        <v>0.22495917030783796</v>
      </c>
      <c r="AR36" s="332">
        <f t="shared" ref="AR36" si="125">AR26/AN26-1</f>
        <v>0.23322884463868832</v>
      </c>
      <c r="AS36" s="332">
        <f t="shared" ref="AS36" si="126">AS26/AO26-1</f>
        <v>0.22609224985384579</v>
      </c>
      <c r="AT36" s="332">
        <f t="shared" ref="AT36" si="127">AT26/AP26-1</f>
        <v>0.22431118111283554</v>
      </c>
      <c r="AU36" s="332">
        <f t="shared" ref="AU36" si="128">AU26/AQ26-1</f>
        <v>0.21818160953041832</v>
      </c>
      <c r="AV36" s="332">
        <f t="shared" ref="AV36" si="129">AV26/AR26-1</f>
        <v>0.22533041206026816</v>
      </c>
      <c r="AW36" s="332">
        <f t="shared" ref="AW36" si="130">AW26/AS26-1</f>
        <v>0.21919707705872571</v>
      </c>
      <c r="AX36" s="332">
        <f t="shared" ref="AX36" si="131">AX26/AT26-1</f>
        <v>0.21766126963164734</v>
      </c>
      <c r="AY36" s="332">
        <f t="shared" ref="AY36" si="132">AY26/AU26-1</f>
        <v>0.2124793686626314</v>
      </c>
      <c r="AZ36" s="332">
        <f t="shared" ref="AZ36" si="133">AZ26/AV26-1</f>
        <v>0.21873510649168715</v>
      </c>
      <c r="BA36" s="332">
        <f t="shared" ref="BA36" si="134">BA26/AW26-1</f>
        <v>0.21339551406016311</v>
      </c>
      <c r="BB36" s="332">
        <f t="shared" ref="BB36" si="135">BB26/AX26-1</f>
        <v>0.21205772767925812</v>
      </c>
      <c r="BC36" s="332">
        <f t="shared" ref="BC36" si="136">BC26/AY26-1</f>
        <v>0.20763612306717194</v>
      </c>
      <c r="BD36" s="332">
        <f t="shared" ref="BD36" si="137">BD26/AZ26-1</f>
        <v>0.21316494185327373</v>
      </c>
      <c r="BE36" s="332">
        <f t="shared" ref="BE36" si="138">BE26/BA26-1</f>
        <v>0.20846616203548884</v>
      </c>
      <c r="BF36" s="332">
        <f t="shared" ref="BF36" si="139">BF26/BB26-1</f>
        <v>0.20729175124581345</v>
      </c>
      <c r="BG36" s="332">
        <f t="shared" ref="BG36" si="140">BG26/BC26-1</f>
        <v>0.20349024510445246</v>
      </c>
      <c r="BH36" s="211"/>
      <c r="BI36" s="214"/>
      <c r="BJ36" s="214"/>
      <c r="BK36" s="214"/>
      <c r="BL36" s="214"/>
      <c r="BM36" s="211"/>
      <c r="BN36" s="380">
        <v>0.9</v>
      </c>
      <c r="BO36" s="430">
        <f t="shared" si="2"/>
        <v>-7.6162905728359709E-3</v>
      </c>
      <c r="BP36" s="380">
        <v>0.6</v>
      </c>
      <c r="BQ36" s="430">
        <f t="shared" si="2"/>
        <v>0.20000000000000007</v>
      </c>
    </row>
    <row r="37" spans="1:69" x14ac:dyDescent="0.25">
      <c r="A37" s="208"/>
      <c r="B37" s="222" t="s">
        <v>322</v>
      </c>
      <c r="C37" s="212"/>
      <c r="D37" s="223">
        <v>0.51200000000000001</v>
      </c>
      <c r="E37" s="223">
        <v>0.64100000000000001</v>
      </c>
      <c r="F37" s="223">
        <v>0.378</v>
      </c>
      <c r="G37" s="223">
        <v>0.38200000000000001</v>
      </c>
      <c r="H37" s="223">
        <v>0.224</v>
      </c>
      <c r="I37" s="223">
        <v>0.155</v>
      </c>
      <c r="J37" s="223">
        <v>0.14599999999999999</v>
      </c>
      <c r="K37" s="223">
        <v>6.0999999999999999E-2</v>
      </c>
      <c r="L37" s="223">
        <v>3.2000000000000001E-2</v>
      </c>
      <c r="M37" s="223">
        <v>-5.0000000000000001E-3</v>
      </c>
      <c r="N37" s="223">
        <v>1.4999999999999999E-2</v>
      </c>
      <c r="O37" s="223">
        <v>6.2E-2</v>
      </c>
      <c r="P37" s="223">
        <v>6.3E-2</v>
      </c>
      <c r="Q37" s="333">
        <f>Q29/M29-1</f>
        <v>0.11608109611642847</v>
      </c>
      <c r="R37" s="333">
        <f>R29/N29-1</f>
        <v>0.26812613670796193</v>
      </c>
      <c r="S37" s="333">
        <f t="shared" ref="S37:BG37" si="141">S29/O29-1</f>
        <v>0.20851898949347047</v>
      </c>
      <c r="T37" s="333">
        <f t="shared" si="141"/>
        <v>0.22183032848212303</v>
      </c>
      <c r="U37" s="333">
        <f t="shared" si="141"/>
        <v>0.15885280644777566</v>
      </c>
      <c r="V37" s="333">
        <f t="shared" si="141"/>
        <v>8.5644620344890843E-2</v>
      </c>
      <c r="W37" s="333">
        <f t="shared" si="141"/>
        <v>0.12639447716220786</v>
      </c>
      <c r="X37" s="333">
        <f t="shared" si="141"/>
        <v>0.13684317933354695</v>
      </c>
      <c r="Y37" s="333">
        <f t="shared" si="141"/>
        <v>0.13660825511848329</v>
      </c>
      <c r="Z37" s="333">
        <f t="shared" si="141"/>
        <v>0.1366183783335484</v>
      </c>
      <c r="AA37" s="333">
        <f t="shared" si="141"/>
        <v>0.13797637776539284</v>
      </c>
      <c r="AB37" s="333">
        <f t="shared" si="141"/>
        <v>0.13918071444727964</v>
      </c>
      <c r="AC37" s="333">
        <f t="shared" si="141"/>
        <v>0.13534360580878513</v>
      </c>
      <c r="AD37" s="333">
        <f t="shared" si="141"/>
        <v>0.13211504957615405</v>
      </c>
      <c r="AE37" s="333">
        <f t="shared" si="141"/>
        <v>0.12908658777720117</v>
      </c>
      <c r="AF37" s="333">
        <f t="shared" si="141"/>
        <v>0.12917240662382579</v>
      </c>
      <c r="AG37" s="333">
        <f t="shared" si="141"/>
        <v>0.12801638251167624</v>
      </c>
      <c r="AH37" s="333">
        <f t="shared" si="141"/>
        <v>0.12748040221586932</v>
      </c>
      <c r="AI37" s="333">
        <f t="shared" si="141"/>
        <v>0.12829452189740231</v>
      </c>
      <c r="AJ37" s="333">
        <f t="shared" si="141"/>
        <v>0.13286602717472618</v>
      </c>
      <c r="AK37" s="333">
        <f t="shared" si="141"/>
        <v>0.13157389259713836</v>
      </c>
      <c r="AL37" s="333">
        <f t="shared" si="141"/>
        <v>0.13097071222995305</v>
      </c>
      <c r="AM37" s="333">
        <f t="shared" si="141"/>
        <v>0.13167178156266734</v>
      </c>
      <c r="AN37" s="333">
        <f t="shared" si="141"/>
        <v>0.1363412670765225</v>
      </c>
      <c r="AO37" s="333">
        <f t="shared" si="141"/>
        <v>0.13493218057340672</v>
      </c>
      <c r="AP37" s="333">
        <f t="shared" si="141"/>
        <v>0.13427195653655644</v>
      </c>
      <c r="AQ37" s="333">
        <f t="shared" si="141"/>
        <v>0.13486624786810064</v>
      </c>
      <c r="AR37" s="333">
        <f t="shared" si="141"/>
        <v>0.13958978045069292</v>
      </c>
      <c r="AS37" s="333">
        <f t="shared" si="141"/>
        <v>0.13808354902856657</v>
      </c>
      <c r="AT37" s="333">
        <f t="shared" si="141"/>
        <v>0.13737676555276312</v>
      </c>
      <c r="AU37" s="333">
        <f t="shared" si="141"/>
        <v>0.13787194379511503</v>
      </c>
      <c r="AV37" s="333">
        <f t="shared" si="141"/>
        <v>0.14260814961358581</v>
      </c>
      <c r="AW37" s="333">
        <f t="shared" si="141"/>
        <v>0.14102462642841673</v>
      </c>
      <c r="AX37" s="333">
        <f t="shared" si="141"/>
        <v>0.14028180132732637</v>
      </c>
      <c r="AY37" s="333">
        <f t="shared" si="141"/>
        <v>0.14068656106104815</v>
      </c>
      <c r="AZ37" s="333">
        <f t="shared" si="141"/>
        <v>0.14539734556615258</v>
      </c>
      <c r="BA37" s="333">
        <f t="shared" si="141"/>
        <v>0.14375591534193055</v>
      </c>
      <c r="BB37" s="333">
        <f t="shared" si="141"/>
        <v>0.14298734762581833</v>
      </c>
      <c r="BC37" s="333">
        <f t="shared" si="141"/>
        <v>0.14331106287931128</v>
      </c>
      <c r="BD37" s="333">
        <f t="shared" si="141"/>
        <v>0.14796209307236174</v>
      </c>
      <c r="BE37" s="333">
        <f t="shared" si="141"/>
        <v>0.14628125781572154</v>
      </c>
      <c r="BF37" s="333">
        <f t="shared" si="141"/>
        <v>0.14549682307682277</v>
      </c>
      <c r="BG37" s="333">
        <f t="shared" si="141"/>
        <v>0.14574922563390502</v>
      </c>
      <c r="BH37" s="211"/>
      <c r="BI37" s="214"/>
      <c r="BJ37" s="214"/>
      <c r="BK37" s="214"/>
      <c r="BL37" s="214"/>
      <c r="BM37" s="211"/>
      <c r="BN37" s="382">
        <v>0.22965347191207997</v>
      </c>
      <c r="BO37" s="432">
        <f t="shared" si="2"/>
        <v>3.8472664795881961E-2</v>
      </c>
      <c r="BP37" s="382">
        <v>0.17482020139956722</v>
      </c>
      <c r="BQ37" s="432">
        <f t="shared" si="2"/>
        <v>3.3698788093903254E-2</v>
      </c>
    </row>
    <row r="38" spans="1:69" x14ac:dyDescent="0.25">
      <c r="A38" s="491"/>
      <c r="B38" s="491"/>
      <c r="C38" s="212"/>
      <c r="D38" s="224"/>
      <c r="E38" s="224"/>
      <c r="F38" s="224"/>
      <c r="G38" s="224"/>
      <c r="H38" s="224"/>
      <c r="I38" s="224"/>
      <c r="J38" s="224"/>
      <c r="K38" s="224"/>
      <c r="L38" s="224"/>
      <c r="M38" s="224"/>
      <c r="N38" s="224"/>
      <c r="O38" s="224"/>
      <c r="P38" s="224"/>
      <c r="Q38" s="224"/>
      <c r="R38" s="224"/>
      <c r="S38" s="224"/>
      <c r="T38" s="224"/>
      <c r="U38" s="224"/>
      <c r="V38" s="224"/>
      <c r="W38" s="224"/>
      <c r="X38" s="224"/>
      <c r="Y38" s="224"/>
      <c r="Z38" s="224"/>
      <c r="AA38" s="224"/>
      <c r="AB38" s="224"/>
      <c r="AC38" s="224"/>
      <c r="AD38" s="224"/>
      <c r="AE38" s="224"/>
      <c r="AF38" s="224"/>
      <c r="AG38" s="224"/>
      <c r="AH38" s="224"/>
      <c r="AI38" s="224"/>
      <c r="AJ38" s="224"/>
      <c r="AK38" s="224"/>
      <c r="AL38" s="224"/>
      <c r="AM38" s="224"/>
      <c r="AN38" s="224"/>
      <c r="AO38" s="224"/>
      <c r="AP38" s="224"/>
      <c r="AQ38" s="224"/>
      <c r="AR38" s="224"/>
      <c r="AS38" s="224"/>
      <c r="AT38" s="224"/>
      <c r="AU38" s="224"/>
      <c r="AV38" s="224"/>
      <c r="AW38" s="224"/>
      <c r="AX38" s="224"/>
      <c r="AY38" s="224"/>
      <c r="AZ38" s="224"/>
      <c r="BA38" s="224"/>
      <c r="BB38" s="224"/>
      <c r="BC38" s="224"/>
      <c r="BD38" s="224"/>
      <c r="BE38" s="224"/>
      <c r="BF38" s="224"/>
      <c r="BG38" s="224"/>
      <c r="BH38" s="211"/>
      <c r="BI38" s="214"/>
      <c r="BJ38" s="214"/>
      <c r="BK38" s="214"/>
      <c r="BL38" s="214"/>
      <c r="BM38" s="211"/>
      <c r="BN38" s="383"/>
      <c r="BO38" s="433" t="str">
        <f t="shared" si="2"/>
        <v/>
      </c>
      <c r="BP38" s="383"/>
      <c r="BQ38" s="433" t="str">
        <f t="shared" si="2"/>
        <v/>
      </c>
    </row>
    <row r="39" spans="1:69" x14ac:dyDescent="0.25">
      <c r="A39" s="208"/>
      <c r="B39" s="215" t="s">
        <v>605</v>
      </c>
      <c r="C39" s="216" t="s">
        <v>7</v>
      </c>
      <c r="D39" s="217">
        <v>2.3E-2</v>
      </c>
      <c r="E39" s="217">
        <v>3.5999999999999997E-2</v>
      </c>
      <c r="F39" s="217">
        <v>3.3000000000000002E-2</v>
      </c>
      <c r="G39" s="217">
        <v>3.3000000000000002E-2</v>
      </c>
      <c r="H39" s="217">
        <v>2.5999999999999999E-2</v>
      </c>
      <c r="I39" s="217">
        <v>3.2000000000000001E-2</v>
      </c>
      <c r="J39" s="217">
        <v>3.2000000000000001E-2</v>
      </c>
      <c r="K39" s="217">
        <v>0.03</v>
      </c>
      <c r="L39" s="217">
        <v>2.8000000000000001E-2</v>
      </c>
      <c r="M39" s="217">
        <v>3.1E-2</v>
      </c>
      <c r="N39" s="217">
        <v>3.2000000000000001E-2</v>
      </c>
      <c r="O39" s="217">
        <v>4.1000000000000002E-2</v>
      </c>
      <c r="P39" s="217">
        <v>2.9000000000000001E-2</v>
      </c>
      <c r="Q39" s="330">
        <f>Q26/Q$10</f>
        <v>4.857413307254474E-2</v>
      </c>
      <c r="R39" s="330">
        <f>R26/R$10</f>
        <v>5.9437097789156811E-2</v>
      </c>
      <c r="S39" s="330">
        <f t="shared" ref="S39:BG39" si="142">S26/S$10</f>
        <v>7.2794530488035677E-2</v>
      </c>
      <c r="T39" s="330">
        <f t="shared" si="142"/>
        <v>6.7438911478984925E-2</v>
      </c>
      <c r="U39" s="330">
        <f t="shared" si="142"/>
        <v>7.0708285194143475E-2</v>
      </c>
      <c r="V39" s="330">
        <f t="shared" si="142"/>
        <v>7.4095458704397626E-2</v>
      </c>
      <c r="W39" s="330">
        <f t="shared" si="142"/>
        <v>8.8117612438219542E-2</v>
      </c>
      <c r="X39" s="330">
        <f t="shared" si="142"/>
        <v>8.3219302220483779E-2</v>
      </c>
      <c r="Y39" s="330">
        <f t="shared" si="142"/>
        <v>8.5437249945561802E-2</v>
      </c>
      <c r="Z39" s="330">
        <f t="shared" si="142"/>
        <v>8.9052070125572716E-2</v>
      </c>
      <c r="AA39" s="330">
        <f t="shared" si="142"/>
        <v>0.10374375598678913</v>
      </c>
      <c r="AB39" s="330">
        <f t="shared" si="142"/>
        <v>9.8244143669421968E-2</v>
      </c>
      <c r="AC39" s="330">
        <f t="shared" si="142"/>
        <v>9.8484342401908134E-2</v>
      </c>
      <c r="AD39" s="330">
        <f t="shared" si="142"/>
        <v>0.10134572811094542</v>
      </c>
      <c r="AE39" s="330">
        <f t="shared" si="142"/>
        <v>0.11562338351670619</v>
      </c>
      <c r="AF39" s="330">
        <f t="shared" si="142"/>
        <v>0.11044207067816507</v>
      </c>
      <c r="AG39" s="330">
        <f t="shared" si="142"/>
        <v>0.10976621736377892</v>
      </c>
      <c r="AH39" s="330">
        <f t="shared" si="142"/>
        <v>0.11275642696131992</v>
      </c>
      <c r="AI39" s="330">
        <f t="shared" si="142"/>
        <v>0.12749248969764271</v>
      </c>
      <c r="AJ39" s="330">
        <f t="shared" si="142"/>
        <v>0.12259828565734888</v>
      </c>
      <c r="AK39" s="330">
        <f t="shared" si="142"/>
        <v>0.12102037683888328</v>
      </c>
      <c r="AL39" s="330">
        <f t="shared" si="142"/>
        <v>0.12414854617753172</v>
      </c>
      <c r="AM39" s="330">
        <f t="shared" si="142"/>
        <v>0.13934066356014846</v>
      </c>
      <c r="AN39" s="330">
        <f t="shared" si="142"/>
        <v>0.13470290595982193</v>
      </c>
      <c r="AO39" s="330">
        <f t="shared" si="142"/>
        <v>0.13223722443966407</v>
      </c>
      <c r="AP39" s="330">
        <f t="shared" si="142"/>
        <v>0.13551225478846396</v>
      </c>
      <c r="AQ39" s="330">
        <f t="shared" si="142"/>
        <v>0.15115748539967205</v>
      </c>
      <c r="AR39" s="330">
        <f t="shared" si="142"/>
        <v>0.1467461635336508</v>
      </c>
      <c r="AS39" s="330">
        <f t="shared" si="142"/>
        <v>0.14340721769834458</v>
      </c>
      <c r="AT39" s="330">
        <f t="shared" si="142"/>
        <v>0.14683773714120743</v>
      </c>
      <c r="AU39" s="330">
        <f t="shared" si="142"/>
        <v>0.16293255607097445</v>
      </c>
      <c r="AV39" s="330">
        <f t="shared" si="142"/>
        <v>0.1587184293817161</v>
      </c>
      <c r="AW39" s="330">
        <f t="shared" si="142"/>
        <v>0.15452089417269341</v>
      </c>
      <c r="AX39" s="330">
        <f t="shared" si="142"/>
        <v>0.15811521996179598</v>
      </c>
      <c r="AY39" s="330">
        <f t="shared" si="142"/>
        <v>0.17465552647969612</v>
      </c>
      <c r="AZ39" s="330">
        <f t="shared" si="142"/>
        <v>0.17061023734947497</v>
      </c>
      <c r="BA39" s="330">
        <f t="shared" si="142"/>
        <v>0.16556889730228277</v>
      </c>
      <c r="BB39" s="330">
        <f t="shared" si="142"/>
        <v>0.16933499947537384</v>
      </c>
      <c r="BC39" s="330">
        <f t="shared" si="142"/>
        <v>0.18631612713400261</v>
      </c>
      <c r="BD39" s="330">
        <f t="shared" si="142"/>
        <v>0.18241230715296394</v>
      </c>
      <c r="BE39" s="330">
        <f t="shared" si="142"/>
        <v>0.17654200189877228</v>
      </c>
      <c r="BF39" s="330">
        <f t="shared" si="142"/>
        <v>0.18048746846450894</v>
      </c>
      <c r="BG39" s="330">
        <f t="shared" si="142"/>
        <v>0.19790419761821326</v>
      </c>
      <c r="BH39" s="211"/>
      <c r="BI39" s="225">
        <v>3.1399999999999997E-2</v>
      </c>
      <c r="BJ39" s="225">
        <v>2.64E-2</v>
      </c>
      <c r="BK39" s="225">
        <v>2.3900000000000001E-2</v>
      </c>
      <c r="BL39" s="225">
        <v>2.46E-2</v>
      </c>
      <c r="BM39" s="211"/>
      <c r="BN39" s="373">
        <v>5.2274110430840431E-2</v>
      </c>
      <c r="BO39" s="423">
        <f t="shared" si="2"/>
        <v>7.1629873583163792E-3</v>
      </c>
      <c r="BP39" s="373">
        <v>5.5017607921741131E-2</v>
      </c>
      <c r="BQ39" s="423">
        <f t="shared" si="2"/>
        <v>1.7776922566294547E-2</v>
      </c>
    </row>
    <row r="40" spans="1:69" x14ac:dyDescent="0.25">
      <c r="A40" s="488"/>
      <c r="B40" s="489"/>
      <c r="C40" s="93"/>
      <c r="D40" s="48"/>
      <c r="E40" s="46"/>
      <c r="F40" s="48"/>
      <c r="G40" s="46"/>
      <c r="H40" s="48"/>
      <c r="I40" s="46"/>
      <c r="J40" s="48"/>
      <c r="K40" s="48"/>
      <c r="L40" s="48"/>
      <c r="M40" s="48"/>
      <c r="N40" s="48"/>
      <c r="O40" s="48"/>
      <c r="P40" s="48"/>
      <c r="Q40" s="48"/>
      <c r="R40" s="48"/>
      <c r="S40" s="46"/>
      <c r="T40" s="46"/>
      <c r="U40" s="46"/>
      <c r="V40" s="46"/>
      <c r="W40" s="46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204"/>
      <c r="BJ40" s="204"/>
      <c r="BK40" s="204"/>
      <c r="BL40" s="204"/>
      <c r="BM40" s="1"/>
      <c r="BN40" s="367"/>
      <c r="BO40" s="417" t="str">
        <f t="shared" si="2"/>
        <v/>
      </c>
      <c r="BP40" s="367"/>
      <c r="BQ40" s="417" t="str">
        <f t="shared" si="2"/>
        <v/>
      </c>
    </row>
    <row r="41" spans="1:69" x14ac:dyDescent="0.25">
      <c r="A41" s="82"/>
      <c r="B41" s="95" t="s">
        <v>63</v>
      </c>
      <c r="C41" s="93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204"/>
      <c r="BJ41" s="204"/>
      <c r="BK41" s="204"/>
      <c r="BL41" s="204"/>
      <c r="BM41" s="1"/>
      <c r="BN41" s="367"/>
      <c r="BO41" s="417" t="str">
        <f t="shared" si="2"/>
        <v/>
      </c>
      <c r="BP41" s="367"/>
      <c r="BQ41" s="417" t="str">
        <f t="shared" si="2"/>
        <v/>
      </c>
    </row>
    <row r="42" spans="1:69" x14ac:dyDescent="0.25">
      <c r="A42" s="82" t="s">
        <v>39</v>
      </c>
      <c r="B42" s="100" t="s">
        <v>323</v>
      </c>
      <c r="C42" s="5" t="s">
        <v>298</v>
      </c>
      <c r="D42" s="175">
        <v>195361</v>
      </c>
      <c r="E42" s="175">
        <v>187342</v>
      </c>
      <c r="F42" s="175">
        <v>327360</v>
      </c>
      <c r="G42" s="175">
        <v>280901</v>
      </c>
      <c r="H42" s="175">
        <v>368367</v>
      </c>
      <c r="I42" s="175">
        <v>384402</v>
      </c>
      <c r="J42" s="175">
        <v>477488</v>
      </c>
      <c r="K42" s="175">
        <v>562163</v>
      </c>
      <c r="L42" s="175">
        <v>705074</v>
      </c>
      <c r="M42" s="175">
        <v>759476</v>
      </c>
      <c r="N42" s="175">
        <v>807472</v>
      </c>
      <c r="O42" s="175">
        <v>757009</v>
      </c>
      <c r="P42" s="175">
        <v>812794</v>
      </c>
      <c r="Q42" s="175">
        <v>891422</v>
      </c>
      <c r="R42" s="175">
        <v>832662</v>
      </c>
      <c r="S42" s="102">
        <f t="shared" ref="S42:BG42" si="143">S17-S29</f>
        <v>955767.17381020519</v>
      </c>
      <c r="T42" s="102">
        <f t="shared" si="143"/>
        <v>1081195.7873681425</v>
      </c>
      <c r="U42" s="102">
        <f t="shared" si="143"/>
        <v>1195847.0459573427</v>
      </c>
      <c r="V42" s="102">
        <f t="shared" si="143"/>
        <v>1163908.6269322932</v>
      </c>
      <c r="W42" s="102">
        <f t="shared" si="143"/>
        <v>1219201.6196484659</v>
      </c>
      <c r="X42" s="102">
        <f t="shared" si="143"/>
        <v>1329764.8178670888</v>
      </c>
      <c r="Y42" s="102">
        <f t="shared" si="143"/>
        <v>1466898.0952506536</v>
      </c>
      <c r="Z42" s="102">
        <f t="shared" si="143"/>
        <v>1434311.2960011251</v>
      </c>
      <c r="AA42" s="102">
        <f t="shared" si="143"/>
        <v>1511116.3263404975</v>
      </c>
      <c r="AB42" s="102">
        <f t="shared" si="143"/>
        <v>1607226.000992225</v>
      </c>
      <c r="AC42" s="102">
        <f t="shared" si="143"/>
        <v>1759694.9595130817</v>
      </c>
      <c r="AD42" s="102">
        <f t="shared" si="143"/>
        <v>1712576.6610603677</v>
      </c>
      <c r="AE42" s="102">
        <f t="shared" si="143"/>
        <v>1797205.912439669</v>
      </c>
      <c r="AF42" s="102">
        <f t="shared" si="143"/>
        <v>1866273.6813720535</v>
      </c>
      <c r="AG42" s="102">
        <f t="shared" si="143"/>
        <v>2049041.7093032016</v>
      </c>
      <c r="AH42" s="102">
        <f t="shared" si="143"/>
        <v>1997500.2205862254</v>
      </c>
      <c r="AI42" s="102">
        <f t="shared" si="143"/>
        <v>2118279.8690678892</v>
      </c>
      <c r="AJ42" s="102">
        <f t="shared" si="143"/>
        <v>2165577.267634212</v>
      </c>
      <c r="AK42" s="102">
        <f t="shared" si="143"/>
        <v>2385181.6934367935</v>
      </c>
      <c r="AL42" s="102">
        <f t="shared" si="143"/>
        <v>2328832.2886068225</v>
      </c>
      <c r="AM42" s="102">
        <f t="shared" si="143"/>
        <v>2496387.0469636098</v>
      </c>
      <c r="AN42" s="102">
        <f t="shared" si="143"/>
        <v>2512712.9167387313</v>
      </c>
      <c r="AO42" s="102">
        <f t="shared" si="143"/>
        <v>2777183.0233264836</v>
      </c>
      <c r="AP42" s="102">
        <f t="shared" si="143"/>
        <v>2715617.2795326184</v>
      </c>
      <c r="AQ42" s="102">
        <f t="shared" si="143"/>
        <v>2943428.6617553304</v>
      </c>
      <c r="AR42" s="102">
        <f t="shared" si="143"/>
        <v>2916965.3075745245</v>
      </c>
      <c r="AS42" s="102">
        <f t="shared" si="143"/>
        <v>3236171.4768102197</v>
      </c>
      <c r="AT42" s="102">
        <f t="shared" si="143"/>
        <v>3168958.3698948007</v>
      </c>
      <c r="AU42" s="102">
        <f t="shared" si="143"/>
        <v>3474105.145919634</v>
      </c>
      <c r="AV42" s="102">
        <f t="shared" si="143"/>
        <v>3389747.045787394</v>
      </c>
      <c r="AW42" s="102">
        <f t="shared" si="143"/>
        <v>3775829.698684114</v>
      </c>
      <c r="AX42" s="102">
        <f t="shared" si="143"/>
        <v>3702515.010575206</v>
      </c>
      <c r="AY42" s="102">
        <f t="shared" si="143"/>
        <v>4106610.5138821313</v>
      </c>
      <c r="AZ42" s="102">
        <f t="shared" si="143"/>
        <v>3945122.5509770159</v>
      </c>
      <c r="BA42" s="102">
        <f t="shared" si="143"/>
        <v>4413033.7110572644</v>
      </c>
      <c r="BB42" s="102">
        <f t="shared" si="143"/>
        <v>4333139.7816503244</v>
      </c>
      <c r="BC42" s="102">
        <f t="shared" si="143"/>
        <v>4863496.2038852572</v>
      </c>
      <c r="BD42" s="102">
        <f t="shared" si="143"/>
        <v>4600472.4742462942</v>
      </c>
      <c r="BE42" s="102">
        <f t="shared" si="143"/>
        <v>5168629.5710348142</v>
      </c>
      <c r="BF42" s="102">
        <f t="shared" si="143"/>
        <v>5081659.4187065409</v>
      </c>
      <c r="BG42" s="102">
        <f t="shared" si="143"/>
        <v>5772760.369287285</v>
      </c>
      <c r="BH42" s="1"/>
      <c r="BI42" s="204"/>
      <c r="BJ42" s="204"/>
      <c r="BK42" s="204"/>
      <c r="BL42" s="204"/>
      <c r="BM42" s="1"/>
      <c r="BN42" s="372">
        <v>851545.59540886455</v>
      </c>
      <c r="BO42" s="422">
        <f t="shared" si="2"/>
        <v>-18883.595408864552</v>
      </c>
      <c r="BP42" s="372">
        <v>943195.00404357887</v>
      </c>
      <c r="BQ42" s="422">
        <f t="shared" si="2"/>
        <v>12572.169766626321</v>
      </c>
    </row>
    <row r="43" spans="1:69" x14ac:dyDescent="0.25">
      <c r="A43" s="82"/>
      <c r="B43" s="92" t="s">
        <v>299</v>
      </c>
      <c r="C43" s="93" t="s">
        <v>300</v>
      </c>
      <c r="D43" s="2"/>
      <c r="E43" s="46"/>
      <c r="F43" s="2"/>
      <c r="G43" s="46"/>
      <c r="H43" s="50">
        <v>0.89</v>
      </c>
      <c r="I43" s="50">
        <v>1.05</v>
      </c>
      <c r="J43" s="50">
        <v>0.46</v>
      </c>
      <c r="K43" s="50">
        <v>1</v>
      </c>
      <c r="L43" s="50">
        <v>0.91</v>
      </c>
      <c r="M43" s="50">
        <v>0.98</v>
      </c>
      <c r="N43" s="50">
        <v>0.69</v>
      </c>
      <c r="O43" s="50">
        <v>0.35</v>
      </c>
      <c r="P43" s="50">
        <v>0.15</v>
      </c>
      <c r="Q43" s="330">
        <f>Q42/M42-1</f>
        <v>0.17373294218645485</v>
      </c>
      <c r="R43" s="330">
        <f>R42/N42-1</f>
        <v>3.1196128162958026E-2</v>
      </c>
      <c r="S43" s="330">
        <f t="shared" ref="S43:BG43" si="144">S42/O42-1</f>
        <v>0.26255721373220808</v>
      </c>
      <c r="T43" s="330">
        <f t="shared" si="144"/>
        <v>0.33022117211512692</v>
      </c>
      <c r="U43" s="330">
        <f t="shared" si="144"/>
        <v>0.3415049729054731</v>
      </c>
      <c r="V43" s="330">
        <f t="shared" si="144"/>
        <v>0.39781643323736793</v>
      </c>
      <c r="W43" s="330">
        <f t="shared" si="144"/>
        <v>0.27562617032354075</v>
      </c>
      <c r="X43" s="330">
        <f t="shared" si="144"/>
        <v>0.22990195985133788</v>
      </c>
      <c r="Y43" s="330">
        <f t="shared" si="144"/>
        <v>0.22666029924949083</v>
      </c>
      <c r="Z43" s="330">
        <f t="shared" si="144"/>
        <v>0.23232293567711637</v>
      </c>
      <c r="AA43" s="330">
        <f t="shared" si="144"/>
        <v>0.2394310358414713</v>
      </c>
      <c r="AB43" s="330">
        <f t="shared" si="144"/>
        <v>0.20865432698857034</v>
      </c>
      <c r="AC43" s="330">
        <f t="shared" si="144"/>
        <v>0.19960272987633609</v>
      </c>
      <c r="AD43" s="330">
        <f t="shared" si="144"/>
        <v>0.19400625640685476</v>
      </c>
      <c r="AE43" s="330">
        <f t="shared" si="144"/>
        <v>0.18932333739785667</v>
      </c>
      <c r="AF43" s="330">
        <f t="shared" si="144"/>
        <v>0.16117688503042182</v>
      </c>
      <c r="AG43" s="330">
        <f t="shared" si="144"/>
        <v>0.16443006114547476</v>
      </c>
      <c r="AH43" s="330">
        <f t="shared" si="144"/>
        <v>0.16637127318402367</v>
      </c>
      <c r="AI43" s="330">
        <f t="shared" si="144"/>
        <v>0.17865173623448016</v>
      </c>
      <c r="AJ43" s="330">
        <f t="shared" si="144"/>
        <v>0.16037497032167081</v>
      </c>
      <c r="AK43" s="330">
        <f t="shared" si="144"/>
        <v>0.16404740938528772</v>
      </c>
      <c r="AL43" s="330">
        <f t="shared" si="144"/>
        <v>0.16587335741237519</v>
      </c>
      <c r="AM43" s="330">
        <f t="shared" si="144"/>
        <v>0.17849727196911891</v>
      </c>
      <c r="AN43" s="330">
        <f t="shared" si="144"/>
        <v>0.16029705071837408</v>
      </c>
      <c r="AO43" s="330">
        <f t="shared" si="144"/>
        <v>0.16434862424457819</v>
      </c>
      <c r="AP43" s="330">
        <f t="shared" si="144"/>
        <v>0.16608537798880407</v>
      </c>
      <c r="AQ43" s="330">
        <f t="shared" si="144"/>
        <v>0.17907544238200712</v>
      </c>
      <c r="AR43" s="330">
        <f t="shared" si="144"/>
        <v>0.16088284027308442</v>
      </c>
      <c r="AS43" s="330">
        <f t="shared" si="144"/>
        <v>0.16527122974198649</v>
      </c>
      <c r="AT43" s="330">
        <f t="shared" si="144"/>
        <v>0.16693850557623735</v>
      </c>
      <c r="AU43" s="330">
        <f t="shared" si="144"/>
        <v>0.18029194695951345</v>
      </c>
      <c r="AV43" s="330">
        <f t="shared" si="144"/>
        <v>0.16208000039808179</v>
      </c>
      <c r="AW43" s="330">
        <f t="shared" si="144"/>
        <v>0.16675822827714204</v>
      </c>
      <c r="AX43" s="330">
        <f t="shared" si="144"/>
        <v>0.16836972228767966</v>
      </c>
      <c r="AY43" s="330">
        <f t="shared" si="144"/>
        <v>0.18206281658037327</v>
      </c>
      <c r="AZ43" s="330">
        <f t="shared" si="144"/>
        <v>0.16383980801157838</v>
      </c>
      <c r="BA43" s="330">
        <f t="shared" si="144"/>
        <v>0.16875867378108111</v>
      </c>
      <c r="BB43" s="330">
        <f t="shared" si="144"/>
        <v>0.17032335298409707</v>
      </c>
      <c r="BC43" s="330">
        <f t="shared" si="144"/>
        <v>0.1843091005208608</v>
      </c>
      <c r="BD43" s="330">
        <f t="shared" si="144"/>
        <v>0.16611649316368626</v>
      </c>
      <c r="BE43" s="330">
        <f t="shared" si="144"/>
        <v>0.17121914525246762</v>
      </c>
      <c r="BF43" s="330">
        <f t="shared" si="144"/>
        <v>0.17274301655949231</v>
      </c>
      <c r="BG43" s="330">
        <f t="shared" si="144"/>
        <v>0.18695689834725315</v>
      </c>
      <c r="BH43" s="1"/>
      <c r="BI43" s="204"/>
      <c r="BJ43" s="204"/>
      <c r="BK43" s="204"/>
      <c r="BL43" s="204"/>
      <c r="BM43" s="1"/>
      <c r="BN43" s="373">
        <v>5.4582196545347239E-2</v>
      </c>
      <c r="BO43" s="423">
        <f t="shared" si="2"/>
        <v>-2.3386068382389213E-2</v>
      </c>
      <c r="BP43" s="373">
        <v>0.24594952509623913</v>
      </c>
      <c r="BQ43" s="423">
        <f t="shared" si="2"/>
        <v>1.6607688635968954E-2</v>
      </c>
    </row>
    <row r="44" spans="1:69" x14ac:dyDescent="0.25">
      <c r="A44" s="82"/>
      <c r="B44" s="92" t="s">
        <v>324</v>
      </c>
      <c r="C44" s="93" t="s">
        <v>7</v>
      </c>
      <c r="D44" s="62">
        <v>4.9000000000000002E-2</v>
      </c>
      <c r="E44" s="136">
        <v>4.2999999999999997E-2</v>
      </c>
      <c r="F44" s="62">
        <v>7.1999999999999995E-2</v>
      </c>
      <c r="G44" s="136">
        <v>0.06</v>
      </c>
      <c r="H44" s="62">
        <v>7.3999999999999996E-2</v>
      </c>
      <c r="I44" s="136">
        <v>6.9000000000000006E-2</v>
      </c>
      <c r="J44" s="62">
        <v>8.5000000000000006E-2</v>
      </c>
      <c r="K44" s="136">
        <v>9.7000000000000003E-2</v>
      </c>
      <c r="L44" s="62">
        <v>0.11799999999999999</v>
      </c>
      <c r="M44" s="136">
        <v>0.123</v>
      </c>
      <c r="N44" s="136">
        <v>0.13500000000000001</v>
      </c>
      <c r="O44" s="136">
        <v>0.125</v>
      </c>
      <c r="P44" s="62">
        <v>0.14099999999999999</v>
      </c>
      <c r="Q44" s="330">
        <f>Q42/Q$10</f>
        <v>0.14723401289331148</v>
      </c>
      <c r="R44" s="330">
        <f>R42/R$10</f>
        <v>0.136168198867301</v>
      </c>
      <c r="S44" s="330">
        <f t="shared" ref="S44:BG44" si="145">S42/S$10</f>
        <v>0.1580119539522182</v>
      </c>
      <c r="T44" s="330">
        <f t="shared" si="145"/>
        <v>0.16559757798274946</v>
      </c>
      <c r="U44" s="330">
        <f t="shared" si="145"/>
        <v>0.17063854649032636</v>
      </c>
      <c r="V44" s="330">
        <f t="shared" si="145"/>
        <v>0.16722466934753735</v>
      </c>
      <c r="W44" s="330">
        <f t="shared" si="145"/>
        <v>0.17704863795505824</v>
      </c>
      <c r="X44" s="330">
        <f t="shared" si="145"/>
        <v>0.17915997590041641</v>
      </c>
      <c r="Y44" s="330">
        <f t="shared" si="145"/>
        <v>0.18426062373238006</v>
      </c>
      <c r="Z44" s="330">
        <f t="shared" si="145"/>
        <v>0.18142911213862287</v>
      </c>
      <c r="AA44" s="330">
        <f t="shared" si="145"/>
        <v>0.19314316998414829</v>
      </c>
      <c r="AB44" s="330">
        <f t="shared" si="145"/>
        <v>0.19038312587914352</v>
      </c>
      <c r="AC44" s="330">
        <f t="shared" si="145"/>
        <v>0.1944729670514882</v>
      </c>
      <c r="AD44" s="330">
        <f t="shared" si="145"/>
        <v>0.19060983808674334</v>
      </c>
      <c r="AE44" s="330">
        <f t="shared" si="145"/>
        <v>0.20249527454092286</v>
      </c>
      <c r="AF44" s="330">
        <f t="shared" si="145"/>
        <v>0.1957435015380061</v>
      </c>
      <c r="AG44" s="330">
        <f t="shared" si="145"/>
        <v>0.20077705662006165</v>
      </c>
      <c r="AH44" s="330">
        <f t="shared" si="145"/>
        <v>0.19724708963757578</v>
      </c>
      <c r="AI44" s="330">
        <f t="shared" si="145"/>
        <v>0.21171523946133303</v>
      </c>
      <c r="AJ44" s="330">
        <f t="shared" si="145"/>
        <v>0.200959443418501</v>
      </c>
      <c r="AK44" s="330">
        <f t="shared" si="145"/>
        <v>0.20705156526878232</v>
      </c>
      <c r="AL44" s="330">
        <f t="shared" si="145"/>
        <v>0.20386318805190654</v>
      </c>
      <c r="AM44" s="330">
        <f t="shared" si="145"/>
        <v>0.22114276835703597</v>
      </c>
      <c r="AN44" s="330">
        <f t="shared" si="145"/>
        <v>0.2061399547556112</v>
      </c>
      <c r="AO44" s="330">
        <f t="shared" si="145"/>
        <v>0.21340579111933505</v>
      </c>
      <c r="AP44" s="330">
        <f t="shared" si="145"/>
        <v>0.2105679400778841</v>
      </c>
      <c r="AQ44" s="330">
        <f t="shared" si="145"/>
        <v>0.23091093876704227</v>
      </c>
      <c r="AR44" s="330">
        <f t="shared" si="145"/>
        <v>0.21139596091472543</v>
      </c>
      <c r="AS44" s="330">
        <f t="shared" si="145"/>
        <v>0.21995171980128067</v>
      </c>
      <c r="AT44" s="330">
        <f t="shared" si="145"/>
        <v>0.21747408634303034</v>
      </c>
      <c r="AU44" s="330">
        <f t="shared" si="145"/>
        <v>0.24115713974606234</v>
      </c>
      <c r="AV44" s="330">
        <f t="shared" si="145"/>
        <v>0.2168403505051055</v>
      </c>
      <c r="AW44" s="330">
        <f t="shared" si="145"/>
        <v>0.22680390317245272</v>
      </c>
      <c r="AX44" s="330">
        <f t="shared" si="145"/>
        <v>0.22469701845005152</v>
      </c>
      <c r="AY44" s="330">
        <f t="shared" si="145"/>
        <v>0.25202335254969327</v>
      </c>
      <c r="AZ44" s="330">
        <f t="shared" si="145"/>
        <v>0.2225879843974328</v>
      </c>
      <c r="BA44" s="330">
        <f t="shared" si="145"/>
        <v>0.23408011919595076</v>
      </c>
      <c r="BB44" s="330">
        <f t="shared" si="145"/>
        <v>0.23235548570715081</v>
      </c>
      <c r="BC44" s="330">
        <f t="shared" si="145"/>
        <v>0.2636561291263963</v>
      </c>
      <c r="BD44" s="330">
        <f t="shared" si="145"/>
        <v>0.22875618881269719</v>
      </c>
      <c r="BE44" s="330">
        <f t="shared" si="145"/>
        <v>0.24190090275525392</v>
      </c>
      <c r="BF44" s="330">
        <f t="shared" si="145"/>
        <v>0.24057133330135602</v>
      </c>
      <c r="BG44" s="330">
        <f t="shared" si="145"/>
        <v>0.27620707817074408</v>
      </c>
      <c r="BH44" s="1"/>
      <c r="BI44" s="204"/>
      <c r="BJ44" s="204"/>
      <c r="BK44" s="204"/>
      <c r="BL44" s="204"/>
      <c r="BM44" s="1"/>
      <c r="BN44" s="373">
        <v>0.12198305616031543</v>
      </c>
      <c r="BO44" s="423">
        <f t="shared" si="2"/>
        <v>1.4185142706985565E-2</v>
      </c>
      <c r="BP44" s="373">
        <v>0.13258512488404026</v>
      </c>
      <c r="BQ44" s="423">
        <f t="shared" si="2"/>
        <v>2.5426829068177947E-2</v>
      </c>
    </row>
    <row r="45" spans="1:69" x14ac:dyDescent="0.25">
      <c r="A45" s="82"/>
      <c r="B45" s="92" t="s">
        <v>325</v>
      </c>
      <c r="C45" s="93" t="s">
        <v>7</v>
      </c>
      <c r="D45" s="136">
        <v>0.151</v>
      </c>
      <c r="E45" s="136">
        <v>0.127</v>
      </c>
      <c r="F45" s="136">
        <v>0.20899999999999999</v>
      </c>
      <c r="G45" s="136">
        <v>0.16900000000000001</v>
      </c>
      <c r="H45" s="136">
        <v>0.215</v>
      </c>
      <c r="I45" s="136">
        <v>0.20599999999999999</v>
      </c>
      <c r="J45" s="136">
        <v>0.252</v>
      </c>
      <c r="K45" s="136">
        <v>0.27800000000000002</v>
      </c>
      <c r="L45" s="136">
        <v>0.33700000000000002</v>
      </c>
      <c r="M45" s="136">
        <v>0.34</v>
      </c>
      <c r="N45" s="136">
        <v>0.35899999999999999</v>
      </c>
      <c r="O45" s="136">
        <v>0.32800000000000001</v>
      </c>
      <c r="P45" s="136">
        <v>0.35499999999999998</v>
      </c>
      <c r="Q45" s="331">
        <f>Q42/Q$17</f>
        <v>0.35143365148450839</v>
      </c>
      <c r="R45" s="331">
        <f>R42/R$17</f>
        <v>0.31284617725628106</v>
      </c>
      <c r="S45" s="331">
        <f t="shared" ref="S45:BG45" si="146">S42/S17</f>
        <v>0.33721742065366278</v>
      </c>
      <c r="T45" s="331">
        <f t="shared" si="146"/>
        <v>0.37468589178688105</v>
      </c>
      <c r="U45" s="331">
        <f t="shared" si="146"/>
        <v>0.38547297217633408</v>
      </c>
      <c r="V45" s="331">
        <f t="shared" si="146"/>
        <v>0.36955900477880044</v>
      </c>
      <c r="W45" s="331">
        <f t="shared" si="146"/>
        <v>0.36556198297474629</v>
      </c>
      <c r="X45" s="331">
        <f t="shared" si="146"/>
        <v>0.39329400848857049</v>
      </c>
      <c r="Y45" s="331">
        <f t="shared" si="146"/>
        <v>0.40368476117216939</v>
      </c>
      <c r="Z45" s="331">
        <f t="shared" si="146"/>
        <v>0.38858459381329641</v>
      </c>
      <c r="AA45" s="331">
        <f t="shared" si="146"/>
        <v>0.38558643161213862</v>
      </c>
      <c r="AB45" s="331">
        <f t="shared" si="146"/>
        <v>0.40750515652651764</v>
      </c>
      <c r="AC45" s="331">
        <f t="shared" si="146"/>
        <v>0.417005079664099</v>
      </c>
      <c r="AD45" s="331">
        <f t="shared" si="146"/>
        <v>0.40130295287813539</v>
      </c>
      <c r="AE45" s="331">
        <f t="shared" si="146"/>
        <v>0.39797079211825037</v>
      </c>
      <c r="AF45" s="331">
        <f t="shared" si="146"/>
        <v>0.41427035913322507</v>
      </c>
      <c r="AG45" s="331">
        <f t="shared" si="146"/>
        <v>0.42474877126063121</v>
      </c>
      <c r="AH45" s="331">
        <f t="shared" si="146"/>
        <v>0.40947719870536015</v>
      </c>
      <c r="AI45" s="331">
        <f t="shared" si="146"/>
        <v>0.40847738183127913</v>
      </c>
      <c r="AJ45" s="331">
        <f t="shared" si="146"/>
        <v>0.42010386218869439</v>
      </c>
      <c r="AK45" s="331">
        <f t="shared" si="146"/>
        <v>0.43167623644796405</v>
      </c>
      <c r="AL45" s="331">
        <f t="shared" si="146"/>
        <v>0.4168463874090666</v>
      </c>
      <c r="AM45" s="331">
        <f t="shared" si="146"/>
        <v>0.41830893772008432</v>
      </c>
      <c r="AN45" s="331">
        <f t="shared" si="146"/>
        <v>0.42519458125787468</v>
      </c>
      <c r="AO45" s="331">
        <f t="shared" si="146"/>
        <v>0.43796466339333162</v>
      </c>
      <c r="AP45" s="331">
        <f t="shared" si="146"/>
        <v>0.42358552164284669</v>
      </c>
      <c r="AQ45" s="331">
        <f t="shared" si="146"/>
        <v>0.42763584150550327</v>
      </c>
      <c r="AR45" s="331">
        <f t="shared" si="146"/>
        <v>0.42972524050051647</v>
      </c>
      <c r="AS45" s="331">
        <f t="shared" si="146"/>
        <v>0.44378409396120361</v>
      </c>
      <c r="AT45" s="331">
        <f t="shared" si="146"/>
        <v>0.42986243887500292</v>
      </c>
      <c r="AU45" s="331">
        <f t="shared" si="146"/>
        <v>0.43661746375605154</v>
      </c>
      <c r="AV45" s="331">
        <f t="shared" si="146"/>
        <v>0.43387111444540866</v>
      </c>
      <c r="AW45" s="331">
        <f t="shared" si="146"/>
        <v>0.44929592105087335</v>
      </c>
      <c r="AX45" s="331">
        <f t="shared" si="146"/>
        <v>0.43583612191659521</v>
      </c>
      <c r="AY45" s="331">
        <f t="shared" si="146"/>
        <v>0.44540091333977566</v>
      </c>
      <c r="AZ45" s="331">
        <f t="shared" si="146"/>
        <v>0.43779860717736513</v>
      </c>
      <c r="BA45" s="331">
        <f t="shared" si="146"/>
        <v>0.45465216857100532</v>
      </c>
      <c r="BB45" s="331">
        <f t="shared" si="146"/>
        <v>0.44165606387304401</v>
      </c>
      <c r="BC45" s="331">
        <f t="shared" si="146"/>
        <v>0.45411952488318341</v>
      </c>
      <c r="BD45" s="331">
        <f t="shared" si="146"/>
        <v>0.44166427159762006</v>
      </c>
      <c r="BE45" s="331">
        <f t="shared" si="146"/>
        <v>0.45999346585581979</v>
      </c>
      <c r="BF45" s="331">
        <f t="shared" si="146"/>
        <v>0.44746049257676029</v>
      </c>
      <c r="BG45" s="331">
        <f t="shared" si="146"/>
        <v>0.46289196355015655</v>
      </c>
      <c r="BH45" s="1"/>
      <c r="BI45" s="204"/>
      <c r="BJ45" s="204"/>
      <c r="BK45" s="204"/>
      <c r="BL45" s="204"/>
      <c r="BM45" s="1"/>
      <c r="BN45" s="375">
        <v>0.32440229915910201</v>
      </c>
      <c r="BO45" s="425">
        <f t="shared" si="2"/>
        <v>-1.1556121902820959E-2</v>
      </c>
      <c r="BP45" s="375">
        <v>0.3405869014091138</v>
      </c>
      <c r="BQ45" s="425">
        <f t="shared" si="2"/>
        <v>-3.3694807554510153E-3</v>
      </c>
    </row>
    <row r="46" spans="1:69" x14ac:dyDescent="0.25">
      <c r="A46" s="488"/>
      <c r="B46" s="489"/>
      <c r="C46" s="93"/>
      <c r="D46" s="2"/>
      <c r="E46" s="46"/>
      <c r="F46" s="2"/>
      <c r="G46" s="46"/>
      <c r="H46" s="2"/>
      <c r="I46" s="46"/>
      <c r="J46" s="2"/>
      <c r="K46" s="136"/>
      <c r="L46" s="2"/>
      <c r="M46" s="46"/>
      <c r="N46" s="46"/>
      <c r="O46" s="136"/>
      <c r="P46" s="2"/>
      <c r="Q46" s="2"/>
      <c r="R46" s="2"/>
      <c r="S46" s="136"/>
      <c r="T46" s="2"/>
      <c r="U46" s="2"/>
      <c r="V46" s="2"/>
      <c r="W46" s="2"/>
      <c r="X46" s="1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1"/>
      <c r="BI46" s="204"/>
      <c r="BJ46" s="204"/>
      <c r="BK46" s="204"/>
      <c r="BL46" s="204"/>
      <c r="BM46" s="1"/>
      <c r="BN46" s="384"/>
      <c r="BO46" s="434" t="str">
        <f t="shared" si="2"/>
        <v/>
      </c>
      <c r="BP46" s="384"/>
      <c r="BQ46" s="434" t="str">
        <f t="shared" si="2"/>
        <v/>
      </c>
    </row>
    <row r="47" spans="1:69" x14ac:dyDescent="0.25">
      <c r="A47" s="82"/>
      <c r="B47" s="95" t="s">
        <v>326</v>
      </c>
      <c r="C47" s="114"/>
      <c r="D47" s="1"/>
      <c r="E47" s="45"/>
      <c r="F47" s="1"/>
      <c r="G47" s="45"/>
      <c r="H47" s="1"/>
      <c r="I47" s="45"/>
      <c r="J47" s="1"/>
      <c r="K47" s="45"/>
      <c r="L47" s="1"/>
      <c r="M47" s="45"/>
      <c r="N47" s="45"/>
      <c r="O47" s="45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204"/>
      <c r="BJ47" s="204"/>
      <c r="BK47" s="204"/>
      <c r="BL47" s="204"/>
      <c r="BM47" s="1"/>
      <c r="BN47" s="364"/>
      <c r="BO47" s="414" t="str">
        <f t="shared" si="2"/>
        <v/>
      </c>
      <c r="BP47" s="364"/>
      <c r="BQ47" s="414" t="str">
        <f t="shared" si="2"/>
        <v/>
      </c>
    </row>
    <row r="48" spans="1:69" x14ac:dyDescent="0.25">
      <c r="A48" s="82" t="s">
        <v>327</v>
      </c>
      <c r="B48" s="100" t="s">
        <v>326</v>
      </c>
      <c r="C48" s="5" t="s">
        <v>298</v>
      </c>
      <c r="D48" s="175">
        <v>70056</v>
      </c>
      <c r="E48" s="175">
        <v>90839</v>
      </c>
      <c r="F48" s="175">
        <v>88721</v>
      </c>
      <c r="G48" s="175">
        <v>90907</v>
      </c>
      <c r="H48" s="175">
        <v>93173</v>
      </c>
      <c r="I48" s="175">
        <v>94545</v>
      </c>
      <c r="J48" s="175">
        <v>115518</v>
      </c>
      <c r="K48" s="175">
        <v>105324</v>
      </c>
      <c r="L48" s="175">
        <v>97640</v>
      </c>
      <c r="M48" s="175">
        <v>96903</v>
      </c>
      <c r="N48" s="175">
        <v>92706</v>
      </c>
      <c r="O48" s="175">
        <v>88878</v>
      </c>
      <c r="P48" s="175">
        <v>88948</v>
      </c>
      <c r="Q48" s="175">
        <v>92397</v>
      </c>
      <c r="R48" s="175">
        <v>92119</v>
      </c>
      <c r="S48" s="102">
        <f t="shared" ref="S48:BG48" si="147">S49*S10</f>
        <v>90730.525435362608</v>
      </c>
      <c r="T48" s="102">
        <f t="shared" si="147"/>
        <v>97935.833410628649</v>
      </c>
      <c r="U48" s="102">
        <f t="shared" si="147"/>
        <v>105121.06472013955</v>
      </c>
      <c r="V48" s="102">
        <f t="shared" si="147"/>
        <v>104402.23605825</v>
      </c>
      <c r="W48" s="102">
        <f t="shared" si="147"/>
        <v>103293.78698394276</v>
      </c>
      <c r="X48" s="102">
        <f t="shared" si="147"/>
        <v>111333.30515233662</v>
      </c>
      <c r="Y48" s="102">
        <f t="shared" si="147"/>
        <v>119414.94055028068</v>
      </c>
      <c r="Z48" s="102">
        <f t="shared" si="147"/>
        <v>118584.43877286</v>
      </c>
      <c r="AA48" s="102">
        <f t="shared" si="147"/>
        <v>117357.21691306906</v>
      </c>
      <c r="AB48" s="102">
        <f t="shared" si="147"/>
        <v>126630.91806879744</v>
      </c>
      <c r="AC48" s="102">
        <f t="shared" si="147"/>
        <v>135727.98725134807</v>
      </c>
      <c r="AD48" s="102">
        <f t="shared" si="147"/>
        <v>134770.85009754344</v>
      </c>
      <c r="AE48" s="102">
        <f t="shared" si="147"/>
        <v>133129.47054054338</v>
      </c>
      <c r="AF48" s="102">
        <f t="shared" si="147"/>
        <v>143014.22525204695</v>
      </c>
      <c r="AG48" s="102">
        <f t="shared" si="147"/>
        <v>153083.35602165072</v>
      </c>
      <c r="AH48" s="102">
        <f t="shared" si="147"/>
        <v>151903.3987464497</v>
      </c>
      <c r="AI48" s="102">
        <f t="shared" si="147"/>
        <v>150079.88143348307</v>
      </c>
      <c r="AJ48" s="102">
        <f t="shared" si="147"/>
        <v>161642.85918559934</v>
      </c>
      <c r="AK48" s="102">
        <f t="shared" si="147"/>
        <v>172796.2083025421</v>
      </c>
      <c r="AL48" s="102">
        <f t="shared" si="147"/>
        <v>171352.58534369638</v>
      </c>
      <c r="AM48" s="102">
        <f t="shared" si="147"/>
        <v>169328.64675003855</v>
      </c>
      <c r="AN48" s="102">
        <f t="shared" si="147"/>
        <v>182840.3125234266</v>
      </c>
      <c r="AO48" s="102">
        <f t="shared" si="147"/>
        <v>195204.38096547496</v>
      </c>
      <c r="AP48" s="102">
        <f t="shared" si="147"/>
        <v>193449.4832305556</v>
      </c>
      <c r="AQ48" s="102">
        <f t="shared" si="147"/>
        <v>191205.4498677204</v>
      </c>
      <c r="AR48" s="102">
        <f t="shared" si="147"/>
        <v>206978.7872213315</v>
      </c>
      <c r="AS48" s="102">
        <f t="shared" si="147"/>
        <v>220696.48828392863</v>
      </c>
      <c r="AT48" s="102">
        <f t="shared" si="147"/>
        <v>218574.89481962551</v>
      </c>
      <c r="AU48" s="102">
        <f t="shared" si="147"/>
        <v>216089.71330339968</v>
      </c>
      <c r="AV48" s="102">
        <f t="shared" si="147"/>
        <v>234486.82668318105</v>
      </c>
      <c r="AW48" s="102">
        <f t="shared" si="147"/>
        <v>249719.88880278147</v>
      </c>
      <c r="AX48" s="102">
        <f t="shared" si="147"/>
        <v>247167.16555352829</v>
      </c>
      <c r="AY48" s="102">
        <f t="shared" si="147"/>
        <v>244418.45204041564</v>
      </c>
      <c r="AZ48" s="102">
        <f t="shared" si="147"/>
        <v>265858.18827935687</v>
      </c>
      <c r="BA48" s="102">
        <f t="shared" si="147"/>
        <v>282789.95197557146</v>
      </c>
      <c r="BB48" s="102">
        <f t="shared" si="147"/>
        <v>279731.27695669699</v>
      </c>
      <c r="BC48" s="102">
        <f t="shared" si="147"/>
        <v>276695.41876383073</v>
      </c>
      <c r="BD48" s="102">
        <f t="shared" si="147"/>
        <v>301662.16473468434</v>
      </c>
      <c r="BE48" s="102">
        <f t="shared" si="147"/>
        <v>320500.84428152605</v>
      </c>
      <c r="BF48" s="102">
        <f t="shared" si="147"/>
        <v>316849.4360261687</v>
      </c>
      <c r="BG48" s="102">
        <f t="shared" si="147"/>
        <v>313501.76147832355</v>
      </c>
      <c r="BH48" s="1"/>
      <c r="BI48" s="204"/>
      <c r="BJ48" s="204"/>
      <c r="BK48" s="204"/>
      <c r="BL48" s="204"/>
      <c r="BM48" s="1"/>
      <c r="BN48" s="372">
        <v>104712.77186518343</v>
      </c>
      <c r="BO48" s="422">
        <f t="shared" si="2"/>
        <v>-12593.771865183429</v>
      </c>
      <c r="BP48" s="372">
        <v>106708.23799447746</v>
      </c>
      <c r="BQ48" s="422">
        <f t="shared" si="2"/>
        <v>-15977.712559114851</v>
      </c>
    </row>
    <row r="49" spans="1:69" x14ac:dyDescent="0.25">
      <c r="A49" s="82"/>
      <c r="B49" s="92" t="s">
        <v>328</v>
      </c>
      <c r="C49" s="93" t="s">
        <v>7</v>
      </c>
      <c r="D49" s="62">
        <v>1.7999999999999999E-2</v>
      </c>
      <c r="E49" s="136">
        <v>2.1000000000000001E-2</v>
      </c>
      <c r="F49" s="62">
        <v>0.02</v>
      </c>
      <c r="G49" s="136">
        <v>0.02</v>
      </c>
      <c r="H49" s="62">
        <v>1.9E-2</v>
      </c>
      <c r="I49" s="136">
        <v>1.7000000000000001E-2</v>
      </c>
      <c r="J49" s="62">
        <v>2.1000000000000001E-2</v>
      </c>
      <c r="K49" s="136">
        <v>1.7999999999999999E-2</v>
      </c>
      <c r="L49" s="62">
        <v>1.6E-2</v>
      </c>
      <c r="M49" s="136">
        <v>1.6E-2</v>
      </c>
      <c r="N49" s="330">
        <f t="shared" ref="N49:P49" si="148">N48/N$10</f>
        <v>1.5513568808599885E-2</v>
      </c>
      <c r="O49" s="330">
        <f t="shared" si="148"/>
        <v>1.4733046213705921E-2</v>
      </c>
      <c r="P49" s="330">
        <f t="shared" si="148"/>
        <v>1.541080107474346E-2</v>
      </c>
      <c r="Q49" s="330">
        <f>Q48/Q$10</f>
        <v>1.5260988722853263E-2</v>
      </c>
      <c r="R49" s="330">
        <f>R48/R$10</f>
        <v>1.506454997520831E-2</v>
      </c>
      <c r="S49" s="159">
        <v>1.4999999999999999E-2</v>
      </c>
      <c r="T49" s="159">
        <v>1.4999999999999999E-2</v>
      </c>
      <c r="U49" s="159">
        <v>1.4999999999999999E-2</v>
      </c>
      <c r="V49" s="159">
        <v>1.4999999999999999E-2</v>
      </c>
      <c r="W49" s="159">
        <v>1.4999999999999999E-2</v>
      </c>
      <c r="X49" s="159">
        <v>1.4999999999999999E-2</v>
      </c>
      <c r="Y49" s="159">
        <v>1.4999999999999999E-2</v>
      </c>
      <c r="Z49" s="159">
        <v>1.4999999999999999E-2</v>
      </c>
      <c r="AA49" s="159">
        <v>1.4999999999999999E-2</v>
      </c>
      <c r="AB49" s="159">
        <v>1.4999999999999999E-2</v>
      </c>
      <c r="AC49" s="159">
        <v>1.4999999999999999E-2</v>
      </c>
      <c r="AD49" s="159">
        <v>1.4999999999999999E-2</v>
      </c>
      <c r="AE49" s="159">
        <v>1.4999999999999999E-2</v>
      </c>
      <c r="AF49" s="159">
        <v>1.4999999999999999E-2</v>
      </c>
      <c r="AG49" s="159">
        <v>1.4999999999999999E-2</v>
      </c>
      <c r="AH49" s="159">
        <v>1.4999999999999999E-2</v>
      </c>
      <c r="AI49" s="159">
        <v>1.4999999999999999E-2</v>
      </c>
      <c r="AJ49" s="159">
        <v>1.4999999999999999E-2</v>
      </c>
      <c r="AK49" s="159">
        <v>1.4999999999999999E-2</v>
      </c>
      <c r="AL49" s="159">
        <v>1.4999999999999999E-2</v>
      </c>
      <c r="AM49" s="159">
        <v>1.4999999999999999E-2</v>
      </c>
      <c r="AN49" s="159">
        <v>1.4999999999999999E-2</v>
      </c>
      <c r="AO49" s="159">
        <v>1.4999999999999999E-2</v>
      </c>
      <c r="AP49" s="159">
        <v>1.4999999999999999E-2</v>
      </c>
      <c r="AQ49" s="159">
        <v>1.4999999999999999E-2</v>
      </c>
      <c r="AR49" s="159">
        <v>1.4999999999999999E-2</v>
      </c>
      <c r="AS49" s="159">
        <v>1.4999999999999999E-2</v>
      </c>
      <c r="AT49" s="159">
        <v>1.4999999999999999E-2</v>
      </c>
      <c r="AU49" s="159">
        <v>1.4999999999999999E-2</v>
      </c>
      <c r="AV49" s="159">
        <v>1.4999999999999999E-2</v>
      </c>
      <c r="AW49" s="159">
        <v>1.4999999999999999E-2</v>
      </c>
      <c r="AX49" s="159">
        <v>1.4999999999999999E-2</v>
      </c>
      <c r="AY49" s="159">
        <v>1.4999999999999999E-2</v>
      </c>
      <c r="AZ49" s="159">
        <v>1.4999999999999999E-2</v>
      </c>
      <c r="BA49" s="159">
        <v>1.4999999999999999E-2</v>
      </c>
      <c r="BB49" s="159">
        <v>1.4999999999999999E-2</v>
      </c>
      <c r="BC49" s="159">
        <v>1.4999999999999999E-2</v>
      </c>
      <c r="BD49" s="159">
        <v>1.4999999999999999E-2</v>
      </c>
      <c r="BE49" s="159">
        <v>1.4999999999999999E-2</v>
      </c>
      <c r="BF49" s="159">
        <v>1.4999999999999999E-2</v>
      </c>
      <c r="BG49" s="159">
        <v>1.4999999999999999E-2</v>
      </c>
      <c r="BH49" s="1"/>
      <c r="BI49" s="204"/>
      <c r="BJ49" s="204"/>
      <c r="BK49" s="204"/>
      <c r="BL49" s="204"/>
      <c r="BM49" s="1"/>
      <c r="BN49" s="385">
        <v>1.4999999999999999E-2</v>
      </c>
      <c r="BO49" s="435">
        <f t="shared" si="2"/>
        <v>6.4549975208310489E-5</v>
      </c>
      <c r="BP49" s="385">
        <v>1.4999999999999999E-2</v>
      </c>
      <c r="BQ49" s="435">
        <f t="shared" si="2"/>
        <v>0</v>
      </c>
    </row>
    <row r="50" spans="1:69" x14ac:dyDescent="0.25">
      <c r="A50" s="488"/>
      <c r="B50" s="489"/>
      <c r="C50" s="93"/>
      <c r="D50" s="2"/>
      <c r="E50" s="46"/>
      <c r="F50" s="2"/>
      <c r="G50" s="46"/>
      <c r="H50" s="2"/>
      <c r="I50" s="46"/>
      <c r="J50" s="2"/>
      <c r="K50" s="46"/>
      <c r="L50" s="2"/>
      <c r="M50" s="46"/>
      <c r="N50" s="46"/>
      <c r="O50" s="46"/>
      <c r="P50" s="2"/>
      <c r="Q50" s="2"/>
      <c r="R50" s="2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1"/>
      <c r="BI50" s="204"/>
      <c r="BJ50" s="204"/>
      <c r="BK50" s="204"/>
      <c r="BL50" s="204"/>
      <c r="BM50" s="1"/>
      <c r="BN50" s="367"/>
      <c r="BO50" s="417" t="str">
        <f t="shared" si="2"/>
        <v/>
      </c>
      <c r="BP50" s="367"/>
      <c r="BQ50" s="417" t="str">
        <f t="shared" si="2"/>
        <v/>
      </c>
    </row>
    <row r="51" spans="1:69" x14ac:dyDescent="0.25">
      <c r="A51" s="82"/>
      <c r="B51" s="95" t="s">
        <v>80</v>
      </c>
      <c r="C51" s="114"/>
      <c r="D51" s="46"/>
      <c r="E51" s="46"/>
      <c r="F51" s="46"/>
      <c r="G51" s="46"/>
      <c r="H51" s="46"/>
      <c r="I51" s="46"/>
      <c r="J51" s="46"/>
      <c r="K51" s="46"/>
      <c r="L51" s="97"/>
      <c r="M51" s="97"/>
      <c r="N51" s="97"/>
      <c r="O51" s="97"/>
      <c r="P51" s="97"/>
      <c r="Q51" s="97"/>
      <c r="R51" s="97"/>
      <c r="S51" s="46"/>
      <c r="T51" s="46"/>
      <c r="U51" s="46"/>
      <c r="V51" s="46"/>
      <c r="W51" s="46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204"/>
      <c r="BJ51" s="204"/>
      <c r="BK51" s="204"/>
      <c r="BL51" s="204"/>
      <c r="BM51" s="1"/>
      <c r="BN51" s="367"/>
      <c r="BO51" s="417" t="str">
        <f t="shared" si="2"/>
        <v/>
      </c>
      <c r="BP51" s="367"/>
      <c r="BQ51" s="417" t="str">
        <f t="shared" si="2"/>
        <v/>
      </c>
    </row>
    <row r="52" spans="1:69" x14ac:dyDescent="0.25">
      <c r="A52" s="82" t="s">
        <v>330</v>
      </c>
      <c r="B52" s="92" t="s">
        <v>331</v>
      </c>
      <c r="C52" s="93" t="s">
        <v>298</v>
      </c>
      <c r="D52" s="108">
        <v>275314</v>
      </c>
      <c r="E52" s="108">
        <v>256499</v>
      </c>
      <c r="F52" s="108">
        <v>262629</v>
      </c>
      <c r="G52" s="108">
        <v>274353</v>
      </c>
      <c r="H52" s="108">
        <v>279449</v>
      </c>
      <c r="I52" s="108">
        <v>319106</v>
      </c>
      <c r="J52" s="108">
        <v>345547</v>
      </c>
      <c r="K52" s="108">
        <v>331394</v>
      </c>
      <c r="L52" s="97">
        <v>304358</v>
      </c>
      <c r="M52" s="97">
        <v>320187</v>
      </c>
      <c r="N52" s="97">
        <v>324055</v>
      </c>
      <c r="O52" s="97">
        <v>315532</v>
      </c>
      <c r="P52" s="97">
        <v>304730</v>
      </c>
      <c r="Q52" s="97">
        <f>-Q27</f>
        <v>297246</v>
      </c>
      <c r="R52" s="97">
        <f>-R27</f>
        <v>307721</v>
      </c>
      <c r="S52" s="97">
        <f t="shared" ref="S52:BG52" si="149">-S27</f>
        <v>307721</v>
      </c>
      <c r="T52" s="97">
        <f t="shared" si="149"/>
        <v>371311.2223534392</v>
      </c>
      <c r="U52" s="97">
        <f t="shared" si="149"/>
        <v>344446.68681452447</v>
      </c>
      <c r="V52" s="97">
        <f t="shared" si="149"/>
        <v>334764.74688630796</v>
      </c>
      <c r="W52" s="97">
        <f t="shared" si="149"/>
        <v>346721.47083510557</v>
      </c>
      <c r="X52" s="97">
        <f t="shared" si="149"/>
        <v>422122.06288766855</v>
      </c>
      <c r="Y52" s="97">
        <f t="shared" si="149"/>
        <v>391491.33322106075</v>
      </c>
      <c r="Z52" s="97">
        <f t="shared" si="149"/>
        <v>380488.18009531318</v>
      </c>
      <c r="AA52" s="97">
        <f t="shared" si="149"/>
        <v>394542.54571077361</v>
      </c>
      <c r="AB52" s="97">
        <f t="shared" si="149"/>
        <v>480847.66789667238</v>
      </c>
      <c r="AC52" s="97">
        <f t="shared" si="149"/>
        <v>444499.00330646028</v>
      </c>
      <c r="AD52" s="97">
        <f t="shared" si="149"/>
        <v>430830.6485788998</v>
      </c>
      <c r="AE52" s="97">
        <f t="shared" si="149"/>
        <v>445533.11723047402</v>
      </c>
      <c r="AF52" s="97">
        <f t="shared" si="149"/>
        <v>542963.29997680197</v>
      </c>
      <c r="AG52" s="97">
        <f t="shared" si="149"/>
        <v>501399.26207980106</v>
      </c>
      <c r="AH52" s="97">
        <f t="shared" si="149"/>
        <v>485746.24041123962</v>
      </c>
      <c r="AI52" s="97">
        <f t="shared" si="149"/>
        <v>502680.02890777914</v>
      </c>
      <c r="AJ52" s="97">
        <f t="shared" si="149"/>
        <v>615056.31222490617</v>
      </c>
      <c r="AK52" s="97">
        <f t="shared" si="149"/>
        <v>567308.32948077354</v>
      </c>
      <c r="AL52" s="97">
        <f t="shared" si="149"/>
        <v>549301.07983715367</v>
      </c>
      <c r="AM52" s="97">
        <f t="shared" si="149"/>
        <v>568819.09888639697</v>
      </c>
      <c r="AN52" s="97">
        <f t="shared" si="149"/>
        <v>698804.83316252066</v>
      </c>
      <c r="AO52" s="97">
        <f t="shared" si="149"/>
        <v>643725.31860632554</v>
      </c>
      <c r="AP52" s="97">
        <f t="shared" si="149"/>
        <v>622926.63650620449</v>
      </c>
      <c r="AQ52" s="97">
        <f t="shared" si="149"/>
        <v>645440.50232463365</v>
      </c>
      <c r="AR52" s="97">
        <f t="shared" si="149"/>
        <v>796171.41855585075</v>
      </c>
      <c r="AS52" s="97">
        <f t="shared" si="149"/>
        <v>732401.8563161745</v>
      </c>
      <c r="AT52" s="97">
        <f t="shared" si="149"/>
        <v>708295.07137163205</v>
      </c>
      <c r="AU52" s="97">
        <f t="shared" si="149"/>
        <v>734285.3387112479</v>
      </c>
      <c r="AV52" s="97">
        <f t="shared" si="149"/>
        <v>909451.54969235614</v>
      </c>
      <c r="AW52" s="97">
        <f t="shared" si="149"/>
        <v>835385.03953241254</v>
      </c>
      <c r="AX52" s="97">
        <f t="shared" si="149"/>
        <v>807360.20539758576</v>
      </c>
      <c r="AY52" s="97">
        <f t="shared" si="149"/>
        <v>837388.454653183</v>
      </c>
      <c r="AZ52" s="97">
        <f t="shared" si="149"/>
        <v>1041330.488873341</v>
      </c>
      <c r="BA52" s="97">
        <f t="shared" si="149"/>
        <v>955067.79998702509</v>
      </c>
      <c r="BB52" s="97">
        <f t="shared" si="149"/>
        <v>922405.57299299666</v>
      </c>
      <c r="BC52" s="97">
        <f t="shared" si="149"/>
        <v>957128.69747542194</v>
      </c>
      <c r="BD52" s="97">
        <f t="shared" si="149"/>
        <v>1194949.9538320531</v>
      </c>
      <c r="BE52" s="97">
        <f t="shared" si="149"/>
        <v>1094247.9774122639</v>
      </c>
      <c r="BF52" s="97">
        <f t="shared" si="149"/>
        <v>1056100.8088714704</v>
      </c>
      <c r="BG52" s="97">
        <f t="shared" si="149"/>
        <v>1096287.9143467324</v>
      </c>
      <c r="BH52" s="1"/>
      <c r="BI52" s="204"/>
      <c r="BJ52" s="204"/>
      <c r="BK52" s="204"/>
      <c r="BL52" s="204"/>
      <c r="BM52" s="1"/>
      <c r="BN52" s="370">
        <v>297246</v>
      </c>
      <c r="BO52" s="420">
        <f t="shared" si="2"/>
        <v>10475</v>
      </c>
      <c r="BP52" s="370">
        <v>297246</v>
      </c>
      <c r="BQ52" s="420">
        <f t="shared" si="2"/>
        <v>10475</v>
      </c>
    </row>
    <row r="53" spans="1:69" x14ac:dyDescent="0.25">
      <c r="A53" s="82" t="s">
        <v>332</v>
      </c>
      <c r="B53" s="92" t="s">
        <v>333</v>
      </c>
      <c r="C53" s="93"/>
      <c r="D53" s="108">
        <v>-42133</v>
      </c>
      <c r="E53" s="108">
        <v>-57288</v>
      </c>
      <c r="F53" s="108">
        <v>-55867</v>
      </c>
      <c r="G53" s="108">
        <v>-53664</v>
      </c>
      <c r="H53" s="108">
        <v>-55595</v>
      </c>
      <c r="I53" s="108">
        <v>-55257</v>
      </c>
      <c r="J53" s="108">
        <v>-74845</v>
      </c>
      <c r="K53" s="108">
        <v>-61176</v>
      </c>
      <c r="L53" s="108">
        <v>-61309</v>
      </c>
      <c r="M53" s="108">
        <v>-58402</v>
      </c>
      <c r="N53" s="108">
        <v>-53207</v>
      </c>
      <c r="O53" s="108">
        <v>-50154</v>
      </c>
      <c r="P53" s="108">
        <v>-48330</v>
      </c>
      <c r="Q53" s="108">
        <v>-48295</v>
      </c>
      <c r="R53" s="108">
        <v>-47990</v>
      </c>
      <c r="S53" s="174">
        <v>-48895</v>
      </c>
      <c r="T53" s="174">
        <v>-49198</v>
      </c>
      <c r="U53" s="174">
        <v>-49502</v>
      </c>
      <c r="V53" s="174">
        <v>-49809</v>
      </c>
      <c r="W53" s="174">
        <v>-50117</v>
      </c>
      <c r="X53" s="174">
        <v>-50428</v>
      </c>
      <c r="Y53" s="174">
        <v>-50740</v>
      </c>
      <c r="Z53" s="174">
        <v>-51054</v>
      </c>
      <c r="AA53" s="174">
        <v>-51370</v>
      </c>
      <c r="AB53" s="174">
        <v>-51688</v>
      </c>
      <c r="AC53" s="174">
        <v>-52008</v>
      </c>
      <c r="AD53" s="174">
        <v>-52330</v>
      </c>
      <c r="AE53" s="174">
        <v>-52655</v>
      </c>
      <c r="AF53" s="174">
        <v>-52981</v>
      </c>
      <c r="AG53" s="174">
        <v>-53309</v>
      </c>
      <c r="AH53" s="174">
        <v>-53639</v>
      </c>
      <c r="AI53" s="174">
        <v>-53971</v>
      </c>
      <c r="AJ53" s="174">
        <v>-54305</v>
      </c>
      <c r="AK53" s="174">
        <v>-54641</v>
      </c>
      <c r="AL53" s="174">
        <v>-54980</v>
      </c>
      <c r="AM53" s="174">
        <v>-55320</v>
      </c>
      <c r="AN53" s="174">
        <v>-55663</v>
      </c>
      <c r="AO53" s="174">
        <v>-56007</v>
      </c>
      <c r="AP53" s="174">
        <v>-56354</v>
      </c>
      <c r="AQ53" s="174">
        <v>-56703</v>
      </c>
      <c r="AR53" s="174">
        <v>-57054</v>
      </c>
      <c r="AS53" s="174">
        <v>-57408</v>
      </c>
      <c r="AT53" s="174">
        <v>-57763</v>
      </c>
      <c r="AU53" s="174">
        <v>-58121</v>
      </c>
      <c r="AV53" s="174">
        <v>-58481</v>
      </c>
      <c r="AW53" s="174">
        <v>-58843</v>
      </c>
      <c r="AX53" s="174">
        <v>-59207</v>
      </c>
      <c r="AY53" s="174">
        <v>-59574</v>
      </c>
      <c r="AZ53" s="174">
        <v>-59943</v>
      </c>
      <c r="BA53" s="174">
        <v>-60314</v>
      </c>
      <c r="BB53" s="174">
        <v>-60687</v>
      </c>
      <c r="BC53" s="174">
        <v>-61063</v>
      </c>
      <c r="BD53" s="174">
        <v>-61441</v>
      </c>
      <c r="BE53" s="174">
        <v>-61822</v>
      </c>
      <c r="BF53" s="174">
        <v>-62204</v>
      </c>
      <c r="BG53" s="174">
        <v>-62590</v>
      </c>
      <c r="BH53" s="1"/>
      <c r="BI53" s="204"/>
      <c r="BJ53" s="204"/>
      <c r="BK53" s="204"/>
      <c r="BL53" s="204"/>
      <c r="BM53" s="1"/>
      <c r="BN53" s="378">
        <v>-48594</v>
      </c>
      <c r="BO53" s="428">
        <f t="shared" si="2"/>
        <v>604</v>
      </c>
      <c r="BP53" s="378">
        <v>-48895</v>
      </c>
      <c r="BQ53" s="428">
        <f t="shared" si="2"/>
        <v>0</v>
      </c>
    </row>
    <row r="54" spans="1:69" x14ac:dyDescent="0.25">
      <c r="A54" s="82" t="s">
        <v>334</v>
      </c>
      <c r="B54" s="92" t="s">
        <v>320</v>
      </c>
      <c r="C54" s="114"/>
      <c r="D54" s="97">
        <v>-65622</v>
      </c>
      <c r="E54" s="46">
        <v>749</v>
      </c>
      <c r="F54" s="46">
        <v>-290</v>
      </c>
      <c r="G54" s="97">
        <v>1169</v>
      </c>
      <c r="H54" s="46">
        <v>366</v>
      </c>
      <c r="I54" s="46">
        <v>509</v>
      </c>
      <c r="J54" s="97">
        <v>1519</v>
      </c>
      <c r="K54" s="97">
        <v>1492</v>
      </c>
      <c r="L54" s="46">
        <v>121</v>
      </c>
      <c r="M54" s="97">
        <v>1670</v>
      </c>
      <c r="N54" s="46">
        <v>400</v>
      </c>
      <c r="O54" s="46">
        <v>863</v>
      </c>
      <c r="P54" s="97">
        <f>P42-P48-P52-P53-P55</f>
        <v>1177</v>
      </c>
      <c r="Q54" s="97">
        <f>Q42-Q48-Q52-Q53-Q55</f>
        <v>505</v>
      </c>
      <c r="R54" s="97">
        <f>R42-R48-R52-R53-R55</f>
        <v>626</v>
      </c>
      <c r="S54" s="132">
        <v>511</v>
      </c>
      <c r="T54" s="132">
        <v>514</v>
      </c>
      <c r="U54" s="132">
        <v>518</v>
      </c>
      <c r="V54" s="132">
        <v>521</v>
      </c>
      <c r="W54" s="132">
        <v>524</v>
      </c>
      <c r="X54" s="132">
        <v>527</v>
      </c>
      <c r="Y54" s="132">
        <v>531</v>
      </c>
      <c r="Z54" s="132">
        <v>534</v>
      </c>
      <c r="AA54" s="132">
        <v>537</v>
      </c>
      <c r="AB54" s="132">
        <v>540</v>
      </c>
      <c r="AC54" s="132">
        <v>544</v>
      </c>
      <c r="AD54" s="132">
        <v>547</v>
      </c>
      <c r="AE54" s="132">
        <v>551</v>
      </c>
      <c r="AF54" s="132">
        <v>554</v>
      </c>
      <c r="AG54" s="132">
        <v>557</v>
      </c>
      <c r="AH54" s="132">
        <v>561</v>
      </c>
      <c r="AI54" s="132">
        <v>564</v>
      </c>
      <c r="AJ54" s="132">
        <v>568</v>
      </c>
      <c r="AK54" s="132">
        <v>571</v>
      </c>
      <c r="AL54" s="132">
        <v>575</v>
      </c>
      <c r="AM54" s="132">
        <v>578</v>
      </c>
      <c r="AN54" s="132">
        <v>582</v>
      </c>
      <c r="AO54" s="132">
        <v>586</v>
      </c>
      <c r="AP54" s="132">
        <v>589</v>
      </c>
      <c r="AQ54" s="132">
        <v>593</v>
      </c>
      <c r="AR54" s="132">
        <v>597</v>
      </c>
      <c r="AS54" s="132">
        <v>600</v>
      </c>
      <c r="AT54" s="132">
        <v>604</v>
      </c>
      <c r="AU54" s="132">
        <v>608</v>
      </c>
      <c r="AV54" s="132">
        <v>612</v>
      </c>
      <c r="AW54" s="132">
        <v>615</v>
      </c>
      <c r="AX54" s="132">
        <v>619</v>
      </c>
      <c r="AY54" s="132">
        <v>623</v>
      </c>
      <c r="AZ54" s="132">
        <v>627</v>
      </c>
      <c r="BA54" s="132">
        <v>631</v>
      </c>
      <c r="BB54" s="132">
        <v>635</v>
      </c>
      <c r="BC54" s="132">
        <v>639</v>
      </c>
      <c r="BD54" s="132">
        <v>642</v>
      </c>
      <c r="BE54" s="132">
        <v>646</v>
      </c>
      <c r="BF54" s="132">
        <v>650</v>
      </c>
      <c r="BG54" s="132">
        <v>654</v>
      </c>
      <c r="BH54" s="1"/>
      <c r="BI54" s="204"/>
      <c r="BJ54" s="204"/>
      <c r="BK54" s="204"/>
      <c r="BL54" s="204"/>
      <c r="BM54" s="1"/>
      <c r="BN54" s="386">
        <v>508</v>
      </c>
      <c r="BO54" s="436">
        <f t="shared" si="2"/>
        <v>118</v>
      </c>
      <c r="BP54" s="386">
        <v>511</v>
      </c>
      <c r="BQ54" s="436">
        <f t="shared" si="2"/>
        <v>0</v>
      </c>
    </row>
    <row r="55" spans="1:69" x14ac:dyDescent="0.25">
      <c r="A55" s="82" t="s">
        <v>61</v>
      </c>
      <c r="B55" s="100" t="s">
        <v>335</v>
      </c>
      <c r="C55" s="5" t="s">
        <v>298</v>
      </c>
      <c r="D55" s="175">
        <v>-42254</v>
      </c>
      <c r="E55" s="175">
        <v>-103457</v>
      </c>
      <c r="F55" s="175">
        <v>32167</v>
      </c>
      <c r="G55" s="175">
        <v>-31864</v>
      </c>
      <c r="H55" s="175">
        <v>50974</v>
      </c>
      <c r="I55" s="175">
        <v>25499</v>
      </c>
      <c r="J55" s="175">
        <v>89749</v>
      </c>
      <c r="K55" s="175">
        <v>185129</v>
      </c>
      <c r="L55" s="175">
        <v>364264</v>
      </c>
      <c r="M55" s="175">
        <v>399118</v>
      </c>
      <c r="N55" s="175">
        <v>443518</v>
      </c>
      <c r="O55" s="175">
        <v>401890</v>
      </c>
      <c r="P55" s="175">
        <v>466269</v>
      </c>
      <c r="Q55" s="175">
        <v>549569</v>
      </c>
      <c r="R55" s="175">
        <v>480186</v>
      </c>
      <c r="S55" s="102">
        <f t="shared" ref="S55:BG55" si="150">S42-S48-S52-S53-S54</f>
        <v>605699.6483748426</v>
      </c>
      <c r="T55" s="102">
        <f t="shared" si="150"/>
        <v>660632.73160407471</v>
      </c>
      <c r="U55" s="102">
        <f t="shared" si="150"/>
        <v>795263.29442267865</v>
      </c>
      <c r="V55" s="102">
        <f t="shared" si="150"/>
        <v>774029.64398773515</v>
      </c>
      <c r="W55" s="102">
        <f t="shared" si="150"/>
        <v>818779.36182941752</v>
      </c>
      <c r="X55" s="102">
        <f t="shared" si="150"/>
        <v>846210.44982708362</v>
      </c>
      <c r="Y55" s="102">
        <f t="shared" si="150"/>
        <v>1006200.8214793121</v>
      </c>
      <c r="Z55" s="102">
        <f t="shared" si="150"/>
        <v>985758.67713295203</v>
      </c>
      <c r="AA55" s="102">
        <f t="shared" si="150"/>
        <v>1050049.5637166547</v>
      </c>
      <c r="AB55" s="102">
        <f t="shared" si="150"/>
        <v>1050895.4150267553</v>
      </c>
      <c r="AC55" s="102">
        <f t="shared" si="150"/>
        <v>1230931.9689552733</v>
      </c>
      <c r="AD55" s="102">
        <f t="shared" si="150"/>
        <v>1198758.1623839242</v>
      </c>
      <c r="AE55" s="102">
        <f t="shared" si="150"/>
        <v>1270647.3246686517</v>
      </c>
      <c r="AF55" s="102">
        <f t="shared" si="150"/>
        <v>1232723.1561432045</v>
      </c>
      <c r="AG55" s="102">
        <f t="shared" si="150"/>
        <v>1447311.0912017501</v>
      </c>
      <c r="AH55" s="102">
        <f t="shared" si="150"/>
        <v>1412928.581428536</v>
      </c>
      <c r="AI55" s="102">
        <f t="shared" si="150"/>
        <v>1518926.9587266271</v>
      </c>
      <c r="AJ55" s="102">
        <f t="shared" si="150"/>
        <v>1442615.0962237066</v>
      </c>
      <c r="AK55" s="102">
        <f t="shared" si="150"/>
        <v>1699147.1556534779</v>
      </c>
      <c r="AL55" s="102">
        <f t="shared" si="150"/>
        <v>1662583.6234259726</v>
      </c>
      <c r="AM55" s="102">
        <f t="shared" si="150"/>
        <v>1812981.3013271743</v>
      </c>
      <c r="AN55" s="102">
        <f t="shared" si="150"/>
        <v>1686148.7710527843</v>
      </c>
      <c r="AO55" s="102">
        <f t="shared" si="150"/>
        <v>1993674.3237546831</v>
      </c>
      <c r="AP55" s="102">
        <f t="shared" si="150"/>
        <v>1955006.1597958584</v>
      </c>
      <c r="AQ55" s="102">
        <f t="shared" si="150"/>
        <v>2162892.7095629764</v>
      </c>
      <c r="AR55" s="102">
        <f t="shared" si="150"/>
        <v>1970272.1017973423</v>
      </c>
      <c r="AS55" s="102">
        <f t="shared" si="150"/>
        <v>2339881.1322101168</v>
      </c>
      <c r="AT55" s="102">
        <f t="shared" si="150"/>
        <v>2299247.4037035429</v>
      </c>
      <c r="AU55" s="102">
        <f t="shared" si="150"/>
        <v>2581243.0939049865</v>
      </c>
      <c r="AV55" s="102">
        <f t="shared" si="150"/>
        <v>2303677.6694118571</v>
      </c>
      <c r="AW55" s="102">
        <f t="shared" si="150"/>
        <v>2748952.7703489196</v>
      </c>
      <c r="AX55" s="102">
        <f t="shared" si="150"/>
        <v>2706575.6396240918</v>
      </c>
      <c r="AY55" s="102">
        <f t="shared" si="150"/>
        <v>3083754.6071885326</v>
      </c>
      <c r="AZ55" s="102">
        <f t="shared" si="150"/>
        <v>2697249.8738243179</v>
      </c>
      <c r="BA55" s="102">
        <f t="shared" si="150"/>
        <v>3234858.9590946678</v>
      </c>
      <c r="BB55" s="102">
        <f t="shared" si="150"/>
        <v>3191054.9317006306</v>
      </c>
      <c r="BC55" s="102">
        <f t="shared" si="150"/>
        <v>3690096.0876460047</v>
      </c>
      <c r="BD55" s="102">
        <f t="shared" si="150"/>
        <v>3164659.3556795572</v>
      </c>
      <c r="BE55" s="102">
        <f t="shared" si="150"/>
        <v>3815056.7493410241</v>
      </c>
      <c r="BF55" s="102">
        <f t="shared" si="150"/>
        <v>3770263.1738089016</v>
      </c>
      <c r="BG55" s="102">
        <f t="shared" si="150"/>
        <v>4424906.6934622293</v>
      </c>
      <c r="BH55" s="1"/>
      <c r="BI55" s="204"/>
      <c r="BJ55" s="204"/>
      <c r="BK55" s="204"/>
      <c r="BL55" s="204"/>
      <c r="BM55" s="1"/>
      <c r="BN55" s="372">
        <v>497672.82354368106</v>
      </c>
      <c r="BO55" s="422">
        <f t="shared" si="2"/>
        <v>-17486.823543681065</v>
      </c>
      <c r="BP55" s="372">
        <v>587624.76604910137</v>
      </c>
      <c r="BQ55" s="422">
        <f t="shared" si="2"/>
        <v>18074.88232574123</v>
      </c>
    </row>
    <row r="56" spans="1:69" x14ac:dyDescent="0.25">
      <c r="A56" s="82"/>
      <c r="B56" s="92" t="s">
        <v>299</v>
      </c>
      <c r="C56" s="93" t="s">
        <v>300</v>
      </c>
      <c r="D56" s="2"/>
      <c r="E56" s="46"/>
      <c r="F56" s="2"/>
      <c r="G56" s="46"/>
      <c r="H56" s="50">
        <v>-2.21</v>
      </c>
      <c r="I56" s="50">
        <v>-1.25</v>
      </c>
      <c r="J56" s="50">
        <v>1.79</v>
      </c>
      <c r="K56" s="50">
        <v>-6.81</v>
      </c>
      <c r="L56" s="50">
        <v>6.15</v>
      </c>
      <c r="M56" s="50">
        <v>14.65</v>
      </c>
      <c r="N56" s="50">
        <v>3.94</v>
      </c>
      <c r="O56" s="50">
        <v>1.17</v>
      </c>
      <c r="P56" s="50">
        <v>0.28000000000000003</v>
      </c>
      <c r="Q56" s="330">
        <f>Q55/M55-1</f>
        <v>0.37695869392009373</v>
      </c>
      <c r="R56" s="330">
        <f>R55/N55-1</f>
        <v>8.2675336739433281E-2</v>
      </c>
      <c r="S56" s="330">
        <f>S55/O55-1</f>
        <v>0.50712794141392559</v>
      </c>
      <c r="T56" s="330">
        <f t="shared" ref="T56:BG56" si="151">T55/P55-1</f>
        <v>0.41684892541445961</v>
      </c>
      <c r="U56" s="330">
        <f t="shared" si="151"/>
        <v>0.44706723709430229</v>
      </c>
      <c r="V56" s="330">
        <f t="shared" si="151"/>
        <v>0.61193713266887229</v>
      </c>
      <c r="W56" s="330">
        <f t="shared" si="151"/>
        <v>0.35179104697565999</v>
      </c>
      <c r="X56" s="330">
        <f t="shared" si="151"/>
        <v>0.28090905785489895</v>
      </c>
      <c r="Y56" s="330">
        <f t="shared" si="151"/>
        <v>0.26524237763263492</v>
      </c>
      <c r="Z56" s="330">
        <f t="shared" si="151"/>
        <v>0.27354124585514161</v>
      </c>
      <c r="AA56" s="330">
        <f t="shared" si="151"/>
        <v>0.28245729273207965</v>
      </c>
      <c r="AB56" s="330">
        <f t="shared" si="151"/>
        <v>0.2418842325115429</v>
      </c>
      <c r="AC56" s="330">
        <f t="shared" si="151"/>
        <v>0.22334621745345262</v>
      </c>
      <c r="AD56" s="330">
        <f t="shared" si="151"/>
        <v>0.21607670334738982</v>
      </c>
      <c r="AE56" s="330">
        <f t="shared" si="151"/>
        <v>0.21008318899842249</v>
      </c>
      <c r="AF56" s="330">
        <f t="shared" si="151"/>
        <v>0.17302172843890462</v>
      </c>
      <c r="AG56" s="330">
        <f t="shared" si="151"/>
        <v>0.17578479372026057</v>
      </c>
      <c r="AH56" s="330">
        <f t="shared" si="151"/>
        <v>0.17866023837426837</v>
      </c>
      <c r="AI56" s="330">
        <f t="shared" si="151"/>
        <v>0.19539618054342456</v>
      </c>
      <c r="AJ56" s="330">
        <f t="shared" si="151"/>
        <v>0.17026689166543019</v>
      </c>
      <c r="AK56" s="330">
        <f t="shared" si="151"/>
        <v>0.17400271854658422</v>
      </c>
      <c r="AL56" s="330">
        <f t="shared" si="151"/>
        <v>0.17669332001552673</v>
      </c>
      <c r="AM56" s="330">
        <f t="shared" si="151"/>
        <v>0.19359347130625948</v>
      </c>
      <c r="AN56" s="330">
        <f t="shared" si="151"/>
        <v>0.16881403464206701</v>
      </c>
      <c r="AO56" s="330">
        <f t="shared" si="151"/>
        <v>0.17333823449089825</v>
      </c>
      <c r="AP56" s="330">
        <f t="shared" si="151"/>
        <v>0.17588440800788741</v>
      </c>
      <c r="AQ56" s="330">
        <f t="shared" si="151"/>
        <v>0.19300331888677125</v>
      </c>
      <c r="AR56" s="330">
        <f t="shared" si="151"/>
        <v>0.16850430734362742</v>
      </c>
      <c r="AS56" s="330">
        <f t="shared" si="151"/>
        <v>0.17365263941576137</v>
      </c>
      <c r="AT56" s="330">
        <f t="shared" si="151"/>
        <v>0.17608192290485158</v>
      </c>
      <c r="AU56" s="330">
        <f t="shared" si="151"/>
        <v>0.19342169978766077</v>
      </c>
      <c r="AV56" s="330">
        <f t="shared" si="151"/>
        <v>0.16921803202226338</v>
      </c>
      <c r="AW56" s="330">
        <f t="shared" si="151"/>
        <v>0.17482582021267778</v>
      </c>
      <c r="AX56" s="330">
        <f t="shared" si="151"/>
        <v>0.17715720164104121</v>
      </c>
      <c r="AY56" s="330">
        <f t="shared" si="151"/>
        <v>0.19467810469696234</v>
      </c>
      <c r="AZ56" s="330">
        <f t="shared" si="151"/>
        <v>0.17084517058887938</v>
      </c>
      <c r="BA56" s="330">
        <f t="shared" si="151"/>
        <v>0.17676047183745291</v>
      </c>
      <c r="BB56" s="330">
        <f t="shared" si="151"/>
        <v>0.17900083226339336</v>
      </c>
      <c r="BC56" s="330">
        <f t="shared" si="151"/>
        <v>0.19662442628996191</v>
      </c>
      <c r="BD56" s="330">
        <f t="shared" si="151"/>
        <v>0.17329113123379969</v>
      </c>
      <c r="BE56" s="330">
        <f t="shared" si="151"/>
        <v>0.17935798672617698</v>
      </c>
      <c r="BF56" s="330">
        <f t="shared" si="151"/>
        <v>0.18150995658341418</v>
      </c>
      <c r="BG56" s="330">
        <f t="shared" si="151"/>
        <v>0.19913048017266588</v>
      </c>
      <c r="BH56" s="1"/>
      <c r="BI56" s="204"/>
      <c r="BJ56" s="204"/>
      <c r="BK56" s="204"/>
      <c r="BL56" s="204"/>
      <c r="BM56" s="1"/>
      <c r="BN56" s="373">
        <v>0.12210287641917827</v>
      </c>
      <c r="BO56" s="423">
        <f t="shared" si="2"/>
        <v>-3.9427539679744994E-2</v>
      </c>
      <c r="BP56" s="373">
        <v>0.46215324105875077</v>
      </c>
      <c r="BQ56" s="423">
        <f t="shared" si="2"/>
        <v>4.4974700355174813E-2</v>
      </c>
    </row>
    <row r="57" spans="1:69" x14ac:dyDescent="0.25">
      <c r="A57" s="82"/>
      <c r="B57" s="92" t="s">
        <v>324</v>
      </c>
      <c r="C57" s="93" t="s">
        <v>7</v>
      </c>
      <c r="D57" s="62">
        <v>-1.0999999999999999E-2</v>
      </c>
      <c r="E57" s="136">
        <v>-2.3E-2</v>
      </c>
      <c r="F57" s="62">
        <v>7.0000000000000001E-3</v>
      </c>
      <c r="G57" s="136">
        <v>-7.0000000000000001E-3</v>
      </c>
      <c r="H57" s="62">
        <v>0.01</v>
      </c>
      <c r="I57" s="136">
        <v>5.0000000000000001E-3</v>
      </c>
      <c r="J57" s="62">
        <v>1.6E-2</v>
      </c>
      <c r="K57" s="136">
        <v>3.2000000000000001E-2</v>
      </c>
      <c r="L57" s="62">
        <v>6.0999999999999999E-2</v>
      </c>
      <c r="M57" s="136">
        <v>6.5000000000000002E-2</v>
      </c>
      <c r="N57" s="136">
        <v>7.3999999999999996E-2</v>
      </c>
      <c r="O57" s="136">
        <v>6.7000000000000004E-2</v>
      </c>
      <c r="P57" s="62">
        <v>8.1000000000000003E-2</v>
      </c>
      <c r="Q57" s="330">
        <f>Q55/Q$10</f>
        <v>9.0770980783247773E-2</v>
      </c>
      <c r="R57" s="330">
        <f>R55/R$10</f>
        <v>7.8526536267169392E-2</v>
      </c>
      <c r="S57" s="330">
        <f t="shared" ref="S57:BG57" si="152">S55/S$10</f>
        <v>0.10013713336307352</v>
      </c>
      <c r="T57" s="330">
        <f t="shared" si="152"/>
        <v>0.10118350586258121</v>
      </c>
      <c r="U57" s="330">
        <f t="shared" si="152"/>
        <v>0.11347820199593907</v>
      </c>
      <c r="V57" s="330">
        <f t="shared" si="152"/>
        <v>0.1112087738555534</v>
      </c>
      <c r="W57" s="330">
        <f t="shared" si="152"/>
        <v>0.11890057268740159</v>
      </c>
      <c r="X57" s="330">
        <f t="shared" si="152"/>
        <v>0.11401041880539065</v>
      </c>
      <c r="Y57" s="330">
        <f t="shared" si="152"/>
        <v>0.12639132300061431</v>
      </c>
      <c r="Z57" s="330">
        <f t="shared" si="152"/>
        <v>0.12469072932340247</v>
      </c>
      <c r="AA57" s="330">
        <f t="shared" si="152"/>
        <v>0.13421197153488218</v>
      </c>
      <c r="AB57" s="330">
        <f t="shared" si="152"/>
        <v>0.12448327364125401</v>
      </c>
      <c r="AC57" s="330">
        <f t="shared" si="152"/>
        <v>0.13603664143443422</v>
      </c>
      <c r="AD57" s="330">
        <f t="shared" si="152"/>
        <v>0.13342182246935771</v>
      </c>
      <c r="AE57" s="330">
        <f t="shared" si="152"/>
        <v>0.14316672178325318</v>
      </c>
      <c r="AF57" s="330">
        <f t="shared" si="152"/>
        <v>0.12929376297749381</v>
      </c>
      <c r="AG57" s="330">
        <f t="shared" si="152"/>
        <v>0.14181598138569573</v>
      </c>
      <c r="AH57" s="330">
        <f t="shared" si="152"/>
        <v>0.13952241290403244</v>
      </c>
      <c r="AI57" s="330">
        <f t="shared" si="152"/>
        <v>0.15181184955158339</v>
      </c>
      <c r="AJ57" s="330">
        <f t="shared" si="152"/>
        <v>0.13387059937184917</v>
      </c>
      <c r="AK57" s="330">
        <f t="shared" si="152"/>
        <v>0.14749864933481421</v>
      </c>
      <c r="AL57" s="330">
        <f t="shared" si="152"/>
        <v>0.14554057822569658</v>
      </c>
      <c r="AM57" s="330">
        <f t="shared" si="152"/>
        <v>0.16060318228404802</v>
      </c>
      <c r="AN57" s="330">
        <f t="shared" si="152"/>
        <v>0.13832962335672649</v>
      </c>
      <c r="AO57" s="330">
        <f t="shared" si="152"/>
        <v>0.15319899434843856</v>
      </c>
      <c r="AP57" s="330">
        <f t="shared" si="152"/>
        <v>0.15159044060090793</v>
      </c>
      <c r="AQ57" s="330">
        <f t="shared" si="152"/>
        <v>0.16967816903696836</v>
      </c>
      <c r="AR57" s="330">
        <f t="shared" si="152"/>
        <v>0.14278797322044726</v>
      </c>
      <c r="AS57" s="330">
        <f t="shared" si="152"/>
        <v>0.15903387161284363</v>
      </c>
      <c r="AT57" s="330">
        <f t="shared" si="152"/>
        <v>0.15778898616885645</v>
      </c>
      <c r="AU57" s="330">
        <f t="shared" si="152"/>
        <v>0.17917857271721246</v>
      </c>
      <c r="AV57" s="330">
        <f t="shared" si="152"/>
        <v>0.14736505896711161</v>
      </c>
      <c r="AW57" s="330">
        <f t="shared" si="152"/>
        <v>0.16512217650312566</v>
      </c>
      <c r="AX57" s="330">
        <f t="shared" si="152"/>
        <v>0.1642557760592559</v>
      </c>
      <c r="AY57" s="330">
        <f t="shared" si="152"/>
        <v>0.18925051984282801</v>
      </c>
      <c r="AZ57" s="330">
        <f t="shared" si="152"/>
        <v>0.15218168892677389</v>
      </c>
      <c r="BA57" s="330">
        <f t="shared" si="152"/>
        <v>0.17158631007728173</v>
      </c>
      <c r="BB57" s="330">
        <f t="shared" si="152"/>
        <v>0.17111359336095686</v>
      </c>
      <c r="BC57" s="330">
        <f t="shared" si="152"/>
        <v>0.20004466124513057</v>
      </c>
      <c r="BD57" s="330">
        <f t="shared" si="152"/>
        <v>0.15736110087568894</v>
      </c>
      <c r="BE57" s="330">
        <f t="shared" si="152"/>
        <v>0.17855132758979103</v>
      </c>
      <c r="BF57" s="330">
        <f t="shared" si="152"/>
        <v>0.1784883959915356</v>
      </c>
      <c r="BG57" s="330">
        <f t="shared" si="152"/>
        <v>0.21171683402653771</v>
      </c>
      <c r="BH57" s="1"/>
      <c r="BI57" s="204"/>
      <c r="BJ57" s="204"/>
      <c r="BK57" s="204"/>
      <c r="BL57" s="204"/>
      <c r="BM57" s="1"/>
      <c r="BN57" s="373">
        <v>7.1291134979851761E-2</v>
      </c>
      <c r="BO57" s="423">
        <f t="shared" si="2"/>
        <v>7.2354012873176304E-3</v>
      </c>
      <c r="BP57" s="373">
        <v>8.2602539938788008E-2</v>
      </c>
      <c r="BQ57" s="423">
        <f t="shared" si="2"/>
        <v>1.7534593424285511E-2</v>
      </c>
    </row>
    <row r="58" spans="1:69" x14ac:dyDescent="0.25">
      <c r="A58" s="82"/>
      <c r="B58" s="92" t="s">
        <v>325</v>
      </c>
      <c r="C58" s="93" t="s">
        <v>7</v>
      </c>
      <c r="D58" s="136">
        <v>-3.3000000000000002E-2</v>
      </c>
      <c r="E58" s="136">
        <v>-7.0000000000000007E-2</v>
      </c>
      <c r="F58" s="136">
        <v>2.1000000000000001E-2</v>
      </c>
      <c r="G58" s="136">
        <v>-1.9E-2</v>
      </c>
      <c r="H58" s="136">
        <v>0.03</v>
      </c>
      <c r="I58" s="136">
        <v>1.4E-2</v>
      </c>
      <c r="J58" s="136">
        <v>4.7E-2</v>
      </c>
      <c r="K58" s="136">
        <v>9.0999999999999998E-2</v>
      </c>
      <c r="L58" s="136">
        <v>0.17399999999999999</v>
      </c>
      <c r="M58" s="331">
        <v>0.17899999999999999</v>
      </c>
      <c r="N58" s="331">
        <v>0.19700000000000001</v>
      </c>
      <c r="O58" s="331">
        <v>0.17399999999999999</v>
      </c>
      <c r="P58" s="331">
        <v>0.20399999999999999</v>
      </c>
      <c r="Q58" s="331">
        <f>Q55/Q$17</f>
        <v>0.21666173867448837</v>
      </c>
      <c r="R58" s="331">
        <f>R55/R$17</f>
        <v>0.18041456734183209</v>
      </c>
      <c r="S58" s="331">
        <f t="shared" ref="S58:BG58" si="153">S55/S$17</f>
        <v>0.21370526077133833</v>
      </c>
      <c r="T58" s="331">
        <f t="shared" si="153"/>
        <v>0.22894074049919799</v>
      </c>
      <c r="U58" s="331">
        <f t="shared" si="153"/>
        <v>0.25634758792955875</v>
      </c>
      <c r="V58" s="331">
        <f t="shared" si="153"/>
        <v>0.2457663928957515</v>
      </c>
      <c r="W58" s="331">
        <f t="shared" si="153"/>
        <v>0.24550049992179387</v>
      </c>
      <c r="X58" s="331">
        <f t="shared" si="153"/>
        <v>0.25027696278747141</v>
      </c>
      <c r="Y58" s="331">
        <f t="shared" si="153"/>
        <v>0.27690262849561487</v>
      </c>
      <c r="Z58" s="331">
        <f t="shared" si="153"/>
        <v>0.26706241261544111</v>
      </c>
      <c r="AA58" s="331">
        <f t="shared" si="153"/>
        <v>0.26793758841181087</v>
      </c>
      <c r="AB58" s="331">
        <f t="shared" si="153"/>
        <v>0.266449958082497</v>
      </c>
      <c r="AC58" s="331">
        <f t="shared" si="153"/>
        <v>0.29170105932298318</v>
      </c>
      <c r="AD58" s="331">
        <f t="shared" si="153"/>
        <v>0.28090140505218458</v>
      </c>
      <c r="AE58" s="331">
        <f t="shared" si="153"/>
        <v>0.28137038655457591</v>
      </c>
      <c r="AF58" s="331">
        <f t="shared" si="153"/>
        <v>0.27363653557598483</v>
      </c>
      <c r="AG58" s="331">
        <f t="shared" si="153"/>
        <v>0.30001517530303312</v>
      </c>
      <c r="AH58" s="331">
        <f t="shared" si="153"/>
        <v>0.28964304060216783</v>
      </c>
      <c r="AI58" s="331">
        <f t="shared" si="153"/>
        <v>0.29290147933408656</v>
      </c>
      <c r="AJ58" s="331">
        <f t="shared" si="153"/>
        <v>0.27985525274624456</v>
      </c>
      <c r="AK58" s="331">
        <f t="shared" si="153"/>
        <v>0.30751596465042769</v>
      </c>
      <c r="AL58" s="331">
        <f t="shared" si="153"/>
        <v>0.29759205099530428</v>
      </c>
      <c r="AM58" s="331">
        <f t="shared" si="153"/>
        <v>0.30379354963685701</v>
      </c>
      <c r="AN58" s="331">
        <f t="shared" si="153"/>
        <v>0.28532560001991475</v>
      </c>
      <c r="AO58" s="331">
        <f t="shared" si="153"/>
        <v>0.31440452313916506</v>
      </c>
      <c r="AP58" s="331">
        <f t="shared" si="153"/>
        <v>0.30494440812905438</v>
      </c>
      <c r="AQ58" s="331">
        <f t="shared" si="153"/>
        <v>0.31423572650423742</v>
      </c>
      <c r="AR58" s="331">
        <f t="shared" si="153"/>
        <v>0.29025907527859396</v>
      </c>
      <c r="AS58" s="331">
        <f t="shared" si="153"/>
        <v>0.32087361120254926</v>
      </c>
      <c r="AT58" s="331">
        <f t="shared" si="153"/>
        <v>0.31188800267068001</v>
      </c>
      <c r="AU58" s="331">
        <f t="shared" si="153"/>
        <v>0.32440463534107722</v>
      </c>
      <c r="AV58" s="331">
        <f t="shared" si="153"/>
        <v>0.29485952321806758</v>
      </c>
      <c r="AW58" s="331">
        <f t="shared" si="153"/>
        <v>0.32710513064445168</v>
      </c>
      <c r="AX58" s="331">
        <f t="shared" si="153"/>
        <v>0.31860058016737963</v>
      </c>
      <c r="AY58" s="331">
        <f t="shared" si="153"/>
        <v>0.33446247554143776</v>
      </c>
      <c r="AZ58" s="331">
        <f t="shared" si="153"/>
        <v>0.29931953259022848</v>
      </c>
      <c r="BA58" s="331">
        <f t="shared" si="153"/>
        <v>0.33327088281439399</v>
      </c>
      <c r="BB58" s="331">
        <f t="shared" si="153"/>
        <v>0.32524885689258787</v>
      </c>
      <c r="BC58" s="331">
        <f t="shared" si="153"/>
        <v>0.34455556493627171</v>
      </c>
      <c r="BD58" s="331">
        <f t="shared" si="153"/>
        <v>0.30382030911070634</v>
      </c>
      <c r="BE58" s="331">
        <f t="shared" si="153"/>
        <v>0.33952929929444825</v>
      </c>
      <c r="BF58" s="331">
        <f t="shared" si="153"/>
        <v>0.33198679366157957</v>
      </c>
      <c r="BG58" s="331">
        <f t="shared" si="153"/>
        <v>0.3548135756267054</v>
      </c>
      <c r="BH58" s="1"/>
      <c r="BI58" s="204"/>
      <c r="BJ58" s="204"/>
      <c r="BK58" s="204"/>
      <c r="BL58" s="204"/>
      <c r="BM58" s="1"/>
      <c r="BN58" s="375">
        <v>0.18959197141881146</v>
      </c>
      <c r="BO58" s="425">
        <f t="shared" si="2"/>
        <v>-9.1774040769793674E-3</v>
      </c>
      <c r="BP58" s="375">
        <v>0.21219079554271242</v>
      </c>
      <c r="BQ58" s="425">
        <f t="shared" si="2"/>
        <v>1.5144652286259164E-3</v>
      </c>
    </row>
    <row r="59" spans="1:69" x14ac:dyDescent="0.25">
      <c r="A59" s="82"/>
      <c r="B59" s="92" t="s">
        <v>602</v>
      </c>
      <c r="C59" s="114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8"/>
      <c r="O59" s="47"/>
      <c r="P59" s="108">
        <v>430000</v>
      </c>
      <c r="Q59" s="108">
        <v>450000</v>
      </c>
      <c r="R59" s="108">
        <v>460000</v>
      </c>
      <c r="S59" s="108">
        <v>560000</v>
      </c>
      <c r="T59" s="48"/>
      <c r="U59" s="48"/>
      <c r="V59" s="48"/>
      <c r="W59" s="48"/>
      <c r="X59" s="48"/>
      <c r="Y59" s="48"/>
      <c r="Z59" s="48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204"/>
      <c r="BJ59" s="204"/>
      <c r="BK59" s="204"/>
      <c r="BL59" s="204"/>
      <c r="BM59" s="1"/>
      <c r="BN59" s="376">
        <v>460000</v>
      </c>
      <c r="BO59" s="426">
        <f t="shared" si="2"/>
        <v>0</v>
      </c>
      <c r="BP59" s="376">
        <v>554162</v>
      </c>
      <c r="BQ59" s="426">
        <f t="shared" si="2"/>
        <v>5838</v>
      </c>
    </row>
    <row r="60" spans="1:69" x14ac:dyDescent="0.25">
      <c r="A60" s="488"/>
      <c r="B60" s="489"/>
      <c r="C60" s="114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8"/>
      <c r="O60" s="47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204"/>
      <c r="BJ60" s="204"/>
      <c r="BK60" s="204"/>
      <c r="BL60" s="204"/>
      <c r="BM60" s="1"/>
      <c r="BN60" s="377"/>
      <c r="BO60" s="427" t="str">
        <f t="shared" si="2"/>
        <v/>
      </c>
      <c r="BP60" s="377"/>
      <c r="BQ60" s="427" t="str">
        <f t="shared" si="2"/>
        <v/>
      </c>
    </row>
    <row r="61" spans="1:69" x14ac:dyDescent="0.25">
      <c r="A61" s="82"/>
      <c r="B61" s="92" t="s">
        <v>500</v>
      </c>
      <c r="C61" s="114"/>
      <c r="D61" s="334">
        <f t="shared" ref="D61:P61" si="154">D58+D18</f>
        <v>0.31099999999999994</v>
      </c>
      <c r="E61" s="334">
        <f t="shared" si="154"/>
        <v>0.21799999999999997</v>
      </c>
      <c r="F61" s="334">
        <f t="shared" si="154"/>
        <v>0.40400000000000003</v>
      </c>
      <c r="G61" s="334">
        <f t="shared" si="154"/>
        <v>0.38600000000000001</v>
      </c>
      <c r="H61" s="334">
        <f t="shared" si="154"/>
        <v>0.35399999999999998</v>
      </c>
      <c r="I61" s="334">
        <f t="shared" si="154"/>
        <v>0.28400000000000003</v>
      </c>
      <c r="J61" s="334">
        <f t="shared" si="154"/>
        <v>0.25800000000000001</v>
      </c>
      <c r="K61" s="334">
        <f t="shared" si="154"/>
        <v>0.311</v>
      </c>
      <c r="L61" s="334">
        <f t="shared" si="154"/>
        <v>0.39600000000000002</v>
      </c>
      <c r="M61" s="334">
        <f t="shared" si="154"/>
        <v>0.376</v>
      </c>
      <c r="N61" s="334">
        <f t="shared" si="154"/>
        <v>0.38200000000000001</v>
      </c>
      <c r="O61" s="334">
        <f t="shared" si="154"/>
        <v>0.31499999999999995</v>
      </c>
      <c r="P61" s="334">
        <f t="shared" si="154"/>
        <v>0.29699999999999999</v>
      </c>
      <c r="Q61" s="334">
        <f>Q58+Q18</f>
        <v>0.35234685786069109</v>
      </c>
      <c r="R61" s="334">
        <f>R58+R18</f>
        <v>0.36350019933031047</v>
      </c>
      <c r="S61" s="334">
        <f>S58+S18</f>
        <v>0.4399223801813108</v>
      </c>
      <c r="T61" s="334">
        <f t="shared" ref="T61:BG61" si="155">T58+T18</f>
        <v>0.4892491052871103</v>
      </c>
      <c r="U61" s="334">
        <f t="shared" si="155"/>
        <v>0.4793905121871192</v>
      </c>
      <c r="V61" s="334">
        <f t="shared" si="155"/>
        <v>0.42907277155121692</v>
      </c>
      <c r="W61" s="334">
        <f t="shared" si="155"/>
        <v>0.42221850373164516</v>
      </c>
      <c r="X61" s="334">
        <f t="shared" si="155"/>
        <v>0.42198795428792651</v>
      </c>
      <c r="Y61" s="334">
        <f t="shared" si="155"/>
        <v>0.44822351271583205</v>
      </c>
      <c r="Z61" s="334">
        <f t="shared" si="155"/>
        <v>0.4390492719136741</v>
      </c>
      <c r="AA61" s="334">
        <f t="shared" si="155"/>
        <v>0.44300193216551981</v>
      </c>
      <c r="AB61" s="334">
        <f t="shared" si="155"/>
        <v>0.43295422809032263</v>
      </c>
      <c r="AC61" s="334">
        <f t="shared" si="155"/>
        <v>0.45298509428411049</v>
      </c>
      <c r="AD61" s="334">
        <f t="shared" si="155"/>
        <v>0.43706642409526114</v>
      </c>
      <c r="AE61" s="334">
        <f t="shared" si="155"/>
        <v>0.43368344766991929</v>
      </c>
      <c r="AF61" s="334">
        <f t="shared" si="155"/>
        <v>0.41585093218244013</v>
      </c>
      <c r="AG61" s="334">
        <f t="shared" si="155"/>
        <v>0.44321624677425953</v>
      </c>
      <c r="AH61" s="334">
        <f t="shared" si="155"/>
        <v>0.43273046417756011</v>
      </c>
      <c r="AI61" s="334">
        <f t="shared" si="155"/>
        <v>0.44123670171008428</v>
      </c>
      <c r="AJ61" s="334">
        <f t="shared" si="155"/>
        <v>0.42411741967783101</v>
      </c>
      <c r="AK61" s="334">
        <f t="shared" si="155"/>
        <v>0.45288294360184395</v>
      </c>
      <c r="AL61" s="334">
        <f t="shared" si="155"/>
        <v>0.44285460060196269</v>
      </c>
      <c r="AM61" s="334">
        <f t="shared" si="155"/>
        <v>0.4545924849237174</v>
      </c>
      <c r="AN61" s="334">
        <f t="shared" si="155"/>
        <v>0.43173078432613582</v>
      </c>
      <c r="AO61" s="334">
        <f t="shared" si="155"/>
        <v>0.46203508340622662</v>
      </c>
      <c r="AP61" s="334">
        <f t="shared" si="155"/>
        <v>0.45247767446910231</v>
      </c>
      <c r="AQ61" s="334">
        <f t="shared" si="155"/>
        <v>0.46759507556691088</v>
      </c>
      <c r="AR61" s="334">
        <f t="shared" si="155"/>
        <v>0.43890254938416751</v>
      </c>
      <c r="AS61" s="334">
        <f t="shared" si="155"/>
        <v>0.47086440366321419</v>
      </c>
      <c r="AT61" s="334">
        <f t="shared" si="155"/>
        <v>0.46178669329195671</v>
      </c>
      <c r="AU61" s="334">
        <f t="shared" si="155"/>
        <v>0.48041689288606593</v>
      </c>
      <c r="AV61" s="334">
        <f t="shared" si="155"/>
        <v>0.44583521859301106</v>
      </c>
      <c r="AW61" s="334">
        <f t="shared" si="155"/>
        <v>0.47954992025366328</v>
      </c>
      <c r="AX61" s="334">
        <f t="shared" si="155"/>
        <v>0.4709563237016518</v>
      </c>
      <c r="AY61" s="334">
        <f t="shared" si="155"/>
        <v>0.49321463234705604</v>
      </c>
      <c r="AZ61" s="334">
        <f t="shared" si="155"/>
        <v>0.4527185298906955</v>
      </c>
      <c r="BA61" s="334">
        <f t="shared" si="155"/>
        <v>0.48826043553805509</v>
      </c>
      <c r="BB61" s="334">
        <f t="shared" si="155"/>
        <v>0.48015022308244959</v>
      </c>
      <c r="BC61" s="334">
        <f t="shared" si="155"/>
        <v>0.5061271912262677</v>
      </c>
      <c r="BD61" s="334">
        <f t="shared" si="155"/>
        <v>0.45973037325719068</v>
      </c>
      <c r="BE61" s="334">
        <f t="shared" si="155"/>
        <v>0.49714862171286595</v>
      </c>
      <c r="BF61" s="334">
        <f t="shared" si="155"/>
        <v>0.48951706330748157</v>
      </c>
      <c r="BG61" s="334">
        <f t="shared" si="155"/>
        <v>0.51927601001473778</v>
      </c>
      <c r="BH61" s="1"/>
      <c r="BI61" s="204"/>
      <c r="BJ61" s="204"/>
      <c r="BK61" s="204"/>
      <c r="BL61" s="204"/>
      <c r="BM61" s="1"/>
      <c r="BN61" s="387">
        <v>0.35640768921734822</v>
      </c>
      <c r="BO61" s="437">
        <f t="shared" si="2"/>
        <v>7.092510112962247E-3</v>
      </c>
      <c r="BP61" s="387">
        <v>0.41030665532837068</v>
      </c>
      <c r="BQ61" s="437">
        <f t="shared" si="2"/>
        <v>2.9615724852940117E-2</v>
      </c>
    </row>
    <row r="62" spans="1:69" x14ac:dyDescent="0.25">
      <c r="A62" s="488"/>
      <c r="B62" s="489"/>
      <c r="C62" s="114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8"/>
      <c r="O62" s="47"/>
      <c r="P62" s="48"/>
      <c r="Q62" s="48"/>
      <c r="R62" s="48"/>
      <c r="S62" s="96"/>
      <c r="T62" s="48"/>
      <c r="U62" s="46"/>
      <c r="V62" s="46"/>
      <c r="W62" s="46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204"/>
      <c r="BJ62" s="204"/>
      <c r="BK62" s="204"/>
      <c r="BL62" s="204"/>
      <c r="BM62" s="1"/>
      <c r="BN62" s="388"/>
      <c r="BO62" s="438" t="str">
        <f t="shared" si="2"/>
        <v/>
      </c>
      <c r="BP62" s="388"/>
      <c r="BQ62" s="438" t="str">
        <f t="shared" si="2"/>
        <v/>
      </c>
    </row>
    <row r="63" spans="1:69" x14ac:dyDescent="0.25">
      <c r="A63" s="82"/>
      <c r="B63" s="95" t="s">
        <v>337</v>
      </c>
      <c r="C63" s="131"/>
      <c r="D63" s="48"/>
      <c r="E63" s="46"/>
      <c r="F63" s="48"/>
      <c r="G63" s="46"/>
      <c r="H63" s="48"/>
      <c r="I63" s="46"/>
      <c r="J63" s="48"/>
      <c r="K63" s="46"/>
      <c r="L63" s="1"/>
      <c r="M63" s="1"/>
      <c r="N63" s="1"/>
      <c r="O63" s="1"/>
      <c r="P63" s="1"/>
      <c r="Q63" s="1"/>
      <c r="R63" s="1"/>
      <c r="S63" s="187"/>
      <c r="T63" s="187"/>
      <c r="U63" s="187"/>
      <c r="V63" s="187"/>
      <c r="W63" s="187"/>
      <c r="X63" s="187"/>
      <c r="Y63" s="187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1"/>
      <c r="BI63" s="204"/>
      <c r="BJ63" s="204"/>
      <c r="BK63" s="204"/>
      <c r="BL63" s="204"/>
      <c r="BM63" s="1"/>
      <c r="BN63" s="389"/>
      <c r="BO63" s="439" t="str">
        <f t="shared" si="2"/>
        <v/>
      </c>
      <c r="BP63" s="389"/>
      <c r="BQ63" s="439" t="str">
        <f t="shared" si="2"/>
        <v/>
      </c>
    </row>
    <row r="64" spans="1:69" x14ac:dyDescent="0.25">
      <c r="A64" s="82" t="s">
        <v>87</v>
      </c>
      <c r="B64" s="100" t="s">
        <v>606</v>
      </c>
      <c r="C64" s="5" t="s">
        <v>298</v>
      </c>
      <c r="D64" s="175">
        <v>15748</v>
      </c>
      <c r="E64" s="175">
        <v>12966</v>
      </c>
      <c r="F64" s="175">
        <v>6042</v>
      </c>
      <c r="G64" s="175">
        <v>1472</v>
      </c>
      <c r="H64" s="175">
        <v>-3161</v>
      </c>
      <c r="I64" s="175">
        <v>-3944</v>
      </c>
      <c r="J64" s="175">
        <v>-21415</v>
      </c>
      <c r="K64" s="175">
        <v>-18701</v>
      </c>
      <c r="L64" s="175">
        <v>-18745</v>
      </c>
      <c r="M64" s="175">
        <v>-1871</v>
      </c>
      <c r="N64" s="175">
        <v>13811</v>
      </c>
      <c r="O64" s="175">
        <v>16107</v>
      </c>
      <c r="P64" s="175">
        <v>17243</v>
      </c>
      <c r="Q64" s="175">
        <v>23687</v>
      </c>
      <c r="R64" s="175">
        <v>34652</v>
      </c>
      <c r="S64" s="226">
        <v>45000</v>
      </c>
      <c r="T64" s="226">
        <f t="shared" ref="T64:BG64" si="156">S64*1.025^0.25</f>
        <v>45278.651084653626</v>
      </c>
      <c r="U64" s="226">
        <f t="shared" si="156"/>
        <v>45559.027645462331</v>
      </c>
      <c r="V64" s="226">
        <f t="shared" si="156"/>
        <v>45841.140366999498</v>
      </c>
      <c r="W64" s="226">
        <f t="shared" si="156"/>
        <v>46125.000000000022</v>
      </c>
      <c r="X64" s="226">
        <f t="shared" si="156"/>
        <v>46410.61736176999</v>
      </c>
      <c r="Y64" s="226">
        <f t="shared" si="156"/>
        <v>46698.003336598915</v>
      </c>
      <c r="Z64" s="226">
        <f t="shared" si="156"/>
        <v>46987.16887617451</v>
      </c>
      <c r="AA64" s="226">
        <f t="shared" si="156"/>
        <v>47278.125000000044</v>
      </c>
      <c r="AB64" s="226">
        <f t="shared" si="156"/>
        <v>47570.882795814257</v>
      </c>
      <c r="AC64" s="226">
        <f t="shared" si="156"/>
        <v>47865.453420013902</v>
      </c>
      <c r="AD64" s="226">
        <f t="shared" si="156"/>
        <v>48161.848098078888</v>
      </c>
      <c r="AE64" s="226">
        <f t="shared" si="156"/>
        <v>48460.078125000058</v>
      </c>
      <c r="AF64" s="226">
        <f t="shared" si="156"/>
        <v>48760.154865709628</v>
      </c>
      <c r="AG64" s="226">
        <f t="shared" si="156"/>
        <v>49062.089755514266</v>
      </c>
      <c r="AH64" s="226">
        <f t="shared" si="156"/>
        <v>49365.894300530876</v>
      </c>
      <c r="AI64" s="226">
        <f t="shared" si="156"/>
        <v>49671.58007812508</v>
      </c>
      <c r="AJ64" s="226">
        <f t="shared" si="156"/>
        <v>49979.158737352387</v>
      </c>
      <c r="AK64" s="226">
        <f t="shared" si="156"/>
        <v>50288.641999402142</v>
      </c>
      <c r="AL64" s="226">
        <f t="shared" si="156"/>
        <v>50600.041658044167</v>
      </c>
      <c r="AM64" s="226">
        <f t="shared" si="156"/>
        <v>50913.369580078222</v>
      </c>
      <c r="AN64" s="226">
        <f t="shared" si="156"/>
        <v>51228.637705786212</v>
      </c>
      <c r="AO64" s="226">
        <f t="shared" si="156"/>
        <v>51545.858049387207</v>
      </c>
      <c r="AP64" s="226">
        <f t="shared" si="156"/>
        <v>51865.042699495287</v>
      </c>
      <c r="AQ64" s="226">
        <f t="shared" si="156"/>
        <v>52186.203819580194</v>
      </c>
      <c r="AR64" s="226">
        <f t="shared" si="156"/>
        <v>52509.353648430886</v>
      </c>
      <c r="AS64" s="226">
        <f t="shared" si="156"/>
        <v>52834.504500621908</v>
      </c>
      <c r="AT64" s="226">
        <f t="shared" si="156"/>
        <v>53161.668766982686</v>
      </c>
      <c r="AU64" s="226">
        <f t="shared" si="156"/>
        <v>53490.858915069715</v>
      </c>
      <c r="AV64" s="226">
        <f t="shared" si="156"/>
        <v>53822.087489641672</v>
      </c>
      <c r="AW64" s="226">
        <f t="shared" si="156"/>
        <v>54155.367113137472</v>
      </c>
      <c r="AX64" s="226">
        <f t="shared" si="156"/>
        <v>54490.710486157273</v>
      </c>
      <c r="AY64" s="226">
        <f t="shared" si="156"/>
        <v>54828.130387946483</v>
      </c>
      <c r="AZ64" s="226">
        <f t="shared" si="156"/>
        <v>55167.63967688274</v>
      </c>
      <c r="BA64" s="226">
        <f t="shared" si="156"/>
        <v>55509.251290965934</v>
      </c>
      <c r="BB64" s="226">
        <f t="shared" si="156"/>
        <v>55852.978248311229</v>
      </c>
      <c r="BC64" s="226">
        <f t="shared" si="156"/>
        <v>56198.833647645166</v>
      </c>
      <c r="BD64" s="226">
        <f t="shared" si="156"/>
        <v>56546.830668804832</v>
      </c>
      <c r="BE64" s="226">
        <f t="shared" si="156"/>
        <v>56896.982573240108</v>
      </c>
      <c r="BF64" s="226">
        <f t="shared" si="156"/>
        <v>57249.302704519032</v>
      </c>
      <c r="BG64" s="226">
        <f t="shared" si="156"/>
        <v>57603.804488836315</v>
      </c>
      <c r="BH64" s="1"/>
      <c r="BI64" s="204"/>
      <c r="BJ64" s="204"/>
      <c r="BK64" s="204"/>
      <c r="BL64" s="204"/>
      <c r="BM64" s="1"/>
      <c r="BN64" s="390">
        <v>23833.675738715341</v>
      </c>
      <c r="BO64" s="440">
        <f t="shared" si="2"/>
        <v>10818.324261284659</v>
      </c>
      <c r="BP64" s="390">
        <v>23981.259729734804</v>
      </c>
      <c r="BQ64" s="440">
        <f t="shared" si="2"/>
        <v>21018.740270265196</v>
      </c>
    </row>
    <row r="65" spans="1:69" x14ac:dyDescent="0.25">
      <c r="A65" s="82"/>
      <c r="B65" s="129" t="s">
        <v>341</v>
      </c>
      <c r="C65" s="134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1"/>
      <c r="BI65" s="204"/>
      <c r="BJ65" s="204"/>
      <c r="BK65" s="204"/>
      <c r="BL65" s="204"/>
      <c r="BM65" s="1"/>
      <c r="BN65" s="367"/>
      <c r="BO65" s="417" t="str">
        <f t="shared" si="2"/>
        <v/>
      </c>
      <c r="BP65" s="367"/>
      <c r="BQ65" s="417" t="str">
        <f t="shared" si="2"/>
        <v/>
      </c>
    </row>
    <row r="66" spans="1:69" x14ac:dyDescent="0.25">
      <c r="A66" s="82"/>
      <c r="B66" s="129" t="s">
        <v>342</v>
      </c>
      <c r="C66" s="134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1"/>
      <c r="BI66" s="204"/>
      <c r="BJ66" s="204"/>
      <c r="BK66" s="204"/>
      <c r="BL66" s="204"/>
      <c r="BM66" s="1"/>
      <c r="BN66" s="367"/>
      <c r="BO66" s="417" t="str">
        <f t="shared" si="2"/>
        <v/>
      </c>
      <c r="BP66" s="367"/>
      <c r="BQ66" s="417" t="str">
        <f t="shared" si="2"/>
        <v/>
      </c>
    </row>
    <row r="67" spans="1:69" x14ac:dyDescent="0.25">
      <c r="A67" s="490"/>
      <c r="B67" s="490"/>
      <c r="C67" s="187"/>
      <c r="D67" s="187"/>
      <c r="E67" s="187"/>
      <c r="F67" s="187"/>
      <c r="G67" s="187"/>
      <c r="H67" s="187"/>
      <c r="I67" s="46"/>
      <c r="J67" s="187"/>
      <c r="K67" s="187"/>
      <c r="L67" s="187"/>
      <c r="M67" s="46"/>
      <c r="N67" s="46"/>
      <c r="O67" s="187"/>
      <c r="P67" s="187"/>
      <c r="Q67" s="335"/>
      <c r="R67" s="335"/>
      <c r="S67" s="187"/>
      <c r="T67" s="187"/>
      <c r="U67" s="187"/>
      <c r="V67" s="187"/>
      <c r="W67" s="187"/>
      <c r="X67" s="187"/>
      <c r="Y67" s="187"/>
      <c r="Z67" s="187"/>
      <c r="AA67" s="187"/>
      <c r="AB67" s="187"/>
      <c r="AC67" s="187"/>
      <c r="AD67" s="187"/>
      <c r="AE67" s="187"/>
      <c r="AF67" s="187"/>
      <c r="AG67" s="187"/>
      <c r="AH67" s="187"/>
      <c r="AI67" s="187"/>
      <c r="AJ67" s="187"/>
      <c r="AK67" s="187"/>
      <c r="AL67" s="187"/>
      <c r="AM67" s="187"/>
      <c r="AN67" s="187"/>
      <c r="AO67" s="187"/>
      <c r="AP67" s="187"/>
      <c r="AQ67" s="187"/>
      <c r="AR67" s="187"/>
      <c r="AS67" s="187"/>
      <c r="AT67" s="187"/>
      <c r="AU67" s="187"/>
      <c r="AV67" s="187"/>
      <c r="AW67" s="187"/>
      <c r="AX67" s="187"/>
      <c r="AY67" s="187"/>
      <c r="AZ67" s="187"/>
      <c r="BA67" s="187"/>
      <c r="BB67" s="187"/>
      <c r="BC67" s="187"/>
      <c r="BD67" s="187"/>
      <c r="BE67" s="187"/>
      <c r="BF67" s="187"/>
      <c r="BG67" s="187"/>
      <c r="BH67" s="187"/>
      <c r="BI67" s="229"/>
      <c r="BJ67" s="229"/>
      <c r="BK67" s="229"/>
      <c r="BL67" s="229"/>
      <c r="BM67" s="187"/>
      <c r="BN67" s="389"/>
      <c r="BO67" s="439" t="str">
        <f t="shared" si="2"/>
        <v/>
      </c>
      <c r="BP67" s="389"/>
      <c r="BQ67" s="439" t="str">
        <f t="shared" si="2"/>
        <v/>
      </c>
    </row>
    <row r="68" spans="1:69" x14ac:dyDescent="0.25">
      <c r="A68" s="82"/>
      <c r="B68" s="95" t="s">
        <v>95</v>
      </c>
      <c r="C68" s="131"/>
      <c r="D68" s="2"/>
      <c r="E68" s="46"/>
      <c r="F68" s="2"/>
      <c r="G68" s="46"/>
      <c r="H68" s="2"/>
      <c r="I68" s="46"/>
      <c r="J68" s="2"/>
      <c r="K68" s="46"/>
      <c r="L68" s="2"/>
      <c r="M68" s="46"/>
      <c r="N68" s="46"/>
      <c r="O68" s="46"/>
      <c r="P68" s="230" t="s">
        <v>607</v>
      </c>
      <c r="Q68" s="230" t="s">
        <v>607</v>
      </c>
      <c r="R68" s="230" t="s">
        <v>607</v>
      </c>
      <c r="S68" s="2"/>
      <c r="T68" s="2"/>
      <c r="U68" s="2"/>
      <c r="V68" s="2"/>
      <c r="W68" s="2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1"/>
      <c r="BI68" s="204"/>
      <c r="BJ68" s="204"/>
      <c r="BK68" s="204"/>
      <c r="BL68" s="204"/>
      <c r="BM68" s="1"/>
      <c r="BN68" s="369"/>
      <c r="BO68" s="419" t="str">
        <f t="shared" si="2"/>
        <v/>
      </c>
      <c r="BP68" s="369"/>
      <c r="BQ68" s="419" t="str">
        <f t="shared" si="2"/>
        <v/>
      </c>
    </row>
    <row r="69" spans="1:69" x14ac:dyDescent="0.25">
      <c r="A69" s="82" t="s">
        <v>343</v>
      </c>
      <c r="B69" s="92" t="s">
        <v>344</v>
      </c>
      <c r="C69" s="131"/>
      <c r="D69" s="97">
        <v>275314</v>
      </c>
      <c r="E69" s="97">
        <v>256499</v>
      </c>
      <c r="F69" s="97">
        <v>262629</v>
      </c>
      <c r="G69" s="97">
        <v>274353</v>
      </c>
      <c r="H69" s="97">
        <v>279449</v>
      </c>
      <c r="I69" s="97">
        <v>319106</v>
      </c>
      <c r="J69" s="97">
        <v>345547</v>
      </c>
      <c r="K69" s="97">
        <v>331394</v>
      </c>
      <c r="L69" s="97">
        <v>304358</v>
      </c>
      <c r="M69" s="97">
        <v>320187</v>
      </c>
      <c r="N69" s="97">
        <v>324055</v>
      </c>
      <c r="O69" s="97">
        <v>315532</v>
      </c>
      <c r="P69" s="231"/>
      <c r="Q69" s="231"/>
      <c r="R69" s="231"/>
      <c r="S69" s="231"/>
      <c r="T69" s="231"/>
      <c r="U69" s="231"/>
      <c r="V69" s="231"/>
      <c r="W69" s="231"/>
      <c r="X69" s="231"/>
      <c r="Y69" s="231"/>
      <c r="Z69" s="231"/>
      <c r="AA69" s="231"/>
      <c r="AB69" s="231"/>
      <c r="AC69" s="231"/>
      <c r="AD69" s="231"/>
      <c r="AE69" s="231"/>
      <c r="AF69" s="231"/>
      <c r="AG69" s="231"/>
      <c r="AH69" s="231"/>
      <c r="AI69" s="231"/>
      <c r="AJ69" s="231"/>
      <c r="AK69" s="231"/>
      <c r="AL69" s="231"/>
      <c r="AM69" s="231"/>
      <c r="AN69" s="231"/>
      <c r="AO69" s="231"/>
      <c r="AP69" s="231"/>
      <c r="AQ69" s="231"/>
      <c r="AR69" s="231"/>
      <c r="AS69" s="231"/>
      <c r="AT69" s="231"/>
      <c r="AU69" s="231"/>
      <c r="AV69" s="231"/>
      <c r="AW69" s="231"/>
      <c r="AX69" s="231"/>
      <c r="AY69" s="231"/>
      <c r="AZ69" s="231"/>
      <c r="BA69" s="231"/>
      <c r="BB69" s="231"/>
      <c r="BC69" s="231"/>
      <c r="BD69" s="231"/>
      <c r="BE69" s="231"/>
      <c r="BF69" s="231"/>
      <c r="BG69" s="231"/>
      <c r="BH69" s="1"/>
      <c r="BI69" s="204"/>
      <c r="BJ69" s="204"/>
      <c r="BK69" s="204"/>
      <c r="BL69" s="204"/>
      <c r="BM69" s="1"/>
      <c r="BN69" s="386"/>
      <c r="BO69" s="436" t="str">
        <f t="shared" si="2"/>
        <v/>
      </c>
      <c r="BP69" s="386"/>
      <c r="BQ69" s="436" t="str">
        <f t="shared" si="2"/>
        <v/>
      </c>
    </row>
    <row r="70" spans="1:69" x14ac:dyDescent="0.25">
      <c r="A70" s="82" t="s">
        <v>345</v>
      </c>
      <c r="B70" s="92" t="s">
        <v>346</v>
      </c>
      <c r="C70" s="131"/>
      <c r="D70" s="97">
        <v>-78234</v>
      </c>
      <c r="E70" s="97">
        <v>28456</v>
      </c>
      <c r="F70" s="97">
        <v>23071</v>
      </c>
      <c r="G70" s="46">
        <v>-139</v>
      </c>
      <c r="H70" s="46">
        <v>-171</v>
      </c>
      <c r="I70" s="97">
        <v>3385</v>
      </c>
      <c r="J70" s="97">
        <v>9337</v>
      </c>
      <c r="K70" s="97">
        <v>15153</v>
      </c>
      <c r="L70" s="97">
        <v>8723</v>
      </c>
      <c r="M70" s="97">
        <v>12092</v>
      </c>
      <c r="N70" s="97">
        <v>17055</v>
      </c>
      <c r="O70" s="46">
        <v>563</v>
      </c>
      <c r="P70" s="97">
        <f>P71-(P55-P64)</f>
        <v>12944</v>
      </c>
      <c r="Q70" s="97">
        <f>Q71-(Q55-Q64)</f>
        <v>-11631</v>
      </c>
      <c r="R70" s="97">
        <f>R71-(R55-R64)</f>
        <v>-115</v>
      </c>
      <c r="S70" s="174">
        <f t="shared" ref="S70:BG70" si="157">AVERAGE(O70:R70)</f>
        <v>440.25</v>
      </c>
      <c r="T70" s="174">
        <f t="shared" si="157"/>
        <v>409.5625</v>
      </c>
      <c r="U70" s="174">
        <f t="shared" si="157"/>
        <v>-2724.046875</v>
      </c>
      <c r="V70" s="174">
        <f t="shared" si="157"/>
        <v>-497.30859375</v>
      </c>
      <c r="W70" s="174">
        <f t="shared" si="157"/>
        <v>-592.8857421875</v>
      </c>
      <c r="X70" s="174">
        <f t="shared" si="157"/>
        <v>-851.169677734375</v>
      </c>
      <c r="Y70" s="174">
        <f t="shared" si="157"/>
        <v>-1166.3527221679688</v>
      </c>
      <c r="Z70" s="174">
        <f t="shared" si="157"/>
        <v>-776.92918395996094</v>
      </c>
      <c r="AA70" s="174">
        <f t="shared" si="157"/>
        <v>-846.83433151245117</v>
      </c>
      <c r="AB70" s="174">
        <f t="shared" si="157"/>
        <v>-910.32147884368896</v>
      </c>
      <c r="AC70" s="174">
        <f t="shared" si="157"/>
        <v>-925.10942912101746</v>
      </c>
      <c r="AD70" s="174">
        <f t="shared" si="157"/>
        <v>-864.79860585927963</v>
      </c>
      <c r="AE70" s="174">
        <f t="shared" si="157"/>
        <v>-886.76596133410931</v>
      </c>
      <c r="AF70" s="174">
        <f t="shared" si="157"/>
        <v>-896.74886878952384</v>
      </c>
      <c r="AG70" s="174">
        <f t="shared" si="157"/>
        <v>-893.35571627598256</v>
      </c>
      <c r="AH70" s="174">
        <f t="shared" si="157"/>
        <v>-885.41728806472383</v>
      </c>
      <c r="AI70" s="174">
        <f t="shared" si="157"/>
        <v>-890.57195861608488</v>
      </c>
      <c r="AJ70" s="174">
        <f t="shared" si="157"/>
        <v>-891.52345793657878</v>
      </c>
      <c r="AK70" s="174">
        <f t="shared" si="157"/>
        <v>-890.21710522334251</v>
      </c>
      <c r="AL70" s="174">
        <f t="shared" si="157"/>
        <v>-889.4324524601825</v>
      </c>
      <c r="AM70" s="174">
        <f t="shared" si="157"/>
        <v>-890.43624355904717</v>
      </c>
      <c r="AN70" s="174">
        <f t="shared" si="157"/>
        <v>-890.4023147947878</v>
      </c>
      <c r="AO70" s="174">
        <f t="shared" si="157"/>
        <v>-890.12202900934005</v>
      </c>
      <c r="AP70" s="174">
        <f t="shared" si="157"/>
        <v>-890.09825995583935</v>
      </c>
      <c r="AQ70" s="174">
        <f t="shared" si="157"/>
        <v>-890.26471182975354</v>
      </c>
      <c r="AR70" s="174">
        <f t="shared" si="157"/>
        <v>-890.22182889743021</v>
      </c>
      <c r="AS70" s="174">
        <f t="shared" si="157"/>
        <v>-890.17670742309087</v>
      </c>
      <c r="AT70" s="174">
        <f t="shared" si="157"/>
        <v>-890.19037702652849</v>
      </c>
      <c r="AU70" s="174">
        <f t="shared" si="157"/>
        <v>-890.21340629420081</v>
      </c>
      <c r="AV70" s="174">
        <f t="shared" si="157"/>
        <v>-890.20057991031263</v>
      </c>
      <c r="AW70" s="174">
        <f t="shared" si="157"/>
        <v>-890.19526766353317</v>
      </c>
      <c r="AX70" s="174">
        <f t="shared" si="157"/>
        <v>-890.19990772364383</v>
      </c>
      <c r="AY70" s="174">
        <f t="shared" si="157"/>
        <v>-890.20229039792264</v>
      </c>
      <c r="AZ70" s="174">
        <f t="shared" si="157"/>
        <v>-890.1995114238531</v>
      </c>
      <c r="BA70" s="174">
        <f t="shared" si="157"/>
        <v>-890.19924430223818</v>
      </c>
      <c r="BB70" s="174">
        <f t="shared" si="157"/>
        <v>-890.20023846191441</v>
      </c>
      <c r="BC70" s="174">
        <f t="shared" si="157"/>
        <v>-890.20032114648211</v>
      </c>
      <c r="BD70" s="174">
        <f t="shared" si="157"/>
        <v>-890.19982883362195</v>
      </c>
      <c r="BE70" s="174">
        <f t="shared" si="157"/>
        <v>-890.19990818606425</v>
      </c>
      <c r="BF70" s="174">
        <f t="shared" si="157"/>
        <v>-890.20007415702071</v>
      </c>
      <c r="BG70" s="174">
        <f t="shared" si="157"/>
        <v>-890.20003308079731</v>
      </c>
      <c r="BH70" s="1"/>
      <c r="BI70" s="204"/>
      <c r="BJ70" s="204"/>
      <c r="BK70" s="204"/>
      <c r="BL70" s="204"/>
      <c r="BM70" s="1"/>
      <c r="BN70" s="378">
        <v>701.75</v>
      </c>
      <c r="BO70" s="428">
        <f t="shared" si="2"/>
        <v>-816.75</v>
      </c>
      <c r="BP70" s="378">
        <v>-3386.5625</v>
      </c>
      <c r="BQ70" s="428">
        <f t="shared" si="2"/>
        <v>3826.8125</v>
      </c>
    </row>
    <row r="71" spans="1:69" x14ac:dyDescent="0.25">
      <c r="A71" s="82" t="s">
        <v>347</v>
      </c>
      <c r="B71" s="100" t="s">
        <v>348</v>
      </c>
      <c r="C71" s="5" t="s">
        <v>298</v>
      </c>
      <c r="D71" s="102">
        <v>139078</v>
      </c>
      <c r="E71" s="102">
        <v>168532</v>
      </c>
      <c r="F71" s="102">
        <v>311825</v>
      </c>
      <c r="G71" s="102">
        <v>240878</v>
      </c>
      <c r="H71" s="102">
        <v>333413</v>
      </c>
      <c r="I71" s="102">
        <v>351934</v>
      </c>
      <c r="J71" s="102">
        <v>466048</v>
      </c>
      <c r="K71" s="102">
        <v>550377</v>
      </c>
      <c r="L71" s="102">
        <v>696090</v>
      </c>
      <c r="M71" s="102">
        <v>733268</v>
      </c>
      <c r="N71" s="102">
        <v>770817</v>
      </c>
      <c r="O71" s="102">
        <v>701878</v>
      </c>
      <c r="P71" s="102">
        <f>P79+P76</f>
        <v>461970</v>
      </c>
      <c r="Q71" s="102">
        <f>Q79+Q76</f>
        <v>514251</v>
      </c>
      <c r="R71" s="102">
        <f>R79+R76</f>
        <v>445419</v>
      </c>
      <c r="S71" s="102">
        <f t="shared" ref="S71:BG71" si="158">S55-S64+S70</f>
        <v>561139.8983748426</v>
      </c>
      <c r="T71" s="102">
        <f t="shared" si="158"/>
        <v>615763.64301942103</v>
      </c>
      <c r="U71" s="102">
        <f t="shared" si="158"/>
        <v>746980.21990221634</v>
      </c>
      <c r="V71" s="102">
        <f t="shared" si="158"/>
        <v>727691.1950269856</v>
      </c>
      <c r="W71" s="102">
        <f t="shared" si="158"/>
        <v>772061.47608723002</v>
      </c>
      <c r="X71" s="102">
        <f t="shared" si="158"/>
        <v>798948.66278757923</v>
      </c>
      <c r="Y71" s="102">
        <f t="shared" si="158"/>
        <v>958336.46542054531</v>
      </c>
      <c r="Z71" s="102">
        <f t="shared" si="158"/>
        <v>937994.57907281758</v>
      </c>
      <c r="AA71" s="102">
        <f t="shared" si="158"/>
        <v>1001924.6043851422</v>
      </c>
      <c r="AB71" s="102">
        <f t="shared" si="158"/>
        <v>1002414.2107520973</v>
      </c>
      <c r="AC71" s="102">
        <f t="shared" si="158"/>
        <v>1182141.4061061384</v>
      </c>
      <c r="AD71" s="102">
        <f t="shared" si="158"/>
        <v>1149731.515679986</v>
      </c>
      <c r="AE71" s="102">
        <f t="shared" si="158"/>
        <v>1221300.4805823176</v>
      </c>
      <c r="AF71" s="102">
        <f t="shared" si="158"/>
        <v>1183066.2524087054</v>
      </c>
      <c r="AG71" s="102">
        <f t="shared" si="158"/>
        <v>1397355.6457299599</v>
      </c>
      <c r="AH71" s="102">
        <f t="shared" si="158"/>
        <v>1362677.2698399404</v>
      </c>
      <c r="AI71" s="102">
        <f t="shared" si="158"/>
        <v>1468364.8066898859</v>
      </c>
      <c r="AJ71" s="102">
        <f t="shared" si="158"/>
        <v>1391744.4140284178</v>
      </c>
      <c r="AK71" s="102">
        <f t="shared" si="158"/>
        <v>1647968.2965488525</v>
      </c>
      <c r="AL71" s="102">
        <f t="shared" si="158"/>
        <v>1611094.1493154683</v>
      </c>
      <c r="AM71" s="102">
        <f t="shared" si="158"/>
        <v>1761177.4955035371</v>
      </c>
      <c r="AN71" s="102">
        <f t="shared" si="158"/>
        <v>1634029.7310322034</v>
      </c>
      <c r="AO71" s="102">
        <f t="shared" si="158"/>
        <v>1941238.3436762867</v>
      </c>
      <c r="AP71" s="102">
        <f t="shared" si="158"/>
        <v>1902251.0188364072</v>
      </c>
      <c r="AQ71" s="102">
        <f t="shared" si="158"/>
        <v>2109816.2410315662</v>
      </c>
      <c r="AR71" s="102">
        <f t="shared" si="158"/>
        <v>1916872.5263200139</v>
      </c>
      <c r="AS71" s="102">
        <f t="shared" si="158"/>
        <v>2286156.4510020716</v>
      </c>
      <c r="AT71" s="102">
        <f t="shared" si="158"/>
        <v>2245195.5445595337</v>
      </c>
      <c r="AU71" s="102">
        <f t="shared" si="158"/>
        <v>2526862.0215836228</v>
      </c>
      <c r="AV71" s="102">
        <f t="shared" si="158"/>
        <v>2248965.3813423049</v>
      </c>
      <c r="AW71" s="102">
        <f t="shared" si="158"/>
        <v>2693907.2079681186</v>
      </c>
      <c r="AX71" s="102">
        <f t="shared" si="158"/>
        <v>2651194.7292302107</v>
      </c>
      <c r="AY71" s="102">
        <f t="shared" si="158"/>
        <v>3028036.274510188</v>
      </c>
      <c r="AZ71" s="102">
        <f t="shared" si="158"/>
        <v>2641192.0346360113</v>
      </c>
      <c r="BA71" s="102">
        <f t="shared" si="158"/>
        <v>3178459.5085593998</v>
      </c>
      <c r="BB71" s="102">
        <f t="shared" si="158"/>
        <v>3134311.7532138573</v>
      </c>
      <c r="BC71" s="102">
        <f t="shared" si="158"/>
        <v>3633007.0536772134</v>
      </c>
      <c r="BD71" s="102">
        <f t="shared" si="158"/>
        <v>3107222.3251819187</v>
      </c>
      <c r="BE71" s="102">
        <f t="shared" si="158"/>
        <v>3757269.5668595978</v>
      </c>
      <c r="BF71" s="102">
        <f t="shared" si="158"/>
        <v>3712123.6710302252</v>
      </c>
      <c r="BG71" s="102">
        <f t="shared" si="158"/>
        <v>4366412.6889403127</v>
      </c>
      <c r="BH71" s="1"/>
      <c r="BI71" s="204"/>
      <c r="BJ71" s="204"/>
      <c r="BK71" s="204"/>
      <c r="BL71" s="204"/>
      <c r="BM71" s="1"/>
      <c r="BN71" s="372">
        <v>474540.89780496573</v>
      </c>
      <c r="BO71" s="422">
        <f t="shared" si="2"/>
        <v>-29121.897804965731</v>
      </c>
      <c r="BP71" s="372">
        <v>560256.94381936651</v>
      </c>
      <c r="BQ71" s="422">
        <f t="shared" si="2"/>
        <v>882.95455547608435</v>
      </c>
    </row>
    <row r="72" spans="1:69" x14ac:dyDescent="0.25">
      <c r="A72" s="488"/>
      <c r="B72" s="489"/>
      <c r="C72" s="134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347"/>
      <c r="R72" s="347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6"/>
      <c r="BD72" s="66"/>
      <c r="BE72" s="66"/>
      <c r="BF72" s="66"/>
      <c r="BG72" s="66"/>
      <c r="BH72" s="1"/>
      <c r="BI72" s="204"/>
      <c r="BJ72" s="204"/>
      <c r="BK72" s="204"/>
      <c r="BL72" s="204"/>
      <c r="BM72" s="1"/>
      <c r="BN72" s="391"/>
      <c r="BO72" s="441" t="str">
        <f t="shared" ref="BO72:BQ135" si="159">IF(ISBLANK(BN72),"",INDEX($A72:$BH72,1,MATCH(BN$3,$A$3:$BH$3,0))-BN72)</f>
        <v/>
      </c>
      <c r="BP72" s="391"/>
      <c r="BQ72" s="441" t="str">
        <f t="shared" si="159"/>
        <v/>
      </c>
    </row>
    <row r="73" spans="1:69" x14ac:dyDescent="0.25">
      <c r="A73" s="82"/>
      <c r="B73" s="95" t="s">
        <v>96</v>
      </c>
      <c r="C73" s="131"/>
      <c r="D73" s="2"/>
      <c r="E73" s="46"/>
      <c r="F73" s="2"/>
      <c r="G73" s="46"/>
      <c r="H73" s="2"/>
      <c r="I73" s="46"/>
      <c r="J73" s="2"/>
      <c r="K73" s="46"/>
      <c r="L73" s="2"/>
      <c r="M73" s="46"/>
      <c r="N73" s="46"/>
      <c r="O73" s="46"/>
      <c r="P73" s="2"/>
      <c r="Q73" s="2"/>
      <c r="R73" s="2"/>
      <c r="S73" s="2"/>
      <c r="T73" s="2"/>
      <c r="U73" s="2"/>
      <c r="V73" s="2"/>
      <c r="W73" s="2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204"/>
      <c r="BJ73" s="204"/>
      <c r="BK73" s="204"/>
      <c r="BL73" s="204"/>
      <c r="BM73" s="1"/>
      <c r="BN73" s="369"/>
      <c r="BO73" s="419" t="str">
        <f t="shared" si="159"/>
        <v/>
      </c>
      <c r="BP73" s="369"/>
      <c r="BQ73" s="419" t="str">
        <f t="shared" si="159"/>
        <v/>
      </c>
    </row>
    <row r="74" spans="1:69" x14ac:dyDescent="0.25">
      <c r="A74" s="82" t="s">
        <v>349</v>
      </c>
      <c r="B74" s="92" t="s">
        <v>350</v>
      </c>
      <c r="C74" s="131"/>
      <c r="D74" s="108">
        <v>-1702</v>
      </c>
      <c r="E74" s="108">
        <v>1304</v>
      </c>
      <c r="F74" s="108">
        <v>-17289</v>
      </c>
      <c r="G74" s="108">
        <v>5375</v>
      </c>
      <c r="H74" s="108">
        <v>-2056</v>
      </c>
      <c r="I74" s="108">
        <v>-3700</v>
      </c>
      <c r="J74" s="108">
        <v>49529</v>
      </c>
      <c r="K74" s="108">
        <v>-51792</v>
      </c>
      <c r="L74" s="108">
        <v>35492</v>
      </c>
      <c r="M74" s="108">
        <v>59029</v>
      </c>
      <c r="N74" s="108">
        <v>43011</v>
      </c>
      <c r="O74" s="108">
        <v>-1646875</v>
      </c>
      <c r="P74" s="108">
        <v>38328</v>
      </c>
      <c r="Q74" s="108">
        <v>121048</v>
      </c>
      <c r="R74" s="108">
        <v>139928</v>
      </c>
      <c r="S74" s="2"/>
      <c r="T74" s="2"/>
      <c r="U74" s="2"/>
      <c r="V74" s="2"/>
      <c r="W74" s="2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204"/>
      <c r="BJ74" s="204"/>
      <c r="BK74" s="204"/>
      <c r="BL74" s="204"/>
      <c r="BM74" s="1"/>
      <c r="BN74" s="369"/>
      <c r="BO74" s="419" t="str">
        <f t="shared" si="159"/>
        <v/>
      </c>
      <c r="BP74" s="369"/>
      <c r="BQ74" s="419" t="str">
        <f t="shared" si="159"/>
        <v/>
      </c>
    </row>
    <row r="75" spans="1:69" x14ac:dyDescent="0.25">
      <c r="A75" s="82" t="s">
        <v>351</v>
      </c>
      <c r="B75" s="92" t="s">
        <v>608</v>
      </c>
      <c r="C75" s="131"/>
      <c r="D75" s="108">
        <v>-38326</v>
      </c>
      <c r="E75" s="108">
        <v>-57734</v>
      </c>
      <c r="F75" s="108">
        <v>-65940</v>
      </c>
      <c r="G75" s="108">
        <v>-102523</v>
      </c>
      <c r="H75" s="108">
        <v>-84607</v>
      </c>
      <c r="I75" s="108">
        <v>-109647</v>
      </c>
      <c r="J75" s="108">
        <v>-71050</v>
      </c>
      <c r="K75" s="108">
        <v>-317399</v>
      </c>
      <c r="L75" s="108">
        <v>-118336</v>
      </c>
      <c r="M75" s="108">
        <v>-85518</v>
      </c>
      <c r="N75" s="108">
        <v>-173408</v>
      </c>
      <c r="O75" s="108">
        <v>-1893368</v>
      </c>
      <c r="P75" s="108">
        <v>-69371</v>
      </c>
      <c r="Q75" s="108">
        <v>-8062</v>
      </c>
      <c r="R75" s="108">
        <f>-8909+39933</f>
        <v>31024</v>
      </c>
      <c r="S75" s="2"/>
      <c r="T75" s="2"/>
      <c r="U75" s="2"/>
      <c r="V75" s="2"/>
      <c r="W75" s="2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204"/>
      <c r="BJ75" s="204"/>
      <c r="BK75" s="204"/>
      <c r="BL75" s="204"/>
      <c r="BM75" s="1"/>
      <c r="BN75" s="369"/>
      <c r="BO75" s="419" t="str">
        <f t="shared" si="159"/>
        <v/>
      </c>
      <c r="BP75" s="369"/>
      <c r="BQ75" s="419" t="str">
        <f t="shared" si="159"/>
        <v/>
      </c>
    </row>
    <row r="76" spans="1:69" x14ac:dyDescent="0.25">
      <c r="A76" s="82" t="s">
        <v>353</v>
      </c>
      <c r="B76" s="100" t="s">
        <v>354</v>
      </c>
      <c r="C76" s="5" t="s">
        <v>298</v>
      </c>
      <c r="D76" s="102">
        <v>36624</v>
      </c>
      <c r="E76" s="102">
        <v>59038</v>
      </c>
      <c r="F76" s="102">
        <v>48651</v>
      </c>
      <c r="G76" s="102">
        <v>107898</v>
      </c>
      <c r="H76" s="102">
        <v>82551</v>
      </c>
      <c r="I76" s="102">
        <v>105947</v>
      </c>
      <c r="J76" s="102">
        <v>120579</v>
      </c>
      <c r="K76" s="102">
        <v>265607</v>
      </c>
      <c r="L76" s="102">
        <v>153828</v>
      </c>
      <c r="M76" s="102">
        <v>144547</v>
      </c>
      <c r="N76" s="102">
        <v>216419</v>
      </c>
      <c r="O76" s="102">
        <f>O74-O75</f>
        <v>246493</v>
      </c>
      <c r="P76" s="102">
        <f>P74-P75</f>
        <v>107699</v>
      </c>
      <c r="Q76" s="102">
        <f>Q74-Q75</f>
        <v>129110</v>
      </c>
      <c r="R76" s="102">
        <f>R74-R75</f>
        <v>108904</v>
      </c>
      <c r="S76" s="102">
        <f t="shared" ref="S76:BG76" si="160">S71*S77</f>
        <v>140284.97459371065</v>
      </c>
      <c r="T76" s="102">
        <f t="shared" si="160"/>
        <v>153940.91075485526</v>
      </c>
      <c r="U76" s="102">
        <f t="shared" si="160"/>
        <v>186745.05497555409</v>
      </c>
      <c r="V76" s="102">
        <f t="shared" si="160"/>
        <v>181922.7987567464</v>
      </c>
      <c r="W76" s="102">
        <f t="shared" si="160"/>
        <v>193015.36902180751</v>
      </c>
      <c r="X76" s="102">
        <f t="shared" si="160"/>
        <v>199737.16569689481</v>
      </c>
      <c r="Y76" s="102">
        <f t="shared" si="160"/>
        <v>239584.11635513633</v>
      </c>
      <c r="Z76" s="102">
        <f t="shared" si="160"/>
        <v>234498.64476820439</v>
      </c>
      <c r="AA76" s="102">
        <f t="shared" si="160"/>
        <v>250481.15109628555</v>
      </c>
      <c r="AB76" s="102">
        <f t="shared" si="160"/>
        <v>250603.55268802433</v>
      </c>
      <c r="AC76" s="102">
        <f t="shared" si="160"/>
        <v>295535.35152653459</v>
      </c>
      <c r="AD76" s="102">
        <f t="shared" si="160"/>
        <v>287432.8789199965</v>
      </c>
      <c r="AE76" s="102">
        <f t="shared" si="160"/>
        <v>305325.12014557939</v>
      </c>
      <c r="AF76" s="102">
        <f t="shared" si="160"/>
        <v>295766.56310217635</v>
      </c>
      <c r="AG76" s="102">
        <f t="shared" si="160"/>
        <v>349338.91143248999</v>
      </c>
      <c r="AH76" s="102">
        <f t="shared" si="160"/>
        <v>340669.31745998509</v>
      </c>
      <c r="AI76" s="102">
        <f t="shared" si="160"/>
        <v>367091.20167247148</v>
      </c>
      <c r="AJ76" s="102">
        <f t="shared" si="160"/>
        <v>347936.10350710445</v>
      </c>
      <c r="AK76" s="102">
        <f t="shared" si="160"/>
        <v>411992.07413721312</v>
      </c>
      <c r="AL76" s="102">
        <f t="shared" si="160"/>
        <v>402773.53732886707</v>
      </c>
      <c r="AM76" s="102">
        <f t="shared" si="160"/>
        <v>440294.37387588428</v>
      </c>
      <c r="AN76" s="102">
        <f t="shared" si="160"/>
        <v>408507.43275805085</v>
      </c>
      <c r="AO76" s="102">
        <f t="shared" si="160"/>
        <v>485309.58591907169</v>
      </c>
      <c r="AP76" s="102">
        <f t="shared" si="160"/>
        <v>475562.75470910181</v>
      </c>
      <c r="AQ76" s="102">
        <f t="shared" si="160"/>
        <v>527454.06025789154</v>
      </c>
      <c r="AR76" s="102">
        <f t="shared" si="160"/>
        <v>479218.13158000348</v>
      </c>
      <c r="AS76" s="102">
        <f t="shared" si="160"/>
        <v>571539.1127505179</v>
      </c>
      <c r="AT76" s="102">
        <f t="shared" si="160"/>
        <v>561298.88613988343</v>
      </c>
      <c r="AU76" s="102">
        <f t="shared" si="160"/>
        <v>631715.5053959057</v>
      </c>
      <c r="AV76" s="102">
        <f t="shared" si="160"/>
        <v>562241.34533557622</v>
      </c>
      <c r="AW76" s="102">
        <f t="shared" si="160"/>
        <v>673476.80199202965</v>
      </c>
      <c r="AX76" s="102">
        <f t="shared" si="160"/>
        <v>662798.68230755266</v>
      </c>
      <c r="AY76" s="102">
        <f t="shared" si="160"/>
        <v>757009.06862754701</v>
      </c>
      <c r="AZ76" s="102">
        <f t="shared" si="160"/>
        <v>660298.00865900284</v>
      </c>
      <c r="BA76" s="102">
        <f t="shared" si="160"/>
        <v>794614.87713984994</v>
      </c>
      <c r="BB76" s="102">
        <f t="shared" si="160"/>
        <v>783577.93830346433</v>
      </c>
      <c r="BC76" s="102">
        <f t="shared" si="160"/>
        <v>908251.76341930334</v>
      </c>
      <c r="BD76" s="102">
        <f t="shared" si="160"/>
        <v>776805.58129547967</v>
      </c>
      <c r="BE76" s="102">
        <f t="shared" si="160"/>
        <v>939317.39171489945</v>
      </c>
      <c r="BF76" s="102">
        <f t="shared" si="160"/>
        <v>928030.91775755631</v>
      </c>
      <c r="BG76" s="102">
        <f t="shared" si="160"/>
        <v>1091603.1722350782</v>
      </c>
      <c r="BH76" s="1"/>
      <c r="BI76" s="204"/>
      <c r="BJ76" s="204"/>
      <c r="BK76" s="204"/>
      <c r="BL76" s="204"/>
      <c r="BM76" s="1"/>
      <c r="BN76" s="372">
        <v>104398.99751709246</v>
      </c>
      <c r="BO76" s="422">
        <f t="shared" si="159"/>
        <v>4505.002482907541</v>
      </c>
      <c r="BP76" s="372">
        <v>123256.52764026064</v>
      </c>
      <c r="BQ76" s="422">
        <f t="shared" si="159"/>
        <v>17028.446953450009</v>
      </c>
    </row>
    <row r="77" spans="1:69" x14ac:dyDescent="0.25">
      <c r="A77" s="82"/>
      <c r="B77" s="92" t="s">
        <v>355</v>
      </c>
      <c r="C77" s="93" t="s">
        <v>7</v>
      </c>
      <c r="D77" s="136">
        <v>0.26300000000000001</v>
      </c>
      <c r="E77" s="136">
        <v>0.35</v>
      </c>
      <c r="F77" s="136">
        <v>0.156</v>
      </c>
      <c r="G77" s="136">
        <v>0.44800000000000001</v>
      </c>
      <c r="H77" s="136">
        <v>0.248</v>
      </c>
      <c r="I77" s="136">
        <v>0.30099999999999999</v>
      </c>
      <c r="J77" s="136">
        <v>0.25900000000000001</v>
      </c>
      <c r="K77" s="136">
        <v>0.48299999999999998</v>
      </c>
      <c r="L77" s="136">
        <v>0.221</v>
      </c>
      <c r="M77" s="136">
        <v>0.19700000000000001</v>
      </c>
      <c r="N77" s="331">
        <f t="shared" ref="N77:P77" si="161">N76/N71</f>
        <v>0.28076573298201779</v>
      </c>
      <c r="O77" s="331">
        <f t="shared" si="161"/>
        <v>0.35119066276475397</v>
      </c>
      <c r="P77" s="331">
        <f t="shared" si="161"/>
        <v>0.23312985691711582</v>
      </c>
      <c r="Q77" s="331">
        <f>Q76/Q71</f>
        <v>0.25106416905363332</v>
      </c>
      <c r="R77" s="331">
        <f>R76/R71</f>
        <v>0.24449787727959515</v>
      </c>
      <c r="S77" s="159">
        <v>0.25</v>
      </c>
      <c r="T77" s="159">
        <v>0.25</v>
      </c>
      <c r="U77" s="159">
        <v>0.25</v>
      </c>
      <c r="V77" s="159">
        <v>0.25</v>
      </c>
      <c r="W77" s="159">
        <v>0.25</v>
      </c>
      <c r="X77" s="159">
        <v>0.25</v>
      </c>
      <c r="Y77" s="159">
        <v>0.25</v>
      </c>
      <c r="Z77" s="159">
        <v>0.25</v>
      </c>
      <c r="AA77" s="159">
        <v>0.25</v>
      </c>
      <c r="AB77" s="159">
        <v>0.25</v>
      </c>
      <c r="AC77" s="159">
        <v>0.25</v>
      </c>
      <c r="AD77" s="159">
        <v>0.25</v>
      </c>
      <c r="AE77" s="159">
        <v>0.25</v>
      </c>
      <c r="AF77" s="159">
        <v>0.25</v>
      </c>
      <c r="AG77" s="159">
        <v>0.25</v>
      </c>
      <c r="AH77" s="159">
        <v>0.25</v>
      </c>
      <c r="AI77" s="159">
        <v>0.25</v>
      </c>
      <c r="AJ77" s="159">
        <v>0.25</v>
      </c>
      <c r="AK77" s="159">
        <v>0.25</v>
      </c>
      <c r="AL77" s="159">
        <v>0.25</v>
      </c>
      <c r="AM77" s="159">
        <v>0.25</v>
      </c>
      <c r="AN77" s="159">
        <v>0.25</v>
      </c>
      <c r="AO77" s="159">
        <v>0.25</v>
      </c>
      <c r="AP77" s="159">
        <v>0.25</v>
      </c>
      <c r="AQ77" s="159">
        <v>0.25</v>
      </c>
      <c r="AR77" s="159">
        <v>0.25</v>
      </c>
      <c r="AS77" s="159">
        <v>0.25</v>
      </c>
      <c r="AT77" s="159">
        <v>0.25</v>
      </c>
      <c r="AU77" s="159">
        <v>0.25</v>
      </c>
      <c r="AV77" s="159">
        <v>0.25</v>
      </c>
      <c r="AW77" s="159">
        <v>0.25</v>
      </c>
      <c r="AX77" s="159">
        <v>0.25</v>
      </c>
      <c r="AY77" s="159">
        <v>0.25</v>
      </c>
      <c r="AZ77" s="159">
        <v>0.25</v>
      </c>
      <c r="BA77" s="159">
        <v>0.25</v>
      </c>
      <c r="BB77" s="159">
        <v>0.25</v>
      </c>
      <c r="BC77" s="159">
        <v>0.25</v>
      </c>
      <c r="BD77" s="159">
        <v>0.25</v>
      </c>
      <c r="BE77" s="159">
        <v>0.25</v>
      </c>
      <c r="BF77" s="159">
        <v>0.25</v>
      </c>
      <c r="BG77" s="159">
        <v>0.25</v>
      </c>
      <c r="BH77" s="1"/>
      <c r="BI77" s="204"/>
      <c r="BJ77" s="204"/>
      <c r="BK77" s="204"/>
      <c r="BL77" s="204"/>
      <c r="BM77" s="1"/>
      <c r="BN77" s="385">
        <v>0.22</v>
      </c>
      <c r="BO77" s="435">
        <f t="shared" si="159"/>
        <v>2.4497877279595154E-2</v>
      </c>
      <c r="BP77" s="385">
        <v>0.22</v>
      </c>
      <c r="BQ77" s="435">
        <f t="shared" si="159"/>
        <v>0.03</v>
      </c>
    </row>
    <row r="78" spans="1:69" x14ac:dyDescent="0.25">
      <c r="A78" s="488"/>
      <c r="B78" s="489"/>
      <c r="C78" s="93"/>
      <c r="D78" s="48"/>
      <c r="E78" s="46"/>
      <c r="F78" s="48"/>
      <c r="G78" s="46"/>
      <c r="H78" s="48"/>
      <c r="I78" s="46"/>
      <c r="J78" s="48"/>
      <c r="K78" s="46"/>
      <c r="L78" s="48"/>
      <c r="M78" s="46"/>
      <c r="N78" s="46"/>
      <c r="O78" s="46"/>
      <c r="P78" s="16" t="s">
        <v>603</v>
      </c>
      <c r="Q78" s="16"/>
      <c r="R78" s="16"/>
      <c r="S78" s="48"/>
      <c r="T78" s="48"/>
      <c r="U78" s="48"/>
      <c r="V78" s="48"/>
      <c r="W78" s="48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204"/>
      <c r="BJ78" s="204"/>
      <c r="BK78" s="204"/>
      <c r="BL78" s="204"/>
      <c r="BM78" s="1"/>
      <c r="BN78" s="377"/>
      <c r="BO78" s="427" t="str">
        <f t="shared" si="159"/>
        <v/>
      </c>
      <c r="BP78" s="377"/>
      <c r="BQ78" s="427" t="str">
        <f t="shared" si="159"/>
        <v/>
      </c>
    </row>
    <row r="79" spans="1:69" ht="15.75" thickBot="1" x14ac:dyDescent="0.3">
      <c r="A79" s="82" t="s">
        <v>38</v>
      </c>
      <c r="B79" s="139" t="s">
        <v>38</v>
      </c>
      <c r="C79" s="232" t="s">
        <v>298</v>
      </c>
      <c r="D79" s="233">
        <v>102454</v>
      </c>
      <c r="E79" s="233">
        <v>109494</v>
      </c>
      <c r="F79" s="233">
        <v>263174</v>
      </c>
      <c r="G79" s="233">
        <v>132980</v>
      </c>
      <c r="H79" s="233">
        <v>250862</v>
      </c>
      <c r="I79" s="233">
        <v>245987</v>
      </c>
      <c r="J79" s="233">
        <v>345469</v>
      </c>
      <c r="K79" s="233">
        <v>284770</v>
      </c>
      <c r="L79" s="233">
        <v>542262</v>
      </c>
      <c r="M79" s="233">
        <v>588721</v>
      </c>
      <c r="N79" s="233">
        <v>554398</v>
      </c>
      <c r="O79" s="233">
        <v>455385</v>
      </c>
      <c r="P79" s="233">
        <v>354271</v>
      </c>
      <c r="Q79" s="233">
        <v>385141</v>
      </c>
      <c r="R79" s="233">
        <v>336515</v>
      </c>
      <c r="S79" s="234">
        <f t="shared" ref="S79:BG79" si="162">S71-S76</f>
        <v>420854.92378113198</v>
      </c>
      <c r="T79" s="234">
        <f t="shared" si="162"/>
        <v>461822.73226456577</v>
      </c>
      <c r="U79" s="234">
        <f t="shared" si="162"/>
        <v>560235.16492666223</v>
      </c>
      <c r="V79" s="234">
        <f t="shared" si="162"/>
        <v>545768.39627023926</v>
      </c>
      <c r="W79" s="234">
        <f t="shared" si="162"/>
        <v>579046.10706542246</v>
      </c>
      <c r="X79" s="234">
        <f t="shared" si="162"/>
        <v>599211.49709068448</v>
      </c>
      <c r="Y79" s="234">
        <f t="shared" si="162"/>
        <v>718752.34906540904</v>
      </c>
      <c r="Z79" s="234">
        <f t="shared" si="162"/>
        <v>703495.93430461315</v>
      </c>
      <c r="AA79" s="234">
        <f t="shared" si="162"/>
        <v>751443.45328885666</v>
      </c>
      <c r="AB79" s="234">
        <f t="shared" si="162"/>
        <v>751810.65806407295</v>
      </c>
      <c r="AC79" s="234">
        <f t="shared" si="162"/>
        <v>886606.05457960372</v>
      </c>
      <c r="AD79" s="234">
        <f t="shared" si="162"/>
        <v>862298.63675998943</v>
      </c>
      <c r="AE79" s="234">
        <f t="shared" si="162"/>
        <v>915975.36043673824</v>
      </c>
      <c r="AF79" s="234">
        <f t="shared" si="162"/>
        <v>887299.68930652901</v>
      </c>
      <c r="AG79" s="234">
        <f t="shared" si="162"/>
        <v>1048016.73429747</v>
      </c>
      <c r="AH79" s="234">
        <f t="shared" si="162"/>
        <v>1022007.9523799552</v>
      </c>
      <c r="AI79" s="234">
        <f t="shared" si="162"/>
        <v>1101273.6050174143</v>
      </c>
      <c r="AJ79" s="234">
        <f t="shared" si="162"/>
        <v>1043808.3105213133</v>
      </c>
      <c r="AK79" s="234">
        <f t="shared" si="162"/>
        <v>1235976.2224116393</v>
      </c>
      <c r="AL79" s="234">
        <f t="shared" si="162"/>
        <v>1208320.6119866013</v>
      </c>
      <c r="AM79" s="234">
        <f t="shared" si="162"/>
        <v>1320883.1216276528</v>
      </c>
      <c r="AN79" s="234">
        <f t="shared" si="162"/>
        <v>1225522.2982741524</v>
      </c>
      <c r="AO79" s="234">
        <f t="shared" si="162"/>
        <v>1455928.7577572151</v>
      </c>
      <c r="AP79" s="234">
        <f t="shared" si="162"/>
        <v>1426688.2641273055</v>
      </c>
      <c r="AQ79" s="234">
        <f t="shared" si="162"/>
        <v>1582362.1807736745</v>
      </c>
      <c r="AR79" s="234">
        <f t="shared" si="162"/>
        <v>1437654.3947400104</v>
      </c>
      <c r="AS79" s="234">
        <f t="shared" si="162"/>
        <v>1714617.3382515537</v>
      </c>
      <c r="AT79" s="234">
        <f t="shared" si="162"/>
        <v>1683896.6584196503</v>
      </c>
      <c r="AU79" s="234">
        <f t="shared" si="162"/>
        <v>1895146.5161877172</v>
      </c>
      <c r="AV79" s="234">
        <f t="shared" si="162"/>
        <v>1686724.0360067287</v>
      </c>
      <c r="AW79" s="234">
        <f t="shared" si="162"/>
        <v>2020430.405976089</v>
      </c>
      <c r="AX79" s="234">
        <f t="shared" si="162"/>
        <v>1988396.0469226581</v>
      </c>
      <c r="AY79" s="234">
        <f t="shared" si="162"/>
        <v>2271027.205882641</v>
      </c>
      <c r="AZ79" s="234">
        <f t="shared" si="162"/>
        <v>1980894.0259770085</v>
      </c>
      <c r="BA79" s="234">
        <f t="shared" si="162"/>
        <v>2383844.6314195497</v>
      </c>
      <c r="BB79" s="234">
        <f t="shared" si="162"/>
        <v>2350733.8149103932</v>
      </c>
      <c r="BC79" s="234">
        <f t="shared" si="162"/>
        <v>2724755.2902579103</v>
      </c>
      <c r="BD79" s="234">
        <f t="shared" si="162"/>
        <v>2330416.7438864391</v>
      </c>
      <c r="BE79" s="234">
        <f t="shared" si="162"/>
        <v>2817952.1751446985</v>
      </c>
      <c r="BF79" s="234">
        <f t="shared" si="162"/>
        <v>2784092.7532726689</v>
      </c>
      <c r="BG79" s="234">
        <f t="shared" si="162"/>
        <v>3274809.5167052345</v>
      </c>
      <c r="BH79" s="1"/>
      <c r="BI79" s="204"/>
      <c r="BJ79" s="204"/>
      <c r="BK79" s="204"/>
      <c r="BL79" s="204"/>
      <c r="BM79" s="1"/>
      <c r="BN79" s="392">
        <v>370141.90028787329</v>
      </c>
      <c r="BO79" s="442">
        <f t="shared" si="159"/>
        <v>-33626.900287873286</v>
      </c>
      <c r="BP79" s="392">
        <v>437000.41617910587</v>
      </c>
      <c r="BQ79" s="442">
        <f t="shared" si="159"/>
        <v>-16145.492397973896</v>
      </c>
    </row>
    <row r="80" spans="1:69" x14ac:dyDescent="0.25">
      <c r="A80" s="488"/>
      <c r="B80" s="489"/>
      <c r="C80" s="134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6"/>
      <c r="AV80" s="66"/>
      <c r="AW80" s="66"/>
      <c r="AX80" s="66"/>
      <c r="AY80" s="66"/>
      <c r="AZ80" s="66"/>
      <c r="BA80" s="66"/>
      <c r="BB80" s="66"/>
      <c r="BC80" s="66"/>
      <c r="BD80" s="66"/>
      <c r="BE80" s="66"/>
      <c r="BF80" s="66"/>
      <c r="BG80" s="66"/>
      <c r="BH80" s="1"/>
      <c r="BI80" s="204"/>
      <c r="BJ80" s="204"/>
      <c r="BK80" s="204"/>
      <c r="BL80" s="204"/>
      <c r="BM80" s="1"/>
      <c r="BN80" s="391"/>
      <c r="BO80" s="441" t="str">
        <f t="shared" si="159"/>
        <v/>
      </c>
      <c r="BP80" s="391"/>
      <c r="BQ80" s="441" t="str">
        <f t="shared" si="159"/>
        <v/>
      </c>
    </row>
    <row r="81" spans="1:69" x14ac:dyDescent="0.25">
      <c r="A81" s="82" t="s">
        <v>356</v>
      </c>
      <c r="B81" s="92" t="s">
        <v>357</v>
      </c>
      <c r="C81" s="93"/>
      <c r="D81" s="97">
        <v>306653</v>
      </c>
      <c r="E81" s="97">
        <v>317508</v>
      </c>
      <c r="F81" s="97">
        <v>277885</v>
      </c>
      <c r="G81" s="97">
        <v>246803</v>
      </c>
      <c r="H81" s="97">
        <v>267700</v>
      </c>
      <c r="I81" s="97">
        <v>368493</v>
      </c>
      <c r="J81" s="97">
        <v>374423</v>
      </c>
      <c r="K81" s="97">
        <v>106700</v>
      </c>
      <c r="L81" s="97">
        <v>70257</v>
      </c>
      <c r="M81" s="97">
        <v>393453</v>
      </c>
      <c r="N81" s="97">
        <v>270644</v>
      </c>
      <c r="O81" s="97">
        <v>-1490635</v>
      </c>
      <c r="P81" s="97">
        <v>164399</v>
      </c>
      <c r="Q81" s="97">
        <f>Q79-Q82</f>
        <v>-153193</v>
      </c>
      <c r="R81" s="97">
        <f>R79-R82</f>
        <v>-125083</v>
      </c>
      <c r="S81" s="174">
        <f t="shared" ref="S81:BG81" si="163">S52+S53</f>
        <v>258826</v>
      </c>
      <c r="T81" s="174">
        <f t="shared" si="163"/>
        <v>322113.2223534392</v>
      </c>
      <c r="U81" s="174">
        <f t="shared" si="163"/>
        <v>294944.68681452447</v>
      </c>
      <c r="V81" s="174">
        <f t="shared" si="163"/>
        <v>284955.74688630796</v>
      </c>
      <c r="W81" s="174">
        <f t="shared" si="163"/>
        <v>296604.47083510557</v>
      </c>
      <c r="X81" s="174">
        <f t="shared" si="163"/>
        <v>371694.06288766855</v>
      </c>
      <c r="Y81" s="174">
        <f t="shared" si="163"/>
        <v>340751.33322106075</v>
      </c>
      <c r="Z81" s="174">
        <f t="shared" si="163"/>
        <v>329434.18009531318</v>
      </c>
      <c r="AA81" s="174">
        <f t="shared" si="163"/>
        <v>343172.54571077361</v>
      </c>
      <c r="AB81" s="174">
        <f t="shared" si="163"/>
        <v>429159.66789667238</v>
      </c>
      <c r="AC81" s="174">
        <f t="shared" si="163"/>
        <v>392491.00330646028</v>
      </c>
      <c r="AD81" s="174">
        <f t="shared" si="163"/>
        <v>378500.6485788998</v>
      </c>
      <c r="AE81" s="174">
        <f t="shared" si="163"/>
        <v>392878.11723047402</v>
      </c>
      <c r="AF81" s="174">
        <f t="shared" si="163"/>
        <v>489982.29997680197</v>
      </c>
      <c r="AG81" s="174">
        <f t="shared" si="163"/>
        <v>448090.26207980106</v>
      </c>
      <c r="AH81" s="174">
        <f t="shared" si="163"/>
        <v>432107.24041123962</v>
      </c>
      <c r="AI81" s="174">
        <f t="shared" si="163"/>
        <v>448709.02890777914</v>
      </c>
      <c r="AJ81" s="174">
        <f t="shared" si="163"/>
        <v>560751.31222490617</v>
      </c>
      <c r="AK81" s="174">
        <f t="shared" si="163"/>
        <v>512667.32948077354</v>
      </c>
      <c r="AL81" s="174">
        <f t="shared" si="163"/>
        <v>494321.07983715367</v>
      </c>
      <c r="AM81" s="174">
        <f t="shared" si="163"/>
        <v>513499.09888639697</v>
      </c>
      <c r="AN81" s="174">
        <f t="shared" si="163"/>
        <v>643141.83316252066</v>
      </c>
      <c r="AO81" s="174">
        <f t="shared" si="163"/>
        <v>587718.31860632554</v>
      </c>
      <c r="AP81" s="174">
        <f t="shared" si="163"/>
        <v>566572.63650620449</v>
      </c>
      <c r="AQ81" s="174">
        <f t="shared" si="163"/>
        <v>588737.50232463365</v>
      </c>
      <c r="AR81" s="174">
        <f t="shared" si="163"/>
        <v>739117.41855585075</v>
      </c>
      <c r="AS81" s="174">
        <f t="shared" si="163"/>
        <v>674993.8563161745</v>
      </c>
      <c r="AT81" s="174">
        <f t="shared" si="163"/>
        <v>650532.07137163205</v>
      </c>
      <c r="AU81" s="174">
        <f t="shared" si="163"/>
        <v>676164.3387112479</v>
      </c>
      <c r="AV81" s="174">
        <f t="shared" si="163"/>
        <v>850970.54969235614</v>
      </c>
      <c r="AW81" s="174">
        <f t="shared" si="163"/>
        <v>776542.03953241254</v>
      </c>
      <c r="AX81" s="174">
        <f t="shared" si="163"/>
        <v>748153.20539758576</v>
      </c>
      <c r="AY81" s="174">
        <f t="shared" si="163"/>
        <v>777814.454653183</v>
      </c>
      <c r="AZ81" s="174">
        <f t="shared" si="163"/>
        <v>981387.488873341</v>
      </c>
      <c r="BA81" s="174">
        <f t="shared" si="163"/>
        <v>894753.79998702509</v>
      </c>
      <c r="BB81" s="174">
        <f t="shared" si="163"/>
        <v>861718.57299299666</v>
      </c>
      <c r="BC81" s="174">
        <f t="shared" si="163"/>
        <v>896065.69747542194</v>
      </c>
      <c r="BD81" s="174">
        <f t="shared" si="163"/>
        <v>1133508.9538320531</v>
      </c>
      <c r="BE81" s="174">
        <f t="shared" si="163"/>
        <v>1032425.9774122639</v>
      </c>
      <c r="BF81" s="174">
        <f t="shared" si="163"/>
        <v>993896.80887147039</v>
      </c>
      <c r="BG81" s="174">
        <f t="shared" si="163"/>
        <v>1033697.9143467324</v>
      </c>
      <c r="BH81" s="1"/>
      <c r="BI81" s="204"/>
      <c r="BJ81" s="204"/>
      <c r="BK81" s="204"/>
      <c r="BL81" s="204"/>
      <c r="BM81" s="1"/>
      <c r="BN81" s="378">
        <v>248652</v>
      </c>
      <c r="BO81" s="428">
        <f t="shared" si="159"/>
        <v>-373735</v>
      </c>
      <c r="BP81" s="378">
        <v>248351</v>
      </c>
      <c r="BQ81" s="428">
        <f t="shared" si="159"/>
        <v>10475</v>
      </c>
    </row>
    <row r="82" spans="1:69" x14ac:dyDescent="0.25">
      <c r="A82" s="82" t="s">
        <v>358</v>
      </c>
      <c r="B82" s="140" t="s">
        <v>359</v>
      </c>
      <c r="C82" s="24" t="s">
        <v>298</v>
      </c>
      <c r="D82" s="235">
        <v>-207363</v>
      </c>
      <c r="E82" s="235">
        <v>-209277</v>
      </c>
      <c r="F82" s="235">
        <v>-18744</v>
      </c>
      <c r="G82" s="235">
        <v>-117621</v>
      </c>
      <c r="H82" s="235">
        <v>-19326</v>
      </c>
      <c r="I82" s="235">
        <v>-125842</v>
      </c>
      <c r="J82" s="235">
        <v>-33760</v>
      </c>
      <c r="K82" s="235">
        <v>157804</v>
      </c>
      <c r="L82" s="235">
        <v>470820</v>
      </c>
      <c r="M82" s="235">
        <v>189872</v>
      </c>
      <c r="N82" s="235">
        <v>281136</v>
      </c>
      <c r="O82" s="235">
        <v>1924669</v>
      </c>
      <c r="P82" s="235">
        <v>188722</v>
      </c>
      <c r="Q82" s="235">
        <v>538334</v>
      </c>
      <c r="R82" s="235">
        <v>461598</v>
      </c>
      <c r="S82" s="141">
        <f t="shared" ref="S82:BG82" si="164">S79-S81</f>
        <v>162028.92378113198</v>
      </c>
      <c r="T82" s="141">
        <f t="shared" si="164"/>
        <v>139709.50991112657</v>
      </c>
      <c r="U82" s="141">
        <f t="shared" si="164"/>
        <v>265290.47811213776</v>
      </c>
      <c r="V82" s="141">
        <f t="shared" si="164"/>
        <v>260812.6493839313</v>
      </c>
      <c r="W82" s="141">
        <f t="shared" si="164"/>
        <v>282441.63623031689</v>
      </c>
      <c r="X82" s="141">
        <f t="shared" si="164"/>
        <v>227517.43420301593</v>
      </c>
      <c r="Y82" s="141">
        <f t="shared" si="164"/>
        <v>378001.01584434829</v>
      </c>
      <c r="Z82" s="141">
        <f t="shared" si="164"/>
        <v>374061.75420929998</v>
      </c>
      <c r="AA82" s="141">
        <f t="shared" si="164"/>
        <v>408270.90757808305</v>
      </c>
      <c r="AB82" s="141">
        <f t="shared" si="164"/>
        <v>322650.99016740057</v>
      </c>
      <c r="AC82" s="141">
        <f t="shared" si="164"/>
        <v>494115.05127314344</v>
      </c>
      <c r="AD82" s="141">
        <f t="shared" si="164"/>
        <v>483797.98818108963</v>
      </c>
      <c r="AE82" s="141">
        <f t="shared" si="164"/>
        <v>523097.24320626422</v>
      </c>
      <c r="AF82" s="141">
        <f t="shared" si="164"/>
        <v>397317.38932972704</v>
      </c>
      <c r="AG82" s="141">
        <f t="shared" si="164"/>
        <v>599926.4722176689</v>
      </c>
      <c r="AH82" s="141">
        <f t="shared" si="164"/>
        <v>589900.71196871554</v>
      </c>
      <c r="AI82" s="141">
        <f t="shared" si="164"/>
        <v>652564.57610963518</v>
      </c>
      <c r="AJ82" s="141">
        <f t="shared" si="164"/>
        <v>483056.99829640717</v>
      </c>
      <c r="AK82" s="141">
        <f t="shared" si="164"/>
        <v>723308.89293086575</v>
      </c>
      <c r="AL82" s="141">
        <f t="shared" si="164"/>
        <v>713999.53214944759</v>
      </c>
      <c r="AM82" s="141">
        <f t="shared" si="164"/>
        <v>807384.02274125582</v>
      </c>
      <c r="AN82" s="141">
        <f t="shared" si="164"/>
        <v>582380.46511163178</v>
      </c>
      <c r="AO82" s="141">
        <f t="shared" si="164"/>
        <v>868210.43915088952</v>
      </c>
      <c r="AP82" s="141">
        <f t="shared" si="164"/>
        <v>860115.62762110098</v>
      </c>
      <c r="AQ82" s="141">
        <f t="shared" si="164"/>
        <v>993624.67844904086</v>
      </c>
      <c r="AR82" s="141">
        <f t="shared" si="164"/>
        <v>698536.97618415963</v>
      </c>
      <c r="AS82" s="141">
        <f t="shared" si="164"/>
        <v>1039623.4819353792</v>
      </c>
      <c r="AT82" s="141">
        <f t="shared" si="164"/>
        <v>1033364.5870480182</v>
      </c>
      <c r="AU82" s="141">
        <f t="shared" si="164"/>
        <v>1218982.1774764694</v>
      </c>
      <c r="AV82" s="141">
        <f t="shared" si="164"/>
        <v>835753.48631437251</v>
      </c>
      <c r="AW82" s="141">
        <f t="shared" si="164"/>
        <v>1243888.3664436764</v>
      </c>
      <c r="AX82" s="141">
        <f t="shared" si="164"/>
        <v>1240242.8415250722</v>
      </c>
      <c r="AY82" s="141">
        <f t="shared" si="164"/>
        <v>1493212.751229458</v>
      </c>
      <c r="AZ82" s="141">
        <f t="shared" si="164"/>
        <v>999506.53710366751</v>
      </c>
      <c r="BA82" s="141">
        <f t="shared" si="164"/>
        <v>1489090.8314325246</v>
      </c>
      <c r="BB82" s="141">
        <f t="shared" si="164"/>
        <v>1489015.2419173964</v>
      </c>
      <c r="BC82" s="141">
        <f t="shared" si="164"/>
        <v>1828689.5927824883</v>
      </c>
      <c r="BD82" s="141">
        <f t="shared" si="164"/>
        <v>1196907.790054386</v>
      </c>
      <c r="BE82" s="141">
        <f t="shared" si="164"/>
        <v>1785526.1977324346</v>
      </c>
      <c r="BF82" s="141">
        <f t="shared" si="164"/>
        <v>1790195.9444011985</v>
      </c>
      <c r="BG82" s="141">
        <f t="shared" si="164"/>
        <v>2241111.6023585023</v>
      </c>
      <c r="BH82" s="1"/>
      <c r="BI82" s="204"/>
      <c r="BJ82" s="204"/>
      <c r="BK82" s="204"/>
      <c r="BL82" s="204"/>
      <c r="BM82" s="1"/>
      <c r="BN82" s="393">
        <v>121489.90028787329</v>
      </c>
      <c r="BO82" s="443">
        <f t="shared" si="159"/>
        <v>340108.09971212671</v>
      </c>
      <c r="BP82" s="393">
        <v>188649.41617910587</v>
      </c>
      <c r="BQ82" s="443">
        <f t="shared" si="159"/>
        <v>-26620.492397973896</v>
      </c>
    </row>
    <row r="83" spans="1:69" x14ac:dyDescent="0.25">
      <c r="A83" s="82" t="s">
        <v>360</v>
      </c>
      <c r="B83" s="92" t="s">
        <v>361</v>
      </c>
      <c r="C83" s="93"/>
      <c r="D83" s="108">
        <v>-3164</v>
      </c>
      <c r="E83" s="108">
        <v>-1263</v>
      </c>
      <c r="F83" s="108">
        <v>-4033</v>
      </c>
      <c r="G83" s="108">
        <v>-3798</v>
      </c>
      <c r="H83" s="108">
        <v>-2488</v>
      </c>
      <c r="I83" s="108">
        <v>-3336</v>
      </c>
      <c r="J83" s="108">
        <v>-4806</v>
      </c>
      <c r="K83" s="108">
        <v>-20266</v>
      </c>
      <c r="L83" s="108">
        <v>-1185</v>
      </c>
      <c r="M83" s="108">
        <v>-5396</v>
      </c>
      <c r="N83" s="108">
        <v>-2618</v>
      </c>
      <c r="O83" s="108">
        <v>-21351</v>
      </c>
      <c r="P83" s="108">
        <v>-1150</v>
      </c>
      <c r="Q83" s="48">
        <v>-124</v>
      </c>
      <c r="R83" s="48">
        <v>54</v>
      </c>
      <c r="S83" s="174">
        <f t="shared" ref="S83:BG83" si="165">AVERAGE(O83:R83)</f>
        <v>-5642.75</v>
      </c>
      <c r="T83" s="174">
        <f t="shared" si="165"/>
        <v>-1715.6875</v>
      </c>
      <c r="U83" s="174">
        <f t="shared" si="165"/>
        <v>-1857.109375</v>
      </c>
      <c r="V83" s="174">
        <f t="shared" si="165"/>
        <v>-2290.38671875</v>
      </c>
      <c r="W83" s="174">
        <f t="shared" si="165"/>
        <v>-2876.4833984375</v>
      </c>
      <c r="X83" s="174">
        <f t="shared" si="165"/>
        <v>-2184.916748046875</v>
      </c>
      <c r="Y83" s="174">
        <f t="shared" si="165"/>
        <v>-2302.2240600585938</v>
      </c>
      <c r="Z83" s="174">
        <f t="shared" si="165"/>
        <v>-2413.5027313232422</v>
      </c>
      <c r="AA83" s="174">
        <f t="shared" si="165"/>
        <v>-2444.2817344665527</v>
      </c>
      <c r="AB83" s="174">
        <f t="shared" si="165"/>
        <v>-2336.2313184738159</v>
      </c>
      <c r="AC83" s="174">
        <f t="shared" si="165"/>
        <v>-2374.0599610805511</v>
      </c>
      <c r="AD83" s="174">
        <f t="shared" si="165"/>
        <v>-2392.0189363360405</v>
      </c>
      <c r="AE83" s="174">
        <f t="shared" si="165"/>
        <v>-2386.6479875892401</v>
      </c>
      <c r="AF83" s="174">
        <f t="shared" si="165"/>
        <v>-2372.2395508699119</v>
      </c>
      <c r="AG83" s="174">
        <f t="shared" si="165"/>
        <v>-2381.2416089689359</v>
      </c>
      <c r="AH83" s="174">
        <f t="shared" si="165"/>
        <v>-2383.0370209410321</v>
      </c>
      <c r="AI83" s="174">
        <f t="shared" si="165"/>
        <v>-2380.79154209228</v>
      </c>
      <c r="AJ83" s="174">
        <f t="shared" si="165"/>
        <v>-2379.32743071804</v>
      </c>
      <c r="AK83" s="174">
        <f t="shared" si="165"/>
        <v>-2381.099400680072</v>
      </c>
      <c r="AL83" s="174">
        <f t="shared" si="165"/>
        <v>-2381.063848607856</v>
      </c>
      <c r="AM83" s="174">
        <f t="shared" si="165"/>
        <v>-2380.5705555245622</v>
      </c>
      <c r="AN83" s="174">
        <f t="shared" si="165"/>
        <v>-2380.5153088826328</v>
      </c>
      <c r="AO83" s="174">
        <f t="shared" si="165"/>
        <v>-2380.8122784237808</v>
      </c>
      <c r="AP83" s="174">
        <f t="shared" si="165"/>
        <v>-2380.7404978597078</v>
      </c>
      <c r="AQ83" s="174">
        <f t="shared" si="165"/>
        <v>-2380.659660172671</v>
      </c>
      <c r="AR83" s="174">
        <f t="shared" si="165"/>
        <v>-2380.6819363346981</v>
      </c>
      <c r="AS83" s="174">
        <f t="shared" si="165"/>
        <v>-2380.7235931977143</v>
      </c>
      <c r="AT83" s="174">
        <f t="shared" si="165"/>
        <v>-2380.7014218911977</v>
      </c>
      <c r="AU83" s="174">
        <f t="shared" si="165"/>
        <v>-2380.69165289907</v>
      </c>
      <c r="AV83" s="174">
        <f t="shared" si="165"/>
        <v>-2380.6996510806698</v>
      </c>
      <c r="AW83" s="174">
        <f t="shared" si="165"/>
        <v>-2380.704079767163</v>
      </c>
      <c r="AX83" s="174">
        <f t="shared" si="165"/>
        <v>-2380.6992014095254</v>
      </c>
      <c r="AY83" s="174">
        <f t="shared" si="165"/>
        <v>-2380.6986462891068</v>
      </c>
      <c r="AZ83" s="174">
        <f t="shared" si="165"/>
        <v>-2380.7003946366162</v>
      </c>
      <c r="BA83" s="174">
        <f t="shared" si="165"/>
        <v>-2380.7005805256031</v>
      </c>
      <c r="BB83" s="174">
        <f t="shared" si="165"/>
        <v>-2380.699705715213</v>
      </c>
      <c r="BC83" s="174">
        <f t="shared" si="165"/>
        <v>-2380.699831791635</v>
      </c>
      <c r="BD83" s="174">
        <f t="shared" si="165"/>
        <v>-2380.7001281672669</v>
      </c>
      <c r="BE83" s="174">
        <f t="shared" si="165"/>
        <v>-2380.7000615499296</v>
      </c>
      <c r="BF83" s="174">
        <f t="shared" si="165"/>
        <v>-2380.6999318060111</v>
      </c>
      <c r="BG83" s="174">
        <f t="shared" si="165"/>
        <v>-2380.6999883287108</v>
      </c>
      <c r="BH83" s="1"/>
      <c r="BI83" s="204"/>
      <c r="BJ83" s="204"/>
      <c r="BK83" s="204"/>
      <c r="BL83" s="204"/>
      <c r="BM83" s="1"/>
      <c r="BN83" s="378">
        <v>-6310.75</v>
      </c>
      <c r="BO83" s="428">
        <f t="shared" si="159"/>
        <v>6364.75</v>
      </c>
      <c r="BP83" s="378">
        <v>-7233.9375</v>
      </c>
      <c r="BQ83" s="428">
        <f t="shared" si="159"/>
        <v>1591.1875</v>
      </c>
    </row>
    <row r="84" spans="1:69" x14ac:dyDescent="0.25">
      <c r="A84" s="82" t="s">
        <v>362</v>
      </c>
      <c r="B84" s="140" t="s">
        <v>363</v>
      </c>
      <c r="C84" s="24" t="s">
        <v>298</v>
      </c>
      <c r="D84" s="141">
        <v>-204199</v>
      </c>
      <c r="E84" s="141">
        <v>-208014</v>
      </c>
      <c r="F84" s="141">
        <v>-14711</v>
      </c>
      <c r="G84" s="141">
        <v>-113823</v>
      </c>
      <c r="H84" s="141">
        <v>-16838</v>
      </c>
      <c r="I84" s="141">
        <v>-122506</v>
      </c>
      <c r="J84" s="141">
        <v>-28954</v>
      </c>
      <c r="K84" s="141">
        <v>178070</v>
      </c>
      <c r="L84" s="141">
        <v>472005</v>
      </c>
      <c r="M84" s="141">
        <v>195268</v>
      </c>
      <c r="N84" s="141">
        <v>283754</v>
      </c>
      <c r="O84" s="141">
        <v>1946020</v>
      </c>
      <c r="P84" s="141">
        <v>189872</v>
      </c>
      <c r="Q84" s="141">
        <f>Q82-Q83</f>
        <v>538458</v>
      </c>
      <c r="R84" s="141">
        <f>R82-R83</f>
        <v>461544</v>
      </c>
      <c r="S84" s="141">
        <f t="shared" ref="S84:BG84" si="166">S82+S83</f>
        <v>156386.17378113198</v>
      </c>
      <c r="T84" s="141">
        <f t="shared" si="166"/>
        <v>137993.82241112657</v>
      </c>
      <c r="U84" s="141">
        <f t="shared" si="166"/>
        <v>263433.36873713776</v>
      </c>
      <c r="V84" s="141">
        <f t="shared" si="166"/>
        <v>258522.2626651813</v>
      </c>
      <c r="W84" s="141">
        <f t="shared" si="166"/>
        <v>279565.15283187939</v>
      </c>
      <c r="X84" s="141">
        <f t="shared" si="166"/>
        <v>225332.51745496906</v>
      </c>
      <c r="Y84" s="141">
        <f t="shared" si="166"/>
        <v>375698.7917842897</v>
      </c>
      <c r="Z84" s="141">
        <f t="shared" si="166"/>
        <v>371648.25147797674</v>
      </c>
      <c r="AA84" s="141">
        <f t="shared" si="166"/>
        <v>405826.62584361649</v>
      </c>
      <c r="AB84" s="141">
        <f t="shared" si="166"/>
        <v>320314.75884892675</v>
      </c>
      <c r="AC84" s="141">
        <f t="shared" si="166"/>
        <v>491740.99131206289</v>
      </c>
      <c r="AD84" s="141">
        <f t="shared" si="166"/>
        <v>481405.96924475359</v>
      </c>
      <c r="AE84" s="141">
        <f t="shared" si="166"/>
        <v>520710.59521867498</v>
      </c>
      <c r="AF84" s="141">
        <f t="shared" si="166"/>
        <v>394945.14977885713</v>
      </c>
      <c r="AG84" s="141">
        <f t="shared" si="166"/>
        <v>597545.23060869996</v>
      </c>
      <c r="AH84" s="141">
        <f t="shared" si="166"/>
        <v>587517.6749477745</v>
      </c>
      <c r="AI84" s="141">
        <f t="shared" si="166"/>
        <v>650183.78456754284</v>
      </c>
      <c r="AJ84" s="141">
        <f t="shared" si="166"/>
        <v>480677.67086568911</v>
      </c>
      <c r="AK84" s="141">
        <f t="shared" si="166"/>
        <v>720927.79353018571</v>
      </c>
      <c r="AL84" s="141">
        <f t="shared" si="166"/>
        <v>711618.46830083977</v>
      </c>
      <c r="AM84" s="141">
        <f t="shared" si="166"/>
        <v>805003.45218573126</v>
      </c>
      <c r="AN84" s="141">
        <f t="shared" si="166"/>
        <v>579999.94980274921</v>
      </c>
      <c r="AO84" s="141">
        <f t="shared" si="166"/>
        <v>865829.62687246571</v>
      </c>
      <c r="AP84" s="141">
        <f t="shared" si="166"/>
        <v>857734.88712324132</v>
      </c>
      <c r="AQ84" s="141">
        <f t="shared" si="166"/>
        <v>991244.01878886821</v>
      </c>
      <c r="AR84" s="141">
        <f t="shared" si="166"/>
        <v>696156.29424782493</v>
      </c>
      <c r="AS84" s="141">
        <f t="shared" si="166"/>
        <v>1037242.7583421814</v>
      </c>
      <c r="AT84" s="141">
        <f t="shared" si="166"/>
        <v>1030983.885626127</v>
      </c>
      <c r="AU84" s="141">
        <f t="shared" si="166"/>
        <v>1216601.4858235703</v>
      </c>
      <c r="AV84" s="141">
        <f t="shared" si="166"/>
        <v>833372.78666329186</v>
      </c>
      <c r="AW84" s="141">
        <f t="shared" si="166"/>
        <v>1241507.6623639092</v>
      </c>
      <c r="AX84" s="141">
        <f t="shared" si="166"/>
        <v>1237862.1423236628</v>
      </c>
      <c r="AY84" s="141">
        <f t="shared" si="166"/>
        <v>1490832.052583169</v>
      </c>
      <c r="AZ84" s="141">
        <f t="shared" si="166"/>
        <v>997125.8367090309</v>
      </c>
      <c r="BA84" s="141">
        <f t="shared" si="166"/>
        <v>1486710.1308519989</v>
      </c>
      <c r="BB84" s="141">
        <f t="shared" si="166"/>
        <v>1486634.5422116811</v>
      </c>
      <c r="BC84" s="141">
        <f t="shared" si="166"/>
        <v>1826308.8929506966</v>
      </c>
      <c r="BD84" s="141">
        <f t="shared" si="166"/>
        <v>1194527.0899262188</v>
      </c>
      <c r="BE84" s="141">
        <f t="shared" si="166"/>
        <v>1783145.4976708847</v>
      </c>
      <c r="BF84" s="141">
        <f t="shared" si="166"/>
        <v>1787815.2444693926</v>
      </c>
      <c r="BG84" s="141">
        <f t="shared" si="166"/>
        <v>2238730.9023701735</v>
      </c>
      <c r="BH84" s="1"/>
      <c r="BI84" s="204"/>
      <c r="BJ84" s="204"/>
      <c r="BK84" s="204"/>
      <c r="BL84" s="204"/>
      <c r="BM84" s="1"/>
      <c r="BN84" s="393">
        <v>115179.15028787329</v>
      </c>
      <c r="BO84" s="443">
        <f t="shared" si="159"/>
        <v>346364.84971212671</v>
      </c>
      <c r="BP84" s="393">
        <v>181415.47867910587</v>
      </c>
      <c r="BQ84" s="443">
        <f t="shared" si="159"/>
        <v>-25029.304897973896</v>
      </c>
    </row>
    <row r="85" spans="1:69" x14ac:dyDescent="0.25">
      <c r="A85" s="488"/>
      <c r="B85" s="489"/>
      <c r="C85" s="93"/>
      <c r="D85" s="2"/>
      <c r="E85" s="46"/>
      <c r="F85" s="2"/>
      <c r="G85" s="46"/>
      <c r="H85" s="2"/>
      <c r="I85" s="46"/>
      <c r="J85" s="2"/>
      <c r="K85" s="46"/>
      <c r="L85" s="2"/>
      <c r="M85" s="46"/>
      <c r="N85" s="2"/>
      <c r="O85" s="46"/>
      <c r="P85" s="2"/>
      <c r="Q85" s="2"/>
      <c r="R85" s="2"/>
      <c r="S85" s="2"/>
      <c r="T85" s="2"/>
      <c r="U85" s="2"/>
      <c r="V85" s="2"/>
      <c r="W85" s="2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204"/>
      <c r="BJ85" s="204"/>
      <c r="BK85" s="204"/>
      <c r="BL85" s="204"/>
      <c r="BM85" s="1"/>
      <c r="BN85" s="369"/>
      <c r="BO85" s="419" t="str">
        <f t="shared" si="159"/>
        <v/>
      </c>
      <c r="BP85" s="369"/>
      <c r="BQ85" s="419" t="str">
        <f t="shared" si="159"/>
        <v/>
      </c>
    </row>
    <row r="86" spans="1:69" x14ac:dyDescent="0.25">
      <c r="A86" s="82"/>
      <c r="B86" s="95" t="s">
        <v>602</v>
      </c>
      <c r="C86" s="93"/>
      <c r="D86" s="2"/>
      <c r="E86" s="46"/>
      <c r="F86" s="2"/>
      <c r="G86" s="46"/>
      <c r="H86" s="2"/>
      <c r="I86" s="46"/>
      <c r="J86" s="2"/>
      <c r="K86" s="46"/>
      <c r="L86" s="2"/>
      <c r="M86" s="46"/>
      <c r="N86" s="2" t="s">
        <v>522</v>
      </c>
      <c r="O86" s="46"/>
      <c r="P86" s="2"/>
      <c r="Q86" s="2"/>
      <c r="R86" s="2"/>
      <c r="S86" s="2"/>
      <c r="T86" s="2"/>
      <c r="U86" s="2"/>
      <c r="V86" s="2"/>
      <c r="W86" s="2"/>
      <c r="X86" s="2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204"/>
      <c r="BJ86" s="204"/>
      <c r="BK86" s="204"/>
      <c r="BL86" s="204"/>
      <c r="BM86" s="1"/>
      <c r="BN86" s="369"/>
      <c r="BO86" s="419" t="str">
        <f t="shared" si="159"/>
        <v/>
      </c>
      <c r="BP86" s="369"/>
      <c r="BQ86" s="419" t="str">
        <f t="shared" si="159"/>
        <v/>
      </c>
    </row>
    <row r="87" spans="1:69" x14ac:dyDescent="0.25">
      <c r="A87" s="82"/>
      <c r="B87" s="92" t="s">
        <v>609</v>
      </c>
      <c r="C87" s="93" t="s">
        <v>457</v>
      </c>
      <c r="D87" s="2"/>
      <c r="E87" s="46"/>
      <c r="F87" s="2"/>
      <c r="G87" s="46"/>
      <c r="H87" s="2"/>
      <c r="I87" s="46"/>
      <c r="J87" s="2"/>
      <c r="K87" s="46"/>
      <c r="L87" s="2"/>
      <c r="M87" s="46"/>
      <c r="N87" s="97">
        <v>2220</v>
      </c>
      <c r="O87" s="46"/>
      <c r="P87" s="2"/>
      <c r="Q87" s="2"/>
      <c r="R87" s="2"/>
      <c r="S87" s="46"/>
      <c r="T87" s="46"/>
      <c r="U87" s="46"/>
      <c r="V87" s="46"/>
      <c r="W87" s="46"/>
      <c r="X87" s="46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204"/>
      <c r="BJ87" s="204"/>
      <c r="BK87" s="204"/>
      <c r="BL87" s="204"/>
      <c r="BM87" s="1"/>
      <c r="BN87" s="367"/>
      <c r="BO87" s="417" t="str">
        <f t="shared" si="159"/>
        <v/>
      </c>
      <c r="BP87" s="367"/>
      <c r="BQ87" s="417" t="str">
        <f t="shared" si="159"/>
        <v/>
      </c>
    </row>
    <row r="88" spans="1:69" x14ac:dyDescent="0.25">
      <c r="A88" s="208"/>
      <c r="B88" s="236" t="s">
        <v>610</v>
      </c>
      <c r="C88" s="216" t="s">
        <v>7</v>
      </c>
      <c r="D88" s="212"/>
      <c r="E88" s="213"/>
      <c r="F88" s="212"/>
      <c r="G88" s="213"/>
      <c r="H88" s="212"/>
      <c r="I88" s="213"/>
      <c r="J88" s="212"/>
      <c r="K88" s="213"/>
      <c r="L88" s="212"/>
      <c r="M88" s="213"/>
      <c r="N88" s="237">
        <v>0.17</v>
      </c>
      <c r="O88" s="213"/>
      <c r="P88" s="212"/>
      <c r="Q88" s="212"/>
      <c r="R88" s="212"/>
      <c r="S88" s="237"/>
      <c r="T88" s="213"/>
      <c r="U88" s="213"/>
      <c r="V88" s="213"/>
      <c r="W88" s="237"/>
      <c r="X88" s="213"/>
      <c r="Y88" s="211"/>
      <c r="Z88" s="211"/>
      <c r="AA88" s="211"/>
      <c r="AB88" s="211"/>
      <c r="AC88" s="211"/>
      <c r="AD88" s="211"/>
      <c r="AE88" s="211"/>
      <c r="AF88" s="211"/>
      <c r="AG88" s="211"/>
      <c r="AH88" s="211"/>
      <c r="AI88" s="211"/>
      <c r="AJ88" s="211"/>
      <c r="AK88" s="211"/>
      <c r="AL88" s="211"/>
      <c r="AM88" s="211"/>
      <c r="AN88" s="211"/>
      <c r="AO88" s="211"/>
      <c r="AP88" s="211"/>
      <c r="AQ88" s="211"/>
      <c r="AR88" s="211"/>
      <c r="AS88" s="211"/>
      <c r="AT88" s="211"/>
      <c r="AU88" s="211"/>
      <c r="AV88" s="211"/>
      <c r="AW88" s="211"/>
      <c r="AX88" s="211"/>
      <c r="AY88" s="211"/>
      <c r="AZ88" s="211"/>
      <c r="BA88" s="211"/>
      <c r="BB88" s="211"/>
      <c r="BC88" s="211"/>
      <c r="BD88" s="211"/>
      <c r="BE88" s="211"/>
      <c r="BF88" s="211"/>
      <c r="BG88" s="211"/>
      <c r="BH88" s="211"/>
      <c r="BI88" s="214"/>
      <c r="BJ88" s="214"/>
      <c r="BK88" s="214"/>
      <c r="BL88" s="214"/>
      <c r="BM88" s="211"/>
      <c r="BN88" s="394"/>
      <c r="BO88" s="444" t="str">
        <f t="shared" si="159"/>
        <v/>
      </c>
      <c r="BP88" s="394"/>
      <c r="BQ88" s="444" t="str">
        <f t="shared" si="159"/>
        <v/>
      </c>
    </row>
    <row r="89" spans="1:69" x14ac:dyDescent="0.25">
      <c r="A89" s="82"/>
      <c r="B89" s="92" t="s">
        <v>611</v>
      </c>
      <c r="C89" s="93" t="s">
        <v>457</v>
      </c>
      <c r="D89" s="2"/>
      <c r="E89" s="46"/>
      <c r="F89" s="2"/>
      <c r="G89" s="46"/>
      <c r="H89" s="2"/>
      <c r="I89" s="46"/>
      <c r="J89" s="2"/>
      <c r="K89" s="46"/>
      <c r="L89" s="2"/>
      <c r="M89" s="46"/>
      <c r="N89" s="46">
        <v>695</v>
      </c>
      <c r="O89" s="46"/>
      <c r="P89" s="2"/>
      <c r="Q89" s="2"/>
      <c r="R89" s="2"/>
      <c r="S89" s="46"/>
      <c r="T89" s="46"/>
      <c r="U89" s="46"/>
      <c r="V89" s="46"/>
      <c r="W89" s="46"/>
      <c r="X89" s="46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204"/>
      <c r="BJ89" s="204"/>
      <c r="BK89" s="204"/>
      <c r="BL89" s="204"/>
      <c r="BM89" s="1"/>
      <c r="BN89" s="367"/>
      <c r="BO89" s="417" t="str">
        <f t="shared" si="159"/>
        <v/>
      </c>
      <c r="BP89" s="367"/>
      <c r="BQ89" s="417" t="str">
        <f t="shared" si="159"/>
        <v/>
      </c>
    </row>
    <row r="90" spans="1:69" x14ac:dyDescent="0.25">
      <c r="A90" s="208"/>
      <c r="B90" s="236" t="s">
        <v>612</v>
      </c>
      <c r="C90" s="216" t="s">
        <v>7</v>
      </c>
      <c r="D90" s="212"/>
      <c r="E90" s="213"/>
      <c r="F90" s="212"/>
      <c r="G90" s="213"/>
      <c r="H90" s="212"/>
      <c r="I90" s="213"/>
      <c r="J90" s="212"/>
      <c r="K90" s="213"/>
      <c r="L90" s="212"/>
      <c r="M90" s="213"/>
      <c r="N90" s="237">
        <v>0.31</v>
      </c>
      <c r="O90" s="213"/>
      <c r="P90" s="212"/>
      <c r="Q90" s="212"/>
      <c r="R90" s="212"/>
      <c r="S90" s="213"/>
      <c r="T90" s="213"/>
      <c r="U90" s="213"/>
      <c r="V90" s="213"/>
      <c r="W90" s="213"/>
      <c r="X90" s="213"/>
      <c r="Y90" s="211"/>
      <c r="Z90" s="211"/>
      <c r="AA90" s="211"/>
      <c r="AB90" s="211"/>
      <c r="AC90" s="211"/>
      <c r="AD90" s="211"/>
      <c r="AE90" s="211"/>
      <c r="AF90" s="211"/>
      <c r="AG90" s="211"/>
      <c r="AH90" s="211"/>
      <c r="AI90" s="211"/>
      <c r="AJ90" s="211"/>
      <c r="AK90" s="211"/>
      <c r="AL90" s="211"/>
      <c r="AM90" s="211"/>
      <c r="AN90" s="211"/>
      <c r="AO90" s="211"/>
      <c r="AP90" s="211"/>
      <c r="AQ90" s="211"/>
      <c r="AR90" s="211"/>
      <c r="AS90" s="211"/>
      <c r="AT90" s="211"/>
      <c r="AU90" s="211"/>
      <c r="AV90" s="211"/>
      <c r="AW90" s="211"/>
      <c r="AX90" s="211"/>
      <c r="AY90" s="211"/>
      <c r="AZ90" s="211"/>
      <c r="BA90" s="211"/>
      <c r="BB90" s="211"/>
      <c r="BC90" s="211"/>
      <c r="BD90" s="211"/>
      <c r="BE90" s="211"/>
      <c r="BF90" s="211"/>
      <c r="BG90" s="211"/>
      <c r="BH90" s="211"/>
      <c r="BI90" s="214"/>
      <c r="BJ90" s="214"/>
      <c r="BK90" s="214"/>
      <c r="BL90" s="214"/>
      <c r="BM90" s="211"/>
      <c r="BN90" s="395"/>
      <c r="BO90" s="445" t="str">
        <f t="shared" si="159"/>
        <v/>
      </c>
      <c r="BP90" s="395"/>
      <c r="BQ90" s="445" t="str">
        <f t="shared" si="159"/>
        <v/>
      </c>
    </row>
    <row r="91" spans="1:69" x14ac:dyDescent="0.25">
      <c r="A91" s="82"/>
      <c r="B91" s="92" t="s">
        <v>613</v>
      </c>
      <c r="C91" s="93" t="s">
        <v>457</v>
      </c>
      <c r="D91" s="2"/>
      <c r="E91" s="46"/>
      <c r="F91" s="2"/>
      <c r="G91" s="46"/>
      <c r="H91" s="2"/>
      <c r="I91" s="46"/>
      <c r="J91" s="2"/>
      <c r="K91" s="46"/>
      <c r="L91" s="2"/>
      <c r="M91" s="46"/>
      <c r="N91" s="46">
        <v>320</v>
      </c>
      <c r="O91" s="46"/>
      <c r="P91" s="2"/>
      <c r="Q91" s="2"/>
      <c r="R91" s="2"/>
      <c r="S91" s="46"/>
      <c r="T91" s="46"/>
      <c r="U91" s="46"/>
      <c r="V91" s="46"/>
      <c r="W91" s="46"/>
      <c r="X91" s="46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204"/>
      <c r="BJ91" s="204"/>
      <c r="BK91" s="204"/>
      <c r="BL91" s="204"/>
      <c r="BM91" s="1"/>
      <c r="BN91" s="367"/>
      <c r="BO91" s="417" t="str">
        <f t="shared" si="159"/>
        <v/>
      </c>
      <c r="BP91" s="367"/>
      <c r="BQ91" s="417" t="str">
        <f t="shared" si="159"/>
        <v/>
      </c>
    </row>
    <row r="92" spans="1:69" x14ac:dyDescent="0.25">
      <c r="A92" s="208"/>
      <c r="B92" s="236" t="s">
        <v>614</v>
      </c>
      <c r="C92" s="216" t="s">
        <v>7</v>
      </c>
      <c r="D92" s="212"/>
      <c r="E92" s="213"/>
      <c r="F92" s="212"/>
      <c r="G92" s="213"/>
      <c r="H92" s="212"/>
      <c r="I92" s="213"/>
      <c r="J92" s="212"/>
      <c r="K92" s="213"/>
      <c r="L92" s="212"/>
      <c r="M92" s="213"/>
      <c r="N92" s="237">
        <v>0.14000000000000001</v>
      </c>
      <c r="O92" s="213"/>
      <c r="P92" s="212"/>
      <c r="Q92" s="212"/>
      <c r="R92" s="212"/>
      <c r="S92" s="237"/>
      <c r="T92" s="213"/>
      <c r="U92" s="213"/>
      <c r="V92" s="213"/>
      <c r="W92" s="237"/>
      <c r="X92" s="213"/>
      <c r="Y92" s="211"/>
      <c r="Z92" s="211"/>
      <c r="AA92" s="211"/>
      <c r="AB92" s="211"/>
      <c r="AC92" s="211"/>
      <c r="AD92" s="211"/>
      <c r="AE92" s="211"/>
      <c r="AF92" s="211"/>
      <c r="AG92" s="211"/>
      <c r="AH92" s="211"/>
      <c r="AI92" s="211"/>
      <c r="AJ92" s="211"/>
      <c r="AK92" s="211"/>
      <c r="AL92" s="211"/>
      <c r="AM92" s="211"/>
      <c r="AN92" s="211"/>
      <c r="AO92" s="211"/>
      <c r="AP92" s="211"/>
      <c r="AQ92" s="211"/>
      <c r="AR92" s="211"/>
      <c r="AS92" s="211"/>
      <c r="AT92" s="211"/>
      <c r="AU92" s="211"/>
      <c r="AV92" s="211"/>
      <c r="AW92" s="211"/>
      <c r="AX92" s="211"/>
      <c r="AY92" s="211"/>
      <c r="AZ92" s="211"/>
      <c r="BA92" s="211"/>
      <c r="BB92" s="211"/>
      <c r="BC92" s="211"/>
      <c r="BD92" s="211"/>
      <c r="BE92" s="211"/>
      <c r="BF92" s="211"/>
      <c r="BG92" s="211"/>
      <c r="BH92" s="211"/>
      <c r="BI92" s="214"/>
      <c r="BJ92" s="214"/>
      <c r="BK92" s="214"/>
      <c r="BL92" s="214"/>
      <c r="BM92" s="211"/>
      <c r="BN92" s="394"/>
      <c r="BO92" s="444" t="str">
        <f t="shared" si="159"/>
        <v/>
      </c>
      <c r="BP92" s="394"/>
      <c r="BQ92" s="444" t="str">
        <f t="shared" si="159"/>
        <v/>
      </c>
    </row>
    <row r="93" spans="1:69" x14ac:dyDescent="0.25">
      <c r="A93" s="82"/>
      <c r="B93" s="92" t="s">
        <v>615</v>
      </c>
      <c r="C93" s="93" t="s">
        <v>11</v>
      </c>
      <c r="D93" s="2"/>
      <c r="E93" s="46"/>
      <c r="F93" s="2"/>
      <c r="G93" s="46"/>
      <c r="H93" s="2"/>
      <c r="I93" s="46"/>
      <c r="J93" s="2"/>
      <c r="K93" s="46"/>
      <c r="L93" s="2"/>
      <c r="M93" s="46"/>
      <c r="N93" s="123">
        <v>0.31</v>
      </c>
      <c r="O93" s="46"/>
      <c r="P93" s="2"/>
      <c r="Q93" s="2"/>
      <c r="R93" s="2"/>
      <c r="S93" s="123"/>
      <c r="T93" s="46"/>
      <c r="U93" s="46"/>
      <c r="V93" s="46"/>
      <c r="W93" s="123"/>
      <c r="X93" s="46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204"/>
      <c r="BJ93" s="204"/>
      <c r="BK93" s="204"/>
      <c r="BL93" s="204"/>
      <c r="BM93" s="1"/>
      <c r="BN93" s="396"/>
      <c r="BO93" s="446" t="str">
        <f t="shared" si="159"/>
        <v/>
      </c>
      <c r="BP93" s="396"/>
      <c r="BQ93" s="446" t="str">
        <f t="shared" si="159"/>
        <v/>
      </c>
    </row>
    <row r="94" spans="1:69" x14ac:dyDescent="0.25">
      <c r="A94" s="488"/>
      <c r="B94" s="489"/>
      <c r="C94" s="93"/>
      <c r="D94" s="2"/>
      <c r="E94" s="46"/>
      <c r="F94" s="2"/>
      <c r="G94" s="46"/>
      <c r="H94" s="2"/>
      <c r="I94" s="46"/>
      <c r="J94" s="2"/>
      <c r="K94" s="46"/>
      <c r="L94" s="2"/>
      <c r="M94" s="46"/>
      <c r="N94" s="46"/>
      <c r="O94" s="46"/>
      <c r="P94" s="2"/>
      <c r="Q94" s="2"/>
      <c r="R94" s="2"/>
      <c r="S94" s="46"/>
      <c r="T94" s="46"/>
      <c r="U94" s="46"/>
      <c r="V94" s="46"/>
      <c r="W94" s="46"/>
      <c r="X94" s="46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204"/>
      <c r="BJ94" s="204"/>
      <c r="BK94" s="204"/>
      <c r="BL94" s="204"/>
      <c r="BM94" s="1"/>
      <c r="BN94" s="367"/>
      <c r="BO94" s="417" t="str">
        <f t="shared" si="159"/>
        <v/>
      </c>
      <c r="BP94" s="367"/>
      <c r="BQ94" s="417" t="str">
        <f t="shared" si="159"/>
        <v/>
      </c>
    </row>
    <row r="95" spans="1:69" x14ac:dyDescent="0.25">
      <c r="A95" s="82"/>
      <c r="B95" s="95" t="s">
        <v>616</v>
      </c>
      <c r="C95" s="93"/>
      <c r="D95" s="2"/>
      <c r="E95" s="46"/>
      <c r="F95" s="2"/>
      <c r="G95" s="46"/>
      <c r="H95" s="2"/>
      <c r="I95" s="46"/>
      <c r="J95" s="2" t="s">
        <v>518</v>
      </c>
      <c r="K95" s="2" t="s">
        <v>519</v>
      </c>
      <c r="L95" s="2" t="s">
        <v>520</v>
      </c>
      <c r="M95" s="2" t="s">
        <v>521</v>
      </c>
      <c r="N95" s="2" t="s">
        <v>522</v>
      </c>
      <c r="O95" s="2" t="s">
        <v>523</v>
      </c>
      <c r="P95" s="2" t="s">
        <v>524</v>
      </c>
      <c r="Q95" s="2"/>
      <c r="R95" s="2"/>
      <c r="S95" s="2"/>
      <c r="T95" s="2"/>
      <c r="U95" s="2"/>
      <c r="V95" s="2"/>
      <c r="W95" s="2"/>
      <c r="X95" s="2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204"/>
      <c r="BJ95" s="204"/>
      <c r="BK95" s="204"/>
      <c r="BL95" s="204"/>
      <c r="BM95" s="1"/>
      <c r="BN95" s="369"/>
      <c r="BO95" s="419" t="str">
        <f t="shared" si="159"/>
        <v/>
      </c>
      <c r="BP95" s="369"/>
      <c r="BQ95" s="419" t="str">
        <f t="shared" si="159"/>
        <v/>
      </c>
    </row>
    <row r="96" spans="1:69" x14ac:dyDescent="0.25">
      <c r="A96" s="82"/>
      <c r="B96" s="92" t="s">
        <v>609</v>
      </c>
      <c r="C96" s="93" t="s">
        <v>457</v>
      </c>
      <c r="D96" s="2"/>
      <c r="E96" s="46"/>
      <c r="F96" s="2"/>
      <c r="G96" s="46"/>
      <c r="H96" s="2"/>
      <c r="I96" s="46"/>
      <c r="J96" s="97">
        <v>1898</v>
      </c>
      <c r="K96" s="97">
        <v>2026</v>
      </c>
      <c r="L96" s="97">
        <v>2094</v>
      </c>
      <c r="M96" s="97">
        <v>2233</v>
      </c>
      <c r="N96" s="97">
        <v>2250</v>
      </c>
      <c r="O96" s="97">
        <v>2311</v>
      </c>
      <c r="P96" s="97">
        <v>2290</v>
      </c>
      <c r="Q96" s="97"/>
      <c r="R96" s="97"/>
      <c r="S96" s="97"/>
      <c r="T96" s="97"/>
      <c r="U96" s="97"/>
      <c r="V96" s="97"/>
      <c r="W96" s="97"/>
      <c r="X96" s="46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204"/>
      <c r="BJ96" s="204"/>
      <c r="BK96" s="204"/>
      <c r="BL96" s="204"/>
      <c r="BM96" s="1"/>
      <c r="BN96" s="370"/>
      <c r="BO96" s="420" t="str">
        <f t="shared" si="159"/>
        <v/>
      </c>
      <c r="BP96" s="370"/>
      <c r="BQ96" s="420" t="str">
        <f t="shared" si="159"/>
        <v/>
      </c>
    </row>
    <row r="97" spans="1:69" x14ac:dyDescent="0.25">
      <c r="A97" s="208"/>
      <c r="B97" s="236" t="s">
        <v>610</v>
      </c>
      <c r="C97" s="216" t="s">
        <v>7</v>
      </c>
      <c r="D97" s="212"/>
      <c r="E97" s="213"/>
      <c r="F97" s="212"/>
      <c r="G97" s="213"/>
      <c r="H97" s="212"/>
      <c r="I97" s="213"/>
      <c r="J97" s="237">
        <v>0.21</v>
      </c>
      <c r="K97" s="237">
        <v>0.22</v>
      </c>
      <c r="L97" s="237">
        <v>0.22</v>
      </c>
      <c r="M97" s="237">
        <v>0.2</v>
      </c>
      <c r="N97" s="237">
        <v>0.19</v>
      </c>
      <c r="O97" s="237">
        <v>0.14000000000000001</v>
      </c>
      <c r="P97" s="237">
        <v>0.09</v>
      </c>
      <c r="Q97" s="237"/>
      <c r="R97" s="237"/>
      <c r="S97" s="237"/>
      <c r="T97" s="237"/>
      <c r="U97" s="237"/>
      <c r="V97" s="237"/>
      <c r="W97" s="237"/>
      <c r="X97" s="213"/>
      <c r="Y97" s="211"/>
      <c r="Z97" s="211"/>
      <c r="AA97" s="211"/>
      <c r="AB97" s="211"/>
      <c r="AC97" s="211"/>
      <c r="AD97" s="211"/>
      <c r="AE97" s="211"/>
      <c r="AF97" s="211"/>
      <c r="AG97" s="211"/>
      <c r="AH97" s="211"/>
      <c r="AI97" s="211"/>
      <c r="AJ97" s="211"/>
      <c r="AK97" s="211"/>
      <c r="AL97" s="211"/>
      <c r="AM97" s="211"/>
      <c r="AN97" s="211"/>
      <c r="AO97" s="211"/>
      <c r="AP97" s="211"/>
      <c r="AQ97" s="211"/>
      <c r="AR97" s="211"/>
      <c r="AS97" s="211"/>
      <c r="AT97" s="211"/>
      <c r="AU97" s="211"/>
      <c r="AV97" s="211"/>
      <c r="AW97" s="211"/>
      <c r="AX97" s="211"/>
      <c r="AY97" s="211"/>
      <c r="AZ97" s="211"/>
      <c r="BA97" s="211"/>
      <c r="BB97" s="211"/>
      <c r="BC97" s="211"/>
      <c r="BD97" s="211"/>
      <c r="BE97" s="211"/>
      <c r="BF97" s="211"/>
      <c r="BG97" s="211"/>
      <c r="BH97" s="211"/>
      <c r="BI97" s="214"/>
      <c r="BJ97" s="214"/>
      <c r="BK97" s="214"/>
      <c r="BL97" s="214"/>
      <c r="BM97" s="211"/>
      <c r="BN97" s="394"/>
      <c r="BO97" s="444" t="str">
        <f t="shared" si="159"/>
        <v/>
      </c>
      <c r="BP97" s="394"/>
      <c r="BQ97" s="444" t="str">
        <f t="shared" si="159"/>
        <v/>
      </c>
    </row>
    <row r="98" spans="1:69" x14ac:dyDescent="0.25">
      <c r="A98" s="82"/>
      <c r="B98" s="92" t="s">
        <v>611</v>
      </c>
      <c r="C98" s="93" t="s">
        <v>457</v>
      </c>
      <c r="D98" s="2"/>
      <c r="E98" s="46"/>
      <c r="F98" s="2"/>
      <c r="G98" s="46"/>
      <c r="H98" s="2"/>
      <c r="I98" s="46"/>
      <c r="J98" s="46">
        <v>477</v>
      </c>
      <c r="K98" s="46">
        <v>562</v>
      </c>
      <c r="L98" s="46">
        <v>705</v>
      </c>
      <c r="M98" s="46">
        <v>759</v>
      </c>
      <c r="N98" s="46">
        <v>807</v>
      </c>
      <c r="O98" s="46">
        <v>757</v>
      </c>
      <c r="P98" s="46">
        <v>813</v>
      </c>
      <c r="Q98" s="46"/>
      <c r="R98" s="46"/>
      <c r="S98" s="46"/>
      <c r="T98" s="97"/>
      <c r="U98" s="97"/>
      <c r="V98" s="97"/>
      <c r="W98" s="97"/>
      <c r="X98" s="46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204"/>
      <c r="BJ98" s="204"/>
      <c r="BK98" s="204"/>
      <c r="BL98" s="204"/>
      <c r="BM98" s="1"/>
      <c r="BN98" s="367"/>
      <c r="BO98" s="417" t="str">
        <f t="shared" si="159"/>
        <v/>
      </c>
      <c r="BP98" s="367"/>
      <c r="BQ98" s="417" t="str">
        <f t="shared" si="159"/>
        <v/>
      </c>
    </row>
    <row r="99" spans="1:69" x14ac:dyDescent="0.25">
      <c r="A99" s="208"/>
      <c r="B99" s="236" t="s">
        <v>612</v>
      </c>
      <c r="C99" s="216" t="s">
        <v>7</v>
      </c>
      <c r="D99" s="212"/>
      <c r="E99" s="213"/>
      <c r="F99" s="212"/>
      <c r="G99" s="213"/>
      <c r="H99" s="212"/>
      <c r="I99" s="213"/>
      <c r="J99" s="237">
        <v>0.25</v>
      </c>
      <c r="K99" s="237">
        <v>0.28000000000000003</v>
      </c>
      <c r="L99" s="237">
        <v>0.34</v>
      </c>
      <c r="M99" s="237">
        <v>0.34</v>
      </c>
      <c r="N99" s="237">
        <v>0.36</v>
      </c>
      <c r="O99" s="237">
        <v>0.33</v>
      </c>
      <c r="P99" s="237">
        <v>0.35</v>
      </c>
      <c r="Q99" s="237"/>
      <c r="R99" s="237"/>
      <c r="S99" s="237"/>
      <c r="T99" s="237"/>
      <c r="U99" s="237"/>
      <c r="V99" s="237"/>
      <c r="W99" s="237"/>
      <c r="X99" s="213"/>
      <c r="Y99" s="211"/>
      <c r="Z99" s="211"/>
      <c r="AA99" s="211"/>
      <c r="AB99" s="211"/>
      <c r="AC99" s="211"/>
      <c r="AD99" s="211"/>
      <c r="AE99" s="211"/>
      <c r="AF99" s="211"/>
      <c r="AG99" s="211"/>
      <c r="AH99" s="211"/>
      <c r="AI99" s="211"/>
      <c r="AJ99" s="211"/>
      <c r="AK99" s="211"/>
      <c r="AL99" s="211"/>
      <c r="AM99" s="211"/>
      <c r="AN99" s="211"/>
      <c r="AO99" s="211"/>
      <c r="AP99" s="211"/>
      <c r="AQ99" s="211"/>
      <c r="AR99" s="211"/>
      <c r="AS99" s="211"/>
      <c r="AT99" s="211"/>
      <c r="AU99" s="211"/>
      <c r="AV99" s="211"/>
      <c r="AW99" s="211"/>
      <c r="AX99" s="211"/>
      <c r="AY99" s="211"/>
      <c r="AZ99" s="211"/>
      <c r="BA99" s="211"/>
      <c r="BB99" s="211"/>
      <c r="BC99" s="211"/>
      <c r="BD99" s="211"/>
      <c r="BE99" s="211"/>
      <c r="BF99" s="211"/>
      <c r="BG99" s="211"/>
      <c r="BH99" s="211"/>
      <c r="BI99" s="214"/>
      <c r="BJ99" s="214"/>
      <c r="BK99" s="214"/>
      <c r="BL99" s="214"/>
      <c r="BM99" s="211"/>
      <c r="BN99" s="394"/>
      <c r="BO99" s="444" t="str">
        <f t="shared" si="159"/>
        <v/>
      </c>
      <c r="BP99" s="394"/>
      <c r="BQ99" s="444" t="str">
        <f t="shared" si="159"/>
        <v/>
      </c>
    </row>
    <row r="100" spans="1:69" x14ac:dyDescent="0.25">
      <c r="A100" s="82"/>
      <c r="B100" s="92" t="s">
        <v>613</v>
      </c>
      <c r="C100" s="93" t="s">
        <v>457</v>
      </c>
      <c r="D100" s="2"/>
      <c r="E100" s="46"/>
      <c r="F100" s="2"/>
      <c r="G100" s="46"/>
      <c r="H100" s="2"/>
      <c r="I100" s="46"/>
      <c r="J100" s="46">
        <v>90</v>
      </c>
      <c r="K100" s="46">
        <v>185</v>
      </c>
      <c r="L100" s="46">
        <v>364</v>
      </c>
      <c r="M100" s="46">
        <v>399</v>
      </c>
      <c r="N100" s="46">
        <v>444</v>
      </c>
      <c r="O100" s="46">
        <v>402</v>
      </c>
      <c r="P100" s="46">
        <v>466</v>
      </c>
      <c r="Q100" s="46"/>
      <c r="R100" s="46"/>
      <c r="S100" s="46"/>
      <c r="T100" s="46"/>
      <c r="U100" s="46"/>
      <c r="V100" s="46"/>
      <c r="W100" s="46"/>
      <c r="X100" s="46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204"/>
      <c r="BJ100" s="204"/>
      <c r="BK100" s="204"/>
      <c r="BL100" s="204"/>
      <c r="BM100" s="1"/>
      <c r="BN100" s="367"/>
      <c r="BO100" s="417" t="str">
        <f t="shared" si="159"/>
        <v/>
      </c>
      <c r="BP100" s="367"/>
      <c r="BQ100" s="417" t="str">
        <f t="shared" si="159"/>
        <v/>
      </c>
    </row>
    <row r="101" spans="1:69" x14ac:dyDescent="0.25">
      <c r="A101" s="208"/>
      <c r="B101" s="236" t="s">
        <v>614</v>
      </c>
      <c r="C101" s="216" t="s">
        <v>7</v>
      </c>
      <c r="D101" s="212"/>
      <c r="E101" s="213"/>
      <c r="F101" s="212"/>
      <c r="G101" s="213"/>
      <c r="H101" s="212"/>
      <c r="I101" s="213"/>
      <c r="J101" s="237">
        <v>0.05</v>
      </c>
      <c r="K101" s="237">
        <v>0.09</v>
      </c>
      <c r="L101" s="237">
        <v>0.17</v>
      </c>
      <c r="M101" s="237">
        <v>0.18</v>
      </c>
      <c r="N101" s="237">
        <v>0.2</v>
      </c>
      <c r="O101" s="237">
        <v>0.17</v>
      </c>
      <c r="P101" s="237">
        <v>0.2</v>
      </c>
      <c r="Q101" s="237"/>
      <c r="R101" s="237"/>
      <c r="S101" s="237"/>
      <c r="T101" s="237"/>
      <c r="U101" s="237"/>
      <c r="V101" s="237"/>
      <c r="W101" s="237"/>
      <c r="X101" s="213"/>
      <c r="Y101" s="211"/>
      <c r="Z101" s="211"/>
      <c r="AA101" s="211"/>
      <c r="AB101" s="211"/>
      <c r="AC101" s="211"/>
      <c r="AD101" s="211"/>
      <c r="AE101" s="211"/>
      <c r="AF101" s="211"/>
      <c r="AG101" s="211"/>
      <c r="AH101" s="211"/>
      <c r="AI101" s="211"/>
      <c r="AJ101" s="211"/>
      <c r="AK101" s="211"/>
      <c r="AL101" s="211"/>
      <c r="AM101" s="211"/>
      <c r="AN101" s="211"/>
      <c r="AO101" s="211"/>
      <c r="AP101" s="211"/>
      <c r="AQ101" s="211"/>
      <c r="AR101" s="211"/>
      <c r="AS101" s="211"/>
      <c r="AT101" s="211"/>
      <c r="AU101" s="211"/>
      <c r="AV101" s="211"/>
      <c r="AW101" s="211"/>
      <c r="AX101" s="211"/>
      <c r="AY101" s="211"/>
      <c r="AZ101" s="211"/>
      <c r="BA101" s="211"/>
      <c r="BB101" s="211"/>
      <c r="BC101" s="211"/>
      <c r="BD101" s="211"/>
      <c r="BE101" s="211"/>
      <c r="BF101" s="211"/>
      <c r="BG101" s="211"/>
      <c r="BH101" s="211"/>
      <c r="BI101" s="214"/>
      <c r="BJ101" s="214"/>
      <c r="BK101" s="214"/>
      <c r="BL101" s="214"/>
      <c r="BM101" s="211"/>
      <c r="BN101" s="394"/>
      <c r="BO101" s="444" t="str">
        <f t="shared" si="159"/>
        <v/>
      </c>
      <c r="BP101" s="394"/>
      <c r="BQ101" s="444" t="str">
        <f t="shared" si="159"/>
        <v/>
      </c>
    </row>
    <row r="102" spans="1:69" x14ac:dyDescent="0.25">
      <c r="A102" s="82"/>
      <c r="B102" s="92" t="s">
        <v>615</v>
      </c>
      <c r="C102" s="93" t="s">
        <v>11</v>
      </c>
      <c r="D102" s="2"/>
      <c r="E102" s="46"/>
      <c r="F102" s="2"/>
      <c r="G102" s="46"/>
      <c r="H102" s="2"/>
      <c r="I102" s="46"/>
      <c r="J102" s="123">
        <v>0.26</v>
      </c>
      <c r="K102" s="123">
        <v>0.31</v>
      </c>
      <c r="L102" s="123">
        <v>0.4</v>
      </c>
      <c r="M102" s="123">
        <v>0.38</v>
      </c>
      <c r="N102" s="123">
        <v>0.38</v>
      </c>
      <c r="O102" s="123">
        <v>0.31</v>
      </c>
      <c r="P102" s="123">
        <v>0.3</v>
      </c>
      <c r="Q102" s="123"/>
      <c r="R102" s="123"/>
      <c r="S102" s="123"/>
      <c r="T102" s="123"/>
      <c r="U102" s="123"/>
      <c r="V102" s="123"/>
      <c r="W102" s="123"/>
      <c r="X102" s="46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204"/>
      <c r="BJ102" s="204"/>
      <c r="BK102" s="204"/>
      <c r="BL102" s="204"/>
      <c r="BM102" s="1"/>
      <c r="BN102" s="396"/>
      <c r="BO102" s="446" t="str">
        <f t="shared" si="159"/>
        <v/>
      </c>
      <c r="BP102" s="396"/>
      <c r="BQ102" s="446" t="str">
        <f t="shared" si="159"/>
        <v/>
      </c>
    </row>
    <row r="103" spans="1:69" x14ac:dyDescent="0.25">
      <c r="A103" s="488"/>
      <c r="B103" s="489"/>
      <c r="C103" s="93"/>
      <c r="D103" s="2"/>
      <c r="E103" s="46"/>
      <c r="F103" s="2"/>
      <c r="G103" s="46"/>
      <c r="H103" s="2"/>
      <c r="I103" s="46"/>
      <c r="J103" s="2"/>
      <c r="K103" s="46"/>
      <c r="L103" s="2"/>
      <c r="M103" s="46"/>
      <c r="N103" s="46"/>
      <c r="O103" s="46"/>
      <c r="P103" s="2"/>
      <c r="Q103" s="2"/>
      <c r="R103" s="2"/>
      <c r="S103" s="187"/>
      <c r="T103" s="46"/>
      <c r="U103" s="46"/>
      <c r="V103" s="46"/>
      <c r="W103" s="46"/>
      <c r="X103" s="46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204"/>
      <c r="BJ103" s="204"/>
      <c r="BK103" s="204"/>
      <c r="BL103" s="204"/>
      <c r="BM103" s="1"/>
      <c r="BN103" s="389"/>
      <c r="BO103" s="439" t="str">
        <f t="shared" si="159"/>
        <v/>
      </c>
      <c r="BP103" s="389"/>
      <c r="BQ103" s="439" t="str">
        <f t="shared" si="159"/>
        <v/>
      </c>
    </row>
    <row r="104" spans="1:69" x14ac:dyDescent="0.25">
      <c r="A104" s="82"/>
      <c r="B104" s="95" t="s">
        <v>617</v>
      </c>
      <c r="C104" s="93"/>
      <c r="D104" s="2"/>
      <c r="E104" s="46"/>
      <c r="F104" s="2"/>
      <c r="G104" s="46"/>
      <c r="H104" s="2"/>
      <c r="I104" s="46"/>
      <c r="J104" s="2" t="s">
        <v>518</v>
      </c>
      <c r="K104" s="2" t="s">
        <v>519</v>
      </c>
      <c r="L104" s="2" t="s">
        <v>520</v>
      </c>
      <c r="M104" s="2" t="s">
        <v>521</v>
      </c>
      <c r="N104" s="2" t="s">
        <v>522</v>
      </c>
      <c r="O104" s="2" t="s">
        <v>523</v>
      </c>
      <c r="P104" s="2" t="s">
        <v>524</v>
      </c>
      <c r="Q104" s="2"/>
      <c r="R104" s="2"/>
      <c r="S104" s="2"/>
      <c r="T104" s="2"/>
      <c r="U104" s="2"/>
      <c r="V104" s="2"/>
      <c r="W104" s="2"/>
      <c r="X104" s="2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204"/>
      <c r="BJ104" s="204"/>
      <c r="BK104" s="204"/>
      <c r="BL104" s="204"/>
      <c r="BM104" s="1"/>
      <c r="BN104" s="369"/>
      <c r="BO104" s="419" t="str">
        <f t="shared" si="159"/>
        <v/>
      </c>
      <c r="BP104" s="369"/>
      <c r="BQ104" s="419" t="str">
        <f t="shared" si="159"/>
        <v/>
      </c>
    </row>
    <row r="105" spans="1:69" x14ac:dyDescent="0.25">
      <c r="A105" s="82"/>
      <c r="B105" s="92" t="s">
        <v>609</v>
      </c>
      <c r="C105" s="93" t="s">
        <v>457</v>
      </c>
      <c r="D105" s="2"/>
      <c r="E105" s="46"/>
      <c r="F105" s="2"/>
      <c r="G105" s="46"/>
      <c r="H105" s="2"/>
      <c r="I105" s="46"/>
      <c r="J105" s="97">
        <v>1898</v>
      </c>
      <c r="K105" s="97">
        <v>2026</v>
      </c>
      <c r="L105" s="97">
        <v>2094</v>
      </c>
      <c r="M105" s="97">
        <v>2233</v>
      </c>
      <c r="N105" s="97">
        <v>2228</v>
      </c>
      <c r="O105" s="97">
        <v>2311</v>
      </c>
      <c r="P105" s="97">
        <v>2290</v>
      </c>
      <c r="Q105" s="97"/>
      <c r="R105" s="97"/>
      <c r="S105" s="46"/>
      <c r="T105" s="46"/>
      <c r="U105" s="46"/>
      <c r="V105" s="46"/>
      <c r="W105" s="46"/>
      <c r="X105" s="46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204"/>
      <c r="BJ105" s="204"/>
      <c r="BK105" s="204"/>
      <c r="BL105" s="204"/>
      <c r="BM105" s="1"/>
      <c r="BN105" s="367"/>
      <c r="BO105" s="417" t="str">
        <f t="shared" si="159"/>
        <v/>
      </c>
      <c r="BP105" s="367"/>
      <c r="BQ105" s="417" t="str">
        <f t="shared" si="159"/>
        <v/>
      </c>
    </row>
    <row r="106" spans="1:69" x14ac:dyDescent="0.25">
      <c r="A106" s="208"/>
      <c r="B106" s="236" t="s">
        <v>610</v>
      </c>
      <c r="C106" s="216" t="s">
        <v>7</v>
      </c>
      <c r="D106" s="212"/>
      <c r="E106" s="213"/>
      <c r="F106" s="212"/>
      <c r="G106" s="213"/>
      <c r="H106" s="212"/>
      <c r="I106" s="213"/>
      <c r="J106" s="237">
        <v>0.21</v>
      </c>
      <c r="K106" s="237">
        <v>0.22</v>
      </c>
      <c r="L106" s="237">
        <v>0.22</v>
      </c>
      <c r="M106" s="237">
        <v>0.2</v>
      </c>
      <c r="N106" s="237">
        <v>0.17</v>
      </c>
      <c r="O106" s="237">
        <v>0.14000000000000001</v>
      </c>
      <c r="P106" s="237">
        <v>0.09</v>
      </c>
      <c r="Q106" s="237"/>
      <c r="R106" s="237"/>
      <c r="S106" s="213"/>
      <c r="T106" s="213"/>
      <c r="U106" s="213"/>
      <c r="V106" s="213"/>
      <c r="W106" s="213"/>
      <c r="X106" s="213"/>
      <c r="Y106" s="211"/>
      <c r="Z106" s="211"/>
      <c r="AA106" s="211"/>
      <c r="AB106" s="211"/>
      <c r="AC106" s="211"/>
      <c r="AD106" s="211"/>
      <c r="AE106" s="211"/>
      <c r="AF106" s="211"/>
      <c r="AG106" s="211"/>
      <c r="AH106" s="211"/>
      <c r="AI106" s="211"/>
      <c r="AJ106" s="211"/>
      <c r="AK106" s="211"/>
      <c r="AL106" s="211"/>
      <c r="AM106" s="211"/>
      <c r="AN106" s="211"/>
      <c r="AO106" s="211"/>
      <c r="AP106" s="211"/>
      <c r="AQ106" s="211"/>
      <c r="AR106" s="211"/>
      <c r="AS106" s="211"/>
      <c r="AT106" s="211"/>
      <c r="AU106" s="211"/>
      <c r="AV106" s="211"/>
      <c r="AW106" s="211"/>
      <c r="AX106" s="211"/>
      <c r="AY106" s="211"/>
      <c r="AZ106" s="211"/>
      <c r="BA106" s="211"/>
      <c r="BB106" s="211"/>
      <c r="BC106" s="211"/>
      <c r="BD106" s="211"/>
      <c r="BE106" s="211"/>
      <c r="BF106" s="211"/>
      <c r="BG106" s="211"/>
      <c r="BH106" s="211"/>
      <c r="BI106" s="214"/>
      <c r="BJ106" s="214"/>
      <c r="BK106" s="214"/>
      <c r="BL106" s="214"/>
      <c r="BM106" s="211"/>
      <c r="BN106" s="395"/>
      <c r="BO106" s="445" t="str">
        <f t="shared" si="159"/>
        <v/>
      </c>
      <c r="BP106" s="395"/>
      <c r="BQ106" s="445" t="str">
        <f t="shared" si="159"/>
        <v/>
      </c>
    </row>
    <row r="107" spans="1:69" x14ac:dyDescent="0.25">
      <c r="A107" s="82"/>
      <c r="B107" s="92" t="s">
        <v>611</v>
      </c>
      <c r="C107" s="93" t="s">
        <v>457</v>
      </c>
      <c r="D107" s="2"/>
      <c r="E107" s="46"/>
      <c r="F107" s="2"/>
      <c r="G107" s="46"/>
      <c r="H107" s="2"/>
      <c r="I107" s="46"/>
      <c r="J107" s="46">
        <v>477</v>
      </c>
      <c r="K107" s="46">
        <v>562</v>
      </c>
      <c r="L107" s="46">
        <v>705</v>
      </c>
      <c r="M107" s="46">
        <v>759</v>
      </c>
      <c r="N107" s="46">
        <v>707</v>
      </c>
      <c r="O107" s="46">
        <v>757</v>
      </c>
      <c r="P107" s="46">
        <v>813</v>
      </c>
      <c r="Q107" s="46"/>
      <c r="R107" s="46"/>
      <c r="S107" s="46"/>
      <c r="T107" s="46"/>
      <c r="U107" s="46"/>
      <c r="V107" s="46"/>
      <c r="W107" s="46"/>
      <c r="X107" s="46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204"/>
      <c r="BJ107" s="204"/>
      <c r="BK107" s="204"/>
      <c r="BL107" s="204"/>
      <c r="BM107" s="1"/>
      <c r="BN107" s="367"/>
      <c r="BO107" s="417" t="str">
        <f t="shared" si="159"/>
        <v/>
      </c>
      <c r="BP107" s="367"/>
      <c r="BQ107" s="417" t="str">
        <f t="shared" si="159"/>
        <v/>
      </c>
    </row>
    <row r="108" spans="1:69" x14ac:dyDescent="0.25">
      <c r="A108" s="208"/>
      <c r="B108" s="236" t="s">
        <v>612</v>
      </c>
      <c r="C108" s="216" t="s">
        <v>7</v>
      </c>
      <c r="D108" s="212"/>
      <c r="E108" s="213"/>
      <c r="F108" s="212"/>
      <c r="G108" s="213"/>
      <c r="H108" s="212"/>
      <c r="I108" s="213"/>
      <c r="J108" s="237">
        <v>0.25</v>
      </c>
      <c r="K108" s="237">
        <v>0.28000000000000003</v>
      </c>
      <c r="L108" s="237">
        <v>0.34</v>
      </c>
      <c r="M108" s="237">
        <v>0.34</v>
      </c>
      <c r="N108" s="237">
        <v>0.32</v>
      </c>
      <c r="O108" s="237">
        <v>0.33</v>
      </c>
      <c r="P108" s="237">
        <v>0.35</v>
      </c>
      <c r="Q108" s="237"/>
      <c r="R108" s="237"/>
      <c r="S108" s="213"/>
      <c r="T108" s="213"/>
      <c r="U108" s="213"/>
      <c r="V108" s="213"/>
      <c r="W108" s="213"/>
      <c r="X108" s="213"/>
      <c r="Y108" s="211"/>
      <c r="Z108" s="211"/>
      <c r="AA108" s="211"/>
      <c r="AB108" s="211"/>
      <c r="AC108" s="211"/>
      <c r="AD108" s="211"/>
      <c r="AE108" s="211"/>
      <c r="AF108" s="211"/>
      <c r="AG108" s="211"/>
      <c r="AH108" s="211"/>
      <c r="AI108" s="211"/>
      <c r="AJ108" s="211"/>
      <c r="AK108" s="211"/>
      <c r="AL108" s="211"/>
      <c r="AM108" s="211"/>
      <c r="AN108" s="211"/>
      <c r="AO108" s="211"/>
      <c r="AP108" s="211"/>
      <c r="AQ108" s="211"/>
      <c r="AR108" s="211"/>
      <c r="AS108" s="211"/>
      <c r="AT108" s="211"/>
      <c r="AU108" s="211"/>
      <c r="AV108" s="211"/>
      <c r="AW108" s="211"/>
      <c r="AX108" s="211"/>
      <c r="AY108" s="211"/>
      <c r="AZ108" s="211"/>
      <c r="BA108" s="211"/>
      <c r="BB108" s="211"/>
      <c r="BC108" s="211"/>
      <c r="BD108" s="211"/>
      <c r="BE108" s="211"/>
      <c r="BF108" s="211"/>
      <c r="BG108" s="211"/>
      <c r="BH108" s="211"/>
      <c r="BI108" s="214"/>
      <c r="BJ108" s="214"/>
      <c r="BK108" s="214"/>
      <c r="BL108" s="214"/>
      <c r="BM108" s="211"/>
      <c r="BN108" s="395"/>
      <c r="BO108" s="445" t="str">
        <f t="shared" si="159"/>
        <v/>
      </c>
      <c r="BP108" s="395"/>
      <c r="BQ108" s="445" t="str">
        <f t="shared" si="159"/>
        <v/>
      </c>
    </row>
    <row r="109" spans="1:69" x14ac:dyDescent="0.25">
      <c r="A109" s="82"/>
      <c r="B109" s="92" t="s">
        <v>613</v>
      </c>
      <c r="C109" s="93" t="s">
        <v>457</v>
      </c>
      <c r="D109" s="2"/>
      <c r="E109" s="46"/>
      <c r="F109" s="2"/>
      <c r="G109" s="46"/>
      <c r="H109" s="2"/>
      <c r="I109" s="46"/>
      <c r="J109" s="46">
        <v>90</v>
      </c>
      <c r="K109" s="46">
        <v>185</v>
      </c>
      <c r="L109" s="46">
        <v>364</v>
      </c>
      <c r="M109" s="46">
        <v>399</v>
      </c>
      <c r="N109" s="46">
        <v>318</v>
      </c>
      <c r="O109" s="46">
        <v>402</v>
      </c>
      <c r="P109" s="46">
        <v>466</v>
      </c>
      <c r="Q109" s="46"/>
      <c r="R109" s="46"/>
      <c r="S109" s="46"/>
      <c r="T109" s="46"/>
      <c r="U109" s="46"/>
      <c r="V109" s="46"/>
      <c r="W109" s="46"/>
      <c r="X109" s="46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204"/>
      <c r="BJ109" s="204"/>
      <c r="BK109" s="204"/>
      <c r="BL109" s="204"/>
      <c r="BM109" s="1"/>
      <c r="BN109" s="367"/>
      <c r="BO109" s="417" t="str">
        <f t="shared" si="159"/>
        <v/>
      </c>
      <c r="BP109" s="367"/>
      <c r="BQ109" s="417" t="str">
        <f t="shared" si="159"/>
        <v/>
      </c>
    </row>
    <row r="110" spans="1:69" x14ac:dyDescent="0.25">
      <c r="A110" s="208"/>
      <c r="B110" s="236" t="s">
        <v>614</v>
      </c>
      <c r="C110" s="216" t="s">
        <v>7</v>
      </c>
      <c r="D110" s="212"/>
      <c r="E110" s="213"/>
      <c r="F110" s="212"/>
      <c r="G110" s="213"/>
      <c r="H110" s="212"/>
      <c r="I110" s="213"/>
      <c r="J110" s="237">
        <v>0.05</v>
      </c>
      <c r="K110" s="237">
        <v>0.09</v>
      </c>
      <c r="L110" s="237">
        <v>0.17</v>
      </c>
      <c r="M110" s="237">
        <v>0.18</v>
      </c>
      <c r="N110" s="237">
        <v>0.14000000000000001</v>
      </c>
      <c r="O110" s="237">
        <v>0.17</v>
      </c>
      <c r="P110" s="237">
        <v>0.2</v>
      </c>
      <c r="Q110" s="237"/>
      <c r="R110" s="237"/>
      <c r="S110" s="213"/>
      <c r="T110" s="213"/>
      <c r="U110" s="213"/>
      <c r="V110" s="213"/>
      <c r="W110" s="213"/>
      <c r="X110" s="213"/>
      <c r="Y110" s="211"/>
      <c r="Z110" s="211"/>
      <c r="AA110" s="211"/>
      <c r="AB110" s="211"/>
      <c r="AC110" s="211"/>
      <c r="AD110" s="211"/>
      <c r="AE110" s="211"/>
      <c r="AF110" s="211"/>
      <c r="AG110" s="211"/>
      <c r="AH110" s="211"/>
      <c r="AI110" s="211"/>
      <c r="AJ110" s="211"/>
      <c r="AK110" s="211"/>
      <c r="AL110" s="211"/>
      <c r="AM110" s="211"/>
      <c r="AN110" s="211"/>
      <c r="AO110" s="211"/>
      <c r="AP110" s="211"/>
      <c r="AQ110" s="211"/>
      <c r="AR110" s="211"/>
      <c r="AS110" s="211"/>
      <c r="AT110" s="211"/>
      <c r="AU110" s="211"/>
      <c r="AV110" s="211"/>
      <c r="AW110" s="211"/>
      <c r="AX110" s="211"/>
      <c r="AY110" s="211"/>
      <c r="AZ110" s="211"/>
      <c r="BA110" s="211"/>
      <c r="BB110" s="211"/>
      <c r="BC110" s="211"/>
      <c r="BD110" s="211"/>
      <c r="BE110" s="211"/>
      <c r="BF110" s="211"/>
      <c r="BG110" s="211"/>
      <c r="BH110" s="211"/>
      <c r="BI110" s="214"/>
      <c r="BJ110" s="214"/>
      <c r="BK110" s="214"/>
      <c r="BL110" s="214"/>
      <c r="BM110" s="211"/>
      <c r="BN110" s="395"/>
      <c r="BO110" s="445" t="str">
        <f t="shared" si="159"/>
        <v/>
      </c>
      <c r="BP110" s="395"/>
      <c r="BQ110" s="445" t="str">
        <f t="shared" si="159"/>
        <v/>
      </c>
    </row>
    <row r="111" spans="1:69" x14ac:dyDescent="0.25">
      <c r="A111" s="82"/>
      <c r="B111" s="92" t="s">
        <v>615</v>
      </c>
      <c r="C111" s="93" t="s">
        <v>11</v>
      </c>
      <c r="D111" s="2"/>
      <c r="E111" s="46"/>
      <c r="F111" s="2"/>
      <c r="G111" s="46"/>
      <c r="H111" s="2"/>
      <c r="I111" s="46"/>
      <c r="J111" s="123">
        <v>0.26</v>
      </c>
      <c r="K111" s="123">
        <v>0.31</v>
      </c>
      <c r="L111" s="123">
        <v>0.4</v>
      </c>
      <c r="M111" s="123">
        <v>0.38</v>
      </c>
      <c r="N111" s="123">
        <v>0.32</v>
      </c>
      <c r="O111" s="123">
        <v>0.31</v>
      </c>
      <c r="P111" s="123">
        <v>0.3</v>
      </c>
      <c r="Q111" s="123"/>
      <c r="R111" s="123"/>
      <c r="S111" s="46"/>
      <c r="T111" s="46"/>
      <c r="U111" s="46"/>
      <c r="V111" s="46"/>
      <c r="W111" s="46"/>
      <c r="X111" s="46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204"/>
      <c r="BJ111" s="204"/>
      <c r="BK111" s="204"/>
      <c r="BL111" s="204"/>
      <c r="BM111" s="1"/>
      <c r="BN111" s="367"/>
      <c r="BO111" s="417" t="str">
        <f t="shared" si="159"/>
        <v/>
      </c>
      <c r="BP111" s="367"/>
      <c r="BQ111" s="417" t="str">
        <f t="shared" si="159"/>
        <v/>
      </c>
    </row>
    <row r="112" spans="1:69" x14ac:dyDescent="0.25">
      <c r="A112" s="488"/>
      <c r="B112" s="489"/>
      <c r="C112" s="93"/>
      <c r="D112" s="2"/>
      <c r="E112" s="46"/>
      <c r="F112" s="2"/>
      <c r="G112" s="46"/>
      <c r="H112" s="2"/>
      <c r="I112" s="46"/>
      <c r="J112" s="2"/>
      <c r="K112" s="46"/>
      <c r="L112" s="2"/>
      <c r="M112" s="46"/>
      <c r="N112" s="46"/>
      <c r="O112" s="46"/>
      <c r="P112" s="2"/>
      <c r="Q112" s="2"/>
      <c r="R112" s="2"/>
      <c r="S112" s="239"/>
      <c r="T112" s="46"/>
      <c r="U112" s="46"/>
      <c r="V112" s="46"/>
      <c r="W112" s="239"/>
      <c r="X112" s="46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204"/>
      <c r="BJ112" s="204"/>
      <c r="BK112" s="204"/>
      <c r="BL112" s="204"/>
      <c r="BM112" s="1"/>
      <c r="BN112" s="397"/>
      <c r="BO112" s="447" t="str">
        <f t="shared" si="159"/>
        <v/>
      </c>
      <c r="BP112" s="397"/>
      <c r="BQ112" s="447" t="str">
        <f t="shared" si="159"/>
        <v/>
      </c>
    </row>
    <row r="113" spans="1:69" x14ac:dyDescent="0.25">
      <c r="A113" s="82"/>
      <c r="B113" s="95" t="s">
        <v>618</v>
      </c>
      <c r="C113" s="93"/>
      <c r="D113" s="48"/>
      <c r="E113" s="46"/>
      <c r="F113" s="48"/>
      <c r="G113" s="46"/>
      <c r="H113" s="48"/>
      <c r="I113" s="46"/>
      <c r="J113" s="48"/>
      <c r="K113" s="46"/>
      <c r="L113" s="48"/>
      <c r="M113" s="46"/>
      <c r="N113" s="48"/>
      <c r="O113" s="46"/>
      <c r="P113" s="48"/>
      <c r="Q113" s="48"/>
      <c r="R113" s="48"/>
      <c r="S113" s="48"/>
      <c r="T113" s="48"/>
      <c r="U113" s="48"/>
      <c r="V113" s="48"/>
      <c r="W113" s="48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204"/>
      <c r="BJ113" s="204"/>
      <c r="BK113" s="204"/>
      <c r="BL113" s="204"/>
      <c r="BM113" s="1"/>
      <c r="BN113" s="377"/>
      <c r="BO113" s="427" t="str">
        <f t="shared" si="159"/>
        <v/>
      </c>
      <c r="BP113" s="377"/>
      <c r="BQ113" s="427" t="str">
        <f t="shared" si="159"/>
        <v/>
      </c>
    </row>
    <row r="114" spans="1:69" x14ac:dyDescent="0.25">
      <c r="A114" s="82"/>
      <c r="B114" s="92" t="s">
        <v>429</v>
      </c>
      <c r="C114" s="93" t="s">
        <v>457</v>
      </c>
      <c r="D114" s="48"/>
      <c r="E114" s="46"/>
      <c r="F114" s="48"/>
      <c r="G114" s="46"/>
      <c r="H114" s="48"/>
      <c r="I114" s="46"/>
      <c r="J114" s="48"/>
      <c r="K114" s="46"/>
      <c r="L114" s="48"/>
      <c r="M114" s="46"/>
      <c r="N114" s="46"/>
      <c r="O114" s="46"/>
      <c r="P114" s="48"/>
      <c r="Q114" s="48"/>
      <c r="R114" s="48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  <c r="BD114" s="46"/>
      <c r="BE114" s="46"/>
      <c r="BF114" s="46"/>
      <c r="BG114" s="46"/>
      <c r="BH114" s="1"/>
      <c r="BI114" s="204"/>
      <c r="BJ114" s="204"/>
      <c r="BK114" s="204"/>
      <c r="BL114" s="204"/>
      <c r="BM114" s="1"/>
      <c r="BN114" s="367"/>
      <c r="BO114" s="417" t="str">
        <f t="shared" si="159"/>
        <v/>
      </c>
      <c r="BP114" s="367"/>
      <c r="BQ114" s="417" t="str">
        <f t="shared" si="159"/>
        <v/>
      </c>
    </row>
    <row r="115" spans="1:69" x14ac:dyDescent="0.25">
      <c r="A115" s="82"/>
      <c r="B115" s="92" t="s">
        <v>443</v>
      </c>
      <c r="C115" s="93" t="s">
        <v>457</v>
      </c>
      <c r="D115" s="48"/>
      <c r="E115" s="46"/>
      <c r="F115" s="48"/>
      <c r="G115" s="46"/>
      <c r="H115" s="48"/>
      <c r="I115" s="46"/>
      <c r="J115" s="48"/>
      <c r="K115" s="46"/>
      <c r="L115" s="48"/>
      <c r="M115" s="46"/>
      <c r="N115" s="46"/>
      <c r="O115" s="46"/>
      <c r="P115" s="48"/>
      <c r="Q115" s="48"/>
      <c r="R115" s="48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1"/>
      <c r="BI115" s="204"/>
      <c r="BJ115" s="204"/>
      <c r="BK115" s="204"/>
      <c r="BL115" s="204"/>
      <c r="BM115" s="1"/>
      <c r="BN115" s="367"/>
      <c r="BO115" s="417" t="str">
        <f t="shared" si="159"/>
        <v/>
      </c>
      <c r="BP115" s="367"/>
      <c r="BQ115" s="417" t="str">
        <f t="shared" si="159"/>
        <v/>
      </c>
    </row>
    <row r="116" spans="1:69" x14ac:dyDescent="0.25">
      <c r="A116" s="488"/>
      <c r="B116" s="489"/>
      <c r="C116" s="111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204"/>
      <c r="BJ116" s="204"/>
      <c r="BK116" s="204"/>
      <c r="BL116" s="204"/>
      <c r="BM116" s="1"/>
      <c r="BN116" s="367"/>
      <c r="BO116" s="417" t="str">
        <f t="shared" si="159"/>
        <v/>
      </c>
      <c r="BP116" s="367"/>
      <c r="BQ116" s="417" t="str">
        <f t="shared" si="159"/>
        <v/>
      </c>
    </row>
    <row r="117" spans="1:69" x14ac:dyDescent="0.25">
      <c r="A117" s="82"/>
      <c r="B117" s="156" t="s">
        <v>375</v>
      </c>
      <c r="C117" s="157"/>
      <c r="D117" s="158" t="s">
        <v>512</v>
      </c>
      <c r="E117" s="84" t="s">
        <v>513</v>
      </c>
      <c r="F117" s="158" t="s">
        <v>514</v>
      </c>
      <c r="G117" s="158" t="s">
        <v>515</v>
      </c>
      <c r="H117" s="158" t="s">
        <v>516</v>
      </c>
      <c r="I117" s="84" t="s">
        <v>517</v>
      </c>
      <c r="J117" s="158" t="s">
        <v>518</v>
      </c>
      <c r="K117" s="158" t="s">
        <v>519</v>
      </c>
      <c r="L117" s="158" t="s">
        <v>520</v>
      </c>
      <c r="M117" s="84" t="s">
        <v>521</v>
      </c>
      <c r="N117" s="84" t="s">
        <v>522</v>
      </c>
      <c r="O117" s="158" t="s">
        <v>523</v>
      </c>
      <c r="P117" s="158" t="s">
        <v>524</v>
      </c>
      <c r="Q117" s="158" t="s">
        <v>525</v>
      </c>
      <c r="R117" s="158" t="s">
        <v>525</v>
      </c>
      <c r="S117" s="158"/>
      <c r="T117" s="158"/>
      <c r="U117" s="158"/>
      <c r="V117" s="158"/>
      <c r="W117" s="158"/>
      <c r="X117" s="158"/>
      <c r="Y117" s="158"/>
      <c r="Z117" s="158"/>
      <c r="AA117" s="158"/>
      <c r="AB117" s="158"/>
      <c r="AC117" s="158"/>
      <c r="AD117" s="158"/>
      <c r="AE117" s="158"/>
      <c r="AF117" s="158"/>
      <c r="AG117" s="158"/>
      <c r="AH117" s="158"/>
      <c r="AI117" s="158"/>
      <c r="AJ117" s="158"/>
      <c r="AK117" s="158"/>
      <c r="AL117" s="158"/>
      <c r="AM117" s="158"/>
      <c r="AN117" s="158"/>
      <c r="AO117" s="158"/>
      <c r="AP117" s="158"/>
      <c r="AQ117" s="158"/>
      <c r="AR117" s="158"/>
      <c r="AS117" s="158"/>
      <c r="AT117" s="158"/>
      <c r="AU117" s="158"/>
      <c r="AV117" s="158"/>
      <c r="AW117" s="158"/>
      <c r="AX117" s="158"/>
      <c r="AY117" s="158"/>
      <c r="AZ117" s="158"/>
      <c r="BA117" s="158"/>
      <c r="BB117" s="158"/>
      <c r="BC117" s="158"/>
      <c r="BD117" s="158"/>
      <c r="BE117" s="158"/>
      <c r="BF117" s="158"/>
      <c r="BG117" s="158"/>
      <c r="BH117" s="1"/>
      <c r="BI117" s="204"/>
      <c r="BJ117" s="204"/>
      <c r="BK117" s="204"/>
      <c r="BL117" s="204"/>
      <c r="BM117" s="1"/>
      <c r="BN117" s="398"/>
      <c r="BO117" s="448" t="str">
        <f t="shared" si="159"/>
        <v/>
      </c>
      <c r="BP117" s="398"/>
      <c r="BQ117" s="448" t="str">
        <f t="shared" si="159"/>
        <v/>
      </c>
    </row>
    <row r="118" spans="1:69" x14ac:dyDescent="0.25">
      <c r="A118" s="488"/>
      <c r="B118" s="489"/>
      <c r="C118" s="111"/>
      <c r="D118" s="46"/>
      <c r="E118" s="45"/>
      <c r="F118" s="46"/>
      <c r="G118" s="1"/>
      <c r="H118" s="46"/>
      <c r="I118" s="45"/>
      <c r="J118" s="1"/>
      <c r="K118" s="1"/>
      <c r="L118" s="1"/>
      <c r="M118" s="45"/>
      <c r="N118" s="4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204"/>
      <c r="BJ118" s="204"/>
      <c r="BK118" s="204"/>
      <c r="BL118" s="204"/>
      <c r="BM118" s="1"/>
      <c r="BN118" s="364"/>
      <c r="BO118" s="414" t="str">
        <f t="shared" si="159"/>
        <v/>
      </c>
      <c r="BP118" s="364"/>
      <c r="BQ118" s="414" t="str">
        <f t="shared" si="159"/>
        <v/>
      </c>
    </row>
    <row r="119" spans="1:69" x14ac:dyDescent="0.25">
      <c r="A119" s="228"/>
      <c r="B119" s="95" t="s">
        <v>619</v>
      </c>
      <c r="C119" s="93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  <c r="AA119" s="187"/>
      <c r="AB119" s="187"/>
      <c r="AC119" s="187"/>
      <c r="AD119" s="187"/>
      <c r="AE119" s="187"/>
      <c r="AF119" s="187"/>
      <c r="AG119" s="187"/>
      <c r="AH119" s="187"/>
      <c r="AI119" s="187"/>
      <c r="AJ119" s="187"/>
      <c r="AK119" s="187"/>
      <c r="AL119" s="187"/>
      <c r="AM119" s="187"/>
      <c r="AN119" s="187"/>
      <c r="AO119" s="187"/>
      <c r="AP119" s="187"/>
      <c r="AQ119" s="187"/>
      <c r="AR119" s="187"/>
      <c r="AS119" s="187"/>
      <c r="AT119" s="187"/>
      <c r="AU119" s="187"/>
      <c r="AV119" s="187"/>
      <c r="AW119" s="187"/>
      <c r="AX119" s="187"/>
      <c r="AY119" s="187"/>
      <c r="AZ119" s="187"/>
      <c r="BA119" s="187"/>
      <c r="BB119" s="187"/>
      <c r="BC119" s="187"/>
      <c r="BD119" s="187"/>
      <c r="BE119" s="187"/>
      <c r="BF119" s="187"/>
      <c r="BG119" s="187"/>
      <c r="BH119" s="187"/>
      <c r="BI119" s="229"/>
      <c r="BJ119" s="229"/>
      <c r="BK119" s="229"/>
      <c r="BL119" s="229"/>
      <c r="BM119" s="187"/>
      <c r="BN119" s="389"/>
      <c r="BO119" s="439" t="str">
        <f t="shared" si="159"/>
        <v/>
      </c>
      <c r="BP119" s="389"/>
      <c r="BQ119" s="439" t="str">
        <f t="shared" si="159"/>
        <v/>
      </c>
    </row>
    <row r="120" spans="1:69" x14ac:dyDescent="0.25">
      <c r="A120" s="228"/>
      <c r="B120" s="92" t="s">
        <v>620</v>
      </c>
      <c r="C120" s="93"/>
      <c r="D120" s="48">
        <v>502</v>
      </c>
      <c r="E120" s="48">
        <v>531</v>
      </c>
      <c r="F120" s="48">
        <v>486</v>
      </c>
      <c r="G120" s="48">
        <v>540</v>
      </c>
      <c r="H120" s="48">
        <v>496</v>
      </c>
      <c r="I120" s="48">
        <v>538</v>
      </c>
      <c r="J120" s="48">
        <v>479</v>
      </c>
      <c r="K120" s="48">
        <v>506</v>
      </c>
      <c r="L120" s="48">
        <v>444</v>
      </c>
      <c r="M120" s="48">
        <v>508</v>
      </c>
      <c r="N120" s="48">
        <v>512</v>
      </c>
      <c r="O120" s="48">
        <v>521</v>
      </c>
      <c r="P120" s="48">
        <v>504</v>
      </c>
      <c r="Q120" s="48">
        <v>550</v>
      </c>
      <c r="R120" s="48">
        <v>599</v>
      </c>
      <c r="S120" s="187"/>
      <c r="T120" s="187"/>
      <c r="U120" s="187"/>
      <c r="V120" s="187"/>
      <c r="W120" s="187"/>
      <c r="X120" s="187"/>
      <c r="Y120" s="187"/>
      <c r="Z120" s="187"/>
      <c r="AA120" s="187"/>
      <c r="AB120" s="187"/>
      <c r="AC120" s="187"/>
      <c r="AD120" s="187"/>
      <c r="AE120" s="187"/>
      <c r="AF120" s="187"/>
      <c r="AG120" s="187"/>
      <c r="AH120" s="187"/>
      <c r="AI120" s="187"/>
      <c r="AJ120" s="187"/>
      <c r="AK120" s="187"/>
      <c r="AL120" s="187"/>
      <c r="AM120" s="187"/>
      <c r="AN120" s="187"/>
      <c r="AO120" s="187"/>
      <c r="AP120" s="187"/>
      <c r="AQ120" s="187"/>
      <c r="AR120" s="187"/>
      <c r="AS120" s="187"/>
      <c r="AT120" s="187"/>
      <c r="AU120" s="187"/>
      <c r="AV120" s="187"/>
      <c r="AW120" s="187"/>
      <c r="AX120" s="187"/>
      <c r="AY120" s="187"/>
      <c r="AZ120" s="187"/>
      <c r="BA120" s="187"/>
      <c r="BB120" s="187"/>
      <c r="BC120" s="187"/>
      <c r="BD120" s="187"/>
      <c r="BE120" s="187"/>
      <c r="BF120" s="187"/>
      <c r="BG120" s="187"/>
      <c r="BH120" s="187"/>
      <c r="BI120" s="229"/>
      <c r="BJ120" s="229"/>
      <c r="BK120" s="229"/>
      <c r="BL120" s="229"/>
      <c r="BM120" s="187"/>
      <c r="BN120" s="389"/>
      <c r="BO120" s="439" t="str">
        <f t="shared" si="159"/>
        <v/>
      </c>
      <c r="BP120" s="389"/>
      <c r="BQ120" s="439" t="str">
        <f t="shared" si="159"/>
        <v/>
      </c>
    </row>
    <row r="121" spans="1:69" x14ac:dyDescent="0.25">
      <c r="A121" s="228"/>
      <c r="B121" s="92" t="s">
        <v>621</v>
      </c>
      <c r="C121" s="93" t="s">
        <v>457</v>
      </c>
      <c r="D121" s="48">
        <v>250</v>
      </c>
      <c r="E121" s="48">
        <v>249</v>
      </c>
      <c r="F121" s="48">
        <v>252</v>
      </c>
      <c r="G121" s="48">
        <v>285</v>
      </c>
      <c r="H121" s="48">
        <v>272</v>
      </c>
      <c r="I121" s="48">
        <v>274</v>
      </c>
      <c r="J121" s="48">
        <v>249</v>
      </c>
      <c r="K121" s="48">
        <v>314</v>
      </c>
      <c r="L121" s="48">
        <v>256</v>
      </c>
      <c r="M121" s="48">
        <v>313</v>
      </c>
      <c r="N121" s="48">
        <v>318</v>
      </c>
      <c r="O121" s="48">
        <v>310</v>
      </c>
      <c r="P121" s="48">
        <v>287</v>
      </c>
      <c r="Q121" s="48">
        <v>323</v>
      </c>
      <c r="R121" s="48">
        <v>361</v>
      </c>
      <c r="S121" s="187"/>
      <c r="T121" s="187"/>
      <c r="U121" s="187"/>
      <c r="V121" s="187"/>
      <c r="W121" s="187"/>
      <c r="X121" s="187"/>
      <c r="Y121" s="187"/>
      <c r="Z121" s="187"/>
      <c r="AA121" s="187"/>
      <c r="AB121" s="187"/>
      <c r="AC121" s="187"/>
      <c r="AD121" s="187"/>
      <c r="AE121" s="187"/>
      <c r="AF121" s="187"/>
      <c r="AG121" s="187"/>
      <c r="AH121" s="187"/>
      <c r="AI121" s="187"/>
      <c r="AJ121" s="187"/>
      <c r="AK121" s="187"/>
      <c r="AL121" s="187"/>
      <c r="AM121" s="187"/>
      <c r="AN121" s="187"/>
      <c r="AO121" s="187"/>
      <c r="AP121" s="187"/>
      <c r="AQ121" s="187"/>
      <c r="AR121" s="187"/>
      <c r="AS121" s="187"/>
      <c r="AT121" s="187"/>
      <c r="AU121" s="187"/>
      <c r="AV121" s="187"/>
      <c r="AW121" s="187"/>
      <c r="AX121" s="187"/>
      <c r="AY121" s="187"/>
      <c r="AZ121" s="187"/>
      <c r="BA121" s="187"/>
      <c r="BB121" s="187"/>
      <c r="BC121" s="187"/>
      <c r="BD121" s="187"/>
      <c r="BE121" s="187"/>
      <c r="BF121" s="187"/>
      <c r="BG121" s="187"/>
      <c r="BH121" s="187"/>
      <c r="BI121" s="229"/>
      <c r="BJ121" s="229"/>
      <c r="BK121" s="229"/>
      <c r="BL121" s="229"/>
      <c r="BM121" s="187"/>
      <c r="BN121" s="389"/>
      <c r="BO121" s="439" t="str">
        <f t="shared" si="159"/>
        <v/>
      </c>
      <c r="BP121" s="389"/>
      <c r="BQ121" s="439" t="str">
        <f t="shared" si="159"/>
        <v/>
      </c>
    </row>
    <row r="122" spans="1:69" x14ac:dyDescent="0.25">
      <c r="A122" s="228"/>
      <c r="B122" s="92" t="s">
        <v>622</v>
      </c>
      <c r="C122" s="93" t="s">
        <v>457</v>
      </c>
      <c r="D122" s="46">
        <v>252</v>
      </c>
      <c r="E122" s="46">
        <v>282</v>
      </c>
      <c r="F122" s="46">
        <v>234</v>
      </c>
      <c r="G122" s="46">
        <v>255</v>
      </c>
      <c r="H122" s="46">
        <v>224</v>
      </c>
      <c r="I122" s="46">
        <v>264</v>
      </c>
      <c r="J122" s="46">
        <v>231</v>
      </c>
      <c r="K122" s="46">
        <v>192</v>
      </c>
      <c r="L122" s="46">
        <v>188</v>
      </c>
      <c r="M122" s="46">
        <v>194</v>
      </c>
      <c r="N122" s="46">
        <v>179</v>
      </c>
      <c r="O122" s="46">
        <v>250</v>
      </c>
      <c r="P122" s="46">
        <v>172</v>
      </c>
      <c r="Q122" s="46">
        <v>197</v>
      </c>
      <c r="R122" s="46">
        <v>197</v>
      </c>
      <c r="S122" s="187"/>
      <c r="T122" s="187"/>
      <c r="U122" s="187"/>
      <c r="V122" s="187"/>
      <c r="W122" s="187"/>
      <c r="X122" s="187"/>
      <c r="Y122" s="187"/>
      <c r="Z122" s="187"/>
      <c r="AA122" s="187"/>
      <c r="AB122" s="187"/>
      <c r="AC122" s="187"/>
      <c r="AD122" s="187"/>
      <c r="AE122" s="187"/>
      <c r="AF122" s="187"/>
      <c r="AG122" s="187"/>
      <c r="AH122" s="187"/>
      <c r="AI122" s="187"/>
      <c r="AJ122" s="187"/>
      <c r="AK122" s="187"/>
      <c r="AL122" s="187"/>
      <c r="AM122" s="187"/>
      <c r="AN122" s="187"/>
      <c r="AO122" s="187"/>
      <c r="AP122" s="187"/>
      <c r="AQ122" s="187"/>
      <c r="AR122" s="187"/>
      <c r="AS122" s="187"/>
      <c r="AT122" s="187"/>
      <c r="AU122" s="187"/>
      <c r="AV122" s="187"/>
      <c r="AW122" s="187"/>
      <c r="AX122" s="187"/>
      <c r="AY122" s="187"/>
      <c r="AZ122" s="187"/>
      <c r="BA122" s="187"/>
      <c r="BB122" s="187"/>
      <c r="BC122" s="187"/>
      <c r="BD122" s="187"/>
      <c r="BE122" s="187"/>
      <c r="BF122" s="187"/>
      <c r="BG122" s="187"/>
      <c r="BH122" s="187"/>
      <c r="BI122" s="229"/>
      <c r="BJ122" s="229"/>
      <c r="BK122" s="229"/>
      <c r="BL122" s="229"/>
      <c r="BM122" s="187"/>
      <c r="BN122" s="389"/>
      <c r="BO122" s="439" t="str">
        <f t="shared" si="159"/>
        <v/>
      </c>
      <c r="BP122" s="389"/>
      <c r="BQ122" s="439" t="str">
        <f t="shared" si="159"/>
        <v/>
      </c>
    </row>
    <row r="123" spans="1:69" x14ac:dyDescent="0.25">
      <c r="A123" s="490"/>
      <c r="B123" s="492"/>
      <c r="C123" s="93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187"/>
      <c r="T123" s="187"/>
      <c r="U123" s="187"/>
      <c r="V123" s="187"/>
      <c r="W123" s="187"/>
      <c r="X123" s="187"/>
      <c r="Y123" s="187"/>
      <c r="Z123" s="187"/>
      <c r="AA123" s="187"/>
      <c r="AB123" s="187"/>
      <c r="AC123" s="187"/>
      <c r="AD123" s="187"/>
      <c r="AE123" s="187"/>
      <c r="AF123" s="187"/>
      <c r="AG123" s="187"/>
      <c r="AH123" s="187"/>
      <c r="AI123" s="187"/>
      <c r="AJ123" s="187"/>
      <c r="AK123" s="187"/>
      <c r="AL123" s="187"/>
      <c r="AM123" s="187"/>
      <c r="AN123" s="187"/>
      <c r="AO123" s="187"/>
      <c r="AP123" s="187"/>
      <c r="AQ123" s="187"/>
      <c r="AR123" s="187"/>
      <c r="AS123" s="187"/>
      <c r="AT123" s="187"/>
      <c r="AU123" s="187"/>
      <c r="AV123" s="187"/>
      <c r="AW123" s="187"/>
      <c r="AX123" s="187"/>
      <c r="AY123" s="187"/>
      <c r="AZ123" s="187"/>
      <c r="BA123" s="187"/>
      <c r="BB123" s="187"/>
      <c r="BC123" s="187"/>
      <c r="BD123" s="187"/>
      <c r="BE123" s="187"/>
      <c r="BF123" s="187"/>
      <c r="BG123" s="187"/>
      <c r="BH123" s="187"/>
      <c r="BI123" s="229"/>
      <c r="BJ123" s="229"/>
      <c r="BK123" s="229"/>
      <c r="BL123" s="229"/>
      <c r="BM123" s="187"/>
      <c r="BN123" s="389"/>
      <c r="BO123" s="439" t="str">
        <f t="shared" si="159"/>
        <v/>
      </c>
      <c r="BP123" s="389"/>
      <c r="BQ123" s="439" t="str">
        <f t="shared" si="159"/>
        <v/>
      </c>
    </row>
    <row r="124" spans="1:69" x14ac:dyDescent="0.25">
      <c r="A124" s="228"/>
      <c r="B124" s="92" t="s">
        <v>623</v>
      </c>
      <c r="C124" s="93" t="s">
        <v>7</v>
      </c>
      <c r="D124" s="123">
        <v>0.5</v>
      </c>
      <c r="E124" s="123">
        <v>0.47</v>
      </c>
      <c r="F124" s="123">
        <v>0.52</v>
      </c>
      <c r="G124" s="123">
        <v>0.53</v>
      </c>
      <c r="H124" s="123">
        <v>0.55000000000000004</v>
      </c>
      <c r="I124" s="123">
        <v>0.51</v>
      </c>
      <c r="J124" s="123">
        <v>0.52</v>
      </c>
      <c r="K124" s="123">
        <v>0.62</v>
      </c>
      <c r="L124" s="123">
        <v>0.57999999999999996</v>
      </c>
      <c r="M124" s="123">
        <v>0.62</v>
      </c>
      <c r="N124" s="123">
        <v>0.65</v>
      </c>
      <c r="O124" s="123">
        <v>0.52</v>
      </c>
      <c r="P124" s="123">
        <v>0.66</v>
      </c>
      <c r="Q124" s="123">
        <v>0.64</v>
      </c>
      <c r="R124" s="123">
        <v>0.64</v>
      </c>
      <c r="S124" s="187"/>
      <c r="T124" s="187"/>
      <c r="U124" s="187"/>
      <c r="V124" s="187"/>
      <c r="W124" s="187"/>
      <c r="X124" s="187"/>
      <c r="Y124" s="187"/>
      <c r="Z124" s="187"/>
      <c r="AA124" s="187"/>
      <c r="AB124" s="187"/>
      <c r="AC124" s="187"/>
      <c r="AD124" s="187"/>
      <c r="AE124" s="187"/>
      <c r="AF124" s="187"/>
      <c r="AG124" s="187"/>
      <c r="AH124" s="187"/>
      <c r="AI124" s="187"/>
      <c r="AJ124" s="187"/>
      <c r="AK124" s="187"/>
      <c r="AL124" s="187"/>
      <c r="AM124" s="187"/>
      <c r="AN124" s="187"/>
      <c r="AO124" s="187"/>
      <c r="AP124" s="187"/>
      <c r="AQ124" s="187"/>
      <c r="AR124" s="187"/>
      <c r="AS124" s="187"/>
      <c r="AT124" s="187"/>
      <c r="AU124" s="187"/>
      <c r="AV124" s="187"/>
      <c r="AW124" s="187"/>
      <c r="AX124" s="187"/>
      <c r="AY124" s="187"/>
      <c r="AZ124" s="187"/>
      <c r="BA124" s="187"/>
      <c r="BB124" s="187"/>
      <c r="BC124" s="187"/>
      <c r="BD124" s="187"/>
      <c r="BE124" s="187"/>
      <c r="BF124" s="187"/>
      <c r="BG124" s="187"/>
      <c r="BH124" s="187"/>
      <c r="BI124" s="229"/>
      <c r="BJ124" s="229"/>
      <c r="BK124" s="229"/>
      <c r="BL124" s="229"/>
      <c r="BM124" s="187"/>
      <c r="BN124" s="389"/>
      <c r="BO124" s="439" t="str">
        <f t="shared" si="159"/>
        <v/>
      </c>
      <c r="BP124" s="389"/>
      <c r="BQ124" s="439" t="str">
        <f t="shared" si="159"/>
        <v/>
      </c>
    </row>
    <row r="125" spans="1:69" x14ac:dyDescent="0.25">
      <c r="A125" s="228"/>
      <c r="B125" s="92" t="s">
        <v>624</v>
      </c>
      <c r="C125" s="93" t="s">
        <v>7</v>
      </c>
      <c r="D125" s="123">
        <v>0.52</v>
      </c>
      <c r="E125" s="123">
        <v>0.53</v>
      </c>
      <c r="F125" s="123">
        <v>0.54</v>
      </c>
      <c r="G125" s="123">
        <v>0.56999999999999995</v>
      </c>
      <c r="H125" s="123">
        <v>0.59</v>
      </c>
      <c r="I125" s="123">
        <v>0.56000000000000005</v>
      </c>
      <c r="J125" s="123">
        <v>0.56999999999999995</v>
      </c>
      <c r="K125" s="123">
        <v>0.57999999999999996</v>
      </c>
      <c r="L125" s="123">
        <v>0.6</v>
      </c>
      <c r="M125" s="123">
        <v>0.57999999999999996</v>
      </c>
      <c r="N125" s="123">
        <v>0.57999999999999996</v>
      </c>
      <c r="O125" s="123">
        <v>0.6</v>
      </c>
      <c r="P125" s="123">
        <v>0.6</v>
      </c>
      <c r="Q125" s="123">
        <v>0.59</v>
      </c>
      <c r="R125" s="123">
        <v>0.59</v>
      </c>
      <c r="S125" s="187"/>
      <c r="T125" s="187"/>
      <c r="U125" s="187"/>
      <c r="V125" s="187"/>
      <c r="W125" s="187"/>
      <c r="X125" s="187"/>
      <c r="Y125" s="187"/>
      <c r="Z125" s="187"/>
      <c r="AA125" s="187"/>
      <c r="AB125" s="187"/>
      <c r="AC125" s="187"/>
      <c r="AD125" s="187"/>
      <c r="AE125" s="187"/>
      <c r="AF125" s="187"/>
      <c r="AG125" s="187"/>
      <c r="AH125" s="187"/>
      <c r="AI125" s="187"/>
      <c r="AJ125" s="187"/>
      <c r="AK125" s="187"/>
      <c r="AL125" s="187"/>
      <c r="AM125" s="187"/>
      <c r="AN125" s="187"/>
      <c r="AO125" s="187"/>
      <c r="AP125" s="187"/>
      <c r="AQ125" s="187"/>
      <c r="AR125" s="187"/>
      <c r="AS125" s="187"/>
      <c r="AT125" s="187"/>
      <c r="AU125" s="187"/>
      <c r="AV125" s="187"/>
      <c r="AW125" s="187"/>
      <c r="AX125" s="187"/>
      <c r="AY125" s="187"/>
      <c r="AZ125" s="187"/>
      <c r="BA125" s="187"/>
      <c r="BB125" s="187"/>
      <c r="BC125" s="187"/>
      <c r="BD125" s="187"/>
      <c r="BE125" s="187"/>
      <c r="BF125" s="187"/>
      <c r="BG125" s="187"/>
      <c r="BH125" s="187"/>
      <c r="BI125" s="229"/>
      <c r="BJ125" s="229"/>
      <c r="BK125" s="229"/>
      <c r="BL125" s="229"/>
      <c r="BM125" s="187"/>
      <c r="BN125" s="389"/>
      <c r="BO125" s="439" t="str">
        <f t="shared" si="159"/>
        <v/>
      </c>
      <c r="BP125" s="389"/>
      <c r="BQ125" s="439" t="str">
        <f t="shared" si="159"/>
        <v/>
      </c>
    </row>
    <row r="126" spans="1:69" x14ac:dyDescent="0.25">
      <c r="A126" s="490"/>
      <c r="B126" s="492"/>
      <c r="C126" s="93"/>
      <c r="D126" s="46"/>
      <c r="E126" s="46"/>
      <c r="F126" s="46"/>
      <c r="G126" s="46"/>
      <c r="H126" s="46"/>
      <c r="I126" s="46"/>
      <c r="J126" s="46"/>
      <c r="K126" s="46"/>
      <c r="L126" s="46"/>
      <c r="M126" s="187"/>
      <c r="N126" s="187"/>
      <c r="O126" s="46"/>
      <c r="P126" s="46"/>
      <c r="Q126" s="46"/>
      <c r="R126" s="46"/>
      <c r="S126" s="187"/>
      <c r="T126" s="187"/>
      <c r="U126" s="187"/>
      <c r="V126" s="187"/>
      <c r="W126" s="187"/>
      <c r="X126" s="187"/>
      <c r="Y126" s="187"/>
      <c r="Z126" s="187"/>
      <c r="AA126" s="187"/>
      <c r="AB126" s="187"/>
      <c r="AC126" s="187"/>
      <c r="AD126" s="187"/>
      <c r="AE126" s="187"/>
      <c r="AF126" s="187"/>
      <c r="AG126" s="187"/>
      <c r="AH126" s="187"/>
      <c r="AI126" s="187"/>
      <c r="AJ126" s="187"/>
      <c r="AK126" s="187"/>
      <c r="AL126" s="187"/>
      <c r="AM126" s="187"/>
      <c r="AN126" s="187"/>
      <c r="AO126" s="187"/>
      <c r="AP126" s="187"/>
      <c r="AQ126" s="187"/>
      <c r="AR126" s="187"/>
      <c r="AS126" s="187"/>
      <c r="AT126" s="187"/>
      <c r="AU126" s="187"/>
      <c r="AV126" s="187"/>
      <c r="AW126" s="187"/>
      <c r="AX126" s="187"/>
      <c r="AY126" s="187"/>
      <c r="AZ126" s="187"/>
      <c r="BA126" s="187"/>
      <c r="BB126" s="187"/>
      <c r="BC126" s="187"/>
      <c r="BD126" s="187"/>
      <c r="BE126" s="187"/>
      <c r="BF126" s="187"/>
      <c r="BG126" s="187"/>
      <c r="BH126" s="187"/>
      <c r="BI126" s="229"/>
      <c r="BJ126" s="229"/>
      <c r="BK126" s="229"/>
      <c r="BL126" s="229"/>
      <c r="BM126" s="187"/>
      <c r="BN126" s="389"/>
      <c r="BO126" s="439" t="str">
        <f t="shared" si="159"/>
        <v/>
      </c>
      <c r="BP126" s="389"/>
      <c r="BQ126" s="439" t="str">
        <f t="shared" si="159"/>
        <v/>
      </c>
    </row>
    <row r="127" spans="1:69" x14ac:dyDescent="0.25">
      <c r="A127" s="228"/>
      <c r="B127" s="240" t="s">
        <v>292</v>
      </c>
      <c r="C127" s="241"/>
      <c r="D127" s="242"/>
      <c r="E127" s="242"/>
      <c r="F127" s="242"/>
      <c r="G127" s="242"/>
      <c r="H127" s="242"/>
      <c r="I127" s="242"/>
      <c r="J127" s="242"/>
      <c r="K127" s="242"/>
      <c r="L127" s="242"/>
      <c r="M127" s="243"/>
      <c r="N127" s="243"/>
      <c r="O127" s="242"/>
      <c r="P127" s="242"/>
      <c r="Q127" s="242"/>
      <c r="R127" s="242"/>
      <c r="S127" s="243"/>
      <c r="T127" s="243"/>
      <c r="U127" s="243"/>
      <c r="V127" s="243"/>
      <c r="W127" s="243"/>
      <c r="X127" s="243"/>
      <c r="Y127" s="243"/>
      <c r="Z127" s="243"/>
      <c r="AA127" s="243"/>
      <c r="AB127" s="243"/>
      <c r="AC127" s="243"/>
      <c r="AD127" s="243"/>
      <c r="AE127" s="243"/>
      <c r="AF127" s="243"/>
      <c r="AG127" s="243"/>
      <c r="AH127" s="243"/>
      <c r="AI127" s="243"/>
      <c r="AJ127" s="243"/>
      <c r="AK127" s="243"/>
      <c r="AL127" s="243"/>
      <c r="AM127" s="243"/>
      <c r="AN127" s="243"/>
      <c r="AO127" s="243"/>
      <c r="AP127" s="243"/>
      <c r="AQ127" s="243"/>
      <c r="AR127" s="243"/>
      <c r="AS127" s="243"/>
      <c r="AT127" s="243"/>
      <c r="AU127" s="243"/>
      <c r="AV127" s="243"/>
      <c r="AW127" s="243"/>
      <c r="AX127" s="243"/>
      <c r="AY127" s="243"/>
      <c r="AZ127" s="243"/>
      <c r="BA127" s="243"/>
      <c r="BB127" s="243"/>
      <c r="BC127" s="243"/>
      <c r="BD127" s="243"/>
      <c r="BE127" s="243"/>
      <c r="BF127" s="243"/>
      <c r="BG127" s="243"/>
      <c r="BH127" s="187"/>
      <c r="BI127" s="229"/>
      <c r="BJ127" s="229"/>
      <c r="BK127" s="229"/>
      <c r="BL127" s="229"/>
      <c r="BM127" s="187"/>
      <c r="BN127" s="399"/>
      <c r="BO127" s="449" t="str">
        <f t="shared" si="159"/>
        <v/>
      </c>
      <c r="BP127" s="399"/>
      <c r="BQ127" s="449" t="str">
        <f t="shared" si="159"/>
        <v/>
      </c>
    </row>
    <row r="128" spans="1:69" x14ac:dyDescent="0.25">
      <c r="A128" s="490"/>
      <c r="B128" s="492"/>
      <c r="C128" s="93"/>
      <c r="D128" s="46"/>
      <c r="E128" s="46"/>
      <c r="F128" s="46"/>
      <c r="G128" s="46"/>
      <c r="H128" s="46"/>
      <c r="I128" s="46"/>
      <c r="J128" s="46"/>
      <c r="K128" s="46"/>
      <c r="L128" s="46"/>
      <c r="M128" s="187"/>
      <c r="N128" s="187"/>
      <c r="O128" s="46"/>
      <c r="P128" s="46"/>
      <c r="Q128" s="46"/>
      <c r="R128" s="46"/>
      <c r="S128" s="187"/>
      <c r="T128" s="187"/>
      <c r="U128" s="187"/>
      <c r="V128" s="187"/>
      <c r="W128" s="187"/>
      <c r="X128" s="187"/>
      <c r="Y128" s="187"/>
      <c r="Z128" s="187"/>
      <c r="AA128" s="187"/>
      <c r="AB128" s="187"/>
      <c r="AC128" s="187"/>
      <c r="AD128" s="187"/>
      <c r="AE128" s="187"/>
      <c r="AF128" s="187"/>
      <c r="AG128" s="187"/>
      <c r="AH128" s="187"/>
      <c r="AI128" s="187"/>
      <c r="AJ128" s="187"/>
      <c r="AK128" s="187"/>
      <c r="AL128" s="187"/>
      <c r="AM128" s="187"/>
      <c r="AN128" s="187"/>
      <c r="AO128" s="187"/>
      <c r="AP128" s="187"/>
      <c r="AQ128" s="187"/>
      <c r="AR128" s="187"/>
      <c r="AS128" s="187"/>
      <c r="AT128" s="187"/>
      <c r="AU128" s="187"/>
      <c r="AV128" s="187"/>
      <c r="AW128" s="187"/>
      <c r="AX128" s="187"/>
      <c r="AY128" s="187"/>
      <c r="AZ128" s="187"/>
      <c r="BA128" s="187"/>
      <c r="BB128" s="187"/>
      <c r="BC128" s="187"/>
      <c r="BD128" s="187"/>
      <c r="BE128" s="187"/>
      <c r="BF128" s="187"/>
      <c r="BG128" s="187"/>
      <c r="BH128" s="187"/>
      <c r="BI128" s="229"/>
      <c r="BJ128" s="229"/>
      <c r="BK128" s="229"/>
      <c r="BL128" s="229"/>
      <c r="BM128" s="187"/>
      <c r="BN128" s="389"/>
      <c r="BO128" s="439" t="str">
        <f t="shared" si="159"/>
        <v/>
      </c>
      <c r="BP128" s="389"/>
      <c r="BQ128" s="439" t="str">
        <f t="shared" si="159"/>
        <v/>
      </c>
    </row>
    <row r="129" spans="1:69" x14ac:dyDescent="0.25">
      <c r="A129" s="228" t="s">
        <v>625</v>
      </c>
      <c r="B129" s="244" t="s">
        <v>626</v>
      </c>
      <c r="C129" s="24" t="s">
        <v>457</v>
      </c>
      <c r="D129" s="235">
        <v>39540</v>
      </c>
      <c r="E129" s="235">
        <v>48270</v>
      </c>
      <c r="F129" s="235">
        <v>50040</v>
      </c>
      <c r="G129" s="235">
        <v>48610</v>
      </c>
      <c r="H129" s="235">
        <v>46220</v>
      </c>
      <c r="I129" s="235">
        <v>54150</v>
      </c>
      <c r="J129" s="235">
        <v>55690</v>
      </c>
      <c r="K129" s="235">
        <v>53543</v>
      </c>
      <c r="L129" s="235">
        <v>50465</v>
      </c>
      <c r="M129" s="235">
        <v>58372</v>
      </c>
      <c r="N129" s="235">
        <v>59873</v>
      </c>
      <c r="O129" s="235">
        <v>58898</v>
      </c>
      <c r="P129" s="235">
        <v>54101</v>
      </c>
      <c r="Q129" s="235">
        <v>64248</v>
      </c>
      <c r="R129" s="235">
        <v>67151</v>
      </c>
      <c r="S129" s="141">
        <f>O129*O133*(1+S132)+O129*(1-O133)*(1+S131)</f>
        <v>66943.466800000009</v>
      </c>
      <c r="T129" s="141">
        <f t="shared" ref="T129:Y129" si="167">P129*P133*(1+T132)+P129*(1-P133)*(1+T131)</f>
        <v>61859.08340000001</v>
      </c>
      <c r="U129" s="141">
        <f t="shared" si="167"/>
        <v>73544.685600000012</v>
      </c>
      <c r="V129" s="141">
        <f t="shared" si="167"/>
        <v>77042.342300000004</v>
      </c>
      <c r="W129" s="141">
        <f>S129*S133*(1+W132)+S129*(1-S133)*(1+W131)</f>
        <v>76795.158566000013</v>
      </c>
      <c r="X129" s="141">
        <f t="shared" si="167"/>
        <v>70255.991408000016</v>
      </c>
      <c r="Y129" s="141">
        <f t="shared" si="167"/>
        <v>83590.759872000024</v>
      </c>
      <c r="Z129" s="141">
        <f t="shared" ref="Z129" si="168">V129*V133*(1+Z132)+V129*(1-V133)*(1+Z131)</f>
        <v>87697.594376000023</v>
      </c>
      <c r="AA129" s="141">
        <f t="shared" ref="AA129" si="169">W129*W133*(1+AA132)+W129*(1-W133)*(1+AA131)</f>
        <v>87409.40509392001</v>
      </c>
      <c r="AB129" s="141">
        <f t="shared" ref="AB129" si="170">X129*X133*(1+AB132)+X129*(1-X133)*(1+AB131)</f>
        <v>79855.291976960027</v>
      </c>
      <c r="AC129" s="141">
        <f t="shared" ref="AC129" si="171">Y129*Y133*(1+AC132)+Y129*(1-Y133)*(1+AC131)</f>
        <v>95086.505456640021</v>
      </c>
      <c r="AD129" s="141">
        <f t="shared" ref="AD129:AE129" si="172">Z129*Z133*(1+AD132)+Z129*(1-Z133)*(1+AD131)</f>
        <v>99913.510901120026</v>
      </c>
      <c r="AE129" s="141">
        <f t="shared" si="172"/>
        <v>99577.1267051904</v>
      </c>
      <c r="AF129" s="141">
        <f t="shared" ref="AF129" si="173">AB129*AB133*(1+AF132)+AB129*(1-AB133)*(1+AF131)</f>
        <v>88717.257374656037</v>
      </c>
      <c r="AG129" s="141">
        <f t="shared" ref="AG129" si="174">AC129*AC133*(1+AG132)+AC129*(1-AC133)*(1+AG131)</f>
        <v>105693.79680230404</v>
      </c>
      <c r="AH129" s="141">
        <f t="shared" ref="AH129" si="175">AD129*AD133*(1+AH132)+AD129*(1-AD133)*(1+AH131)</f>
        <v>111174.01589123202</v>
      </c>
      <c r="AI129" s="141">
        <f t="shared" ref="AI129" si="176">AE129*AE133*(1+AI132)+AE129*(1-AE133)*(1+AI131)</f>
        <v>110793.78412570943</v>
      </c>
      <c r="AJ129" s="141">
        <f t="shared" ref="AJ129:AK129" si="177">AF129*AF133*(1+AJ132)+AF129*(1-AF133)*(1+AJ131)</f>
        <v>98596.884742121649</v>
      </c>
      <c r="AK129" s="141">
        <f t="shared" si="177"/>
        <v>117526.61340253447</v>
      </c>
      <c r="AL129" s="141">
        <f t="shared" ref="AL129" si="178">AH129*AH133*(1+AL132)+AH129*(1-AH133)*(1+AL131)</f>
        <v>123750.94446535523</v>
      </c>
      <c r="AM129" s="141">
        <f t="shared" ref="AM129" si="179">AI129*AI133*(1+AM132)+AI129*(1-AI133)*(1+AM131)</f>
        <v>123320.94900078035</v>
      </c>
      <c r="AN129" s="141">
        <f t="shared" ref="AN129" si="180">AJ129*AJ133*(1+AN132)+AJ129*(1-AJ133)*(1+AN131)</f>
        <v>109615.66009083382</v>
      </c>
      <c r="AO129" s="141">
        <f t="shared" ref="AO129" si="181">AK129*AK133*(1+AO132)+AK129*(1-AK133)*(1+AO131)</f>
        <v>130732.22720078792</v>
      </c>
      <c r="AP129" s="141">
        <f t="shared" ref="AP129:AQ129" si="182">AL129*AL133*(1+AP132)+AL129*(1-AL133)*(1+AP131)</f>
        <v>137804.49494464078</v>
      </c>
      <c r="AQ129" s="141">
        <f t="shared" si="182"/>
        <v>137317.99833273338</v>
      </c>
      <c r="AR129" s="141">
        <f t="shared" ref="AR129" si="183">AN129*AN133*(1+AR132)+AN129*(1-AN133)*(1+AR131)</f>
        <v>121910.17600559219</v>
      </c>
      <c r="AS129" s="141">
        <f t="shared" ref="AS129" si="184">AO129*AO133*(1+AS132)+AO129*(1-AO133)*(1+AS131)</f>
        <v>145476.3452475667</v>
      </c>
      <c r="AT129" s="141">
        <f t="shared" ref="AT129" si="185">AP129*AP133*(1+AT132)+AP129*(1-AP133)*(1+AT131)</f>
        <v>153515.16887676736</v>
      </c>
      <c r="AU129" s="141">
        <f t="shared" ref="AU129" si="186">AQ129*AQ133*(1+AU132)+AQ129*(1-AQ133)*(1+AU131)</f>
        <v>152964.49576266296</v>
      </c>
      <c r="AV129" s="141">
        <f t="shared" ref="AV129:AW129" si="187">AR129*AR133*(1+AV132)+AR129*(1-AR133)*(1+AV131)</f>
        <v>135634.08599767764</v>
      </c>
      <c r="AW129" s="141">
        <f t="shared" si="187"/>
        <v>161945.5093980284</v>
      </c>
      <c r="AX129" s="141">
        <f t="shared" ref="AX129" si="188">AT129*AT133*(1+AX132)+AT129*(1-AT133)*(1+AX131)</f>
        <v>171086.443867756</v>
      </c>
      <c r="AY129" s="141">
        <f t="shared" ref="AY129" si="189">AU129*AU133*(1+AY132)+AU129*(1-AU133)*(1+AY131)</f>
        <v>170462.84757508396</v>
      </c>
      <c r="AZ129" s="141">
        <f t="shared" ref="AZ129" si="190">AV129*AV133*(1+AZ132)+AV129*(1-AV133)*(1+AZ131)</f>
        <v>150960.32084770058</v>
      </c>
      <c r="BA129" s="141">
        <f t="shared" ref="BA129" si="191">AW129*AW133*(1+BA132)+AW129*(1-AW133)*(1+BA131)</f>
        <v>180349.819407392</v>
      </c>
      <c r="BB129" s="141">
        <f t="shared" ref="BB129:BC129" si="192">AX129*AX133*(1+BB132)+AX129*(1-AX133)*(1+BB131)</f>
        <v>190747.81007334025</v>
      </c>
      <c r="BC129" s="141">
        <f t="shared" si="192"/>
        <v>190041.31990417023</v>
      </c>
      <c r="BD129" s="141">
        <f t="shared" ref="BD129" si="193">AZ129*AZ133*(1+BD132)+AZ129*(1-AZ133)*(1+BD131)</f>
        <v>168083.6031202641</v>
      </c>
      <c r="BE129" s="141">
        <f t="shared" ref="BE129" si="194">BA129*BA133*(1+BE132)+BA129*(1-BA133)*(1+BE131)</f>
        <v>200926.02427812607</v>
      </c>
      <c r="BF129" s="141">
        <f t="shared" ref="BF129" si="195">BB129*BB133*(1+BF132)+BB129*(1-BB133)*(1+BF131)</f>
        <v>212758.22117230424</v>
      </c>
      <c r="BG129" s="141">
        <f t="shared" ref="BG129" si="196">BC129*BC133*(1+BG132)+BC129*(1-BC133)*(1+BG131)</f>
        <v>211957.46760190185</v>
      </c>
      <c r="BH129" s="187"/>
      <c r="BI129" s="229"/>
      <c r="BJ129" s="229"/>
      <c r="BK129" s="229"/>
      <c r="BL129" s="229"/>
      <c r="BM129" s="187"/>
      <c r="BN129" s="393">
        <v>66587.006549987345</v>
      </c>
      <c r="BO129" s="443">
        <f t="shared" si="159"/>
        <v>563.99345001265465</v>
      </c>
      <c r="BP129" s="393">
        <v>66021.616498863266</v>
      </c>
      <c r="BQ129" s="443">
        <f t="shared" si="159"/>
        <v>921.85030113674293</v>
      </c>
    </row>
    <row r="130" spans="1:69" x14ac:dyDescent="0.25">
      <c r="A130" s="245"/>
      <c r="B130" s="236" t="s">
        <v>627</v>
      </c>
      <c r="C130" s="216" t="s">
        <v>628</v>
      </c>
      <c r="D130" s="213"/>
      <c r="E130" s="213"/>
      <c r="F130" s="213"/>
      <c r="G130" s="246">
        <v>0.14000000000000001</v>
      </c>
      <c r="H130" s="246">
        <v>0.17</v>
      </c>
      <c r="I130" s="246">
        <v>0.12</v>
      </c>
      <c r="J130" s="246">
        <v>0.11</v>
      </c>
      <c r="K130" s="246">
        <v>0.1</v>
      </c>
      <c r="L130" s="246">
        <v>0.09</v>
      </c>
      <c r="M130" s="336">
        <f t="shared" ref="M130:R130" si="197">M129/I129-1</f>
        <v>7.7968605724838325E-2</v>
      </c>
      <c r="N130" s="336">
        <f t="shared" si="197"/>
        <v>7.5112228407254511E-2</v>
      </c>
      <c r="O130" s="336">
        <f t="shared" si="197"/>
        <v>0.10001307360439271</v>
      </c>
      <c r="P130" s="336">
        <f t="shared" si="197"/>
        <v>7.2049935598929915E-2</v>
      </c>
      <c r="Q130" s="336">
        <f t="shared" si="197"/>
        <v>0.10066470225450552</v>
      </c>
      <c r="R130" s="336">
        <f t="shared" si="197"/>
        <v>0.12155729627711986</v>
      </c>
      <c r="S130" s="336">
        <f t="shared" ref="S130:BG130" si="198">S129/O129-1</f>
        <v>0.13660000000000005</v>
      </c>
      <c r="T130" s="336">
        <f t="shared" si="198"/>
        <v>0.14340000000000019</v>
      </c>
      <c r="U130" s="336">
        <f t="shared" si="198"/>
        <v>0.14470000000000027</v>
      </c>
      <c r="V130" s="336">
        <f t="shared" si="198"/>
        <v>0.14729999999999999</v>
      </c>
      <c r="W130" s="336">
        <f t="shared" si="198"/>
        <v>0.1471643498152384</v>
      </c>
      <c r="X130" s="336">
        <f t="shared" si="198"/>
        <v>0.13574252230190664</v>
      </c>
      <c r="Y130" s="336">
        <f t="shared" si="198"/>
        <v>0.13659823534550553</v>
      </c>
      <c r="Z130" s="336">
        <f t="shared" si="198"/>
        <v>0.13830384380719973</v>
      </c>
      <c r="AA130" s="336">
        <f t="shared" si="198"/>
        <v>0.13821504800719708</v>
      </c>
      <c r="AB130" s="336">
        <f t="shared" si="198"/>
        <v>0.13663319492872383</v>
      </c>
      <c r="AC130" s="336">
        <f t="shared" si="198"/>
        <v>0.13752411872129255</v>
      </c>
      <c r="AD130" s="336">
        <f t="shared" si="198"/>
        <v>0.13929591355430726</v>
      </c>
      <c r="AE130" s="336">
        <f t="shared" si="198"/>
        <v>0.13920380304838331</v>
      </c>
      <c r="AF130" s="336">
        <f t="shared" si="198"/>
        <v>0.11097530518394305</v>
      </c>
      <c r="AG130" s="336">
        <f t="shared" si="198"/>
        <v>0.11155411900693957</v>
      </c>
      <c r="AH130" s="336">
        <f t="shared" si="198"/>
        <v>0.11270252529966651</v>
      </c>
      <c r="AI130" s="336">
        <f t="shared" si="198"/>
        <v>0.11264291099428125</v>
      </c>
      <c r="AJ130" s="336">
        <f t="shared" si="198"/>
        <v>0.11136082944655978</v>
      </c>
      <c r="AK130" s="336">
        <f t="shared" si="198"/>
        <v>0.1119537471282559</v>
      </c>
      <c r="AL130" s="336">
        <f t="shared" si="198"/>
        <v>0.11312831036370907</v>
      </c>
      <c r="AM130" s="336">
        <f t="shared" si="198"/>
        <v>0.11306739790435616</v>
      </c>
      <c r="AN130" s="336">
        <f t="shared" si="198"/>
        <v>0.11175581639857657</v>
      </c>
      <c r="AO130" s="336">
        <f t="shared" si="198"/>
        <v>0.11236275270711293</v>
      </c>
      <c r="AP130" s="336">
        <f t="shared" si="198"/>
        <v>0.11356317755796952</v>
      </c>
      <c r="AQ130" s="336">
        <f t="shared" si="198"/>
        <v>0.11350098621009197</v>
      </c>
      <c r="AR130" s="336">
        <f t="shared" si="198"/>
        <v>0.11216021419357824</v>
      </c>
      <c r="AS130" s="336">
        <f t="shared" si="198"/>
        <v>0.11278105148574968</v>
      </c>
      <c r="AT130" s="336">
        <f t="shared" si="198"/>
        <v>0.11400697733726251</v>
      </c>
      <c r="AU130" s="336">
        <f t="shared" si="198"/>
        <v>0.11394352976233146</v>
      </c>
      <c r="AV130" s="336">
        <f t="shared" si="198"/>
        <v>0.11257394945813148</v>
      </c>
      <c r="AW130" s="336">
        <f t="shared" si="198"/>
        <v>0.11320853656609975</v>
      </c>
      <c r="AX130" s="336">
        <f t="shared" si="198"/>
        <v>0.11445953595044278</v>
      </c>
      <c r="AY130" s="336">
        <f t="shared" si="198"/>
        <v>0.11439485826548368</v>
      </c>
      <c r="AZ130" s="336">
        <f t="shared" si="198"/>
        <v>0.11299692652690085</v>
      </c>
      <c r="BA130" s="336">
        <f t="shared" si="198"/>
        <v>0.11364507776581578</v>
      </c>
      <c r="BB130" s="336">
        <f t="shared" si="198"/>
        <v>0.1149206550858104</v>
      </c>
      <c r="BC130" s="336">
        <f t="shared" si="198"/>
        <v>0.11485477690651935</v>
      </c>
      <c r="BD130" s="336">
        <f t="shared" si="198"/>
        <v>0.11342902675623412</v>
      </c>
      <c r="BE130" s="336">
        <f t="shared" si="198"/>
        <v>0.11409052106813866</v>
      </c>
      <c r="BF130" s="336">
        <f t="shared" si="198"/>
        <v>0.11539011163746116</v>
      </c>
      <c r="BG130" s="336">
        <f t="shared" si="198"/>
        <v>0.11532306610363996</v>
      </c>
      <c r="BH130" s="248"/>
      <c r="BI130" s="249"/>
      <c r="BJ130" s="249"/>
      <c r="BK130" s="249"/>
      <c r="BL130" s="249"/>
      <c r="BM130" s="248"/>
      <c r="BN130" s="400">
        <v>0.11213746680452541</v>
      </c>
      <c r="BO130" s="450">
        <f t="shared" si="159"/>
        <v>9.4198294725944542E-3</v>
      </c>
      <c r="BP130" s="400">
        <v>0.1209483598570964</v>
      </c>
      <c r="BQ130" s="450">
        <f t="shared" si="159"/>
        <v>1.5651640142903656E-2</v>
      </c>
    </row>
    <row r="131" spans="1:69" x14ac:dyDescent="0.25">
      <c r="A131" s="228" t="s">
        <v>629</v>
      </c>
      <c r="B131" s="129" t="s">
        <v>630</v>
      </c>
      <c r="C131" s="93" t="s">
        <v>628</v>
      </c>
      <c r="D131" s="250"/>
      <c r="E131" s="250"/>
      <c r="F131" s="250"/>
      <c r="G131" s="250"/>
      <c r="H131" s="250"/>
      <c r="I131" s="251">
        <v>0.1</v>
      </c>
      <c r="J131" s="251">
        <v>0.09</v>
      </c>
      <c r="K131" s="251">
        <v>7.0000000000000007E-2</v>
      </c>
      <c r="L131" s="251">
        <v>0.06</v>
      </c>
      <c r="M131" s="251">
        <v>0.06</v>
      </c>
      <c r="N131" s="251">
        <v>0.05</v>
      </c>
      <c r="O131" s="251">
        <v>7.0000000000000007E-2</v>
      </c>
      <c r="P131" s="251">
        <v>0.06</v>
      </c>
      <c r="Q131" s="251">
        <v>7.0000000000000007E-2</v>
      </c>
      <c r="R131" s="251">
        <v>8.8999999999999996E-2</v>
      </c>
      <c r="S131" s="153">
        <v>0.11</v>
      </c>
      <c r="T131" s="153">
        <v>0.12</v>
      </c>
      <c r="U131" s="153">
        <v>0.12</v>
      </c>
      <c r="V131" s="153">
        <v>0.12</v>
      </c>
      <c r="W131" s="153">
        <v>0.12</v>
      </c>
      <c r="X131" s="153">
        <v>0.12</v>
      </c>
      <c r="Y131" s="153">
        <v>0.12</v>
      </c>
      <c r="Z131" s="153">
        <v>0.12</v>
      </c>
      <c r="AA131" s="153">
        <v>0.12</v>
      </c>
      <c r="AB131" s="153">
        <v>0.12</v>
      </c>
      <c r="AC131" s="153">
        <v>0.12</v>
      </c>
      <c r="AD131" s="153">
        <v>0.12</v>
      </c>
      <c r="AE131" s="153">
        <v>0.12</v>
      </c>
      <c r="AF131" s="153">
        <v>0.1</v>
      </c>
      <c r="AG131" s="153">
        <v>0.1</v>
      </c>
      <c r="AH131" s="153">
        <v>0.1</v>
      </c>
      <c r="AI131" s="153">
        <v>0.1</v>
      </c>
      <c r="AJ131" s="153">
        <v>0.1</v>
      </c>
      <c r="AK131" s="153">
        <v>0.1</v>
      </c>
      <c r="AL131" s="153">
        <v>0.1</v>
      </c>
      <c r="AM131" s="153">
        <v>0.1</v>
      </c>
      <c r="AN131" s="153">
        <v>0.1</v>
      </c>
      <c r="AO131" s="153">
        <v>0.1</v>
      </c>
      <c r="AP131" s="153">
        <v>0.1</v>
      </c>
      <c r="AQ131" s="153">
        <v>0.1</v>
      </c>
      <c r="AR131" s="153">
        <v>0.1</v>
      </c>
      <c r="AS131" s="153">
        <v>0.1</v>
      </c>
      <c r="AT131" s="153">
        <v>0.1</v>
      </c>
      <c r="AU131" s="153">
        <v>0.1</v>
      </c>
      <c r="AV131" s="153">
        <v>0.1</v>
      </c>
      <c r="AW131" s="153">
        <v>0.1</v>
      </c>
      <c r="AX131" s="153">
        <v>0.1</v>
      </c>
      <c r="AY131" s="153">
        <v>0.1</v>
      </c>
      <c r="AZ131" s="153">
        <v>0.1</v>
      </c>
      <c r="BA131" s="153">
        <v>0.1</v>
      </c>
      <c r="BB131" s="153">
        <v>0.1</v>
      </c>
      <c r="BC131" s="153">
        <v>0.1</v>
      </c>
      <c r="BD131" s="153">
        <v>0.1</v>
      </c>
      <c r="BE131" s="153">
        <v>0.1</v>
      </c>
      <c r="BF131" s="153">
        <v>0.1</v>
      </c>
      <c r="BG131" s="153">
        <v>0.1</v>
      </c>
      <c r="BH131" s="187"/>
      <c r="BI131" s="229"/>
      <c r="BJ131" s="229"/>
      <c r="BK131" s="229"/>
      <c r="BL131" s="229"/>
      <c r="BM131" s="187"/>
      <c r="BN131" s="401">
        <v>0.09</v>
      </c>
      <c r="BO131" s="451">
        <f t="shared" si="159"/>
        <v>-1.0000000000000009E-3</v>
      </c>
      <c r="BP131" s="401">
        <v>0.1</v>
      </c>
      <c r="BQ131" s="451">
        <f t="shared" si="159"/>
        <v>9.999999999999995E-3</v>
      </c>
    </row>
    <row r="132" spans="1:69" x14ac:dyDescent="0.25">
      <c r="A132" s="228" t="s">
        <v>631</v>
      </c>
      <c r="B132" s="129" t="s">
        <v>632</v>
      </c>
      <c r="C132" s="93" t="s">
        <v>628</v>
      </c>
      <c r="D132" s="48"/>
      <c r="E132" s="48"/>
      <c r="F132" s="48"/>
      <c r="G132" s="48"/>
      <c r="H132" s="48"/>
      <c r="I132" s="96">
        <v>0.26</v>
      </c>
      <c r="J132" s="96">
        <v>0.28000000000000003</v>
      </c>
      <c r="K132" s="96">
        <v>0.26</v>
      </c>
      <c r="L132" s="96">
        <v>0.23</v>
      </c>
      <c r="M132" s="96">
        <v>0.19</v>
      </c>
      <c r="N132" s="96">
        <v>0.2</v>
      </c>
      <c r="O132" s="96">
        <v>0.25</v>
      </c>
      <c r="P132" s="96">
        <v>0.15</v>
      </c>
      <c r="Q132" s="96">
        <v>0.25</v>
      </c>
      <c r="R132" s="96">
        <v>0.26</v>
      </c>
      <c r="S132" s="153">
        <v>0.25</v>
      </c>
      <c r="T132" s="153">
        <v>0.25</v>
      </c>
      <c r="U132" s="153">
        <v>0.25</v>
      </c>
      <c r="V132" s="153">
        <v>0.25</v>
      </c>
      <c r="W132" s="153">
        <v>0.25</v>
      </c>
      <c r="X132" s="153">
        <v>0.2</v>
      </c>
      <c r="Y132" s="153">
        <v>0.2</v>
      </c>
      <c r="Z132" s="153">
        <v>0.2</v>
      </c>
      <c r="AA132" s="153">
        <v>0.2</v>
      </c>
      <c r="AB132" s="153">
        <v>0.2</v>
      </c>
      <c r="AC132" s="153">
        <v>0.2</v>
      </c>
      <c r="AD132" s="153">
        <v>0.2</v>
      </c>
      <c r="AE132" s="153">
        <v>0.2</v>
      </c>
      <c r="AF132" s="153">
        <v>0.15</v>
      </c>
      <c r="AG132" s="153">
        <v>0.15</v>
      </c>
      <c r="AH132" s="153">
        <v>0.15</v>
      </c>
      <c r="AI132" s="153">
        <v>0.15</v>
      </c>
      <c r="AJ132" s="153">
        <v>0.15</v>
      </c>
      <c r="AK132" s="153">
        <v>0.15</v>
      </c>
      <c r="AL132" s="153">
        <v>0.15</v>
      </c>
      <c r="AM132" s="153">
        <v>0.15</v>
      </c>
      <c r="AN132" s="153">
        <v>0.15</v>
      </c>
      <c r="AO132" s="153">
        <v>0.15</v>
      </c>
      <c r="AP132" s="153">
        <v>0.15</v>
      </c>
      <c r="AQ132" s="153">
        <v>0.15</v>
      </c>
      <c r="AR132" s="153">
        <v>0.15</v>
      </c>
      <c r="AS132" s="153">
        <v>0.15</v>
      </c>
      <c r="AT132" s="153">
        <v>0.15</v>
      </c>
      <c r="AU132" s="153">
        <v>0.15</v>
      </c>
      <c r="AV132" s="153">
        <v>0.15</v>
      </c>
      <c r="AW132" s="153">
        <v>0.15</v>
      </c>
      <c r="AX132" s="153">
        <v>0.15</v>
      </c>
      <c r="AY132" s="153">
        <v>0.15</v>
      </c>
      <c r="AZ132" s="153">
        <v>0.15</v>
      </c>
      <c r="BA132" s="153">
        <v>0.15</v>
      </c>
      <c r="BB132" s="153">
        <v>0.15</v>
      </c>
      <c r="BC132" s="153">
        <v>0.15</v>
      </c>
      <c r="BD132" s="153">
        <v>0.15</v>
      </c>
      <c r="BE132" s="153">
        <v>0.15</v>
      </c>
      <c r="BF132" s="153">
        <v>0.15</v>
      </c>
      <c r="BG132" s="153">
        <v>0.15</v>
      </c>
      <c r="BH132" s="187"/>
      <c r="BI132" s="229"/>
      <c r="BJ132" s="229"/>
      <c r="BK132" s="229"/>
      <c r="BL132" s="229"/>
      <c r="BM132" s="187"/>
      <c r="BN132" s="401">
        <v>0.25</v>
      </c>
      <c r="BO132" s="451">
        <f t="shared" si="159"/>
        <v>1.0000000000000009E-2</v>
      </c>
      <c r="BP132" s="401">
        <v>0.25</v>
      </c>
      <c r="BQ132" s="451">
        <f t="shared" si="159"/>
        <v>0</v>
      </c>
    </row>
    <row r="133" spans="1:69" x14ac:dyDescent="0.25">
      <c r="A133" s="228"/>
      <c r="B133" s="92" t="s">
        <v>633</v>
      </c>
      <c r="C133" s="93" t="s">
        <v>7</v>
      </c>
      <c r="D133" s="2"/>
      <c r="E133" s="2"/>
      <c r="F133" s="2"/>
      <c r="G133" s="2"/>
      <c r="H133" s="2"/>
      <c r="I133" s="50">
        <v>0.14000000000000001</v>
      </c>
      <c r="J133" s="50">
        <v>0.12</v>
      </c>
      <c r="K133" s="50">
        <v>0.17</v>
      </c>
      <c r="L133" s="50">
        <f t="shared" ref="L133:M133" si="199">1-((1+L130)-(1+L132))/((1+L131)-(1+L132))</f>
        <v>0.17647058823529438</v>
      </c>
      <c r="M133" s="50">
        <f t="shared" si="199"/>
        <v>0.13822004403721755</v>
      </c>
      <c r="N133" s="96">
        <v>0.18</v>
      </c>
      <c r="O133" s="96">
        <v>0.19</v>
      </c>
      <c r="P133" s="96">
        <v>0.18</v>
      </c>
      <c r="Q133" s="96">
        <v>0.19</v>
      </c>
      <c r="R133" s="96">
        <v>0.21</v>
      </c>
      <c r="S133" s="50">
        <f>(O133*(1+S132))/(1+S130)</f>
        <v>0.2089565370402956</v>
      </c>
      <c r="T133" s="50">
        <f t="shared" ref="T133:BG133" si="200">(P133*(1+T132))/(1+T130)</f>
        <v>0.19678152877383237</v>
      </c>
      <c r="U133" s="50">
        <f t="shared" si="200"/>
        <v>0.2074779418188171</v>
      </c>
      <c r="V133" s="50">
        <f t="shared" si="200"/>
        <v>0.22879804758999392</v>
      </c>
      <c r="W133" s="50">
        <f t="shared" si="200"/>
        <v>0.22768810008996312</v>
      </c>
      <c r="X133" s="50">
        <f t="shared" si="200"/>
        <v>0.20791493660904589</v>
      </c>
      <c r="Y133" s="50">
        <f t="shared" si="200"/>
        <v>0.21905148401615898</v>
      </c>
      <c r="Z133" s="50">
        <f t="shared" si="200"/>
        <v>0.24119891942884092</v>
      </c>
      <c r="AA133" s="50">
        <f t="shared" si="200"/>
        <v>0.2400475381047924</v>
      </c>
      <c r="AB133" s="50">
        <f t="shared" si="200"/>
        <v>0.21950610367885712</v>
      </c>
      <c r="AC133" s="50">
        <f t="shared" si="200"/>
        <v>0.23108238013878557</v>
      </c>
      <c r="AD133" s="50">
        <f t="shared" si="200"/>
        <v>0.25405050599333368</v>
      </c>
      <c r="AE133" s="50">
        <f t="shared" si="200"/>
        <v>0.25285821988562723</v>
      </c>
      <c r="AF133" s="50">
        <f t="shared" si="200"/>
        <v>0.22721658893119207</v>
      </c>
      <c r="AG133" s="50">
        <f t="shared" si="200"/>
        <v>0.23907494256511708</v>
      </c>
      <c r="AH133" s="50">
        <f t="shared" si="200"/>
        <v>0.26256620727417818</v>
      </c>
      <c r="AI133" s="50">
        <f t="shared" si="200"/>
        <v>0.26134795808712602</v>
      </c>
      <c r="AJ133" s="50">
        <f t="shared" si="200"/>
        <v>0.2351163279715317</v>
      </c>
      <c r="AK133" s="50">
        <f t="shared" si="200"/>
        <v>0.24725505414225893</v>
      </c>
      <c r="AL133" s="50">
        <f t="shared" si="200"/>
        <v>0.27126355115938422</v>
      </c>
      <c r="AM133" s="50">
        <f t="shared" si="200"/>
        <v>0.27001972420184084</v>
      </c>
      <c r="AN133" s="50">
        <f t="shared" si="200"/>
        <v>0.24320428387156365</v>
      </c>
      <c r="AO133" s="50">
        <f t="shared" si="200"/>
        <v>0.25562102971499429</v>
      </c>
      <c r="AP133" s="50">
        <f t="shared" si="200"/>
        <v>0.28013954674525171</v>
      </c>
      <c r="AQ133" s="50">
        <f t="shared" si="200"/>
        <v>0.27887059524662916</v>
      </c>
      <c r="AR133" s="50">
        <f t="shared" si="200"/>
        <v>0.25147898916263278</v>
      </c>
      <c r="AS133" s="50">
        <f t="shared" si="200"/>
        <v>0.26417073132198993</v>
      </c>
      <c r="AT133" s="50">
        <f t="shared" si="200"/>
        <v>0.28919071900885074</v>
      </c>
      <c r="AU133" s="50">
        <f t="shared" si="200"/>
        <v>0.28789716530967024</v>
      </c>
      <c r="AV133" s="50">
        <f t="shared" si="200"/>
        <v>0.25993853053801969</v>
      </c>
      <c r="AW133" s="50">
        <f t="shared" si="200"/>
        <v>0.27290155531631577</v>
      </c>
      <c r="AX133" s="50">
        <f t="shared" si="200"/>
        <v>0.29841310171620877</v>
      </c>
      <c r="AY133" s="50">
        <f t="shared" si="200"/>
        <v>0.29709553813038747</v>
      </c>
      <c r="AZ133" s="50">
        <f t="shared" si="200"/>
        <v>0.26858053512468305</v>
      </c>
      <c r="BA133" s="50">
        <f t="shared" si="200"/>
        <v>0.28181042136277346</v>
      </c>
      <c r="BB133" s="50">
        <f t="shared" si="200"/>
        <v>0.30780223274922414</v>
      </c>
      <c r="BC133" s="50">
        <f t="shared" si="200"/>
        <v>0.30646132207279747</v>
      </c>
      <c r="BD133" s="50">
        <f t="shared" si="200"/>
        <v>0.27740215853112177</v>
      </c>
      <c r="BE133" s="50">
        <f t="shared" si="200"/>
        <v>0.29089376351256863</v>
      </c>
      <c r="BF133" s="50">
        <f t="shared" si="200"/>
        <v>0.31735315202136255</v>
      </c>
      <c r="BG133" s="50">
        <f t="shared" si="200"/>
        <v>0.31598962766449945</v>
      </c>
      <c r="BH133" s="187"/>
      <c r="BI133" s="229"/>
      <c r="BJ133" s="229"/>
      <c r="BK133" s="229"/>
      <c r="BL133" s="229"/>
      <c r="BM133" s="187"/>
      <c r="BN133" s="402"/>
      <c r="BO133" s="452" t="str">
        <f t="shared" si="159"/>
        <v/>
      </c>
      <c r="BP133" s="402"/>
      <c r="BQ133" s="452" t="str">
        <f t="shared" si="159"/>
        <v/>
      </c>
    </row>
    <row r="134" spans="1:69" x14ac:dyDescent="0.25">
      <c r="A134" s="490"/>
      <c r="B134" s="492"/>
      <c r="C134" s="188"/>
      <c r="D134" s="187"/>
      <c r="E134" s="187"/>
      <c r="F134" s="187"/>
      <c r="G134" s="187"/>
      <c r="H134" s="187"/>
      <c r="I134" s="187"/>
      <c r="J134" s="187"/>
      <c r="K134" s="182"/>
      <c r="L134" s="187"/>
      <c r="M134" s="187"/>
      <c r="N134" s="187"/>
      <c r="O134" s="182"/>
      <c r="P134" s="187"/>
      <c r="Q134" s="187"/>
      <c r="R134" s="187"/>
      <c r="S134" s="252"/>
      <c r="T134" s="187"/>
      <c r="U134" s="187"/>
      <c r="V134" s="187"/>
      <c r="W134" s="252"/>
      <c r="X134" s="187"/>
      <c r="Y134" s="187"/>
      <c r="Z134" s="187"/>
      <c r="AA134" s="187"/>
      <c r="AB134" s="187"/>
      <c r="AC134" s="187"/>
      <c r="AD134" s="187"/>
      <c r="AE134" s="187"/>
      <c r="AF134" s="187"/>
      <c r="AG134" s="187"/>
      <c r="AH134" s="187"/>
      <c r="AI134" s="187"/>
      <c r="AJ134" s="187"/>
      <c r="AK134" s="187"/>
      <c r="AL134" s="187"/>
      <c r="AM134" s="187"/>
      <c r="AN134" s="187"/>
      <c r="AO134" s="187"/>
      <c r="AP134" s="187"/>
      <c r="AQ134" s="187"/>
      <c r="AR134" s="187"/>
      <c r="AS134" s="187"/>
      <c r="AT134" s="187"/>
      <c r="AU134" s="187"/>
      <c r="AV134" s="187"/>
      <c r="AW134" s="187"/>
      <c r="AX134" s="187"/>
      <c r="AY134" s="187"/>
      <c r="AZ134" s="187"/>
      <c r="BA134" s="187"/>
      <c r="BB134" s="187"/>
      <c r="BC134" s="187"/>
      <c r="BD134" s="187"/>
      <c r="BE134" s="187"/>
      <c r="BF134" s="187"/>
      <c r="BG134" s="187"/>
      <c r="BH134" s="187"/>
      <c r="BI134" s="229"/>
      <c r="BJ134" s="229"/>
      <c r="BK134" s="229"/>
      <c r="BL134" s="229"/>
      <c r="BM134" s="187"/>
      <c r="BN134" s="403"/>
      <c r="BO134" s="453" t="str">
        <f t="shared" si="159"/>
        <v/>
      </c>
      <c r="BP134" s="403"/>
      <c r="BQ134" s="453" t="str">
        <f t="shared" si="159"/>
        <v/>
      </c>
    </row>
    <row r="135" spans="1:69" x14ac:dyDescent="0.25">
      <c r="A135" s="228"/>
      <c r="B135" s="95" t="s">
        <v>380</v>
      </c>
      <c r="C135" s="93"/>
      <c r="D135" s="46"/>
      <c r="E135" s="46"/>
      <c r="F135" s="46"/>
      <c r="G135" s="212"/>
      <c r="H135" s="212"/>
      <c r="I135" s="212"/>
      <c r="J135" s="250"/>
      <c r="K135" s="250"/>
      <c r="L135" s="250"/>
      <c r="M135" s="250"/>
      <c r="N135" s="250"/>
      <c r="O135" s="250"/>
      <c r="P135" s="250"/>
      <c r="Q135" s="250"/>
      <c r="R135" s="250"/>
      <c r="S135" s="187"/>
      <c r="T135" s="187"/>
      <c r="U135" s="187"/>
      <c r="V135" s="187"/>
      <c r="W135" s="187"/>
      <c r="X135" s="187"/>
      <c r="Y135" s="187"/>
      <c r="Z135" s="187"/>
      <c r="AA135" s="187"/>
      <c r="AB135" s="187"/>
      <c r="AC135" s="187"/>
      <c r="AD135" s="187"/>
      <c r="AE135" s="187"/>
      <c r="AF135" s="187"/>
      <c r="AG135" s="187"/>
      <c r="AH135" s="187"/>
      <c r="AI135" s="187"/>
      <c r="AJ135" s="187"/>
      <c r="AK135" s="187"/>
      <c r="AL135" s="187"/>
      <c r="AM135" s="187"/>
      <c r="AN135" s="187"/>
      <c r="AO135" s="187"/>
      <c r="AP135" s="187"/>
      <c r="AQ135" s="187"/>
      <c r="AR135" s="187"/>
      <c r="AS135" s="187"/>
      <c r="AT135" s="187"/>
      <c r="AU135" s="187"/>
      <c r="AV135" s="187"/>
      <c r="AW135" s="187"/>
      <c r="AX135" s="187"/>
      <c r="AY135" s="187"/>
      <c r="AZ135" s="187"/>
      <c r="BA135" s="187"/>
      <c r="BB135" s="187"/>
      <c r="BC135" s="187"/>
      <c r="BD135" s="187"/>
      <c r="BE135" s="187"/>
      <c r="BF135" s="187"/>
      <c r="BG135" s="187"/>
      <c r="BH135" s="187"/>
      <c r="BI135" s="229"/>
      <c r="BJ135" s="229"/>
      <c r="BK135" s="229"/>
      <c r="BL135" s="229"/>
      <c r="BM135" s="187"/>
      <c r="BN135" s="389"/>
      <c r="BO135" s="439" t="str">
        <f t="shared" si="159"/>
        <v/>
      </c>
      <c r="BP135" s="389"/>
      <c r="BQ135" s="439" t="str">
        <f t="shared" si="159"/>
        <v/>
      </c>
    </row>
    <row r="136" spans="1:69" x14ac:dyDescent="0.25">
      <c r="A136" s="228"/>
      <c r="B136" s="129" t="s">
        <v>634</v>
      </c>
      <c r="C136" s="93" t="s">
        <v>298</v>
      </c>
      <c r="D136" s="108">
        <v>1123728</v>
      </c>
      <c r="E136" s="108">
        <v>1359639</v>
      </c>
      <c r="F136" s="108">
        <v>1399431</v>
      </c>
      <c r="G136" s="108">
        <v>1352571</v>
      </c>
      <c r="H136" s="108">
        <v>1288042</v>
      </c>
      <c r="I136" s="108">
        <v>1503913</v>
      </c>
      <c r="J136" s="108">
        <v>1537885</v>
      </c>
      <c r="K136" s="108">
        <v>1487284</v>
      </c>
      <c r="L136" s="108">
        <v>1401989</v>
      </c>
      <c r="M136" s="108">
        <v>1614055</v>
      </c>
      <c r="N136" s="108">
        <v>1642426</v>
      </c>
      <c r="O136" s="108">
        <v>1602510</v>
      </c>
      <c r="P136" s="108">
        <v>1484493</v>
      </c>
      <c r="Q136" s="108">
        <v>1756883</v>
      </c>
      <c r="R136" s="108">
        <f>1817364+652</f>
        <v>1818016</v>
      </c>
      <c r="S136" s="97">
        <f t="shared" ref="S136:BF136" si="201">S129*1000*S140</f>
        <v>1787941.1326000001</v>
      </c>
      <c r="T136" s="97">
        <f t="shared" si="201"/>
        <v>1666439.7545000003</v>
      </c>
      <c r="U136" s="97">
        <f t="shared" si="201"/>
        <v>1974331.6273000001</v>
      </c>
      <c r="V136" s="97">
        <f t="shared" si="201"/>
        <v>2047288.58565</v>
      </c>
      <c r="W136" s="97">
        <f t="shared" si="201"/>
        <v>2012664.7476040001</v>
      </c>
      <c r="X136" s="97">
        <f t="shared" si="201"/>
        <v>1857518.4943360004</v>
      </c>
      <c r="Y136" s="97">
        <f t="shared" si="201"/>
        <v>2202226.4636400007</v>
      </c>
      <c r="Z136" s="97">
        <f t="shared" si="201"/>
        <v>2286587.6692400007</v>
      </c>
      <c r="AA136" s="97">
        <f t="shared" si="201"/>
        <v>2247140.5997695201</v>
      </c>
      <c r="AB136" s="97">
        <f t="shared" si="201"/>
        <v>2071389.5348678408</v>
      </c>
      <c r="AC136" s="97">
        <f t="shared" si="201"/>
        <v>2457542.4645484802</v>
      </c>
      <c r="AD136" s="97">
        <f t="shared" si="201"/>
        <v>2555143.2320982409</v>
      </c>
      <c r="AE136" s="97">
        <f t="shared" si="201"/>
        <v>2510162.5538892671</v>
      </c>
      <c r="AF136" s="97">
        <f t="shared" si="201"/>
        <v>2256903.9919672967</v>
      </c>
      <c r="AG136" s="97">
        <f t="shared" si="201"/>
        <v>2678844.550702177</v>
      </c>
      <c r="AH136" s="97">
        <f t="shared" si="201"/>
        <v>2787527.3189124484</v>
      </c>
      <c r="AI136" s="97">
        <f t="shared" si="201"/>
        <v>2737517.6789653385</v>
      </c>
      <c r="AJ136" s="97">
        <f t="shared" si="201"/>
        <v>2458936.2501229658</v>
      </c>
      <c r="AK136" s="97">
        <f t="shared" si="201"/>
        <v>2919987.9294261276</v>
      </c>
      <c r="AL136" s="97">
        <f t="shared" si="201"/>
        <v>3041000.102361016</v>
      </c>
      <c r="AM136" s="97">
        <f t="shared" si="201"/>
        <v>2985381.2051427318</v>
      </c>
      <c r="AN136" s="97">
        <f t="shared" si="201"/>
        <v>2678928.8481820952</v>
      </c>
      <c r="AO136" s="97">
        <f t="shared" si="201"/>
        <v>3182719.6974475966</v>
      </c>
      <c r="AP136" s="97">
        <f t="shared" si="201"/>
        <v>3317443.4894669228</v>
      </c>
      <c r="AQ136" s="97">
        <f t="shared" si="201"/>
        <v>3255565.9169731378</v>
      </c>
      <c r="AR136" s="97">
        <f t="shared" si="201"/>
        <v>2918442.9936007587</v>
      </c>
      <c r="AS136" s="97">
        <f t="shared" si="201"/>
        <v>3468931.9988863599</v>
      </c>
      <c r="AT136" s="97">
        <f t="shared" si="201"/>
        <v>3618897.6097498438</v>
      </c>
      <c r="AU136" s="97">
        <f t="shared" si="201"/>
        <v>3550034.3410456665</v>
      </c>
      <c r="AV136" s="97">
        <f t="shared" si="201"/>
        <v>3179166.6046599699</v>
      </c>
      <c r="AW136" s="97">
        <f t="shared" si="201"/>
        <v>3780671.9592285859</v>
      </c>
      <c r="AX136" s="97">
        <f t="shared" si="201"/>
        <v>3947571.7288800995</v>
      </c>
      <c r="AY136" s="97">
        <f t="shared" si="201"/>
        <v>3870908.5925396439</v>
      </c>
      <c r="AZ136" s="97">
        <f t="shared" si="201"/>
        <v>3462922.4994796594</v>
      </c>
      <c r="BA136" s="97">
        <f t="shared" si="201"/>
        <v>4120151.8083384614</v>
      </c>
      <c r="BB136" s="97">
        <f t="shared" si="201"/>
        <v>4305855.3529245555</v>
      </c>
      <c r="BC136" s="97">
        <f t="shared" si="201"/>
        <v>4220480.2754092282</v>
      </c>
      <c r="BD136" s="97">
        <f t="shared" si="201"/>
        <v>3771676.6267677704</v>
      </c>
      <c r="BE136" s="97">
        <f t="shared" si="201"/>
        <v>4489759.0628925674</v>
      </c>
      <c r="BF136" s="97">
        <f t="shared" si="201"/>
        <v>4696329.3722071275</v>
      </c>
      <c r="BG136" s="97">
        <f>BG129*1000*BG140</f>
        <v>4601220.267398404</v>
      </c>
      <c r="BH136" s="187"/>
      <c r="BI136" s="229"/>
      <c r="BJ136" s="229"/>
      <c r="BK136" s="229"/>
      <c r="BL136" s="229"/>
      <c r="BM136" s="187"/>
      <c r="BN136" s="370">
        <v>1793309.9877788955</v>
      </c>
      <c r="BO136" s="420">
        <f t="shared" ref="BO136:BQ199" si="202">IF(ISBLANK(BN136),"",INDEX($A136:$BH136,1,MATCH(BN$3,$A$3:$BH$3,0))-BN136)</f>
        <v>24706.012221104465</v>
      </c>
      <c r="BP136" s="370">
        <v>1763320.1479051639</v>
      </c>
      <c r="BQ136" s="420">
        <f t="shared" si="202"/>
        <v>24620.984694836196</v>
      </c>
    </row>
    <row r="137" spans="1:69" x14ac:dyDescent="0.25">
      <c r="A137" s="228"/>
      <c r="B137" s="129" t="s">
        <v>635</v>
      </c>
      <c r="C137" s="93" t="s">
        <v>298</v>
      </c>
      <c r="D137" s="108">
        <v>217768</v>
      </c>
      <c r="E137" s="108">
        <v>213773</v>
      </c>
      <c r="F137" s="108">
        <v>226737</v>
      </c>
      <c r="G137" s="108">
        <v>236074</v>
      </c>
      <c r="H137" s="108">
        <v>229883</v>
      </c>
      <c r="I137" s="108">
        <v>262878</v>
      </c>
      <c r="J137" s="108">
        <v>273156</v>
      </c>
      <c r="K137" s="108">
        <v>293164</v>
      </c>
      <c r="L137" s="108">
        <v>296218</v>
      </c>
      <c r="M137" s="108">
        <v>322617</v>
      </c>
      <c r="N137" s="108">
        <v>322582</v>
      </c>
      <c r="O137" s="108">
        <v>337516</v>
      </c>
      <c r="P137" s="108">
        <v>339150</v>
      </c>
      <c r="Q137" s="108">
        <v>369292</v>
      </c>
      <c r="R137" s="108">
        <v>382177</v>
      </c>
      <c r="S137" s="97">
        <f t="shared" ref="S137:BF137" si="203">O137*(1+S144)</f>
        <v>396581.3</v>
      </c>
      <c r="T137" s="97">
        <f t="shared" si="203"/>
        <v>398501.25</v>
      </c>
      <c r="U137" s="97">
        <f t="shared" si="203"/>
        <v>443150.39999999997</v>
      </c>
      <c r="V137" s="97">
        <f t="shared" si="203"/>
        <v>458612.39999999997</v>
      </c>
      <c r="W137" s="97">
        <f t="shared" si="203"/>
        <v>475897.55999999994</v>
      </c>
      <c r="X137" s="97">
        <f t="shared" si="203"/>
        <v>478201.5</v>
      </c>
      <c r="Y137" s="97">
        <f t="shared" si="203"/>
        <v>531780.48</v>
      </c>
      <c r="Z137" s="97">
        <f t="shared" si="203"/>
        <v>550334.87999999989</v>
      </c>
      <c r="AA137" s="97">
        <f t="shared" si="203"/>
        <v>571077.07199999993</v>
      </c>
      <c r="AB137" s="97">
        <f t="shared" si="203"/>
        <v>573841.79999999993</v>
      </c>
      <c r="AC137" s="97">
        <f t="shared" si="203"/>
        <v>638136.576</v>
      </c>
      <c r="AD137" s="97">
        <f t="shared" si="203"/>
        <v>660401.8559999998</v>
      </c>
      <c r="AE137" s="97">
        <f t="shared" si="203"/>
        <v>685292.48639999994</v>
      </c>
      <c r="AF137" s="97">
        <f t="shared" si="203"/>
        <v>688610.15999999992</v>
      </c>
      <c r="AG137" s="97">
        <f t="shared" si="203"/>
        <v>765763.89119999995</v>
      </c>
      <c r="AH137" s="97">
        <f t="shared" si="203"/>
        <v>792482.22719999973</v>
      </c>
      <c r="AI137" s="97">
        <f t="shared" si="203"/>
        <v>822350.98367999995</v>
      </c>
      <c r="AJ137" s="97">
        <f t="shared" si="203"/>
        <v>826332.19199999992</v>
      </c>
      <c r="AK137" s="97">
        <f t="shared" si="203"/>
        <v>918916.66943999997</v>
      </c>
      <c r="AL137" s="97">
        <f t="shared" si="203"/>
        <v>950978.67263999966</v>
      </c>
      <c r="AM137" s="97">
        <f t="shared" si="203"/>
        <v>986821.18041599984</v>
      </c>
      <c r="AN137" s="97">
        <f t="shared" si="203"/>
        <v>991598.63039999991</v>
      </c>
      <c r="AO137" s="97">
        <f t="shared" si="203"/>
        <v>1102700.003328</v>
      </c>
      <c r="AP137" s="97">
        <f t="shared" si="203"/>
        <v>1141174.4071679995</v>
      </c>
      <c r="AQ137" s="97">
        <f t="shared" si="203"/>
        <v>1184185.4164991998</v>
      </c>
      <c r="AR137" s="97">
        <f t="shared" si="203"/>
        <v>1189918.3564799998</v>
      </c>
      <c r="AS137" s="97">
        <f t="shared" si="203"/>
        <v>1323240.0039935999</v>
      </c>
      <c r="AT137" s="97">
        <f t="shared" si="203"/>
        <v>1369409.2886015994</v>
      </c>
      <c r="AU137" s="97">
        <f t="shared" si="203"/>
        <v>1421022.4997990397</v>
      </c>
      <c r="AV137" s="97">
        <f t="shared" si="203"/>
        <v>1427902.0277759999</v>
      </c>
      <c r="AW137" s="97">
        <f t="shared" si="203"/>
        <v>1587888.0047923198</v>
      </c>
      <c r="AX137" s="97">
        <f t="shared" si="203"/>
        <v>1643291.1463219193</v>
      </c>
      <c r="AY137" s="97">
        <f t="shared" si="203"/>
        <v>1705226.9997588475</v>
      </c>
      <c r="AZ137" s="97">
        <f t="shared" si="203"/>
        <v>1713482.4333311997</v>
      </c>
      <c r="BA137" s="97">
        <f t="shared" si="203"/>
        <v>1905465.6057507838</v>
      </c>
      <c r="BB137" s="97">
        <f t="shared" si="203"/>
        <v>1971949.375586303</v>
      </c>
      <c r="BC137" s="97">
        <f t="shared" si="203"/>
        <v>2046272.399710617</v>
      </c>
      <c r="BD137" s="97">
        <f t="shared" si="203"/>
        <v>2056178.9199974395</v>
      </c>
      <c r="BE137" s="97">
        <f t="shared" si="203"/>
        <v>2286558.7269009403</v>
      </c>
      <c r="BF137" s="97">
        <f t="shared" si="203"/>
        <v>2366339.2507035634</v>
      </c>
      <c r="BG137" s="97">
        <f>BC137*(1+BG144)</f>
        <v>2455526.8796527404</v>
      </c>
      <c r="BH137" s="187"/>
      <c r="BI137" s="229"/>
      <c r="BJ137" s="229"/>
      <c r="BK137" s="229"/>
      <c r="BL137" s="229"/>
      <c r="BM137" s="187"/>
      <c r="BN137" s="370">
        <v>370969.3</v>
      </c>
      <c r="BO137" s="420">
        <f t="shared" si="202"/>
        <v>11207.700000000012</v>
      </c>
      <c r="BP137" s="370">
        <v>396581.3</v>
      </c>
      <c r="BQ137" s="420">
        <f t="shared" si="202"/>
        <v>0</v>
      </c>
    </row>
    <row r="138" spans="1:69" x14ac:dyDescent="0.25">
      <c r="A138" s="228"/>
      <c r="B138" s="253" t="s">
        <v>636</v>
      </c>
      <c r="C138" s="148" t="s">
        <v>298</v>
      </c>
      <c r="D138" s="254">
        <v>37326</v>
      </c>
      <c r="E138" s="254">
        <v>48051</v>
      </c>
      <c r="F138" s="254">
        <v>43388</v>
      </c>
      <c r="G138" s="254">
        <v>35653</v>
      </c>
      <c r="H138" s="254">
        <v>37451</v>
      </c>
      <c r="I138" s="254">
        <v>44922</v>
      </c>
      <c r="J138" s="254">
        <v>42341</v>
      </c>
      <c r="K138" s="254">
        <v>32464</v>
      </c>
      <c r="L138" s="254">
        <v>31830</v>
      </c>
      <c r="M138" s="254">
        <v>42818</v>
      </c>
      <c r="N138" s="254">
        <v>36729</v>
      </c>
      <c r="O138" s="254">
        <v>30366</v>
      </c>
      <c r="P138" s="254">
        <v>28518</v>
      </c>
      <c r="Q138" s="254">
        <v>40100</v>
      </c>
      <c r="R138" s="254">
        <v>40653</v>
      </c>
      <c r="S138" s="97">
        <f t="shared" ref="S138:BF138" si="204">O138*(1+S145)</f>
        <v>33610.19897084048</v>
      </c>
      <c r="T138" s="97">
        <f t="shared" si="204"/>
        <v>31564.765008576331</v>
      </c>
      <c r="U138" s="97">
        <f t="shared" si="204"/>
        <v>44384.14604263661</v>
      </c>
      <c r="V138" s="97">
        <f t="shared" si="204"/>
        <v>46641.186900000001</v>
      </c>
      <c r="W138" s="97">
        <f t="shared" si="204"/>
        <v>38556.422049545014</v>
      </c>
      <c r="X138" s="97">
        <f t="shared" si="204"/>
        <v>35849.445826707444</v>
      </c>
      <c r="Y138" s="97">
        <f t="shared" si="204"/>
        <v>50446.942069377976</v>
      </c>
      <c r="Z138" s="97">
        <f t="shared" si="204"/>
        <v>53091.842328000013</v>
      </c>
      <c r="AA138" s="97">
        <f t="shared" si="204"/>
        <v>43885.499774108626</v>
      </c>
      <c r="AB138" s="97">
        <f t="shared" si="204"/>
        <v>40747.670146434684</v>
      </c>
      <c r="AC138" s="97">
        <f t="shared" si="204"/>
        <v>57384.613319653283</v>
      </c>
      <c r="AD138" s="97">
        <f t="shared" si="204"/>
        <v>60487.319007360013</v>
      </c>
      <c r="AE138" s="97">
        <f t="shared" si="204"/>
        <v>49994.528241343512</v>
      </c>
      <c r="AF138" s="97">
        <f t="shared" si="204"/>
        <v>45269.655276469915</v>
      </c>
      <c r="AG138" s="97">
        <f t="shared" si="204"/>
        <v>63786.103303081094</v>
      </c>
      <c r="AH138" s="97">
        <f t="shared" si="204"/>
        <v>67304.392608096008</v>
      </c>
      <c r="AI138" s="97">
        <f t="shared" si="204"/>
        <v>55626.057436234252</v>
      </c>
      <c r="AJ138" s="97">
        <f t="shared" si="204"/>
        <v>50310.921636817438</v>
      </c>
      <c r="AK138" s="97">
        <f t="shared" si="204"/>
        <v>70927.19658257105</v>
      </c>
      <c r="AL138" s="97">
        <f t="shared" si="204"/>
        <v>74918.424823905618</v>
      </c>
      <c r="AM138" s="97">
        <f t="shared" si="204"/>
        <v>61915.551006227521</v>
      </c>
      <c r="AN138" s="97">
        <f t="shared" si="204"/>
        <v>55933.459758104778</v>
      </c>
      <c r="AO138" s="97">
        <f t="shared" si="204"/>
        <v>78896.771632387274</v>
      </c>
      <c r="AP138" s="97">
        <f t="shared" si="204"/>
        <v>83426.399204546207</v>
      </c>
      <c r="AQ138" s="97">
        <f t="shared" si="204"/>
        <v>68943.0271071756</v>
      </c>
      <c r="AR138" s="97">
        <f t="shared" si="204"/>
        <v>62206.968585161696</v>
      </c>
      <c r="AS138" s="97">
        <f t="shared" si="204"/>
        <v>87794.832495918978</v>
      </c>
      <c r="AT138" s="97">
        <f t="shared" si="204"/>
        <v>92937.590807988323</v>
      </c>
      <c r="AU138" s="97">
        <f t="shared" si="204"/>
        <v>76798.638968267289</v>
      </c>
      <c r="AV138" s="97">
        <f t="shared" si="204"/>
        <v>69209.852722611264</v>
      </c>
      <c r="AW138" s="97">
        <f t="shared" si="204"/>
        <v>97733.957000847819</v>
      </c>
      <c r="AX138" s="97">
        <f t="shared" si="204"/>
        <v>103575.18432422281</v>
      </c>
      <c r="AY138" s="97">
        <f t="shared" si="204"/>
        <v>85584.008388024275</v>
      </c>
      <c r="AZ138" s="97">
        <f t="shared" si="204"/>
        <v>77030.353365645802</v>
      </c>
      <c r="BA138" s="97">
        <f t="shared" si="204"/>
        <v>108840.94014457006</v>
      </c>
      <c r="BB138" s="97">
        <f t="shared" si="204"/>
        <v>115478.11235739605</v>
      </c>
      <c r="BC138" s="97">
        <f t="shared" si="204"/>
        <v>95413.740578196477</v>
      </c>
      <c r="BD138" s="97">
        <f t="shared" si="204"/>
        <v>85767.831378599803</v>
      </c>
      <c r="BE138" s="97">
        <f t="shared" si="204"/>
        <v>121258.65971921015</v>
      </c>
      <c r="BF138" s="97">
        <f t="shared" si="204"/>
        <v>128803.14463399927</v>
      </c>
      <c r="BG138" s="97">
        <f>BC138*(1+BG145)</f>
        <v>106417.14569009139</v>
      </c>
      <c r="BH138" s="187"/>
      <c r="BI138" s="229"/>
      <c r="BJ138" s="229"/>
      <c r="BK138" s="229"/>
      <c r="BL138" s="229"/>
      <c r="BM138" s="187"/>
      <c r="BN138" s="370">
        <v>47747.700000000004</v>
      </c>
      <c r="BO138" s="420">
        <f t="shared" si="202"/>
        <v>-7094.7000000000044</v>
      </c>
      <c r="BP138" s="370">
        <v>48585.600000000006</v>
      </c>
      <c r="BQ138" s="420">
        <f t="shared" si="202"/>
        <v>-14975.401029159526</v>
      </c>
    </row>
    <row r="139" spans="1:69" x14ac:dyDescent="0.25">
      <c r="A139" s="228" t="s">
        <v>637</v>
      </c>
      <c r="B139" s="140" t="s">
        <v>297</v>
      </c>
      <c r="C139" s="24" t="s">
        <v>298</v>
      </c>
      <c r="D139" s="255">
        <v>1378822</v>
      </c>
      <c r="E139" s="255">
        <v>1621463</v>
      </c>
      <c r="F139" s="255">
        <v>1669556</v>
      </c>
      <c r="G139" s="255">
        <v>1624298</v>
      </c>
      <c r="H139" s="255">
        <v>1555376</v>
      </c>
      <c r="I139" s="255">
        <v>1811713</v>
      </c>
      <c r="J139" s="255">
        <v>1853382</v>
      </c>
      <c r="K139" s="255">
        <v>1812912</v>
      </c>
      <c r="L139" s="255">
        <v>1730037</v>
      </c>
      <c r="M139" s="255">
        <v>1979490</v>
      </c>
      <c r="N139" s="255">
        <v>2001737</v>
      </c>
      <c r="O139" s="255">
        <v>1970392</v>
      </c>
      <c r="P139" s="255">
        <v>1852161</v>
      </c>
      <c r="Q139" s="255">
        <f>SUM(Q136:Q138)</f>
        <v>2166275</v>
      </c>
      <c r="R139" s="255">
        <f>SUM(R136:R138)</f>
        <v>2240846</v>
      </c>
      <c r="S139" s="255">
        <f t="shared" ref="S139:BF139" si="205">SUM(S136:S138)</f>
        <v>2218132.6315708403</v>
      </c>
      <c r="T139" s="255">
        <f t="shared" si="205"/>
        <v>2096505.7695085765</v>
      </c>
      <c r="U139" s="255">
        <f t="shared" si="205"/>
        <v>2461866.1733426368</v>
      </c>
      <c r="V139" s="255">
        <f t="shared" si="205"/>
        <v>2552542.1725500003</v>
      </c>
      <c r="W139" s="255">
        <f t="shared" si="205"/>
        <v>2527118.7296535452</v>
      </c>
      <c r="X139" s="255">
        <f t="shared" si="205"/>
        <v>2371569.4401627081</v>
      </c>
      <c r="Y139" s="255">
        <f t="shared" si="205"/>
        <v>2784453.8857093784</v>
      </c>
      <c r="Z139" s="255">
        <f t="shared" si="205"/>
        <v>2890014.3915680004</v>
      </c>
      <c r="AA139" s="255">
        <f t="shared" si="205"/>
        <v>2862103.1715436289</v>
      </c>
      <c r="AB139" s="255">
        <f t="shared" si="205"/>
        <v>2685979.0050142752</v>
      </c>
      <c r="AC139" s="255">
        <f t="shared" si="205"/>
        <v>3153063.6538681332</v>
      </c>
      <c r="AD139" s="255">
        <f t="shared" si="205"/>
        <v>3276032.4071056005</v>
      </c>
      <c r="AE139" s="255">
        <f t="shared" si="205"/>
        <v>3245449.5685306103</v>
      </c>
      <c r="AF139" s="255">
        <f t="shared" si="205"/>
        <v>2990783.8072437663</v>
      </c>
      <c r="AG139" s="255">
        <f t="shared" si="205"/>
        <v>3508394.5452052578</v>
      </c>
      <c r="AH139" s="255">
        <f t="shared" si="205"/>
        <v>3647313.9387205439</v>
      </c>
      <c r="AI139" s="255">
        <f t="shared" si="205"/>
        <v>3615494.7200815729</v>
      </c>
      <c r="AJ139" s="255">
        <f t="shared" si="205"/>
        <v>3335579.3637597831</v>
      </c>
      <c r="AK139" s="255">
        <f t="shared" si="205"/>
        <v>3909831.7954486986</v>
      </c>
      <c r="AL139" s="255">
        <f t="shared" si="205"/>
        <v>4066897.1998249213</v>
      </c>
      <c r="AM139" s="255">
        <f t="shared" si="205"/>
        <v>4034117.9365649596</v>
      </c>
      <c r="AN139" s="255">
        <f t="shared" si="205"/>
        <v>3726460.9383402001</v>
      </c>
      <c r="AO139" s="255">
        <f t="shared" si="205"/>
        <v>4364316.4724079836</v>
      </c>
      <c r="AP139" s="255">
        <f t="shared" si="205"/>
        <v>4542044.2958394689</v>
      </c>
      <c r="AQ139" s="255">
        <f t="shared" si="205"/>
        <v>4508694.360579513</v>
      </c>
      <c r="AR139" s="255">
        <f t="shared" si="205"/>
        <v>4170568.3186659198</v>
      </c>
      <c r="AS139" s="255">
        <f t="shared" si="205"/>
        <v>4879966.835375879</v>
      </c>
      <c r="AT139" s="255">
        <f t="shared" si="205"/>
        <v>5081244.4891594313</v>
      </c>
      <c r="AU139" s="255">
        <f t="shared" si="205"/>
        <v>5047855.4798129732</v>
      </c>
      <c r="AV139" s="255">
        <f t="shared" si="205"/>
        <v>4676278.4851585813</v>
      </c>
      <c r="AW139" s="255">
        <f t="shared" si="205"/>
        <v>5466293.9210217539</v>
      </c>
      <c r="AX139" s="255">
        <f t="shared" si="205"/>
        <v>5694438.0595262414</v>
      </c>
      <c r="AY139" s="255">
        <f t="shared" si="205"/>
        <v>5661719.6006865148</v>
      </c>
      <c r="AZ139" s="255">
        <f t="shared" si="205"/>
        <v>5253435.2861765046</v>
      </c>
      <c r="BA139" s="255">
        <f t="shared" si="205"/>
        <v>6134458.3542338153</v>
      </c>
      <c r="BB139" s="255">
        <f t="shared" si="205"/>
        <v>6393282.8408682542</v>
      </c>
      <c r="BC139" s="255">
        <f t="shared" si="205"/>
        <v>6362166.4156980421</v>
      </c>
      <c r="BD139" s="255">
        <f t="shared" si="205"/>
        <v>5913623.3781438097</v>
      </c>
      <c r="BE139" s="255">
        <f t="shared" si="205"/>
        <v>6897576.4495127182</v>
      </c>
      <c r="BF139" s="255">
        <f t="shared" si="205"/>
        <v>7191471.7675446905</v>
      </c>
      <c r="BG139" s="255">
        <f>SUM(BG136:BG138)</f>
        <v>7163164.2927412353</v>
      </c>
      <c r="BH139" s="187"/>
      <c r="BI139" s="229"/>
      <c r="BJ139" s="229"/>
      <c r="BK139" s="229"/>
      <c r="BL139" s="229"/>
      <c r="BM139" s="187"/>
      <c r="BN139" s="404">
        <v>2212026.9877788955</v>
      </c>
      <c r="BO139" s="454">
        <f t="shared" si="202"/>
        <v>28819.012221104465</v>
      </c>
      <c r="BP139" s="404">
        <v>2208487.0479051638</v>
      </c>
      <c r="BQ139" s="454">
        <f t="shared" si="202"/>
        <v>9645.583665676415</v>
      </c>
    </row>
    <row r="140" spans="1:69" x14ac:dyDescent="0.25">
      <c r="A140" s="228"/>
      <c r="B140" s="92" t="s">
        <v>638</v>
      </c>
      <c r="C140" s="93" t="s">
        <v>7</v>
      </c>
      <c r="D140" s="62">
        <v>2.8400000000000002E-2</v>
      </c>
      <c r="E140" s="62">
        <v>2.8199999999999999E-2</v>
      </c>
      <c r="F140" s="62">
        <v>2.8000000000000001E-2</v>
      </c>
      <c r="G140" s="62">
        <v>2.7799999999999998E-2</v>
      </c>
      <c r="H140" s="62">
        <v>2.7900000000000001E-2</v>
      </c>
      <c r="I140" s="62">
        <v>2.7799999999999998E-2</v>
      </c>
      <c r="J140" s="62">
        <v>2.76E-2</v>
      </c>
      <c r="K140" s="62">
        <v>2.7799999999999998E-2</v>
      </c>
      <c r="L140" s="62">
        <v>2.7799999999999998E-2</v>
      </c>
      <c r="M140" s="62">
        <v>2.7699999999999999E-2</v>
      </c>
      <c r="N140" s="62">
        <f t="shared" ref="N140:P140" si="206">N136/N129/1000</f>
        <v>2.7431830708332636E-2</v>
      </c>
      <c r="O140" s="62">
        <f t="shared" si="206"/>
        <v>2.7208224387924886E-2</v>
      </c>
      <c r="P140" s="62">
        <f t="shared" si="206"/>
        <v>2.7439289477089148E-2</v>
      </c>
      <c r="Q140" s="62">
        <f>Q136/Q129/1000</f>
        <v>2.7345333706885817E-2</v>
      </c>
      <c r="R140" s="62">
        <f>R136/R129/1000</f>
        <v>2.7073550654495095E-2</v>
      </c>
      <c r="S140" s="159">
        <f t="shared" ref="S140:BG140" si="207">O140-0.05%</f>
        <v>2.6708224387924886E-2</v>
      </c>
      <c r="T140" s="159">
        <f t="shared" si="207"/>
        <v>2.6939289477089148E-2</v>
      </c>
      <c r="U140" s="159">
        <f t="shared" si="207"/>
        <v>2.6845333706885816E-2</v>
      </c>
      <c r="V140" s="159">
        <f t="shared" si="207"/>
        <v>2.6573550654495095E-2</v>
      </c>
      <c r="W140" s="159">
        <f t="shared" si="207"/>
        <v>2.6208224387924885E-2</v>
      </c>
      <c r="X140" s="159">
        <f t="shared" si="207"/>
        <v>2.6439289477089147E-2</v>
      </c>
      <c r="Y140" s="159">
        <f t="shared" si="207"/>
        <v>2.6345333706885816E-2</v>
      </c>
      <c r="Z140" s="159">
        <f t="shared" si="207"/>
        <v>2.6073550654495094E-2</v>
      </c>
      <c r="AA140" s="159">
        <f t="shared" si="207"/>
        <v>2.5708224387924885E-2</v>
      </c>
      <c r="AB140" s="159">
        <f t="shared" si="207"/>
        <v>2.5939289477089147E-2</v>
      </c>
      <c r="AC140" s="159">
        <f t="shared" si="207"/>
        <v>2.5845333706885815E-2</v>
      </c>
      <c r="AD140" s="159">
        <f t="shared" si="207"/>
        <v>2.5573550654495094E-2</v>
      </c>
      <c r="AE140" s="159">
        <f t="shared" si="207"/>
        <v>2.5208224387924884E-2</v>
      </c>
      <c r="AF140" s="159">
        <f t="shared" si="207"/>
        <v>2.5439289477089146E-2</v>
      </c>
      <c r="AG140" s="159">
        <f t="shared" si="207"/>
        <v>2.5345333706885815E-2</v>
      </c>
      <c r="AH140" s="159">
        <f t="shared" si="207"/>
        <v>2.5073550654495094E-2</v>
      </c>
      <c r="AI140" s="159">
        <f t="shared" si="207"/>
        <v>2.4708224387924884E-2</v>
      </c>
      <c r="AJ140" s="159">
        <f t="shared" si="207"/>
        <v>2.4939289477089146E-2</v>
      </c>
      <c r="AK140" s="159">
        <f t="shared" si="207"/>
        <v>2.4845333706885814E-2</v>
      </c>
      <c r="AL140" s="159">
        <f t="shared" si="207"/>
        <v>2.4573550654495093E-2</v>
      </c>
      <c r="AM140" s="159">
        <f t="shared" si="207"/>
        <v>2.4208224387924884E-2</v>
      </c>
      <c r="AN140" s="159">
        <f t="shared" si="207"/>
        <v>2.4439289477089145E-2</v>
      </c>
      <c r="AO140" s="159">
        <f t="shared" si="207"/>
        <v>2.4345333706885814E-2</v>
      </c>
      <c r="AP140" s="159">
        <f t="shared" si="207"/>
        <v>2.4073550654495093E-2</v>
      </c>
      <c r="AQ140" s="159">
        <f t="shared" si="207"/>
        <v>2.3708224387924883E-2</v>
      </c>
      <c r="AR140" s="159">
        <f t="shared" si="207"/>
        <v>2.3939289477089145E-2</v>
      </c>
      <c r="AS140" s="159">
        <f t="shared" si="207"/>
        <v>2.3845333706885814E-2</v>
      </c>
      <c r="AT140" s="159">
        <f t="shared" si="207"/>
        <v>2.3573550654495092E-2</v>
      </c>
      <c r="AU140" s="159">
        <f t="shared" si="207"/>
        <v>2.3208224387924883E-2</v>
      </c>
      <c r="AV140" s="159">
        <f t="shared" si="207"/>
        <v>2.3439289477089145E-2</v>
      </c>
      <c r="AW140" s="159">
        <f t="shared" si="207"/>
        <v>2.3345333706885813E-2</v>
      </c>
      <c r="AX140" s="159">
        <f t="shared" si="207"/>
        <v>2.3073550654495092E-2</v>
      </c>
      <c r="AY140" s="159">
        <f t="shared" si="207"/>
        <v>2.2708224387924882E-2</v>
      </c>
      <c r="AZ140" s="159">
        <f t="shared" si="207"/>
        <v>2.2939289477089144E-2</v>
      </c>
      <c r="BA140" s="159">
        <f t="shared" si="207"/>
        <v>2.2845333706885813E-2</v>
      </c>
      <c r="BB140" s="159">
        <f t="shared" si="207"/>
        <v>2.2573550654495091E-2</v>
      </c>
      <c r="BC140" s="159">
        <f t="shared" si="207"/>
        <v>2.2208224387924882E-2</v>
      </c>
      <c r="BD140" s="159">
        <f t="shared" si="207"/>
        <v>2.2439289477089144E-2</v>
      </c>
      <c r="BE140" s="159">
        <f t="shared" si="207"/>
        <v>2.2345333706885812E-2</v>
      </c>
      <c r="BF140" s="159">
        <f t="shared" si="207"/>
        <v>2.2073550654495091E-2</v>
      </c>
      <c r="BG140" s="159">
        <f t="shared" si="207"/>
        <v>2.1708224387924881E-2</v>
      </c>
      <c r="BH140" s="187"/>
      <c r="BI140" s="229"/>
      <c r="BJ140" s="229"/>
      <c r="BK140" s="229"/>
      <c r="BL140" s="229"/>
      <c r="BM140" s="187"/>
      <c r="BN140" s="385">
        <v>2.6931830708332636E-2</v>
      </c>
      <c r="BO140" s="435">
        <f t="shared" si="202"/>
        <v>1.4171994616245936E-4</v>
      </c>
      <c r="BP140" s="385">
        <v>2.6708224387924886E-2</v>
      </c>
      <c r="BQ140" s="435">
        <f t="shared" si="202"/>
        <v>0</v>
      </c>
    </row>
    <row r="141" spans="1:69" x14ac:dyDescent="0.25">
      <c r="A141" s="490"/>
      <c r="B141" s="492"/>
      <c r="C141" s="93"/>
      <c r="D141" s="46"/>
      <c r="E141" s="46"/>
      <c r="F141" s="46"/>
      <c r="G141" s="212"/>
      <c r="H141" s="212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340"/>
      <c r="T141" s="340"/>
      <c r="U141" s="340"/>
      <c r="V141" s="340"/>
      <c r="W141" s="340"/>
      <c r="X141" s="340"/>
      <c r="Y141" s="340"/>
      <c r="Z141" s="340"/>
      <c r="AA141" s="340"/>
      <c r="AB141" s="340"/>
      <c r="AC141" s="340"/>
      <c r="AD141" s="340"/>
      <c r="AE141" s="340"/>
      <c r="AF141" s="340"/>
      <c r="AG141" s="340"/>
      <c r="AH141" s="340"/>
      <c r="AI141" s="340"/>
      <c r="AJ141" s="340"/>
      <c r="AK141" s="340"/>
      <c r="AL141" s="340"/>
      <c r="AM141" s="340"/>
      <c r="AN141" s="340"/>
      <c r="AO141" s="340"/>
      <c r="AP141" s="340"/>
      <c r="AQ141" s="340"/>
      <c r="AR141" s="340"/>
      <c r="AS141" s="340"/>
      <c r="AT141" s="340"/>
      <c r="AU141" s="340"/>
      <c r="AV141" s="340"/>
      <c r="AW141" s="340"/>
      <c r="AX141" s="340"/>
      <c r="AY141" s="340"/>
      <c r="AZ141" s="340"/>
      <c r="BA141" s="340"/>
      <c r="BB141" s="340"/>
      <c r="BC141" s="340"/>
      <c r="BD141" s="340"/>
      <c r="BE141" s="340"/>
      <c r="BF141" s="340"/>
      <c r="BG141" s="340"/>
      <c r="BH141" s="187"/>
      <c r="BI141" s="229"/>
      <c r="BJ141" s="229"/>
      <c r="BK141" s="229"/>
      <c r="BL141" s="229"/>
      <c r="BM141" s="187"/>
      <c r="BN141" s="405"/>
      <c r="BO141" s="455" t="str">
        <f t="shared" si="202"/>
        <v/>
      </c>
      <c r="BP141" s="405"/>
      <c r="BQ141" s="455" t="str">
        <f t="shared" si="202"/>
        <v/>
      </c>
    </row>
    <row r="142" spans="1:69" x14ac:dyDescent="0.25">
      <c r="A142" s="245"/>
      <c r="B142" s="211" t="s">
        <v>299</v>
      </c>
      <c r="C142" s="216"/>
      <c r="D142" s="213"/>
      <c r="E142" s="213"/>
      <c r="F142" s="213"/>
      <c r="G142" s="212"/>
      <c r="H142" s="212"/>
      <c r="I142" s="48"/>
      <c r="J142" s="48"/>
      <c r="K142" s="48"/>
      <c r="L142" s="48"/>
      <c r="M142" s="250"/>
      <c r="N142" s="250"/>
      <c r="O142" s="250"/>
      <c r="P142" s="48"/>
      <c r="Q142" s="48"/>
      <c r="R142" s="48"/>
      <c r="S142" s="248"/>
      <c r="T142" s="248"/>
      <c r="U142" s="248"/>
      <c r="V142" s="248"/>
      <c r="W142" s="248"/>
      <c r="X142" s="248"/>
      <c r="Y142" s="248"/>
      <c r="Z142" s="248"/>
      <c r="AA142" s="248"/>
      <c r="AB142" s="248"/>
      <c r="AC142" s="248"/>
      <c r="AD142" s="248"/>
      <c r="AE142" s="248"/>
      <c r="AF142" s="248"/>
      <c r="AG142" s="248"/>
      <c r="AH142" s="248"/>
      <c r="AI142" s="248"/>
      <c r="AJ142" s="248"/>
      <c r="AK142" s="248"/>
      <c r="AL142" s="248"/>
      <c r="AM142" s="248"/>
      <c r="AN142" s="248"/>
      <c r="AO142" s="248"/>
      <c r="AP142" s="248"/>
      <c r="AQ142" s="248"/>
      <c r="AR142" s="248"/>
      <c r="AS142" s="248"/>
      <c r="AT142" s="248"/>
      <c r="AU142" s="248"/>
      <c r="AV142" s="248"/>
      <c r="AW142" s="248"/>
      <c r="AX142" s="248"/>
      <c r="AY142" s="248"/>
      <c r="AZ142" s="248"/>
      <c r="BA142" s="248"/>
      <c r="BB142" s="248"/>
      <c r="BC142" s="248"/>
      <c r="BD142" s="248"/>
      <c r="BE142" s="248"/>
      <c r="BF142" s="248"/>
      <c r="BG142" s="248"/>
      <c r="BH142" s="248"/>
      <c r="BI142" s="249"/>
      <c r="BJ142" s="249"/>
      <c r="BK142" s="249"/>
      <c r="BL142" s="249"/>
      <c r="BM142" s="248"/>
      <c r="BN142" s="406"/>
      <c r="BO142" s="456" t="str">
        <f t="shared" si="202"/>
        <v/>
      </c>
      <c r="BP142" s="406"/>
      <c r="BQ142" s="456" t="str">
        <f t="shared" si="202"/>
        <v/>
      </c>
    </row>
    <row r="143" spans="1:69" x14ac:dyDescent="0.25">
      <c r="A143" s="245"/>
      <c r="B143" s="236" t="s">
        <v>634</v>
      </c>
      <c r="C143" s="216" t="s">
        <v>298</v>
      </c>
      <c r="D143" s="217">
        <v>0.29499999999999998</v>
      </c>
      <c r="E143" s="217">
        <v>0.218</v>
      </c>
      <c r="F143" s="217">
        <v>0.17199999999999999</v>
      </c>
      <c r="G143" s="217">
        <v>0.122</v>
      </c>
      <c r="H143" s="217">
        <v>0.14599999999999999</v>
      </c>
      <c r="I143" s="217">
        <v>0.106</v>
      </c>
      <c r="J143" s="217">
        <v>9.9000000000000005E-2</v>
      </c>
      <c r="K143" s="217">
        <v>0.1</v>
      </c>
      <c r="L143" s="217">
        <v>8.7999999999999995E-2</v>
      </c>
      <c r="M143" s="217">
        <v>7.2999999999999995E-2</v>
      </c>
      <c r="N143" s="217">
        <v>6.8000000000000005E-2</v>
      </c>
      <c r="O143" s="217">
        <v>7.6999999999999999E-2</v>
      </c>
      <c r="P143" s="217">
        <v>5.8999999999999997E-2</v>
      </c>
      <c r="Q143" s="332">
        <f>Q136/M136-1</f>
        <v>8.8490169170195587E-2</v>
      </c>
      <c r="R143" s="332">
        <f>R136/N136-1</f>
        <v>0.10690892618601988</v>
      </c>
      <c r="S143" s="332">
        <f t="shared" ref="S143:BG143" si="208">S136/O136-1</f>
        <v>0.11571293321102538</v>
      </c>
      <c r="T143" s="332">
        <f t="shared" si="208"/>
        <v>0.12256491239770084</v>
      </c>
      <c r="U143" s="332">
        <f t="shared" si="208"/>
        <v>0.12376955511550847</v>
      </c>
      <c r="V143" s="332">
        <f t="shared" si="208"/>
        <v>0.12611142346932036</v>
      </c>
      <c r="W143" s="332">
        <f t="shared" si="208"/>
        <v>0.12568848655392251</v>
      </c>
      <c r="X143" s="332">
        <f t="shared" si="208"/>
        <v>0.1146628549397104</v>
      </c>
      <c r="Y143" s="332">
        <f t="shared" si="208"/>
        <v>0.11542885358710397</v>
      </c>
      <c r="Z143" s="332">
        <f t="shared" si="208"/>
        <v>0.11688585833346243</v>
      </c>
      <c r="AA143" s="332">
        <f t="shared" si="208"/>
        <v>0.11650020324778598</v>
      </c>
      <c r="AB143" s="332">
        <f t="shared" si="208"/>
        <v>0.11513804098531577</v>
      </c>
      <c r="AC143" s="332">
        <f t="shared" si="208"/>
        <v>0.11593539770949568</v>
      </c>
      <c r="AD143" s="332">
        <f t="shared" si="208"/>
        <v>0.11744818117885703</v>
      </c>
      <c r="AE143" s="332">
        <f t="shared" si="208"/>
        <v>0.11704739531951147</v>
      </c>
      <c r="AF143" s="332">
        <f t="shared" si="208"/>
        <v>8.956039121405146E-2</v>
      </c>
      <c r="AG143" s="332">
        <f t="shared" si="208"/>
        <v>9.0050157564360189E-2</v>
      </c>
      <c r="AH143" s="332">
        <f t="shared" si="208"/>
        <v>9.0947577378422517E-2</v>
      </c>
      <c r="AI143" s="332">
        <f t="shared" si="208"/>
        <v>9.0573865315537239E-2</v>
      </c>
      <c r="AJ143" s="332">
        <f t="shared" si="208"/>
        <v>8.9517435776947485E-2</v>
      </c>
      <c r="AK143" s="332">
        <f t="shared" si="208"/>
        <v>9.0017682683656286E-2</v>
      </c>
      <c r="AL143" s="332">
        <f t="shared" si="208"/>
        <v>9.0931049080250848E-2</v>
      </c>
      <c r="AM143" s="332">
        <f t="shared" si="208"/>
        <v>9.054316912067395E-2</v>
      </c>
      <c r="AN143" s="332">
        <f t="shared" si="208"/>
        <v>8.94665724042778E-2</v>
      </c>
      <c r="AO143" s="332">
        <f t="shared" si="208"/>
        <v>8.9977004827244134E-2</v>
      </c>
      <c r="AP143" s="332">
        <f t="shared" si="208"/>
        <v>9.0905418546772809E-2</v>
      </c>
      <c r="AQ143" s="332">
        <f t="shared" si="208"/>
        <v>9.0502583510934986E-2</v>
      </c>
      <c r="AR143" s="332">
        <f t="shared" si="208"/>
        <v>8.9406684160796779E-2</v>
      </c>
      <c r="AS143" s="332">
        <f t="shared" si="208"/>
        <v>8.9926958276687952E-2</v>
      </c>
      <c r="AT143" s="332">
        <f t="shared" si="208"/>
        <v>9.0869406288322851E-2</v>
      </c>
      <c r="AU143" s="332">
        <f t="shared" si="208"/>
        <v>9.0450763886332552E-2</v>
      </c>
      <c r="AV143" s="332">
        <f t="shared" si="208"/>
        <v>8.9336544051364708E-2</v>
      </c>
      <c r="AW143" s="332">
        <f t="shared" si="208"/>
        <v>8.9866264441708532E-2</v>
      </c>
      <c r="AX143" s="332">
        <f t="shared" si="208"/>
        <v>9.0821613257241474E-2</v>
      </c>
      <c r="AY143" s="332">
        <f t="shared" si="208"/>
        <v>9.0386238742542258E-2</v>
      </c>
      <c r="AZ143" s="332">
        <f t="shared" si="208"/>
        <v>8.9254804829594248E-2</v>
      </c>
      <c r="BA143" s="332">
        <f t="shared" si="208"/>
        <v>8.9793521567299139E-2</v>
      </c>
      <c r="BB143" s="332">
        <f t="shared" si="208"/>
        <v>9.0760510169652697E-2</v>
      </c>
      <c r="BC143" s="332">
        <f t="shared" si="208"/>
        <v>9.0307397995217364E-2</v>
      </c>
      <c r="BD143" s="332">
        <f t="shared" si="208"/>
        <v>8.9159987650461403E-2</v>
      </c>
      <c r="BE143" s="332">
        <f t="shared" si="208"/>
        <v>8.9707193265569973E-2</v>
      </c>
      <c r="BF143" s="332">
        <f t="shared" si="208"/>
        <v>9.0684425573506644E-2</v>
      </c>
      <c r="BG143" s="332">
        <f t="shared" si="208"/>
        <v>9.0212479894188791E-2</v>
      </c>
      <c r="BH143" s="248"/>
      <c r="BI143" s="249"/>
      <c r="BJ143" s="249"/>
      <c r="BK143" s="249"/>
      <c r="BL143" s="249"/>
      <c r="BM143" s="248"/>
      <c r="BN143" s="407">
        <v>9.1866536318163217E-2</v>
      </c>
      <c r="BO143" s="457">
        <f t="shared" si="202"/>
        <v>1.5042389867856665E-2</v>
      </c>
      <c r="BP143" s="407">
        <v>0.10034892007236396</v>
      </c>
      <c r="BQ143" s="457">
        <f t="shared" si="202"/>
        <v>1.5364013138661425E-2</v>
      </c>
    </row>
    <row r="144" spans="1:69" x14ac:dyDescent="0.25">
      <c r="A144" s="245"/>
      <c r="B144" s="236" t="s">
        <v>635</v>
      </c>
      <c r="C144" s="216" t="s">
        <v>298</v>
      </c>
      <c r="D144" s="217">
        <v>0.79800000000000004</v>
      </c>
      <c r="E144" s="217">
        <v>0.41299999999999998</v>
      </c>
      <c r="F144" s="217">
        <v>0.39700000000000002</v>
      </c>
      <c r="G144" s="217">
        <v>2.8000000000000001E-2</v>
      </c>
      <c r="H144" s="217">
        <v>5.6000000000000001E-2</v>
      </c>
      <c r="I144" s="217">
        <v>0.23</v>
      </c>
      <c r="J144" s="217">
        <v>0.20499999999999999</v>
      </c>
      <c r="K144" s="217">
        <v>0.24199999999999999</v>
      </c>
      <c r="L144" s="217">
        <v>0.28899999999999998</v>
      </c>
      <c r="M144" s="217">
        <v>0.22700000000000001</v>
      </c>
      <c r="N144" s="217">
        <v>0.18099999999999999</v>
      </c>
      <c r="O144" s="217">
        <v>0.151</v>
      </c>
      <c r="P144" s="217">
        <v>0.14499999999999999</v>
      </c>
      <c r="Q144" s="332">
        <f t="shared" ref="Q144:R146" si="209">Q137/M137-1</f>
        <v>0.14467619499282436</v>
      </c>
      <c r="R144" s="332">
        <f t="shared" si="209"/>
        <v>0.18474372407635897</v>
      </c>
      <c r="S144" s="256">
        <v>0.17499999999999999</v>
      </c>
      <c r="T144" s="256">
        <v>0.17499999999999999</v>
      </c>
      <c r="U144" s="256">
        <v>0.2</v>
      </c>
      <c r="V144" s="256">
        <v>0.2</v>
      </c>
      <c r="W144" s="256">
        <v>0.2</v>
      </c>
      <c r="X144" s="256">
        <v>0.2</v>
      </c>
      <c r="Y144" s="256">
        <v>0.2</v>
      </c>
      <c r="Z144" s="256">
        <v>0.2</v>
      </c>
      <c r="AA144" s="256">
        <v>0.2</v>
      </c>
      <c r="AB144" s="256">
        <v>0.2</v>
      </c>
      <c r="AC144" s="256">
        <v>0.2</v>
      </c>
      <c r="AD144" s="256">
        <v>0.2</v>
      </c>
      <c r="AE144" s="256">
        <v>0.2</v>
      </c>
      <c r="AF144" s="256">
        <v>0.2</v>
      </c>
      <c r="AG144" s="256">
        <v>0.2</v>
      </c>
      <c r="AH144" s="256">
        <v>0.2</v>
      </c>
      <c r="AI144" s="256">
        <v>0.2</v>
      </c>
      <c r="AJ144" s="256">
        <v>0.2</v>
      </c>
      <c r="AK144" s="256">
        <v>0.2</v>
      </c>
      <c r="AL144" s="256">
        <v>0.2</v>
      </c>
      <c r="AM144" s="256">
        <v>0.2</v>
      </c>
      <c r="AN144" s="256">
        <v>0.2</v>
      </c>
      <c r="AO144" s="256">
        <v>0.2</v>
      </c>
      <c r="AP144" s="256">
        <v>0.2</v>
      </c>
      <c r="AQ144" s="256">
        <v>0.2</v>
      </c>
      <c r="AR144" s="256">
        <v>0.2</v>
      </c>
      <c r="AS144" s="256">
        <v>0.2</v>
      </c>
      <c r="AT144" s="256">
        <v>0.2</v>
      </c>
      <c r="AU144" s="256">
        <v>0.2</v>
      </c>
      <c r="AV144" s="256">
        <v>0.2</v>
      </c>
      <c r="AW144" s="256">
        <v>0.2</v>
      </c>
      <c r="AX144" s="256">
        <v>0.2</v>
      </c>
      <c r="AY144" s="256">
        <v>0.2</v>
      </c>
      <c r="AZ144" s="256">
        <v>0.2</v>
      </c>
      <c r="BA144" s="256">
        <v>0.2</v>
      </c>
      <c r="BB144" s="256">
        <v>0.2</v>
      </c>
      <c r="BC144" s="256">
        <v>0.2</v>
      </c>
      <c r="BD144" s="256">
        <v>0.2</v>
      </c>
      <c r="BE144" s="256">
        <v>0.2</v>
      </c>
      <c r="BF144" s="256">
        <v>0.2</v>
      </c>
      <c r="BG144" s="256">
        <v>0.2</v>
      </c>
      <c r="BH144" s="248"/>
      <c r="BI144" s="249"/>
      <c r="BJ144" s="249"/>
      <c r="BK144" s="249"/>
      <c r="BL144" s="249"/>
      <c r="BM144" s="248"/>
      <c r="BN144" s="408">
        <v>0.15</v>
      </c>
      <c r="BO144" s="458">
        <f t="shared" si="202"/>
        <v>3.4743724076358978E-2</v>
      </c>
      <c r="BP144" s="408">
        <v>0.17499999999999999</v>
      </c>
      <c r="BQ144" s="458">
        <f t="shared" si="202"/>
        <v>0</v>
      </c>
    </row>
    <row r="145" spans="1:69" x14ac:dyDescent="0.25">
      <c r="A145" s="245"/>
      <c r="B145" s="257" t="s">
        <v>636</v>
      </c>
      <c r="C145" s="258" t="s">
        <v>298</v>
      </c>
      <c r="D145" s="217">
        <v>0.29699999999999999</v>
      </c>
      <c r="E145" s="217">
        <v>9.9000000000000005E-2</v>
      </c>
      <c r="F145" s="217">
        <v>0.16500000000000001</v>
      </c>
      <c r="G145" s="217">
        <v>-7.0000000000000001E-3</v>
      </c>
      <c r="H145" s="217">
        <v>3.0000000000000001E-3</v>
      </c>
      <c r="I145" s="217">
        <v>-6.5000000000000002E-2</v>
      </c>
      <c r="J145" s="217">
        <v>-2.4E-2</v>
      </c>
      <c r="K145" s="217">
        <v>-8.8999999999999996E-2</v>
      </c>
      <c r="L145" s="217">
        <v>-0.15</v>
      </c>
      <c r="M145" s="217">
        <v>-4.7E-2</v>
      </c>
      <c r="N145" s="217">
        <v>-0.13300000000000001</v>
      </c>
      <c r="O145" s="217">
        <v>-6.5000000000000002E-2</v>
      </c>
      <c r="P145" s="217">
        <v>-0.104</v>
      </c>
      <c r="Q145" s="332">
        <f t="shared" si="209"/>
        <v>-6.3477976551917448E-2</v>
      </c>
      <c r="R145" s="332">
        <f t="shared" si="209"/>
        <v>0.10683655966674843</v>
      </c>
      <c r="S145" s="338">
        <f>R145</f>
        <v>0.10683655966674843</v>
      </c>
      <c r="T145" s="338">
        <f t="shared" ref="T145:U145" si="210">S145</f>
        <v>0.10683655966674843</v>
      </c>
      <c r="U145" s="338">
        <f t="shared" si="210"/>
        <v>0.10683655966674843</v>
      </c>
      <c r="V145" s="338">
        <f>V130</f>
        <v>0.14729999999999999</v>
      </c>
      <c r="W145" s="338">
        <f t="shared" ref="W145:BG145" si="211">W130</f>
        <v>0.1471643498152384</v>
      </c>
      <c r="X145" s="338">
        <f t="shared" si="211"/>
        <v>0.13574252230190664</v>
      </c>
      <c r="Y145" s="338">
        <f t="shared" si="211"/>
        <v>0.13659823534550553</v>
      </c>
      <c r="Z145" s="338">
        <f t="shared" si="211"/>
        <v>0.13830384380719973</v>
      </c>
      <c r="AA145" s="338">
        <f t="shared" si="211"/>
        <v>0.13821504800719708</v>
      </c>
      <c r="AB145" s="338">
        <f t="shared" si="211"/>
        <v>0.13663319492872383</v>
      </c>
      <c r="AC145" s="338">
        <f t="shared" si="211"/>
        <v>0.13752411872129255</v>
      </c>
      <c r="AD145" s="338">
        <f t="shared" si="211"/>
        <v>0.13929591355430726</v>
      </c>
      <c r="AE145" s="338">
        <f t="shared" si="211"/>
        <v>0.13920380304838331</v>
      </c>
      <c r="AF145" s="338">
        <f t="shared" si="211"/>
        <v>0.11097530518394305</v>
      </c>
      <c r="AG145" s="338">
        <f t="shared" si="211"/>
        <v>0.11155411900693957</v>
      </c>
      <c r="AH145" s="338">
        <f t="shared" si="211"/>
        <v>0.11270252529966651</v>
      </c>
      <c r="AI145" s="338">
        <f t="shared" si="211"/>
        <v>0.11264291099428125</v>
      </c>
      <c r="AJ145" s="338">
        <f t="shared" si="211"/>
        <v>0.11136082944655978</v>
      </c>
      <c r="AK145" s="338">
        <f t="shared" si="211"/>
        <v>0.1119537471282559</v>
      </c>
      <c r="AL145" s="338">
        <f t="shared" si="211"/>
        <v>0.11312831036370907</v>
      </c>
      <c r="AM145" s="338">
        <f t="shared" si="211"/>
        <v>0.11306739790435616</v>
      </c>
      <c r="AN145" s="338">
        <f t="shared" si="211"/>
        <v>0.11175581639857657</v>
      </c>
      <c r="AO145" s="338">
        <f t="shared" si="211"/>
        <v>0.11236275270711293</v>
      </c>
      <c r="AP145" s="338">
        <f t="shared" si="211"/>
        <v>0.11356317755796952</v>
      </c>
      <c r="AQ145" s="338">
        <f t="shared" si="211"/>
        <v>0.11350098621009197</v>
      </c>
      <c r="AR145" s="338">
        <f t="shared" si="211"/>
        <v>0.11216021419357824</v>
      </c>
      <c r="AS145" s="338">
        <f t="shared" si="211"/>
        <v>0.11278105148574968</v>
      </c>
      <c r="AT145" s="338">
        <f t="shared" si="211"/>
        <v>0.11400697733726251</v>
      </c>
      <c r="AU145" s="338">
        <f t="shared" si="211"/>
        <v>0.11394352976233146</v>
      </c>
      <c r="AV145" s="338">
        <f t="shared" si="211"/>
        <v>0.11257394945813148</v>
      </c>
      <c r="AW145" s="338">
        <f t="shared" si="211"/>
        <v>0.11320853656609975</v>
      </c>
      <c r="AX145" s="338">
        <f t="shared" si="211"/>
        <v>0.11445953595044278</v>
      </c>
      <c r="AY145" s="338">
        <f t="shared" si="211"/>
        <v>0.11439485826548368</v>
      </c>
      <c r="AZ145" s="338">
        <f t="shared" si="211"/>
        <v>0.11299692652690085</v>
      </c>
      <c r="BA145" s="338">
        <f t="shared" si="211"/>
        <v>0.11364507776581578</v>
      </c>
      <c r="BB145" s="338">
        <f t="shared" si="211"/>
        <v>0.1149206550858104</v>
      </c>
      <c r="BC145" s="338">
        <f t="shared" si="211"/>
        <v>0.11485477690651935</v>
      </c>
      <c r="BD145" s="338">
        <f t="shared" si="211"/>
        <v>0.11342902675623412</v>
      </c>
      <c r="BE145" s="338">
        <f t="shared" si="211"/>
        <v>0.11409052106813866</v>
      </c>
      <c r="BF145" s="338">
        <f t="shared" si="211"/>
        <v>0.11539011163746116</v>
      </c>
      <c r="BG145" s="338">
        <f t="shared" si="211"/>
        <v>0.11532306610363996</v>
      </c>
      <c r="BH145" s="248"/>
      <c r="BI145" s="249"/>
      <c r="BJ145" s="249"/>
      <c r="BK145" s="249"/>
      <c r="BL145" s="249"/>
      <c r="BM145" s="248"/>
      <c r="BN145" s="409">
        <v>0.3</v>
      </c>
      <c r="BO145" s="459">
        <f t="shared" si="202"/>
        <v>-0.19316344033325156</v>
      </c>
      <c r="BP145" s="409">
        <v>0.6</v>
      </c>
      <c r="BQ145" s="459">
        <f t="shared" si="202"/>
        <v>-0.49316344033325155</v>
      </c>
    </row>
    <row r="146" spans="1:69" x14ac:dyDescent="0.25">
      <c r="A146" s="245"/>
      <c r="B146" s="259" t="s">
        <v>639</v>
      </c>
      <c r="C146" s="260" t="s">
        <v>298</v>
      </c>
      <c r="D146" s="261">
        <v>0.35499999999999998</v>
      </c>
      <c r="E146" s="261">
        <v>0.23599999999999999</v>
      </c>
      <c r="F146" s="261">
        <v>0.19800000000000001</v>
      </c>
      <c r="G146" s="261">
        <v>0.104</v>
      </c>
      <c r="H146" s="261">
        <v>0.128</v>
      </c>
      <c r="I146" s="261">
        <v>0.11700000000000001</v>
      </c>
      <c r="J146" s="261">
        <v>0.11</v>
      </c>
      <c r="K146" s="261">
        <v>0.11600000000000001</v>
      </c>
      <c r="L146" s="261">
        <v>0.112</v>
      </c>
      <c r="M146" s="261">
        <v>9.2999999999999999E-2</v>
      </c>
      <c r="N146" s="261">
        <v>0.08</v>
      </c>
      <c r="O146" s="261">
        <v>8.6999999999999994E-2</v>
      </c>
      <c r="P146" s="261">
        <v>7.0999999999999994E-2</v>
      </c>
      <c r="Q146" s="337">
        <f t="shared" si="209"/>
        <v>9.4360163476451042E-2</v>
      </c>
      <c r="R146" s="337">
        <f t="shared" si="209"/>
        <v>0.11945075701753027</v>
      </c>
      <c r="S146" s="337">
        <f t="shared" ref="S146:BG146" si="212">S139/O139-1</f>
        <v>0.12573164708892448</v>
      </c>
      <c r="T146" s="337">
        <f t="shared" si="212"/>
        <v>0.13192415211667696</v>
      </c>
      <c r="U146" s="337">
        <f t="shared" si="212"/>
        <v>0.13645136159658255</v>
      </c>
      <c r="V146" s="337">
        <f t="shared" si="212"/>
        <v>0.13909754286996967</v>
      </c>
      <c r="W146" s="337">
        <f t="shared" si="212"/>
        <v>0.1393001003118044</v>
      </c>
      <c r="X146" s="337">
        <f t="shared" si="212"/>
        <v>0.13120100819880243</v>
      </c>
      <c r="Y146" s="337">
        <f t="shared" si="212"/>
        <v>0.13103381323475571</v>
      </c>
      <c r="Z146" s="337">
        <f t="shared" si="212"/>
        <v>0.13221024226246736</v>
      </c>
      <c r="AA146" s="337">
        <f t="shared" si="212"/>
        <v>0.13255587794880075</v>
      </c>
      <c r="AB146" s="337">
        <f t="shared" si="212"/>
        <v>0.13257447137200251</v>
      </c>
      <c r="AC146" s="337">
        <f t="shared" si="212"/>
        <v>0.13238135134884677</v>
      </c>
      <c r="AD146" s="337">
        <f t="shared" si="212"/>
        <v>0.1335695824435541</v>
      </c>
      <c r="AE146" s="337">
        <f t="shared" si="212"/>
        <v>0.13393870661211338</v>
      </c>
      <c r="AF146" s="337">
        <f t="shared" si="212"/>
        <v>0.11347996453452214</v>
      </c>
      <c r="AG146" s="337">
        <f t="shared" si="212"/>
        <v>0.11269385281873712</v>
      </c>
      <c r="AH146" s="337">
        <f t="shared" si="212"/>
        <v>0.11333267974078853</v>
      </c>
      <c r="AI146" s="337">
        <f t="shared" si="212"/>
        <v>0.1140196893333647</v>
      </c>
      <c r="AJ146" s="337">
        <f t="shared" si="212"/>
        <v>0.11528601822736628</v>
      </c>
      <c r="AK146" s="337">
        <f t="shared" si="212"/>
        <v>0.11442192292542019</v>
      </c>
      <c r="AL146" s="337">
        <f t="shared" si="212"/>
        <v>0.11503897612157976</v>
      </c>
      <c r="AM146" s="337">
        <f t="shared" si="212"/>
        <v>0.11578587410409535</v>
      </c>
      <c r="AN146" s="337">
        <f t="shared" si="212"/>
        <v>0.11718551170667535</v>
      </c>
      <c r="AO146" s="337">
        <f t="shared" si="212"/>
        <v>0.11624149087138091</v>
      </c>
      <c r="AP146" s="337">
        <f t="shared" si="212"/>
        <v>0.1168328267640999</v>
      </c>
      <c r="AQ146" s="337">
        <f t="shared" si="212"/>
        <v>0.11764069159035384</v>
      </c>
      <c r="AR146" s="337">
        <f t="shared" si="212"/>
        <v>0.11917671691026221</v>
      </c>
      <c r="AS146" s="337">
        <f t="shared" si="212"/>
        <v>0.11815145996582332</v>
      </c>
      <c r="AT146" s="337">
        <f t="shared" si="212"/>
        <v>0.11871310762289844</v>
      </c>
      <c r="AU146" s="337">
        <f t="shared" si="212"/>
        <v>0.11958253900452021</v>
      </c>
      <c r="AV146" s="337">
        <f t="shared" si="212"/>
        <v>0.12125689542820584</v>
      </c>
      <c r="AW146" s="337">
        <f t="shared" si="212"/>
        <v>0.12014980950187404</v>
      </c>
      <c r="AX146" s="337">
        <f t="shared" si="212"/>
        <v>0.12067783230565388</v>
      </c>
      <c r="AY146" s="337">
        <f t="shared" si="212"/>
        <v>0.1216088937824118</v>
      </c>
      <c r="AZ146" s="337">
        <f t="shared" si="212"/>
        <v>0.12342224759489517</v>
      </c>
      <c r="BA146" s="337">
        <f t="shared" si="212"/>
        <v>0.12223353571283435</v>
      </c>
      <c r="BB146" s="337">
        <f t="shared" si="212"/>
        <v>0.12272409920640248</v>
      </c>
      <c r="BC146" s="337">
        <f t="shared" si="212"/>
        <v>0.12371626721439788</v>
      </c>
      <c r="BD146" s="337">
        <f t="shared" si="212"/>
        <v>0.12566788320481925</v>
      </c>
      <c r="BE146" s="337">
        <f t="shared" si="212"/>
        <v>0.12439861047426004</v>
      </c>
      <c r="BF146" s="337">
        <f t="shared" si="212"/>
        <v>0.1248480548325055</v>
      </c>
      <c r="BG146" s="337">
        <f t="shared" si="212"/>
        <v>0.12590017687478383</v>
      </c>
      <c r="BH146" s="248"/>
      <c r="BI146" s="249"/>
      <c r="BJ146" s="249"/>
      <c r="BK146" s="249"/>
      <c r="BL146" s="249"/>
      <c r="BM146" s="248"/>
      <c r="BN146" s="410">
        <v>0.10505375470348777</v>
      </c>
      <c r="BO146" s="460">
        <f t="shared" si="202"/>
        <v>1.4397002314042506E-2</v>
      </c>
      <c r="BP146" s="410">
        <v>0.12083638580808476</v>
      </c>
      <c r="BQ146" s="460">
        <f t="shared" si="202"/>
        <v>4.8952612808397244E-3</v>
      </c>
    </row>
    <row r="147" spans="1:69" x14ac:dyDescent="0.25">
      <c r="A147" s="490"/>
      <c r="B147" s="492"/>
      <c r="C147" s="93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87"/>
      <c r="BI147" s="229"/>
      <c r="BJ147" s="229"/>
      <c r="BK147" s="229"/>
      <c r="BL147" s="229"/>
      <c r="BM147" s="187"/>
      <c r="BN147" s="411"/>
      <c r="BO147" s="461" t="str">
        <f t="shared" si="202"/>
        <v/>
      </c>
      <c r="BP147" s="411"/>
      <c r="BQ147" s="461" t="str">
        <f t="shared" si="202"/>
        <v/>
      </c>
    </row>
    <row r="148" spans="1:69" x14ac:dyDescent="0.25">
      <c r="A148" s="228"/>
      <c r="B148" s="92" t="s">
        <v>640</v>
      </c>
      <c r="C148" s="93" t="s">
        <v>298</v>
      </c>
      <c r="D148" s="108">
        <v>63664</v>
      </c>
      <c r="E148" s="108">
        <v>83494</v>
      </c>
      <c r="F148" s="108">
        <v>76002</v>
      </c>
      <c r="G148" s="108">
        <v>63835</v>
      </c>
      <c r="H148" s="108">
        <v>58785</v>
      </c>
      <c r="I148" s="108">
        <v>74085</v>
      </c>
      <c r="J148" s="108">
        <v>78338</v>
      </c>
      <c r="K148" s="108">
        <v>56442</v>
      </c>
      <c r="L148" s="108">
        <v>50785</v>
      </c>
      <c r="M148" s="108">
        <v>68309</v>
      </c>
      <c r="N148" s="108">
        <v>62091</v>
      </c>
      <c r="O148" s="108">
        <v>55256</v>
      </c>
      <c r="P148" s="108">
        <v>52534</v>
      </c>
      <c r="Q148" s="108">
        <v>76548</v>
      </c>
      <c r="R148" s="108">
        <v>103304</v>
      </c>
      <c r="S148" s="137">
        <f t="shared" ref="S148:BG148" si="213">S138-S153</f>
        <v>85407.423670668955</v>
      </c>
      <c r="T148" s="137">
        <f t="shared" si="213"/>
        <v>80209.738136077765</v>
      </c>
      <c r="U148" s="137">
        <f t="shared" si="213"/>
        <v>112785.27593999293</v>
      </c>
      <c r="V148" s="137">
        <f t="shared" si="213"/>
        <v>118520.6792</v>
      </c>
      <c r="W148" s="137">
        <f t="shared" si="213"/>
        <v>97976.351644557551</v>
      </c>
      <c r="X148" s="137">
        <f t="shared" si="213"/>
        <v>91097.610303844383</v>
      </c>
      <c r="Y148" s="137">
        <f t="shared" si="213"/>
        <v>128191.54560635186</v>
      </c>
      <c r="Z148" s="137">
        <f t="shared" si="213"/>
        <v>134912.54470400006</v>
      </c>
      <c r="AA148" s="137">
        <f t="shared" si="213"/>
        <v>111518.15779068008</v>
      </c>
      <c r="AB148" s="137">
        <f t="shared" si="213"/>
        <v>103544.56785003046</v>
      </c>
      <c r="AC148" s="137">
        <f t="shared" si="213"/>
        <v>145820.97494338581</v>
      </c>
      <c r="AD148" s="137">
        <f t="shared" si="213"/>
        <v>153705.31086848004</v>
      </c>
      <c r="AE148" s="137">
        <f t="shared" si="213"/>
        <v>127041.90946409246</v>
      </c>
      <c r="AF148" s="137">
        <f t="shared" si="213"/>
        <v>115035.45786732709</v>
      </c>
      <c r="AG148" s="137">
        <f t="shared" si="213"/>
        <v>162087.9053359282</v>
      </c>
      <c r="AH148" s="137">
        <f t="shared" si="213"/>
        <v>171028.28755532805</v>
      </c>
      <c r="AI148" s="137">
        <f t="shared" si="213"/>
        <v>141352.27996439976</v>
      </c>
      <c r="AJ148" s="137">
        <f t="shared" si="213"/>
        <v>127845.90187119742</v>
      </c>
      <c r="AK148" s="137">
        <f t="shared" si="213"/>
        <v>180234.25370245543</v>
      </c>
      <c r="AL148" s="137">
        <f t="shared" si="213"/>
        <v>190376.42875086085</v>
      </c>
      <c r="AM148" s="137">
        <f t="shared" si="213"/>
        <v>157334.6144478225</v>
      </c>
      <c r="AN148" s="137">
        <f t="shared" si="213"/>
        <v>142133.4250080254</v>
      </c>
      <c r="AO148" s="137">
        <f t="shared" si="213"/>
        <v>200485.87058057549</v>
      </c>
      <c r="AP148" s="137">
        <f t="shared" si="213"/>
        <v>211996.18093194702</v>
      </c>
      <c r="AQ148" s="137">
        <f t="shared" si="213"/>
        <v>175192.24835263495</v>
      </c>
      <c r="AR148" s="137">
        <f t="shared" si="213"/>
        <v>158075.14040099242</v>
      </c>
      <c r="AS148" s="137">
        <f t="shared" si="213"/>
        <v>223096.8778726887</v>
      </c>
      <c r="AT148" s="137">
        <f t="shared" si="213"/>
        <v>236165.22472704167</v>
      </c>
      <c r="AU148" s="137">
        <f t="shared" si="213"/>
        <v>195154.27151693316</v>
      </c>
      <c r="AV148" s="137">
        <f t="shared" si="213"/>
        <v>175870.28326708075</v>
      </c>
      <c r="AW148" s="137">
        <f t="shared" si="213"/>
        <v>248353.34892912168</v>
      </c>
      <c r="AX148" s="137">
        <f t="shared" si="213"/>
        <v>263196.58675693092</v>
      </c>
      <c r="AY148" s="137">
        <f t="shared" si="213"/>
        <v>217478.91674701642</v>
      </c>
      <c r="AZ148" s="137">
        <f t="shared" si="213"/>
        <v>195743.08474367636</v>
      </c>
      <c r="BA148" s="137">
        <f t="shared" si="213"/>
        <v>276577.48458157247</v>
      </c>
      <c r="BB148" s="137">
        <f t="shared" si="213"/>
        <v>293443.31092338671</v>
      </c>
      <c r="BC148" s="137">
        <f t="shared" si="213"/>
        <v>242457.4092118665</v>
      </c>
      <c r="BD148" s="137">
        <f t="shared" si="213"/>
        <v>217946.03234041459</v>
      </c>
      <c r="BE148" s="137">
        <f t="shared" si="213"/>
        <v>308132.35391319916</v>
      </c>
      <c r="BF148" s="137">
        <f t="shared" si="213"/>
        <v>327303.76733010262</v>
      </c>
      <c r="BG148" s="137">
        <f t="shared" si="213"/>
        <v>270418.34104172385</v>
      </c>
      <c r="BH148" s="187"/>
      <c r="BI148" s="229"/>
      <c r="BJ148" s="229"/>
      <c r="BK148" s="229"/>
      <c r="BL148" s="229"/>
      <c r="BM148" s="187"/>
      <c r="BN148" s="374">
        <v>91146.906224438921</v>
      </c>
      <c r="BO148" s="424">
        <f t="shared" si="202"/>
        <v>12157.093775561079</v>
      </c>
      <c r="BP148" s="374">
        <v>92746.396728179563</v>
      </c>
      <c r="BQ148" s="424">
        <f t="shared" si="202"/>
        <v>-7338.9730575106078</v>
      </c>
    </row>
    <row r="149" spans="1:69" x14ac:dyDescent="0.25">
      <c r="A149" s="490"/>
      <c r="B149" s="492"/>
      <c r="C149" s="93"/>
      <c r="D149" s="46"/>
      <c r="E149" s="46"/>
      <c r="F149" s="46"/>
      <c r="G149" s="212"/>
      <c r="H149" s="212"/>
      <c r="I149" s="2"/>
      <c r="J149" s="48"/>
      <c r="K149" s="48"/>
      <c r="L149" s="48"/>
      <c r="M149" s="48"/>
      <c r="N149" s="48"/>
      <c r="O149" s="48"/>
      <c r="P149" s="48"/>
      <c r="Q149" s="48"/>
      <c r="R149" s="48"/>
      <c r="S149" s="187"/>
      <c r="T149" s="187"/>
      <c r="U149" s="187"/>
      <c r="V149" s="187"/>
      <c r="W149" s="187"/>
      <c r="X149" s="187"/>
      <c r="Y149" s="187"/>
      <c r="Z149" s="187"/>
      <c r="AA149" s="187"/>
      <c r="AB149" s="187"/>
      <c r="AC149" s="187"/>
      <c r="AD149" s="187"/>
      <c r="AE149" s="187"/>
      <c r="AF149" s="187"/>
      <c r="AG149" s="187"/>
      <c r="AH149" s="187"/>
      <c r="AI149" s="187"/>
      <c r="AJ149" s="187"/>
      <c r="AK149" s="187"/>
      <c r="AL149" s="187"/>
      <c r="AM149" s="187"/>
      <c r="AN149" s="187"/>
      <c r="AO149" s="187"/>
      <c r="AP149" s="187"/>
      <c r="AQ149" s="187"/>
      <c r="AR149" s="187"/>
      <c r="AS149" s="187"/>
      <c r="AT149" s="187"/>
      <c r="AU149" s="187"/>
      <c r="AV149" s="187"/>
      <c r="AW149" s="187"/>
      <c r="AX149" s="187"/>
      <c r="AY149" s="187"/>
      <c r="AZ149" s="187"/>
      <c r="BA149" s="187"/>
      <c r="BB149" s="187"/>
      <c r="BC149" s="187"/>
      <c r="BD149" s="187"/>
      <c r="BE149" s="187"/>
      <c r="BF149" s="187"/>
      <c r="BG149" s="187"/>
      <c r="BH149" s="187"/>
      <c r="BI149" s="229"/>
      <c r="BJ149" s="229"/>
      <c r="BK149" s="229"/>
      <c r="BL149" s="229"/>
      <c r="BM149" s="187"/>
      <c r="BN149" s="389"/>
      <c r="BO149" s="439" t="str">
        <f t="shared" si="202"/>
        <v/>
      </c>
      <c r="BP149" s="389"/>
      <c r="BQ149" s="439" t="str">
        <f t="shared" si="202"/>
        <v/>
      </c>
    </row>
    <row r="150" spans="1:69" x14ac:dyDescent="0.25">
      <c r="A150" s="228"/>
      <c r="B150" s="95" t="s">
        <v>43</v>
      </c>
      <c r="C150" s="93"/>
      <c r="D150" s="46"/>
      <c r="E150" s="46"/>
      <c r="F150" s="46"/>
      <c r="G150" s="212"/>
      <c r="H150" s="212"/>
      <c r="I150" s="2"/>
      <c r="J150" s="48"/>
      <c r="K150" s="48"/>
      <c r="L150" s="48"/>
      <c r="M150" s="48"/>
      <c r="N150" s="48"/>
      <c r="O150" s="48"/>
      <c r="P150" s="48"/>
      <c r="Q150" s="48"/>
      <c r="R150" s="48"/>
      <c r="S150" s="187"/>
      <c r="T150" s="187"/>
      <c r="U150" s="187"/>
      <c r="V150" s="187"/>
      <c r="W150" s="187"/>
      <c r="X150" s="187"/>
      <c r="Y150" s="187"/>
      <c r="Z150" s="187"/>
      <c r="AA150" s="187"/>
      <c r="AB150" s="187"/>
      <c r="AC150" s="187"/>
      <c r="AD150" s="187"/>
      <c r="AE150" s="187"/>
      <c r="AF150" s="187"/>
      <c r="AG150" s="187"/>
      <c r="AH150" s="187"/>
      <c r="AI150" s="187"/>
      <c r="AJ150" s="187"/>
      <c r="AK150" s="187"/>
      <c r="AL150" s="187"/>
      <c r="AM150" s="187"/>
      <c r="AN150" s="187"/>
      <c r="AO150" s="187"/>
      <c r="AP150" s="187"/>
      <c r="AQ150" s="187"/>
      <c r="AR150" s="187"/>
      <c r="AS150" s="187"/>
      <c r="AT150" s="187"/>
      <c r="AU150" s="187"/>
      <c r="AV150" s="187"/>
      <c r="AW150" s="187"/>
      <c r="AX150" s="187"/>
      <c r="AY150" s="187"/>
      <c r="AZ150" s="187"/>
      <c r="BA150" s="187"/>
      <c r="BB150" s="187"/>
      <c r="BC150" s="187"/>
      <c r="BD150" s="187"/>
      <c r="BE150" s="187"/>
      <c r="BF150" s="187"/>
      <c r="BG150" s="187"/>
      <c r="BH150" s="187"/>
      <c r="BI150" s="229"/>
      <c r="BJ150" s="229"/>
      <c r="BK150" s="229"/>
      <c r="BL150" s="229"/>
      <c r="BM150" s="187"/>
      <c r="BN150" s="389"/>
      <c r="BO150" s="439" t="str">
        <f t="shared" si="202"/>
        <v/>
      </c>
      <c r="BP150" s="389"/>
      <c r="BQ150" s="439" t="str">
        <f t="shared" si="202"/>
        <v/>
      </c>
    </row>
    <row r="151" spans="1:69" x14ac:dyDescent="0.25">
      <c r="A151" s="228"/>
      <c r="B151" s="129" t="s">
        <v>634</v>
      </c>
      <c r="C151" s="93"/>
      <c r="D151" s="97">
        <v>467204</v>
      </c>
      <c r="E151" s="97">
        <v>545040</v>
      </c>
      <c r="F151" s="97">
        <v>559328</v>
      </c>
      <c r="G151" s="97">
        <v>542426</v>
      </c>
      <c r="H151" s="97">
        <v>528989</v>
      </c>
      <c r="I151" s="97">
        <v>622894</v>
      </c>
      <c r="J151" s="97">
        <v>622810</v>
      </c>
      <c r="K151" s="97">
        <v>617164</v>
      </c>
      <c r="L151" s="97">
        <v>602253</v>
      </c>
      <c r="M151" s="97">
        <v>689981</v>
      </c>
      <c r="N151" s="97">
        <v>699652</v>
      </c>
      <c r="O151" s="97">
        <v>678577</v>
      </c>
      <c r="P151" s="97">
        <v>650595</v>
      </c>
      <c r="Q151" s="97">
        <f>Q154-Q153-Q152</f>
        <v>767825.39999999991</v>
      </c>
      <c r="R151" s="97">
        <f>R154-R153-R152</f>
        <v>774569.39999999991</v>
      </c>
      <c r="S151" s="97">
        <f t="shared" ref="S151:AG151" si="214">S136*S158</f>
        <v>756299.09908980003</v>
      </c>
      <c r="T151" s="97">
        <f t="shared" si="214"/>
        <v>729900.61247100017</v>
      </c>
      <c r="U151" s="97">
        <f t="shared" si="214"/>
        <v>862858.80816438724</v>
      </c>
      <c r="V151" s="97">
        <f t="shared" si="214"/>
        <v>882487.89253802726</v>
      </c>
      <c r="W151" s="97">
        <f t="shared" si="214"/>
        <v>855382.51773170009</v>
      </c>
      <c r="X151" s="97">
        <f t="shared" si="214"/>
        <v>817308.13750784018</v>
      </c>
      <c r="Y151" s="97">
        <f t="shared" si="214"/>
        <v>966862.06412561738</v>
      </c>
      <c r="Z151" s="97">
        <f t="shared" si="214"/>
        <v>992498.01033394306</v>
      </c>
      <c r="AA151" s="97">
        <f t="shared" si="214"/>
        <v>961776.17670135456</v>
      </c>
      <c r="AB151" s="97">
        <f t="shared" si="214"/>
        <v>917625.56394645351</v>
      </c>
      <c r="AC151" s="97">
        <f t="shared" si="214"/>
        <v>1086328.2294538901</v>
      </c>
      <c r="AD151" s="97">
        <f t="shared" si="214"/>
        <v>1116730.5261675939</v>
      </c>
      <c r="AE151" s="97">
        <f t="shared" si="214"/>
        <v>1081880.060726274</v>
      </c>
      <c r="AF151" s="97">
        <f t="shared" si="214"/>
        <v>1006579.1804174143</v>
      </c>
      <c r="AG151" s="97">
        <f t="shared" si="214"/>
        <v>1192188.791334932</v>
      </c>
      <c r="AH151" s="97">
        <f t="shared" ref="S151:BG152" si="215">AH136*AH158</f>
        <v>1226657.0440638051</v>
      </c>
      <c r="AI151" s="97">
        <f t="shared" si="215"/>
        <v>1188082.6726709569</v>
      </c>
      <c r="AJ151" s="97">
        <f t="shared" si="215"/>
        <v>1104062.3763052116</v>
      </c>
      <c r="AK151" s="97">
        <f t="shared" si="215"/>
        <v>1308266.8274406102</v>
      </c>
      <c r="AL151" s="97">
        <f t="shared" si="215"/>
        <v>1347321.2562492893</v>
      </c>
      <c r="AM151" s="97">
        <f t="shared" si="215"/>
        <v>1304611.5866473739</v>
      </c>
      <c r="AN151" s="97">
        <f t="shared" si="215"/>
        <v>1210875.8393783071</v>
      </c>
      <c r="AO151" s="97">
        <f t="shared" si="215"/>
        <v>1435528.9171809</v>
      </c>
      <c r="AP151" s="97">
        <f t="shared" si="215"/>
        <v>1479752.3894339954</v>
      </c>
      <c r="AQ151" s="97">
        <f t="shared" si="215"/>
        <v>1432449.0034681805</v>
      </c>
      <c r="AR151" s="97">
        <f t="shared" si="215"/>
        <v>1327891.5620883452</v>
      </c>
      <c r="AS151" s="97">
        <f t="shared" si="215"/>
        <v>1575028.462217865</v>
      </c>
      <c r="AT151" s="97">
        <f t="shared" si="215"/>
        <v>1625073.303344839</v>
      </c>
      <c r="AU151" s="97">
        <f t="shared" si="215"/>
        <v>1572665.2130832302</v>
      </c>
      <c r="AV151" s="97">
        <f t="shared" si="215"/>
        <v>1456058.3049342663</v>
      </c>
      <c r="AW151" s="97">
        <f t="shared" si="215"/>
        <v>1727912.402384439</v>
      </c>
      <c r="AX151" s="97">
        <f t="shared" si="215"/>
        <v>1784507.797602532</v>
      </c>
      <c r="AY151" s="97">
        <f t="shared" si="215"/>
        <v>1726425.2322726811</v>
      </c>
      <c r="AZ151" s="97">
        <f t="shared" si="215"/>
        <v>1596407.2722601229</v>
      </c>
      <c r="BA151" s="97">
        <f t="shared" si="215"/>
        <v>1895428.1973793653</v>
      </c>
      <c r="BB151" s="97">
        <f t="shared" si="215"/>
        <v>1959388.2017734349</v>
      </c>
      <c r="BC151" s="97">
        <f t="shared" si="215"/>
        <v>1894995.6436587435</v>
      </c>
      <c r="BD151" s="97">
        <f t="shared" si="215"/>
        <v>1750057.9548202455</v>
      </c>
      <c r="BE151" s="97">
        <f t="shared" si="215"/>
        <v>2078931.0181913646</v>
      </c>
      <c r="BF151" s="97">
        <f t="shared" si="215"/>
        <v>2151163.1834433866</v>
      </c>
      <c r="BG151" s="97">
        <f t="shared" si="215"/>
        <v>2079751.5608640786</v>
      </c>
      <c r="BH151" s="187"/>
      <c r="BI151" s="229"/>
      <c r="BJ151" s="229"/>
      <c r="BK151" s="229"/>
      <c r="BL151" s="229"/>
      <c r="BM151" s="187"/>
      <c r="BN151" s="370">
        <v>778296.53469604068</v>
      </c>
      <c r="BO151" s="420">
        <f t="shared" si="202"/>
        <v>-3727.1346960407682</v>
      </c>
      <c r="BP151" s="370">
        <v>761754.30389503075</v>
      </c>
      <c r="BQ151" s="420">
        <f t="shared" si="202"/>
        <v>-5455.2048052307218</v>
      </c>
    </row>
    <row r="152" spans="1:69" x14ac:dyDescent="0.25">
      <c r="A152" s="228"/>
      <c r="B152" s="129" t="s">
        <v>635</v>
      </c>
      <c r="C152" s="93"/>
      <c r="D152" s="97">
        <v>174214</v>
      </c>
      <c r="E152" s="97">
        <v>171018</v>
      </c>
      <c r="F152" s="97">
        <v>181389</v>
      </c>
      <c r="G152" s="97">
        <v>188859</v>
      </c>
      <c r="H152" s="97">
        <v>183906</v>
      </c>
      <c r="I152" s="97">
        <v>210302</v>
      </c>
      <c r="J152" s="97">
        <v>218525</v>
      </c>
      <c r="K152" s="97">
        <v>234531</v>
      </c>
      <c r="L152" s="97">
        <v>236974</v>
      </c>
      <c r="M152" s="97">
        <v>258094</v>
      </c>
      <c r="N152" s="97">
        <v>258066</v>
      </c>
      <c r="O152" s="97">
        <v>270013</v>
      </c>
      <c r="P152" s="97">
        <v>271320</v>
      </c>
      <c r="Q152" s="97">
        <f>Q137*Q159</f>
        <v>295433.60000000003</v>
      </c>
      <c r="R152" s="97">
        <f>R137*R159</f>
        <v>305741.60000000003</v>
      </c>
      <c r="S152" s="97">
        <f t="shared" si="215"/>
        <v>317265.04000000004</v>
      </c>
      <c r="T152" s="97">
        <f t="shared" si="215"/>
        <v>318801</v>
      </c>
      <c r="U152" s="97">
        <f t="shared" si="215"/>
        <v>354520.32000000001</v>
      </c>
      <c r="V152" s="97">
        <f t="shared" si="215"/>
        <v>366889.92</v>
      </c>
      <c r="W152" s="97">
        <f t="shared" si="215"/>
        <v>380718.04799999995</v>
      </c>
      <c r="X152" s="97">
        <f t="shared" si="215"/>
        <v>382561.2</v>
      </c>
      <c r="Y152" s="97">
        <f t="shared" si="215"/>
        <v>425424.38400000002</v>
      </c>
      <c r="Z152" s="97">
        <f t="shared" si="215"/>
        <v>440267.90399999992</v>
      </c>
      <c r="AA152" s="97">
        <f t="shared" si="215"/>
        <v>456861.65759999998</v>
      </c>
      <c r="AB152" s="97">
        <f t="shared" si="215"/>
        <v>459073.43999999994</v>
      </c>
      <c r="AC152" s="97">
        <f t="shared" si="215"/>
        <v>510509.26080000005</v>
      </c>
      <c r="AD152" s="97">
        <f t="shared" si="215"/>
        <v>528321.48479999986</v>
      </c>
      <c r="AE152" s="97">
        <f t="shared" si="215"/>
        <v>548233.98911999993</v>
      </c>
      <c r="AF152" s="97">
        <f t="shared" si="215"/>
        <v>550888.12799999991</v>
      </c>
      <c r="AG152" s="97">
        <f t="shared" si="215"/>
        <v>612611.11295999994</v>
      </c>
      <c r="AH152" s="97">
        <f t="shared" si="215"/>
        <v>633985.78175999981</v>
      </c>
      <c r="AI152" s="97">
        <f t="shared" si="215"/>
        <v>657880.78694400005</v>
      </c>
      <c r="AJ152" s="97">
        <f t="shared" si="215"/>
        <v>661065.75359999994</v>
      </c>
      <c r="AK152" s="97">
        <f t="shared" si="215"/>
        <v>735133.33555199997</v>
      </c>
      <c r="AL152" s="97">
        <f t="shared" si="215"/>
        <v>760782.93811199977</v>
      </c>
      <c r="AM152" s="97">
        <f t="shared" si="215"/>
        <v>789456.94433279987</v>
      </c>
      <c r="AN152" s="97">
        <f t="shared" si="215"/>
        <v>793278.90431999997</v>
      </c>
      <c r="AO152" s="97">
        <f t="shared" si="215"/>
        <v>882160.00266240002</v>
      </c>
      <c r="AP152" s="97">
        <f t="shared" si="215"/>
        <v>912939.52573439968</v>
      </c>
      <c r="AQ152" s="97">
        <f t="shared" si="215"/>
        <v>947348.33319935994</v>
      </c>
      <c r="AR152" s="97">
        <f t="shared" si="215"/>
        <v>951934.68518399994</v>
      </c>
      <c r="AS152" s="97">
        <f t="shared" si="215"/>
        <v>1058592.00319488</v>
      </c>
      <c r="AT152" s="97">
        <f t="shared" si="215"/>
        <v>1095527.4308812795</v>
      </c>
      <c r="AU152" s="97">
        <f t="shared" si="215"/>
        <v>1136817.9998392318</v>
      </c>
      <c r="AV152" s="97">
        <f t="shared" si="215"/>
        <v>1142321.6222208</v>
      </c>
      <c r="AW152" s="97">
        <f t="shared" si="215"/>
        <v>1270310.4038338559</v>
      </c>
      <c r="AX152" s="97">
        <f t="shared" si="215"/>
        <v>1314632.9170575356</v>
      </c>
      <c r="AY152" s="97">
        <f t="shared" si="215"/>
        <v>1364181.599807078</v>
      </c>
      <c r="AZ152" s="97">
        <f t="shared" si="215"/>
        <v>1370785.9466649599</v>
      </c>
      <c r="BA152" s="97">
        <f t="shared" si="215"/>
        <v>1524372.4846006271</v>
      </c>
      <c r="BB152" s="97">
        <f t="shared" si="215"/>
        <v>1577559.5004690425</v>
      </c>
      <c r="BC152" s="97">
        <f t="shared" si="215"/>
        <v>1637017.9197684936</v>
      </c>
      <c r="BD152" s="97">
        <f t="shared" si="215"/>
        <v>1644943.1359979517</v>
      </c>
      <c r="BE152" s="97">
        <f t="shared" si="215"/>
        <v>1829246.9815207524</v>
      </c>
      <c r="BF152" s="97">
        <f t="shared" si="215"/>
        <v>1893071.4005628508</v>
      </c>
      <c r="BG152" s="97">
        <f t="shared" si="215"/>
        <v>1964421.5037221925</v>
      </c>
      <c r="BH152" s="187"/>
      <c r="BI152" s="229"/>
      <c r="BJ152" s="229"/>
      <c r="BK152" s="229"/>
      <c r="BL152" s="229"/>
      <c r="BM152" s="187"/>
      <c r="BN152" s="370">
        <v>296775.44</v>
      </c>
      <c r="BO152" s="420">
        <f t="shared" si="202"/>
        <v>8966.1600000000326</v>
      </c>
      <c r="BP152" s="370">
        <v>317265.04000000004</v>
      </c>
      <c r="BQ152" s="420">
        <f t="shared" si="202"/>
        <v>0</v>
      </c>
    </row>
    <row r="153" spans="1:69" x14ac:dyDescent="0.25">
      <c r="A153" s="228"/>
      <c r="B153" s="253" t="s">
        <v>636</v>
      </c>
      <c r="C153" s="93"/>
      <c r="D153" s="97">
        <v>-26338</v>
      </c>
      <c r="E153" s="97">
        <v>-35443</v>
      </c>
      <c r="F153" s="97">
        <v>-32614</v>
      </c>
      <c r="G153" s="97">
        <v>-28182</v>
      </c>
      <c r="H153" s="97">
        <v>-21334</v>
      </c>
      <c r="I153" s="97">
        <v>-29163</v>
      </c>
      <c r="J153" s="97">
        <v>-35997</v>
      </c>
      <c r="K153" s="97">
        <v>-23978</v>
      </c>
      <c r="L153" s="97">
        <v>-18955</v>
      </c>
      <c r="M153" s="97">
        <v>-25491</v>
      </c>
      <c r="N153" s="97">
        <v>-25362</v>
      </c>
      <c r="O153" s="97">
        <v>-24890</v>
      </c>
      <c r="P153" s="97">
        <v>-24016</v>
      </c>
      <c r="Q153" s="97">
        <f>Q138-Q148</f>
        <v>-36448</v>
      </c>
      <c r="R153" s="97">
        <f>R138-R148</f>
        <v>-62651</v>
      </c>
      <c r="S153" s="97">
        <f t="shared" ref="S153:BG153" si="216">S138*S160</f>
        <v>-51797.224699828475</v>
      </c>
      <c r="T153" s="97">
        <f t="shared" si="216"/>
        <v>-48644.973127501435</v>
      </c>
      <c r="U153" s="97">
        <f t="shared" si="216"/>
        <v>-68401.129897356324</v>
      </c>
      <c r="V153" s="97">
        <f t="shared" si="216"/>
        <v>-71879.492299999998</v>
      </c>
      <c r="W153" s="97">
        <f t="shared" si="216"/>
        <v>-59419.929595012538</v>
      </c>
      <c r="X153" s="97">
        <f t="shared" si="216"/>
        <v>-55248.164477136947</v>
      </c>
      <c r="Y153" s="97">
        <f t="shared" si="216"/>
        <v>-77744.603536973897</v>
      </c>
      <c r="Z153" s="97">
        <f t="shared" si="216"/>
        <v>-81820.70237600003</v>
      </c>
      <c r="AA153" s="97">
        <f t="shared" si="216"/>
        <v>-67632.658016571455</v>
      </c>
      <c r="AB153" s="97">
        <f t="shared" si="216"/>
        <v>-62796.897703595787</v>
      </c>
      <c r="AC153" s="97">
        <f t="shared" si="216"/>
        <v>-88436.361623732519</v>
      </c>
      <c r="AD153" s="97">
        <f t="shared" si="216"/>
        <v>-93217.991861120026</v>
      </c>
      <c r="AE153" s="97">
        <f t="shared" si="216"/>
        <v>-77047.38122274894</v>
      </c>
      <c r="AF153" s="97">
        <f t="shared" si="216"/>
        <v>-69765.802590857173</v>
      </c>
      <c r="AG153" s="97">
        <f t="shared" si="216"/>
        <v>-98301.802032847118</v>
      </c>
      <c r="AH153" s="97">
        <f t="shared" si="216"/>
        <v>-103723.89494723202</v>
      </c>
      <c r="AI153" s="97">
        <f t="shared" si="216"/>
        <v>-85726.222528165512</v>
      </c>
      <c r="AJ153" s="97">
        <f t="shared" si="216"/>
        <v>-77534.980234379982</v>
      </c>
      <c r="AK153" s="97">
        <f t="shared" si="216"/>
        <v>-109307.05711988437</v>
      </c>
      <c r="AL153" s="97">
        <f t="shared" si="216"/>
        <v>-115458.00392695524</v>
      </c>
      <c r="AM153" s="97">
        <f t="shared" si="216"/>
        <v>-95419.063441594975</v>
      </c>
      <c r="AN153" s="97">
        <f t="shared" si="216"/>
        <v>-86199.965249920613</v>
      </c>
      <c r="AO153" s="97">
        <f t="shared" si="216"/>
        <v>-121589.09894818821</v>
      </c>
      <c r="AP153" s="97">
        <f t="shared" si="216"/>
        <v>-128569.7817274008</v>
      </c>
      <c r="AQ153" s="97">
        <f t="shared" si="216"/>
        <v>-106249.22124545934</v>
      </c>
      <c r="AR153" s="97">
        <f t="shared" si="216"/>
        <v>-95868.171815830705</v>
      </c>
      <c r="AS153" s="97">
        <f t="shared" si="216"/>
        <v>-135302.04537676973</v>
      </c>
      <c r="AT153" s="97">
        <f t="shared" si="216"/>
        <v>-143227.63391905336</v>
      </c>
      <c r="AU153" s="97">
        <f t="shared" si="216"/>
        <v>-118355.63254866588</v>
      </c>
      <c r="AV153" s="97">
        <f t="shared" si="216"/>
        <v>-106660.43054446949</v>
      </c>
      <c r="AW153" s="97">
        <f t="shared" si="216"/>
        <v>-150619.39192827386</v>
      </c>
      <c r="AX153" s="97">
        <f t="shared" si="216"/>
        <v>-159621.40243270813</v>
      </c>
      <c r="AY153" s="97">
        <f t="shared" si="216"/>
        <v>-131894.90835899216</v>
      </c>
      <c r="AZ153" s="97">
        <f t="shared" si="216"/>
        <v>-118712.73137803054</v>
      </c>
      <c r="BA153" s="97">
        <f t="shared" si="216"/>
        <v>-167736.54443700242</v>
      </c>
      <c r="BB153" s="97">
        <f t="shared" si="216"/>
        <v>-177965.19856599069</v>
      </c>
      <c r="BC153" s="97">
        <f t="shared" si="216"/>
        <v>-147043.66863367002</v>
      </c>
      <c r="BD153" s="97">
        <f t="shared" si="216"/>
        <v>-132178.20096181479</v>
      </c>
      <c r="BE153" s="97">
        <f t="shared" si="216"/>
        <v>-186873.69419398901</v>
      </c>
      <c r="BF153" s="97">
        <f t="shared" si="216"/>
        <v>-198500.62269610332</v>
      </c>
      <c r="BG153" s="97">
        <f t="shared" si="216"/>
        <v>-164001.19535163249</v>
      </c>
      <c r="BH153" s="187"/>
      <c r="BI153" s="229"/>
      <c r="BJ153" s="229"/>
      <c r="BK153" s="229"/>
      <c r="BL153" s="229"/>
      <c r="BM153" s="187"/>
      <c r="BN153" s="370">
        <v>-43399.206224438909</v>
      </c>
      <c r="BO153" s="420">
        <f t="shared" si="202"/>
        <v>-19251.793775561091</v>
      </c>
      <c r="BP153" s="370">
        <v>-44160.796728179557</v>
      </c>
      <c r="BQ153" s="420">
        <f t="shared" si="202"/>
        <v>-7636.4279716489182</v>
      </c>
    </row>
    <row r="154" spans="1:69" x14ac:dyDescent="0.25">
      <c r="A154" s="228" t="s">
        <v>641</v>
      </c>
      <c r="B154" s="244" t="s">
        <v>43</v>
      </c>
      <c r="C154" s="5" t="s">
        <v>298</v>
      </c>
      <c r="D154" s="175">
        <v>615081</v>
      </c>
      <c r="E154" s="175">
        <v>680615</v>
      </c>
      <c r="F154" s="175">
        <v>708103</v>
      </c>
      <c r="G154" s="175">
        <v>703103</v>
      </c>
      <c r="H154" s="175">
        <v>691561</v>
      </c>
      <c r="I154" s="175">
        <v>804033</v>
      </c>
      <c r="J154" s="175">
        <v>805338</v>
      </c>
      <c r="K154" s="175">
        <v>827717</v>
      </c>
      <c r="L154" s="175">
        <v>820272</v>
      </c>
      <c r="M154" s="175">
        <v>922584</v>
      </c>
      <c r="N154" s="175">
        <v>932356</v>
      </c>
      <c r="O154" s="175">
        <v>923700</v>
      </c>
      <c r="P154" s="175">
        <v>897899</v>
      </c>
      <c r="Q154" s="175">
        <v>1026811</v>
      </c>
      <c r="R154" s="175">
        <v>1017660</v>
      </c>
      <c r="S154" s="102">
        <f t="shared" ref="S154:BG154" si="217">SUM(S151:S153)</f>
        <v>1021766.9143899715</v>
      </c>
      <c r="T154" s="102">
        <f t="shared" si="217"/>
        <v>1000056.6393434989</v>
      </c>
      <c r="U154" s="102">
        <f t="shared" si="217"/>
        <v>1148977.998267031</v>
      </c>
      <c r="V154" s="102">
        <f t="shared" si="217"/>
        <v>1177498.3202380273</v>
      </c>
      <c r="W154" s="102">
        <f t="shared" si="217"/>
        <v>1176680.6361366876</v>
      </c>
      <c r="X154" s="102">
        <f t="shared" si="217"/>
        <v>1144621.1730307033</v>
      </c>
      <c r="Y154" s="102">
        <f t="shared" si="217"/>
        <v>1314541.8445886434</v>
      </c>
      <c r="Z154" s="102">
        <f t="shared" si="217"/>
        <v>1350945.2119579429</v>
      </c>
      <c r="AA154" s="102">
        <f t="shared" si="217"/>
        <v>1351005.1762847831</v>
      </c>
      <c r="AB154" s="102">
        <f t="shared" si="217"/>
        <v>1313902.1062428576</v>
      </c>
      <c r="AC154" s="102">
        <f t="shared" si="217"/>
        <v>1508401.1286301576</v>
      </c>
      <c r="AD154" s="102">
        <f t="shared" si="217"/>
        <v>1551834.0191064735</v>
      </c>
      <c r="AE154" s="102">
        <f t="shared" si="217"/>
        <v>1553066.668623525</v>
      </c>
      <c r="AF154" s="102">
        <f t="shared" si="217"/>
        <v>1487701.5058265571</v>
      </c>
      <c r="AG154" s="102">
        <f t="shared" si="217"/>
        <v>1706498.1022620846</v>
      </c>
      <c r="AH154" s="102">
        <f t="shared" si="217"/>
        <v>1756918.9308765728</v>
      </c>
      <c r="AI154" s="102">
        <f t="shared" si="217"/>
        <v>1760237.2370867915</v>
      </c>
      <c r="AJ154" s="102">
        <f t="shared" si="217"/>
        <v>1687593.1496708316</v>
      </c>
      <c r="AK154" s="102">
        <f t="shared" si="217"/>
        <v>1934093.1058727258</v>
      </c>
      <c r="AL154" s="102">
        <f t="shared" si="217"/>
        <v>1992646.1904343339</v>
      </c>
      <c r="AM154" s="102">
        <f t="shared" si="217"/>
        <v>1998649.4675385787</v>
      </c>
      <c r="AN154" s="102">
        <f t="shared" si="217"/>
        <v>1917954.7784483866</v>
      </c>
      <c r="AO154" s="102">
        <f t="shared" si="217"/>
        <v>2196099.8208951121</v>
      </c>
      <c r="AP154" s="102">
        <f t="shared" si="217"/>
        <v>2264122.1334409947</v>
      </c>
      <c r="AQ154" s="102">
        <f t="shared" si="217"/>
        <v>2273548.1154220812</v>
      </c>
      <c r="AR154" s="102">
        <f t="shared" si="217"/>
        <v>2183958.0754565145</v>
      </c>
      <c r="AS154" s="102">
        <f t="shared" si="217"/>
        <v>2498318.4200359755</v>
      </c>
      <c r="AT154" s="102">
        <f t="shared" si="217"/>
        <v>2577373.1003070655</v>
      </c>
      <c r="AU154" s="102">
        <f t="shared" si="217"/>
        <v>2591127.5803737962</v>
      </c>
      <c r="AV154" s="102">
        <f t="shared" si="217"/>
        <v>2491719.4966105968</v>
      </c>
      <c r="AW154" s="102">
        <f t="shared" si="217"/>
        <v>2847603.4142900212</v>
      </c>
      <c r="AX154" s="102">
        <f t="shared" si="217"/>
        <v>2939519.3122273595</v>
      </c>
      <c r="AY154" s="102">
        <f t="shared" si="217"/>
        <v>2958711.9237207668</v>
      </c>
      <c r="AZ154" s="102">
        <f t="shared" si="217"/>
        <v>2848480.4875470526</v>
      </c>
      <c r="BA154" s="102">
        <f t="shared" si="217"/>
        <v>3252064.13754299</v>
      </c>
      <c r="BB154" s="102">
        <f t="shared" si="217"/>
        <v>3358982.5036764867</v>
      </c>
      <c r="BC154" s="102">
        <f t="shared" si="217"/>
        <v>3384969.8947935668</v>
      </c>
      <c r="BD154" s="102">
        <f t="shared" si="217"/>
        <v>3262822.8898563827</v>
      </c>
      <c r="BE154" s="102">
        <f t="shared" si="217"/>
        <v>3721304.305518128</v>
      </c>
      <c r="BF154" s="102">
        <f t="shared" si="217"/>
        <v>3845733.9613101338</v>
      </c>
      <c r="BG154" s="102">
        <f t="shared" si="217"/>
        <v>3880171.8692346388</v>
      </c>
      <c r="BH154" s="187"/>
      <c r="BI154" s="229"/>
      <c r="BJ154" s="229"/>
      <c r="BK154" s="229"/>
      <c r="BL154" s="229"/>
      <c r="BM154" s="187"/>
      <c r="BN154" s="372">
        <v>1031672.7684716017</v>
      </c>
      <c r="BO154" s="422">
        <f t="shared" si="202"/>
        <v>-14012.768471601652</v>
      </c>
      <c r="BP154" s="372">
        <v>1034858.5471668511</v>
      </c>
      <c r="BQ154" s="422">
        <f t="shared" si="202"/>
        <v>-13091.632776879589</v>
      </c>
    </row>
    <row r="155" spans="1:69" x14ac:dyDescent="0.25">
      <c r="A155" s="245"/>
      <c r="B155" s="236" t="s">
        <v>627</v>
      </c>
      <c r="C155" s="216" t="s">
        <v>628</v>
      </c>
      <c r="D155" s="247">
        <v>0.314</v>
      </c>
      <c r="E155" s="247">
        <v>0.16300000000000001</v>
      </c>
      <c r="F155" s="247">
        <v>0.16800000000000001</v>
      </c>
      <c r="G155" s="247">
        <v>7.0000000000000007E-2</v>
      </c>
      <c r="H155" s="247">
        <v>0.124</v>
      </c>
      <c r="I155" s="247">
        <v>0.18099999999999999</v>
      </c>
      <c r="J155" s="247">
        <v>0.13700000000000001</v>
      </c>
      <c r="K155" s="247">
        <v>0.17699999999999999</v>
      </c>
      <c r="L155" s="247">
        <v>0.186</v>
      </c>
      <c r="M155" s="247">
        <v>0.14699999999999999</v>
      </c>
      <c r="N155" s="247">
        <v>0.158</v>
      </c>
      <c r="O155" s="247">
        <v>0.11600000000000001</v>
      </c>
      <c r="P155" s="247">
        <v>9.5000000000000001E-2</v>
      </c>
      <c r="Q155" s="336">
        <f>Q154/M154-1</f>
        <v>0.11297291086773664</v>
      </c>
      <c r="R155" s="336">
        <f>R154/N154-1</f>
        <v>9.1492949045214544E-2</v>
      </c>
      <c r="S155" s="336">
        <f t="shared" ref="S155" si="218">S154/O154-1</f>
        <v>0.10616749419721927</v>
      </c>
      <c r="T155" s="336">
        <f t="shared" ref="T155" si="219">T154/P154-1</f>
        <v>0.11377408744580286</v>
      </c>
      <c r="U155" s="336">
        <f t="shared" ref="U155" si="220">U154/Q154-1</f>
        <v>0.11897710315435961</v>
      </c>
      <c r="V155" s="336">
        <f t="shared" ref="V155" si="221">V154/R154-1</f>
        <v>0.15706456010654568</v>
      </c>
      <c r="W155" s="336">
        <f t="shared" ref="W155" si="222">W154/S154-1</f>
        <v>0.15161356231543732</v>
      </c>
      <c r="X155" s="336">
        <f t="shared" ref="X155" si="223">X154/T154-1</f>
        <v>0.14455634611066226</v>
      </c>
      <c r="Y155" s="336">
        <f t="shared" ref="Y155" si="224">Y154/U154-1</f>
        <v>0.14409662027586889</v>
      </c>
      <c r="Z155" s="336">
        <f t="shared" ref="Z155" si="225">Z154/V154-1</f>
        <v>0.14730117974593293</v>
      </c>
      <c r="AA155" s="336">
        <f t="shared" ref="AA155" si="226">AA154/W154-1</f>
        <v>0.14814940842439883</v>
      </c>
      <c r="AB155" s="336">
        <f t="shared" ref="AB155" si="227">AB154/X154-1</f>
        <v>0.14789254051970402</v>
      </c>
      <c r="AC155" s="336">
        <f t="shared" ref="AC155" si="228">AC154/Y154-1</f>
        <v>0.1474728893869317</v>
      </c>
      <c r="AD155" s="336">
        <f t="shared" ref="AD155" si="229">AD154/Z154-1</f>
        <v>0.14870240878042695</v>
      </c>
      <c r="AE155" s="336">
        <f t="shared" ref="AE155" si="230">AE154/AA154-1</f>
        <v>0.14956381802651864</v>
      </c>
      <c r="AF155" s="336">
        <f t="shared" ref="AF155" si="231">AF154/AB154-1</f>
        <v>0.13227728211859247</v>
      </c>
      <c r="AG155" s="336">
        <f t="shared" ref="AG155" si="232">AG154/AC154-1</f>
        <v>0.13132910727256442</v>
      </c>
      <c r="AH155" s="336">
        <f t="shared" ref="AH155" si="233">AH154/AD154-1</f>
        <v>0.13215647372402928</v>
      </c>
      <c r="AI155" s="336">
        <f t="shared" ref="AI155" si="234">AI154/AE154-1</f>
        <v>0.13339451077581921</v>
      </c>
      <c r="AJ155" s="336">
        <f t="shared" ref="AJ155" si="235">AJ154/AF154-1</f>
        <v>0.1343627354421586</v>
      </c>
      <c r="AK155" s="336">
        <f t="shared" ref="AK155" si="236">AK154/AG154-1</f>
        <v>0.13336962010619757</v>
      </c>
      <c r="AL155" s="336">
        <f t="shared" ref="AL155" si="237">AL154/AH154-1</f>
        <v>0.13417082337438901</v>
      </c>
      <c r="AM155" s="336">
        <f t="shared" ref="AM155" si="238">AM154/AI154-1</f>
        <v>0.13544323766628263</v>
      </c>
      <c r="AN155" s="336">
        <f t="shared" ref="AN155" si="239">AN154/AJ154-1</f>
        <v>0.13650305988886458</v>
      </c>
      <c r="AO155" s="336">
        <f t="shared" ref="AO155" si="240">AO154/AK154-1</f>
        <v>0.13546747787209568</v>
      </c>
      <c r="AP155" s="336">
        <f t="shared" ref="AP155" si="241">AP154/AL154-1</f>
        <v>0.13623890899943847</v>
      </c>
      <c r="AQ155" s="336">
        <f t="shared" ref="AQ155" si="242">AQ154/AM154-1</f>
        <v>0.13754220154575281</v>
      </c>
      <c r="AR155" s="336">
        <f t="shared" ref="AR155" si="243">AR154/AN154-1</f>
        <v>0.13869112035233844</v>
      </c>
      <c r="AS155" s="336">
        <f t="shared" ref="AS155" si="244">AS154/AO154-1</f>
        <v>0.13761605746030314</v>
      </c>
      <c r="AT155" s="336">
        <f t="shared" ref="AT155" si="245">AT154/AP154-1</f>
        <v>0.13835427084050211</v>
      </c>
      <c r="AU155" s="336">
        <f t="shared" ref="AU155" si="246">AU154/AQ154-1</f>
        <v>0.13968451461285958</v>
      </c>
      <c r="AV155" s="336">
        <f t="shared" ref="AV155" si="247">AV154/AR154-1</f>
        <v>0.14091910674143815</v>
      </c>
      <c r="AW155" s="336">
        <f t="shared" ref="AW155" si="248">AW154/AS154-1</f>
        <v>0.13980803705918965</v>
      </c>
      <c r="AX155" s="336">
        <f t="shared" ref="AX155" si="249">AX154/AT154-1</f>
        <v>0.14050981283119168</v>
      </c>
      <c r="AY155" s="336">
        <f t="shared" ref="AY155" si="250">AY154/AU154-1</f>
        <v>0.14186269565852205</v>
      </c>
      <c r="AZ155" s="336">
        <f t="shared" ref="AZ155" si="251">AZ154/AV154-1</f>
        <v>0.1431786328363791</v>
      </c>
      <c r="BA155" s="336">
        <f t="shared" ref="BA155" si="252">BA154/AW154-1</f>
        <v>0.14203548191552184</v>
      </c>
      <c r="BB155" s="336">
        <f t="shared" ref="BB155" si="253">BB154/AX154-1</f>
        <v>0.14269788591090693</v>
      </c>
      <c r="BC155" s="336">
        <f t="shared" ref="BC155" si="254">BC154/AY154-1</f>
        <v>0.1440687644022991</v>
      </c>
      <c r="BD155" s="336">
        <f t="shared" ref="BD155" si="255">BD154/AZ154-1</f>
        <v>0.14546085329379865</v>
      </c>
      <c r="BE155" s="336">
        <f t="shared" ref="BE155" si="256">BE154/BA154-1</f>
        <v>0.1442899488229834</v>
      </c>
      <c r="BF155" s="336">
        <f t="shared" ref="BF155" si="257">BF154/BB154-1</f>
        <v>0.14491038792279687</v>
      </c>
      <c r="BG155" s="336">
        <f t="shared" ref="BG155" si="258">BG154/BC154-1</f>
        <v>0.14629435115589762</v>
      </c>
      <c r="BH155" s="248"/>
      <c r="BI155" s="249"/>
      <c r="BJ155" s="249"/>
      <c r="BK155" s="249"/>
      <c r="BL155" s="249"/>
      <c r="BM155" s="248"/>
      <c r="BN155" s="400">
        <v>0.1065223674986826</v>
      </c>
      <c r="BO155" s="450">
        <f t="shared" si="202"/>
        <v>-1.5029418453468057E-2</v>
      </c>
      <c r="BP155" s="400">
        <v>0.12034052957329333</v>
      </c>
      <c r="BQ155" s="450">
        <f t="shared" si="202"/>
        <v>-1.4173035376074061E-2</v>
      </c>
    </row>
    <row r="156" spans="1:69" x14ac:dyDescent="0.25">
      <c r="A156" s="490"/>
      <c r="B156" s="492"/>
      <c r="C156" s="134"/>
      <c r="D156" s="135"/>
      <c r="E156" s="135"/>
      <c r="F156" s="135"/>
      <c r="G156" s="135"/>
      <c r="H156" s="135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252"/>
      <c r="X156" s="252"/>
      <c r="Y156" s="252"/>
      <c r="Z156" s="252"/>
      <c r="AA156" s="252"/>
      <c r="AB156" s="252"/>
      <c r="AC156" s="252"/>
      <c r="AD156" s="252"/>
      <c r="AE156" s="252"/>
      <c r="AF156" s="252"/>
      <c r="AG156" s="252"/>
      <c r="AH156" s="252"/>
      <c r="AI156" s="252"/>
      <c r="AJ156" s="252"/>
      <c r="AK156" s="252"/>
      <c r="AL156" s="252"/>
      <c r="AM156" s="252"/>
      <c r="AN156" s="252"/>
      <c r="AO156" s="252"/>
      <c r="AP156" s="252"/>
      <c r="AQ156" s="252"/>
      <c r="AR156" s="252"/>
      <c r="AS156" s="25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187"/>
      <c r="BI156" s="229"/>
      <c r="BJ156" s="229"/>
      <c r="BK156" s="229"/>
      <c r="BL156" s="229"/>
      <c r="BM156" s="187"/>
      <c r="BN156" s="384"/>
      <c r="BO156" s="434" t="str">
        <f t="shared" si="202"/>
        <v/>
      </c>
      <c r="BP156" s="384"/>
      <c r="BQ156" s="434" t="str">
        <f t="shared" si="202"/>
        <v/>
      </c>
    </row>
    <row r="157" spans="1:69" x14ac:dyDescent="0.25">
      <c r="A157" s="262"/>
      <c r="B157" s="215" t="s">
        <v>381</v>
      </c>
      <c r="C157" s="216" t="s">
        <v>7</v>
      </c>
      <c r="D157" s="217">
        <v>0.44600000000000001</v>
      </c>
      <c r="E157" s="217">
        <v>0.42</v>
      </c>
      <c r="F157" s="217">
        <v>0.42399999999999999</v>
      </c>
      <c r="G157" s="217">
        <v>0.433</v>
      </c>
      <c r="H157" s="217">
        <v>0.44500000000000001</v>
      </c>
      <c r="I157" s="217">
        <v>0.44400000000000001</v>
      </c>
      <c r="J157" s="217">
        <v>0.435</v>
      </c>
      <c r="K157" s="217">
        <v>0.45700000000000002</v>
      </c>
      <c r="L157" s="217">
        <v>0.47399999999999998</v>
      </c>
      <c r="M157" s="217">
        <v>0.46600000000000003</v>
      </c>
      <c r="N157" s="217">
        <v>0.46600000000000003</v>
      </c>
      <c r="O157" s="217">
        <v>0.46899999999999997</v>
      </c>
      <c r="P157" s="217">
        <v>0.48499999999999999</v>
      </c>
      <c r="Q157" s="332">
        <f>Q154/Q139</f>
        <v>0.47399845356660625</v>
      </c>
      <c r="R157" s="332">
        <f>R154/R139</f>
        <v>0.45414098068318842</v>
      </c>
      <c r="S157" s="332">
        <f t="shared" ref="S157:BG157" si="259">S154/S139</f>
        <v>0.46064283976850168</v>
      </c>
      <c r="T157" s="332">
        <f t="shared" si="259"/>
        <v>0.47701115536539324</v>
      </c>
      <c r="U157" s="332">
        <f t="shared" si="259"/>
        <v>0.46671017730707454</v>
      </c>
      <c r="V157" s="332">
        <f t="shared" si="259"/>
        <v>0.46130415900697991</v>
      </c>
      <c r="W157" s="332">
        <f t="shared" si="259"/>
        <v>0.46562142978458493</v>
      </c>
      <c r="X157" s="332">
        <f t="shared" si="259"/>
        <v>0.48264290880395788</v>
      </c>
      <c r="Y157" s="332">
        <f t="shared" si="259"/>
        <v>0.47210041844659445</v>
      </c>
      <c r="Z157" s="332">
        <f t="shared" si="259"/>
        <v>0.46745276283035281</v>
      </c>
      <c r="AA157" s="332">
        <f t="shared" si="259"/>
        <v>0.47203231166406218</v>
      </c>
      <c r="AB157" s="332">
        <f t="shared" si="259"/>
        <v>0.48917065389938691</v>
      </c>
      <c r="AC157" s="332">
        <f t="shared" si="259"/>
        <v>0.47839222236432577</v>
      </c>
      <c r="AD157" s="332">
        <f t="shared" si="259"/>
        <v>0.473693122125593</v>
      </c>
      <c r="AE157" s="332">
        <f t="shared" si="259"/>
        <v>0.4785366821542329</v>
      </c>
      <c r="AF157" s="332">
        <f t="shared" si="259"/>
        <v>0.49742863466871134</v>
      </c>
      <c r="AG157" s="332">
        <f t="shared" si="259"/>
        <v>0.48640427416986715</v>
      </c>
      <c r="AH157" s="332">
        <f t="shared" si="259"/>
        <v>0.48170214036823206</v>
      </c>
      <c r="AI157" s="332">
        <f t="shared" si="259"/>
        <v>0.48685930235491454</v>
      </c>
      <c r="AJ157" s="332">
        <f t="shared" si="259"/>
        <v>0.50593703990560068</v>
      </c>
      <c r="AK157" s="332">
        <f t="shared" si="259"/>
        <v>0.49467424867845655</v>
      </c>
      <c r="AL157" s="332">
        <f t="shared" si="259"/>
        <v>0.48996718936493322</v>
      </c>
      <c r="AM157" s="332">
        <f t="shared" si="259"/>
        <v>0.49543654869952147</v>
      </c>
      <c r="AN157" s="332">
        <f t="shared" si="259"/>
        <v>0.51468533017889651</v>
      </c>
      <c r="AO157" s="332">
        <f t="shared" si="259"/>
        <v>0.50319444861051243</v>
      </c>
      <c r="AP157" s="332">
        <f t="shared" si="259"/>
        <v>0.4984808570702271</v>
      </c>
      <c r="AQ157" s="332">
        <f t="shared" si="259"/>
        <v>0.50425864642771145</v>
      </c>
      <c r="AR157" s="332">
        <f t="shared" si="259"/>
        <v>0.52365958511743516</v>
      </c>
      <c r="AS157" s="332">
        <f t="shared" si="259"/>
        <v>0.51195397516334618</v>
      </c>
      <c r="AT157" s="332">
        <f t="shared" si="259"/>
        <v>0.50723264857767736</v>
      </c>
      <c r="AU157" s="332">
        <f t="shared" si="259"/>
        <v>0.51331255237715312</v>
      </c>
      <c r="AV157" s="332">
        <f t="shared" si="259"/>
        <v>0.53284240973216934</v>
      </c>
      <c r="AW157" s="332">
        <f t="shared" si="259"/>
        <v>0.52093858388020053</v>
      </c>
      <c r="AX157" s="332">
        <f t="shared" si="259"/>
        <v>0.51620884826551572</v>
      </c>
      <c r="AY157" s="332">
        <f t="shared" si="259"/>
        <v>0.52258185364072196</v>
      </c>
      <c r="AZ157" s="332">
        <f t="shared" si="259"/>
        <v>0.54221292019001932</v>
      </c>
      <c r="BA157" s="332">
        <f t="shared" si="259"/>
        <v>0.53013060807536738</v>
      </c>
      <c r="BB157" s="332">
        <f t="shared" si="259"/>
        <v>0.52539244505258154</v>
      </c>
      <c r="BC157" s="332">
        <f t="shared" si="259"/>
        <v>0.53204673905440047</v>
      </c>
      <c r="BD157" s="332">
        <f t="shared" si="259"/>
        <v>0.55174681937227621</v>
      </c>
      <c r="BE157" s="332">
        <f t="shared" si="259"/>
        <v>0.53950896126436132</v>
      </c>
      <c r="BF157" s="332">
        <f t="shared" si="259"/>
        <v>0.53476313133370512</v>
      </c>
      <c r="BG157" s="332">
        <f t="shared" si="259"/>
        <v>0.54168405339615</v>
      </c>
      <c r="BH157" s="211"/>
      <c r="BI157" s="263">
        <v>0.442</v>
      </c>
      <c r="BJ157" s="263">
        <v>0.435</v>
      </c>
      <c r="BK157" s="263">
        <v>0.43</v>
      </c>
      <c r="BL157" s="263">
        <v>0.44</v>
      </c>
      <c r="BM157" s="211"/>
      <c r="BN157" s="407">
        <v>0.46639248714931281</v>
      </c>
      <c r="BO157" s="457">
        <f t="shared" si="202"/>
        <v>-1.2251506466124384E-2</v>
      </c>
      <c r="BP157" s="407">
        <v>0.46858257473072112</v>
      </c>
      <c r="BQ157" s="457">
        <f t="shared" si="202"/>
        <v>-7.9397349622194469E-3</v>
      </c>
    </row>
    <row r="158" spans="1:69" x14ac:dyDescent="0.25">
      <c r="A158" s="262"/>
      <c r="B158" s="264" t="s">
        <v>642</v>
      </c>
      <c r="C158" s="216" t="s">
        <v>7</v>
      </c>
      <c r="D158" s="217">
        <v>0.41599999999999998</v>
      </c>
      <c r="E158" s="217">
        <v>0.40100000000000002</v>
      </c>
      <c r="F158" s="217">
        <v>0.4</v>
      </c>
      <c r="G158" s="217">
        <v>0.40100000000000002</v>
      </c>
      <c r="H158" s="217">
        <v>0.41099999999999998</v>
      </c>
      <c r="I158" s="217">
        <v>0.41399999999999998</v>
      </c>
      <c r="J158" s="217">
        <v>0.40500000000000003</v>
      </c>
      <c r="K158" s="217">
        <v>0.41499999999999998</v>
      </c>
      <c r="L158" s="217">
        <v>0.43</v>
      </c>
      <c r="M158" s="217">
        <v>0.42699999999999999</v>
      </c>
      <c r="N158" s="217">
        <v>0.42599999999999999</v>
      </c>
      <c r="O158" s="217">
        <v>0.42299999999999999</v>
      </c>
      <c r="P158" s="217">
        <v>0.438</v>
      </c>
      <c r="Q158" s="332">
        <f>Q151/Q136</f>
        <v>0.43703843682248611</v>
      </c>
      <c r="R158" s="332">
        <f>R151/R136</f>
        <v>0.4260520259447661</v>
      </c>
      <c r="S158" s="338">
        <f>O158</f>
        <v>0.42299999999999999</v>
      </c>
      <c r="T158" s="338">
        <f t="shared" ref="T158:U158" si="260">P158</f>
        <v>0.438</v>
      </c>
      <c r="U158" s="338">
        <f t="shared" si="260"/>
        <v>0.43703843682248611</v>
      </c>
      <c r="V158" s="464">
        <f>R158+0.5%</f>
        <v>0.4310520259447661</v>
      </c>
      <c r="W158" s="338">
        <f>S158+0.2%</f>
        <v>0.42499999999999999</v>
      </c>
      <c r="X158" s="338">
        <f t="shared" ref="X158:Y158" si="261">T158+0.2%</f>
        <v>0.44</v>
      </c>
      <c r="Y158" s="338">
        <f t="shared" si="261"/>
        <v>0.43903843682248611</v>
      </c>
      <c r="Z158" s="338">
        <f>V158+0.3%</f>
        <v>0.43405202594476611</v>
      </c>
      <c r="AA158" s="338">
        <f t="shared" ref="AA158:BG158" si="262">W158+0.3%</f>
        <v>0.42799999999999999</v>
      </c>
      <c r="AB158" s="338">
        <f t="shared" si="262"/>
        <v>0.443</v>
      </c>
      <c r="AC158" s="338">
        <f t="shared" si="262"/>
        <v>0.44203843682248611</v>
      </c>
      <c r="AD158" s="338">
        <f t="shared" si="262"/>
        <v>0.43705202594476611</v>
      </c>
      <c r="AE158" s="338">
        <f t="shared" si="262"/>
        <v>0.43099999999999999</v>
      </c>
      <c r="AF158" s="338">
        <f t="shared" si="262"/>
        <v>0.44600000000000001</v>
      </c>
      <c r="AG158" s="338">
        <f t="shared" si="262"/>
        <v>0.44503843682248612</v>
      </c>
      <c r="AH158" s="338">
        <f t="shared" si="262"/>
        <v>0.44005202594476611</v>
      </c>
      <c r="AI158" s="338">
        <f t="shared" si="262"/>
        <v>0.434</v>
      </c>
      <c r="AJ158" s="338">
        <f t="shared" si="262"/>
        <v>0.44900000000000001</v>
      </c>
      <c r="AK158" s="338">
        <f t="shared" si="262"/>
        <v>0.44803843682248612</v>
      </c>
      <c r="AL158" s="338">
        <f t="shared" si="262"/>
        <v>0.44305202594476611</v>
      </c>
      <c r="AM158" s="338">
        <f t="shared" si="262"/>
        <v>0.437</v>
      </c>
      <c r="AN158" s="338">
        <f t="shared" si="262"/>
        <v>0.45200000000000001</v>
      </c>
      <c r="AO158" s="338">
        <f t="shared" si="262"/>
        <v>0.45103843682248612</v>
      </c>
      <c r="AP158" s="338">
        <f t="shared" si="262"/>
        <v>0.44605202594476612</v>
      </c>
      <c r="AQ158" s="338">
        <f t="shared" si="262"/>
        <v>0.44</v>
      </c>
      <c r="AR158" s="338">
        <f t="shared" si="262"/>
        <v>0.45500000000000002</v>
      </c>
      <c r="AS158" s="338">
        <f t="shared" si="262"/>
        <v>0.45403843682248612</v>
      </c>
      <c r="AT158" s="338">
        <f t="shared" si="262"/>
        <v>0.44905202594476612</v>
      </c>
      <c r="AU158" s="338">
        <f t="shared" si="262"/>
        <v>0.443</v>
      </c>
      <c r="AV158" s="338">
        <f t="shared" si="262"/>
        <v>0.45800000000000002</v>
      </c>
      <c r="AW158" s="338">
        <f t="shared" si="262"/>
        <v>0.45703843682248613</v>
      </c>
      <c r="AX158" s="338">
        <f t="shared" si="262"/>
        <v>0.45205202594476612</v>
      </c>
      <c r="AY158" s="338">
        <f t="shared" si="262"/>
        <v>0.44600000000000001</v>
      </c>
      <c r="AZ158" s="338">
        <f t="shared" si="262"/>
        <v>0.46100000000000002</v>
      </c>
      <c r="BA158" s="338">
        <f t="shared" si="262"/>
        <v>0.46003843682248613</v>
      </c>
      <c r="BB158" s="338">
        <f t="shared" si="262"/>
        <v>0.45505202594476613</v>
      </c>
      <c r="BC158" s="338">
        <f t="shared" si="262"/>
        <v>0.44900000000000001</v>
      </c>
      <c r="BD158" s="338">
        <f t="shared" si="262"/>
        <v>0.46400000000000002</v>
      </c>
      <c r="BE158" s="338">
        <f t="shared" si="262"/>
        <v>0.46303843682248613</v>
      </c>
      <c r="BF158" s="338">
        <f t="shared" si="262"/>
        <v>0.45805202594476613</v>
      </c>
      <c r="BG158" s="338">
        <f t="shared" si="262"/>
        <v>0.45200000000000001</v>
      </c>
      <c r="BH158" s="211"/>
      <c r="BI158" s="263">
        <v>0.41299999999999998</v>
      </c>
      <c r="BJ158" s="263">
        <v>0.41199999999999998</v>
      </c>
      <c r="BK158" s="263">
        <v>0.40600000000000003</v>
      </c>
      <c r="BL158" s="263">
        <v>0.41</v>
      </c>
      <c r="BM158" s="211"/>
      <c r="BN158" s="409">
        <v>0.434</v>
      </c>
      <c r="BO158" s="459">
        <f t="shared" si="202"/>
        <v>-7.9479740552338973E-3</v>
      </c>
      <c r="BP158" s="409">
        <v>0.432</v>
      </c>
      <c r="BQ158" s="459">
        <f t="shared" si="202"/>
        <v>-9.000000000000008E-3</v>
      </c>
    </row>
    <row r="159" spans="1:69" x14ac:dyDescent="0.25">
      <c r="A159" s="245"/>
      <c r="B159" s="264" t="s">
        <v>643</v>
      </c>
      <c r="C159" s="265" t="s">
        <v>7</v>
      </c>
      <c r="D159" s="256">
        <v>0.8</v>
      </c>
      <c r="E159" s="256">
        <v>0.8</v>
      </c>
      <c r="F159" s="256">
        <v>0.8</v>
      </c>
      <c r="G159" s="256">
        <v>0.8</v>
      </c>
      <c r="H159" s="256">
        <v>0.8</v>
      </c>
      <c r="I159" s="256">
        <v>0.8</v>
      </c>
      <c r="J159" s="256">
        <v>0.8</v>
      </c>
      <c r="K159" s="256">
        <v>0.8</v>
      </c>
      <c r="L159" s="256">
        <v>0.8</v>
      </c>
      <c r="M159" s="256">
        <v>0.8</v>
      </c>
      <c r="N159" s="256">
        <v>0.8</v>
      </c>
      <c r="O159" s="256">
        <v>0.8</v>
      </c>
      <c r="P159" s="256">
        <v>0.8</v>
      </c>
      <c r="Q159" s="338">
        <v>0.8</v>
      </c>
      <c r="R159" s="338">
        <v>0.8</v>
      </c>
      <c r="S159" s="338">
        <v>0.8</v>
      </c>
      <c r="T159" s="338">
        <v>0.8</v>
      </c>
      <c r="U159" s="338">
        <v>0.8</v>
      </c>
      <c r="V159" s="338">
        <v>0.8</v>
      </c>
      <c r="W159" s="338">
        <v>0.8</v>
      </c>
      <c r="X159" s="338">
        <v>0.8</v>
      </c>
      <c r="Y159" s="338">
        <v>0.8</v>
      </c>
      <c r="Z159" s="338">
        <v>0.8</v>
      </c>
      <c r="AA159" s="338">
        <v>0.8</v>
      </c>
      <c r="AB159" s="338">
        <v>0.8</v>
      </c>
      <c r="AC159" s="338">
        <v>0.8</v>
      </c>
      <c r="AD159" s="338">
        <v>0.8</v>
      </c>
      <c r="AE159" s="338">
        <v>0.8</v>
      </c>
      <c r="AF159" s="338">
        <v>0.8</v>
      </c>
      <c r="AG159" s="338">
        <v>0.8</v>
      </c>
      <c r="AH159" s="338">
        <v>0.8</v>
      </c>
      <c r="AI159" s="338">
        <v>0.8</v>
      </c>
      <c r="AJ159" s="338">
        <v>0.8</v>
      </c>
      <c r="AK159" s="338">
        <v>0.8</v>
      </c>
      <c r="AL159" s="338">
        <v>0.8</v>
      </c>
      <c r="AM159" s="338">
        <v>0.8</v>
      </c>
      <c r="AN159" s="338">
        <v>0.8</v>
      </c>
      <c r="AO159" s="338">
        <v>0.8</v>
      </c>
      <c r="AP159" s="338">
        <v>0.8</v>
      </c>
      <c r="AQ159" s="338">
        <v>0.8</v>
      </c>
      <c r="AR159" s="338">
        <v>0.8</v>
      </c>
      <c r="AS159" s="338">
        <v>0.8</v>
      </c>
      <c r="AT159" s="338">
        <v>0.8</v>
      </c>
      <c r="AU159" s="338">
        <v>0.8</v>
      </c>
      <c r="AV159" s="338">
        <v>0.8</v>
      </c>
      <c r="AW159" s="338">
        <v>0.8</v>
      </c>
      <c r="AX159" s="338">
        <v>0.8</v>
      </c>
      <c r="AY159" s="338">
        <v>0.8</v>
      </c>
      <c r="AZ159" s="338">
        <v>0.8</v>
      </c>
      <c r="BA159" s="338">
        <v>0.8</v>
      </c>
      <c r="BB159" s="338">
        <v>0.8</v>
      </c>
      <c r="BC159" s="338">
        <v>0.8</v>
      </c>
      <c r="BD159" s="338">
        <v>0.8</v>
      </c>
      <c r="BE159" s="338">
        <v>0.8</v>
      </c>
      <c r="BF159" s="338">
        <v>0.8</v>
      </c>
      <c r="BG159" s="338">
        <v>0.8</v>
      </c>
      <c r="BH159" s="248"/>
      <c r="BI159" s="249"/>
      <c r="BJ159" s="249"/>
      <c r="BK159" s="249"/>
      <c r="BL159" s="249"/>
      <c r="BM159" s="248"/>
      <c r="BN159" s="409">
        <v>0.8</v>
      </c>
      <c r="BO159" s="459">
        <f t="shared" si="202"/>
        <v>0</v>
      </c>
      <c r="BP159" s="409">
        <v>0.8</v>
      </c>
      <c r="BQ159" s="459">
        <f t="shared" si="202"/>
        <v>0</v>
      </c>
    </row>
    <row r="160" spans="1:69" x14ac:dyDescent="0.25">
      <c r="A160" s="245"/>
      <c r="B160" s="264" t="s">
        <v>644</v>
      </c>
      <c r="C160" s="265"/>
      <c r="D160" s="217">
        <v>-0.70599999999999996</v>
      </c>
      <c r="E160" s="217">
        <v>-0.73799999999999999</v>
      </c>
      <c r="F160" s="217">
        <v>-0.752</v>
      </c>
      <c r="G160" s="217">
        <v>-0.79</v>
      </c>
      <c r="H160" s="217">
        <v>-0.56999999999999995</v>
      </c>
      <c r="I160" s="217">
        <v>-0.64900000000000002</v>
      </c>
      <c r="J160" s="217">
        <v>-0.85</v>
      </c>
      <c r="K160" s="217">
        <v>-0.73899999999999999</v>
      </c>
      <c r="L160" s="217">
        <v>-0.59599999999999997</v>
      </c>
      <c r="M160" s="217">
        <v>-0.59499999999999997</v>
      </c>
      <c r="N160" s="217">
        <v>-0.69099999999999995</v>
      </c>
      <c r="O160" s="217">
        <v>-0.82</v>
      </c>
      <c r="P160" s="217">
        <v>-0.84199999999999997</v>
      </c>
      <c r="Q160" s="332">
        <f>Q153/Q138</f>
        <v>-0.90892768079800501</v>
      </c>
      <c r="R160" s="332">
        <f>R153/R138</f>
        <v>-1.5411162767815414</v>
      </c>
      <c r="S160" s="338">
        <f t="shared" ref="S160:BG160" si="263">R160</f>
        <v>-1.5411162767815414</v>
      </c>
      <c r="T160" s="338">
        <f t="shared" si="263"/>
        <v>-1.5411162767815414</v>
      </c>
      <c r="U160" s="338">
        <f t="shared" si="263"/>
        <v>-1.5411162767815414</v>
      </c>
      <c r="V160" s="338">
        <f t="shared" si="263"/>
        <v>-1.5411162767815414</v>
      </c>
      <c r="W160" s="338">
        <f t="shared" si="263"/>
        <v>-1.5411162767815414</v>
      </c>
      <c r="X160" s="338">
        <f t="shared" si="263"/>
        <v>-1.5411162767815414</v>
      </c>
      <c r="Y160" s="338">
        <f t="shared" si="263"/>
        <v>-1.5411162767815414</v>
      </c>
      <c r="Z160" s="338">
        <f t="shared" si="263"/>
        <v>-1.5411162767815414</v>
      </c>
      <c r="AA160" s="338">
        <f t="shared" si="263"/>
        <v>-1.5411162767815414</v>
      </c>
      <c r="AB160" s="338">
        <f t="shared" si="263"/>
        <v>-1.5411162767815414</v>
      </c>
      <c r="AC160" s="338">
        <f t="shared" si="263"/>
        <v>-1.5411162767815414</v>
      </c>
      <c r="AD160" s="338">
        <f t="shared" si="263"/>
        <v>-1.5411162767815414</v>
      </c>
      <c r="AE160" s="338">
        <f t="shared" si="263"/>
        <v>-1.5411162767815414</v>
      </c>
      <c r="AF160" s="338">
        <f t="shared" si="263"/>
        <v>-1.5411162767815414</v>
      </c>
      <c r="AG160" s="338">
        <f t="shared" si="263"/>
        <v>-1.5411162767815414</v>
      </c>
      <c r="AH160" s="338">
        <f t="shared" si="263"/>
        <v>-1.5411162767815414</v>
      </c>
      <c r="AI160" s="338">
        <f t="shared" si="263"/>
        <v>-1.5411162767815414</v>
      </c>
      <c r="AJ160" s="338">
        <f t="shared" si="263"/>
        <v>-1.5411162767815414</v>
      </c>
      <c r="AK160" s="338">
        <f t="shared" si="263"/>
        <v>-1.5411162767815414</v>
      </c>
      <c r="AL160" s="338">
        <f t="shared" si="263"/>
        <v>-1.5411162767815414</v>
      </c>
      <c r="AM160" s="338">
        <f t="shared" si="263"/>
        <v>-1.5411162767815414</v>
      </c>
      <c r="AN160" s="338">
        <f t="shared" si="263"/>
        <v>-1.5411162767815414</v>
      </c>
      <c r="AO160" s="338">
        <f t="shared" si="263"/>
        <v>-1.5411162767815414</v>
      </c>
      <c r="AP160" s="338">
        <f t="shared" si="263"/>
        <v>-1.5411162767815414</v>
      </c>
      <c r="AQ160" s="338">
        <f t="shared" si="263"/>
        <v>-1.5411162767815414</v>
      </c>
      <c r="AR160" s="338">
        <f t="shared" si="263"/>
        <v>-1.5411162767815414</v>
      </c>
      <c r="AS160" s="338">
        <f t="shared" si="263"/>
        <v>-1.5411162767815414</v>
      </c>
      <c r="AT160" s="338">
        <f t="shared" si="263"/>
        <v>-1.5411162767815414</v>
      </c>
      <c r="AU160" s="338">
        <f t="shared" si="263"/>
        <v>-1.5411162767815414</v>
      </c>
      <c r="AV160" s="338">
        <f t="shared" si="263"/>
        <v>-1.5411162767815414</v>
      </c>
      <c r="AW160" s="338">
        <f t="shared" si="263"/>
        <v>-1.5411162767815414</v>
      </c>
      <c r="AX160" s="338">
        <f t="shared" si="263"/>
        <v>-1.5411162767815414</v>
      </c>
      <c r="AY160" s="338">
        <f t="shared" si="263"/>
        <v>-1.5411162767815414</v>
      </c>
      <c r="AZ160" s="338">
        <f t="shared" si="263"/>
        <v>-1.5411162767815414</v>
      </c>
      <c r="BA160" s="338">
        <f t="shared" si="263"/>
        <v>-1.5411162767815414</v>
      </c>
      <c r="BB160" s="338">
        <f t="shared" si="263"/>
        <v>-1.5411162767815414</v>
      </c>
      <c r="BC160" s="338">
        <f t="shared" si="263"/>
        <v>-1.5411162767815414</v>
      </c>
      <c r="BD160" s="338">
        <f t="shared" si="263"/>
        <v>-1.5411162767815414</v>
      </c>
      <c r="BE160" s="338">
        <f t="shared" si="263"/>
        <v>-1.5411162767815414</v>
      </c>
      <c r="BF160" s="338">
        <f t="shared" si="263"/>
        <v>-1.5411162767815414</v>
      </c>
      <c r="BG160" s="338">
        <f t="shared" si="263"/>
        <v>-1.5411162767815414</v>
      </c>
      <c r="BH160" s="248"/>
      <c r="BI160" s="249"/>
      <c r="BJ160" s="249"/>
      <c r="BK160" s="249"/>
      <c r="BL160" s="249"/>
      <c r="BM160" s="248"/>
      <c r="BN160" s="409">
        <v>-0.90892768079800501</v>
      </c>
      <c r="BO160" s="459">
        <f t="shared" si="202"/>
        <v>-0.63218859598353638</v>
      </c>
      <c r="BP160" s="409">
        <v>-0.90892768079800501</v>
      </c>
      <c r="BQ160" s="459">
        <f t="shared" si="202"/>
        <v>-0.63218859598353638</v>
      </c>
    </row>
    <row r="161" spans="1:69" x14ac:dyDescent="0.25">
      <c r="A161" s="490"/>
      <c r="B161" s="492"/>
      <c r="C161" s="134"/>
      <c r="D161" s="135"/>
      <c r="E161" s="135"/>
      <c r="F161" s="135"/>
      <c r="G161" s="135"/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87"/>
      <c r="T161" s="187"/>
      <c r="U161" s="187"/>
      <c r="V161" s="187"/>
      <c r="W161" s="187"/>
      <c r="X161" s="187"/>
      <c r="Y161" s="187"/>
      <c r="Z161" s="187"/>
      <c r="AA161" s="187"/>
      <c r="AB161" s="187"/>
      <c r="AC161" s="187"/>
      <c r="AD161" s="187"/>
      <c r="AE161" s="187"/>
      <c r="AF161" s="187"/>
      <c r="AG161" s="187"/>
      <c r="AH161" s="187"/>
      <c r="AI161" s="187"/>
      <c r="AJ161" s="187"/>
      <c r="AK161" s="187"/>
      <c r="AL161" s="187"/>
      <c r="AM161" s="187"/>
      <c r="AN161" s="187"/>
      <c r="AO161" s="187"/>
      <c r="AP161" s="187"/>
      <c r="AQ161" s="187"/>
      <c r="AR161" s="187"/>
      <c r="AS161" s="187"/>
      <c r="AT161" s="187"/>
      <c r="AU161" s="187"/>
      <c r="AV161" s="187"/>
      <c r="AW161" s="187"/>
      <c r="AX161" s="187"/>
      <c r="AY161" s="187"/>
      <c r="AZ161" s="187"/>
      <c r="BA161" s="187"/>
      <c r="BB161" s="187"/>
      <c r="BC161" s="187"/>
      <c r="BD161" s="187"/>
      <c r="BE161" s="187"/>
      <c r="BF161" s="187"/>
      <c r="BG161" s="187"/>
      <c r="BH161" s="187"/>
      <c r="BI161" s="229"/>
      <c r="BJ161" s="229"/>
      <c r="BK161" s="229"/>
      <c r="BL161" s="229"/>
      <c r="BM161" s="187"/>
      <c r="BN161" s="389"/>
      <c r="BO161" s="439" t="str">
        <f t="shared" si="202"/>
        <v/>
      </c>
      <c r="BP161" s="389"/>
      <c r="BQ161" s="439" t="str">
        <f t="shared" si="202"/>
        <v/>
      </c>
    </row>
    <row r="162" spans="1:69" x14ac:dyDescent="0.25">
      <c r="A162" s="228"/>
      <c r="B162" s="92" t="s">
        <v>645</v>
      </c>
      <c r="C162" s="93" t="s">
        <v>7</v>
      </c>
      <c r="D162" s="62">
        <v>9.5000000000000001E-2</v>
      </c>
      <c r="E162" s="62">
        <v>9.8000000000000004E-2</v>
      </c>
      <c r="F162" s="62">
        <v>0.106</v>
      </c>
      <c r="G162" s="62">
        <v>0.11799999999999999</v>
      </c>
      <c r="H162" s="62">
        <v>0.108</v>
      </c>
      <c r="I162" s="62">
        <v>0.112</v>
      </c>
      <c r="J162" s="62">
        <v>0.11799999999999999</v>
      </c>
      <c r="K162" s="62">
        <v>0.128</v>
      </c>
      <c r="L162" s="62">
        <v>0.126</v>
      </c>
      <c r="M162" s="62">
        <v>0.13100000000000001</v>
      </c>
      <c r="N162" s="330">
        <f t="shared" ref="N162:P162" si="264">N163/N154*1000</f>
        <v>0.1383591675282832</v>
      </c>
      <c r="O162" s="330">
        <f t="shared" si="264"/>
        <v>0.13965573238064305</v>
      </c>
      <c r="P162" s="330">
        <f t="shared" si="264"/>
        <v>0.12696305486474538</v>
      </c>
      <c r="Q162" s="330">
        <f>Q163/Q154*1000</f>
        <v>0.14024002469782657</v>
      </c>
      <c r="R162" s="330">
        <f>R163/R154*1000</f>
        <v>0.14444903012794055</v>
      </c>
      <c r="S162" s="330">
        <f t="shared" ref="S162:BG162" si="265">O162*(1+S132)/(1+S130)</f>
        <v>0.15358935903202869</v>
      </c>
      <c r="T162" s="330">
        <f t="shared" si="265"/>
        <v>0.13879991130044753</v>
      </c>
      <c r="U162" s="330">
        <f t="shared" si="265"/>
        <v>0.15314058781539544</v>
      </c>
      <c r="V162" s="330">
        <f t="shared" si="265"/>
        <v>0.15737931461686192</v>
      </c>
      <c r="W162" s="330">
        <f t="shared" si="265"/>
        <v>0.16735762301274193</v>
      </c>
      <c r="X162" s="330">
        <f t="shared" si="265"/>
        <v>0.14665286391052421</v>
      </c>
      <c r="Y162" s="330">
        <f t="shared" si="265"/>
        <v>0.16168308172906157</v>
      </c>
      <c r="Z162" s="330">
        <f t="shared" si="265"/>
        <v>0.16590928561620638</v>
      </c>
      <c r="AA162" s="330">
        <f t="shared" si="265"/>
        <v>0.17644218284313215</v>
      </c>
      <c r="AB162" s="330">
        <f t="shared" si="265"/>
        <v>0.15482869713625128</v>
      </c>
      <c r="AC162" s="330">
        <f t="shared" si="265"/>
        <v>0.17056315104155703</v>
      </c>
      <c r="AD162" s="330">
        <f t="shared" si="265"/>
        <v>0.17474928187737898</v>
      </c>
      <c r="AE162" s="330">
        <f t="shared" si="265"/>
        <v>0.1858584204557524</v>
      </c>
      <c r="AF162" s="330">
        <f t="shared" si="265"/>
        <v>0.16026729025917358</v>
      </c>
      <c r="AG162" s="330">
        <f t="shared" si="265"/>
        <v>0.17646250447349204</v>
      </c>
      <c r="AH162" s="330">
        <f t="shared" si="265"/>
        <v>0.18060682850060394</v>
      </c>
      <c r="AI162" s="330">
        <f t="shared" si="265"/>
        <v>0.19209863417285891</v>
      </c>
      <c r="AJ162" s="330">
        <f t="shared" si="265"/>
        <v>0.1658393735991503</v>
      </c>
      <c r="AK162" s="330">
        <f t="shared" si="265"/>
        <v>0.18250028894512021</v>
      </c>
      <c r="AL162" s="330">
        <f t="shared" si="265"/>
        <v>0.18658931844778101</v>
      </c>
      <c r="AM162" s="330">
        <f t="shared" si="265"/>
        <v>0.19847264389803862</v>
      </c>
      <c r="AN162" s="330">
        <f t="shared" si="265"/>
        <v>0.17154421575848031</v>
      </c>
      <c r="AO162" s="330">
        <f t="shared" si="265"/>
        <v>0.18867526063428769</v>
      </c>
      <c r="AP162" s="330">
        <f t="shared" si="265"/>
        <v>0.19269469441824977</v>
      </c>
      <c r="AQ162" s="330">
        <f t="shared" si="265"/>
        <v>0.20497830115049409</v>
      </c>
      <c r="AR162" s="330">
        <f t="shared" si="265"/>
        <v>0.17738078165770035</v>
      </c>
      <c r="AS162" s="330">
        <f t="shared" si="265"/>
        <v>0.19498584150020407</v>
      </c>
      <c r="AT162" s="330">
        <f t="shared" si="265"/>
        <v>0.19892056610871547</v>
      </c>
      <c r="AU162" s="330">
        <f t="shared" si="265"/>
        <v>0.2116131024822793</v>
      </c>
      <c r="AV162" s="330">
        <f t="shared" si="265"/>
        <v>0.18334772174533273</v>
      </c>
      <c r="AW162" s="330">
        <f t="shared" si="265"/>
        <v>0.20143010977702844</v>
      </c>
      <c r="AX162" s="330">
        <f t="shared" si="265"/>
        <v>0.20526420533512765</v>
      </c>
      <c r="AY162" s="330">
        <f t="shared" si="265"/>
        <v>0.21837418402431857</v>
      </c>
      <c r="AZ162" s="330">
        <f t="shared" si="265"/>
        <v>0.18944336231465453</v>
      </c>
      <c r="BA162" s="330">
        <f t="shared" si="265"/>
        <v>0.20800579185273815</v>
      </c>
      <c r="BB162" s="330">
        <f t="shared" si="265"/>
        <v>0.21172254281828584</v>
      </c>
      <c r="BC162" s="330">
        <f t="shared" si="265"/>
        <v>0.22525831779166663</v>
      </c>
      <c r="BD162" s="330">
        <f t="shared" si="265"/>
        <v>0.19566569707325343</v>
      </c>
      <c r="BE162" s="330">
        <f t="shared" si="265"/>
        <v>0.21471025568129645</v>
      </c>
      <c r="BF162" s="330">
        <f t="shared" si="265"/>
        <v>0.21829216675014607</v>
      </c>
      <c r="BG162" s="330">
        <f t="shared" si="265"/>
        <v>0.23226190987459144</v>
      </c>
      <c r="BH162" s="187"/>
      <c r="BI162" s="229"/>
      <c r="BJ162" s="229"/>
      <c r="BK162" s="229"/>
      <c r="BL162" s="229"/>
      <c r="BM162" s="187"/>
      <c r="BN162" s="373">
        <v>0.15551041536913918</v>
      </c>
      <c r="BO162" s="423">
        <f t="shared" si="202"/>
        <v>-1.1061385241198624E-2</v>
      </c>
      <c r="BP162" s="373">
        <v>0.15573390508199572</v>
      </c>
      <c r="BQ162" s="423">
        <f t="shared" si="202"/>
        <v>-2.1445460499670277E-3</v>
      </c>
    </row>
    <row r="163" spans="1:69" x14ac:dyDescent="0.25">
      <c r="A163" s="228"/>
      <c r="B163" s="266" t="s">
        <v>646</v>
      </c>
      <c r="C163" s="93" t="s">
        <v>457</v>
      </c>
      <c r="D163" s="48">
        <v>58</v>
      </c>
      <c r="E163" s="48">
        <v>67</v>
      </c>
      <c r="F163" s="48">
        <v>75</v>
      </c>
      <c r="G163" s="48">
        <v>83</v>
      </c>
      <c r="H163" s="48">
        <v>75</v>
      </c>
      <c r="I163" s="48">
        <v>90</v>
      </c>
      <c r="J163" s="48">
        <v>95</v>
      </c>
      <c r="K163" s="48">
        <v>106</v>
      </c>
      <c r="L163" s="48">
        <v>103</v>
      </c>
      <c r="M163" s="48">
        <v>121</v>
      </c>
      <c r="N163" s="48">
        <v>129</v>
      </c>
      <c r="O163" s="48">
        <v>129</v>
      </c>
      <c r="P163" s="48">
        <v>114</v>
      </c>
      <c r="Q163" s="48">
        <v>144</v>
      </c>
      <c r="R163" s="48">
        <v>147</v>
      </c>
      <c r="S163" s="187"/>
      <c r="T163" s="187"/>
      <c r="U163" s="187"/>
      <c r="V163" s="187"/>
      <c r="W163" s="187"/>
      <c r="X163" s="187"/>
      <c r="Y163" s="187"/>
      <c r="Z163" s="187"/>
      <c r="AA163" s="187"/>
      <c r="AB163" s="187"/>
      <c r="AC163" s="187"/>
      <c r="AD163" s="187"/>
      <c r="AE163" s="187"/>
      <c r="AF163" s="187"/>
      <c r="AG163" s="187"/>
      <c r="AH163" s="187"/>
      <c r="AI163" s="187"/>
      <c r="AJ163" s="187"/>
      <c r="AK163" s="187"/>
      <c r="AL163" s="187"/>
      <c r="AM163" s="187"/>
      <c r="AN163" s="187"/>
      <c r="AO163" s="187"/>
      <c r="AP163" s="187"/>
      <c r="AQ163" s="187"/>
      <c r="AR163" s="187"/>
      <c r="AS163" s="187"/>
      <c r="AT163" s="187"/>
      <c r="AU163" s="187"/>
      <c r="AV163" s="187"/>
      <c r="AW163" s="187"/>
      <c r="AX163" s="187"/>
      <c r="AY163" s="187"/>
      <c r="AZ163" s="187"/>
      <c r="BA163" s="187"/>
      <c r="BB163" s="187"/>
      <c r="BC163" s="187"/>
      <c r="BD163" s="187"/>
      <c r="BE163" s="187"/>
      <c r="BF163" s="187"/>
      <c r="BG163" s="187"/>
      <c r="BH163" s="187"/>
      <c r="BI163" s="229"/>
      <c r="BJ163" s="229"/>
      <c r="BK163" s="229"/>
      <c r="BL163" s="229"/>
      <c r="BM163" s="187"/>
      <c r="BN163" s="389"/>
      <c r="BO163" s="439" t="str">
        <f t="shared" si="202"/>
        <v/>
      </c>
      <c r="BP163" s="389"/>
      <c r="BQ163" s="439" t="str">
        <f t="shared" si="202"/>
        <v/>
      </c>
    </row>
    <row r="164" spans="1:69" x14ac:dyDescent="0.25">
      <c r="A164" s="490"/>
      <c r="B164" s="492"/>
      <c r="C164" s="188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  <c r="AA164" s="187"/>
      <c r="AB164" s="187"/>
      <c r="AC164" s="187"/>
      <c r="AD164" s="187"/>
      <c r="AE164" s="187"/>
      <c r="AF164" s="187"/>
      <c r="AG164" s="187"/>
      <c r="AH164" s="187"/>
      <c r="AI164" s="187"/>
      <c r="AJ164" s="187"/>
      <c r="AK164" s="187"/>
      <c r="AL164" s="187"/>
      <c r="AM164" s="187"/>
      <c r="AN164" s="187"/>
      <c r="AO164" s="187"/>
      <c r="AP164" s="187"/>
      <c r="AQ164" s="187"/>
      <c r="AR164" s="187"/>
      <c r="AS164" s="187"/>
      <c r="AT164" s="187"/>
      <c r="AU164" s="187"/>
      <c r="AV164" s="187"/>
      <c r="AW164" s="187"/>
      <c r="AX164" s="187"/>
      <c r="AY164" s="187"/>
      <c r="AZ164" s="187"/>
      <c r="BA164" s="187"/>
      <c r="BB164" s="187"/>
      <c r="BC164" s="187"/>
      <c r="BD164" s="187"/>
      <c r="BE164" s="187"/>
      <c r="BF164" s="187"/>
      <c r="BG164" s="187"/>
      <c r="BH164" s="187"/>
      <c r="BI164" s="229"/>
      <c r="BJ164" s="229"/>
      <c r="BK164" s="229"/>
      <c r="BL164" s="229"/>
      <c r="BM164" s="187"/>
      <c r="BN164" s="389"/>
      <c r="BO164" s="439" t="str">
        <f t="shared" si="202"/>
        <v/>
      </c>
      <c r="BP164" s="389"/>
      <c r="BQ164" s="439" t="str">
        <f t="shared" si="202"/>
        <v/>
      </c>
    </row>
    <row r="165" spans="1:69" x14ac:dyDescent="0.25">
      <c r="A165" s="228"/>
      <c r="B165" s="240" t="s">
        <v>294</v>
      </c>
      <c r="C165" s="241"/>
      <c r="D165" s="242"/>
      <c r="E165" s="242"/>
      <c r="F165" s="242"/>
      <c r="G165" s="242"/>
      <c r="H165" s="242"/>
      <c r="I165" s="242"/>
      <c r="J165" s="242"/>
      <c r="K165" s="242"/>
      <c r="L165" s="242"/>
      <c r="M165" s="243"/>
      <c r="N165" s="243"/>
      <c r="O165" s="242"/>
      <c r="P165" s="242"/>
      <c r="Q165" s="242"/>
      <c r="R165" s="242"/>
      <c r="S165" s="243"/>
      <c r="T165" s="243"/>
      <c r="U165" s="243"/>
      <c r="V165" s="243"/>
      <c r="W165" s="243"/>
      <c r="X165" s="243"/>
      <c r="Y165" s="243"/>
      <c r="Z165" s="243"/>
      <c r="AA165" s="243"/>
      <c r="AB165" s="243"/>
      <c r="AC165" s="243"/>
      <c r="AD165" s="243"/>
      <c r="AE165" s="243"/>
      <c r="AF165" s="243"/>
      <c r="AG165" s="243"/>
      <c r="AH165" s="243"/>
      <c r="AI165" s="243"/>
      <c r="AJ165" s="243"/>
      <c r="AK165" s="243"/>
      <c r="AL165" s="243"/>
      <c r="AM165" s="243"/>
      <c r="AN165" s="243"/>
      <c r="AO165" s="243"/>
      <c r="AP165" s="243"/>
      <c r="AQ165" s="243"/>
      <c r="AR165" s="243"/>
      <c r="AS165" s="243"/>
      <c r="AT165" s="243"/>
      <c r="AU165" s="243"/>
      <c r="AV165" s="243"/>
      <c r="AW165" s="243"/>
      <c r="AX165" s="243"/>
      <c r="AY165" s="243"/>
      <c r="AZ165" s="243"/>
      <c r="BA165" s="243"/>
      <c r="BB165" s="243"/>
      <c r="BC165" s="243"/>
      <c r="BD165" s="243"/>
      <c r="BE165" s="243"/>
      <c r="BF165" s="243"/>
      <c r="BG165" s="243"/>
      <c r="BH165" s="187"/>
      <c r="BI165" s="229"/>
      <c r="BJ165" s="229"/>
      <c r="BK165" s="229"/>
      <c r="BL165" s="229"/>
      <c r="BM165" s="187"/>
      <c r="BN165" s="399"/>
      <c r="BO165" s="449" t="str">
        <f t="shared" si="202"/>
        <v/>
      </c>
      <c r="BP165" s="399"/>
      <c r="BQ165" s="449" t="str">
        <f t="shared" si="202"/>
        <v/>
      </c>
    </row>
    <row r="166" spans="1:69" x14ac:dyDescent="0.25">
      <c r="A166" s="490"/>
      <c r="B166" s="492"/>
      <c r="C166" s="188"/>
      <c r="D166" s="46"/>
      <c r="E166" s="46"/>
      <c r="F166" s="46"/>
      <c r="G166" s="46"/>
      <c r="H166" s="46"/>
      <c r="I166" s="46"/>
      <c r="J166" s="46"/>
      <c r="K166" s="46"/>
      <c r="L166" s="46"/>
      <c r="M166" s="187"/>
      <c r="N166" s="187"/>
      <c r="O166" s="46"/>
      <c r="P166" s="46"/>
      <c r="Q166" s="46"/>
      <c r="R166" s="46"/>
      <c r="S166" s="187"/>
      <c r="T166" s="187"/>
      <c r="U166" s="187"/>
      <c r="V166" s="187"/>
      <c r="W166" s="187"/>
      <c r="X166" s="187"/>
      <c r="Y166" s="187"/>
      <c r="Z166" s="187"/>
      <c r="AA166" s="187"/>
      <c r="AB166" s="187"/>
      <c r="AC166" s="187"/>
      <c r="AD166" s="187"/>
      <c r="AE166" s="187"/>
      <c r="AF166" s="187"/>
      <c r="AG166" s="187"/>
      <c r="AH166" s="187"/>
      <c r="AI166" s="187"/>
      <c r="AJ166" s="187"/>
      <c r="AK166" s="187"/>
      <c r="AL166" s="187"/>
      <c r="AM166" s="187"/>
      <c r="AN166" s="187"/>
      <c r="AO166" s="187"/>
      <c r="AP166" s="187"/>
      <c r="AQ166" s="187"/>
      <c r="AR166" s="187"/>
      <c r="AS166" s="187"/>
      <c r="AT166" s="187"/>
      <c r="AU166" s="187"/>
      <c r="AV166" s="187"/>
      <c r="AW166" s="187"/>
      <c r="AX166" s="187"/>
      <c r="AY166" s="187"/>
      <c r="AZ166" s="187"/>
      <c r="BA166" s="187"/>
      <c r="BB166" s="187"/>
      <c r="BC166" s="187"/>
      <c r="BD166" s="187"/>
      <c r="BE166" s="187"/>
      <c r="BF166" s="187"/>
      <c r="BG166" s="187"/>
      <c r="BH166" s="187"/>
      <c r="BI166" s="229"/>
      <c r="BJ166" s="229"/>
      <c r="BK166" s="229"/>
      <c r="BL166" s="229"/>
      <c r="BM166" s="187"/>
      <c r="BN166" s="389"/>
      <c r="BO166" s="439" t="str">
        <f t="shared" si="202"/>
        <v/>
      </c>
      <c r="BP166" s="389"/>
      <c r="BQ166" s="439" t="str">
        <f t="shared" si="202"/>
        <v/>
      </c>
    </row>
    <row r="167" spans="1:69" x14ac:dyDescent="0.25">
      <c r="A167" s="228"/>
      <c r="B167" s="95" t="s">
        <v>647</v>
      </c>
      <c r="C167" s="93"/>
      <c r="D167" s="46"/>
      <c r="E167" s="46"/>
      <c r="F167" s="46"/>
      <c r="G167" s="46"/>
      <c r="H167" s="46"/>
      <c r="I167" s="46"/>
      <c r="J167" s="46"/>
      <c r="K167" s="46"/>
      <c r="L167" s="46"/>
      <c r="M167" s="187"/>
      <c r="N167" s="187"/>
      <c r="O167" s="46"/>
      <c r="P167" s="46"/>
      <c r="Q167" s="46"/>
      <c r="R167" s="46"/>
      <c r="S167" s="187"/>
      <c r="T167" s="187"/>
      <c r="U167" s="187"/>
      <c r="V167" s="187"/>
      <c r="W167" s="187"/>
      <c r="X167" s="187"/>
      <c r="Y167" s="187"/>
      <c r="Z167" s="187"/>
      <c r="AA167" s="187"/>
      <c r="AB167" s="187"/>
      <c r="AC167" s="187"/>
      <c r="AD167" s="187"/>
      <c r="AE167" s="187"/>
      <c r="AF167" s="187"/>
      <c r="AG167" s="187"/>
      <c r="AH167" s="187"/>
      <c r="AI167" s="187"/>
      <c r="AJ167" s="187"/>
      <c r="AK167" s="187"/>
      <c r="AL167" s="187"/>
      <c r="AM167" s="187"/>
      <c r="AN167" s="187"/>
      <c r="AO167" s="187"/>
      <c r="AP167" s="187"/>
      <c r="AQ167" s="187"/>
      <c r="AR167" s="187"/>
      <c r="AS167" s="187"/>
      <c r="AT167" s="187"/>
      <c r="AU167" s="187"/>
      <c r="AV167" s="187"/>
      <c r="AW167" s="187"/>
      <c r="AX167" s="187"/>
      <c r="AY167" s="187"/>
      <c r="AZ167" s="187"/>
      <c r="BA167" s="187"/>
      <c r="BB167" s="187"/>
      <c r="BC167" s="187"/>
      <c r="BD167" s="187"/>
      <c r="BE167" s="187"/>
      <c r="BF167" s="187"/>
      <c r="BG167" s="187"/>
      <c r="BH167" s="187"/>
      <c r="BI167" s="229"/>
      <c r="BJ167" s="229"/>
      <c r="BK167" s="229"/>
      <c r="BL167" s="229"/>
      <c r="BM167" s="187"/>
      <c r="BN167" s="389"/>
      <c r="BO167" s="439" t="str">
        <f t="shared" si="202"/>
        <v/>
      </c>
      <c r="BP167" s="389"/>
      <c r="BQ167" s="439" t="str">
        <f t="shared" si="202"/>
        <v/>
      </c>
    </row>
    <row r="168" spans="1:69" x14ac:dyDescent="0.25">
      <c r="A168" s="228" t="s">
        <v>648</v>
      </c>
      <c r="B168" s="92" t="s">
        <v>649</v>
      </c>
      <c r="C168" s="93" t="s">
        <v>650</v>
      </c>
      <c r="D168" s="48">
        <v>46</v>
      </c>
      <c r="E168" s="48">
        <v>47</v>
      </c>
      <c r="F168" s="48">
        <v>49</v>
      </c>
      <c r="G168" s="48">
        <v>51</v>
      </c>
      <c r="H168" s="48">
        <v>53</v>
      </c>
      <c r="I168" s="48">
        <v>54</v>
      </c>
      <c r="J168" s="48">
        <v>55</v>
      </c>
      <c r="K168" s="48">
        <v>56</v>
      </c>
      <c r="L168" s="48">
        <v>57</v>
      </c>
      <c r="M168" s="48">
        <v>57</v>
      </c>
      <c r="N168" s="48">
        <v>57</v>
      </c>
      <c r="O168" s="48">
        <v>57</v>
      </c>
      <c r="P168" s="48">
        <v>57</v>
      </c>
      <c r="Q168" s="48">
        <v>57</v>
      </c>
      <c r="R168" s="48">
        <v>58</v>
      </c>
      <c r="S168" s="339">
        <f t="shared" ref="S168:BG168" si="266">O168*(1+S169)</f>
        <v>58.14</v>
      </c>
      <c r="T168" s="339">
        <f t="shared" si="266"/>
        <v>58.14</v>
      </c>
      <c r="U168" s="339">
        <f t="shared" si="266"/>
        <v>58.14</v>
      </c>
      <c r="V168" s="339">
        <f t="shared" si="266"/>
        <v>59.160000000000004</v>
      </c>
      <c r="W168" s="339">
        <f t="shared" si="266"/>
        <v>59.302800000000005</v>
      </c>
      <c r="X168" s="339">
        <f t="shared" si="266"/>
        <v>59.302800000000005</v>
      </c>
      <c r="Y168" s="339">
        <f t="shared" si="266"/>
        <v>59.302800000000005</v>
      </c>
      <c r="Z168" s="339">
        <f t="shared" si="266"/>
        <v>60.343200000000003</v>
      </c>
      <c r="AA168" s="339">
        <f t="shared" si="266"/>
        <v>60.488856000000006</v>
      </c>
      <c r="AB168" s="339">
        <f t="shared" si="266"/>
        <v>60.488856000000006</v>
      </c>
      <c r="AC168" s="339">
        <f t="shared" si="266"/>
        <v>60.488856000000006</v>
      </c>
      <c r="AD168" s="339">
        <f t="shared" si="266"/>
        <v>61.550064000000006</v>
      </c>
      <c r="AE168" s="339">
        <f t="shared" si="266"/>
        <v>61.698633120000004</v>
      </c>
      <c r="AF168" s="339">
        <f t="shared" si="266"/>
        <v>61.698633120000004</v>
      </c>
      <c r="AG168" s="339">
        <f t="shared" si="266"/>
        <v>61.698633120000004</v>
      </c>
      <c r="AH168" s="339">
        <f t="shared" si="266"/>
        <v>62.781065280000007</v>
      </c>
      <c r="AI168" s="339">
        <f t="shared" si="266"/>
        <v>62.932605782400003</v>
      </c>
      <c r="AJ168" s="339">
        <f t="shared" si="266"/>
        <v>62.932605782400003</v>
      </c>
      <c r="AK168" s="339">
        <f t="shared" si="266"/>
        <v>62.932605782400003</v>
      </c>
      <c r="AL168" s="339">
        <f t="shared" si="266"/>
        <v>64.036686585600009</v>
      </c>
      <c r="AM168" s="339">
        <f t="shared" si="266"/>
        <v>64.191257898048008</v>
      </c>
      <c r="AN168" s="339">
        <f t="shared" si="266"/>
        <v>64.191257898048008</v>
      </c>
      <c r="AO168" s="339">
        <f t="shared" si="266"/>
        <v>64.191257898048008</v>
      </c>
      <c r="AP168" s="339">
        <f t="shared" si="266"/>
        <v>65.317420317312013</v>
      </c>
      <c r="AQ168" s="339">
        <f t="shared" si="266"/>
        <v>65.47508305600897</v>
      </c>
      <c r="AR168" s="339">
        <f t="shared" si="266"/>
        <v>65.47508305600897</v>
      </c>
      <c r="AS168" s="339">
        <f t="shared" si="266"/>
        <v>65.47508305600897</v>
      </c>
      <c r="AT168" s="339">
        <f t="shared" si="266"/>
        <v>66.623768723658259</v>
      </c>
      <c r="AU168" s="339">
        <f t="shared" si="266"/>
        <v>66.78458471712915</v>
      </c>
      <c r="AV168" s="339">
        <f t="shared" si="266"/>
        <v>66.78458471712915</v>
      </c>
      <c r="AW168" s="339">
        <f t="shared" si="266"/>
        <v>66.78458471712915</v>
      </c>
      <c r="AX168" s="339">
        <f t="shared" si="266"/>
        <v>67.956244098131421</v>
      </c>
      <c r="AY168" s="339">
        <f t="shared" si="266"/>
        <v>68.120276411471735</v>
      </c>
      <c r="AZ168" s="339">
        <f t="shared" si="266"/>
        <v>68.120276411471735</v>
      </c>
      <c r="BA168" s="339">
        <f t="shared" si="266"/>
        <v>68.120276411471735</v>
      </c>
      <c r="BB168" s="339">
        <f t="shared" si="266"/>
        <v>69.31536898009405</v>
      </c>
      <c r="BC168" s="339">
        <f t="shared" si="266"/>
        <v>69.482681939701166</v>
      </c>
      <c r="BD168" s="339">
        <f t="shared" si="266"/>
        <v>69.482681939701166</v>
      </c>
      <c r="BE168" s="339">
        <f t="shared" si="266"/>
        <v>69.482681939701166</v>
      </c>
      <c r="BF168" s="339">
        <f t="shared" si="266"/>
        <v>70.701676359695938</v>
      </c>
      <c r="BG168" s="339">
        <f t="shared" si="266"/>
        <v>70.872335578495196</v>
      </c>
      <c r="BH168" s="187"/>
      <c r="BI168" s="229"/>
      <c r="BJ168" s="229"/>
      <c r="BK168" s="229"/>
      <c r="BL168" s="229"/>
      <c r="BM168" s="187"/>
      <c r="BN168" s="412">
        <v>57.57</v>
      </c>
      <c r="BO168" s="462">
        <f t="shared" si="202"/>
        <v>0.42999999999999972</v>
      </c>
      <c r="BP168" s="412">
        <v>57.57</v>
      </c>
      <c r="BQ168" s="462">
        <f t="shared" si="202"/>
        <v>0.57000000000000028</v>
      </c>
    </row>
    <row r="169" spans="1:69" x14ac:dyDescent="0.25">
      <c r="A169" s="245"/>
      <c r="B169" s="236" t="s">
        <v>299</v>
      </c>
      <c r="C169" s="216" t="s">
        <v>628</v>
      </c>
      <c r="D169" s="213"/>
      <c r="E169" s="213"/>
      <c r="F169" s="213"/>
      <c r="G169" s="247">
        <v>0.159</v>
      </c>
      <c r="H169" s="247">
        <v>0.152</v>
      </c>
      <c r="I169" s="247">
        <v>0.14899999999999999</v>
      </c>
      <c r="J169" s="247">
        <v>0.122</v>
      </c>
      <c r="K169" s="247">
        <v>9.8000000000000004E-2</v>
      </c>
      <c r="L169" s="247">
        <v>7.4999999999999997E-2</v>
      </c>
      <c r="M169" s="247">
        <v>5.6000000000000001E-2</v>
      </c>
      <c r="N169" s="247">
        <v>3.5999999999999997E-2</v>
      </c>
      <c r="O169" s="247">
        <v>1.7999999999999999E-2</v>
      </c>
      <c r="P169" s="247">
        <v>0</v>
      </c>
      <c r="Q169" s="336">
        <f>Q168/M168-1</f>
        <v>0</v>
      </c>
      <c r="R169" s="336">
        <f>R168/N168-1</f>
        <v>1.7543859649122862E-2</v>
      </c>
      <c r="S169" s="256">
        <v>0.02</v>
      </c>
      <c r="T169" s="256">
        <v>0.02</v>
      </c>
      <c r="U169" s="256">
        <v>0.02</v>
      </c>
      <c r="V169" s="256">
        <v>0.02</v>
      </c>
      <c r="W169" s="256">
        <v>0.02</v>
      </c>
      <c r="X169" s="256">
        <v>0.02</v>
      </c>
      <c r="Y169" s="256">
        <v>0.02</v>
      </c>
      <c r="Z169" s="256">
        <v>0.02</v>
      </c>
      <c r="AA169" s="256">
        <v>0.02</v>
      </c>
      <c r="AB169" s="256">
        <v>0.02</v>
      </c>
      <c r="AC169" s="256">
        <v>0.02</v>
      </c>
      <c r="AD169" s="256">
        <v>0.02</v>
      </c>
      <c r="AE169" s="256">
        <v>0.02</v>
      </c>
      <c r="AF169" s="256">
        <v>0.02</v>
      </c>
      <c r="AG169" s="256">
        <v>0.02</v>
      </c>
      <c r="AH169" s="256">
        <v>0.02</v>
      </c>
      <c r="AI169" s="256">
        <v>0.02</v>
      </c>
      <c r="AJ169" s="256">
        <v>0.02</v>
      </c>
      <c r="AK169" s="256">
        <v>0.02</v>
      </c>
      <c r="AL169" s="256">
        <v>0.02</v>
      </c>
      <c r="AM169" s="256">
        <v>0.02</v>
      </c>
      <c r="AN169" s="256">
        <v>0.02</v>
      </c>
      <c r="AO169" s="256">
        <v>0.02</v>
      </c>
      <c r="AP169" s="256">
        <v>0.02</v>
      </c>
      <c r="AQ169" s="256">
        <v>0.02</v>
      </c>
      <c r="AR169" s="256">
        <v>0.02</v>
      </c>
      <c r="AS169" s="256">
        <v>0.02</v>
      </c>
      <c r="AT169" s="256">
        <v>0.02</v>
      </c>
      <c r="AU169" s="256">
        <v>0.02</v>
      </c>
      <c r="AV169" s="256">
        <v>0.02</v>
      </c>
      <c r="AW169" s="256">
        <v>0.02</v>
      </c>
      <c r="AX169" s="256">
        <v>0.02</v>
      </c>
      <c r="AY169" s="256">
        <v>0.02</v>
      </c>
      <c r="AZ169" s="256">
        <v>0.02</v>
      </c>
      <c r="BA169" s="256">
        <v>0.02</v>
      </c>
      <c r="BB169" s="256">
        <v>0.02</v>
      </c>
      <c r="BC169" s="256">
        <v>0.02</v>
      </c>
      <c r="BD169" s="256">
        <v>0.02</v>
      </c>
      <c r="BE169" s="256">
        <v>0.02</v>
      </c>
      <c r="BF169" s="256">
        <v>0.02</v>
      </c>
      <c r="BG169" s="256">
        <v>0.02</v>
      </c>
      <c r="BH169" s="248"/>
      <c r="BI169" s="249"/>
      <c r="BJ169" s="249"/>
      <c r="BK169" s="249"/>
      <c r="BL169" s="249"/>
      <c r="BM169" s="248"/>
      <c r="BN169" s="408">
        <v>0.01</v>
      </c>
      <c r="BO169" s="458">
        <f t="shared" si="202"/>
        <v>7.5438596491228613E-3</v>
      </c>
      <c r="BP169" s="408">
        <v>0.01</v>
      </c>
      <c r="BQ169" s="458">
        <f t="shared" si="202"/>
        <v>0.01</v>
      </c>
    </row>
    <row r="170" spans="1:69" x14ac:dyDescent="0.25">
      <c r="A170" s="228" t="s">
        <v>651</v>
      </c>
      <c r="B170" s="92" t="s">
        <v>652</v>
      </c>
      <c r="C170" s="93" t="s">
        <v>653</v>
      </c>
      <c r="D170" s="108">
        <v>1052</v>
      </c>
      <c r="E170" s="108">
        <v>1048</v>
      </c>
      <c r="F170" s="108">
        <v>1046</v>
      </c>
      <c r="G170" s="108">
        <v>1048</v>
      </c>
      <c r="H170" s="108">
        <v>1136</v>
      </c>
      <c r="I170" s="108">
        <v>1134</v>
      </c>
      <c r="J170" s="108">
        <v>1132</v>
      </c>
      <c r="K170" s="108">
        <v>1137</v>
      </c>
      <c r="L170" s="108">
        <v>1255</v>
      </c>
      <c r="M170" s="108">
        <v>1243</v>
      </c>
      <c r="N170" s="108">
        <v>1233</v>
      </c>
      <c r="O170" s="108">
        <v>1255</v>
      </c>
      <c r="P170" s="108">
        <v>1355</v>
      </c>
      <c r="Q170" s="108">
        <v>1338</v>
      </c>
      <c r="R170" s="108">
        <v>1366</v>
      </c>
      <c r="S170" s="137">
        <f t="shared" ref="S170" si="267">O170*(1+S171)</f>
        <v>1394.3050000000001</v>
      </c>
      <c r="T170" s="137">
        <f t="shared" ref="T170" si="268">P170*(1+T171)</f>
        <v>1531.1499999999999</v>
      </c>
      <c r="U170" s="137">
        <f t="shared" ref="U170" si="269">Q170*(1+U171)</f>
        <v>1538.6999999999998</v>
      </c>
      <c r="V170" s="137">
        <f t="shared" ref="V170" si="270">R170*(1+V171)</f>
        <v>1502.6000000000001</v>
      </c>
      <c r="W170" s="137">
        <f t="shared" ref="W170" si="271">S170*(1+W171)</f>
        <v>1533.7355000000002</v>
      </c>
      <c r="X170" s="137">
        <f t="shared" ref="X170" si="272">T170*(1+X171)</f>
        <v>1684.2649999999999</v>
      </c>
      <c r="Y170" s="137">
        <f t="shared" ref="Y170" si="273">U170*(1+Y171)</f>
        <v>1692.57</v>
      </c>
      <c r="Z170" s="137">
        <f t="shared" ref="Z170" si="274">V170*(1+Z171)</f>
        <v>1652.8600000000004</v>
      </c>
      <c r="AA170" s="137">
        <f t="shared" ref="AA170" si="275">W170*(1+AA171)</f>
        <v>1687.1090500000005</v>
      </c>
      <c r="AB170" s="137">
        <f t="shared" ref="AB170" si="276">X170*(1+AB171)</f>
        <v>1852.6914999999999</v>
      </c>
      <c r="AC170" s="137">
        <f t="shared" ref="AC170" si="277">Y170*(1+AC171)</f>
        <v>1861.827</v>
      </c>
      <c r="AD170" s="137">
        <f t="shared" ref="AD170" si="278">Z170*(1+AD171)</f>
        <v>1818.1460000000006</v>
      </c>
      <c r="AE170" s="137">
        <f t="shared" ref="AE170" si="279">AA170*(1+AE171)</f>
        <v>1855.8199550000006</v>
      </c>
      <c r="AF170" s="137">
        <f t="shared" ref="AF170" si="280">AB170*(1+AF171)</f>
        <v>2037.96065</v>
      </c>
      <c r="AG170" s="137">
        <f t="shared" ref="AG170" si="281">AC170*(1+AG171)</f>
        <v>2048.0097000000001</v>
      </c>
      <c r="AH170" s="137">
        <f t="shared" ref="AH170" si="282">AD170*(1+AH171)</f>
        <v>1999.9606000000008</v>
      </c>
      <c r="AI170" s="137">
        <f t="shared" ref="AI170" si="283">AE170*(1+AI171)</f>
        <v>2041.4019505000008</v>
      </c>
      <c r="AJ170" s="137">
        <f t="shared" ref="AJ170" si="284">AF170*(1+AJ171)</f>
        <v>2241.756715</v>
      </c>
      <c r="AK170" s="137">
        <f t="shared" ref="AK170" si="285">AG170*(1+AK171)</f>
        <v>2252.8106700000003</v>
      </c>
      <c r="AL170" s="137">
        <f t="shared" ref="AL170" si="286">AH170*(1+AL171)</f>
        <v>2199.9566600000012</v>
      </c>
      <c r="AM170" s="137">
        <f t="shared" ref="AM170" si="287">AI170*(1+AM171)</f>
        <v>2245.5421455500009</v>
      </c>
      <c r="AN170" s="137">
        <f t="shared" ref="AN170" si="288">AJ170*(1+AN171)</f>
        <v>2465.9323865000001</v>
      </c>
      <c r="AO170" s="137">
        <f t="shared" ref="AO170" si="289">AK170*(1+AO171)</f>
        <v>2478.0917370000006</v>
      </c>
      <c r="AP170" s="137">
        <f t="shared" ref="AP170" si="290">AL170*(1+AP171)</f>
        <v>2419.9523260000014</v>
      </c>
      <c r="AQ170" s="137">
        <f t="shared" ref="AQ170" si="291">AM170*(1+AQ171)</f>
        <v>2470.0963601050012</v>
      </c>
      <c r="AR170" s="137">
        <f t="shared" ref="AR170" si="292">AN170*(1+AR171)</f>
        <v>2712.5256251500005</v>
      </c>
      <c r="AS170" s="137">
        <f t="shared" ref="AS170" si="293">AO170*(1+AS171)</f>
        <v>2725.9009107000011</v>
      </c>
      <c r="AT170" s="137">
        <f t="shared" ref="AT170" si="294">AP170*(1+AT171)</f>
        <v>2661.9475586000017</v>
      </c>
      <c r="AU170" s="137">
        <f t="shared" ref="AU170" si="295">AQ170*(1+AU171)</f>
        <v>2717.1059961155015</v>
      </c>
      <c r="AV170" s="137">
        <f t="shared" ref="AV170" si="296">AR170*(1+AV171)</f>
        <v>2983.7781876650006</v>
      </c>
      <c r="AW170" s="137">
        <f t="shared" ref="AW170" si="297">AS170*(1+AW171)</f>
        <v>2998.4910017700013</v>
      </c>
      <c r="AX170" s="137">
        <f t="shared" ref="AX170" si="298">AT170*(1+AX171)</f>
        <v>2928.1423144600021</v>
      </c>
      <c r="AY170" s="137">
        <f t="shared" ref="AY170" si="299">AU170*(1+AY171)</f>
        <v>2988.8165957270521</v>
      </c>
      <c r="AZ170" s="137">
        <f t="shared" ref="AZ170" si="300">AV170*(1+AZ171)</f>
        <v>3282.1560064315008</v>
      </c>
      <c r="BA170" s="137">
        <f t="shared" ref="BA170" si="301">AW170*(1+BA171)</f>
        <v>3298.3401019470016</v>
      </c>
      <c r="BB170" s="137">
        <f t="shared" ref="BB170" si="302">AX170*(1+BB171)</f>
        <v>3220.9565459060027</v>
      </c>
      <c r="BC170" s="137">
        <f t="shared" ref="BC170" si="303">AY170*(1+BC171)</f>
        <v>3287.6982552997574</v>
      </c>
      <c r="BD170" s="137">
        <f t="shared" ref="BD170" si="304">AZ170*(1+BD171)</f>
        <v>3610.3716070746514</v>
      </c>
      <c r="BE170" s="137">
        <f t="shared" ref="BE170" si="305">BA170*(1+BE171)</f>
        <v>3628.1741121417022</v>
      </c>
      <c r="BF170" s="137">
        <f t="shared" ref="BF170" si="306">BB170*(1+BF171)</f>
        <v>3543.0522004966033</v>
      </c>
      <c r="BG170" s="137">
        <f t="shared" ref="BG170" si="307">BC170*(1+BG171)</f>
        <v>3616.4680808297335</v>
      </c>
      <c r="BH170" s="187"/>
      <c r="BI170" s="229"/>
      <c r="BJ170" s="229"/>
      <c r="BK170" s="229"/>
      <c r="BL170" s="229"/>
      <c r="BM170" s="187"/>
      <c r="BN170" s="374">
        <v>1339.038</v>
      </c>
      <c r="BO170" s="424">
        <f t="shared" si="202"/>
        <v>26.961999999999989</v>
      </c>
      <c r="BP170" s="374">
        <v>1394.3050000000001</v>
      </c>
      <c r="BQ170" s="424">
        <f t="shared" si="202"/>
        <v>0</v>
      </c>
    </row>
    <row r="171" spans="1:69" x14ac:dyDescent="0.25">
      <c r="A171" s="245"/>
      <c r="B171" s="236" t="s">
        <v>299</v>
      </c>
      <c r="C171" s="216" t="s">
        <v>628</v>
      </c>
      <c r="D171" s="213"/>
      <c r="E171" s="213"/>
      <c r="F171" s="213"/>
      <c r="G171" s="212" t="e">
        <v>#DIV/0!</v>
      </c>
      <c r="H171" s="247">
        <v>0.08</v>
      </c>
      <c r="I171" s="247">
        <v>8.2000000000000003E-2</v>
      </c>
      <c r="J171" s="247">
        <v>8.2000000000000003E-2</v>
      </c>
      <c r="K171" s="247">
        <v>8.5000000000000006E-2</v>
      </c>
      <c r="L171" s="247">
        <v>0.105</v>
      </c>
      <c r="M171" s="247">
        <v>9.6000000000000002E-2</v>
      </c>
      <c r="N171" s="247">
        <v>8.8999999999999996E-2</v>
      </c>
      <c r="O171" s="247">
        <v>0.104</v>
      </c>
      <c r="P171" s="247">
        <v>0.08</v>
      </c>
      <c r="Q171" s="336">
        <f>Q170/M170-1</f>
        <v>7.642799678197898E-2</v>
      </c>
      <c r="R171" s="336">
        <f>R170/N170-1</f>
        <v>0.10786699107866982</v>
      </c>
      <c r="S171" s="256">
        <v>0.111</v>
      </c>
      <c r="T171" s="256">
        <v>0.13</v>
      </c>
      <c r="U171" s="256">
        <v>0.15</v>
      </c>
      <c r="V171" s="256">
        <v>0.1</v>
      </c>
      <c r="W171" s="256">
        <v>0.1</v>
      </c>
      <c r="X171" s="256">
        <v>0.1</v>
      </c>
      <c r="Y171" s="256">
        <v>0.1</v>
      </c>
      <c r="Z171" s="256">
        <v>0.1</v>
      </c>
      <c r="AA171" s="256">
        <v>0.1</v>
      </c>
      <c r="AB171" s="256">
        <v>0.1</v>
      </c>
      <c r="AC171" s="256">
        <v>0.1</v>
      </c>
      <c r="AD171" s="256">
        <v>0.1</v>
      </c>
      <c r="AE171" s="256">
        <v>0.1</v>
      </c>
      <c r="AF171" s="256">
        <v>0.1</v>
      </c>
      <c r="AG171" s="256">
        <v>0.1</v>
      </c>
      <c r="AH171" s="256">
        <v>0.1</v>
      </c>
      <c r="AI171" s="256">
        <v>0.1</v>
      </c>
      <c r="AJ171" s="256">
        <v>0.1</v>
      </c>
      <c r="AK171" s="256">
        <v>0.1</v>
      </c>
      <c r="AL171" s="256">
        <v>0.1</v>
      </c>
      <c r="AM171" s="256">
        <v>0.1</v>
      </c>
      <c r="AN171" s="256">
        <v>0.1</v>
      </c>
      <c r="AO171" s="256">
        <v>0.1</v>
      </c>
      <c r="AP171" s="256">
        <v>0.1</v>
      </c>
      <c r="AQ171" s="256">
        <v>0.1</v>
      </c>
      <c r="AR171" s="256">
        <v>0.1</v>
      </c>
      <c r="AS171" s="256">
        <v>0.1</v>
      </c>
      <c r="AT171" s="256">
        <v>0.1</v>
      </c>
      <c r="AU171" s="256">
        <v>0.1</v>
      </c>
      <c r="AV171" s="256">
        <v>0.1</v>
      </c>
      <c r="AW171" s="256">
        <v>0.1</v>
      </c>
      <c r="AX171" s="256">
        <v>0.1</v>
      </c>
      <c r="AY171" s="256">
        <v>0.1</v>
      </c>
      <c r="AZ171" s="256">
        <v>0.1</v>
      </c>
      <c r="BA171" s="256">
        <v>0.1</v>
      </c>
      <c r="BB171" s="256">
        <v>0.1</v>
      </c>
      <c r="BC171" s="256">
        <v>0.1</v>
      </c>
      <c r="BD171" s="256">
        <v>0.1</v>
      </c>
      <c r="BE171" s="256">
        <v>0.1</v>
      </c>
      <c r="BF171" s="256">
        <v>0.1</v>
      </c>
      <c r="BG171" s="256">
        <v>0.1</v>
      </c>
      <c r="BH171" s="248"/>
      <c r="BI171" s="249"/>
      <c r="BJ171" s="249"/>
      <c r="BK171" s="249"/>
      <c r="BL171" s="249"/>
      <c r="BM171" s="248"/>
      <c r="BN171" s="408">
        <v>8.5999999999999993E-2</v>
      </c>
      <c r="BO171" s="458">
        <f t="shared" si="202"/>
        <v>2.1866991078669823E-2</v>
      </c>
      <c r="BP171" s="408">
        <v>0.111</v>
      </c>
      <c r="BQ171" s="458">
        <f t="shared" si="202"/>
        <v>0</v>
      </c>
    </row>
    <row r="172" spans="1:69" x14ac:dyDescent="0.25">
      <c r="A172" s="228" t="s">
        <v>654</v>
      </c>
      <c r="B172" s="92" t="s">
        <v>655</v>
      </c>
      <c r="C172" s="93" t="s">
        <v>7</v>
      </c>
      <c r="D172" s="267">
        <v>1.1900000000000001E-2</v>
      </c>
      <c r="E172" s="48"/>
      <c r="F172" s="48"/>
      <c r="G172" s="48"/>
      <c r="H172" s="267">
        <v>1.41E-2</v>
      </c>
      <c r="I172" s="267">
        <v>1.44E-2</v>
      </c>
      <c r="J172" s="267">
        <v>1.43E-2</v>
      </c>
      <c r="K172" s="267">
        <v>1.4800000000000001E-2</v>
      </c>
      <c r="L172" s="267">
        <v>1.4800000000000001E-2</v>
      </c>
      <c r="M172" s="267">
        <v>1.5299999999999999E-2</v>
      </c>
      <c r="N172" s="267">
        <v>1.52E-2</v>
      </c>
      <c r="O172" s="267">
        <v>1.5100000000000001E-2</v>
      </c>
      <c r="P172" s="267">
        <v>1.49E-2</v>
      </c>
      <c r="Q172" s="267">
        <v>1.6199999999999999E-2</v>
      </c>
      <c r="R172" s="267">
        <v>1.72E-2</v>
      </c>
      <c r="S172" s="159">
        <f t="shared" ref="S172:AA172" si="308">R172+0.02%</f>
        <v>1.7399999999999999E-2</v>
      </c>
      <c r="T172" s="159">
        <f t="shared" si="308"/>
        <v>1.7599999999999998E-2</v>
      </c>
      <c r="U172" s="159">
        <f t="shared" si="308"/>
        <v>1.7799999999999996E-2</v>
      </c>
      <c r="V172" s="159">
        <f t="shared" si="308"/>
        <v>1.7999999999999995E-2</v>
      </c>
      <c r="W172" s="159">
        <f t="shared" si="308"/>
        <v>1.8199999999999994E-2</v>
      </c>
      <c r="X172" s="159">
        <f t="shared" si="308"/>
        <v>1.8399999999999993E-2</v>
      </c>
      <c r="Y172" s="159">
        <f t="shared" si="308"/>
        <v>1.8599999999999992E-2</v>
      </c>
      <c r="Z172" s="159">
        <f t="shared" si="308"/>
        <v>1.879999999999999E-2</v>
      </c>
      <c r="AA172" s="159">
        <f t="shared" si="308"/>
        <v>1.8999999999999989E-2</v>
      </c>
      <c r="AB172" s="159">
        <f>AA172+0.0025%</f>
        <v>1.902499999999999E-2</v>
      </c>
      <c r="AC172" s="159">
        <f t="shared" ref="AC172:BG172" si="309">AB172+0.0025%</f>
        <v>1.9049999999999991E-2</v>
      </c>
      <c r="AD172" s="159">
        <f t="shared" si="309"/>
        <v>1.9074999999999991E-2</v>
      </c>
      <c r="AE172" s="159">
        <f t="shared" si="309"/>
        <v>1.9099999999999992E-2</v>
      </c>
      <c r="AF172" s="159">
        <f t="shared" si="309"/>
        <v>1.9124999999999993E-2</v>
      </c>
      <c r="AG172" s="159">
        <f t="shared" si="309"/>
        <v>1.9149999999999993E-2</v>
      </c>
      <c r="AH172" s="159">
        <f t="shared" si="309"/>
        <v>1.9174999999999994E-2</v>
      </c>
      <c r="AI172" s="159">
        <f t="shared" si="309"/>
        <v>1.9199999999999995E-2</v>
      </c>
      <c r="AJ172" s="159">
        <f t="shared" si="309"/>
        <v>1.9224999999999996E-2</v>
      </c>
      <c r="AK172" s="159">
        <f t="shared" si="309"/>
        <v>1.9249999999999996E-2</v>
      </c>
      <c r="AL172" s="159">
        <f t="shared" si="309"/>
        <v>1.9274999999999997E-2</v>
      </c>
      <c r="AM172" s="159">
        <f t="shared" si="309"/>
        <v>1.9299999999999998E-2</v>
      </c>
      <c r="AN172" s="159">
        <f t="shared" si="309"/>
        <v>1.9324999999999998E-2</v>
      </c>
      <c r="AO172" s="159">
        <f t="shared" si="309"/>
        <v>1.9349999999999999E-2</v>
      </c>
      <c r="AP172" s="159">
        <f t="shared" si="309"/>
        <v>1.9375E-2</v>
      </c>
      <c r="AQ172" s="159">
        <f t="shared" si="309"/>
        <v>1.9400000000000001E-2</v>
      </c>
      <c r="AR172" s="159">
        <f t="shared" si="309"/>
        <v>1.9425000000000001E-2</v>
      </c>
      <c r="AS172" s="159">
        <f t="shared" si="309"/>
        <v>1.9450000000000002E-2</v>
      </c>
      <c r="AT172" s="159">
        <f t="shared" si="309"/>
        <v>1.9475000000000003E-2</v>
      </c>
      <c r="AU172" s="159">
        <f t="shared" si="309"/>
        <v>1.9500000000000003E-2</v>
      </c>
      <c r="AV172" s="159">
        <f t="shared" si="309"/>
        <v>1.9525000000000004E-2</v>
      </c>
      <c r="AW172" s="159">
        <f t="shared" si="309"/>
        <v>1.9550000000000005E-2</v>
      </c>
      <c r="AX172" s="159">
        <f t="shared" si="309"/>
        <v>1.9575000000000006E-2</v>
      </c>
      <c r="AY172" s="159">
        <f t="shared" si="309"/>
        <v>1.9600000000000006E-2</v>
      </c>
      <c r="AZ172" s="159">
        <f t="shared" si="309"/>
        <v>1.9625000000000007E-2</v>
      </c>
      <c r="BA172" s="159">
        <f t="shared" si="309"/>
        <v>1.9650000000000008E-2</v>
      </c>
      <c r="BB172" s="159">
        <f t="shared" si="309"/>
        <v>1.9675000000000008E-2</v>
      </c>
      <c r="BC172" s="159">
        <f t="shared" si="309"/>
        <v>1.9700000000000009E-2</v>
      </c>
      <c r="BD172" s="159">
        <f t="shared" si="309"/>
        <v>1.972500000000001E-2</v>
      </c>
      <c r="BE172" s="159">
        <f t="shared" si="309"/>
        <v>1.9750000000000011E-2</v>
      </c>
      <c r="BF172" s="159">
        <f t="shared" si="309"/>
        <v>1.9775000000000011E-2</v>
      </c>
      <c r="BG172" s="159">
        <f t="shared" si="309"/>
        <v>1.9800000000000012E-2</v>
      </c>
      <c r="BH172" s="187"/>
      <c r="BI172" s="229"/>
      <c r="BJ172" s="229"/>
      <c r="BK172" s="229"/>
      <c r="BL172" s="229"/>
      <c r="BM172" s="187"/>
      <c r="BN172" s="385">
        <v>1.6399999999999998E-2</v>
      </c>
      <c r="BO172" s="435">
        <f t="shared" si="202"/>
        <v>8.000000000000021E-4</v>
      </c>
      <c r="BP172" s="385">
        <v>1.6599999999999997E-2</v>
      </c>
      <c r="BQ172" s="435">
        <f t="shared" si="202"/>
        <v>8.000000000000021E-4</v>
      </c>
    </row>
    <row r="173" spans="1:69" x14ac:dyDescent="0.25">
      <c r="A173" s="490"/>
      <c r="B173" s="492"/>
      <c r="C173" s="93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267">
        <f t="shared" ref="N173:Q173" si="310">N172-J172</f>
        <v>8.9999999999999976E-4</v>
      </c>
      <c r="O173" s="267">
        <f t="shared" si="310"/>
        <v>2.9999999999999992E-4</v>
      </c>
      <c r="P173" s="267">
        <f t="shared" si="310"/>
        <v>9.9999999999999395E-5</v>
      </c>
      <c r="Q173" s="267">
        <f t="shared" si="310"/>
        <v>8.9999999999999976E-4</v>
      </c>
      <c r="R173" s="267">
        <f>R172-N172</f>
        <v>2E-3</v>
      </c>
      <c r="S173" s="48"/>
      <c r="T173" s="187"/>
      <c r="U173" s="187"/>
      <c r="V173" s="187"/>
      <c r="W173" s="187"/>
      <c r="X173" s="187"/>
      <c r="Y173" s="187"/>
      <c r="Z173" s="187"/>
      <c r="AA173" s="187"/>
      <c r="AB173" s="187"/>
      <c r="AC173" s="187"/>
      <c r="AD173" s="187"/>
      <c r="AE173" s="187"/>
      <c r="AF173" s="187"/>
      <c r="AG173" s="187"/>
      <c r="AH173" s="187"/>
      <c r="AI173" s="187"/>
      <c r="AJ173" s="187"/>
      <c r="AK173" s="187"/>
      <c r="AL173" s="187"/>
      <c r="AM173" s="187"/>
      <c r="AN173" s="187"/>
      <c r="AO173" s="187"/>
      <c r="AP173" s="187"/>
      <c r="AQ173" s="187"/>
      <c r="AR173" s="187"/>
      <c r="AS173" s="187"/>
      <c r="AT173" s="187"/>
      <c r="AU173" s="187"/>
      <c r="AV173" s="187"/>
      <c r="AW173" s="187"/>
      <c r="AX173" s="187"/>
      <c r="AY173" s="187"/>
      <c r="AZ173" s="187"/>
      <c r="BA173" s="187"/>
      <c r="BB173" s="187"/>
      <c r="BC173" s="187"/>
      <c r="BD173" s="187"/>
      <c r="BE173" s="187"/>
      <c r="BF173" s="187"/>
      <c r="BG173" s="187"/>
      <c r="BH173" s="187"/>
      <c r="BI173" s="229"/>
      <c r="BJ173" s="229"/>
      <c r="BK173" s="229"/>
      <c r="BL173" s="229"/>
      <c r="BM173" s="187"/>
      <c r="BN173" s="377"/>
      <c r="BO173" s="427" t="str">
        <f t="shared" si="202"/>
        <v/>
      </c>
      <c r="BP173" s="377"/>
      <c r="BQ173" s="427" t="str">
        <f t="shared" si="202"/>
        <v/>
      </c>
    </row>
    <row r="174" spans="1:69" x14ac:dyDescent="0.25">
      <c r="A174" s="228"/>
      <c r="B174" s="92" t="s">
        <v>656</v>
      </c>
      <c r="C174" s="188"/>
      <c r="D174" s="48">
        <v>15</v>
      </c>
      <c r="E174" s="48"/>
      <c r="F174" s="48">
        <v>18</v>
      </c>
      <c r="G174" s="48"/>
      <c r="H174" s="48">
        <v>20</v>
      </c>
      <c r="I174" s="48"/>
      <c r="J174" s="48">
        <v>22</v>
      </c>
      <c r="K174" s="48">
        <v>23</v>
      </c>
      <c r="L174" s="48">
        <v>24</v>
      </c>
      <c r="M174" s="48">
        <v>24</v>
      </c>
      <c r="N174" s="48">
        <v>24</v>
      </c>
      <c r="O174" s="48">
        <v>25</v>
      </c>
      <c r="P174" s="48">
        <v>25</v>
      </c>
      <c r="Q174" s="48">
        <v>26</v>
      </c>
      <c r="R174" s="48">
        <v>26</v>
      </c>
      <c r="S174" s="187"/>
      <c r="T174" s="187"/>
      <c r="U174" s="187"/>
      <c r="V174" s="187"/>
      <c r="W174" s="187"/>
      <c r="X174" s="187"/>
      <c r="Y174" s="187"/>
      <c r="Z174" s="187"/>
      <c r="AA174" s="187"/>
      <c r="AB174" s="187"/>
      <c r="AC174" s="187"/>
      <c r="AD174" s="187"/>
      <c r="AE174" s="187"/>
      <c r="AF174" s="187"/>
      <c r="AG174" s="187"/>
      <c r="AH174" s="187"/>
      <c r="AI174" s="187"/>
      <c r="AJ174" s="187"/>
      <c r="AK174" s="187"/>
      <c r="AL174" s="187"/>
      <c r="AM174" s="187"/>
      <c r="AN174" s="187"/>
      <c r="AO174" s="187"/>
      <c r="AP174" s="187"/>
      <c r="AQ174" s="187"/>
      <c r="AR174" s="187"/>
      <c r="AS174" s="187"/>
      <c r="AT174" s="187"/>
      <c r="AU174" s="187"/>
      <c r="AV174" s="187"/>
      <c r="AW174" s="187"/>
      <c r="AX174" s="187"/>
      <c r="AY174" s="187"/>
      <c r="AZ174" s="187"/>
      <c r="BA174" s="187"/>
      <c r="BB174" s="187"/>
      <c r="BC174" s="187"/>
      <c r="BD174" s="187"/>
      <c r="BE174" s="187"/>
      <c r="BF174" s="187"/>
      <c r="BG174" s="187"/>
      <c r="BH174" s="187"/>
      <c r="BI174" s="229"/>
      <c r="BJ174" s="229"/>
      <c r="BK174" s="229"/>
      <c r="BL174" s="229"/>
      <c r="BM174" s="187"/>
      <c r="BN174" s="389"/>
      <c r="BO174" s="439" t="str">
        <f t="shared" si="202"/>
        <v/>
      </c>
      <c r="BP174" s="389"/>
      <c r="BQ174" s="439" t="str">
        <f t="shared" si="202"/>
        <v/>
      </c>
    </row>
    <row r="175" spans="1:69" x14ac:dyDescent="0.25">
      <c r="A175" s="228"/>
      <c r="B175" s="92" t="s">
        <v>657</v>
      </c>
      <c r="C175" s="188"/>
      <c r="D175" s="46"/>
      <c r="E175" s="46"/>
      <c r="F175" s="46"/>
      <c r="G175" s="46"/>
      <c r="H175" s="46"/>
      <c r="I175" s="46"/>
      <c r="J175" s="46"/>
      <c r="K175" s="46"/>
      <c r="L175" s="46"/>
      <c r="M175" s="2"/>
      <c r="N175" s="2"/>
      <c r="O175" s="46"/>
      <c r="P175" s="46"/>
      <c r="Q175" s="46"/>
      <c r="R175" s="136"/>
      <c r="S175" s="136"/>
      <c r="T175" s="187"/>
      <c r="U175" s="187"/>
      <c r="V175" s="187"/>
      <c r="W175" s="187"/>
      <c r="X175" s="187"/>
      <c r="Y175" s="187"/>
      <c r="Z175" s="187"/>
      <c r="AA175" s="187"/>
      <c r="AB175" s="187"/>
      <c r="AC175" s="187"/>
      <c r="AD175" s="187"/>
      <c r="AE175" s="187"/>
      <c r="AF175" s="187"/>
      <c r="AG175" s="187"/>
      <c r="AH175" s="187"/>
      <c r="AI175" s="187"/>
      <c r="AJ175" s="187"/>
      <c r="AK175" s="187"/>
      <c r="AL175" s="187"/>
      <c r="AM175" s="187"/>
      <c r="AN175" s="187"/>
      <c r="AO175" s="187"/>
      <c r="AP175" s="187"/>
      <c r="AQ175" s="187"/>
      <c r="AR175" s="187"/>
      <c r="AS175" s="187"/>
      <c r="AT175" s="187"/>
      <c r="AU175" s="187"/>
      <c r="AV175" s="187"/>
      <c r="AW175" s="187"/>
      <c r="AX175" s="187"/>
      <c r="AY175" s="187"/>
      <c r="AZ175" s="187"/>
      <c r="BA175" s="187"/>
      <c r="BB175" s="187"/>
      <c r="BC175" s="187"/>
      <c r="BD175" s="187"/>
      <c r="BE175" s="187"/>
      <c r="BF175" s="187"/>
      <c r="BG175" s="187"/>
      <c r="BH175" s="187"/>
      <c r="BI175" s="229"/>
      <c r="BJ175" s="229"/>
      <c r="BK175" s="229"/>
      <c r="BL175" s="229"/>
      <c r="BM175" s="187"/>
      <c r="BN175" s="384"/>
      <c r="BO175" s="434" t="str">
        <f t="shared" si="202"/>
        <v/>
      </c>
      <c r="BP175" s="384"/>
      <c r="BQ175" s="434" t="str">
        <f t="shared" si="202"/>
        <v/>
      </c>
    </row>
    <row r="176" spans="1:69" x14ac:dyDescent="0.25">
      <c r="A176" s="490"/>
      <c r="B176" s="492"/>
      <c r="C176" s="188"/>
      <c r="D176" s="46"/>
      <c r="E176" s="46"/>
      <c r="F176" s="46"/>
      <c r="G176" s="46"/>
      <c r="H176" s="46"/>
      <c r="I176" s="46"/>
      <c r="J176" s="46"/>
      <c r="K176" s="46"/>
      <c r="L176" s="46"/>
      <c r="M176" s="2"/>
      <c r="N176" s="2"/>
      <c r="O176" s="46"/>
      <c r="P176" s="46"/>
      <c r="Q176" s="46"/>
      <c r="R176" s="46"/>
      <c r="S176" s="187"/>
      <c r="T176" s="187"/>
      <c r="U176" s="187"/>
      <c r="V176" s="187"/>
      <c r="W176" s="187"/>
      <c r="X176" s="187"/>
      <c r="Y176" s="187"/>
      <c r="Z176" s="187"/>
      <c r="AA176" s="187"/>
      <c r="AB176" s="187"/>
      <c r="AC176" s="187"/>
      <c r="AD176" s="187"/>
      <c r="AE176" s="187"/>
      <c r="AF176" s="187"/>
      <c r="AG176" s="187"/>
      <c r="AH176" s="187"/>
      <c r="AI176" s="187"/>
      <c r="AJ176" s="187"/>
      <c r="AK176" s="187"/>
      <c r="AL176" s="187"/>
      <c r="AM176" s="187"/>
      <c r="AN176" s="187"/>
      <c r="AO176" s="187"/>
      <c r="AP176" s="187"/>
      <c r="AQ176" s="187"/>
      <c r="AR176" s="187"/>
      <c r="AS176" s="187"/>
      <c r="AT176" s="187"/>
      <c r="AU176" s="187"/>
      <c r="AV176" s="187"/>
      <c r="AW176" s="187"/>
      <c r="AX176" s="187"/>
      <c r="AY176" s="187"/>
      <c r="AZ176" s="187"/>
      <c r="BA176" s="187"/>
      <c r="BB176" s="187"/>
      <c r="BC176" s="187"/>
      <c r="BD176" s="187"/>
      <c r="BE176" s="187"/>
      <c r="BF176" s="187"/>
      <c r="BG176" s="187"/>
      <c r="BH176" s="187"/>
      <c r="BI176" s="229"/>
      <c r="BJ176" s="229"/>
      <c r="BK176" s="229"/>
      <c r="BL176" s="229"/>
      <c r="BM176" s="187"/>
      <c r="BN176" s="389"/>
      <c r="BO176" s="439" t="str">
        <f t="shared" si="202"/>
        <v/>
      </c>
      <c r="BP176" s="389"/>
      <c r="BQ176" s="439" t="str">
        <f t="shared" si="202"/>
        <v/>
      </c>
    </row>
    <row r="177" spans="1:69" x14ac:dyDescent="0.25">
      <c r="A177" s="228"/>
      <c r="B177" s="92" t="s">
        <v>658</v>
      </c>
      <c r="C177" s="188"/>
      <c r="D177" s="48"/>
      <c r="E177" s="108">
        <v>5300</v>
      </c>
      <c r="F177" s="108">
        <v>5400</v>
      </c>
      <c r="G177" s="48"/>
      <c r="H177" s="108">
        <v>5600</v>
      </c>
      <c r="I177" s="108">
        <v>6400</v>
      </c>
      <c r="J177" s="108">
        <v>6700</v>
      </c>
      <c r="K177" s="108">
        <v>8600</v>
      </c>
      <c r="L177" s="108">
        <v>6980</v>
      </c>
      <c r="M177" s="108">
        <v>7750</v>
      </c>
      <c r="N177" s="108">
        <v>8240</v>
      </c>
      <c r="O177" s="108">
        <v>10300</v>
      </c>
      <c r="P177" s="108">
        <v>7890</v>
      </c>
      <c r="Q177" s="108">
        <v>9110</v>
      </c>
      <c r="R177" s="108">
        <v>9700</v>
      </c>
      <c r="S177" s="97">
        <f t="shared" ref="S177:BG177" si="311">O177*(1+S178)</f>
        <v>12875</v>
      </c>
      <c r="T177" s="97">
        <f t="shared" si="311"/>
        <v>9862.5</v>
      </c>
      <c r="U177" s="97">
        <f t="shared" si="311"/>
        <v>11387.5</v>
      </c>
      <c r="V177" s="97">
        <f t="shared" si="311"/>
        <v>12125</v>
      </c>
      <c r="W177" s="97">
        <f t="shared" si="311"/>
        <v>16093.75</v>
      </c>
      <c r="X177" s="97">
        <f t="shared" si="311"/>
        <v>12328.125</v>
      </c>
      <c r="Y177" s="97">
        <f t="shared" si="311"/>
        <v>14234.375</v>
      </c>
      <c r="Z177" s="97">
        <f t="shared" si="311"/>
        <v>15156.25</v>
      </c>
      <c r="AA177" s="97">
        <f t="shared" si="311"/>
        <v>20117.1875</v>
      </c>
      <c r="AB177" s="97">
        <f t="shared" si="311"/>
        <v>15410.15625</v>
      </c>
      <c r="AC177" s="97">
        <f t="shared" si="311"/>
        <v>17792.96875</v>
      </c>
      <c r="AD177" s="97">
        <f t="shared" si="311"/>
        <v>18945.3125</v>
      </c>
      <c r="AE177" s="97">
        <f t="shared" si="311"/>
        <v>25146.484375</v>
      </c>
      <c r="AF177" s="97">
        <f t="shared" si="311"/>
        <v>19262.6953125</v>
      </c>
      <c r="AG177" s="97">
        <f t="shared" si="311"/>
        <v>22241.2109375</v>
      </c>
      <c r="AH177" s="97">
        <f t="shared" si="311"/>
        <v>23681.640625</v>
      </c>
      <c r="AI177" s="97">
        <f t="shared" si="311"/>
        <v>31433.10546875</v>
      </c>
      <c r="AJ177" s="97">
        <f t="shared" si="311"/>
        <v>24078.369140625</v>
      </c>
      <c r="AK177" s="97">
        <f t="shared" si="311"/>
        <v>27801.513671875</v>
      </c>
      <c r="AL177" s="97">
        <f t="shared" si="311"/>
        <v>29602.05078125</v>
      </c>
      <c r="AM177" s="97">
        <f t="shared" si="311"/>
        <v>39291.3818359375</v>
      </c>
      <c r="AN177" s="97">
        <f t="shared" si="311"/>
        <v>30097.96142578125</v>
      </c>
      <c r="AO177" s="97">
        <f t="shared" si="311"/>
        <v>34751.89208984375</v>
      </c>
      <c r="AP177" s="97">
        <f t="shared" si="311"/>
        <v>37002.5634765625</v>
      </c>
      <c r="AQ177" s="97">
        <f t="shared" si="311"/>
        <v>49114.227294921875</v>
      </c>
      <c r="AR177" s="97">
        <f t="shared" si="311"/>
        <v>37622.451782226563</v>
      </c>
      <c r="AS177" s="97">
        <f t="shared" si="311"/>
        <v>43439.865112304688</v>
      </c>
      <c r="AT177" s="97">
        <f t="shared" si="311"/>
        <v>46253.204345703125</v>
      </c>
      <c r="AU177" s="97">
        <f t="shared" si="311"/>
        <v>61392.784118652344</v>
      </c>
      <c r="AV177" s="97">
        <f t="shared" si="311"/>
        <v>47028.064727783203</v>
      </c>
      <c r="AW177" s="97">
        <f t="shared" si="311"/>
        <v>54299.831390380859</v>
      </c>
      <c r="AX177" s="97">
        <f t="shared" si="311"/>
        <v>57816.505432128906</v>
      </c>
      <c r="AY177" s="97">
        <f t="shared" si="311"/>
        <v>76740.98014831543</v>
      </c>
      <c r="AZ177" s="97">
        <f t="shared" si="311"/>
        <v>58785.080909729004</v>
      </c>
      <c r="BA177" s="97">
        <f t="shared" si="311"/>
        <v>67874.789237976074</v>
      </c>
      <c r="BB177" s="97">
        <f t="shared" si="311"/>
        <v>72270.631790161133</v>
      </c>
      <c r="BC177" s="97">
        <f t="shared" si="311"/>
        <v>95926.225185394287</v>
      </c>
      <c r="BD177" s="97">
        <f t="shared" si="311"/>
        <v>73481.351137161255</v>
      </c>
      <c r="BE177" s="97">
        <f t="shared" si="311"/>
        <v>84843.486547470093</v>
      </c>
      <c r="BF177" s="97">
        <f t="shared" si="311"/>
        <v>90338.289737701416</v>
      </c>
      <c r="BG177" s="97">
        <f t="shared" si="311"/>
        <v>119907.78148174286</v>
      </c>
      <c r="BH177" s="187"/>
      <c r="BI177" s="229"/>
      <c r="BJ177" s="229"/>
      <c r="BK177" s="229"/>
      <c r="BL177" s="229"/>
      <c r="BM177" s="187"/>
      <c r="BN177" s="370">
        <v>10300</v>
      </c>
      <c r="BO177" s="420">
        <f t="shared" si="202"/>
        <v>-600</v>
      </c>
      <c r="BP177" s="370">
        <v>12875</v>
      </c>
      <c r="BQ177" s="420">
        <f t="shared" si="202"/>
        <v>0</v>
      </c>
    </row>
    <row r="178" spans="1:69" x14ac:dyDescent="0.25">
      <c r="A178" s="228"/>
      <c r="B178" s="129" t="s">
        <v>610</v>
      </c>
      <c r="C178" s="188"/>
      <c r="D178" s="48"/>
      <c r="E178" s="267">
        <v>0.13</v>
      </c>
      <c r="F178" s="267">
        <v>0.1</v>
      </c>
      <c r="G178" s="267">
        <v>0.14000000000000001</v>
      </c>
      <c r="H178" s="267">
        <v>0.17</v>
      </c>
      <c r="I178" s="267">
        <v>0.22</v>
      </c>
      <c r="J178" s="267">
        <v>0.24</v>
      </c>
      <c r="K178" s="267">
        <v>0.25</v>
      </c>
      <c r="L178" s="267">
        <v>0.25</v>
      </c>
      <c r="M178" s="267">
        <v>0.21</v>
      </c>
      <c r="N178" s="267">
        <v>0.23</v>
      </c>
      <c r="O178" s="267">
        <v>0.19</v>
      </c>
      <c r="P178" s="267">
        <v>0.13</v>
      </c>
      <c r="Q178" s="336">
        <f>Q177/M177-1</f>
        <v>0.17548387096774198</v>
      </c>
      <c r="R178" s="336">
        <f>R177/N177-1</f>
        <v>0.17718446601941751</v>
      </c>
      <c r="S178" s="336">
        <f t="shared" ref="S178:BG178" si="312">S195</f>
        <v>0.25</v>
      </c>
      <c r="T178" s="336">
        <f t="shared" si="312"/>
        <v>0.25</v>
      </c>
      <c r="U178" s="336">
        <f t="shared" si="312"/>
        <v>0.25</v>
      </c>
      <c r="V178" s="336">
        <f t="shared" si="312"/>
        <v>0.25</v>
      </c>
      <c r="W178" s="336">
        <f t="shared" si="312"/>
        <v>0.25</v>
      </c>
      <c r="X178" s="336">
        <f t="shared" si="312"/>
        <v>0.25</v>
      </c>
      <c r="Y178" s="336">
        <f t="shared" si="312"/>
        <v>0.25</v>
      </c>
      <c r="Z178" s="336">
        <f t="shared" si="312"/>
        <v>0.25</v>
      </c>
      <c r="AA178" s="336">
        <f t="shared" si="312"/>
        <v>0.25</v>
      </c>
      <c r="AB178" s="336">
        <f t="shared" si="312"/>
        <v>0.25</v>
      </c>
      <c r="AC178" s="336">
        <f t="shared" si="312"/>
        <v>0.25</v>
      </c>
      <c r="AD178" s="336">
        <f t="shared" si="312"/>
        <v>0.25</v>
      </c>
      <c r="AE178" s="336">
        <f t="shared" si="312"/>
        <v>0.25</v>
      </c>
      <c r="AF178" s="336">
        <f t="shared" si="312"/>
        <v>0.25</v>
      </c>
      <c r="AG178" s="336">
        <f t="shared" si="312"/>
        <v>0.25</v>
      </c>
      <c r="AH178" s="336">
        <f t="shared" si="312"/>
        <v>0.25</v>
      </c>
      <c r="AI178" s="336">
        <f t="shared" si="312"/>
        <v>0.25</v>
      </c>
      <c r="AJ178" s="336">
        <f t="shared" si="312"/>
        <v>0.25</v>
      </c>
      <c r="AK178" s="336">
        <f t="shared" si="312"/>
        <v>0.25</v>
      </c>
      <c r="AL178" s="336">
        <f t="shared" si="312"/>
        <v>0.25</v>
      </c>
      <c r="AM178" s="336">
        <f t="shared" si="312"/>
        <v>0.25</v>
      </c>
      <c r="AN178" s="336">
        <f t="shared" si="312"/>
        <v>0.25</v>
      </c>
      <c r="AO178" s="336">
        <f t="shared" si="312"/>
        <v>0.25</v>
      </c>
      <c r="AP178" s="336">
        <f t="shared" si="312"/>
        <v>0.25</v>
      </c>
      <c r="AQ178" s="336">
        <f t="shared" si="312"/>
        <v>0.25</v>
      </c>
      <c r="AR178" s="336">
        <f t="shared" si="312"/>
        <v>0.25</v>
      </c>
      <c r="AS178" s="336">
        <f t="shared" si="312"/>
        <v>0.25</v>
      </c>
      <c r="AT178" s="336">
        <f t="shared" si="312"/>
        <v>0.25</v>
      </c>
      <c r="AU178" s="336">
        <f t="shared" si="312"/>
        <v>0.25</v>
      </c>
      <c r="AV178" s="336">
        <f t="shared" si="312"/>
        <v>0.25</v>
      </c>
      <c r="AW178" s="336">
        <f t="shared" si="312"/>
        <v>0.25</v>
      </c>
      <c r="AX178" s="336">
        <f t="shared" si="312"/>
        <v>0.25</v>
      </c>
      <c r="AY178" s="336">
        <f t="shared" si="312"/>
        <v>0.25</v>
      </c>
      <c r="AZ178" s="336">
        <f t="shared" si="312"/>
        <v>0.25</v>
      </c>
      <c r="BA178" s="336">
        <f t="shared" si="312"/>
        <v>0.25</v>
      </c>
      <c r="BB178" s="336">
        <f t="shared" si="312"/>
        <v>0.25</v>
      </c>
      <c r="BC178" s="336">
        <f t="shared" si="312"/>
        <v>0.25</v>
      </c>
      <c r="BD178" s="336">
        <f t="shared" si="312"/>
        <v>0.25</v>
      </c>
      <c r="BE178" s="336">
        <f t="shared" si="312"/>
        <v>0.25</v>
      </c>
      <c r="BF178" s="336">
        <f t="shared" si="312"/>
        <v>0.25</v>
      </c>
      <c r="BG178" s="336">
        <f t="shared" si="312"/>
        <v>0.25</v>
      </c>
      <c r="BH178" s="187"/>
      <c r="BI178" s="229"/>
      <c r="BJ178" s="229"/>
      <c r="BK178" s="229"/>
      <c r="BL178" s="229"/>
      <c r="BM178" s="187"/>
      <c r="BN178" s="400">
        <v>0.25</v>
      </c>
      <c r="BO178" s="450">
        <f t="shared" si="202"/>
        <v>-7.2815533980582492E-2</v>
      </c>
      <c r="BP178" s="400">
        <v>0.25</v>
      </c>
      <c r="BQ178" s="450">
        <f t="shared" si="202"/>
        <v>0</v>
      </c>
    </row>
    <row r="179" spans="1:69" x14ac:dyDescent="0.25">
      <c r="A179" s="228"/>
      <c r="B179" s="92" t="s">
        <v>659</v>
      </c>
      <c r="C179" s="188"/>
      <c r="D179" s="267">
        <v>1.2E-2</v>
      </c>
      <c r="E179" s="267">
        <v>0.01</v>
      </c>
      <c r="F179" s="267">
        <v>0.01</v>
      </c>
      <c r="G179" s="48"/>
      <c r="H179" s="267">
        <v>7.0000000000000001E-3</v>
      </c>
      <c r="I179" s="267">
        <v>0.01</v>
      </c>
      <c r="J179" s="267">
        <v>8.0000000000000002E-3</v>
      </c>
      <c r="K179" s="267">
        <v>0.01</v>
      </c>
      <c r="L179" s="267">
        <v>8.0000000000000002E-3</v>
      </c>
      <c r="M179" s="267">
        <v>8.0000000000000002E-3</v>
      </c>
      <c r="N179" s="268">
        <v>8.0000000000000002E-3</v>
      </c>
      <c r="O179" s="267">
        <v>0.01</v>
      </c>
      <c r="P179" s="267">
        <v>7.0000000000000001E-3</v>
      </c>
      <c r="Q179" s="268">
        <v>7.0000000000000001E-3</v>
      </c>
      <c r="R179" s="268">
        <v>7.0000000000000001E-3</v>
      </c>
      <c r="S179" s="187"/>
      <c r="T179" s="187"/>
      <c r="U179" s="187"/>
      <c r="V179" s="187"/>
      <c r="W179" s="187"/>
      <c r="X179" s="187"/>
      <c r="Y179" s="187"/>
      <c r="Z179" s="187"/>
      <c r="AA179" s="187"/>
      <c r="AB179" s="187"/>
      <c r="AC179" s="187"/>
      <c r="AD179" s="187"/>
      <c r="AE179" s="187"/>
      <c r="AF179" s="187"/>
      <c r="AG179" s="187"/>
      <c r="AH179" s="187"/>
      <c r="AI179" s="187"/>
      <c r="AJ179" s="187"/>
      <c r="AK179" s="187"/>
      <c r="AL179" s="187"/>
      <c r="AM179" s="187"/>
      <c r="AN179" s="187"/>
      <c r="AO179" s="187"/>
      <c r="AP179" s="187"/>
      <c r="AQ179" s="187"/>
      <c r="AR179" s="187"/>
      <c r="AS179" s="187"/>
      <c r="AT179" s="187"/>
      <c r="AU179" s="187"/>
      <c r="AV179" s="187"/>
      <c r="AW179" s="187"/>
      <c r="AX179" s="187"/>
      <c r="AY179" s="187"/>
      <c r="AZ179" s="187"/>
      <c r="BA179" s="187"/>
      <c r="BB179" s="187"/>
      <c r="BC179" s="187"/>
      <c r="BD179" s="187"/>
      <c r="BE179" s="187"/>
      <c r="BF179" s="187"/>
      <c r="BG179" s="187"/>
      <c r="BH179" s="187"/>
      <c r="BI179" s="229"/>
      <c r="BJ179" s="229"/>
      <c r="BK179" s="229"/>
      <c r="BL179" s="229"/>
      <c r="BM179" s="187"/>
      <c r="BN179" s="389"/>
      <c r="BO179" s="439" t="str">
        <f t="shared" si="202"/>
        <v/>
      </c>
      <c r="BP179" s="389"/>
      <c r="BQ179" s="439" t="str">
        <f t="shared" si="202"/>
        <v/>
      </c>
    </row>
    <row r="180" spans="1:69" x14ac:dyDescent="0.25">
      <c r="A180" s="490"/>
      <c r="B180" s="492"/>
      <c r="C180" s="188"/>
      <c r="D180" s="46"/>
      <c r="E180" s="46"/>
      <c r="F180" s="46"/>
      <c r="G180" s="46"/>
      <c r="H180" s="46"/>
      <c r="I180" s="46"/>
      <c r="J180" s="46"/>
      <c r="K180" s="46"/>
      <c r="L180" s="46"/>
      <c r="M180" s="187"/>
      <c r="N180" s="187"/>
      <c r="O180" s="46"/>
      <c r="P180" s="46"/>
      <c r="Q180" s="46"/>
      <c r="R180" s="46"/>
      <c r="S180" s="187"/>
      <c r="T180" s="187"/>
      <c r="U180" s="187"/>
      <c r="V180" s="187"/>
      <c r="W180" s="187"/>
      <c r="X180" s="187"/>
      <c r="Y180" s="187"/>
      <c r="Z180" s="187"/>
      <c r="AA180" s="187"/>
      <c r="AB180" s="187"/>
      <c r="AC180" s="187"/>
      <c r="AD180" s="187"/>
      <c r="AE180" s="187"/>
      <c r="AF180" s="187"/>
      <c r="AG180" s="187"/>
      <c r="AH180" s="187"/>
      <c r="AI180" s="187"/>
      <c r="AJ180" s="187"/>
      <c r="AK180" s="187"/>
      <c r="AL180" s="187"/>
      <c r="AM180" s="187"/>
      <c r="AN180" s="187"/>
      <c r="AO180" s="187"/>
      <c r="AP180" s="187"/>
      <c r="AQ180" s="187"/>
      <c r="AR180" s="187"/>
      <c r="AS180" s="187"/>
      <c r="AT180" s="187"/>
      <c r="AU180" s="187"/>
      <c r="AV180" s="187"/>
      <c r="AW180" s="187"/>
      <c r="AX180" s="187"/>
      <c r="AY180" s="187"/>
      <c r="AZ180" s="187"/>
      <c r="BA180" s="187"/>
      <c r="BB180" s="187"/>
      <c r="BC180" s="187"/>
      <c r="BD180" s="187"/>
      <c r="BE180" s="187"/>
      <c r="BF180" s="187"/>
      <c r="BG180" s="187"/>
      <c r="BH180" s="187"/>
      <c r="BI180" s="229"/>
      <c r="BJ180" s="229"/>
      <c r="BK180" s="229"/>
      <c r="BL180" s="229"/>
      <c r="BM180" s="187"/>
      <c r="BN180" s="389"/>
      <c r="BO180" s="439" t="str">
        <f t="shared" si="202"/>
        <v/>
      </c>
      <c r="BP180" s="389"/>
      <c r="BQ180" s="439" t="str">
        <f t="shared" si="202"/>
        <v/>
      </c>
    </row>
    <row r="181" spans="1:69" x14ac:dyDescent="0.25">
      <c r="A181" s="228"/>
      <c r="B181" s="95" t="s">
        <v>380</v>
      </c>
      <c r="C181" s="93"/>
      <c r="D181" s="46"/>
      <c r="E181" s="46"/>
      <c r="F181" s="46"/>
      <c r="G181" s="212"/>
      <c r="H181" s="212"/>
      <c r="I181" s="212"/>
      <c r="J181" s="250"/>
      <c r="K181" s="250"/>
      <c r="L181" s="250"/>
      <c r="M181" s="250"/>
      <c r="N181" s="250"/>
      <c r="O181" s="250"/>
      <c r="P181" s="250"/>
      <c r="Q181" s="250"/>
      <c r="R181" s="250"/>
      <c r="S181" s="187"/>
      <c r="T181" s="187"/>
      <c r="U181" s="187"/>
      <c r="V181" s="187"/>
      <c r="W181" s="187"/>
      <c r="X181" s="187"/>
      <c r="Y181" s="187"/>
      <c r="Z181" s="187"/>
      <c r="AA181" s="187"/>
      <c r="AB181" s="187"/>
      <c r="AC181" s="187"/>
      <c r="AD181" s="187"/>
      <c r="AE181" s="187"/>
      <c r="AF181" s="187"/>
      <c r="AG181" s="187"/>
      <c r="AH181" s="187"/>
      <c r="AI181" s="187"/>
      <c r="AJ181" s="187"/>
      <c r="AK181" s="187"/>
      <c r="AL181" s="187"/>
      <c r="AM181" s="187"/>
      <c r="AN181" s="187"/>
      <c r="AO181" s="187"/>
      <c r="AP181" s="187"/>
      <c r="AQ181" s="187"/>
      <c r="AR181" s="187"/>
      <c r="AS181" s="187"/>
      <c r="AT181" s="187"/>
      <c r="AU181" s="187"/>
      <c r="AV181" s="187"/>
      <c r="AW181" s="187"/>
      <c r="AX181" s="187"/>
      <c r="AY181" s="187"/>
      <c r="AZ181" s="187"/>
      <c r="BA181" s="187"/>
      <c r="BB181" s="187"/>
      <c r="BC181" s="187"/>
      <c r="BD181" s="187"/>
      <c r="BE181" s="187"/>
      <c r="BF181" s="187"/>
      <c r="BG181" s="187"/>
      <c r="BH181" s="187"/>
      <c r="BI181" s="229"/>
      <c r="BJ181" s="229"/>
      <c r="BK181" s="229"/>
      <c r="BL181" s="229"/>
      <c r="BM181" s="187"/>
      <c r="BN181" s="389"/>
      <c r="BO181" s="439" t="str">
        <f t="shared" si="202"/>
        <v/>
      </c>
      <c r="BP181" s="389"/>
      <c r="BQ181" s="439" t="str">
        <f t="shared" si="202"/>
        <v/>
      </c>
    </row>
    <row r="182" spans="1:69" x14ac:dyDescent="0.25">
      <c r="A182" s="228"/>
      <c r="B182" s="129" t="s">
        <v>634</v>
      </c>
      <c r="C182" s="93" t="s">
        <v>298</v>
      </c>
      <c r="D182" s="108">
        <v>109241</v>
      </c>
      <c r="E182" s="108">
        <v>116068</v>
      </c>
      <c r="F182" s="108">
        <v>118459</v>
      </c>
      <c r="G182" s="108">
        <v>122403</v>
      </c>
      <c r="H182" s="108">
        <v>134663</v>
      </c>
      <c r="I182" s="108">
        <v>133741</v>
      </c>
      <c r="J182" s="108">
        <v>120783</v>
      </c>
      <c r="K182" s="108">
        <v>108990</v>
      </c>
      <c r="L182" s="108">
        <v>109220</v>
      </c>
      <c r="M182" s="108">
        <v>98912</v>
      </c>
      <c r="N182" s="108">
        <v>69995</v>
      </c>
      <c r="O182" s="108">
        <v>74573</v>
      </c>
      <c r="P182" s="108">
        <v>66238</v>
      </c>
      <c r="Q182" s="108">
        <v>60515</v>
      </c>
      <c r="R182" s="108">
        <v>56113</v>
      </c>
      <c r="S182" s="97">
        <f>O182*(1+S$169)*(1+S$171)</f>
        <v>84507.615060000011</v>
      </c>
      <c r="T182" s="97">
        <f t="shared" ref="S182:BG183" si="313">P182*(1+T$169)*(1+T$171)</f>
        <v>76345.918799999985</v>
      </c>
      <c r="U182" s="97">
        <f t="shared" si="313"/>
        <v>70984.095000000001</v>
      </c>
      <c r="V182" s="97">
        <f t="shared" si="313"/>
        <v>62958.786000000007</v>
      </c>
      <c r="W182" s="97">
        <f t="shared" si="313"/>
        <v>94817.544097320017</v>
      </c>
      <c r="X182" s="97">
        <f t="shared" si="313"/>
        <v>85660.120893599989</v>
      </c>
      <c r="Y182" s="97">
        <f t="shared" si="313"/>
        <v>79644.154590000006</v>
      </c>
      <c r="Z182" s="97">
        <f t="shared" si="313"/>
        <v>70639.757892000009</v>
      </c>
      <c r="AA182" s="97">
        <f t="shared" si="313"/>
        <v>106385.28447719307</v>
      </c>
      <c r="AB182" s="97">
        <f t="shared" si="313"/>
        <v>96110.655642619196</v>
      </c>
      <c r="AC182" s="97">
        <f t="shared" si="313"/>
        <v>89360.741449980022</v>
      </c>
      <c r="AD182" s="97">
        <f t="shared" si="313"/>
        <v>79257.80835482401</v>
      </c>
      <c r="AE182" s="97">
        <f t="shared" si="313"/>
        <v>119364.28918341063</v>
      </c>
      <c r="AF182" s="97">
        <f t="shared" si="313"/>
        <v>107836.15563101876</v>
      </c>
      <c r="AG182" s="97">
        <f t="shared" si="313"/>
        <v>100262.75190687759</v>
      </c>
      <c r="AH182" s="97">
        <f t="shared" si="313"/>
        <v>88927.260974112549</v>
      </c>
      <c r="AI182" s="97">
        <f t="shared" si="313"/>
        <v>133926.73246378673</v>
      </c>
      <c r="AJ182" s="97">
        <f t="shared" si="313"/>
        <v>120992.16661800307</v>
      </c>
      <c r="AK182" s="97">
        <f t="shared" si="313"/>
        <v>112494.80763951666</v>
      </c>
      <c r="AL182" s="97">
        <f t="shared" si="313"/>
        <v>99776.386812954297</v>
      </c>
      <c r="AM182" s="97">
        <f t="shared" si="313"/>
        <v>150265.79382436874</v>
      </c>
      <c r="AN182" s="97">
        <f t="shared" si="313"/>
        <v>135753.21094539945</v>
      </c>
      <c r="AO182" s="97">
        <f t="shared" si="313"/>
        <v>126219.1741715377</v>
      </c>
      <c r="AP182" s="97">
        <f t="shared" si="313"/>
        <v>111949.10600413474</v>
      </c>
      <c r="AQ182" s="97">
        <f t="shared" si="313"/>
        <v>168598.22067094175</v>
      </c>
      <c r="AR182" s="97">
        <f t="shared" si="313"/>
        <v>152315.1026807382</v>
      </c>
      <c r="AS182" s="97">
        <f t="shared" si="313"/>
        <v>141617.91342046531</v>
      </c>
      <c r="AT182" s="97">
        <f t="shared" si="313"/>
        <v>125606.89693663918</v>
      </c>
      <c r="AU182" s="97">
        <f t="shared" si="313"/>
        <v>189167.20359279666</v>
      </c>
      <c r="AV182" s="97">
        <f t="shared" si="313"/>
        <v>170897.54520778827</v>
      </c>
      <c r="AW182" s="97">
        <f t="shared" si="313"/>
        <v>158895.29885776207</v>
      </c>
      <c r="AX182" s="97">
        <f t="shared" si="313"/>
        <v>140930.93836290919</v>
      </c>
      <c r="AY182" s="97">
        <f t="shared" si="313"/>
        <v>212245.60243111788</v>
      </c>
      <c r="AZ182" s="97">
        <f t="shared" si="313"/>
        <v>191747.04572313844</v>
      </c>
      <c r="BA182" s="97">
        <f t="shared" si="313"/>
        <v>178280.52531840908</v>
      </c>
      <c r="BB182" s="97">
        <f t="shared" si="313"/>
        <v>158124.51284318411</v>
      </c>
      <c r="BC182" s="97">
        <f t="shared" si="313"/>
        <v>238139.56592771428</v>
      </c>
      <c r="BD182" s="97">
        <f t="shared" si="313"/>
        <v>215140.18530136137</v>
      </c>
      <c r="BE182" s="97">
        <f t="shared" si="313"/>
        <v>200030.749407255</v>
      </c>
      <c r="BF182" s="97">
        <f t="shared" si="313"/>
        <v>177415.70341005258</v>
      </c>
      <c r="BG182" s="97">
        <f t="shared" si="313"/>
        <v>267192.59297089546</v>
      </c>
      <c r="BH182" s="187"/>
      <c r="BI182" s="229"/>
      <c r="BJ182" s="229"/>
      <c r="BK182" s="229"/>
      <c r="BL182" s="229"/>
      <c r="BM182" s="187"/>
      <c r="BN182" s="370">
        <v>76774.715700000001</v>
      </c>
      <c r="BO182" s="420">
        <f t="shared" si="202"/>
        <v>-20661.715700000001</v>
      </c>
      <c r="BP182" s="370">
        <v>83679.109029999992</v>
      </c>
      <c r="BQ182" s="420">
        <f t="shared" si="202"/>
        <v>828.50603000001865</v>
      </c>
    </row>
    <row r="183" spans="1:69" x14ac:dyDescent="0.25">
      <c r="A183" s="228"/>
      <c r="B183" s="129" t="s">
        <v>635</v>
      </c>
      <c r="C183" s="93" t="s">
        <v>298</v>
      </c>
      <c r="D183" s="108">
        <v>687191</v>
      </c>
      <c r="E183" s="108">
        <v>824243</v>
      </c>
      <c r="F183" s="108">
        <v>908640</v>
      </c>
      <c r="G183" s="108">
        <v>1032702</v>
      </c>
      <c r="H183" s="108">
        <v>1085749</v>
      </c>
      <c r="I183" s="108">
        <v>1148541</v>
      </c>
      <c r="J183" s="108">
        <v>1169561</v>
      </c>
      <c r="K183" s="108">
        <v>1281357</v>
      </c>
      <c r="L183" s="108">
        <v>1332560</v>
      </c>
      <c r="M183" s="108">
        <v>1418172</v>
      </c>
      <c r="N183" s="108">
        <v>1430970</v>
      </c>
      <c r="O183" s="108">
        <v>1514273</v>
      </c>
      <c r="P183" s="108">
        <v>1511374</v>
      </c>
      <c r="Q183" s="108">
        <v>1640381</v>
      </c>
      <c r="R183" s="108">
        <v>1777646</v>
      </c>
      <c r="S183" s="97">
        <f t="shared" si="313"/>
        <v>1716004.44906</v>
      </c>
      <c r="T183" s="97">
        <f t="shared" si="313"/>
        <v>1742009.6723999998</v>
      </c>
      <c r="U183" s="97">
        <f t="shared" si="313"/>
        <v>1924166.9129999999</v>
      </c>
      <c r="V183" s="97">
        <f t="shared" si="313"/>
        <v>1994518.8120000002</v>
      </c>
      <c r="W183" s="97">
        <f t="shared" si="313"/>
        <v>1925356.9918453202</v>
      </c>
      <c r="X183" s="97">
        <f t="shared" si="313"/>
        <v>1954534.8524328</v>
      </c>
      <c r="Y183" s="97">
        <f t="shared" si="313"/>
        <v>2158915.2763860002</v>
      </c>
      <c r="Z183" s="97">
        <f t="shared" si="313"/>
        <v>2237850.1070640003</v>
      </c>
      <c r="AA183" s="97">
        <f t="shared" si="313"/>
        <v>2160250.5448504495</v>
      </c>
      <c r="AB183" s="97">
        <f t="shared" si="313"/>
        <v>2192988.1044296017</v>
      </c>
      <c r="AC183" s="97">
        <f t="shared" si="313"/>
        <v>2422302.9401050927</v>
      </c>
      <c r="AD183" s="97">
        <f t="shared" si="313"/>
        <v>2510867.8201258085</v>
      </c>
      <c r="AE183" s="97">
        <f t="shared" si="313"/>
        <v>2423801.1113222046</v>
      </c>
      <c r="AF183" s="97">
        <f t="shared" si="313"/>
        <v>2460532.6531700133</v>
      </c>
      <c r="AG183" s="97">
        <f t="shared" si="313"/>
        <v>2717823.8987979139</v>
      </c>
      <c r="AH183" s="97">
        <f t="shared" si="313"/>
        <v>2817193.6941811577</v>
      </c>
      <c r="AI183" s="97">
        <f t="shared" si="313"/>
        <v>2719504.8469035137</v>
      </c>
      <c r="AJ183" s="97">
        <f t="shared" si="313"/>
        <v>2760717.6368567552</v>
      </c>
      <c r="AK183" s="97">
        <f t="shared" si="313"/>
        <v>3049398.4144512601</v>
      </c>
      <c r="AL183" s="97">
        <f t="shared" si="313"/>
        <v>3160891.3248712593</v>
      </c>
      <c r="AM183" s="97">
        <f t="shared" si="313"/>
        <v>3051284.4382257429</v>
      </c>
      <c r="AN183" s="97">
        <f t="shared" si="313"/>
        <v>3097525.1885532797</v>
      </c>
      <c r="AO183" s="97">
        <f t="shared" si="313"/>
        <v>3421425.0210143141</v>
      </c>
      <c r="AP183" s="97">
        <f t="shared" si="313"/>
        <v>3546520.0665055532</v>
      </c>
      <c r="AQ183" s="97">
        <f t="shared" si="313"/>
        <v>3423541.1396892839</v>
      </c>
      <c r="AR183" s="97">
        <f t="shared" si="313"/>
        <v>3475423.2615567804</v>
      </c>
      <c r="AS183" s="97">
        <f t="shared" si="313"/>
        <v>3838838.8735780609</v>
      </c>
      <c r="AT183" s="97">
        <f t="shared" si="313"/>
        <v>3979195.5146192312</v>
      </c>
      <c r="AU183" s="97">
        <f t="shared" si="313"/>
        <v>3841213.1587313772</v>
      </c>
      <c r="AV183" s="97">
        <f t="shared" si="313"/>
        <v>3899424.8994667078</v>
      </c>
      <c r="AW183" s="97">
        <f t="shared" si="313"/>
        <v>4307177.2161545847</v>
      </c>
      <c r="AX183" s="97">
        <f t="shared" si="313"/>
        <v>4464657.367402778</v>
      </c>
      <c r="AY183" s="97">
        <f t="shared" si="313"/>
        <v>4309841.164096605</v>
      </c>
      <c r="AZ183" s="97">
        <f t="shared" si="313"/>
        <v>4375154.7372016469</v>
      </c>
      <c r="BA183" s="97">
        <f t="shared" si="313"/>
        <v>4832652.8365254439</v>
      </c>
      <c r="BB183" s="97">
        <f t="shared" si="313"/>
        <v>5009345.5662259171</v>
      </c>
      <c r="BC183" s="97">
        <f t="shared" si="313"/>
        <v>4835641.7861163914</v>
      </c>
      <c r="BD183" s="97">
        <f t="shared" si="313"/>
        <v>4908923.6151402481</v>
      </c>
      <c r="BE183" s="97">
        <f t="shared" si="313"/>
        <v>5422236.4825815484</v>
      </c>
      <c r="BF183" s="97">
        <f t="shared" si="313"/>
        <v>5620485.72530548</v>
      </c>
      <c r="BG183" s="97">
        <f t="shared" si="313"/>
        <v>5425590.0840225918</v>
      </c>
      <c r="BH183" s="187"/>
      <c r="BI183" s="229"/>
      <c r="BJ183" s="229"/>
      <c r="BK183" s="229"/>
      <c r="BL183" s="229"/>
      <c r="BM183" s="187"/>
      <c r="BN183" s="370">
        <v>1569573.7542000001</v>
      </c>
      <c r="BO183" s="420">
        <f t="shared" si="202"/>
        <v>208072.24579999992</v>
      </c>
      <c r="BP183" s="370">
        <v>1699180.8760299999</v>
      </c>
      <c r="BQ183" s="420">
        <f t="shared" si="202"/>
        <v>16823.573030000087</v>
      </c>
    </row>
    <row r="184" spans="1:69" x14ac:dyDescent="0.25">
      <c r="A184" s="228"/>
      <c r="B184" s="16" t="s">
        <v>660</v>
      </c>
      <c r="C184" s="2" t="s">
        <v>298</v>
      </c>
      <c r="D184" s="108">
        <v>1730793</v>
      </c>
      <c r="E184" s="108">
        <v>1785885</v>
      </c>
      <c r="F184" s="108">
        <v>1762752</v>
      </c>
      <c r="G184" s="108">
        <v>1833426</v>
      </c>
      <c r="H184" s="108">
        <v>2163751</v>
      </c>
      <c r="I184" s="108">
        <v>2390884</v>
      </c>
      <c r="J184" s="108">
        <v>2423584</v>
      </c>
      <c r="K184" s="108">
        <v>2520083</v>
      </c>
      <c r="L184" s="108">
        <v>2731124</v>
      </c>
      <c r="M184" s="108">
        <v>2611743</v>
      </c>
      <c r="N184" s="108">
        <v>2428608</v>
      </c>
      <c r="O184" s="108">
        <v>2427730</v>
      </c>
      <c r="P184" s="108">
        <v>2301402</v>
      </c>
      <c r="Q184" s="108">
        <v>2144032</v>
      </c>
      <c r="R184" s="108">
        <v>1965742</v>
      </c>
      <c r="S184" s="97">
        <f t="shared" ref="S184:BG184" si="314">O184*(1+S185)</f>
        <v>1942184</v>
      </c>
      <c r="T184" s="97">
        <f t="shared" si="314"/>
        <v>2531542.2000000002</v>
      </c>
      <c r="U184" s="97">
        <f t="shared" si="314"/>
        <v>2465636.7999999998</v>
      </c>
      <c r="V184" s="97">
        <f t="shared" si="314"/>
        <v>2260603.2999999998</v>
      </c>
      <c r="W184" s="97">
        <f t="shared" si="314"/>
        <v>2233511.5999999996</v>
      </c>
      <c r="X184" s="97">
        <f t="shared" si="314"/>
        <v>2911273.53</v>
      </c>
      <c r="Y184" s="97">
        <f t="shared" si="314"/>
        <v>2835482.3199999994</v>
      </c>
      <c r="Z184" s="97">
        <f t="shared" si="314"/>
        <v>2599693.7949999995</v>
      </c>
      <c r="AA184" s="97">
        <f t="shared" si="314"/>
        <v>2568538.3399999994</v>
      </c>
      <c r="AB184" s="97">
        <f t="shared" si="314"/>
        <v>3347964.5594999995</v>
      </c>
      <c r="AC184" s="97">
        <f t="shared" si="314"/>
        <v>3260804.6679999991</v>
      </c>
      <c r="AD184" s="97">
        <f t="shared" si="314"/>
        <v>2989647.8642499992</v>
      </c>
      <c r="AE184" s="97">
        <f t="shared" si="314"/>
        <v>2953819.0909999991</v>
      </c>
      <c r="AF184" s="97">
        <f t="shared" si="314"/>
        <v>3850159.2434249991</v>
      </c>
      <c r="AG184" s="97">
        <f t="shared" si="314"/>
        <v>3749925.3681999985</v>
      </c>
      <c r="AH184" s="97">
        <f t="shared" si="314"/>
        <v>3438095.0438874988</v>
      </c>
      <c r="AI184" s="97">
        <f t="shared" si="314"/>
        <v>3396891.9546499988</v>
      </c>
      <c r="AJ184" s="97">
        <f t="shared" si="314"/>
        <v>4427683.1299387487</v>
      </c>
      <c r="AK184" s="97">
        <f t="shared" si="314"/>
        <v>4312414.1734299976</v>
      </c>
      <c r="AL184" s="97">
        <f t="shared" si="314"/>
        <v>3953809.3004706232</v>
      </c>
      <c r="AM184" s="97">
        <f t="shared" si="314"/>
        <v>3906425.7478474984</v>
      </c>
      <c r="AN184" s="97">
        <f t="shared" si="314"/>
        <v>5091835.5994295608</v>
      </c>
      <c r="AO184" s="97">
        <f t="shared" si="314"/>
        <v>4959276.2994444966</v>
      </c>
      <c r="AP184" s="97">
        <f t="shared" si="314"/>
        <v>4546880.6955412161</v>
      </c>
      <c r="AQ184" s="97">
        <f t="shared" si="314"/>
        <v>4492389.6100246226</v>
      </c>
      <c r="AR184" s="97">
        <f t="shared" si="314"/>
        <v>5855610.9393439945</v>
      </c>
      <c r="AS184" s="97">
        <f t="shared" si="314"/>
        <v>5703167.7443611706</v>
      </c>
      <c r="AT184" s="97">
        <f t="shared" si="314"/>
        <v>5228912.7998723984</v>
      </c>
      <c r="AU184" s="97">
        <f t="shared" si="314"/>
        <v>5166248.051528316</v>
      </c>
      <c r="AV184" s="97">
        <f t="shared" si="314"/>
        <v>6733952.5802455936</v>
      </c>
      <c r="AW184" s="97">
        <f t="shared" si="314"/>
        <v>6558642.9060153458</v>
      </c>
      <c r="AX184" s="97">
        <f t="shared" si="314"/>
        <v>6013249.7198532578</v>
      </c>
      <c r="AY184" s="97">
        <f t="shared" si="314"/>
        <v>5941185.2592575634</v>
      </c>
      <c r="AZ184" s="97">
        <f t="shared" si="314"/>
        <v>7744045.4672824321</v>
      </c>
      <c r="BA184" s="97">
        <f t="shared" si="314"/>
        <v>7542439.341917647</v>
      </c>
      <c r="BB184" s="97">
        <f t="shared" si="314"/>
        <v>6915237.1778312456</v>
      </c>
      <c r="BC184" s="97">
        <f t="shared" si="314"/>
        <v>6832363.0481461976</v>
      </c>
      <c r="BD184" s="97">
        <f t="shared" si="314"/>
        <v>8905652.2873747963</v>
      </c>
      <c r="BE184" s="97">
        <f t="shared" si="314"/>
        <v>8673805.243205294</v>
      </c>
      <c r="BF184" s="97">
        <f t="shared" si="314"/>
        <v>7952522.7545059314</v>
      </c>
      <c r="BG184" s="97">
        <f t="shared" si="314"/>
        <v>7857217.5053681266</v>
      </c>
      <c r="BH184" s="187"/>
      <c r="BI184" s="229"/>
      <c r="BJ184" s="229"/>
      <c r="BK184" s="229"/>
      <c r="BL184" s="229"/>
      <c r="BM184" s="187"/>
      <c r="BN184" s="370">
        <v>3035760</v>
      </c>
      <c r="BO184" s="420">
        <f t="shared" si="202"/>
        <v>-1070018</v>
      </c>
      <c r="BP184" s="370">
        <v>3034662.5</v>
      </c>
      <c r="BQ184" s="420">
        <f t="shared" si="202"/>
        <v>-1092478.5</v>
      </c>
    </row>
    <row r="185" spans="1:69" x14ac:dyDescent="0.25">
      <c r="A185" s="245"/>
      <c r="B185" s="236" t="s">
        <v>299</v>
      </c>
      <c r="C185" s="216" t="s">
        <v>628</v>
      </c>
      <c r="D185" s="247">
        <v>-0.50700000000000001</v>
      </c>
      <c r="E185" s="247">
        <v>-0.34399999999999997</v>
      </c>
      <c r="F185" s="247">
        <v>-2.9000000000000001E-2</v>
      </c>
      <c r="G185" s="247">
        <v>-6.5000000000000002E-2</v>
      </c>
      <c r="H185" s="247">
        <v>0.25</v>
      </c>
      <c r="I185" s="247">
        <v>0.33900000000000002</v>
      </c>
      <c r="J185" s="247">
        <v>0.375</v>
      </c>
      <c r="K185" s="247">
        <v>0.375</v>
      </c>
      <c r="L185" s="247">
        <v>0.26200000000000001</v>
      </c>
      <c r="M185" s="247">
        <v>9.1999999999999998E-2</v>
      </c>
      <c r="N185" s="247">
        <v>2E-3</v>
      </c>
      <c r="O185" s="247">
        <v>-3.6999999999999998E-2</v>
      </c>
      <c r="P185" s="247">
        <v>-0.157</v>
      </c>
      <c r="Q185" s="336">
        <f>Q184/M184-1</f>
        <v>-0.17908002433623826</v>
      </c>
      <c r="R185" s="336">
        <f>R184/N184-1</f>
        <v>-0.19058901230663816</v>
      </c>
      <c r="S185" s="256">
        <v>-0.2</v>
      </c>
      <c r="T185" s="256">
        <f t="shared" ref="T185:BG185" si="315">T193</f>
        <v>0.1</v>
      </c>
      <c r="U185" s="256">
        <f t="shared" si="315"/>
        <v>0.15</v>
      </c>
      <c r="V185" s="256">
        <f t="shared" si="315"/>
        <v>0.15</v>
      </c>
      <c r="W185" s="256">
        <f t="shared" si="315"/>
        <v>0.15</v>
      </c>
      <c r="X185" s="256">
        <f t="shared" si="315"/>
        <v>0.15</v>
      </c>
      <c r="Y185" s="256">
        <f t="shared" si="315"/>
        <v>0.15</v>
      </c>
      <c r="Z185" s="256">
        <f t="shared" si="315"/>
        <v>0.15</v>
      </c>
      <c r="AA185" s="256">
        <f t="shared" si="315"/>
        <v>0.15</v>
      </c>
      <c r="AB185" s="256">
        <f t="shared" si="315"/>
        <v>0.15</v>
      </c>
      <c r="AC185" s="256">
        <f t="shared" si="315"/>
        <v>0.15</v>
      </c>
      <c r="AD185" s="256">
        <f t="shared" si="315"/>
        <v>0.15</v>
      </c>
      <c r="AE185" s="256">
        <f t="shared" si="315"/>
        <v>0.15</v>
      </c>
      <c r="AF185" s="256">
        <f t="shared" si="315"/>
        <v>0.15</v>
      </c>
      <c r="AG185" s="256">
        <f t="shared" si="315"/>
        <v>0.15</v>
      </c>
      <c r="AH185" s="256">
        <f t="shared" si="315"/>
        <v>0.15</v>
      </c>
      <c r="AI185" s="256">
        <f t="shared" si="315"/>
        <v>0.15</v>
      </c>
      <c r="AJ185" s="256">
        <f t="shared" si="315"/>
        <v>0.15</v>
      </c>
      <c r="AK185" s="256">
        <f t="shared" si="315"/>
        <v>0.15</v>
      </c>
      <c r="AL185" s="256">
        <f t="shared" si="315"/>
        <v>0.15</v>
      </c>
      <c r="AM185" s="256">
        <f t="shared" si="315"/>
        <v>0.15</v>
      </c>
      <c r="AN185" s="256">
        <f t="shared" si="315"/>
        <v>0.15</v>
      </c>
      <c r="AO185" s="256">
        <f t="shared" si="315"/>
        <v>0.15</v>
      </c>
      <c r="AP185" s="256">
        <f t="shared" si="315"/>
        <v>0.15</v>
      </c>
      <c r="AQ185" s="256">
        <f t="shared" si="315"/>
        <v>0.15</v>
      </c>
      <c r="AR185" s="256">
        <f t="shared" si="315"/>
        <v>0.15</v>
      </c>
      <c r="AS185" s="256">
        <f t="shared" si="315"/>
        <v>0.15</v>
      </c>
      <c r="AT185" s="256">
        <f t="shared" si="315"/>
        <v>0.15</v>
      </c>
      <c r="AU185" s="256">
        <f t="shared" si="315"/>
        <v>0.15</v>
      </c>
      <c r="AV185" s="256">
        <f t="shared" si="315"/>
        <v>0.15</v>
      </c>
      <c r="AW185" s="256">
        <f t="shared" si="315"/>
        <v>0.15</v>
      </c>
      <c r="AX185" s="256">
        <f t="shared" si="315"/>
        <v>0.15</v>
      </c>
      <c r="AY185" s="256">
        <f t="shared" si="315"/>
        <v>0.15</v>
      </c>
      <c r="AZ185" s="256">
        <f t="shared" si="315"/>
        <v>0.15</v>
      </c>
      <c r="BA185" s="256">
        <f t="shared" si="315"/>
        <v>0.15</v>
      </c>
      <c r="BB185" s="256">
        <f t="shared" si="315"/>
        <v>0.15</v>
      </c>
      <c r="BC185" s="256">
        <f t="shared" si="315"/>
        <v>0.15</v>
      </c>
      <c r="BD185" s="256">
        <f t="shared" si="315"/>
        <v>0.15</v>
      </c>
      <c r="BE185" s="256">
        <f t="shared" si="315"/>
        <v>0.15</v>
      </c>
      <c r="BF185" s="256">
        <f t="shared" si="315"/>
        <v>0.15</v>
      </c>
      <c r="BG185" s="256">
        <f t="shared" si="315"/>
        <v>0.15</v>
      </c>
      <c r="BH185" s="248"/>
      <c r="BI185" s="249"/>
      <c r="BJ185" s="249"/>
      <c r="BK185" s="249"/>
      <c r="BL185" s="249"/>
      <c r="BM185" s="248"/>
      <c r="BN185" s="408">
        <v>0.25</v>
      </c>
      <c r="BO185" s="458">
        <f t="shared" si="202"/>
        <v>-0.44058901230663816</v>
      </c>
      <c r="BP185" s="408">
        <v>0.25</v>
      </c>
      <c r="BQ185" s="458">
        <f t="shared" si="202"/>
        <v>-0.45</v>
      </c>
    </row>
    <row r="186" spans="1:69" x14ac:dyDescent="0.25">
      <c r="A186" s="228"/>
      <c r="B186" s="140" t="s">
        <v>297</v>
      </c>
      <c r="C186" s="24" t="s">
        <v>298</v>
      </c>
      <c r="D186" s="255">
        <v>2527225</v>
      </c>
      <c r="E186" s="255">
        <v>2726196</v>
      </c>
      <c r="F186" s="255">
        <v>2789851</v>
      </c>
      <c r="G186" s="255">
        <v>2988531</v>
      </c>
      <c r="H186" s="255">
        <v>3384163</v>
      </c>
      <c r="I186" s="255">
        <v>3673166</v>
      </c>
      <c r="J186" s="255">
        <v>3713928</v>
      </c>
      <c r="K186" s="255">
        <v>3910430</v>
      </c>
      <c r="L186" s="255">
        <v>4172904</v>
      </c>
      <c r="M186" s="255">
        <v>4128827</v>
      </c>
      <c r="N186" s="255">
        <v>3929573</v>
      </c>
      <c r="O186" s="255">
        <v>4016576</v>
      </c>
      <c r="P186" s="255">
        <v>3879014</v>
      </c>
      <c r="Q186" s="255">
        <f>Q182+Q183+Q184</f>
        <v>3844928</v>
      </c>
      <c r="R186" s="255">
        <f>R182+R183+R184</f>
        <v>3799501</v>
      </c>
      <c r="S186" s="255">
        <f t="shared" ref="S186:BF186" si="316">S182+S183+S184</f>
        <v>3742696.0641200002</v>
      </c>
      <c r="T186" s="255">
        <f t="shared" si="316"/>
        <v>4349897.7911999999</v>
      </c>
      <c r="U186" s="255">
        <f t="shared" si="316"/>
        <v>4460787.8080000002</v>
      </c>
      <c r="V186" s="255">
        <f t="shared" si="316"/>
        <v>4318080.898</v>
      </c>
      <c r="W186" s="255">
        <f t="shared" si="316"/>
        <v>4253686.1359426398</v>
      </c>
      <c r="X186" s="255">
        <f t="shared" si="316"/>
        <v>4951468.5033263993</v>
      </c>
      <c r="Y186" s="255">
        <f t="shared" si="316"/>
        <v>5074041.750976</v>
      </c>
      <c r="Z186" s="255">
        <f t="shared" si="316"/>
        <v>4908183.6599559998</v>
      </c>
      <c r="AA186" s="255">
        <f t="shared" si="316"/>
        <v>4835174.1693276418</v>
      </c>
      <c r="AB186" s="255">
        <f t="shared" si="316"/>
        <v>5637063.3195722206</v>
      </c>
      <c r="AC186" s="255">
        <f t="shared" si="316"/>
        <v>5772468.3495550714</v>
      </c>
      <c r="AD186" s="255">
        <f t="shared" si="316"/>
        <v>5579773.4927306315</v>
      </c>
      <c r="AE186" s="255">
        <f t="shared" si="316"/>
        <v>5496984.4915056145</v>
      </c>
      <c r="AF186" s="255">
        <f t="shared" si="316"/>
        <v>6418528.0522260312</v>
      </c>
      <c r="AG186" s="255">
        <f t="shared" si="316"/>
        <v>6568012.0189047903</v>
      </c>
      <c r="AH186" s="255">
        <f t="shared" si="316"/>
        <v>6344215.999042769</v>
      </c>
      <c r="AI186" s="255">
        <f t="shared" si="316"/>
        <v>6250323.5340172993</v>
      </c>
      <c r="AJ186" s="255">
        <f t="shared" si="316"/>
        <v>7309392.9334135074</v>
      </c>
      <c r="AK186" s="255">
        <f t="shared" si="316"/>
        <v>7474307.3955207746</v>
      </c>
      <c r="AL186" s="255">
        <f t="shared" si="316"/>
        <v>7214477.0121548362</v>
      </c>
      <c r="AM186" s="255">
        <f t="shared" si="316"/>
        <v>7107975.9798976099</v>
      </c>
      <c r="AN186" s="255">
        <f t="shared" si="316"/>
        <v>8325113.9989282396</v>
      </c>
      <c r="AO186" s="255">
        <f t="shared" si="316"/>
        <v>8506920.4946303479</v>
      </c>
      <c r="AP186" s="255">
        <f t="shared" si="316"/>
        <v>8205349.868050904</v>
      </c>
      <c r="AQ186" s="255">
        <f t="shared" si="316"/>
        <v>8084528.9703848483</v>
      </c>
      <c r="AR186" s="255">
        <f t="shared" si="316"/>
        <v>9483349.3035815135</v>
      </c>
      <c r="AS186" s="255">
        <f t="shared" si="316"/>
        <v>9683624.5313596968</v>
      </c>
      <c r="AT186" s="255">
        <f t="shared" si="316"/>
        <v>9333715.2114282697</v>
      </c>
      <c r="AU186" s="255">
        <f t="shared" si="316"/>
        <v>9196628.4138524905</v>
      </c>
      <c r="AV186" s="255">
        <f t="shared" si="316"/>
        <v>10804275.024920089</v>
      </c>
      <c r="AW186" s="255">
        <f t="shared" si="316"/>
        <v>11024715.421027694</v>
      </c>
      <c r="AX186" s="255">
        <f t="shared" si="316"/>
        <v>10618838.025618944</v>
      </c>
      <c r="AY186" s="255">
        <f t="shared" si="316"/>
        <v>10463272.025785286</v>
      </c>
      <c r="AZ186" s="255">
        <f t="shared" si="316"/>
        <v>12310947.250207217</v>
      </c>
      <c r="BA186" s="255">
        <f t="shared" si="316"/>
        <v>12553372.703761499</v>
      </c>
      <c r="BB186" s="255">
        <f t="shared" si="316"/>
        <v>12082707.256900348</v>
      </c>
      <c r="BC186" s="255">
        <f t="shared" si="316"/>
        <v>11906144.400190303</v>
      </c>
      <c r="BD186" s="255">
        <f t="shared" si="316"/>
        <v>14029716.087816406</v>
      </c>
      <c r="BE186" s="255">
        <f t="shared" si="316"/>
        <v>14296072.475194097</v>
      </c>
      <c r="BF186" s="255">
        <f t="shared" si="316"/>
        <v>13750424.183221463</v>
      </c>
      <c r="BG186" s="255">
        <f>BG182+BG183+BG184</f>
        <v>13550000.182361614</v>
      </c>
      <c r="BH186" s="187"/>
      <c r="BI186" s="229"/>
      <c r="BJ186" s="229"/>
      <c r="BK186" s="229"/>
      <c r="BL186" s="229"/>
      <c r="BM186" s="187"/>
      <c r="BN186" s="404">
        <v>4682108.4698999999</v>
      </c>
      <c r="BO186" s="454">
        <f t="shared" si="202"/>
        <v>-882607.46989999991</v>
      </c>
      <c r="BP186" s="404">
        <v>4817522.4850599999</v>
      </c>
      <c r="BQ186" s="454">
        <f t="shared" si="202"/>
        <v>-1074826.4209399996</v>
      </c>
    </row>
    <row r="187" spans="1:69" x14ac:dyDescent="0.25">
      <c r="A187" s="245"/>
      <c r="B187" s="236" t="s">
        <v>299</v>
      </c>
      <c r="C187" s="216" t="s">
        <v>628</v>
      </c>
      <c r="D187" s="247">
        <v>-0.374</v>
      </c>
      <c r="E187" s="247">
        <v>-0.18099999999999999</v>
      </c>
      <c r="F187" s="247">
        <v>0.16600000000000001</v>
      </c>
      <c r="G187" s="247">
        <v>0.17100000000000001</v>
      </c>
      <c r="H187" s="247">
        <v>0.33900000000000002</v>
      </c>
      <c r="I187" s="247">
        <v>0.34699999999999998</v>
      </c>
      <c r="J187" s="247">
        <v>0.33100000000000002</v>
      </c>
      <c r="K187" s="247">
        <v>0.308</v>
      </c>
      <c r="L187" s="247">
        <v>0.23300000000000001</v>
      </c>
      <c r="M187" s="247">
        <v>0.124</v>
      </c>
      <c r="N187" s="247">
        <v>5.8000000000000003E-2</v>
      </c>
      <c r="O187" s="247">
        <v>2.7E-2</v>
      </c>
      <c r="P187" s="247">
        <v>-7.0000000000000007E-2</v>
      </c>
      <c r="Q187" s="336">
        <f>Q186/M186-1</f>
        <v>-6.8760207196862488E-2</v>
      </c>
      <c r="R187" s="336">
        <f>R186/N186-1</f>
        <v>-3.3100797465780651E-2</v>
      </c>
      <c r="S187" s="336">
        <f t="shared" ref="S187:BG187" si="317">S186/O186-1</f>
        <v>-6.8187415320910105E-2</v>
      </c>
      <c r="T187" s="336">
        <f t="shared" si="317"/>
        <v>0.12139265060657167</v>
      </c>
      <c r="U187" s="336">
        <f t="shared" si="317"/>
        <v>0.16017460092880809</v>
      </c>
      <c r="V187" s="336">
        <f t="shared" si="317"/>
        <v>0.13648631701899805</v>
      </c>
      <c r="W187" s="336">
        <f t="shared" si="317"/>
        <v>0.13652994073479108</v>
      </c>
      <c r="X187" s="336">
        <f t="shared" si="317"/>
        <v>0.13829536715630386</v>
      </c>
      <c r="Y187" s="336">
        <f t="shared" si="317"/>
        <v>0.13747660040591647</v>
      </c>
      <c r="Z187" s="336">
        <f t="shared" si="317"/>
        <v>0.13665857029897621</v>
      </c>
      <c r="AA187" s="336">
        <f t="shared" si="317"/>
        <v>0.13670214839585038</v>
      </c>
      <c r="AB187" s="336">
        <f t="shared" si="317"/>
        <v>0.13846292585426689</v>
      </c>
      <c r="AC187" s="336">
        <f t="shared" si="317"/>
        <v>0.13764699481330211</v>
      </c>
      <c r="AD187" s="336">
        <f t="shared" si="317"/>
        <v>0.13683062397478674</v>
      </c>
      <c r="AE187" s="336">
        <f t="shared" si="317"/>
        <v>0.13687414330929903</v>
      </c>
      <c r="AF187" s="336">
        <f t="shared" si="317"/>
        <v>0.13862975956656687</v>
      </c>
      <c r="AG187" s="336">
        <f t="shared" si="317"/>
        <v>0.13781689585375334</v>
      </c>
      <c r="AH187" s="336">
        <f t="shared" si="317"/>
        <v>0.13700242622896042</v>
      </c>
      <c r="AI187" s="336">
        <f t="shared" si="317"/>
        <v>0.13704587372873345</v>
      </c>
      <c r="AJ187" s="336">
        <f t="shared" si="317"/>
        <v>0.13879582264636392</v>
      </c>
      <c r="AK187" s="336">
        <f t="shared" si="317"/>
        <v>0.13798625428933176</v>
      </c>
      <c r="AL187" s="336">
        <f t="shared" si="317"/>
        <v>0.13717392554783348</v>
      </c>
      <c r="AM187" s="336">
        <f t="shared" si="317"/>
        <v>0.13721728822716917</v>
      </c>
      <c r="AN187" s="336">
        <f t="shared" si="317"/>
        <v>0.13896107033342742</v>
      </c>
      <c r="AO187" s="336">
        <f t="shared" si="317"/>
        <v>0.13815502152458969</v>
      </c>
      <c r="AP187" s="336">
        <f t="shared" si="317"/>
        <v>0.13734507078290781</v>
      </c>
      <c r="AQ187" s="336">
        <f t="shared" si="317"/>
        <v>0.13738833575817821</v>
      </c>
      <c r="AR187" s="336">
        <f t="shared" si="317"/>
        <v>0.13912545879880844</v>
      </c>
      <c r="AS187" s="336">
        <f t="shared" si="317"/>
        <v>0.13832314966057302</v>
      </c>
      <c r="AT187" s="336">
        <f t="shared" si="317"/>
        <v>0.13751581121127709</v>
      </c>
      <c r="AU187" s="336">
        <f t="shared" si="317"/>
        <v>0.13755896571605741</v>
      </c>
      <c r="AV187" s="336">
        <f t="shared" si="317"/>
        <v>0.13928894518729895</v>
      </c>
      <c r="AW187" s="336">
        <f t="shared" si="317"/>
        <v>0.13849059154709842</v>
      </c>
      <c r="AX187" s="336">
        <f t="shared" si="317"/>
        <v>0.13768609659497222</v>
      </c>
      <c r="AY187" s="336">
        <f t="shared" si="317"/>
        <v>0.13772912799487513</v>
      </c>
      <c r="AZ187" s="336">
        <f t="shared" si="317"/>
        <v>0.13945148765761561</v>
      </c>
      <c r="BA187" s="336">
        <f t="shared" si="317"/>
        <v>0.1386573008331955</v>
      </c>
      <c r="BB187" s="336">
        <f t="shared" si="317"/>
        <v>0.13785587723908033</v>
      </c>
      <c r="BC187" s="336">
        <f t="shared" si="317"/>
        <v>0.13789877304625731</v>
      </c>
      <c r="BD187" s="336">
        <f t="shared" si="317"/>
        <v>0.13961304542022623</v>
      </c>
      <c r="BE187" s="336">
        <f t="shared" si="317"/>
        <v>0.13882323201560109</v>
      </c>
      <c r="BF187" s="336">
        <f t="shared" si="317"/>
        <v>0.13802510404848989</v>
      </c>
      <c r="BG187" s="336">
        <f t="shared" si="317"/>
        <v>0.13806785193576498</v>
      </c>
      <c r="BH187" s="248"/>
      <c r="BI187" s="249"/>
      <c r="BJ187" s="249"/>
      <c r="BK187" s="249"/>
      <c r="BL187" s="249"/>
      <c r="BM187" s="248"/>
      <c r="BN187" s="400">
        <v>0.19150565974979972</v>
      </c>
      <c r="BO187" s="450">
        <f t="shared" si="202"/>
        <v>-0.22460645721558037</v>
      </c>
      <c r="BP187" s="400">
        <v>0.19941026512631654</v>
      </c>
      <c r="BQ187" s="450">
        <f t="shared" si="202"/>
        <v>-0.26759768044722665</v>
      </c>
    </row>
    <row r="188" spans="1:69" x14ac:dyDescent="0.25">
      <c r="A188" s="490"/>
      <c r="B188" s="492"/>
      <c r="C188" s="93"/>
      <c r="D188" s="46"/>
      <c r="E188" s="46"/>
      <c r="F188" s="46"/>
      <c r="G188" s="212"/>
      <c r="H188" s="212"/>
      <c r="I188" s="2"/>
      <c r="J188" s="48"/>
      <c r="K188" s="48"/>
      <c r="L188" s="48"/>
      <c r="M188" s="48"/>
      <c r="N188" s="48"/>
      <c r="O188" s="48"/>
      <c r="P188" s="48"/>
      <c r="Q188" s="48"/>
      <c r="R188" s="48"/>
      <c r="S188" s="187"/>
      <c r="T188" s="187"/>
      <c r="U188" s="187"/>
      <c r="V188" s="187"/>
      <c r="W188" s="187"/>
      <c r="X188" s="187"/>
      <c r="Y188" s="187"/>
      <c r="Z188" s="187"/>
      <c r="AA188" s="187"/>
      <c r="AB188" s="187"/>
      <c r="AC188" s="187"/>
      <c r="AD188" s="187"/>
      <c r="AE188" s="187"/>
      <c r="AF188" s="187"/>
      <c r="AG188" s="187"/>
      <c r="AH188" s="187"/>
      <c r="AI188" s="187"/>
      <c r="AJ188" s="187"/>
      <c r="AK188" s="187"/>
      <c r="AL188" s="187"/>
      <c r="AM188" s="187"/>
      <c r="AN188" s="187"/>
      <c r="AO188" s="187"/>
      <c r="AP188" s="187"/>
      <c r="AQ188" s="187"/>
      <c r="AR188" s="187"/>
      <c r="AS188" s="187"/>
      <c r="AT188" s="187"/>
      <c r="AU188" s="187"/>
      <c r="AV188" s="187"/>
      <c r="AW188" s="187"/>
      <c r="AX188" s="187"/>
      <c r="AY188" s="187"/>
      <c r="AZ188" s="187"/>
      <c r="BA188" s="187"/>
      <c r="BB188" s="187"/>
      <c r="BC188" s="187"/>
      <c r="BD188" s="187"/>
      <c r="BE188" s="187"/>
      <c r="BF188" s="187"/>
      <c r="BG188" s="187"/>
      <c r="BH188" s="187"/>
      <c r="BI188" s="229"/>
      <c r="BJ188" s="229"/>
      <c r="BK188" s="229"/>
      <c r="BL188" s="229"/>
      <c r="BM188" s="187"/>
      <c r="BN188" s="389"/>
      <c r="BO188" s="439" t="str">
        <f t="shared" si="202"/>
        <v/>
      </c>
      <c r="BP188" s="389"/>
      <c r="BQ188" s="439" t="str">
        <f t="shared" si="202"/>
        <v/>
      </c>
    </row>
    <row r="189" spans="1:69" x14ac:dyDescent="0.25">
      <c r="A189" s="228"/>
      <c r="B189" s="92" t="s">
        <v>661</v>
      </c>
      <c r="C189" s="93" t="s">
        <v>298</v>
      </c>
      <c r="D189" s="108">
        <v>1687459</v>
      </c>
      <c r="E189" s="108">
        <v>1744425</v>
      </c>
      <c r="F189" s="108">
        <v>1726051</v>
      </c>
      <c r="G189" s="108">
        <v>1798798</v>
      </c>
      <c r="H189" s="108">
        <v>2113375</v>
      </c>
      <c r="I189" s="108">
        <v>2346633</v>
      </c>
      <c r="J189" s="108">
        <v>2378906</v>
      </c>
      <c r="K189" s="108">
        <v>2454199</v>
      </c>
      <c r="L189" s="108">
        <v>2651010</v>
      </c>
      <c r="M189" s="108">
        <v>2544329</v>
      </c>
      <c r="N189" s="108">
        <v>2364077</v>
      </c>
      <c r="O189" s="108">
        <v>2350970</v>
      </c>
      <c r="P189" s="108">
        <v>2236115</v>
      </c>
      <c r="Q189" s="108">
        <v>2062878</v>
      </c>
      <c r="R189" s="108">
        <v>1894767</v>
      </c>
      <c r="S189" s="187"/>
      <c r="T189" s="187"/>
      <c r="U189" s="187"/>
      <c r="V189" s="187"/>
      <c r="W189" s="187"/>
      <c r="X189" s="187"/>
      <c r="Y189" s="187"/>
      <c r="Z189" s="187"/>
      <c r="AA189" s="187"/>
      <c r="AB189" s="187"/>
      <c r="AC189" s="187"/>
      <c r="AD189" s="187"/>
      <c r="AE189" s="187"/>
      <c r="AF189" s="187"/>
      <c r="AG189" s="187"/>
      <c r="AH189" s="187"/>
      <c r="AI189" s="187"/>
      <c r="AJ189" s="187"/>
      <c r="AK189" s="187"/>
      <c r="AL189" s="187"/>
      <c r="AM189" s="187"/>
      <c r="AN189" s="187"/>
      <c r="AO189" s="187"/>
      <c r="AP189" s="187"/>
      <c r="AQ189" s="187"/>
      <c r="AR189" s="187"/>
      <c r="AS189" s="187"/>
      <c r="AT189" s="187"/>
      <c r="AU189" s="187"/>
      <c r="AV189" s="187"/>
      <c r="AW189" s="187"/>
      <c r="AX189" s="187"/>
      <c r="AY189" s="187"/>
      <c r="AZ189" s="187"/>
      <c r="BA189" s="187"/>
      <c r="BB189" s="187"/>
      <c r="BC189" s="187"/>
      <c r="BD189" s="187"/>
      <c r="BE189" s="187"/>
      <c r="BF189" s="187"/>
      <c r="BG189" s="187"/>
      <c r="BH189" s="187"/>
      <c r="BI189" s="229"/>
      <c r="BJ189" s="229"/>
      <c r="BK189" s="229"/>
      <c r="BL189" s="229"/>
      <c r="BM189" s="187"/>
      <c r="BN189" s="389"/>
      <c r="BO189" s="439" t="str">
        <f t="shared" si="202"/>
        <v/>
      </c>
      <c r="BP189" s="389"/>
      <c r="BQ189" s="439" t="str">
        <f t="shared" si="202"/>
        <v/>
      </c>
    </row>
    <row r="190" spans="1:69" x14ac:dyDescent="0.25">
      <c r="A190" s="490"/>
      <c r="B190" s="492"/>
      <c r="C190" s="93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187"/>
      <c r="T190" s="187"/>
      <c r="U190" s="187"/>
      <c r="V190" s="187"/>
      <c r="W190" s="187"/>
      <c r="X190" s="187"/>
      <c r="Y190" s="187"/>
      <c r="Z190" s="187"/>
      <c r="AA190" s="187"/>
      <c r="AB190" s="187"/>
      <c r="AC190" s="187"/>
      <c r="AD190" s="187"/>
      <c r="AE190" s="187"/>
      <c r="AF190" s="187"/>
      <c r="AG190" s="187"/>
      <c r="AH190" s="187"/>
      <c r="AI190" s="187"/>
      <c r="AJ190" s="187"/>
      <c r="AK190" s="187"/>
      <c r="AL190" s="187"/>
      <c r="AM190" s="187"/>
      <c r="AN190" s="187"/>
      <c r="AO190" s="187"/>
      <c r="AP190" s="187"/>
      <c r="AQ190" s="187"/>
      <c r="AR190" s="187"/>
      <c r="AS190" s="187"/>
      <c r="AT190" s="187"/>
      <c r="AU190" s="187"/>
      <c r="AV190" s="187"/>
      <c r="AW190" s="187"/>
      <c r="AX190" s="187"/>
      <c r="AY190" s="187"/>
      <c r="AZ190" s="187"/>
      <c r="BA190" s="187"/>
      <c r="BB190" s="187"/>
      <c r="BC190" s="187"/>
      <c r="BD190" s="187"/>
      <c r="BE190" s="187"/>
      <c r="BF190" s="187"/>
      <c r="BG190" s="187"/>
      <c r="BH190" s="187"/>
      <c r="BI190" s="229"/>
      <c r="BJ190" s="229"/>
      <c r="BK190" s="229"/>
      <c r="BL190" s="229"/>
      <c r="BM190" s="187"/>
      <c r="BN190" s="389"/>
      <c r="BO190" s="439" t="str">
        <f t="shared" si="202"/>
        <v/>
      </c>
      <c r="BP190" s="389"/>
      <c r="BQ190" s="439" t="str">
        <f t="shared" si="202"/>
        <v/>
      </c>
    </row>
    <row r="191" spans="1:69" x14ac:dyDescent="0.25">
      <c r="A191" s="228"/>
      <c r="B191" s="95" t="s">
        <v>43</v>
      </c>
      <c r="C191" s="93"/>
      <c r="D191" s="46"/>
      <c r="E191" s="46"/>
      <c r="F191" s="46"/>
      <c r="G191" s="212"/>
      <c r="H191" s="212"/>
      <c r="I191" s="2"/>
      <c r="J191" s="48"/>
      <c r="K191" s="48"/>
      <c r="L191" s="48"/>
      <c r="M191" s="48"/>
      <c r="N191" s="48"/>
      <c r="O191" s="48"/>
      <c r="P191" s="48"/>
      <c r="Q191" s="48"/>
      <c r="R191" s="48"/>
      <c r="S191" s="187"/>
      <c r="T191" s="187"/>
      <c r="U191" s="187"/>
      <c r="V191" s="187"/>
      <c r="W191" s="187"/>
      <c r="X191" s="187"/>
      <c r="Y191" s="187"/>
      <c r="Z191" s="187"/>
      <c r="AA191" s="187"/>
      <c r="AB191" s="187"/>
      <c r="AC191" s="187"/>
      <c r="AD191" s="187"/>
      <c r="AE191" s="187"/>
      <c r="AF191" s="187"/>
      <c r="AG191" s="187"/>
      <c r="AH191" s="187"/>
      <c r="AI191" s="187"/>
      <c r="AJ191" s="187"/>
      <c r="AK191" s="187"/>
      <c r="AL191" s="187"/>
      <c r="AM191" s="187"/>
      <c r="AN191" s="187"/>
      <c r="AO191" s="187"/>
      <c r="AP191" s="187"/>
      <c r="AQ191" s="187"/>
      <c r="AR191" s="187"/>
      <c r="AS191" s="187"/>
      <c r="AT191" s="187"/>
      <c r="AU191" s="187"/>
      <c r="AV191" s="187"/>
      <c r="AW191" s="187"/>
      <c r="AX191" s="187"/>
      <c r="AY191" s="187"/>
      <c r="AZ191" s="187"/>
      <c r="BA191" s="187"/>
      <c r="BB191" s="187"/>
      <c r="BC191" s="187"/>
      <c r="BD191" s="187"/>
      <c r="BE191" s="187"/>
      <c r="BF191" s="187"/>
      <c r="BG191" s="187"/>
      <c r="BH191" s="187"/>
      <c r="BI191" s="229"/>
      <c r="BJ191" s="229"/>
      <c r="BK191" s="229"/>
      <c r="BL191" s="229"/>
      <c r="BM191" s="187"/>
      <c r="BN191" s="389"/>
      <c r="BO191" s="439" t="str">
        <f t="shared" si="202"/>
        <v/>
      </c>
      <c r="BP191" s="389"/>
      <c r="BQ191" s="439" t="str">
        <f t="shared" si="202"/>
        <v/>
      </c>
    </row>
    <row r="192" spans="1:69" x14ac:dyDescent="0.25">
      <c r="A192" s="228" t="s">
        <v>662</v>
      </c>
      <c r="B192" s="92" t="s">
        <v>663</v>
      </c>
      <c r="C192" s="93" t="s">
        <v>298</v>
      </c>
      <c r="D192" s="97">
        <v>43334</v>
      </c>
      <c r="E192" s="97">
        <v>41460</v>
      </c>
      <c r="F192" s="97">
        <v>36701</v>
      </c>
      <c r="G192" s="97">
        <v>34628</v>
      </c>
      <c r="H192" s="97">
        <v>50376</v>
      </c>
      <c r="I192" s="97">
        <v>44251</v>
      </c>
      <c r="J192" s="97">
        <v>44678</v>
      </c>
      <c r="K192" s="97">
        <v>65884</v>
      </c>
      <c r="L192" s="97">
        <v>80114</v>
      </c>
      <c r="M192" s="97">
        <v>67414</v>
      </c>
      <c r="N192" s="97">
        <v>64531</v>
      </c>
      <c r="O192" s="97">
        <v>76760</v>
      </c>
      <c r="P192" s="97">
        <v>65287</v>
      </c>
      <c r="Q192" s="97">
        <f>Q184-Q189</f>
        <v>81154</v>
      </c>
      <c r="R192" s="97">
        <f>R184-R189</f>
        <v>70975</v>
      </c>
      <c r="S192" s="97">
        <f t="shared" ref="S192:BG192" si="318">O192*(1+S193)</f>
        <v>69084</v>
      </c>
      <c r="T192" s="97">
        <f t="shared" si="318"/>
        <v>71815.700000000012</v>
      </c>
      <c r="U192" s="97">
        <f t="shared" si="318"/>
        <v>93327.099999999991</v>
      </c>
      <c r="V192" s="97">
        <f t="shared" si="318"/>
        <v>81621.25</v>
      </c>
      <c r="W192" s="97">
        <f t="shared" si="318"/>
        <v>79446.599999999991</v>
      </c>
      <c r="X192" s="97">
        <f t="shared" si="318"/>
        <v>82588.055000000008</v>
      </c>
      <c r="Y192" s="97">
        <f t="shared" si="318"/>
        <v>107326.16499999998</v>
      </c>
      <c r="Z192" s="97">
        <f t="shared" si="318"/>
        <v>93864.4375</v>
      </c>
      <c r="AA192" s="97">
        <f t="shared" si="318"/>
        <v>91363.589999999982</v>
      </c>
      <c r="AB192" s="97">
        <f t="shared" si="318"/>
        <v>94976.263250000004</v>
      </c>
      <c r="AC192" s="97">
        <f t="shared" si="318"/>
        <v>123425.08974999997</v>
      </c>
      <c r="AD192" s="97">
        <f t="shared" si="318"/>
        <v>107944.10312499999</v>
      </c>
      <c r="AE192" s="97">
        <f t="shared" si="318"/>
        <v>105068.12849999998</v>
      </c>
      <c r="AF192" s="97">
        <f t="shared" si="318"/>
        <v>109222.70273749999</v>
      </c>
      <c r="AG192" s="97">
        <f t="shared" si="318"/>
        <v>141938.85321249996</v>
      </c>
      <c r="AH192" s="97">
        <f t="shared" si="318"/>
        <v>124135.71859374999</v>
      </c>
      <c r="AI192" s="97">
        <f t="shared" si="318"/>
        <v>120828.34777499996</v>
      </c>
      <c r="AJ192" s="97">
        <f t="shared" si="318"/>
        <v>125606.10814812497</v>
      </c>
      <c r="AK192" s="97">
        <f t="shared" si="318"/>
        <v>163229.68119437495</v>
      </c>
      <c r="AL192" s="97">
        <f t="shared" si="318"/>
        <v>142756.07638281246</v>
      </c>
      <c r="AM192" s="97">
        <f t="shared" si="318"/>
        <v>138952.59994124994</v>
      </c>
      <c r="AN192" s="97">
        <f t="shared" si="318"/>
        <v>144447.02437034372</v>
      </c>
      <c r="AO192" s="97">
        <f t="shared" si="318"/>
        <v>187714.13337353116</v>
      </c>
      <c r="AP192" s="97">
        <f t="shared" si="318"/>
        <v>164169.48784023433</v>
      </c>
      <c r="AQ192" s="97">
        <f t="shared" si="318"/>
        <v>159795.48993243743</v>
      </c>
      <c r="AR192" s="97">
        <f t="shared" si="318"/>
        <v>166114.07802589526</v>
      </c>
      <c r="AS192" s="97">
        <f t="shared" si="318"/>
        <v>215871.25337956083</v>
      </c>
      <c r="AT192" s="97">
        <f t="shared" si="318"/>
        <v>188794.91101626947</v>
      </c>
      <c r="AU192" s="97">
        <f t="shared" si="318"/>
        <v>183764.81342230304</v>
      </c>
      <c r="AV192" s="97">
        <f t="shared" si="318"/>
        <v>191031.18972977952</v>
      </c>
      <c r="AW192" s="97">
        <f t="shared" si="318"/>
        <v>248251.94138649493</v>
      </c>
      <c r="AX192" s="97">
        <f t="shared" si="318"/>
        <v>217114.14766870986</v>
      </c>
      <c r="AY192" s="97">
        <f t="shared" si="318"/>
        <v>211329.53543564846</v>
      </c>
      <c r="AZ192" s="97">
        <f t="shared" si="318"/>
        <v>219685.86818924642</v>
      </c>
      <c r="BA192" s="97">
        <f t="shared" si="318"/>
        <v>285489.73259446915</v>
      </c>
      <c r="BB192" s="97">
        <f t="shared" si="318"/>
        <v>249681.26981901634</v>
      </c>
      <c r="BC192" s="97">
        <f t="shared" si="318"/>
        <v>243028.9657509957</v>
      </c>
      <c r="BD192" s="97">
        <f t="shared" si="318"/>
        <v>252638.74841763335</v>
      </c>
      <c r="BE192" s="97">
        <f t="shared" si="318"/>
        <v>328313.19248363952</v>
      </c>
      <c r="BF192" s="97">
        <f t="shared" si="318"/>
        <v>287133.46029186877</v>
      </c>
      <c r="BG192" s="97">
        <f t="shared" si="318"/>
        <v>279483.31061364507</v>
      </c>
      <c r="BH192" s="187"/>
      <c r="BI192" s="229"/>
      <c r="BJ192" s="229"/>
      <c r="BK192" s="229"/>
      <c r="BL192" s="229"/>
      <c r="BM192" s="187"/>
      <c r="BN192" s="370">
        <v>80663.75</v>
      </c>
      <c r="BO192" s="420">
        <f t="shared" si="202"/>
        <v>-9688.75</v>
      </c>
      <c r="BP192" s="370">
        <v>95950</v>
      </c>
      <c r="BQ192" s="420">
        <f t="shared" si="202"/>
        <v>-26866</v>
      </c>
    </row>
    <row r="193" spans="1:69" x14ac:dyDescent="0.25">
      <c r="A193" s="245"/>
      <c r="B193" s="236" t="s">
        <v>299</v>
      </c>
      <c r="C193" s="216" t="s">
        <v>628</v>
      </c>
      <c r="D193" s="213"/>
      <c r="E193" s="213"/>
      <c r="F193" s="213"/>
      <c r="G193" s="212"/>
      <c r="H193" s="247">
        <v>0.16300000000000001</v>
      </c>
      <c r="I193" s="247">
        <v>6.7000000000000004E-2</v>
      </c>
      <c r="J193" s="247">
        <v>0.217</v>
      </c>
      <c r="K193" s="247">
        <v>0.90300000000000002</v>
      </c>
      <c r="L193" s="247">
        <v>0.59</v>
      </c>
      <c r="M193" s="247">
        <v>0.52300000000000002</v>
      </c>
      <c r="N193" s="247">
        <v>0.44400000000000001</v>
      </c>
      <c r="O193" s="247">
        <v>0.16500000000000001</v>
      </c>
      <c r="P193" s="247">
        <v>-0.185</v>
      </c>
      <c r="Q193" s="336">
        <f>Q192/M192-1</f>
        <v>0.20381523125760226</v>
      </c>
      <c r="R193" s="336">
        <f>R192/N192-1</f>
        <v>9.9858982504532623E-2</v>
      </c>
      <c r="S193" s="256">
        <v>-0.1</v>
      </c>
      <c r="T193" s="256">
        <v>0.1</v>
      </c>
      <c r="U193" s="256">
        <v>0.15</v>
      </c>
      <c r="V193" s="256">
        <v>0.15</v>
      </c>
      <c r="W193" s="256">
        <v>0.15</v>
      </c>
      <c r="X193" s="256">
        <v>0.15</v>
      </c>
      <c r="Y193" s="256">
        <v>0.15</v>
      </c>
      <c r="Z193" s="256">
        <v>0.15</v>
      </c>
      <c r="AA193" s="256">
        <v>0.15</v>
      </c>
      <c r="AB193" s="256">
        <v>0.15</v>
      </c>
      <c r="AC193" s="256">
        <v>0.15</v>
      </c>
      <c r="AD193" s="256">
        <v>0.15</v>
      </c>
      <c r="AE193" s="256">
        <v>0.15</v>
      </c>
      <c r="AF193" s="256">
        <v>0.15</v>
      </c>
      <c r="AG193" s="256">
        <v>0.15</v>
      </c>
      <c r="AH193" s="256">
        <v>0.15</v>
      </c>
      <c r="AI193" s="256">
        <v>0.15</v>
      </c>
      <c r="AJ193" s="256">
        <v>0.15</v>
      </c>
      <c r="AK193" s="256">
        <v>0.15</v>
      </c>
      <c r="AL193" s="256">
        <v>0.15</v>
      </c>
      <c r="AM193" s="256">
        <v>0.15</v>
      </c>
      <c r="AN193" s="256">
        <v>0.15</v>
      </c>
      <c r="AO193" s="256">
        <v>0.15</v>
      </c>
      <c r="AP193" s="256">
        <v>0.15</v>
      </c>
      <c r="AQ193" s="256">
        <v>0.15</v>
      </c>
      <c r="AR193" s="256">
        <v>0.15</v>
      </c>
      <c r="AS193" s="256">
        <v>0.15</v>
      </c>
      <c r="AT193" s="256">
        <v>0.15</v>
      </c>
      <c r="AU193" s="256">
        <v>0.15</v>
      </c>
      <c r="AV193" s="256">
        <v>0.15</v>
      </c>
      <c r="AW193" s="256">
        <v>0.15</v>
      </c>
      <c r="AX193" s="256">
        <v>0.15</v>
      </c>
      <c r="AY193" s="256">
        <v>0.15</v>
      </c>
      <c r="AZ193" s="256">
        <v>0.15</v>
      </c>
      <c r="BA193" s="256">
        <v>0.15</v>
      </c>
      <c r="BB193" s="256">
        <v>0.15</v>
      </c>
      <c r="BC193" s="256">
        <v>0.15</v>
      </c>
      <c r="BD193" s="256">
        <v>0.15</v>
      </c>
      <c r="BE193" s="256">
        <v>0.15</v>
      </c>
      <c r="BF193" s="256">
        <v>0.15</v>
      </c>
      <c r="BG193" s="256">
        <v>0.15</v>
      </c>
      <c r="BH193" s="248"/>
      <c r="BI193" s="249"/>
      <c r="BJ193" s="249"/>
      <c r="BK193" s="249"/>
      <c r="BL193" s="249"/>
      <c r="BM193" s="248"/>
      <c r="BN193" s="408">
        <v>0.25</v>
      </c>
      <c r="BO193" s="458">
        <f t="shared" si="202"/>
        <v>-0.15014101749546738</v>
      </c>
      <c r="BP193" s="408">
        <v>0.25</v>
      </c>
      <c r="BQ193" s="458">
        <f t="shared" si="202"/>
        <v>-0.35</v>
      </c>
    </row>
    <row r="194" spans="1:69" x14ac:dyDescent="0.25">
      <c r="A194" s="228" t="s">
        <v>664</v>
      </c>
      <c r="B194" s="92" t="s">
        <v>665</v>
      </c>
      <c r="C194" s="93" t="s">
        <v>298</v>
      </c>
      <c r="D194" s="97">
        <v>93935</v>
      </c>
      <c r="E194" s="108">
        <v>149648</v>
      </c>
      <c r="F194" s="108">
        <v>149730</v>
      </c>
      <c r="G194" s="108">
        <v>196492</v>
      </c>
      <c r="H194" s="97">
        <v>161021</v>
      </c>
      <c r="I194" s="97">
        <v>170487</v>
      </c>
      <c r="J194" s="97">
        <v>187172</v>
      </c>
      <c r="K194" s="97">
        <v>241388</v>
      </c>
      <c r="L194" s="97">
        <v>199809</v>
      </c>
      <c r="M194" s="97">
        <v>214924</v>
      </c>
      <c r="N194" s="97">
        <v>237672</v>
      </c>
      <c r="O194" s="97">
        <v>295419</v>
      </c>
      <c r="P194" s="97">
        <v>229150</v>
      </c>
      <c r="Q194" s="97">
        <v>264991</v>
      </c>
      <c r="R194" s="97">
        <v>264991</v>
      </c>
      <c r="S194" s="97">
        <f t="shared" ref="S194" si="319">O194*(1+S195)</f>
        <v>369273.75</v>
      </c>
      <c r="T194" s="97">
        <f t="shared" ref="T194" si="320">P194*(1+T195)</f>
        <v>286437.5</v>
      </c>
      <c r="U194" s="97">
        <f t="shared" ref="U194" si="321">Q194*(1+U195)</f>
        <v>331238.75</v>
      </c>
      <c r="V194" s="97">
        <f t="shared" ref="V194" si="322">R194*(1+V195)</f>
        <v>331238.75</v>
      </c>
      <c r="W194" s="97">
        <f t="shared" ref="W194" si="323">S194*(1+W195)</f>
        <v>461592.1875</v>
      </c>
      <c r="X194" s="97">
        <f t="shared" ref="X194" si="324">T194*(1+X195)</f>
        <v>358046.875</v>
      </c>
      <c r="Y194" s="97">
        <f t="shared" ref="Y194" si="325">U194*(1+Y195)</f>
        <v>414048.4375</v>
      </c>
      <c r="Z194" s="97">
        <f t="shared" ref="Z194" si="326">V194*(1+Z195)</f>
        <v>414048.4375</v>
      </c>
      <c r="AA194" s="97">
        <f t="shared" ref="AA194" si="327">W194*(1+AA195)</f>
        <v>576990.234375</v>
      </c>
      <c r="AB194" s="97">
        <f t="shared" ref="AB194" si="328">X194*(1+AB195)</f>
        <v>447558.59375</v>
      </c>
      <c r="AC194" s="97">
        <f t="shared" ref="AC194" si="329">Y194*(1+AC195)</f>
        <v>517560.546875</v>
      </c>
      <c r="AD194" s="97">
        <f t="shared" ref="AD194" si="330">Z194*(1+AD195)</f>
        <v>517560.546875</v>
      </c>
      <c r="AE194" s="97">
        <f t="shared" ref="AE194" si="331">AA194*(1+AE195)</f>
        <v>721237.79296875</v>
      </c>
      <c r="AF194" s="97">
        <f t="shared" ref="AF194" si="332">AB194*(1+AF195)</f>
        <v>559448.2421875</v>
      </c>
      <c r="AG194" s="97">
        <f t="shared" ref="AG194" si="333">AC194*(1+AG195)</f>
        <v>646950.68359375</v>
      </c>
      <c r="AH194" s="97">
        <f t="shared" ref="AH194" si="334">AD194*(1+AH195)</f>
        <v>646950.68359375</v>
      </c>
      <c r="AI194" s="97">
        <f t="shared" ref="AI194" si="335">AE194*(1+AI195)</f>
        <v>901547.2412109375</v>
      </c>
      <c r="AJ194" s="97">
        <f t="shared" ref="AJ194" si="336">AF194*(1+AJ195)</f>
        <v>699310.302734375</v>
      </c>
      <c r="AK194" s="97">
        <f t="shared" ref="AK194" si="337">AG194*(1+AK195)</f>
        <v>808688.3544921875</v>
      </c>
      <c r="AL194" s="97">
        <f t="shared" ref="AL194" si="338">AH194*(1+AL195)</f>
        <v>808688.3544921875</v>
      </c>
      <c r="AM194" s="97">
        <f t="shared" ref="AM194" si="339">AI194*(1+AM195)</f>
        <v>1126934.0515136719</v>
      </c>
      <c r="AN194" s="97">
        <f t="shared" ref="AN194" si="340">AJ194*(1+AN195)</f>
        <v>874137.87841796875</v>
      </c>
      <c r="AO194" s="97">
        <f t="shared" ref="AO194" si="341">AK194*(1+AO195)</f>
        <v>1010860.4431152344</v>
      </c>
      <c r="AP194" s="97">
        <f t="shared" ref="AP194" si="342">AL194*(1+AP195)</f>
        <v>1010860.4431152344</v>
      </c>
      <c r="AQ194" s="97">
        <f t="shared" ref="AQ194" si="343">AM194*(1+AQ195)</f>
        <v>1408667.5643920898</v>
      </c>
      <c r="AR194" s="97">
        <f t="shared" ref="AR194" si="344">AN194*(1+AR195)</f>
        <v>1092672.3480224609</v>
      </c>
      <c r="AS194" s="97">
        <f t="shared" ref="AS194" si="345">AO194*(1+AS195)</f>
        <v>1263575.553894043</v>
      </c>
      <c r="AT194" s="97">
        <f t="shared" ref="AT194" si="346">AP194*(1+AT195)</f>
        <v>1263575.553894043</v>
      </c>
      <c r="AU194" s="97">
        <f t="shared" ref="AU194" si="347">AQ194*(1+AU195)</f>
        <v>1760834.4554901123</v>
      </c>
      <c r="AV194" s="97">
        <f t="shared" ref="AV194" si="348">AR194*(1+AV195)</f>
        <v>1365840.4350280762</v>
      </c>
      <c r="AW194" s="97">
        <f t="shared" ref="AW194" si="349">AS194*(1+AW195)</f>
        <v>1579469.4423675537</v>
      </c>
      <c r="AX194" s="97">
        <f t="shared" ref="AX194" si="350">AT194*(1+AX195)</f>
        <v>1579469.4423675537</v>
      </c>
      <c r="AY194" s="97">
        <f t="shared" ref="AY194" si="351">AU194*(1+AY195)</f>
        <v>2201043.0693626404</v>
      </c>
      <c r="AZ194" s="97">
        <f t="shared" ref="AZ194" si="352">AV194*(1+AZ195)</f>
        <v>1707300.5437850952</v>
      </c>
      <c r="BA194" s="97">
        <f t="shared" ref="BA194" si="353">AW194*(1+BA195)</f>
        <v>1974336.8029594421</v>
      </c>
      <c r="BB194" s="97">
        <f t="shared" ref="BB194" si="354">AX194*(1+BB195)</f>
        <v>1974336.8029594421</v>
      </c>
      <c r="BC194" s="97">
        <f t="shared" ref="BC194" si="355">AY194*(1+BC195)</f>
        <v>2751303.8367033005</v>
      </c>
      <c r="BD194" s="97">
        <f t="shared" ref="BD194" si="356">AZ194*(1+BD195)</f>
        <v>2134125.679731369</v>
      </c>
      <c r="BE194" s="97">
        <f t="shared" ref="BE194" si="357">BA194*(1+BE195)</f>
        <v>2467921.0036993027</v>
      </c>
      <c r="BF194" s="97">
        <f t="shared" ref="BF194" si="358">BB194*(1+BF195)</f>
        <v>2467921.0036993027</v>
      </c>
      <c r="BG194" s="97">
        <f t="shared" ref="BG194" si="359">BC194*(1+BG195)</f>
        <v>3439129.7958791256</v>
      </c>
      <c r="BH194" s="187"/>
      <c r="BI194" s="229"/>
      <c r="BJ194" s="229"/>
      <c r="BK194" s="229"/>
      <c r="BL194" s="229"/>
      <c r="BM194" s="187"/>
      <c r="BN194" s="370">
        <v>297090</v>
      </c>
      <c r="BO194" s="420">
        <f t="shared" si="202"/>
        <v>-32099</v>
      </c>
      <c r="BP194" s="370">
        <v>369273.75</v>
      </c>
      <c r="BQ194" s="420">
        <f t="shared" si="202"/>
        <v>0</v>
      </c>
    </row>
    <row r="195" spans="1:69" x14ac:dyDescent="0.25">
      <c r="A195" s="245"/>
      <c r="B195" s="236" t="s">
        <v>299</v>
      </c>
      <c r="C195" s="216" t="s">
        <v>628</v>
      </c>
      <c r="D195" s="213"/>
      <c r="E195" s="213"/>
      <c r="F195" s="213"/>
      <c r="G195" s="212"/>
      <c r="H195" s="212"/>
      <c r="I195" s="212"/>
      <c r="J195" s="212"/>
      <c r="K195" s="212"/>
      <c r="L195" s="247">
        <v>0.24099999999999999</v>
      </c>
      <c r="M195" s="247">
        <v>0.26100000000000001</v>
      </c>
      <c r="N195" s="247">
        <v>0.27</v>
      </c>
      <c r="O195" s="247">
        <v>0.224</v>
      </c>
      <c r="P195" s="247">
        <v>0.14699999999999999</v>
      </c>
      <c r="Q195" s="247">
        <v>0.23300000000000001</v>
      </c>
      <c r="R195" s="247">
        <v>0.23300000000000001</v>
      </c>
      <c r="S195" s="256">
        <v>0.25</v>
      </c>
      <c r="T195" s="256">
        <v>0.25</v>
      </c>
      <c r="U195" s="256">
        <v>0.25</v>
      </c>
      <c r="V195" s="256">
        <v>0.25</v>
      </c>
      <c r="W195" s="256">
        <v>0.25</v>
      </c>
      <c r="X195" s="256">
        <v>0.25</v>
      </c>
      <c r="Y195" s="256">
        <v>0.25</v>
      </c>
      <c r="Z195" s="256">
        <v>0.25</v>
      </c>
      <c r="AA195" s="256">
        <v>0.25</v>
      </c>
      <c r="AB195" s="256">
        <v>0.25</v>
      </c>
      <c r="AC195" s="256">
        <v>0.25</v>
      </c>
      <c r="AD195" s="256">
        <v>0.25</v>
      </c>
      <c r="AE195" s="256">
        <v>0.25</v>
      </c>
      <c r="AF195" s="256">
        <v>0.25</v>
      </c>
      <c r="AG195" s="256">
        <v>0.25</v>
      </c>
      <c r="AH195" s="256">
        <v>0.25</v>
      </c>
      <c r="AI195" s="256">
        <v>0.25</v>
      </c>
      <c r="AJ195" s="256">
        <v>0.25</v>
      </c>
      <c r="AK195" s="256">
        <v>0.25</v>
      </c>
      <c r="AL195" s="256">
        <v>0.25</v>
      </c>
      <c r="AM195" s="256">
        <v>0.25</v>
      </c>
      <c r="AN195" s="256">
        <v>0.25</v>
      </c>
      <c r="AO195" s="256">
        <v>0.25</v>
      </c>
      <c r="AP195" s="256">
        <v>0.25</v>
      </c>
      <c r="AQ195" s="256">
        <v>0.25</v>
      </c>
      <c r="AR195" s="256">
        <v>0.25</v>
      </c>
      <c r="AS195" s="256">
        <v>0.25</v>
      </c>
      <c r="AT195" s="256">
        <v>0.25</v>
      </c>
      <c r="AU195" s="256">
        <v>0.25</v>
      </c>
      <c r="AV195" s="256">
        <v>0.25</v>
      </c>
      <c r="AW195" s="256">
        <v>0.25</v>
      </c>
      <c r="AX195" s="256">
        <v>0.25</v>
      </c>
      <c r="AY195" s="256">
        <v>0.25</v>
      </c>
      <c r="AZ195" s="256">
        <v>0.25</v>
      </c>
      <c r="BA195" s="256">
        <v>0.25</v>
      </c>
      <c r="BB195" s="256">
        <v>0.25</v>
      </c>
      <c r="BC195" s="256">
        <v>0.25</v>
      </c>
      <c r="BD195" s="256">
        <v>0.25</v>
      </c>
      <c r="BE195" s="256">
        <v>0.25</v>
      </c>
      <c r="BF195" s="256">
        <v>0.25</v>
      </c>
      <c r="BG195" s="256">
        <v>0.25</v>
      </c>
      <c r="BH195" s="248"/>
      <c r="BI195" s="249"/>
      <c r="BJ195" s="249"/>
      <c r="BK195" s="249"/>
      <c r="BL195" s="249"/>
      <c r="BM195" s="248"/>
      <c r="BN195" s="408">
        <v>0.25</v>
      </c>
      <c r="BO195" s="458">
        <f t="shared" si="202"/>
        <v>-1.6999999999999987E-2</v>
      </c>
      <c r="BP195" s="408">
        <v>0.25</v>
      </c>
      <c r="BQ195" s="458">
        <f t="shared" si="202"/>
        <v>0</v>
      </c>
    </row>
    <row r="196" spans="1:69" x14ac:dyDescent="0.25">
      <c r="A196" s="228" t="s">
        <v>666</v>
      </c>
      <c r="B196" s="92" t="s">
        <v>667</v>
      </c>
      <c r="C196" s="93" t="s">
        <v>298</v>
      </c>
      <c r="D196" s="97">
        <v>532531</v>
      </c>
      <c r="E196" s="97">
        <v>588609</v>
      </c>
      <c r="F196" s="97">
        <v>662904</v>
      </c>
      <c r="G196" s="97">
        <v>715070</v>
      </c>
      <c r="H196" s="97">
        <v>798557</v>
      </c>
      <c r="I196" s="97">
        <v>837547</v>
      </c>
      <c r="J196" s="97">
        <v>845640</v>
      </c>
      <c r="K196" s="97">
        <v>876462</v>
      </c>
      <c r="L196" s="97">
        <v>978604</v>
      </c>
      <c r="M196" s="97">
        <v>1016606</v>
      </c>
      <c r="N196" s="97">
        <v>1003740</v>
      </c>
      <c r="O196" s="97">
        <v>1003419</v>
      </c>
      <c r="P196" s="97">
        <v>1085515</v>
      </c>
      <c r="Q196" s="97">
        <f>Q168*1000000*Q170*Q172/1000-Q192</f>
        <v>1154355.2</v>
      </c>
      <c r="R196" s="97">
        <f>R168*1000000*R170*R172/1000-R192</f>
        <v>1291746.6000000001</v>
      </c>
      <c r="S196" s="97">
        <f t="shared" ref="S196:BG196" si="360">S168*1000000*S170*S172/1000-S192</f>
        <v>1341445.13298</v>
      </c>
      <c r="T196" s="97">
        <f t="shared" si="360"/>
        <v>1494954.9735999994</v>
      </c>
      <c r="U196" s="97">
        <f t="shared" si="360"/>
        <v>1499061.2203999993</v>
      </c>
      <c r="V196" s="97">
        <f t="shared" si="360"/>
        <v>1518467.4379999998</v>
      </c>
      <c r="W196" s="97">
        <f t="shared" si="360"/>
        <v>1575930.9348910798</v>
      </c>
      <c r="X196" s="97">
        <f t="shared" si="360"/>
        <v>1755233.9451327994</v>
      </c>
      <c r="Y196" s="97">
        <f t="shared" si="360"/>
        <v>1759632.8426455993</v>
      </c>
      <c r="Z196" s="97">
        <f t="shared" si="360"/>
        <v>1781226.1596775993</v>
      </c>
      <c r="AA196" s="97">
        <f t="shared" si="360"/>
        <v>1847611.0412531889</v>
      </c>
      <c r="AB196" s="97">
        <f t="shared" si="360"/>
        <v>2037102.0142464533</v>
      </c>
      <c r="AC196" s="97">
        <f t="shared" si="360"/>
        <v>2021981.8202133228</v>
      </c>
      <c r="AD196" s="97">
        <f t="shared" si="360"/>
        <v>2026681.9726401372</v>
      </c>
      <c r="AE196" s="97">
        <f t="shared" si="360"/>
        <v>2081911.5632201105</v>
      </c>
      <c r="AF196" s="97">
        <f t="shared" si="360"/>
        <v>2295543.0632592556</v>
      </c>
      <c r="AG196" s="97">
        <f t="shared" si="360"/>
        <v>2277843.6396769988</v>
      </c>
      <c r="AH196" s="97">
        <f t="shared" si="360"/>
        <v>2283470.7041133363</v>
      </c>
      <c r="AI196" s="97">
        <f t="shared" si="360"/>
        <v>2345809.940754388</v>
      </c>
      <c r="AJ196" s="97">
        <f t="shared" si="360"/>
        <v>2586649.0404607495</v>
      </c>
      <c r="AK196" s="97">
        <f t="shared" si="360"/>
        <v>2565943.8004073929</v>
      </c>
      <c r="AL196" s="97">
        <f t="shared" si="360"/>
        <v>2572666.1234083725</v>
      </c>
      <c r="AM196" s="97">
        <f t="shared" si="360"/>
        <v>2643029.9772873176</v>
      </c>
      <c r="AN196" s="97">
        <f t="shared" si="360"/>
        <v>2914532.3825469106</v>
      </c>
      <c r="AO196" s="97">
        <f t="shared" si="360"/>
        <v>2890325.6955621317</v>
      </c>
      <c r="AP196" s="97">
        <f t="shared" si="360"/>
        <v>2898340.724647996</v>
      </c>
      <c r="AQ196" s="97">
        <f t="shared" si="360"/>
        <v>2977761.9381514383</v>
      </c>
      <c r="AR196" s="97">
        <f t="shared" si="360"/>
        <v>3283821.1005950905</v>
      </c>
      <c r="AS196" s="97">
        <f t="shared" si="360"/>
        <v>3255537.293539308</v>
      </c>
      <c r="AT196" s="97">
        <f t="shared" si="360"/>
        <v>3265076.4452453926</v>
      </c>
      <c r="AU196" s="97">
        <f t="shared" si="360"/>
        <v>3354720.700446106</v>
      </c>
      <c r="AV196" s="97">
        <f t="shared" si="360"/>
        <v>3699723.119398091</v>
      </c>
      <c r="AW196" s="97">
        <f t="shared" si="360"/>
        <v>3666693.7458896018</v>
      </c>
      <c r="AX196" s="97">
        <f t="shared" si="360"/>
        <v>3678028.0694444263</v>
      </c>
      <c r="AY196" s="97">
        <f t="shared" si="360"/>
        <v>3779211.1123891198</v>
      </c>
      <c r="AZ196" s="97">
        <f t="shared" si="360"/>
        <v>4168098.6040905938</v>
      </c>
      <c r="BA196" s="97">
        <f t="shared" si="360"/>
        <v>4129547.7124736807</v>
      </c>
      <c r="BB196" s="97">
        <f t="shared" si="360"/>
        <v>4142994.4769267561</v>
      </c>
      <c r="BC196" s="97">
        <f t="shared" si="360"/>
        <v>4257201.4503270648</v>
      </c>
      <c r="BD196" s="97">
        <f t="shared" si="360"/>
        <v>4695541.2596861981</v>
      </c>
      <c r="BE196" s="97">
        <f t="shared" si="360"/>
        <v>4650568.3476684047</v>
      </c>
      <c r="BF196" s="97">
        <f t="shared" si="360"/>
        <v>4666498.7005573921</v>
      </c>
      <c r="BG196" s="97">
        <f t="shared" si="360"/>
        <v>4795405.9701692881</v>
      </c>
      <c r="BH196" s="187"/>
      <c r="BI196" s="229"/>
      <c r="BJ196" s="229"/>
      <c r="BK196" s="229"/>
      <c r="BL196" s="229"/>
      <c r="BM196" s="187"/>
      <c r="BN196" s="370">
        <v>1183586.2996239997</v>
      </c>
      <c r="BO196" s="420">
        <f t="shared" si="202"/>
        <v>108160.30037600035</v>
      </c>
      <c r="BP196" s="370">
        <v>1236534.3049099999</v>
      </c>
      <c r="BQ196" s="420">
        <f t="shared" si="202"/>
        <v>104910.82807000005</v>
      </c>
    </row>
    <row r="197" spans="1:69" x14ac:dyDescent="0.25">
      <c r="A197" s="228" t="s">
        <v>668</v>
      </c>
      <c r="B197" s="244" t="s">
        <v>43</v>
      </c>
      <c r="C197" s="5" t="s">
        <v>298</v>
      </c>
      <c r="D197" s="175">
        <v>669800</v>
      </c>
      <c r="E197" s="175">
        <v>779717</v>
      </c>
      <c r="F197" s="175">
        <v>849335</v>
      </c>
      <c r="G197" s="175">
        <v>946190</v>
      </c>
      <c r="H197" s="175">
        <v>1009954</v>
      </c>
      <c r="I197" s="175">
        <v>1052285</v>
      </c>
      <c r="J197" s="175">
        <v>1077490</v>
      </c>
      <c r="K197" s="175">
        <v>1183734</v>
      </c>
      <c r="L197" s="175">
        <v>1258527</v>
      </c>
      <c r="M197" s="175">
        <v>1298944</v>
      </c>
      <c r="N197" s="175">
        <v>1305943</v>
      </c>
      <c r="O197" s="175">
        <v>1375597</v>
      </c>
      <c r="P197" s="175">
        <v>1379951</v>
      </c>
      <c r="Q197" s="175">
        <v>1500500</v>
      </c>
      <c r="R197" s="175">
        <v>1623953</v>
      </c>
      <c r="S197" s="102">
        <f t="shared" ref="S197:BG197" si="361">S192+S194+S196</f>
        <v>1779802.88298</v>
      </c>
      <c r="T197" s="102">
        <f t="shared" si="361"/>
        <v>1853208.1735999994</v>
      </c>
      <c r="U197" s="102">
        <f t="shared" si="361"/>
        <v>1923627.0703999992</v>
      </c>
      <c r="V197" s="102">
        <f t="shared" si="361"/>
        <v>1931327.4379999998</v>
      </c>
      <c r="W197" s="102">
        <f t="shared" si="361"/>
        <v>2116969.7223910796</v>
      </c>
      <c r="X197" s="102">
        <f t="shared" si="361"/>
        <v>2195868.8751327996</v>
      </c>
      <c r="Y197" s="102">
        <f t="shared" si="361"/>
        <v>2281007.4451455991</v>
      </c>
      <c r="Z197" s="102">
        <f t="shared" si="361"/>
        <v>2289139.0346775996</v>
      </c>
      <c r="AA197" s="102">
        <f t="shared" si="361"/>
        <v>2515964.8656281889</v>
      </c>
      <c r="AB197" s="102">
        <f t="shared" si="361"/>
        <v>2579636.8712464534</v>
      </c>
      <c r="AC197" s="102">
        <f t="shared" si="361"/>
        <v>2662967.4568383228</v>
      </c>
      <c r="AD197" s="102">
        <f t="shared" si="361"/>
        <v>2652186.6226401371</v>
      </c>
      <c r="AE197" s="102">
        <f t="shared" si="361"/>
        <v>2908217.4846888604</v>
      </c>
      <c r="AF197" s="102">
        <f t="shared" si="361"/>
        <v>2964214.0081842556</v>
      </c>
      <c r="AG197" s="102">
        <f t="shared" si="361"/>
        <v>3066733.1764832488</v>
      </c>
      <c r="AH197" s="102">
        <f t="shared" si="361"/>
        <v>3054557.1063008364</v>
      </c>
      <c r="AI197" s="102">
        <f t="shared" si="361"/>
        <v>3368185.5297403252</v>
      </c>
      <c r="AJ197" s="102">
        <f t="shared" si="361"/>
        <v>3411565.4513432495</v>
      </c>
      <c r="AK197" s="102">
        <f t="shared" si="361"/>
        <v>3537861.8360939552</v>
      </c>
      <c r="AL197" s="102">
        <f t="shared" si="361"/>
        <v>3524110.5542833726</v>
      </c>
      <c r="AM197" s="102">
        <f t="shared" si="361"/>
        <v>3908916.6287422394</v>
      </c>
      <c r="AN197" s="102">
        <f t="shared" si="361"/>
        <v>3933117.2853352232</v>
      </c>
      <c r="AO197" s="102">
        <f t="shared" si="361"/>
        <v>4088900.2720508971</v>
      </c>
      <c r="AP197" s="102">
        <f t="shared" si="361"/>
        <v>4073370.6556034647</v>
      </c>
      <c r="AQ197" s="102">
        <f t="shared" si="361"/>
        <v>4546224.992475966</v>
      </c>
      <c r="AR197" s="102">
        <f t="shared" si="361"/>
        <v>4542607.5266434466</v>
      </c>
      <c r="AS197" s="102">
        <f t="shared" si="361"/>
        <v>4734984.100812912</v>
      </c>
      <c r="AT197" s="102">
        <f t="shared" si="361"/>
        <v>4717446.9101557052</v>
      </c>
      <c r="AU197" s="102">
        <f t="shared" si="361"/>
        <v>5299319.9693585215</v>
      </c>
      <c r="AV197" s="102">
        <f t="shared" si="361"/>
        <v>5256594.7441559471</v>
      </c>
      <c r="AW197" s="102">
        <f t="shared" si="361"/>
        <v>5494415.1296436507</v>
      </c>
      <c r="AX197" s="102">
        <f t="shared" si="361"/>
        <v>5474611.65948069</v>
      </c>
      <c r="AY197" s="102">
        <f t="shared" si="361"/>
        <v>6191583.7171874084</v>
      </c>
      <c r="AZ197" s="102">
        <f t="shared" si="361"/>
        <v>6095085.0160649354</v>
      </c>
      <c r="BA197" s="102">
        <f t="shared" si="361"/>
        <v>6389374.248027592</v>
      </c>
      <c r="BB197" s="102">
        <f t="shared" si="361"/>
        <v>6367012.5497052148</v>
      </c>
      <c r="BC197" s="102">
        <f t="shared" si="361"/>
        <v>7251534.2527813613</v>
      </c>
      <c r="BD197" s="102">
        <f t="shared" si="361"/>
        <v>7082305.6878352007</v>
      </c>
      <c r="BE197" s="102">
        <f t="shared" si="361"/>
        <v>7446802.5438513467</v>
      </c>
      <c r="BF197" s="102">
        <f t="shared" si="361"/>
        <v>7421553.1645485638</v>
      </c>
      <c r="BG197" s="102">
        <f t="shared" si="361"/>
        <v>8514019.0766620599</v>
      </c>
      <c r="BH197" s="187"/>
      <c r="BI197" s="229"/>
      <c r="BJ197" s="229"/>
      <c r="BK197" s="229"/>
      <c r="BL197" s="229"/>
      <c r="BM197" s="187"/>
      <c r="BN197" s="372">
        <v>1561340.0496239997</v>
      </c>
      <c r="BO197" s="422">
        <f t="shared" si="202"/>
        <v>62612.950376000255</v>
      </c>
      <c r="BP197" s="372">
        <v>1701758.0549099999</v>
      </c>
      <c r="BQ197" s="422">
        <f t="shared" si="202"/>
        <v>78044.828070000047</v>
      </c>
    </row>
    <row r="198" spans="1:69" x14ac:dyDescent="0.25">
      <c r="A198" s="245"/>
      <c r="B198" s="236" t="s">
        <v>299</v>
      </c>
      <c r="C198" s="216" t="s">
        <v>628</v>
      </c>
      <c r="D198" s="247">
        <v>0.35199999999999998</v>
      </c>
      <c r="E198" s="247">
        <v>0.42799999999999999</v>
      </c>
      <c r="F198" s="247">
        <v>0.66</v>
      </c>
      <c r="G198" s="247">
        <v>0.82799999999999996</v>
      </c>
      <c r="H198" s="247">
        <v>0.50800000000000001</v>
      </c>
      <c r="I198" s="247">
        <v>0.35</v>
      </c>
      <c r="J198" s="247">
        <v>0.26900000000000002</v>
      </c>
      <c r="K198" s="247">
        <v>0.251</v>
      </c>
      <c r="L198" s="247">
        <v>0.246</v>
      </c>
      <c r="M198" s="247">
        <v>0.23400000000000001</v>
      </c>
      <c r="N198" s="247">
        <v>0.21199999999999999</v>
      </c>
      <c r="O198" s="247">
        <v>0.16200000000000001</v>
      </c>
      <c r="P198" s="247">
        <v>9.6000000000000002E-2</v>
      </c>
      <c r="Q198" s="336">
        <f>Q197/M197-1</f>
        <v>0.15516912199448174</v>
      </c>
      <c r="R198" s="336">
        <f>R197/N197-1</f>
        <v>0.24350986222216431</v>
      </c>
      <c r="S198" s="336">
        <f t="shared" ref="S198:BG198" si="362">S197/O197-1</f>
        <v>0.29384033476374261</v>
      </c>
      <c r="T198" s="336">
        <f t="shared" si="362"/>
        <v>0.34295215815633995</v>
      </c>
      <c r="U198" s="336">
        <f t="shared" si="362"/>
        <v>0.28199071669443465</v>
      </c>
      <c r="V198" s="336">
        <f t="shared" si="362"/>
        <v>0.18927545193734052</v>
      </c>
      <c r="W198" s="336">
        <f t="shared" si="362"/>
        <v>0.1894405513303512</v>
      </c>
      <c r="X198" s="336">
        <f t="shared" si="362"/>
        <v>0.18490135453436696</v>
      </c>
      <c r="Y198" s="336">
        <f t="shared" si="362"/>
        <v>0.18578464622630109</v>
      </c>
      <c r="Z198" s="336">
        <f t="shared" si="362"/>
        <v>0.18526718444394596</v>
      </c>
      <c r="AA198" s="336">
        <f t="shared" si="362"/>
        <v>0.18847465743933811</v>
      </c>
      <c r="AB198" s="336">
        <f t="shared" si="362"/>
        <v>0.17476817512177023</v>
      </c>
      <c r="AC198" s="336">
        <f t="shared" si="362"/>
        <v>0.1674523301121198</v>
      </c>
      <c r="AD198" s="336">
        <f t="shared" si="362"/>
        <v>0.15859569142058194</v>
      </c>
      <c r="AE198" s="336">
        <f t="shared" si="362"/>
        <v>0.15590544383962746</v>
      </c>
      <c r="AF198" s="336">
        <f t="shared" si="362"/>
        <v>0.14908188870473804</v>
      </c>
      <c r="AG198" s="336">
        <f t="shared" si="362"/>
        <v>0.15162247612455149</v>
      </c>
      <c r="AH198" s="336">
        <f t="shared" si="362"/>
        <v>0.15171273402327801</v>
      </c>
      <c r="AI198" s="336">
        <f t="shared" si="362"/>
        <v>0.15816150183853095</v>
      </c>
      <c r="AJ198" s="336">
        <f t="shared" si="362"/>
        <v>0.15091739055407172</v>
      </c>
      <c r="AK198" s="336">
        <f t="shared" si="362"/>
        <v>0.1536255789135752</v>
      </c>
      <c r="AL198" s="336">
        <f t="shared" si="362"/>
        <v>0.15372226861103933</v>
      </c>
      <c r="AM198" s="336">
        <f t="shared" si="362"/>
        <v>0.16054077016464197</v>
      </c>
      <c r="AN198" s="336">
        <f t="shared" si="362"/>
        <v>0.15287756938288277</v>
      </c>
      <c r="AO198" s="336">
        <f t="shared" si="362"/>
        <v>0.15575465111021036</v>
      </c>
      <c r="AP198" s="336">
        <f t="shared" si="362"/>
        <v>0.15585779528184629</v>
      </c>
      <c r="AQ198" s="336">
        <f t="shared" si="362"/>
        <v>0.1630396409704935</v>
      </c>
      <c r="AR198" s="336">
        <f t="shared" si="362"/>
        <v>0.15496365785498711</v>
      </c>
      <c r="AS198" s="336">
        <f t="shared" si="362"/>
        <v>0.15800919214837061</v>
      </c>
      <c r="AT198" s="336">
        <f t="shared" si="362"/>
        <v>0.15811874464854503</v>
      </c>
      <c r="AU198" s="336">
        <f t="shared" si="362"/>
        <v>0.16565281703587775</v>
      </c>
      <c r="AV198" s="336">
        <f t="shared" si="362"/>
        <v>0.15717563388974276</v>
      </c>
      <c r="AW198" s="336">
        <f t="shared" si="362"/>
        <v>0.1603872394630339</v>
      </c>
      <c r="AX198" s="336">
        <f t="shared" si="362"/>
        <v>0.16050307798800301</v>
      </c>
      <c r="AY198" s="336">
        <f t="shared" si="362"/>
        <v>0.16837325411337534</v>
      </c>
      <c r="AZ198" s="336">
        <f t="shared" si="362"/>
        <v>0.15951206298358556</v>
      </c>
      <c r="BA198" s="336">
        <f t="shared" si="362"/>
        <v>0.1628852384224535</v>
      </c>
      <c r="BB198" s="336">
        <f t="shared" si="362"/>
        <v>0.16300715844914859</v>
      </c>
      <c r="BC198" s="336">
        <f t="shared" si="362"/>
        <v>0.17119215115376751</v>
      </c>
      <c r="BD198" s="336">
        <f t="shared" si="362"/>
        <v>0.1619699592652486</v>
      </c>
      <c r="BE198" s="336">
        <f t="shared" si="362"/>
        <v>0.16549794311237664</v>
      </c>
      <c r="BF198" s="336">
        <f t="shared" si="362"/>
        <v>0.16562565357157544</v>
      </c>
      <c r="BG198" s="336">
        <f t="shared" si="362"/>
        <v>0.17409899476051782</v>
      </c>
      <c r="BH198" s="248"/>
      <c r="BI198" s="249"/>
      <c r="BJ198" s="249"/>
      <c r="BK198" s="249"/>
      <c r="BL198" s="249"/>
      <c r="BM198" s="248"/>
      <c r="BN198" s="400">
        <v>0.19556523494823264</v>
      </c>
      <c r="BO198" s="450">
        <f t="shared" si="202"/>
        <v>4.7944627273931673E-2</v>
      </c>
      <c r="BP198" s="400">
        <v>0.23710509321407347</v>
      </c>
      <c r="BQ198" s="450">
        <f t="shared" si="202"/>
        <v>5.6735241549669135E-2</v>
      </c>
    </row>
    <row r="199" spans="1:69" x14ac:dyDescent="0.25">
      <c r="A199" s="245"/>
      <c r="B199" s="236" t="s">
        <v>669</v>
      </c>
      <c r="C199" s="216" t="s">
        <v>628</v>
      </c>
      <c r="D199" s="247">
        <v>0.26400000000000001</v>
      </c>
      <c r="E199" s="247">
        <v>0.35199999999999998</v>
      </c>
      <c r="F199" s="247">
        <v>0.58799999999999997</v>
      </c>
      <c r="G199" s="247">
        <v>0.76100000000000001</v>
      </c>
      <c r="H199" s="247">
        <v>0.53200000000000003</v>
      </c>
      <c r="I199" s="247">
        <v>0.36499999999999999</v>
      </c>
      <c r="J199" s="247">
        <v>0.27100000000000002</v>
      </c>
      <c r="K199" s="247">
        <v>0.22600000000000001</v>
      </c>
      <c r="L199" s="247">
        <v>0.22800000000000001</v>
      </c>
      <c r="M199" s="247">
        <v>0.222</v>
      </c>
      <c r="N199" s="247">
        <v>0.20200000000000001</v>
      </c>
      <c r="O199" s="247">
        <v>0.16200000000000001</v>
      </c>
      <c r="P199" s="247">
        <v>0.11600000000000001</v>
      </c>
      <c r="Q199" s="336">
        <f>(Q197-Q192)/(M197-M192)-1</f>
        <v>0.15250623208529235</v>
      </c>
      <c r="R199" s="336">
        <f>(R197-R192)/(N197-N192)-1</f>
        <v>0.25097711315824234</v>
      </c>
      <c r="S199" s="336">
        <f t="shared" ref="S199:BG199" si="363">(S197-S192)/(O197-O192)-1</f>
        <v>0.31711591445269893</v>
      </c>
      <c r="T199" s="336">
        <f t="shared" si="363"/>
        <v>0.35501730754017724</v>
      </c>
      <c r="U199" s="336">
        <f t="shared" si="363"/>
        <v>0.2895375549020458</v>
      </c>
      <c r="V199" s="336">
        <f t="shared" si="363"/>
        <v>0.19107043886004815</v>
      </c>
      <c r="W199" s="336">
        <f t="shared" si="363"/>
        <v>0.19103328002190545</v>
      </c>
      <c r="X199" s="336">
        <f t="shared" si="363"/>
        <v>0.18630838035488595</v>
      </c>
      <c r="Y199" s="336">
        <f t="shared" si="363"/>
        <v>0.1876093073806675</v>
      </c>
      <c r="Z199" s="336">
        <f t="shared" si="363"/>
        <v>0.1868234054789244</v>
      </c>
      <c r="AA199" s="336">
        <f t="shared" si="363"/>
        <v>0.18997485181069473</v>
      </c>
      <c r="AB199" s="336">
        <f t="shared" si="363"/>
        <v>0.17573612760102386</v>
      </c>
      <c r="AC199" s="336">
        <f t="shared" si="363"/>
        <v>0.16831404414460316</v>
      </c>
      <c r="AD199" s="336">
        <f t="shared" si="363"/>
        <v>0.15896322163350107</v>
      </c>
      <c r="AE199" s="336">
        <f t="shared" si="363"/>
        <v>0.15612797220136465</v>
      </c>
      <c r="AF199" s="336">
        <f t="shared" si="363"/>
        <v>0.14904679385927255</v>
      </c>
      <c r="AG199" s="336">
        <f t="shared" si="363"/>
        <v>0.15170133059214574</v>
      </c>
      <c r="AH199" s="336">
        <f t="shared" si="363"/>
        <v>0.1517853998704275</v>
      </c>
      <c r="AI199" s="336">
        <f t="shared" si="363"/>
        <v>0.15846741266059627</v>
      </c>
      <c r="AJ199" s="336">
        <f t="shared" si="363"/>
        <v>0.1509524869396861</v>
      </c>
      <c r="AK199" s="336">
        <f t="shared" si="363"/>
        <v>0.15380152650384837</v>
      </c>
      <c r="AL199" s="336">
        <f t="shared" si="363"/>
        <v>0.15387994780720171</v>
      </c>
      <c r="AM199" s="336">
        <f t="shared" si="363"/>
        <v>0.16093297335385159</v>
      </c>
      <c r="AN199" s="336">
        <f t="shared" si="363"/>
        <v>0.15298756474598996</v>
      </c>
      <c r="AO199" s="336">
        <f t="shared" si="363"/>
        <v>0.15603300140825405</v>
      </c>
      <c r="AP199" s="336">
        <f t="shared" si="363"/>
        <v>0.15610510323969451</v>
      </c>
      <c r="AQ199" s="336">
        <f t="shared" si="363"/>
        <v>0.16352025351780397</v>
      </c>
      <c r="AR199" s="336">
        <f t="shared" si="363"/>
        <v>0.15515290251281155</v>
      </c>
      <c r="AS199" s="336">
        <f t="shared" si="363"/>
        <v>0.15839457200713913</v>
      </c>
      <c r="AT199" s="336">
        <f t="shared" si="363"/>
        <v>0.15845969669824966</v>
      </c>
      <c r="AU199" s="336">
        <f t="shared" si="363"/>
        <v>0.16622304153523881</v>
      </c>
      <c r="AV199" s="336">
        <f t="shared" si="363"/>
        <v>0.15744799207371818</v>
      </c>
      <c r="AW199" s="336">
        <f t="shared" si="363"/>
        <v>0.16088342233735897</v>
      </c>
      <c r="AX199" s="336">
        <f t="shared" si="363"/>
        <v>0.16094094066204345</v>
      </c>
      <c r="AY199" s="336">
        <f t="shared" si="363"/>
        <v>0.16903327194353923</v>
      </c>
      <c r="AZ199" s="336">
        <f t="shared" si="363"/>
        <v>0.15987077938088579</v>
      </c>
      <c r="BA199" s="336">
        <f t="shared" si="363"/>
        <v>0.1634949764993705</v>
      </c>
      <c r="BB199" s="336">
        <f t="shared" si="363"/>
        <v>0.16354430337673698</v>
      </c>
      <c r="BC199" s="336">
        <f t="shared" si="363"/>
        <v>0.17194103695729646</v>
      </c>
      <c r="BD199" s="336">
        <f t="shared" si="363"/>
        <v>0.16241752560537148</v>
      </c>
      <c r="BE199" s="336">
        <f t="shared" si="363"/>
        <v>0.16622280997768679</v>
      </c>
      <c r="BF199" s="336">
        <f t="shared" si="363"/>
        <v>0.16626342073620992</v>
      </c>
      <c r="BG199" s="336">
        <f t="shared" si="363"/>
        <v>0.17493465850512924</v>
      </c>
      <c r="BH199" s="248"/>
      <c r="BI199" s="249"/>
      <c r="BJ199" s="249"/>
      <c r="BK199" s="249"/>
      <c r="BL199" s="249"/>
      <c r="BM199" s="248"/>
      <c r="BN199" s="400">
        <v>0.19273561043714715</v>
      </c>
      <c r="BO199" s="450">
        <f t="shared" si="202"/>
        <v>5.8241502721095184E-2</v>
      </c>
      <c r="BP199" s="400">
        <v>0.23634301679887471</v>
      </c>
      <c r="BQ199" s="450">
        <f t="shared" si="202"/>
        <v>8.0772897653824227E-2</v>
      </c>
    </row>
    <row r="200" spans="1:69" x14ac:dyDescent="0.25">
      <c r="A200" s="245"/>
      <c r="B200" s="236" t="s">
        <v>670</v>
      </c>
      <c r="C200" s="216"/>
      <c r="D200" s="269">
        <v>575865</v>
      </c>
      <c r="E200" s="269">
        <v>630069</v>
      </c>
      <c r="F200" s="269">
        <v>699605</v>
      </c>
      <c r="G200" s="269">
        <v>749698</v>
      </c>
      <c r="H200" s="212"/>
      <c r="I200" s="212"/>
      <c r="J200" s="212"/>
      <c r="K200" s="212"/>
      <c r="L200" s="247">
        <v>0.247</v>
      </c>
      <c r="M200" s="247">
        <v>0.22900000000000001</v>
      </c>
      <c r="N200" s="247">
        <v>0.2</v>
      </c>
      <c r="O200" s="247">
        <v>0.14599999999999999</v>
      </c>
      <c r="P200" s="247">
        <v>8.6999999999999994E-2</v>
      </c>
      <c r="Q200" s="336">
        <f>(Q197-Q194)/(M197-M194)-1</f>
        <v>0.13974742163428711</v>
      </c>
      <c r="R200" s="336">
        <f>(R197-R194)/(N197-N194)-1</f>
        <v>0.27211353673365646</v>
      </c>
      <c r="S200" s="336">
        <f t="shared" ref="S200:BG200" si="364">(S197-S194)/(O197-O194)-1</f>
        <v>0.3058302733253222</v>
      </c>
      <c r="T200" s="336">
        <f t="shared" si="364"/>
        <v>0.36146099421185718</v>
      </c>
      <c r="U200" s="336">
        <f t="shared" si="364"/>
        <v>0.28885206048681078</v>
      </c>
      <c r="V200" s="336">
        <f t="shared" si="364"/>
        <v>0.17743445953602821</v>
      </c>
      <c r="W200" s="336">
        <f t="shared" si="364"/>
        <v>0.17358620689655146</v>
      </c>
      <c r="X200" s="336">
        <f t="shared" si="364"/>
        <v>0.17300000000000026</v>
      </c>
      <c r="Y200" s="336">
        <f t="shared" si="364"/>
        <v>0.17242696629213494</v>
      </c>
      <c r="Z200" s="336">
        <f t="shared" si="364"/>
        <v>0.17186666666666639</v>
      </c>
      <c r="AA200" s="336">
        <f t="shared" si="364"/>
        <v>0.17131868131868133</v>
      </c>
      <c r="AB200" s="336">
        <f t="shared" si="364"/>
        <v>0.1601114130434782</v>
      </c>
      <c r="AC200" s="336">
        <f t="shared" si="364"/>
        <v>0.14914516129032274</v>
      </c>
      <c r="AD200" s="336">
        <f t="shared" si="364"/>
        <v>0.13841223404255354</v>
      </c>
      <c r="AE200" s="336">
        <f t="shared" si="364"/>
        <v>0.12790526315789497</v>
      </c>
      <c r="AF200" s="336">
        <f t="shared" si="364"/>
        <v>0.12789750328515126</v>
      </c>
      <c r="AG200" s="336">
        <f t="shared" si="364"/>
        <v>0.12788976377952777</v>
      </c>
      <c r="AH200" s="336">
        <f t="shared" si="364"/>
        <v>0.12788204456094365</v>
      </c>
      <c r="AI200" s="336">
        <f t="shared" si="364"/>
        <v>0.1278743455497382</v>
      </c>
      <c r="AJ200" s="336">
        <f t="shared" si="364"/>
        <v>0.1278666666666668</v>
      </c>
      <c r="AK200" s="336">
        <f t="shared" si="364"/>
        <v>0.1278590078328985</v>
      </c>
      <c r="AL200" s="336">
        <f t="shared" si="364"/>
        <v>0.12785136897001381</v>
      </c>
      <c r="AM200" s="336">
        <f t="shared" si="364"/>
        <v>0.12784375000000048</v>
      </c>
      <c r="AN200" s="336">
        <f t="shared" si="364"/>
        <v>0.12783615084525368</v>
      </c>
      <c r="AO200" s="336">
        <f t="shared" si="364"/>
        <v>0.12782857142857162</v>
      </c>
      <c r="AP200" s="336">
        <f t="shared" si="364"/>
        <v>0.12782101167315196</v>
      </c>
      <c r="AQ200" s="336">
        <f t="shared" si="364"/>
        <v>0.12781347150259115</v>
      </c>
      <c r="AR200" s="336">
        <f t="shared" si="364"/>
        <v>0.1278059508408802</v>
      </c>
      <c r="AS200" s="336">
        <f t="shared" si="364"/>
        <v>0.12779844961240383</v>
      </c>
      <c r="AT200" s="336">
        <f t="shared" si="364"/>
        <v>0.12779096774193555</v>
      </c>
      <c r="AU200" s="336">
        <f t="shared" si="364"/>
        <v>0.12778350515463943</v>
      </c>
      <c r="AV200" s="336">
        <f t="shared" si="364"/>
        <v>0.12777606177606216</v>
      </c>
      <c r="AW200" s="336">
        <f t="shared" si="364"/>
        <v>0.12776863753213363</v>
      </c>
      <c r="AX200" s="336">
        <f t="shared" si="364"/>
        <v>0.1277612323491657</v>
      </c>
      <c r="AY200" s="336">
        <f t="shared" si="364"/>
        <v>0.12775384615384633</v>
      </c>
      <c r="AZ200" s="336">
        <f t="shared" si="364"/>
        <v>0.12774647887323942</v>
      </c>
      <c r="BA200" s="336">
        <f t="shared" si="364"/>
        <v>0.12773913043478302</v>
      </c>
      <c r="BB200" s="336">
        <f t="shared" si="364"/>
        <v>0.12773180076628377</v>
      </c>
      <c r="BC200" s="336">
        <f t="shared" si="364"/>
        <v>0.12772448979591866</v>
      </c>
      <c r="BD200" s="336">
        <f t="shared" si="364"/>
        <v>0.12771719745222954</v>
      </c>
      <c r="BE200" s="336">
        <f t="shared" si="364"/>
        <v>0.12770992366412215</v>
      </c>
      <c r="BF200" s="336">
        <f t="shared" si="364"/>
        <v>0.12770266836086464</v>
      </c>
      <c r="BG200" s="336">
        <f t="shared" si="364"/>
        <v>0.12769543147208173</v>
      </c>
      <c r="BH200" s="248"/>
      <c r="BI200" s="249"/>
      <c r="BJ200" s="249"/>
      <c r="BK200" s="249"/>
      <c r="BL200" s="249"/>
      <c r="BM200" s="248"/>
      <c r="BN200" s="400">
        <v>0.1834544320907332</v>
      </c>
      <c r="BO200" s="450">
        <f t="shared" ref="BO200:BQ201" si="365">IF(ISBLANK(BN200),"",INDEX($A200:$BH200,1,MATCH(BN$3,$A$3:$BH$3,0))-BN200)</f>
        <v>8.8659104642923259E-2</v>
      </c>
      <c r="BP200" s="400">
        <v>0.23357845180146231</v>
      </c>
      <c r="BQ200" s="450">
        <f t="shared" si="365"/>
        <v>7.2251821523859894E-2</v>
      </c>
    </row>
    <row r="201" spans="1:69" x14ac:dyDescent="0.25">
      <c r="A201" s="228"/>
      <c r="B201" s="92" t="s">
        <v>671</v>
      </c>
      <c r="C201" s="188" t="s">
        <v>7</v>
      </c>
      <c r="D201" s="46"/>
      <c r="E201" s="46"/>
      <c r="F201" s="46"/>
      <c r="G201" s="46"/>
      <c r="H201" s="50">
        <v>0.16</v>
      </c>
      <c r="I201" s="50">
        <v>0.16</v>
      </c>
      <c r="J201" s="50">
        <v>0.17</v>
      </c>
      <c r="K201" s="50">
        <v>0.2</v>
      </c>
      <c r="L201" s="50">
        <v>0.16</v>
      </c>
      <c r="M201" s="50">
        <v>0.17</v>
      </c>
      <c r="N201" s="50">
        <v>0.18</v>
      </c>
      <c r="O201" s="50">
        <v>0.21</v>
      </c>
      <c r="P201" s="50">
        <v>0.17</v>
      </c>
      <c r="Q201" s="330">
        <f>Q194/Q197</f>
        <v>0.17660179940019993</v>
      </c>
      <c r="R201" s="330">
        <f>R194/R197</f>
        <v>0.16317652050274853</v>
      </c>
      <c r="S201" s="330">
        <f t="shared" ref="S201:BG201" si="366">S194/S197</f>
        <v>0.20748013925098782</v>
      </c>
      <c r="T201" s="330">
        <f t="shared" si="366"/>
        <v>0.15456304590086775</v>
      </c>
      <c r="U201" s="330">
        <f t="shared" si="366"/>
        <v>0.17219488907021993</v>
      </c>
      <c r="V201" s="330">
        <f t="shared" si="366"/>
        <v>0.17150833332695603</v>
      </c>
      <c r="W201" s="330">
        <f t="shared" si="366"/>
        <v>0.21804383058376473</v>
      </c>
      <c r="X201" s="330">
        <f t="shared" si="366"/>
        <v>0.16305476117208792</v>
      </c>
      <c r="Y201" s="330">
        <f t="shared" si="366"/>
        <v>0.18151998511936943</v>
      </c>
      <c r="Z201" s="330">
        <f t="shared" si="366"/>
        <v>0.18087518111730344</v>
      </c>
      <c r="AA201" s="330">
        <f t="shared" si="366"/>
        <v>0.2293315945137161</v>
      </c>
      <c r="AB201" s="330">
        <f t="shared" si="366"/>
        <v>0.17349674240535429</v>
      </c>
      <c r="AC201" s="330">
        <f t="shared" si="366"/>
        <v>0.19435481479352631</v>
      </c>
      <c r="AD201" s="330">
        <f t="shared" si="366"/>
        <v>0.19514484480725977</v>
      </c>
      <c r="AE201" s="330">
        <f t="shared" si="366"/>
        <v>0.24799995074849521</v>
      </c>
      <c r="AF201" s="330">
        <f t="shared" si="366"/>
        <v>0.18873409296456056</v>
      </c>
      <c r="AG201" s="330">
        <f t="shared" si="366"/>
        <v>0.21095760418767029</v>
      </c>
      <c r="AH201" s="330">
        <f t="shared" si="366"/>
        <v>0.21179852301966859</v>
      </c>
      <c r="AI201" s="330">
        <f t="shared" si="366"/>
        <v>0.26766555263968594</v>
      </c>
      <c r="AJ201" s="330">
        <f t="shared" si="366"/>
        <v>0.2049822325580864</v>
      </c>
      <c r="AK201" s="330">
        <f t="shared" si="366"/>
        <v>0.22858110122950293</v>
      </c>
      <c r="AL201" s="330">
        <f t="shared" si="366"/>
        <v>0.22947303781638434</v>
      </c>
      <c r="AM201" s="330">
        <f t="shared" si="366"/>
        <v>0.2882983083413273</v>
      </c>
      <c r="AN201" s="330">
        <f t="shared" si="366"/>
        <v>0.22225065132871194</v>
      </c>
      <c r="AO201" s="330">
        <f t="shared" si="366"/>
        <v>0.24722061577897333</v>
      </c>
      <c r="AP201" s="330">
        <f t="shared" si="366"/>
        <v>0.24816313775046742</v>
      </c>
      <c r="AQ201" s="330">
        <f t="shared" si="366"/>
        <v>0.30985434436778742</v>
      </c>
      <c r="AR201" s="330">
        <f t="shared" si="366"/>
        <v>0.24053857649239654</v>
      </c>
      <c r="AS201" s="330">
        <f t="shared" si="366"/>
        <v>0.26685951356776672</v>
      </c>
      <c r="AT201" s="330">
        <f t="shared" si="366"/>
        <v>0.26785156843499847</v>
      </c>
      <c r="AU201" s="330">
        <f t="shared" si="366"/>
        <v>0.33227554963118405</v>
      </c>
      <c r="AV201" s="330">
        <f t="shared" si="366"/>
        <v>0.25983369491181685</v>
      </c>
      <c r="AW201" s="330">
        <f t="shared" si="366"/>
        <v>0.28746816632874128</v>
      </c>
      <c r="AX201" s="330">
        <f t="shared" si="366"/>
        <v>0.28850803319214402</v>
      </c>
      <c r="AY201" s="330">
        <f t="shared" si="366"/>
        <v>0.35548951123000999</v>
      </c>
      <c r="AZ201" s="330">
        <f t="shared" si="366"/>
        <v>0.28011103032773615</v>
      </c>
      <c r="BA201" s="330">
        <f t="shared" si="366"/>
        <v>0.30900315528847327</v>
      </c>
      <c r="BB201" s="330">
        <f t="shared" si="366"/>
        <v>0.31008841078079102</v>
      </c>
      <c r="BC201" s="330">
        <f t="shared" si="366"/>
        <v>0.37940989324404339</v>
      </c>
      <c r="BD201" s="330">
        <f t="shared" si="366"/>
        <v>0.30133204831824939</v>
      </c>
      <c r="BE201" s="330">
        <f t="shared" si="366"/>
        <v>0.33140680032358427</v>
      </c>
      <c r="BF201" s="330">
        <f t="shared" si="366"/>
        <v>0.33253430231937453</v>
      </c>
      <c r="BG201" s="330">
        <f t="shared" si="366"/>
        <v>0.40393729035752218</v>
      </c>
      <c r="BH201" s="187"/>
      <c r="BI201" s="229"/>
      <c r="BJ201" s="229"/>
      <c r="BK201" s="229"/>
      <c r="BL201" s="229"/>
      <c r="BM201" s="187"/>
      <c r="BN201" s="373">
        <v>0.19027885698028749</v>
      </c>
      <c r="BO201" s="423">
        <f t="shared" si="365"/>
        <v>-2.7102336477538957E-2</v>
      </c>
      <c r="BP201" s="373">
        <v>0.21699544711103461</v>
      </c>
      <c r="BQ201" s="423">
        <f t="shared" si="365"/>
        <v>-9.5153078600467844E-3</v>
      </c>
    </row>
    <row r="202" spans="1:69" x14ac:dyDescent="0.25">
      <c r="A202" s="490"/>
      <c r="B202" s="492"/>
      <c r="C202" s="188"/>
      <c r="D202" s="46"/>
      <c r="E202" s="46"/>
      <c r="F202" s="46"/>
      <c r="G202" s="46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  <c r="AA202" s="187"/>
      <c r="AB202" s="187"/>
      <c r="AC202" s="187"/>
      <c r="AD202" s="187"/>
      <c r="AE202" s="187"/>
      <c r="AF202" s="187"/>
      <c r="AG202" s="187"/>
      <c r="AH202" s="187"/>
      <c r="AI202" s="187"/>
      <c r="AJ202" s="187"/>
      <c r="AK202" s="187"/>
      <c r="AL202" s="187"/>
      <c r="AM202" s="187"/>
      <c r="AN202" s="187"/>
      <c r="AO202" s="187"/>
      <c r="AP202" s="187"/>
      <c r="AQ202" s="187"/>
      <c r="AR202" s="187"/>
      <c r="AS202" s="187"/>
      <c r="AT202" s="187"/>
      <c r="AU202" s="187"/>
      <c r="AV202" s="187"/>
      <c r="AW202" s="187"/>
      <c r="AX202" s="187"/>
      <c r="AY202" s="187"/>
      <c r="AZ202" s="187"/>
      <c r="BA202" s="187"/>
      <c r="BB202" s="187"/>
      <c r="BC202" s="187"/>
      <c r="BD202" s="187"/>
      <c r="BE202" s="187"/>
      <c r="BF202" s="187"/>
      <c r="BG202" s="187"/>
      <c r="BH202" s="187"/>
      <c r="BI202" s="229"/>
      <c r="BJ202" s="229"/>
      <c r="BK202" s="229"/>
      <c r="BL202" s="229"/>
      <c r="BM202" s="187"/>
      <c r="BN202" s="389"/>
      <c r="BO202" s="439"/>
      <c r="BP202" s="389"/>
      <c r="BQ202" s="439"/>
    </row>
    <row r="203" spans="1:69" x14ac:dyDescent="0.25">
      <c r="A203" s="490"/>
      <c r="B203" s="492"/>
      <c r="C203" s="188"/>
      <c r="D203" s="46"/>
      <c r="E203" s="46"/>
      <c r="F203" s="46"/>
      <c r="G203" s="46"/>
      <c r="H203" s="46"/>
      <c r="I203" s="46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  <c r="AA203" s="187"/>
      <c r="AB203" s="187"/>
      <c r="AC203" s="187"/>
      <c r="AD203" s="187"/>
      <c r="AE203" s="187"/>
      <c r="AF203" s="187"/>
      <c r="AG203" s="187"/>
      <c r="AH203" s="187"/>
      <c r="AI203" s="187"/>
      <c r="AJ203" s="187"/>
      <c r="AK203" s="187"/>
      <c r="AL203" s="187"/>
      <c r="AM203" s="187"/>
      <c r="AN203" s="187"/>
      <c r="AO203" s="187"/>
      <c r="AP203" s="187"/>
      <c r="AQ203" s="187"/>
      <c r="AR203" s="187"/>
      <c r="AS203" s="187"/>
      <c r="AT203" s="187"/>
      <c r="AU203" s="187"/>
      <c r="AV203" s="187"/>
      <c r="AW203" s="187"/>
      <c r="AX203" s="187"/>
      <c r="AY203" s="187"/>
      <c r="AZ203" s="187"/>
      <c r="BA203" s="187"/>
      <c r="BB203" s="187"/>
      <c r="BC203" s="187"/>
      <c r="BD203" s="187"/>
      <c r="BE203" s="187"/>
      <c r="BF203" s="187"/>
      <c r="BG203" s="187"/>
      <c r="BH203" s="187"/>
      <c r="BI203" s="229"/>
      <c r="BJ203" s="229"/>
      <c r="BK203" s="229"/>
      <c r="BL203" s="229"/>
      <c r="BM203" s="187"/>
      <c r="BN203" s="389"/>
      <c r="BO203" s="439"/>
      <c r="BP203" s="389"/>
      <c r="BQ203" s="439"/>
    </row>
    <row r="204" spans="1:69" x14ac:dyDescent="0.25">
      <c r="A204" s="228"/>
      <c r="B204" s="92" t="s">
        <v>672</v>
      </c>
      <c r="C204" s="270" t="s">
        <v>653</v>
      </c>
      <c r="D204" s="271">
        <v>45000</v>
      </c>
      <c r="E204" s="272">
        <v>30000</v>
      </c>
      <c r="F204" s="273">
        <v>20000</v>
      </c>
      <c r="G204" s="273">
        <v>20000</v>
      </c>
      <c r="H204" s="274">
        <v>25000</v>
      </c>
      <c r="I204" s="272">
        <v>30000</v>
      </c>
      <c r="J204" s="275">
        <v>30000</v>
      </c>
      <c r="K204" s="276">
        <v>35000</v>
      </c>
      <c r="L204" s="277">
        <v>50000</v>
      </c>
      <c r="M204" s="278">
        <v>60000</v>
      </c>
      <c r="N204" s="278">
        <v>60000</v>
      </c>
      <c r="O204" s="279">
        <v>75000</v>
      </c>
      <c r="P204" s="280">
        <v>90000</v>
      </c>
      <c r="Q204" s="281">
        <v>120000</v>
      </c>
      <c r="R204" s="281">
        <v>120000</v>
      </c>
      <c r="S204" s="187"/>
      <c r="T204" s="187"/>
      <c r="U204" s="187"/>
      <c r="V204" s="187"/>
      <c r="W204" s="187"/>
      <c r="X204" s="187"/>
      <c r="Y204" s="187"/>
      <c r="Z204" s="187"/>
      <c r="AA204" s="187"/>
      <c r="AB204" s="187"/>
      <c r="AC204" s="187"/>
      <c r="AD204" s="187"/>
      <c r="AE204" s="187"/>
      <c r="AF204" s="187"/>
      <c r="AG204" s="187"/>
      <c r="AH204" s="187"/>
      <c r="AI204" s="187"/>
      <c r="AJ204" s="187"/>
      <c r="AK204" s="187"/>
      <c r="AL204" s="187"/>
      <c r="AM204" s="187"/>
      <c r="AN204" s="187"/>
      <c r="AO204" s="187"/>
      <c r="AP204" s="187"/>
      <c r="AQ204" s="187"/>
      <c r="AR204" s="187"/>
      <c r="AS204" s="187"/>
      <c r="AT204" s="187"/>
      <c r="AU204" s="187"/>
      <c r="AV204" s="187"/>
      <c r="AW204" s="187"/>
      <c r="AX204" s="187"/>
      <c r="AY204" s="187"/>
      <c r="AZ204" s="187"/>
      <c r="BA204" s="187"/>
      <c r="BB204" s="187"/>
      <c r="BC204" s="187"/>
      <c r="BD204" s="187"/>
      <c r="BE204" s="187"/>
      <c r="BF204" s="187"/>
      <c r="BG204" s="187"/>
      <c r="BH204" s="187"/>
      <c r="BI204" s="229"/>
      <c r="BJ204" s="229"/>
      <c r="BK204" s="229"/>
      <c r="BL204" s="229"/>
      <c r="BM204" s="187"/>
      <c r="BN204" s="389"/>
      <c r="BO204" s="439"/>
      <c r="BP204" s="389"/>
      <c r="BQ204" s="439"/>
    </row>
    <row r="205" spans="1:69" x14ac:dyDescent="0.25">
      <c r="A205" s="228"/>
      <c r="B205" s="92" t="s">
        <v>673</v>
      </c>
      <c r="C205" s="270" t="s">
        <v>7</v>
      </c>
      <c r="D205" s="136">
        <v>2.5000000000000001E-2</v>
      </c>
      <c r="E205" s="136">
        <v>2.3199999999999998E-2</v>
      </c>
      <c r="F205" s="136">
        <v>2.0799999999999999E-2</v>
      </c>
      <c r="G205" s="136">
        <v>1.89E-2</v>
      </c>
      <c r="H205" s="136">
        <v>2.3300000000000001E-2</v>
      </c>
      <c r="I205" s="136">
        <v>1.8499999999999999E-2</v>
      </c>
      <c r="J205" s="136">
        <v>1.84E-2</v>
      </c>
      <c r="K205" s="136">
        <v>2.6100000000000002E-2</v>
      </c>
      <c r="L205" s="136">
        <v>2.93E-2</v>
      </c>
      <c r="M205" s="136">
        <v>2.58E-2</v>
      </c>
      <c r="N205" s="136">
        <v>2.6599999999999999E-2</v>
      </c>
      <c r="O205" s="136">
        <v>3.1600000000000003E-2</v>
      </c>
      <c r="P205" s="136">
        <v>2.8400000000000002E-2</v>
      </c>
      <c r="Q205" s="331">
        <f>Q192/Q184</f>
        <v>3.7851114162475184E-2</v>
      </c>
      <c r="R205" s="331">
        <f>R192/R184</f>
        <v>3.6105958971217995E-2</v>
      </c>
      <c r="S205" s="331">
        <f t="shared" ref="S205:AA205" si="367">S192/S184</f>
        <v>3.5570265227187536E-2</v>
      </c>
      <c r="T205" s="331">
        <f t="shared" si="367"/>
        <v>2.8368359808499343E-2</v>
      </c>
      <c r="U205" s="331">
        <f t="shared" si="367"/>
        <v>3.7851114162475184E-2</v>
      </c>
      <c r="V205" s="331">
        <f t="shared" si="367"/>
        <v>3.6105958971217995E-2</v>
      </c>
      <c r="W205" s="331">
        <f t="shared" si="367"/>
        <v>3.5570265227187536E-2</v>
      </c>
      <c r="X205" s="331">
        <f t="shared" si="367"/>
        <v>2.8368359808499347E-2</v>
      </c>
      <c r="Y205" s="331">
        <f t="shared" si="367"/>
        <v>3.7851114162475191E-2</v>
      </c>
      <c r="Z205" s="331">
        <f t="shared" si="367"/>
        <v>3.6105958971218002E-2</v>
      </c>
      <c r="AA205" s="331">
        <f t="shared" si="367"/>
        <v>3.5570265227187536E-2</v>
      </c>
      <c r="AB205" s="187"/>
      <c r="AC205" s="187"/>
      <c r="AD205" s="187"/>
      <c r="AE205" s="187"/>
      <c r="AF205" s="187"/>
      <c r="AG205" s="187"/>
      <c r="AH205" s="187"/>
      <c r="AI205" s="187"/>
      <c r="AJ205" s="187"/>
      <c r="AK205" s="187"/>
      <c r="AL205" s="187"/>
      <c r="AM205" s="187"/>
      <c r="AN205" s="187"/>
      <c r="AO205" s="187"/>
      <c r="AP205" s="187"/>
      <c r="AQ205" s="187"/>
      <c r="AR205" s="187"/>
      <c r="AS205" s="187"/>
      <c r="AT205" s="187"/>
      <c r="AU205" s="187"/>
      <c r="AV205" s="187"/>
      <c r="AW205" s="187"/>
      <c r="AX205" s="187"/>
      <c r="AY205" s="187"/>
      <c r="AZ205" s="187"/>
      <c r="BA205" s="187"/>
      <c r="BB205" s="187"/>
      <c r="BC205" s="187"/>
      <c r="BD205" s="187"/>
      <c r="BE205" s="187"/>
      <c r="BF205" s="187"/>
      <c r="BG205" s="187"/>
      <c r="BH205" s="187"/>
      <c r="BI205" s="229"/>
      <c r="BJ205" s="229"/>
      <c r="BK205" s="229"/>
      <c r="BL205" s="229"/>
      <c r="BM205" s="187"/>
      <c r="BN205" s="375">
        <v>2.6571188104461487E-2</v>
      </c>
      <c r="BO205" s="425"/>
      <c r="BP205" s="375">
        <v>3.1618013535277809E-2</v>
      </c>
      <c r="BQ205" s="425"/>
    </row>
    <row r="206" spans="1:69" x14ac:dyDescent="0.25">
      <c r="A206" s="490"/>
      <c r="B206" s="492"/>
      <c r="C206" s="188"/>
      <c r="D206" s="46"/>
      <c r="E206" s="46"/>
      <c r="F206" s="46"/>
      <c r="G206" s="46"/>
      <c r="H206" s="46"/>
      <c r="I206" s="46"/>
      <c r="J206" s="46"/>
      <c r="K206" s="46"/>
      <c r="L206" s="46"/>
      <c r="M206" s="187"/>
      <c r="N206" s="187"/>
      <c r="O206" s="46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  <c r="AA206" s="187"/>
      <c r="AB206" s="187"/>
      <c r="AC206" s="187"/>
      <c r="AD206" s="187"/>
      <c r="AE206" s="187"/>
      <c r="AF206" s="187"/>
      <c r="AG206" s="187"/>
      <c r="AH206" s="187"/>
      <c r="AI206" s="187"/>
      <c r="AJ206" s="187"/>
      <c r="AK206" s="187"/>
      <c r="AL206" s="187"/>
      <c r="AM206" s="187"/>
      <c r="AN206" s="187"/>
      <c r="AO206" s="187"/>
      <c r="AP206" s="187"/>
      <c r="AQ206" s="187"/>
      <c r="AR206" s="187"/>
      <c r="AS206" s="187"/>
      <c r="AT206" s="187"/>
      <c r="AU206" s="187"/>
      <c r="AV206" s="187"/>
      <c r="AW206" s="187"/>
      <c r="AX206" s="187"/>
      <c r="AY206" s="187"/>
      <c r="AZ206" s="187"/>
      <c r="BA206" s="187"/>
      <c r="BB206" s="187"/>
      <c r="BC206" s="187"/>
      <c r="BD206" s="187"/>
      <c r="BE206" s="187"/>
      <c r="BF206" s="187"/>
      <c r="BG206" s="187"/>
      <c r="BH206" s="187"/>
      <c r="BI206" s="229"/>
      <c r="BJ206" s="229"/>
      <c r="BK206" s="229"/>
      <c r="BL206" s="229"/>
      <c r="BM206" s="187"/>
      <c r="BN206" s="389"/>
      <c r="BO206" s="439"/>
      <c r="BP206" s="389"/>
      <c r="BQ206" s="439"/>
    </row>
    <row r="207" spans="1:69" x14ac:dyDescent="0.25">
      <c r="A207" s="490"/>
      <c r="B207" s="492"/>
      <c r="C207" s="188"/>
      <c r="D207" s="46"/>
      <c r="E207" s="46"/>
      <c r="F207" s="46"/>
      <c r="G207" s="46"/>
      <c r="H207" s="46"/>
      <c r="I207" s="46"/>
      <c r="J207" s="46"/>
      <c r="K207" s="46"/>
      <c r="L207" s="46"/>
      <c r="M207" s="187"/>
      <c r="N207" s="187"/>
      <c r="O207" s="46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  <c r="AA207" s="187"/>
      <c r="AB207" s="187"/>
      <c r="AC207" s="187"/>
      <c r="AD207" s="187"/>
      <c r="AE207" s="187"/>
      <c r="AF207" s="187"/>
      <c r="AG207" s="187"/>
      <c r="AH207" s="187"/>
      <c r="AI207" s="187"/>
      <c r="AJ207" s="187"/>
      <c r="AK207" s="187"/>
      <c r="AL207" s="187"/>
      <c r="AM207" s="187"/>
      <c r="AN207" s="187"/>
      <c r="AO207" s="187"/>
      <c r="AP207" s="187"/>
      <c r="AQ207" s="187"/>
      <c r="AR207" s="187"/>
      <c r="AS207" s="187"/>
      <c r="AT207" s="187"/>
      <c r="AU207" s="187"/>
      <c r="AV207" s="187"/>
      <c r="AW207" s="187"/>
      <c r="AX207" s="187"/>
      <c r="AY207" s="187"/>
      <c r="AZ207" s="187"/>
      <c r="BA207" s="187"/>
      <c r="BB207" s="187"/>
      <c r="BC207" s="187"/>
      <c r="BD207" s="187"/>
      <c r="BE207" s="187"/>
      <c r="BF207" s="187"/>
      <c r="BG207" s="187"/>
      <c r="BH207" s="187"/>
      <c r="BI207" s="229"/>
      <c r="BJ207" s="229"/>
      <c r="BK207" s="229"/>
      <c r="BL207" s="229"/>
      <c r="BM207" s="187"/>
      <c r="BN207" s="389"/>
      <c r="BO207" s="439"/>
      <c r="BP207" s="389"/>
      <c r="BQ207" s="439"/>
    </row>
    <row r="208" spans="1:69" x14ac:dyDescent="0.25">
      <c r="A208" s="490"/>
      <c r="B208" s="490"/>
      <c r="C208" s="187"/>
      <c r="D208" s="46"/>
      <c r="E208" s="46"/>
      <c r="F208" s="46"/>
      <c r="G208" s="46"/>
      <c r="H208" s="46"/>
      <c r="I208" s="46"/>
      <c r="J208" s="46"/>
      <c r="K208" s="46"/>
      <c r="L208" s="46"/>
      <c r="M208" s="187"/>
      <c r="N208" s="187"/>
      <c r="O208" s="46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  <c r="AA208" s="187"/>
      <c r="AB208" s="187"/>
      <c r="AC208" s="187"/>
      <c r="AD208" s="187"/>
      <c r="AE208" s="187"/>
      <c r="AF208" s="187"/>
      <c r="AG208" s="187"/>
      <c r="AH208" s="187"/>
      <c r="AI208" s="187"/>
      <c r="AJ208" s="187"/>
      <c r="AK208" s="187"/>
      <c r="AL208" s="187"/>
      <c r="AM208" s="187"/>
      <c r="AN208" s="187"/>
      <c r="AO208" s="187"/>
      <c r="AP208" s="187"/>
      <c r="AQ208" s="187"/>
      <c r="AR208" s="187"/>
      <c r="AS208" s="187"/>
      <c r="AT208" s="187"/>
      <c r="AU208" s="187"/>
      <c r="AV208" s="187"/>
      <c r="AW208" s="187"/>
      <c r="AX208" s="187"/>
      <c r="AY208" s="187"/>
      <c r="AZ208" s="187"/>
      <c r="BA208" s="187"/>
      <c r="BB208" s="187"/>
      <c r="BC208" s="187"/>
      <c r="BD208" s="187"/>
      <c r="BE208" s="187"/>
      <c r="BF208" s="187"/>
      <c r="BG208" s="187"/>
      <c r="BH208" s="187"/>
      <c r="BI208" s="229"/>
      <c r="BJ208" s="229"/>
      <c r="BK208" s="229"/>
      <c r="BL208" s="229"/>
      <c r="BM208" s="187"/>
      <c r="BN208" s="389"/>
      <c r="BO208" s="439"/>
      <c r="BP208" s="389"/>
      <c r="BQ208" s="439"/>
    </row>
    <row r="209" spans="1:69" x14ac:dyDescent="0.25">
      <c r="A209" s="490"/>
      <c r="B209" s="490"/>
      <c r="C209" s="187"/>
      <c r="D209" s="46"/>
      <c r="E209" s="46"/>
      <c r="F209" s="46"/>
      <c r="G209" s="46"/>
      <c r="H209" s="46"/>
      <c r="I209" s="46"/>
      <c r="J209" s="46"/>
      <c r="K209" s="46"/>
      <c r="L209" s="46"/>
      <c r="M209" s="187"/>
      <c r="N209" s="187"/>
      <c r="O209" s="46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  <c r="AA209" s="187"/>
      <c r="AB209" s="187"/>
      <c r="AC209" s="187"/>
      <c r="AD209" s="187"/>
      <c r="AE209" s="187"/>
      <c r="AF209" s="187"/>
      <c r="AG209" s="187"/>
      <c r="AH209" s="187"/>
      <c r="AI209" s="187"/>
      <c r="AJ209" s="187"/>
      <c r="AK209" s="187"/>
      <c r="AL209" s="187"/>
      <c r="AM209" s="187"/>
      <c r="AN209" s="187"/>
      <c r="AO209" s="187"/>
      <c r="AP209" s="187"/>
      <c r="AQ209" s="187"/>
      <c r="AR209" s="187"/>
      <c r="AS209" s="187"/>
      <c r="AT209" s="187"/>
      <c r="AU209" s="187"/>
      <c r="AV209" s="187"/>
      <c r="AW209" s="187"/>
      <c r="AX209" s="187"/>
      <c r="AY209" s="187"/>
      <c r="AZ209" s="187"/>
      <c r="BA209" s="187"/>
      <c r="BB209" s="187"/>
      <c r="BC209" s="187"/>
      <c r="BD209" s="187"/>
      <c r="BE209" s="187"/>
      <c r="BF209" s="187"/>
      <c r="BG209" s="187"/>
      <c r="BH209" s="187"/>
      <c r="BI209" s="229"/>
      <c r="BJ209" s="229"/>
      <c r="BK209" s="229"/>
      <c r="BL209" s="229"/>
      <c r="BM209" s="187"/>
      <c r="BN209" s="389"/>
      <c r="BO209" s="439"/>
      <c r="BP209" s="389"/>
      <c r="BQ209" s="439"/>
    </row>
    <row r="210" spans="1:69" x14ac:dyDescent="0.25">
      <c r="A210" s="490"/>
      <c r="B210" s="490"/>
      <c r="C210" s="187"/>
      <c r="D210" s="46"/>
      <c r="E210" s="46"/>
      <c r="F210" s="46"/>
      <c r="G210" s="46"/>
      <c r="H210" s="46"/>
      <c r="I210" s="46"/>
      <c r="J210" s="46"/>
      <c r="K210" s="46"/>
      <c r="L210" s="46"/>
      <c r="M210" s="187"/>
      <c r="N210" s="187"/>
      <c r="O210" s="46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  <c r="AA210" s="187"/>
      <c r="AB210" s="187"/>
      <c r="AC210" s="187"/>
      <c r="AD210" s="187"/>
      <c r="AE210" s="187"/>
      <c r="AF210" s="187"/>
      <c r="AG210" s="187"/>
      <c r="AH210" s="187"/>
      <c r="AI210" s="187"/>
      <c r="AJ210" s="187"/>
      <c r="AK210" s="187"/>
      <c r="AL210" s="187"/>
      <c r="AM210" s="187"/>
      <c r="AN210" s="187"/>
      <c r="AO210" s="187"/>
      <c r="AP210" s="187"/>
      <c r="AQ210" s="187"/>
      <c r="AR210" s="187"/>
      <c r="AS210" s="187"/>
      <c r="AT210" s="187"/>
      <c r="AU210" s="187"/>
      <c r="AV210" s="187"/>
      <c r="AW210" s="187"/>
      <c r="AX210" s="187"/>
      <c r="AY210" s="187"/>
      <c r="AZ210" s="187"/>
      <c r="BA210" s="187"/>
      <c r="BB210" s="187"/>
      <c r="BC210" s="187"/>
      <c r="BD210" s="187"/>
      <c r="BE210" s="187"/>
      <c r="BF210" s="187"/>
      <c r="BG210" s="187"/>
      <c r="BH210" s="187"/>
      <c r="BI210" s="229"/>
      <c r="BJ210" s="229"/>
      <c r="BK210" s="229"/>
      <c r="BL210" s="229"/>
      <c r="BM210" s="187"/>
      <c r="BN210" s="389"/>
      <c r="BO210" s="439"/>
      <c r="BP210" s="389"/>
      <c r="BQ210" s="439"/>
    </row>
    <row r="211" spans="1:69" x14ac:dyDescent="0.25">
      <c r="A211" s="490"/>
      <c r="B211" s="490"/>
      <c r="C211" s="187"/>
      <c r="D211" s="46"/>
      <c r="E211" s="46"/>
      <c r="F211" s="46"/>
      <c r="G211" s="46"/>
      <c r="H211" s="46"/>
      <c r="I211" s="46"/>
      <c r="J211" s="46"/>
      <c r="K211" s="46"/>
      <c r="L211" s="46"/>
      <c r="M211" s="187"/>
      <c r="N211" s="187"/>
      <c r="O211" s="46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  <c r="AA211" s="187"/>
      <c r="AB211" s="187"/>
      <c r="AC211" s="187"/>
      <c r="AD211" s="187"/>
      <c r="AE211" s="187"/>
      <c r="AF211" s="187"/>
      <c r="AG211" s="187"/>
      <c r="AH211" s="187"/>
      <c r="AI211" s="187"/>
      <c r="AJ211" s="187"/>
      <c r="AK211" s="187"/>
      <c r="AL211" s="187"/>
      <c r="AM211" s="187"/>
      <c r="AN211" s="187"/>
      <c r="AO211" s="187"/>
      <c r="AP211" s="187"/>
      <c r="AQ211" s="187"/>
      <c r="AR211" s="187"/>
      <c r="AS211" s="187"/>
      <c r="AT211" s="187"/>
      <c r="AU211" s="187"/>
      <c r="AV211" s="187"/>
      <c r="AW211" s="187"/>
      <c r="AX211" s="187"/>
      <c r="AY211" s="187"/>
      <c r="AZ211" s="187"/>
      <c r="BA211" s="187"/>
      <c r="BB211" s="187"/>
      <c r="BC211" s="187"/>
      <c r="BD211" s="187"/>
      <c r="BE211" s="187"/>
      <c r="BF211" s="187"/>
      <c r="BG211" s="187"/>
      <c r="BH211" s="187"/>
      <c r="BI211" s="229"/>
      <c r="BJ211" s="229"/>
      <c r="BK211" s="229"/>
      <c r="BL211" s="229"/>
      <c r="BM211" s="187"/>
      <c r="BN211" s="389"/>
      <c r="BO211" s="439"/>
      <c r="BP211" s="389"/>
      <c r="BQ211" s="439"/>
    </row>
    <row r="212" spans="1:69" x14ac:dyDescent="0.25">
      <c r="A212" s="490"/>
      <c r="B212" s="490"/>
      <c r="C212" s="187"/>
      <c r="D212" s="46"/>
      <c r="E212" s="46"/>
      <c r="F212" s="46"/>
      <c r="G212" s="46"/>
      <c r="H212" s="46"/>
      <c r="I212" s="46"/>
      <c r="J212" s="46"/>
      <c r="K212" s="46"/>
      <c r="L212" s="46"/>
      <c r="M212" s="187"/>
      <c r="N212" s="187"/>
      <c r="O212" s="46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  <c r="AA212" s="187"/>
      <c r="AB212" s="187"/>
      <c r="AC212" s="187"/>
      <c r="AD212" s="187"/>
      <c r="AE212" s="187"/>
      <c r="AF212" s="187"/>
      <c r="AG212" s="187"/>
      <c r="AH212" s="187"/>
      <c r="AI212" s="187"/>
      <c r="AJ212" s="187"/>
      <c r="AK212" s="187"/>
      <c r="AL212" s="187"/>
      <c r="AM212" s="187"/>
      <c r="AN212" s="187"/>
      <c r="AO212" s="187"/>
      <c r="AP212" s="187"/>
      <c r="AQ212" s="187"/>
      <c r="AR212" s="187"/>
      <c r="AS212" s="187"/>
      <c r="AT212" s="187"/>
      <c r="AU212" s="187"/>
      <c r="AV212" s="187"/>
      <c r="AW212" s="187"/>
      <c r="AX212" s="187"/>
      <c r="AY212" s="187"/>
      <c r="AZ212" s="187"/>
      <c r="BA212" s="187"/>
      <c r="BB212" s="187"/>
      <c r="BC212" s="187"/>
      <c r="BD212" s="187"/>
      <c r="BE212" s="187"/>
      <c r="BF212" s="187"/>
      <c r="BG212" s="187"/>
      <c r="BH212" s="187"/>
      <c r="BI212" s="229"/>
      <c r="BJ212" s="229"/>
      <c r="BK212" s="229"/>
      <c r="BL212" s="229"/>
      <c r="BM212" s="187"/>
      <c r="BN212" s="389"/>
      <c r="BO212" s="439"/>
      <c r="BP212" s="389"/>
      <c r="BQ212" s="439"/>
    </row>
    <row r="213" spans="1:69" x14ac:dyDescent="0.25">
      <c r="A213" s="490"/>
      <c r="B213" s="490"/>
      <c r="C213" s="187"/>
      <c r="D213" s="46"/>
      <c r="E213" s="46"/>
      <c r="F213" s="46"/>
      <c r="G213" s="46"/>
      <c r="H213" s="46"/>
      <c r="I213" s="46"/>
      <c r="J213" s="46"/>
      <c r="K213" s="46"/>
      <c r="L213" s="46"/>
      <c r="M213" s="187"/>
      <c r="N213" s="187"/>
      <c r="O213" s="46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  <c r="AA213" s="187"/>
      <c r="AB213" s="187"/>
      <c r="AC213" s="187"/>
      <c r="AD213" s="187"/>
      <c r="AE213" s="187"/>
      <c r="AF213" s="187"/>
      <c r="AG213" s="187"/>
      <c r="AH213" s="187"/>
      <c r="AI213" s="187"/>
      <c r="AJ213" s="187"/>
      <c r="AK213" s="187"/>
      <c r="AL213" s="187"/>
      <c r="AM213" s="187"/>
      <c r="AN213" s="187"/>
      <c r="AO213" s="187"/>
      <c r="AP213" s="187"/>
      <c r="AQ213" s="187"/>
      <c r="AR213" s="187"/>
      <c r="AS213" s="187"/>
      <c r="AT213" s="187"/>
      <c r="AU213" s="187"/>
      <c r="AV213" s="187"/>
      <c r="AW213" s="187"/>
      <c r="AX213" s="187"/>
      <c r="AY213" s="187"/>
      <c r="AZ213" s="187"/>
      <c r="BA213" s="187"/>
      <c r="BB213" s="187"/>
      <c r="BC213" s="187"/>
      <c r="BD213" s="187"/>
      <c r="BE213" s="187"/>
      <c r="BF213" s="187"/>
      <c r="BG213" s="187"/>
      <c r="BH213" s="187"/>
      <c r="BI213" s="229"/>
      <c r="BJ213" s="229"/>
      <c r="BK213" s="229"/>
      <c r="BL213" s="229"/>
      <c r="BM213" s="187"/>
      <c r="BN213" s="389"/>
      <c r="BO213" s="439"/>
      <c r="BP213" s="389"/>
      <c r="BQ213" s="439"/>
    </row>
    <row r="214" spans="1:69" x14ac:dyDescent="0.25">
      <c r="A214" s="490"/>
      <c r="B214" s="490"/>
      <c r="C214" s="187"/>
      <c r="D214" s="46"/>
      <c r="E214" s="46"/>
      <c r="F214" s="46"/>
      <c r="G214" s="46"/>
      <c r="H214" s="46"/>
      <c r="I214" s="46"/>
      <c r="J214" s="46"/>
      <c r="K214" s="46"/>
      <c r="L214" s="46"/>
      <c r="M214" s="187"/>
      <c r="N214" s="187"/>
      <c r="O214" s="46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  <c r="AA214" s="187"/>
      <c r="AB214" s="187"/>
      <c r="AC214" s="187"/>
      <c r="AD214" s="187"/>
      <c r="AE214" s="187"/>
      <c r="AF214" s="187"/>
      <c r="AG214" s="187"/>
      <c r="AH214" s="187"/>
      <c r="AI214" s="187"/>
      <c r="AJ214" s="187"/>
      <c r="AK214" s="187"/>
      <c r="AL214" s="187"/>
      <c r="AM214" s="187"/>
      <c r="AN214" s="187"/>
      <c r="AO214" s="187"/>
      <c r="AP214" s="187"/>
      <c r="AQ214" s="187"/>
      <c r="AR214" s="187"/>
      <c r="AS214" s="187"/>
      <c r="AT214" s="187"/>
      <c r="AU214" s="187"/>
      <c r="AV214" s="187"/>
      <c r="AW214" s="187"/>
      <c r="AX214" s="187"/>
      <c r="AY214" s="187"/>
      <c r="AZ214" s="187"/>
      <c r="BA214" s="187"/>
      <c r="BB214" s="187"/>
      <c r="BC214" s="187"/>
      <c r="BD214" s="187"/>
      <c r="BE214" s="187"/>
      <c r="BF214" s="187"/>
      <c r="BG214" s="187"/>
      <c r="BH214" s="187"/>
      <c r="BI214" s="229"/>
      <c r="BJ214" s="229"/>
      <c r="BK214" s="229"/>
      <c r="BL214" s="229"/>
      <c r="BM214" s="187"/>
      <c r="BN214" s="389"/>
      <c r="BO214" s="439"/>
      <c r="BP214" s="389"/>
      <c r="BQ214" s="439"/>
    </row>
    <row r="215" spans="1:69" x14ac:dyDescent="0.25">
      <c r="A215" s="490"/>
      <c r="B215" s="490"/>
      <c r="C215" s="187"/>
      <c r="D215" s="46"/>
      <c r="E215" s="46"/>
      <c r="F215" s="46"/>
      <c r="G215" s="46"/>
      <c r="H215" s="46"/>
      <c r="I215" s="46"/>
      <c r="J215" s="46"/>
      <c r="K215" s="46"/>
      <c r="L215" s="46"/>
      <c r="M215" s="187"/>
      <c r="N215" s="187"/>
      <c r="O215" s="46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  <c r="AA215" s="187"/>
      <c r="AB215" s="187"/>
      <c r="AC215" s="187"/>
      <c r="AD215" s="187"/>
      <c r="AE215" s="187"/>
      <c r="AF215" s="187"/>
      <c r="AG215" s="187"/>
      <c r="AH215" s="187"/>
      <c r="AI215" s="187"/>
      <c r="AJ215" s="187"/>
      <c r="AK215" s="187"/>
      <c r="AL215" s="187"/>
      <c r="AM215" s="187"/>
      <c r="AN215" s="187"/>
      <c r="AO215" s="187"/>
      <c r="AP215" s="187"/>
      <c r="AQ215" s="187"/>
      <c r="AR215" s="187"/>
      <c r="AS215" s="187"/>
      <c r="AT215" s="187"/>
      <c r="AU215" s="187"/>
      <c r="AV215" s="187"/>
      <c r="AW215" s="187"/>
      <c r="AX215" s="187"/>
      <c r="AY215" s="187"/>
      <c r="AZ215" s="187"/>
      <c r="BA215" s="187"/>
      <c r="BB215" s="187"/>
      <c r="BC215" s="187"/>
      <c r="BD215" s="187"/>
      <c r="BE215" s="187"/>
      <c r="BF215" s="187"/>
      <c r="BG215" s="187"/>
      <c r="BH215" s="187"/>
      <c r="BI215" s="229"/>
      <c r="BJ215" s="229"/>
      <c r="BK215" s="229"/>
      <c r="BL215" s="229"/>
      <c r="BM215" s="187"/>
      <c r="BN215" s="389"/>
      <c r="BO215" s="439"/>
      <c r="BP215" s="389"/>
      <c r="BQ215" s="439"/>
    </row>
    <row r="216" spans="1:69" x14ac:dyDescent="0.25">
      <c r="A216" s="490"/>
      <c r="B216" s="490"/>
      <c r="C216" s="187"/>
      <c r="D216" s="46"/>
      <c r="E216" s="46"/>
      <c r="F216" s="46"/>
      <c r="G216" s="46"/>
      <c r="H216" s="46"/>
      <c r="I216" s="46"/>
      <c r="J216" s="46"/>
      <c r="K216" s="46"/>
      <c r="L216" s="46"/>
      <c r="M216" s="187"/>
      <c r="N216" s="187"/>
      <c r="O216" s="46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  <c r="AA216" s="187"/>
      <c r="AB216" s="187"/>
      <c r="AC216" s="187"/>
      <c r="AD216" s="187"/>
      <c r="AE216" s="187"/>
      <c r="AF216" s="187"/>
      <c r="AG216" s="187"/>
      <c r="AH216" s="187"/>
      <c r="AI216" s="187"/>
      <c r="AJ216" s="187"/>
      <c r="AK216" s="187"/>
      <c r="AL216" s="187"/>
      <c r="AM216" s="187"/>
      <c r="AN216" s="187"/>
      <c r="AO216" s="187"/>
      <c r="AP216" s="187"/>
      <c r="AQ216" s="187"/>
      <c r="AR216" s="187"/>
      <c r="AS216" s="187"/>
      <c r="AT216" s="187"/>
      <c r="AU216" s="187"/>
      <c r="AV216" s="187"/>
      <c r="AW216" s="187"/>
      <c r="AX216" s="187"/>
      <c r="AY216" s="187"/>
      <c r="AZ216" s="187"/>
      <c r="BA216" s="187"/>
      <c r="BB216" s="187"/>
      <c r="BC216" s="187"/>
      <c r="BD216" s="187"/>
      <c r="BE216" s="187"/>
      <c r="BF216" s="187"/>
      <c r="BG216" s="187"/>
      <c r="BH216" s="187"/>
      <c r="BI216" s="229"/>
      <c r="BJ216" s="229"/>
      <c r="BK216" s="229"/>
      <c r="BL216" s="229"/>
      <c r="BM216" s="187"/>
      <c r="BN216" s="389"/>
      <c r="BO216" s="439"/>
      <c r="BP216" s="389"/>
      <c r="BQ216" s="439"/>
    </row>
    <row r="217" spans="1:69" x14ac:dyDescent="0.25">
      <c r="A217" s="490"/>
      <c r="B217" s="490"/>
      <c r="C217" s="187"/>
      <c r="D217" s="46"/>
      <c r="E217" s="46"/>
      <c r="F217" s="46"/>
      <c r="G217" s="46"/>
      <c r="H217" s="46"/>
      <c r="I217" s="46"/>
      <c r="J217" s="46"/>
      <c r="K217" s="46"/>
      <c r="L217" s="46"/>
      <c r="M217" s="187"/>
      <c r="N217" s="187"/>
      <c r="O217" s="46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  <c r="AA217" s="187"/>
      <c r="AB217" s="187"/>
      <c r="AC217" s="187"/>
      <c r="AD217" s="187"/>
      <c r="AE217" s="187"/>
      <c r="AF217" s="187"/>
      <c r="AG217" s="187"/>
      <c r="AH217" s="187"/>
      <c r="AI217" s="187"/>
      <c r="AJ217" s="187"/>
      <c r="AK217" s="187"/>
      <c r="AL217" s="187"/>
      <c r="AM217" s="187"/>
      <c r="AN217" s="187"/>
      <c r="AO217" s="187"/>
      <c r="AP217" s="187"/>
      <c r="AQ217" s="187"/>
      <c r="AR217" s="187"/>
      <c r="AS217" s="187"/>
      <c r="AT217" s="187"/>
      <c r="AU217" s="187"/>
      <c r="AV217" s="187"/>
      <c r="AW217" s="187"/>
      <c r="AX217" s="187"/>
      <c r="AY217" s="187"/>
      <c r="AZ217" s="187"/>
      <c r="BA217" s="187"/>
      <c r="BB217" s="187"/>
      <c r="BC217" s="187"/>
      <c r="BD217" s="187"/>
      <c r="BE217" s="187"/>
      <c r="BF217" s="187"/>
      <c r="BG217" s="187"/>
      <c r="BH217" s="187"/>
      <c r="BI217" s="229"/>
      <c r="BJ217" s="229"/>
      <c r="BK217" s="229"/>
      <c r="BL217" s="229"/>
      <c r="BM217" s="187"/>
      <c r="BN217" s="389"/>
      <c r="BO217" s="439"/>
      <c r="BP217" s="389"/>
      <c r="BQ217" s="439"/>
    </row>
    <row r="218" spans="1:69" x14ac:dyDescent="0.25">
      <c r="A218" s="490"/>
      <c r="B218" s="490"/>
      <c r="C218" s="187"/>
      <c r="D218" s="46"/>
      <c r="E218" s="46"/>
      <c r="F218" s="46"/>
      <c r="G218" s="46"/>
      <c r="H218" s="46"/>
      <c r="I218" s="46"/>
      <c r="J218" s="46"/>
      <c r="K218" s="46"/>
      <c r="L218" s="46"/>
      <c r="M218" s="187"/>
      <c r="N218" s="187"/>
      <c r="O218" s="46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  <c r="AA218" s="187"/>
      <c r="AB218" s="187"/>
      <c r="AC218" s="187"/>
      <c r="AD218" s="187"/>
      <c r="AE218" s="187"/>
      <c r="AF218" s="187"/>
      <c r="AG218" s="187"/>
      <c r="AH218" s="187"/>
      <c r="AI218" s="187"/>
      <c r="AJ218" s="187"/>
      <c r="AK218" s="187"/>
      <c r="AL218" s="187"/>
      <c r="AM218" s="187"/>
      <c r="AN218" s="187"/>
      <c r="AO218" s="187"/>
      <c r="AP218" s="187"/>
      <c r="AQ218" s="187"/>
      <c r="AR218" s="187"/>
      <c r="AS218" s="187"/>
      <c r="AT218" s="187"/>
      <c r="AU218" s="187"/>
      <c r="AV218" s="187"/>
      <c r="AW218" s="187"/>
      <c r="AX218" s="187"/>
      <c r="AY218" s="187"/>
      <c r="AZ218" s="187"/>
      <c r="BA218" s="187"/>
      <c r="BB218" s="187"/>
      <c r="BC218" s="187"/>
      <c r="BD218" s="187"/>
      <c r="BE218" s="187"/>
      <c r="BF218" s="187"/>
      <c r="BG218" s="187"/>
      <c r="BH218" s="187"/>
      <c r="BI218" s="229"/>
      <c r="BJ218" s="229"/>
      <c r="BK218" s="229"/>
      <c r="BL218" s="229"/>
      <c r="BM218" s="187"/>
      <c r="BN218" s="389"/>
      <c r="BO218" s="439"/>
      <c r="BP218" s="389"/>
      <c r="BQ218" s="439"/>
    </row>
    <row r="219" spans="1:69" x14ac:dyDescent="0.25">
      <c r="A219" s="490"/>
      <c r="B219" s="490"/>
      <c r="C219" s="187"/>
      <c r="D219" s="46"/>
      <c r="E219" s="46"/>
      <c r="F219" s="46"/>
      <c r="G219" s="46"/>
      <c r="H219" s="46"/>
      <c r="I219" s="46"/>
      <c r="J219" s="46"/>
      <c r="K219" s="46"/>
      <c r="L219" s="46"/>
      <c r="M219" s="187"/>
      <c r="N219" s="187"/>
      <c r="O219" s="46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  <c r="AA219" s="187"/>
      <c r="AB219" s="187"/>
      <c r="AC219" s="187"/>
      <c r="AD219" s="187"/>
      <c r="AE219" s="187"/>
      <c r="AF219" s="187"/>
      <c r="AG219" s="187"/>
      <c r="AH219" s="187"/>
      <c r="AI219" s="187"/>
      <c r="AJ219" s="187"/>
      <c r="AK219" s="187"/>
      <c r="AL219" s="187"/>
      <c r="AM219" s="187"/>
      <c r="AN219" s="187"/>
      <c r="AO219" s="187"/>
      <c r="AP219" s="187"/>
      <c r="AQ219" s="187"/>
      <c r="AR219" s="187"/>
      <c r="AS219" s="187"/>
      <c r="AT219" s="187"/>
      <c r="AU219" s="187"/>
      <c r="AV219" s="187"/>
      <c r="AW219" s="187"/>
      <c r="AX219" s="187"/>
      <c r="AY219" s="187"/>
      <c r="AZ219" s="187"/>
      <c r="BA219" s="187"/>
      <c r="BB219" s="187"/>
      <c r="BC219" s="187"/>
      <c r="BD219" s="187"/>
      <c r="BE219" s="187"/>
      <c r="BF219" s="187"/>
      <c r="BG219" s="187"/>
      <c r="BH219" s="187"/>
      <c r="BI219" s="229"/>
      <c r="BJ219" s="229"/>
      <c r="BK219" s="229"/>
      <c r="BL219" s="229"/>
      <c r="BM219" s="187"/>
      <c r="BN219" s="389"/>
      <c r="BO219" s="439"/>
      <c r="BP219" s="389"/>
      <c r="BQ219" s="439"/>
    </row>
    <row r="220" spans="1:69" x14ac:dyDescent="0.25">
      <c r="A220" s="490"/>
      <c r="B220" s="490"/>
      <c r="C220" s="187"/>
      <c r="D220" s="46"/>
      <c r="E220" s="46"/>
      <c r="F220" s="46"/>
      <c r="G220" s="46"/>
      <c r="H220" s="46"/>
      <c r="I220" s="46"/>
      <c r="J220" s="46"/>
      <c r="K220" s="46"/>
      <c r="L220" s="46"/>
      <c r="M220" s="187"/>
      <c r="N220" s="187"/>
      <c r="O220" s="46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  <c r="AA220" s="187"/>
      <c r="AB220" s="187"/>
      <c r="AC220" s="187"/>
      <c r="AD220" s="187"/>
      <c r="AE220" s="187"/>
      <c r="AF220" s="187"/>
      <c r="AG220" s="187"/>
      <c r="AH220" s="187"/>
      <c r="AI220" s="187"/>
      <c r="AJ220" s="187"/>
      <c r="AK220" s="187"/>
      <c r="AL220" s="187"/>
      <c r="AM220" s="187"/>
      <c r="AN220" s="187"/>
      <c r="AO220" s="187"/>
      <c r="AP220" s="187"/>
      <c r="AQ220" s="187"/>
      <c r="AR220" s="187"/>
      <c r="AS220" s="187"/>
      <c r="AT220" s="187"/>
      <c r="AU220" s="187"/>
      <c r="AV220" s="187"/>
      <c r="AW220" s="187"/>
      <c r="AX220" s="187"/>
      <c r="AY220" s="187"/>
      <c r="AZ220" s="187"/>
      <c r="BA220" s="187"/>
      <c r="BB220" s="187"/>
      <c r="BC220" s="187"/>
      <c r="BD220" s="187"/>
      <c r="BE220" s="187"/>
      <c r="BF220" s="187"/>
      <c r="BG220" s="187"/>
      <c r="BH220" s="187"/>
      <c r="BI220" s="229"/>
      <c r="BJ220" s="229"/>
      <c r="BK220" s="229"/>
      <c r="BL220" s="229"/>
      <c r="BM220" s="187"/>
      <c r="BN220" s="389"/>
      <c r="BO220" s="439"/>
      <c r="BP220" s="389"/>
      <c r="BQ220" s="439"/>
    </row>
    <row r="221" spans="1:69" x14ac:dyDescent="0.25">
      <c r="A221" s="490"/>
      <c r="B221" s="490"/>
      <c r="C221" s="187"/>
      <c r="D221" s="46"/>
      <c r="E221" s="46"/>
      <c r="F221" s="46"/>
      <c r="G221" s="46"/>
      <c r="H221" s="46"/>
      <c r="I221" s="46"/>
      <c r="J221" s="46"/>
      <c r="K221" s="46"/>
      <c r="L221" s="46"/>
      <c r="M221" s="187"/>
      <c r="N221" s="187"/>
      <c r="O221" s="46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  <c r="AA221" s="187"/>
      <c r="AB221" s="187"/>
      <c r="AC221" s="187"/>
      <c r="AD221" s="187"/>
      <c r="AE221" s="187"/>
      <c r="AF221" s="187"/>
      <c r="AG221" s="187"/>
      <c r="AH221" s="187"/>
      <c r="AI221" s="187"/>
      <c r="AJ221" s="187"/>
      <c r="AK221" s="187"/>
      <c r="AL221" s="187"/>
      <c r="AM221" s="187"/>
      <c r="AN221" s="187"/>
      <c r="AO221" s="187"/>
      <c r="AP221" s="187"/>
      <c r="AQ221" s="187"/>
      <c r="AR221" s="187"/>
      <c r="AS221" s="187"/>
      <c r="AT221" s="187"/>
      <c r="AU221" s="187"/>
      <c r="AV221" s="187"/>
      <c r="AW221" s="187"/>
      <c r="AX221" s="187"/>
      <c r="AY221" s="187"/>
      <c r="AZ221" s="187"/>
      <c r="BA221" s="187"/>
      <c r="BB221" s="187"/>
      <c r="BC221" s="187"/>
      <c r="BD221" s="187"/>
      <c r="BE221" s="187"/>
      <c r="BF221" s="187"/>
      <c r="BG221" s="187"/>
      <c r="BH221" s="187"/>
      <c r="BI221" s="229"/>
      <c r="BJ221" s="229"/>
      <c r="BK221" s="229"/>
      <c r="BL221" s="229"/>
      <c r="BM221" s="187"/>
      <c r="BN221" s="389"/>
      <c r="BO221" s="439"/>
      <c r="BP221" s="389"/>
      <c r="BQ221" s="439"/>
    </row>
    <row r="222" spans="1:69" x14ac:dyDescent="0.25">
      <c r="A222" s="490"/>
      <c r="B222" s="490"/>
      <c r="C222" s="187"/>
      <c r="D222" s="46"/>
      <c r="E222" s="46"/>
      <c r="F222" s="46"/>
      <c r="G222" s="46"/>
      <c r="H222" s="46"/>
      <c r="I222" s="46"/>
      <c r="J222" s="46"/>
      <c r="K222" s="46"/>
      <c r="L222" s="46"/>
      <c r="M222" s="187"/>
      <c r="N222" s="187"/>
      <c r="O222" s="46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  <c r="AA222" s="187"/>
      <c r="AB222" s="187"/>
      <c r="AC222" s="187"/>
      <c r="AD222" s="187"/>
      <c r="AE222" s="187"/>
      <c r="AF222" s="187"/>
      <c r="AG222" s="187"/>
      <c r="AH222" s="187"/>
      <c r="AI222" s="187"/>
      <c r="AJ222" s="187"/>
      <c r="AK222" s="187"/>
      <c r="AL222" s="187"/>
      <c r="AM222" s="187"/>
      <c r="AN222" s="187"/>
      <c r="AO222" s="187"/>
      <c r="AP222" s="187"/>
      <c r="AQ222" s="187"/>
      <c r="AR222" s="187"/>
      <c r="AS222" s="187"/>
      <c r="AT222" s="187"/>
      <c r="AU222" s="187"/>
      <c r="AV222" s="187"/>
      <c r="AW222" s="187"/>
      <c r="AX222" s="187"/>
      <c r="AY222" s="187"/>
      <c r="AZ222" s="187"/>
      <c r="BA222" s="187"/>
      <c r="BB222" s="187"/>
      <c r="BC222" s="187"/>
      <c r="BD222" s="187"/>
      <c r="BE222" s="187"/>
      <c r="BF222" s="187"/>
      <c r="BG222" s="187"/>
      <c r="BH222" s="187"/>
      <c r="BI222" s="229"/>
      <c r="BJ222" s="229"/>
      <c r="BK222" s="229"/>
      <c r="BL222" s="229"/>
      <c r="BM222" s="187"/>
      <c r="BN222" s="389"/>
      <c r="BO222" s="439"/>
      <c r="BP222" s="389"/>
      <c r="BQ222" s="439"/>
    </row>
    <row r="223" spans="1:69" x14ac:dyDescent="0.25">
      <c r="A223" s="490"/>
      <c r="B223" s="490"/>
      <c r="C223" s="187"/>
      <c r="D223" s="46"/>
      <c r="E223" s="46"/>
      <c r="F223" s="46"/>
      <c r="G223" s="46"/>
      <c r="H223" s="46"/>
      <c r="I223" s="46"/>
      <c r="J223" s="46"/>
      <c r="K223" s="46"/>
      <c r="L223" s="46"/>
      <c r="M223" s="187"/>
      <c r="N223" s="187"/>
      <c r="O223" s="46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  <c r="AA223" s="187"/>
      <c r="AB223" s="187"/>
      <c r="AC223" s="187"/>
      <c r="AD223" s="187"/>
      <c r="AE223" s="187"/>
      <c r="AF223" s="187"/>
      <c r="AG223" s="187"/>
      <c r="AH223" s="187"/>
      <c r="AI223" s="187"/>
      <c r="AJ223" s="187"/>
      <c r="AK223" s="187"/>
      <c r="AL223" s="187"/>
      <c r="AM223" s="187"/>
      <c r="AN223" s="187"/>
      <c r="AO223" s="187"/>
      <c r="AP223" s="187"/>
      <c r="AQ223" s="187"/>
      <c r="AR223" s="187"/>
      <c r="AS223" s="187"/>
      <c r="AT223" s="187"/>
      <c r="AU223" s="187"/>
      <c r="AV223" s="187"/>
      <c r="AW223" s="187"/>
      <c r="AX223" s="187"/>
      <c r="AY223" s="187"/>
      <c r="AZ223" s="187"/>
      <c r="BA223" s="187"/>
      <c r="BB223" s="187"/>
      <c r="BC223" s="187"/>
      <c r="BD223" s="187"/>
      <c r="BE223" s="187"/>
      <c r="BF223" s="187"/>
      <c r="BG223" s="187"/>
      <c r="BH223" s="187"/>
      <c r="BI223" s="229"/>
      <c r="BJ223" s="229"/>
      <c r="BK223" s="229"/>
      <c r="BL223" s="229"/>
      <c r="BM223" s="187"/>
      <c r="BN223" s="389"/>
      <c r="BO223" s="439"/>
      <c r="BP223" s="389"/>
      <c r="BQ223" s="439"/>
    </row>
    <row r="224" spans="1:69" x14ac:dyDescent="0.25">
      <c r="A224" s="490"/>
      <c r="B224" s="490"/>
      <c r="C224" s="187"/>
      <c r="D224" s="46"/>
      <c r="E224" s="46"/>
      <c r="F224" s="46"/>
      <c r="G224" s="46"/>
      <c r="H224" s="46"/>
      <c r="I224" s="46"/>
      <c r="J224" s="46"/>
      <c r="K224" s="46"/>
      <c r="L224" s="46"/>
      <c r="M224" s="187"/>
      <c r="N224" s="187"/>
      <c r="O224" s="46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  <c r="AA224" s="187"/>
      <c r="AB224" s="187"/>
      <c r="AC224" s="187"/>
      <c r="AD224" s="187"/>
      <c r="AE224" s="187"/>
      <c r="AF224" s="187"/>
      <c r="AG224" s="187"/>
      <c r="AH224" s="187"/>
      <c r="AI224" s="187"/>
      <c r="AJ224" s="187"/>
      <c r="AK224" s="187"/>
      <c r="AL224" s="187"/>
      <c r="AM224" s="187"/>
      <c r="AN224" s="187"/>
      <c r="AO224" s="187"/>
      <c r="AP224" s="187"/>
      <c r="AQ224" s="187"/>
      <c r="AR224" s="187"/>
      <c r="AS224" s="187"/>
      <c r="AT224" s="187"/>
      <c r="AU224" s="187"/>
      <c r="AV224" s="187"/>
      <c r="AW224" s="187"/>
      <c r="AX224" s="187"/>
      <c r="AY224" s="187"/>
      <c r="AZ224" s="187"/>
      <c r="BA224" s="187"/>
      <c r="BB224" s="187"/>
      <c r="BC224" s="187"/>
      <c r="BD224" s="187"/>
      <c r="BE224" s="187"/>
      <c r="BF224" s="187"/>
      <c r="BG224" s="187"/>
      <c r="BH224" s="187"/>
      <c r="BI224" s="229"/>
      <c r="BJ224" s="229"/>
      <c r="BK224" s="229"/>
      <c r="BL224" s="229"/>
      <c r="BM224" s="187"/>
      <c r="BN224" s="389"/>
      <c r="BO224" s="439"/>
      <c r="BP224" s="389"/>
      <c r="BQ224" s="439"/>
    </row>
    <row r="225" spans="1:69" x14ac:dyDescent="0.25">
      <c r="A225" s="490"/>
      <c r="B225" s="490"/>
      <c r="C225" s="187"/>
      <c r="D225" s="46"/>
      <c r="E225" s="46"/>
      <c r="F225" s="46"/>
      <c r="G225" s="46"/>
      <c r="H225" s="46"/>
      <c r="I225" s="46"/>
      <c r="J225" s="46"/>
      <c r="K225" s="46"/>
      <c r="L225" s="46"/>
      <c r="M225" s="187"/>
      <c r="N225" s="187"/>
      <c r="O225" s="46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  <c r="AA225" s="187"/>
      <c r="AB225" s="187"/>
      <c r="AC225" s="187"/>
      <c r="AD225" s="187"/>
      <c r="AE225" s="187"/>
      <c r="AF225" s="187"/>
      <c r="AG225" s="187"/>
      <c r="AH225" s="187"/>
      <c r="AI225" s="187"/>
      <c r="AJ225" s="187"/>
      <c r="AK225" s="187"/>
      <c r="AL225" s="187"/>
      <c r="AM225" s="187"/>
      <c r="AN225" s="187"/>
      <c r="AO225" s="187"/>
      <c r="AP225" s="187"/>
      <c r="AQ225" s="187"/>
      <c r="AR225" s="187"/>
      <c r="AS225" s="187"/>
      <c r="AT225" s="187"/>
      <c r="AU225" s="187"/>
      <c r="AV225" s="187"/>
      <c r="AW225" s="187"/>
      <c r="AX225" s="187"/>
      <c r="AY225" s="187"/>
      <c r="AZ225" s="187"/>
      <c r="BA225" s="187"/>
      <c r="BB225" s="187"/>
      <c r="BC225" s="187"/>
      <c r="BD225" s="187"/>
      <c r="BE225" s="187"/>
      <c r="BF225" s="187"/>
      <c r="BG225" s="187"/>
      <c r="BH225" s="187"/>
      <c r="BI225" s="229"/>
      <c r="BJ225" s="229"/>
      <c r="BK225" s="229"/>
      <c r="BL225" s="229"/>
      <c r="BM225" s="187"/>
      <c r="BN225" s="389"/>
      <c r="BO225" s="439"/>
      <c r="BP225" s="389"/>
      <c r="BQ225" s="439"/>
    </row>
    <row r="226" spans="1:69" x14ac:dyDescent="0.25">
      <c r="A226" s="490"/>
      <c r="B226" s="490"/>
      <c r="C226" s="187"/>
      <c r="D226" s="46"/>
      <c r="E226" s="46"/>
      <c r="F226" s="46"/>
      <c r="G226" s="46"/>
      <c r="H226" s="46"/>
      <c r="I226" s="46"/>
      <c r="J226" s="46"/>
      <c r="K226" s="46"/>
      <c r="L226" s="46"/>
      <c r="M226" s="187"/>
      <c r="N226" s="187"/>
      <c r="O226" s="46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  <c r="AA226" s="187"/>
      <c r="AB226" s="187"/>
      <c r="AC226" s="187"/>
      <c r="AD226" s="187"/>
      <c r="AE226" s="187"/>
      <c r="AF226" s="187"/>
      <c r="AG226" s="187"/>
      <c r="AH226" s="187"/>
      <c r="AI226" s="187"/>
      <c r="AJ226" s="187"/>
      <c r="AK226" s="187"/>
      <c r="AL226" s="187"/>
      <c r="AM226" s="187"/>
      <c r="AN226" s="187"/>
      <c r="AO226" s="187"/>
      <c r="AP226" s="187"/>
      <c r="AQ226" s="187"/>
      <c r="AR226" s="187"/>
      <c r="AS226" s="187"/>
      <c r="AT226" s="187"/>
      <c r="AU226" s="187"/>
      <c r="AV226" s="187"/>
      <c r="AW226" s="187"/>
      <c r="AX226" s="187"/>
      <c r="AY226" s="187"/>
      <c r="AZ226" s="187"/>
      <c r="BA226" s="187"/>
      <c r="BB226" s="187"/>
      <c r="BC226" s="187"/>
      <c r="BD226" s="187"/>
      <c r="BE226" s="187"/>
      <c r="BF226" s="187"/>
      <c r="BG226" s="187"/>
      <c r="BH226" s="187"/>
      <c r="BI226" s="229"/>
      <c r="BJ226" s="229"/>
      <c r="BK226" s="229"/>
      <c r="BL226" s="229"/>
      <c r="BM226" s="187"/>
      <c r="BN226" s="389"/>
      <c r="BO226" s="439"/>
      <c r="BP226" s="389"/>
      <c r="BQ226" s="439"/>
    </row>
    <row r="227" spans="1:69" x14ac:dyDescent="0.25">
      <c r="A227" s="490"/>
      <c r="B227" s="490"/>
      <c r="C227" s="187"/>
      <c r="D227" s="46"/>
      <c r="E227" s="46"/>
      <c r="F227" s="46"/>
      <c r="G227" s="46"/>
      <c r="H227" s="46"/>
      <c r="I227" s="46"/>
      <c r="J227" s="46"/>
      <c r="K227" s="46"/>
      <c r="L227" s="46"/>
      <c r="M227" s="187"/>
      <c r="N227" s="187"/>
      <c r="O227" s="46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  <c r="AA227" s="187"/>
      <c r="AB227" s="187"/>
      <c r="AC227" s="187"/>
      <c r="AD227" s="187"/>
      <c r="AE227" s="187"/>
      <c r="AF227" s="187"/>
      <c r="AG227" s="187"/>
      <c r="AH227" s="187"/>
      <c r="AI227" s="187"/>
      <c r="AJ227" s="187"/>
      <c r="AK227" s="187"/>
      <c r="AL227" s="187"/>
      <c r="AM227" s="187"/>
      <c r="AN227" s="187"/>
      <c r="AO227" s="187"/>
      <c r="AP227" s="187"/>
      <c r="AQ227" s="187"/>
      <c r="AR227" s="187"/>
      <c r="AS227" s="187"/>
      <c r="AT227" s="187"/>
      <c r="AU227" s="187"/>
      <c r="AV227" s="187"/>
      <c r="AW227" s="187"/>
      <c r="AX227" s="187"/>
      <c r="AY227" s="187"/>
      <c r="AZ227" s="187"/>
      <c r="BA227" s="187"/>
      <c r="BB227" s="187"/>
      <c r="BC227" s="187"/>
      <c r="BD227" s="187"/>
      <c r="BE227" s="187"/>
      <c r="BF227" s="187"/>
      <c r="BG227" s="187"/>
      <c r="BH227" s="187"/>
      <c r="BI227" s="229"/>
      <c r="BJ227" s="229"/>
      <c r="BK227" s="229"/>
      <c r="BL227" s="229"/>
      <c r="BM227" s="187"/>
      <c r="BN227" s="389"/>
      <c r="BO227" s="439"/>
      <c r="BP227" s="389"/>
      <c r="BQ227" s="439"/>
    </row>
    <row r="228" spans="1:69" x14ac:dyDescent="0.25">
      <c r="A228" s="490"/>
      <c r="B228" s="490"/>
      <c r="C228" s="187"/>
      <c r="D228" s="46"/>
      <c r="E228" s="46"/>
      <c r="F228" s="46"/>
      <c r="G228" s="46"/>
      <c r="H228" s="46"/>
      <c r="I228" s="46"/>
      <c r="J228" s="46"/>
      <c r="K228" s="46"/>
      <c r="L228" s="46"/>
      <c r="M228" s="187"/>
      <c r="N228" s="187"/>
      <c r="O228" s="46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  <c r="AA228" s="187"/>
      <c r="AB228" s="187"/>
      <c r="AC228" s="187"/>
      <c r="AD228" s="187"/>
      <c r="AE228" s="187"/>
      <c r="AF228" s="187"/>
      <c r="AG228" s="187"/>
      <c r="AH228" s="187"/>
      <c r="AI228" s="187"/>
      <c r="AJ228" s="187"/>
      <c r="AK228" s="187"/>
      <c r="AL228" s="187"/>
      <c r="AM228" s="187"/>
      <c r="AN228" s="187"/>
      <c r="AO228" s="187"/>
      <c r="AP228" s="187"/>
      <c r="AQ228" s="187"/>
      <c r="AR228" s="187"/>
      <c r="AS228" s="187"/>
      <c r="AT228" s="187"/>
      <c r="AU228" s="187"/>
      <c r="AV228" s="187"/>
      <c r="AW228" s="187"/>
      <c r="AX228" s="187"/>
      <c r="AY228" s="187"/>
      <c r="AZ228" s="187"/>
      <c r="BA228" s="187"/>
      <c r="BB228" s="187"/>
      <c r="BC228" s="187"/>
      <c r="BD228" s="187"/>
      <c r="BE228" s="187"/>
      <c r="BF228" s="187"/>
      <c r="BG228" s="187"/>
      <c r="BH228" s="187"/>
      <c r="BI228" s="229"/>
      <c r="BJ228" s="229"/>
      <c r="BK228" s="229"/>
      <c r="BL228" s="229"/>
      <c r="BM228" s="187"/>
      <c r="BN228" s="389"/>
      <c r="BO228" s="439"/>
      <c r="BP228" s="389"/>
      <c r="BQ228" s="439"/>
    </row>
    <row r="229" spans="1:69" x14ac:dyDescent="0.25">
      <c r="A229" s="490"/>
      <c r="B229" s="490"/>
      <c r="C229" s="187"/>
      <c r="D229" s="46"/>
      <c r="E229" s="46"/>
      <c r="F229" s="46"/>
      <c r="G229" s="46"/>
      <c r="H229" s="46"/>
      <c r="I229" s="46"/>
      <c r="J229" s="46"/>
      <c r="K229" s="46"/>
      <c r="L229" s="46"/>
      <c r="M229" s="187"/>
      <c r="N229" s="187"/>
      <c r="O229" s="46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  <c r="AA229" s="187"/>
      <c r="AB229" s="187"/>
      <c r="AC229" s="187"/>
      <c r="AD229" s="187"/>
      <c r="AE229" s="187"/>
      <c r="AF229" s="187"/>
      <c r="AG229" s="187"/>
      <c r="AH229" s="187"/>
      <c r="AI229" s="187"/>
      <c r="AJ229" s="187"/>
      <c r="AK229" s="187"/>
      <c r="AL229" s="187"/>
      <c r="AM229" s="187"/>
      <c r="AN229" s="187"/>
      <c r="AO229" s="187"/>
      <c r="AP229" s="187"/>
      <c r="AQ229" s="187"/>
      <c r="AR229" s="187"/>
      <c r="AS229" s="187"/>
      <c r="AT229" s="187"/>
      <c r="AU229" s="187"/>
      <c r="AV229" s="187"/>
      <c r="AW229" s="187"/>
      <c r="AX229" s="187"/>
      <c r="AY229" s="187"/>
      <c r="AZ229" s="187"/>
      <c r="BA229" s="187"/>
      <c r="BB229" s="187"/>
      <c r="BC229" s="187"/>
      <c r="BD229" s="187"/>
      <c r="BE229" s="187"/>
      <c r="BF229" s="187"/>
      <c r="BG229" s="187"/>
      <c r="BH229" s="187"/>
      <c r="BI229" s="229"/>
      <c r="BJ229" s="229"/>
      <c r="BK229" s="229"/>
      <c r="BL229" s="229"/>
      <c r="BM229" s="187"/>
      <c r="BN229" s="389"/>
      <c r="BO229" s="439"/>
      <c r="BP229" s="389"/>
      <c r="BQ229" s="439"/>
    </row>
    <row r="230" spans="1:69" x14ac:dyDescent="0.25">
      <c r="A230" s="490"/>
      <c r="B230" s="490"/>
      <c r="C230" s="187"/>
      <c r="D230" s="46"/>
      <c r="E230" s="46"/>
      <c r="F230" s="46"/>
      <c r="G230" s="46"/>
      <c r="H230" s="46"/>
      <c r="I230" s="46"/>
      <c r="J230" s="46"/>
      <c r="K230" s="46"/>
      <c r="L230" s="46"/>
      <c r="M230" s="187"/>
      <c r="N230" s="187"/>
      <c r="O230" s="46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  <c r="AA230" s="187"/>
      <c r="AB230" s="187"/>
      <c r="AC230" s="187"/>
      <c r="AD230" s="187"/>
      <c r="AE230" s="187"/>
      <c r="AF230" s="187"/>
      <c r="AG230" s="187"/>
      <c r="AH230" s="187"/>
      <c r="AI230" s="187"/>
      <c r="AJ230" s="187"/>
      <c r="AK230" s="187"/>
      <c r="AL230" s="187"/>
      <c r="AM230" s="187"/>
      <c r="AN230" s="187"/>
      <c r="AO230" s="187"/>
      <c r="AP230" s="187"/>
      <c r="AQ230" s="187"/>
      <c r="AR230" s="187"/>
      <c r="AS230" s="187"/>
      <c r="AT230" s="187"/>
      <c r="AU230" s="187"/>
      <c r="AV230" s="187"/>
      <c r="AW230" s="187"/>
      <c r="AX230" s="187"/>
      <c r="AY230" s="187"/>
      <c r="AZ230" s="187"/>
      <c r="BA230" s="187"/>
      <c r="BB230" s="187"/>
      <c r="BC230" s="187"/>
      <c r="BD230" s="187"/>
      <c r="BE230" s="187"/>
      <c r="BF230" s="187"/>
      <c r="BG230" s="187"/>
      <c r="BH230" s="187"/>
      <c r="BI230" s="229"/>
      <c r="BJ230" s="229"/>
      <c r="BK230" s="229"/>
      <c r="BL230" s="229"/>
      <c r="BM230" s="187"/>
      <c r="BN230" s="389"/>
      <c r="BO230" s="439"/>
      <c r="BP230" s="389"/>
      <c r="BQ230" s="439"/>
    </row>
    <row r="231" spans="1:69" x14ac:dyDescent="0.25">
      <c r="A231" s="490"/>
      <c r="B231" s="490"/>
      <c r="C231" s="187"/>
      <c r="D231" s="46"/>
      <c r="E231" s="46"/>
      <c r="F231" s="46"/>
      <c r="G231" s="46"/>
      <c r="H231" s="46"/>
      <c r="I231" s="46"/>
      <c r="J231" s="46"/>
      <c r="K231" s="46"/>
      <c r="L231" s="46"/>
      <c r="M231" s="187"/>
      <c r="N231" s="187"/>
      <c r="O231" s="46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  <c r="AA231" s="187"/>
      <c r="AB231" s="187"/>
      <c r="AC231" s="187"/>
      <c r="AD231" s="187"/>
      <c r="AE231" s="187"/>
      <c r="AF231" s="187"/>
      <c r="AG231" s="187"/>
      <c r="AH231" s="187"/>
      <c r="AI231" s="187"/>
      <c r="AJ231" s="187"/>
      <c r="AK231" s="187"/>
      <c r="AL231" s="187"/>
      <c r="AM231" s="187"/>
      <c r="AN231" s="187"/>
      <c r="AO231" s="187"/>
      <c r="AP231" s="187"/>
      <c r="AQ231" s="187"/>
      <c r="AR231" s="187"/>
      <c r="AS231" s="187"/>
      <c r="AT231" s="187"/>
      <c r="AU231" s="187"/>
      <c r="AV231" s="187"/>
      <c r="AW231" s="187"/>
      <c r="AX231" s="187"/>
      <c r="AY231" s="187"/>
      <c r="AZ231" s="187"/>
      <c r="BA231" s="187"/>
      <c r="BB231" s="187"/>
      <c r="BC231" s="187"/>
      <c r="BD231" s="187"/>
      <c r="BE231" s="187"/>
      <c r="BF231" s="187"/>
      <c r="BG231" s="187"/>
      <c r="BH231" s="187"/>
      <c r="BI231" s="229"/>
      <c r="BJ231" s="229"/>
      <c r="BK231" s="229"/>
      <c r="BL231" s="229"/>
      <c r="BM231" s="187"/>
      <c r="BN231" s="389"/>
      <c r="BO231" s="439"/>
      <c r="BP231" s="389"/>
      <c r="BQ231" s="439"/>
    </row>
    <row r="232" spans="1:69" x14ac:dyDescent="0.25">
      <c r="A232" s="490"/>
      <c r="B232" s="490"/>
      <c r="C232" s="187"/>
      <c r="D232" s="46"/>
      <c r="E232" s="46"/>
      <c r="F232" s="46"/>
      <c r="G232" s="46"/>
      <c r="H232" s="46"/>
      <c r="I232" s="46"/>
      <c r="J232" s="46"/>
      <c r="K232" s="46"/>
      <c r="L232" s="46"/>
      <c r="M232" s="187"/>
      <c r="N232" s="187"/>
      <c r="O232" s="46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  <c r="AA232" s="187"/>
      <c r="AB232" s="187"/>
      <c r="AC232" s="187"/>
      <c r="AD232" s="187"/>
      <c r="AE232" s="187"/>
      <c r="AF232" s="187"/>
      <c r="AG232" s="187"/>
      <c r="AH232" s="187"/>
      <c r="AI232" s="187"/>
      <c r="AJ232" s="187"/>
      <c r="AK232" s="187"/>
      <c r="AL232" s="187"/>
      <c r="AM232" s="187"/>
      <c r="AN232" s="187"/>
      <c r="AO232" s="187"/>
      <c r="AP232" s="187"/>
      <c r="AQ232" s="187"/>
      <c r="AR232" s="187"/>
      <c r="AS232" s="187"/>
      <c r="AT232" s="187"/>
      <c r="AU232" s="187"/>
      <c r="AV232" s="187"/>
      <c r="AW232" s="187"/>
      <c r="AX232" s="187"/>
      <c r="AY232" s="187"/>
      <c r="AZ232" s="187"/>
      <c r="BA232" s="187"/>
      <c r="BB232" s="187"/>
      <c r="BC232" s="187"/>
      <c r="BD232" s="187"/>
      <c r="BE232" s="187"/>
      <c r="BF232" s="187"/>
      <c r="BG232" s="187"/>
      <c r="BH232" s="187"/>
      <c r="BI232" s="229"/>
      <c r="BJ232" s="229"/>
      <c r="BK232" s="229"/>
      <c r="BL232" s="229"/>
      <c r="BM232" s="187"/>
      <c r="BN232" s="389"/>
      <c r="BO232" s="439"/>
      <c r="BP232" s="389"/>
      <c r="BQ232" s="439"/>
    </row>
    <row r="233" spans="1:69" x14ac:dyDescent="0.25">
      <c r="A233" s="490"/>
      <c r="B233" s="490"/>
      <c r="C233" s="187"/>
      <c r="D233" s="46"/>
      <c r="E233" s="46"/>
      <c r="F233" s="46"/>
      <c r="G233" s="46"/>
      <c r="H233" s="46"/>
      <c r="I233" s="46"/>
      <c r="J233" s="46"/>
      <c r="K233" s="46"/>
      <c r="L233" s="46"/>
      <c r="M233" s="187"/>
      <c r="N233" s="187"/>
      <c r="O233" s="46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  <c r="AA233" s="187"/>
      <c r="AB233" s="187"/>
      <c r="AC233" s="187"/>
      <c r="AD233" s="187"/>
      <c r="AE233" s="187"/>
      <c r="AF233" s="187"/>
      <c r="AG233" s="187"/>
      <c r="AH233" s="187"/>
      <c r="AI233" s="187"/>
      <c r="AJ233" s="187"/>
      <c r="AK233" s="187"/>
      <c r="AL233" s="187"/>
      <c r="AM233" s="187"/>
      <c r="AN233" s="187"/>
      <c r="AO233" s="187"/>
      <c r="AP233" s="187"/>
      <c r="AQ233" s="187"/>
      <c r="AR233" s="187"/>
      <c r="AS233" s="187"/>
      <c r="AT233" s="187"/>
      <c r="AU233" s="187"/>
      <c r="AV233" s="187"/>
      <c r="AW233" s="187"/>
      <c r="AX233" s="187"/>
      <c r="AY233" s="187"/>
      <c r="AZ233" s="187"/>
      <c r="BA233" s="187"/>
      <c r="BB233" s="187"/>
      <c r="BC233" s="187"/>
      <c r="BD233" s="187"/>
      <c r="BE233" s="187"/>
      <c r="BF233" s="187"/>
      <c r="BG233" s="187"/>
      <c r="BH233" s="187"/>
      <c r="BI233" s="229"/>
      <c r="BJ233" s="229"/>
      <c r="BK233" s="229"/>
      <c r="BL233" s="229"/>
      <c r="BM233" s="187"/>
      <c r="BN233" s="389"/>
      <c r="BO233" s="439"/>
      <c r="BP233" s="389"/>
      <c r="BQ233" s="439"/>
    </row>
    <row r="234" spans="1:69" x14ac:dyDescent="0.25">
      <c r="A234" s="490"/>
      <c r="B234" s="490"/>
      <c r="C234" s="187"/>
      <c r="D234" s="46"/>
      <c r="E234" s="46"/>
      <c r="F234" s="46"/>
      <c r="G234" s="46"/>
      <c r="H234" s="46"/>
      <c r="I234" s="46"/>
      <c r="J234" s="46"/>
      <c r="K234" s="46"/>
      <c r="L234" s="46"/>
      <c r="M234" s="187"/>
      <c r="N234" s="187"/>
      <c r="O234" s="46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  <c r="AA234" s="187"/>
      <c r="AB234" s="187"/>
      <c r="AC234" s="187"/>
      <c r="AD234" s="187"/>
      <c r="AE234" s="187"/>
      <c r="AF234" s="187"/>
      <c r="AG234" s="187"/>
      <c r="AH234" s="187"/>
      <c r="AI234" s="187"/>
      <c r="AJ234" s="187"/>
      <c r="AK234" s="187"/>
      <c r="AL234" s="187"/>
      <c r="AM234" s="187"/>
      <c r="AN234" s="187"/>
      <c r="AO234" s="187"/>
      <c r="AP234" s="187"/>
      <c r="AQ234" s="187"/>
      <c r="AR234" s="187"/>
      <c r="AS234" s="187"/>
      <c r="AT234" s="187"/>
      <c r="AU234" s="187"/>
      <c r="AV234" s="187"/>
      <c r="AW234" s="187"/>
      <c r="AX234" s="187"/>
      <c r="AY234" s="187"/>
      <c r="AZ234" s="187"/>
      <c r="BA234" s="187"/>
      <c r="BB234" s="187"/>
      <c r="BC234" s="187"/>
      <c r="BD234" s="187"/>
      <c r="BE234" s="187"/>
      <c r="BF234" s="187"/>
      <c r="BG234" s="187"/>
      <c r="BH234" s="187"/>
      <c r="BI234" s="229"/>
      <c r="BJ234" s="229"/>
      <c r="BK234" s="229"/>
      <c r="BL234" s="229"/>
      <c r="BM234" s="187"/>
      <c r="BN234" s="389"/>
      <c r="BO234" s="439"/>
      <c r="BP234" s="389"/>
      <c r="BQ234" s="439"/>
    </row>
    <row r="235" spans="1:69" x14ac:dyDescent="0.25">
      <c r="A235" s="490"/>
      <c r="B235" s="490"/>
      <c r="C235" s="187"/>
      <c r="D235" s="46"/>
      <c r="E235" s="46"/>
      <c r="F235" s="46"/>
      <c r="G235" s="46"/>
      <c r="H235" s="46"/>
      <c r="I235" s="46"/>
      <c r="J235" s="46"/>
      <c r="K235" s="46"/>
      <c r="L235" s="46"/>
      <c r="M235" s="187"/>
      <c r="N235" s="187"/>
      <c r="O235" s="46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  <c r="AA235" s="187"/>
      <c r="AB235" s="187"/>
      <c r="AC235" s="187"/>
      <c r="AD235" s="187"/>
      <c r="AE235" s="187"/>
      <c r="AF235" s="187"/>
      <c r="AG235" s="187"/>
      <c r="AH235" s="187"/>
      <c r="AI235" s="187"/>
      <c r="AJ235" s="187"/>
      <c r="AK235" s="187"/>
      <c r="AL235" s="187"/>
      <c r="AM235" s="187"/>
      <c r="AN235" s="187"/>
      <c r="AO235" s="187"/>
      <c r="AP235" s="187"/>
      <c r="AQ235" s="187"/>
      <c r="AR235" s="187"/>
      <c r="AS235" s="187"/>
      <c r="AT235" s="187"/>
      <c r="AU235" s="187"/>
      <c r="AV235" s="187"/>
      <c r="AW235" s="187"/>
      <c r="AX235" s="187"/>
      <c r="AY235" s="187"/>
      <c r="AZ235" s="187"/>
      <c r="BA235" s="187"/>
      <c r="BB235" s="187"/>
      <c r="BC235" s="187"/>
      <c r="BD235" s="187"/>
      <c r="BE235" s="187"/>
      <c r="BF235" s="187"/>
      <c r="BG235" s="187"/>
      <c r="BH235" s="187"/>
      <c r="BI235" s="229"/>
      <c r="BJ235" s="229"/>
      <c r="BK235" s="229"/>
      <c r="BL235" s="229"/>
      <c r="BM235" s="187"/>
      <c r="BN235" s="389"/>
      <c r="BO235" s="439"/>
      <c r="BP235" s="389"/>
      <c r="BQ235" s="439"/>
    </row>
    <row r="236" spans="1:69" x14ac:dyDescent="0.25">
      <c r="A236" s="490"/>
      <c r="B236" s="490"/>
      <c r="C236" s="187"/>
      <c r="D236" s="46"/>
      <c r="E236" s="46"/>
      <c r="F236" s="46"/>
      <c r="G236" s="46"/>
      <c r="H236" s="46"/>
      <c r="I236" s="46"/>
      <c r="J236" s="46"/>
      <c r="K236" s="46"/>
      <c r="L236" s="46"/>
      <c r="M236" s="187"/>
      <c r="N236" s="187"/>
      <c r="O236" s="46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  <c r="AA236" s="187"/>
      <c r="AB236" s="187"/>
      <c r="AC236" s="187"/>
      <c r="AD236" s="187"/>
      <c r="AE236" s="187"/>
      <c r="AF236" s="187"/>
      <c r="AG236" s="187"/>
      <c r="AH236" s="187"/>
      <c r="AI236" s="187"/>
      <c r="AJ236" s="187"/>
      <c r="AK236" s="187"/>
      <c r="AL236" s="187"/>
      <c r="AM236" s="187"/>
      <c r="AN236" s="187"/>
      <c r="AO236" s="187"/>
      <c r="AP236" s="187"/>
      <c r="AQ236" s="187"/>
      <c r="AR236" s="187"/>
      <c r="AS236" s="187"/>
      <c r="AT236" s="187"/>
      <c r="AU236" s="187"/>
      <c r="AV236" s="187"/>
      <c r="AW236" s="187"/>
      <c r="AX236" s="187"/>
      <c r="AY236" s="187"/>
      <c r="AZ236" s="187"/>
      <c r="BA236" s="187"/>
      <c r="BB236" s="187"/>
      <c r="BC236" s="187"/>
      <c r="BD236" s="187"/>
      <c r="BE236" s="187"/>
      <c r="BF236" s="187"/>
      <c r="BG236" s="187"/>
      <c r="BH236" s="187"/>
      <c r="BI236" s="229"/>
      <c r="BJ236" s="229"/>
      <c r="BK236" s="229"/>
      <c r="BL236" s="229"/>
      <c r="BM236" s="187"/>
      <c r="BN236" s="389"/>
      <c r="BO236" s="439"/>
      <c r="BP236" s="389"/>
      <c r="BQ236" s="439"/>
    </row>
    <row r="237" spans="1:69" x14ac:dyDescent="0.25">
      <c r="A237" s="490"/>
      <c r="B237" s="490"/>
      <c r="C237" s="187"/>
      <c r="D237" s="46"/>
      <c r="E237" s="46"/>
      <c r="F237" s="46"/>
      <c r="G237" s="46"/>
      <c r="H237" s="46"/>
      <c r="I237" s="46"/>
      <c r="J237" s="46"/>
      <c r="K237" s="46"/>
      <c r="L237" s="46"/>
      <c r="M237" s="187"/>
      <c r="N237" s="187"/>
      <c r="O237" s="46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  <c r="AA237" s="187"/>
      <c r="AB237" s="187"/>
      <c r="AC237" s="187"/>
      <c r="AD237" s="187"/>
      <c r="AE237" s="187"/>
      <c r="AF237" s="187"/>
      <c r="AG237" s="187"/>
      <c r="AH237" s="187"/>
      <c r="AI237" s="187"/>
      <c r="AJ237" s="187"/>
      <c r="AK237" s="187"/>
      <c r="AL237" s="187"/>
      <c r="AM237" s="187"/>
      <c r="AN237" s="187"/>
      <c r="AO237" s="187"/>
      <c r="AP237" s="187"/>
      <c r="AQ237" s="187"/>
      <c r="AR237" s="187"/>
      <c r="AS237" s="187"/>
      <c r="AT237" s="187"/>
      <c r="AU237" s="187"/>
      <c r="AV237" s="187"/>
      <c r="AW237" s="187"/>
      <c r="AX237" s="187"/>
      <c r="AY237" s="187"/>
      <c r="AZ237" s="187"/>
      <c r="BA237" s="187"/>
      <c r="BB237" s="187"/>
      <c r="BC237" s="187"/>
      <c r="BD237" s="187"/>
      <c r="BE237" s="187"/>
      <c r="BF237" s="187"/>
      <c r="BG237" s="187"/>
      <c r="BH237" s="187"/>
      <c r="BI237" s="229"/>
      <c r="BJ237" s="229"/>
      <c r="BK237" s="229"/>
      <c r="BL237" s="229"/>
      <c r="BM237" s="187"/>
      <c r="BN237" s="389"/>
      <c r="BO237" s="439"/>
      <c r="BP237" s="389"/>
      <c r="BQ237" s="439"/>
    </row>
    <row r="238" spans="1:69" x14ac:dyDescent="0.25">
      <c r="A238" s="490"/>
      <c r="B238" s="490"/>
      <c r="C238" s="187"/>
      <c r="D238" s="46"/>
      <c r="E238" s="46"/>
      <c r="F238" s="46"/>
      <c r="G238" s="46"/>
      <c r="H238" s="46"/>
      <c r="I238" s="46"/>
      <c r="J238" s="46"/>
      <c r="K238" s="46"/>
      <c r="L238" s="46"/>
      <c r="M238" s="187"/>
      <c r="N238" s="187"/>
      <c r="O238" s="46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  <c r="AA238" s="187"/>
      <c r="AB238" s="187"/>
      <c r="AC238" s="187"/>
      <c r="AD238" s="187"/>
      <c r="AE238" s="187"/>
      <c r="AF238" s="187"/>
      <c r="AG238" s="187"/>
      <c r="AH238" s="187"/>
      <c r="AI238" s="187"/>
      <c r="AJ238" s="187"/>
      <c r="AK238" s="187"/>
      <c r="AL238" s="187"/>
      <c r="AM238" s="187"/>
      <c r="AN238" s="187"/>
      <c r="AO238" s="187"/>
      <c r="AP238" s="187"/>
      <c r="AQ238" s="187"/>
      <c r="AR238" s="187"/>
      <c r="AS238" s="187"/>
      <c r="AT238" s="187"/>
      <c r="AU238" s="187"/>
      <c r="AV238" s="187"/>
      <c r="AW238" s="187"/>
      <c r="AX238" s="187"/>
      <c r="AY238" s="187"/>
      <c r="AZ238" s="187"/>
      <c r="BA238" s="187"/>
      <c r="BB238" s="187"/>
      <c r="BC238" s="187"/>
      <c r="BD238" s="187"/>
      <c r="BE238" s="187"/>
      <c r="BF238" s="187"/>
      <c r="BG238" s="187"/>
      <c r="BH238" s="187"/>
      <c r="BI238" s="229"/>
      <c r="BJ238" s="229"/>
      <c r="BK238" s="229"/>
      <c r="BL238" s="229"/>
      <c r="BM238" s="187"/>
      <c r="BN238" s="389"/>
      <c r="BO238" s="439"/>
      <c r="BP238" s="389"/>
      <c r="BQ238" s="439"/>
    </row>
    <row r="239" spans="1:69" x14ac:dyDescent="0.25">
      <c r="A239" s="490"/>
      <c r="B239" s="490"/>
      <c r="C239" s="187"/>
      <c r="D239" s="46"/>
      <c r="E239" s="46"/>
      <c r="F239" s="46"/>
      <c r="G239" s="46"/>
      <c r="H239" s="46"/>
      <c r="I239" s="46"/>
      <c r="J239" s="46"/>
      <c r="K239" s="46"/>
      <c r="L239" s="46"/>
      <c r="M239" s="187"/>
      <c r="N239" s="187"/>
      <c r="O239" s="46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  <c r="AA239" s="187"/>
      <c r="AB239" s="187"/>
      <c r="AC239" s="187"/>
      <c r="AD239" s="187"/>
      <c r="AE239" s="187"/>
      <c r="AF239" s="187"/>
      <c r="AG239" s="187"/>
      <c r="AH239" s="187"/>
      <c r="AI239" s="187"/>
      <c r="AJ239" s="187"/>
      <c r="AK239" s="187"/>
      <c r="AL239" s="187"/>
      <c r="AM239" s="187"/>
      <c r="AN239" s="187"/>
      <c r="AO239" s="187"/>
      <c r="AP239" s="187"/>
      <c r="AQ239" s="187"/>
      <c r="AR239" s="187"/>
      <c r="AS239" s="187"/>
      <c r="AT239" s="187"/>
      <c r="AU239" s="187"/>
      <c r="AV239" s="187"/>
      <c r="AW239" s="187"/>
      <c r="AX239" s="187"/>
      <c r="AY239" s="187"/>
      <c r="AZ239" s="187"/>
      <c r="BA239" s="187"/>
      <c r="BB239" s="187"/>
      <c r="BC239" s="187"/>
      <c r="BD239" s="187"/>
      <c r="BE239" s="187"/>
      <c r="BF239" s="187"/>
      <c r="BG239" s="187"/>
      <c r="BH239" s="187"/>
      <c r="BI239" s="229"/>
      <c r="BJ239" s="229"/>
      <c r="BK239" s="229"/>
      <c r="BL239" s="229"/>
      <c r="BM239" s="187"/>
      <c r="BN239" s="389"/>
      <c r="BO239" s="439"/>
      <c r="BP239" s="389"/>
      <c r="BQ239" s="439"/>
    </row>
    <row r="240" spans="1:69" x14ac:dyDescent="0.25">
      <c r="A240" s="490"/>
      <c r="B240" s="490"/>
      <c r="C240" s="187"/>
      <c r="D240" s="46"/>
      <c r="E240" s="46"/>
      <c r="F240" s="46"/>
      <c r="G240" s="46"/>
      <c r="H240" s="46"/>
      <c r="I240" s="46"/>
      <c r="J240" s="46"/>
      <c r="K240" s="46"/>
      <c r="L240" s="46"/>
      <c r="M240" s="187"/>
      <c r="N240" s="187"/>
      <c r="O240" s="46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  <c r="AA240" s="187"/>
      <c r="AB240" s="187"/>
      <c r="AC240" s="187"/>
      <c r="AD240" s="187"/>
      <c r="AE240" s="187"/>
      <c r="AF240" s="187"/>
      <c r="AG240" s="187"/>
      <c r="AH240" s="187"/>
      <c r="AI240" s="187"/>
      <c r="AJ240" s="187"/>
      <c r="AK240" s="187"/>
      <c r="AL240" s="187"/>
      <c r="AM240" s="187"/>
      <c r="AN240" s="187"/>
      <c r="AO240" s="187"/>
      <c r="AP240" s="187"/>
      <c r="AQ240" s="187"/>
      <c r="AR240" s="187"/>
      <c r="AS240" s="187"/>
      <c r="AT240" s="187"/>
      <c r="AU240" s="187"/>
      <c r="AV240" s="187"/>
      <c r="AW240" s="187"/>
      <c r="AX240" s="187"/>
      <c r="AY240" s="187"/>
      <c r="AZ240" s="187"/>
      <c r="BA240" s="187"/>
      <c r="BB240" s="187"/>
      <c r="BC240" s="187"/>
      <c r="BD240" s="187"/>
      <c r="BE240" s="187"/>
      <c r="BF240" s="187"/>
      <c r="BG240" s="187"/>
      <c r="BH240" s="187"/>
      <c r="BI240" s="229"/>
      <c r="BJ240" s="229"/>
      <c r="BK240" s="229"/>
      <c r="BL240" s="229"/>
      <c r="BM240" s="187"/>
      <c r="BN240" s="389"/>
      <c r="BO240" s="439"/>
      <c r="BP240" s="389"/>
      <c r="BQ240" s="439"/>
    </row>
    <row r="241" spans="1:69" x14ac:dyDescent="0.25">
      <c r="A241" s="490"/>
      <c r="B241" s="490"/>
      <c r="C241" s="187"/>
      <c r="D241" s="46"/>
      <c r="E241" s="46"/>
      <c r="F241" s="46"/>
      <c r="G241" s="46"/>
      <c r="H241" s="46"/>
      <c r="I241" s="46"/>
      <c r="J241" s="46"/>
      <c r="K241" s="46"/>
      <c r="L241" s="46"/>
      <c r="M241" s="187"/>
      <c r="N241" s="187"/>
      <c r="O241" s="46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  <c r="AA241" s="187"/>
      <c r="AB241" s="187"/>
      <c r="AC241" s="187"/>
      <c r="AD241" s="187"/>
      <c r="AE241" s="187"/>
      <c r="AF241" s="187"/>
      <c r="AG241" s="187"/>
      <c r="AH241" s="187"/>
      <c r="AI241" s="187"/>
      <c r="AJ241" s="187"/>
      <c r="AK241" s="187"/>
      <c r="AL241" s="187"/>
      <c r="AM241" s="187"/>
      <c r="AN241" s="187"/>
      <c r="AO241" s="187"/>
      <c r="AP241" s="187"/>
      <c r="AQ241" s="187"/>
      <c r="AR241" s="187"/>
      <c r="AS241" s="187"/>
      <c r="AT241" s="187"/>
      <c r="AU241" s="187"/>
      <c r="AV241" s="187"/>
      <c r="AW241" s="187"/>
      <c r="AX241" s="187"/>
      <c r="AY241" s="187"/>
      <c r="AZ241" s="187"/>
      <c r="BA241" s="187"/>
      <c r="BB241" s="187"/>
      <c r="BC241" s="187"/>
      <c r="BD241" s="187"/>
      <c r="BE241" s="187"/>
      <c r="BF241" s="187"/>
      <c r="BG241" s="187"/>
      <c r="BH241" s="187"/>
      <c r="BI241" s="229"/>
      <c r="BJ241" s="229"/>
      <c r="BK241" s="229"/>
      <c r="BL241" s="229"/>
      <c r="BM241" s="187"/>
      <c r="BN241" s="389"/>
      <c r="BO241" s="439"/>
      <c r="BP241" s="389"/>
      <c r="BQ241" s="439"/>
    </row>
    <row r="242" spans="1:69" x14ac:dyDescent="0.25">
      <c r="A242" s="490"/>
      <c r="B242" s="490"/>
      <c r="C242" s="187"/>
      <c r="D242" s="46"/>
      <c r="E242" s="46"/>
      <c r="F242" s="46"/>
      <c r="G242" s="46"/>
      <c r="H242" s="46"/>
      <c r="I242" s="46"/>
      <c r="J242" s="46"/>
      <c r="K242" s="46"/>
      <c r="L242" s="46"/>
      <c r="M242" s="187"/>
      <c r="N242" s="187"/>
      <c r="O242" s="46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  <c r="AA242" s="187"/>
      <c r="AB242" s="187"/>
      <c r="AC242" s="187"/>
      <c r="AD242" s="187"/>
      <c r="AE242" s="187"/>
      <c r="AF242" s="187"/>
      <c r="AG242" s="187"/>
      <c r="AH242" s="187"/>
      <c r="AI242" s="187"/>
      <c r="AJ242" s="187"/>
      <c r="AK242" s="187"/>
      <c r="AL242" s="187"/>
      <c r="AM242" s="187"/>
      <c r="AN242" s="187"/>
      <c r="AO242" s="187"/>
      <c r="AP242" s="187"/>
      <c r="AQ242" s="187"/>
      <c r="AR242" s="187"/>
      <c r="AS242" s="187"/>
      <c r="AT242" s="187"/>
      <c r="AU242" s="187"/>
      <c r="AV242" s="187"/>
      <c r="AW242" s="187"/>
      <c r="AX242" s="187"/>
      <c r="AY242" s="187"/>
      <c r="AZ242" s="187"/>
      <c r="BA242" s="187"/>
      <c r="BB242" s="187"/>
      <c r="BC242" s="187"/>
      <c r="BD242" s="187"/>
      <c r="BE242" s="187"/>
      <c r="BF242" s="187"/>
      <c r="BG242" s="187"/>
      <c r="BH242" s="187"/>
      <c r="BI242" s="229"/>
      <c r="BJ242" s="229"/>
      <c r="BK242" s="229"/>
      <c r="BL242" s="229"/>
      <c r="BM242" s="187"/>
      <c r="BN242" s="389"/>
      <c r="BO242" s="439"/>
      <c r="BP242" s="389"/>
      <c r="BQ242" s="439"/>
    </row>
    <row r="243" spans="1:69" x14ac:dyDescent="0.25">
      <c r="A243" s="490"/>
      <c r="B243" s="490"/>
      <c r="C243" s="187"/>
      <c r="D243" s="46"/>
      <c r="E243" s="46"/>
      <c r="F243" s="46"/>
      <c r="G243" s="46"/>
      <c r="H243" s="46"/>
      <c r="I243" s="46"/>
      <c r="J243" s="46"/>
      <c r="K243" s="46"/>
      <c r="L243" s="46"/>
      <c r="M243" s="187"/>
      <c r="N243" s="187"/>
      <c r="O243" s="46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  <c r="AA243" s="187"/>
      <c r="AB243" s="187"/>
      <c r="AC243" s="187"/>
      <c r="AD243" s="187"/>
      <c r="AE243" s="187"/>
      <c r="AF243" s="187"/>
      <c r="AG243" s="187"/>
      <c r="AH243" s="187"/>
      <c r="AI243" s="187"/>
      <c r="AJ243" s="187"/>
      <c r="AK243" s="187"/>
      <c r="AL243" s="187"/>
      <c r="AM243" s="187"/>
      <c r="AN243" s="187"/>
      <c r="AO243" s="187"/>
      <c r="AP243" s="187"/>
      <c r="AQ243" s="187"/>
      <c r="AR243" s="187"/>
      <c r="AS243" s="187"/>
      <c r="AT243" s="187"/>
      <c r="AU243" s="187"/>
      <c r="AV243" s="187"/>
      <c r="AW243" s="187"/>
      <c r="AX243" s="187"/>
      <c r="AY243" s="187"/>
      <c r="AZ243" s="187"/>
      <c r="BA243" s="187"/>
      <c r="BB243" s="187"/>
      <c r="BC243" s="187"/>
      <c r="BD243" s="187"/>
      <c r="BE243" s="187"/>
      <c r="BF243" s="187"/>
      <c r="BG243" s="187"/>
      <c r="BH243" s="187"/>
      <c r="BI243" s="229"/>
      <c r="BJ243" s="229"/>
      <c r="BK243" s="229"/>
      <c r="BL243" s="229"/>
      <c r="BM243" s="187"/>
      <c r="BN243" s="389"/>
      <c r="BO243" s="439"/>
      <c r="BP243" s="389"/>
      <c r="BQ243" s="439"/>
    </row>
    <row r="244" spans="1:69" x14ac:dyDescent="0.25">
      <c r="A244" s="490"/>
      <c r="B244" s="490"/>
      <c r="C244" s="187"/>
      <c r="D244" s="46"/>
      <c r="E244" s="46"/>
      <c r="F244" s="46"/>
      <c r="G244" s="46"/>
      <c r="H244" s="46"/>
      <c r="I244" s="46"/>
      <c r="J244" s="46"/>
      <c r="K244" s="46"/>
      <c r="L244" s="46"/>
      <c r="M244" s="187"/>
      <c r="N244" s="187"/>
      <c r="O244" s="46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  <c r="AA244" s="187"/>
      <c r="AB244" s="187"/>
      <c r="AC244" s="187"/>
      <c r="AD244" s="187"/>
      <c r="AE244" s="187"/>
      <c r="AF244" s="187"/>
      <c r="AG244" s="187"/>
      <c r="AH244" s="187"/>
      <c r="AI244" s="187"/>
      <c r="AJ244" s="187"/>
      <c r="AK244" s="187"/>
      <c r="AL244" s="187"/>
      <c r="AM244" s="187"/>
      <c r="AN244" s="187"/>
      <c r="AO244" s="187"/>
      <c r="AP244" s="187"/>
      <c r="AQ244" s="187"/>
      <c r="AR244" s="187"/>
      <c r="AS244" s="187"/>
      <c r="AT244" s="187"/>
      <c r="AU244" s="187"/>
      <c r="AV244" s="187"/>
      <c r="AW244" s="187"/>
      <c r="AX244" s="187"/>
      <c r="AY244" s="187"/>
      <c r="AZ244" s="187"/>
      <c r="BA244" s="187"/>
      <c r="BB244" s="187"/>
      <c r="BC244" s="187"/>
      <c r="BD244" s="187"/>
      <c r="BE244" s="187"/>
      <c r="BF244" s="187"/>
      <c r="BG244" s="187"/>
      <c r="BH244" s="187"/>
      <c r="BI244" s="229"/>
      <c r="BJ244" s="229"/>
      <c r="BK244" s="229"/>
      <c r="BL244" s="229"/>
      <c r="BM244" s="187"/>
      <c r="BN244" s="389"/>
      <c r="BO244" s="439"/>
      <c r="BP244" s="389"/>
      <c r="BQ244" s="439"/>
    </row>
    <row r="245" spans="1:69" x14ac:dyDescent="0.25">
      <c r="A245" s="490"/>
      <c r="B245" s="490"/>
      <c r="C245" s="187"/>
      <c r="D245" s="46"/>
      <c r="E245" s="46"/>
      <c r="F245" s="46"/>
      <c r="G245" s="46"/>
      <c r="H245" s="46"/>
      <c r="I245" s="46"/>
      <c r="J245" s="46"/>
      <c r="K245" s="46"/>
      <c r="L245" s="46"/>
      <c r="M245" s="187"/>
      <c r="N245" s="187"/>
      <c r="O245" s="46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  <c r="AA245" s="187"/>
      <c r="AB245" s="187"/>
      <c r="AC245" s="187"/>
      <c r="AD245" s="187"/>
      <c r="AE245" s="187"/>
      <c r="AF245" s="187"/>
      <c r="AG245" s="187"/>
      <c r="AH245" s="187"/>
      <c r="AI245" s="187"/>
      <c r="AJ245" s="187"/>
      <c r="AK245" s="187"/>
      <c r="AL245" s="187"/>
      <c r="AM245" s="187"/>
      <c r="AN245" s="187"/>
      <c r="AO245" s="187"/>
      <c r="AP245" s="187"/>
      <c r="AQ245" s="187"/>
      <c r="AR245" s="187"/>
      <c r="AS245" s="187"/>
      <c r="AT245" s="187"/>
      <c r="AU245" s="187"/>
      <c r="AV245" s="187"/>
      <c r="AW245" s="187"/>
      <c r="AX245" s="187"/>
      <c r="AY245" s="187"/>
      <c r="AZ245" s="187"/>
      <c r="BA245" s="187"/>
      <c r="BB245" s="187"/>
      <c r="BC245" s="187"/>
      <c r="BD245" s="187"/>
      <c r="BE245" s="187"/>
      <c r="BF245" s="187"/>
      <c r="BG245" s="187"/>
      <c r="BH245" s="187"/>
      <c r="BI245" s="229"/>
      <c r="BJ245" s="229"/>
      <c r="BK245" s="229"/>
      <c r="BL245" s="229"/>
      <c r="BM245" s="187"/>
      <c r="BN245" s="389"/>
      <c r="BO245" s="439"/>
      <c r="BP245" s="389"/>
      <c r="BQ245" s="439"/>
    </row>
    <row r="246" spans="1:69" x14ac:dyDescent="0.25">
      <c r="A246" s="490"/>
      <c r="B246" s="490"/>
      <c r="C246" s="187"/>
      <c r="D246" s="46"/>
      <c r="E246" s="46"/>
      <c r="F246" s="46"/>
      <c r="G246" s="46"/>
      <c r="H246" s="46"/>
      <c r="I246" s="46"/>
      <c r="J246" s="46"/>
      <c r="K246" s="46"/>
      <c r="L246" s="46"/>
      <c r="M246" s="187"/>
      <c r="N246" s="187"/>
      <c r="O246" s="46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  <c r="AA246" s="187"/>
      <c r="AB246" s="187"/>
      <c r="AC246" s="187"/>
      <c r="AD246" s="187"/>
      <c r="AE246" s="187"/>
      <c r="AF246" s="187"/>
      <c r="AG246" s="187"/>
      <c r="AH246" s="187"/>
      <c r="AI246" s="187"/>
      <c r="AJ246" s="187"/>
      <c r="AK246" s="187"/>
      <c r="AL246" s="187"/>
      <c r="AM246" s="187"/>
      <c r="AN246" s="187"/>
      <c r="AO246" s="187"/>
      <c r="AP246" s="187"/>
      <c r="AQ246" s="187"/>
      <c r="AR246" s="187"/>
      <c r="AS246" s="187"/>
      <c r="AT246" s="187"/>
      <c r="AU246" s="187"/>
      <c r="AV246" s="187"/>
      <c r="AW246" s="187"/>
      <c r="AX246" s="187"/>
      <c r="AY246" s="187"/>
      <c r="AZ246" s="187"/>
      <c r="BA246" s="187"/>
      <c r="BB246" s="187"/>
      <c r="BC246" s="187"/>
      <c r="BD246" s="187"/>
      <c r="BE246" s="187"/>
      <c r="BF246" s="187"/>
      <c r="BG246" s="187"/>
      <c r="BH246" s="187"/>
      <c r="BI246" s="229"/>
      <c r="BJ246" s="229"/>
      <c r="BK246" s="229"/>
      <c r="BL246" s="229"/>
      <c r="BM246" s="187"/>
      <c r="BN246" s="389"/>
      <c r="BO246" s="439"/>
      <c r="BP246" s="389"/>
      <c r="BQ246" s="439"/>
    </row>
    <row r="247" spans="1:69" x14ac:dyDescent="0.25">
      <c r="A247" s="490"/>
      <c r="B247" s="490"/>
      <c r="C247" s="187"/>
      <c r="D247" s="46"/>
      <c r="E247" s="46"/>
      <c r="F247" s="46"/>
      <c r="G247" s="46"/>
      <c r="H247" s="46"/>
      <c r="I247" s="46"/>
      <c r="J247" s="46"/>
      <c r="K247" s="46"/>
      <c r="L247" s="46"/>
      <c r="M247" s="187"/>
      <c r="N247" s="187"/>
      <c r="O247" s="46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  <c r="AA247" s="187"/>
      <c r="AB247" s="187"/>
      <c r="AC247" s="187"/>
      <c r="AD247" s="187"/>
      <c r="AE247" s="187"/>
      <c r="AF247" s="187"/>
      <c r="AG247" s="187"/>
      <c r="AH247" s="187"/>
      <c r="AI247" s="187"/>
      <c r="AJ247" s="187"/>
      <c r="AK247" s="187"/>
      <c r="AL247" s="187"/>
      <c r="AM247" s="187"/>
      <c r="AN247" s="187"/>
      <c r="AO247" s="187"/>
      <c r="AP247" s="187"/>
      <c r="AQ247" s="187"/>
      <c r="AR247" s="187"/>
      <c r="AS247" s="187"/>
      <c r="AT247" s="187"/>
      <c r="AU247" s="187"/>
      <c r="AV247" s="187"/>
      <c r="AW247" s="187"/>
      <c r="AX247" s="187"/>
      <c r="AY247" s="187"/>
      <c r="AZ247" s="187"/>
      <c r="BA247" s="187"/>
      <c r="BB247" s="187"/>
      <c r="BC247" s="187"/>
      <c r="BD247" s="187"/>
      <c r="BE247" s="187"/>
      <c r="BF247" s="187"/>
      <c r="BG247" s="187"/>
      <c r="BH247" s="187"/>
      <c r="BI247" s="229"/>
      <c r="BJ247" s="229"/>
      <c r="BK247" s="229"/>
      <c r="BL247" s="229"/>
      <c r="BM247" s="187"/>
      <c r="BN247" s="389"/>
      <c r="BO247" s="439"/>
      <c r="BP247" s="389"/>
      <c r="BQ247" s="439"/>
    </row>
    <row r="248" spans="1:69" x14ac:dyDescent="0.25">
      <c r="A248" s="490"/>
      <c r="B248" s="490"/>
      <c r="C248" s="187"/>
      <c r="D248" s="46"/>
      <c r="E248" s="46"/>
      <c r="F248" s="46"/>
      <c r="G248" s="46"/>
      <c r="H248" s="46"/>
      <c r="I248" s="46"/>
      <c r="J248" s="46"/>
      <c r="K248" s="46"/>
      <c r="L248" s="46"/>
      <c r="M248" s="187"/>
      <c r="N248" s="187"/>
      <c r="O248" s="46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  <c r="AA248" s="187"/>
      <c r="AB248" s="187"/>
      <c r="AC248" s="187"/>
      <c r="AD248" s="187"/>
      <c r="AE248" s="187"/>
      <c r="AF248" s="187"/>
      <c r="AG248" s="187"/>
      <c r="AH248" s="187"/>
      <c r="AI248" s="187"/>
      <c r="AJ248" s="187"/>
      <c r="AK248" s="187"/>
      <c r="AL248" s="187"/>
      <c r="AM248" s="187"/>
      <c r="AN248" s="187"/>
      <c r="AO248" s="187"/>
      <c r="AP248" s="187"/>
      <c r="AQ248" s="187"/>
      <c r="AR248" s="187"/>
      <c r="AS248" s="187"/>
      <c r="AT248" s="187"/>
      <c r="AU248" s="187"/>
      <c r="AV248" s="187"/>
      <c r="AW248" s="187"/>
      <c r="AX248" s="187"/>
      <c r="AY248" s="187"/>
      <c r="AZ248" s="187"/>
      <c r="BA248" s="187"/>
      <c r="BB248" s="187"/>
      <c r="BC248" s="187"/>
      <c r="BD248" s="187"/>
      <c r="BE248" s="187"/>
      <c r="BF248" s="187"/>
      <c r="BG248" s="187"/>
      <c r="BH248" s="187"/>
      <c r="BI248" s="229"/>
      <c r="BJ248" s="229"/>
      <c r="BK248" s="229"/>
      <c r="BL248" s="229"/>
      <c r="BM248" s="187"/>
      <c r="BN248" s="389"/>
      <c r="BO248" s="439"/>
      <c r="BP248" s="389"/>
      <c r="BQ248" s="439"/>
    </row>
    <row r="249" spans="1:69" x14ac:dyDescent="0.25">
      <c r="A249" s="490"/>
      <c r="B249" s="490"/>
      <c r="C249" s="187"/>
      <c r="D249" s="46"/>
      <c r="E249" s="46"/>
      <c r="F249" s="46"/>
      <c r="G249" s="46"/>
      <c r="H249" s="46"/>
      <c r="I249" s="46"/>
      <c r="J249" s="46"/>
      <c r="K249" s="46"/>
      <c r="L249" s="46"/>
      <c r="M249" s="187"/>
      <c r="N249" s="187"/>
      <c r="O249" s="46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  <c r="AA249" s="187"/>
      <c r="AB249" s="187"/>
      <c r="AC249" s="187"/>
      <c r="AD249" s="187"/>
      <c r="AE249" s="187"/>
      <c r="AF249" s="187"/>
      <c r="AG249" s="187"/>
      <c r="AH249" s="187"/>
      <c r="AI249" s="187"/>
      <c r="AJ249" s="187"/>
      <c r="AK249" s="187"/>
      <c r="AL249" s="187"/>
      <c r="AM249" s="187"/>
      <c r="AN249" s="187"/>
      <c r="AO249" s="187"/>
      <c r="AP249" s="187"/>
      <c r="AQ249" s="187"/>
      <c r="AR249" s="187"/>
      <c r="AS249" s="187"/>
      <c r="AT249" s="187"/>
      <c r="AU249" s="187"/>
      <c r="AV249" s="187"/>
      <c r="AW249" s="187"/>
      <c r="AX249" s="187"/>
      <c r="AY249" s="187"/>
      <c r="AZ249" s="187"/>
      <c r="BA249" s="187"/>
      <c r="BB249" s="187"/>
      <c r="BC249" s="187"/>
      <c r="BD249" s="187"/>
      <c r="BE249" s="187"/>
      <c r="BF249" s="187"/>
      <c r="BG249" s="187"/>
      <c r="BH249" s="187"/>
      <c r="BI249" s="229"/>
      <c r="BJ249" s="229"/>
      <c r="BK249" s="229"/>
      <c r="BL249" s="229"/>
      <c r="BM249" s="187"/>
      <c r="BN249" s="389"/>
      <c r="BO249" s="439"/>
      <c r="BP249" s="389"/>
      <c r="BQ249" s="439"/>
    </row>
    <row r="250" spans="1:69" x14ac:dyDescent="0.25">
      <c r="A250" s="490"/>
      <c r="B250" s="490"/>
      <c r="C250" s="187"/>
      <c r="D250" s="46"/>
      <c r="E250" s="46"/>
      <c r="F250" s="46"/>
      <c r="G250" s="46"/>
      <c r="H250" s="46"/>
      <c r="I250" s="46"/>
      <c r="J250" s="46"/>
      <c r="K250" s="46"/>
      <c r="L250" s="46"/>
      <c r="M250" s="187"/>
      <c r="N250" s="187"/>
      <c r="O250" s="46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  <c r="AA250" s="187"/>
      <c r="AB250" s="187"/>
      <c r="AC250" s="187"/>
      <c r="AD250" s="187"/>
      <c r="AE250" s="187"/>
      <c r="AF250" s="187"/>
      <c r="AG250" s="187"/>
      <c r="AH250" s="187"/>
      <c r="AI250" s="187"/>
      <c r="AJ250" s="187"/>
      <c r="AK250" s="187"/>
      <c r="AL250" s="187"/>
      <c r="AM250" s="187"/>
      <c r="AN250" s="187"/>
      <c r="AO250" s="187"/>
      <c r="AP250" s="187"/>
      <c r="AQ250" s="187"/>
      <c r="AR250" s="187"/>
      <c r="AS250" s="187"/>
      <c r="AT250" s="187"/>
      <c r="AU250" s="187"/>
      <c r="AV250" s="187"/>
      <c r="AW250" s="187"/>
      <c r="AX250" s="187"/>
      <c r="AY250" s="187"/>
      <c r="AZ250" s="187"/>
      <c r="BA250" s="187"/>
      <c r="BB250" s="187"/>
      <c r="BC250" s="187"/>
      <c r="BD250" s="187"/>
      <c r="BE250" s="187"/>
      <c r="BF250" s="187"/>
      <c r="BG250" s="187"/>
      <c r="BH250" s="187"/>
      <c r="BI250" s="229"/>
      <c r="BJ250" s="229"/>
      <c r="BK250" s="229"/>
      <c r="BL250" s="229"/>
      <c r="BM250" s="187"/>
      <c r="BN250" s="389"/>
      <c r="BO250" s="439"/>
      <c r="BP250" s="389"/>
      <c r="BQ250" s="439"/>
    </row>
    <row r="251" spans="1:69" x14ac:dyDescent="0.25">
      <c r="A251" s="490"/>
      <c r="B251" s="490"/>
      <c r="C251" s="187"/>
      <c r="D251" s="46"/>
      <c r="E251" s="46"/>
      <c r="F251" s="46"/>
      <c r="G251" s="46"/>
      <c r="H251" s="46"/>
      <c r="I251" s="46"/>
      <c r="J251" s="46"/>
      <c r="K251" s="46"/>
      <c r="L251" s="46"/>
      <c r="M251" s="187"/>
      <c r="N251" s="187"/>
      <c r="O251" s="46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  <c r="AA251" s="187"/>
      <c r="AB251" s="187"/>
      <c r="AC251" s="187"/>
      <c r="AD251" s="187"/>
      <c r="AE251" s="187"/>
      <c r="AF251" s="187"/>
      <c r="AG251" s="187"/>
      <c r="AH251" s="187"/>
      <c r="AI251" s="187"/>
      <c r="AJ251" s="187"/>
      <c r="AK251" s="187"/>
      <c r="AL251" s="187"/>
      <c r="AM251" s="187"/>
      <c r="AN251" s="187"/>
      <c r="AO251" s="187"/>
      <c r="AP251" s="187"/>
      <c r="AQ251" s="187"/>
      <c r="AR251" s="187"/>
      <c r="AS251" s="187"/>
      <c r="AT251" s="187"/>
      <c r="AU251" s="187"/>
      <c r="AV251" s="187"/>
      <c r="AW251" s="187"/>
      <c r="AX251" s="187"/>
      <c r="AY251" s="187"/>
      <c r="AZ251" s="187"/>
      <c r="BA251" s="187"/>
      <c r="BB251" s="187"/>
      <c r="BC251" s="187"/>
      <c r="BD251" s="187"/>
      <c r="BE251" s="187"/>
      <c r="BF251" s="187"/>
      <c r="BG251" s="187"/>
      <c r="BH251" s="187"/>
      <c r="BI251" s="229"/>
      <c r="BJ251" s="229"/>
      <c r="BK251" s="229"/>
      <c r="BL251" s="229"/>
      <c r="BM251" s="187"/>
      <c r="BN251" s="389"/>
      <c r="BO251" s="439"/>
      <c r="BP251" s="389"/>
      <c r="BQ251" s="439"/>
    </row>
    <row r="252" spans="1:69" x14ac:dyDescent="0.25">
      <c r="A252" s="490"/>
      <c r="B252" s="490"/>
      <c r="C252" s="187"/>
      <c r="D252" s="46"/>
      <c r="E252" s="46"/>
      <c r="F252" s="46"/>
      <c r="G252" s="46"/>
      <c r="H252" s="46"/>
      <c r="I252" s="46"/>
      <c r="J252" s="46"/>
      <c r="K252" s="46"/>
      <c r="L252" s="46"/>
      <c r="M252" s="187"/>
      <c r="N252" s="187"/>
      <c r="O252" s="46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  <c r="AA252" s="187"/>
      <c r="AB252" s="187"/>
      <c r="AC252" s="187"/>
      <c r="AD252" s="187"/>
      <c r="AE252" s="187"/>
      <c r="AF252" s="187"/>
      <c r="AG252" s="187"/>
      <c r="AH252" s="187"/>
      <c r="AI252" s="187"/>
      <c r="AJ252" s="187"/>
      <c r="AK252" s="187"/>
      <c r="AL252" s="187"/>
      <c r="AM252" s="187"/>
      <c r="AN252" s="187"/>
      <c r="AO252" s="187"/>
      <c r="AP252" s="187"/>
      <c r="AQ252" s="187"/>
      <c r="AR252" s="187"/>
      <c r="AS252" s="187"/>
      <c r="AT252" s="187"/>
      <c r="AU252" s="187"/>
      <c r="AV252" s="187"/>
      <c r="AW252" s="187"/>
      <c r="AX252" s="187"/>
      <c r="AY252" s="187"/>
      <c r="AZ252" s="187"/>
      <c r="BA252" s="187"/>
      <c r="BB252" s="187"/>
      <c r="BC252" s="187"/>
      <c r="BD252" s="187"/>
      <c r="BE252" s="187"/>
      <c r="BF252" s="187"/>
      <c r="BG252" s="187"/>
      <c r="BH252" s="187"/>
      <c r="BI252" s="229"/>
      <c r="BJ252" s="229"/>
      <c r="BK252" s="229"/>
      <c r="BL252" s="229"/>
      <c r="BM252" s="187"/>
      <c r="BN252" s="389"/>
      <c r="BO252" s="439"/>
      <c r="BP252" s="389"/>
      <c r="BQ252" s="439"/>
    </row>
    <row r="253" spans="1:69" x14ac:dyDescent="0.25">
      <c r="A253" s="490"/>
      <c r="B253" s="490"/>
      <c r="C253" s="187"/>
      <c r="D253" s="46"/>
      <c r="E253" s="46"/>
      <c r="F253" s="46"/>
      <c r="G253" s="46"/>
      <c r="H253" s="46"/>
      <c r="I253" s="46"/>
      <c r="J253" s="46"/>
      <c r="K253" s="46"/>
      <c r="L253" s="46"/>
      <c r="M253" s="187"/>
      <c r="N253" s="187"/>
      <c r="O253" s="46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  <c r="AA253" s="187"/>
      <c r="AB253" s="187"/>
      <c r="AC253" s="187"/>
      <c r="AD253" s="187"/>
      <c r="AE253" s="187"/>
      <c r="AF253" s="187"/>
      <c r="AG253" s="187"/>
      <c r="AH253" s="187"/>
      <c r="AI253" s="187"/>
      <c r="AJ253" s="187"/>
      <c r="AK253" s="187"/>
      <c r="AL253" s="187"/>
      <c r="AM253" s="187"/>
      <c r="AN253" s="187"/>
      <c r="AO253" s="187"/>
      <c r="AP253" s="187"/>
      <c r="AQ253" s="187"/>
      <c r="AR253" s="187"/>
      <c r="AS253" s="187"/>
      <c r="AT253" s="187"/>
      <c r="AU253" s="187"/>
      <c r="AV253" s="187"/>
      <c r="AW253" s="187"/>
      <c r="AX253" s="187"/>
      <c r="AY253" s="187"/>
      <c r="AZ253" s="187"/>
      <c r="BA253" s="187"/>
      <c r="BB253" s="187"/>
      <c r="BC253" s="187"/>
      <c r="BD253" s="187"/>
      <c r="BE253" s="187"/>
      <c r="BF253" s="187"/>
      <c r="BG253" s="187"/>
      <c r="BH253" s="187"/>
      <c r="BI253" s="229"/>
      <c r="BJ253" s="229"/>
      <c r="BK253" s="229"/>
      <c r="BL253" s="229"/>
      <c r="BM253" s="187"/>
      <c r="BN253" s="389"/>
      <c r="BO253" s="439"/>
      <c r="BP253" s="389"/>
      <c r="BQ253" s="439"/>
    </row>
    <row r="254" spans="1:69" x14ac:dyDescent="0.25">
      <c r="A254" s="490"/>
      <c r="B254" s="490"/>
      <c r="C254" s="187"/>
      <c r="D254" s="46"/>
      <c r="E254" s="46"/>
      <c r="F254" s="46"/>
      <c r="G254" s="46"/>
      <c r="H254" s="46"/>
      <c r="I254" s="46"/>
      <c r="J254" s="46"/>
      <c r="K254" s="46"/>
      <c r="L254" s="46"/>
      <c r="M254" s="187"/>
      <c r="N254" s="187"/>
      <c r="O254" s="46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  <c r="AA254" s="187"/>
      <c r="AB254" s="187"/>
      <c r="AC254" s="187"/>
      <c r="AD254" s="187"/>
      <c r="AE254" s="187"/>
      <c r="AF254" s="187"/>
      <c r="AG254" s="187"/>
      <c r="AH254" s="187"/>
      <c r="AI254" s="187"/>
      <c r="AJ254" s="187"/>
      <c r="AK254" s="187"/>
      <c r="AL254" s="187"/>
      <c r="AM254" s="187"/>
      <c r="AN254" s="187"/>
      <c r="AO254" s="187"/>
      <c r="AP254" s="187"/>
      <c r="AQ254" s="187"/>
      <c r="AR254" s="187"/>
      <c r="AS254" s="187"/>
      <c r="AT254" s="187"/>
      <c r="AU254" s="187"/>
      <c r="AV254" s="187"/>
      <c r="AW254" s="187"/>
      <c r="AX254" s="187"/>
      <c r="AY254" s="187"/>
      <c r="AZ254" s="187"/>
      <c r="BA254" s="187"/>
      <c r="BB254" s="187"/>
      <c r="BC254" s="187"/>
      <c r="BD254" s="187"/>
      <c r="BE254" s="187"/>
      <c r="BF254" s="187"/>
      <c r="BG254" s="187"/>
      <c r="BH254" s="187"/>
      <c r="BI254" s="229"/>
      <c r="BJ254" s="229"/>
      <c r="BK254" s="229"/>
      <c r="BL254" s="229"/>
      <c r="BM254" s="187"/>
      <c r="BN254" s="389"/>
      <c r="BO254" s="439"/>
      <c r="BP254" s="389"/>
      <c r="BQ254" s="439"/>
    </row>
    <row r="255" spans="1:69" x14ac:dyDescent="0.25">
      <c r="A255" s="490"/>
      <c r="B255" s="490"/>
      <c r="C255" s="187"/>
      <c r="D255" s="46"/>
      <c r="E255" s="46"/>
      <c r="F255" s="46"/>
      <c r="G255" s="46"/>
      <c r="H255" s="46"/>
      <c r="I255" s="46"/>
      <c r="J255" s="46"/>
      <c r="K255" s="46"/>
      <c r="L255" s="46"/>
      <c r="M255" s="187"/>
      <c r="N255" s="187"/>
      <c r="O255" s="46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  <c r="AA255" s="187"/>
      <c r="AB255" s="187"/>
      <c r="AC255" s="187"/>
      <c r="AD255" s="187"/>
      <c r="AE255" s="187"/>
      <c r="AF255" s="187"/>
      <c r="AG255" s="187"/>
      <c r="AH255" s="187"/>
      <c r="AI255" s="187"/>
      <c r="AJ255" s="187"/>
      <c r="AK255" s="187"/>
      <c r="AL255" s="187"/>
      <c r="AM255" s="187"/>
      <c r="AN255" s="187"/>
      <c r="AO255" s="187"/>
      <c r="AP255" s="187"/>
      <c r="AQ255" s="187"/>
      <c r="AR255" s="187"/>
      <c r="AS255" s="187"/>
      <c r="AT255" s="187"/>
      <c r="AU255" s="187"/>
      <c r="AV255" s="187"/>
      <c r="AW255" s="187"/>
      <c r="AX255" s="187"/>
      <c r="AY255" s="187"/>
      <c r="AZ255" s="187"/>
      <c r="BA255" s="187"/>
      <c r="BB255" s="187"/>
      <c r="BC255" s="187"/>
      <c r="BD255" s="187"/>
      <c r="BE255" s="187"/>
      <c r="BF255" s="187"/>
      <c r="BG255" s="187"/>
      <c r="BH255" s="187"/>
      <c r="BI255" s="229"/>
      <c r="BJ255" s="229"/>
      <c r="BK255" s="229"/>
      <c r="BL255" s="229"/>
      <c r="BM255" s="187"/>
      <c r="BN255" s="389"/>
      <c r="BO255" s="439"/>
      <c r="BP255" s="389"/>
      <c r="BQ255" s="439"/>
    </row>
    <row r="256" spans="1:69" x14ac:dyDescent="0.25">
      <c r="A256" s="490"/>
      <c r="B256" s="490"/>
      <c r="C256" s="187"/>
      <c r="D256" s="46"/>
      <c r="E256" s="46"/>
      <c r="F256" s="46"/>
      <c r="G256" s="46"/>
      <c r="H256" s="46"/>
      <c r="I256" s="46"/>
      <c r="J256" s="46"/>
      <c r="K256" s="46"/>
      <c r="L256" s="46"/>
      <c r="M256" s="187"/>
      <c r="N256" s="187"/>
      <c r="O256" s="46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  <c r="AA256" s="187"/>
      <c r="AB256" s="187"/>
      <c r="AC256" s="187"/>
      <c r="AD256" s="187"/>
      <c r="AE256" s="187"/>
      <c r="AF256" s="187"/>
      <c r="AG256" s="187"/>
      <c r="AH256" s="187"/>
      <c r="AI256" s="187"/>
      <c r="AJ256" s="187"/>
      <c r="AK256" s="187"/>
      <c r="AL256" s="187"/>
      <c r="AM256" s="187"/>
      <c r="AN256" s="187"/>
      <c r="AO256" s="187"/>
      <c r="AP256" s="187"/>
      <c r="AQ256" s="187"/>
      <c r="AR256" s="187"/>
      <c r="AS256" s="187"/>
      <c r="AT256" s="187"/>
      <c r="AU256" s="187"/>
      <c r="AV256" s="187"/>
      <c r="AW256" s="187"/>
      <c r="AX256" s="187"/>
      <c r="AY256" s="187"/>
      <c r="AZ256" s="187"/>
      <c r="BA256" s="187"/>
      <c r="BB256" s="187"/>
      <c r="BC256" s="187"/>
      <c r="BD256" s="187"/>
      <c r="BE256" s="187"/>
      <c r="BF256" s="187"/>
      <c r="BG256" s="187"/>
      <c r="BH256" s="187"/>
      <c r="BI256" s="229"/>
      <c r="BJ256" s="229"/>
      <c r="BK256" s="229"/>
      <c r="BL256" s="229"/>
      <c r="BM256" s="187"/>
      <c r="BN256" s="389"/>
      <c r="BO256" s="439"/>
      <c r="BP256" s="389"/>
      <c r="BQ256" s="439"/>
    </row>
    <row r="257" spans="1:69" x14ac:dyDescent="0.25">
      <c r="A257" s="490"/>
      <c r="B257" s="490"/>
      <c r="C257" s="187"/>
      <c r="D257" s="46"/>
      <c r="E257" s="46"/>
      <c r="F257" s="46"/>
      <c r="G257" s="46"/>
      <c r="H257" s="46"/>
      <c r="I257" s="46"/>
      <c r="J257" s="46"/>
      <c r="K257" s="46"/>
      <c r="L257" s="46"/>
      <c r="M257" s="187"/>
      <c r="N257" s="187"/>
      <c r="O257" s="46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  <c r="AA257" s="187"/>
      <c r="AB257" s="187"/>
      <c r="AC257" s="187"/>
      <c r="AD257" s="187"/>
      <c r="AE257" s="187"/>
      <c r="AF257" s="187"/>
      <c r="AG257" s="187"/>
      <c r="AH257" s="187"/>
      <c r="AI257" s="187"/>
      <c r="AJ257" s="187"/>
      <c r="AK257" s="187"/>
      <c r="AL257" s="187"/>
      <c r="AM257" s="187"/>
      <c r="AN257" s="187"/>
      <c r="AO257" s="187"/>
      <c r="AP257" s="187"/>
      <c r="AQ257" s="187"/>
      <c r="AR257" s="187"/>
      <c r="AS257" s="187"/>
      <c r="AT257" s="187"/>
      <c r="AU257" s="187"/>
      <c r="AV257" s="187"/>
      <c r="AW257" s="187"/>
      <c r="AX257" s="187"/>
      <c r="AY257" s="187"/>
      <c r="AZ257" s="187"/>
      <c r="BA257" s="187"/>
      <c r="BB257" s="187"/>
      <c r="BC257" s="187"/>
      <c r="BD257" s="187"/>
      <c r="BE257" s="187"/>
      <c r="BF257" s="187"/>
      <c r="BG257" s="187"/>
      <c r="BH257" s="187"/>
      <c r="BI257" s="229"/>
      <c r="BJ257" s="229"/>
      <c r="BK257" s="229"/>
      <c r="BL257" s="229"/>
      <c r="BM257" s="187"/>
      <c r="BN257" s="389"/>
      <c r="BO257" s="439"/>
      <c r="BP257" s="389"/>
      <c r="BQ257" s="439"/>
    </row>
    <row r="258" spans="1:69" x14ac:dyDescent="0.25">
      <c r="A258" s="490"/>
      <c r="B258" s="490"/>
      <c r="C258" s="187"/>
      <c r="D258" s="46"/>
      <c r="E258" s="46"/>
      <c r="F258" s="46"/>
      <c r="G258" s="46"/>
      <c r="H258" s="46"/>
      <c r="I258" s="46"/>
      <c r="J258" s="46"/>
      <c r="K258" s="46"/>
      <c r="L258" s="46"/>
      <c r="M258" s="187"/>
      <c r="N258" s="187"/>
      <c r="O258" s="46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  <c r="AA258" s="187"/>
      <c r="AB258" s="187"/>
      <c r="AC258" s="187"/>
      <c r="AD258" s="187"/>
      <c r="AE258" s="187"/>
      <c r="AF258" s="187"/>
      <c r="AG258" s="187"/>
      <c r="AH258" s="187"/>
      <c r="AI258" s="187"/>
      <c r="AJ258" s="187"/>
      <c r="AK258" s="187"/>
      <c r="AL258" s="187"/>
      <c r="AM258" s="187"/>
      <c r="AN258" s="187"/>
      <c r="AO258" s="187"/>
      <c r="AP258" s="187"/>
      <c r="AQ258" s="187"/>
      <c r="AR258" s="187"/>
      <c r="AS258" s="187"/>
      <c r="AT258" s="187"/>
      <c r="AU258" s="187"/>
      <c r="AV258" s="187"/>
      <c r="AW258" s="187"/>
      <c r="AX258" s="187"/>
      <c r="AY258" s="187"/>
      <c r="AZ258" s="187"/>
      <c r="BA258" s="187"/>
      <c r="BB258" s="187"/>
      <c r="BC258" s="187"/>
      <c r="BD258" s="187"/>
      <c r="BE258" s="187"/>
      <c r="BF258" s="187"/>
      <c r="BG258" s="187"/>
      <c r="BH258" s="187"/>
      <c r="BI258" s="229"/>
      <c r="BJ258" s="229"/>
      <c r="BK258" s="229"/>
      <c r="BL258" s="229"/>
      <c r="BM258" s="187"/>
      <c r="BN258" s="389"/>
      <c r="BO258" s="439"/>
      <c r="BP258" s="389"/>
      <c r="BQ258" s="439"/>
    </row>
    <row r="259" spans="1:69" x14ac:dyDescent="0.25">
      <c r="A259" s="490"/>
      <c r="B259" s="490"/>
      <c r="C259" s="187"/>
      <c r="D259" s="46"/>
      <c r="E259" s="46"/>
      <c r="F259" s="46"/>
      <c r="G259" s="46"/>
      <c r="H259" s="46"/>
      <c r="I259" s="46"/>
      <c r="J259" s="46"/>
      <c r="K259" s="46"/>
      <c r="L259" s="46"/>
      <c r="M259" s="187"/>
      <c r="N259" s="187"/>
      <c r="O259" s="46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  <c r="AA259" s="187"/>
      <c r="AB259" s="187"/>
      <c r="AC259" s="187"/>
      <c r="AD259" s="187"/>
      <c r="AE259" s="187"/>
      <c r="AF259" s="187"/>
      <c r="AG259" s="187"/>
      <c r="AH259" s="187"/>
      <c r="AI259" s="187"/>
      <c r="AJ259" s="187"/>
      <c r="AK259" s="187"/>
      <c r="AL259" s="187"/>
      <c r="AM259" s="187"/>
      <c r="AN259" s="187"/>
      <c r="AO259" s="187"/>
      <c r="AP259" s="187"/>
      <c r="AQ259" s="187"/>
      <c r="AR259" s="187"/>
      <c r="AS259" s="187"/>
      <c r="AT259" s="187"/>
      <c r="AU259" s="187"/>
      <c r="AV259" s="187"/>
      <c r="AW259" s="187"/>
      <c r="AX259" s="187"/>
      <c r="AY259" s="187"/>
      <c r="AZ259" s="187"/>
      <c r="BA259" s="187"/>
      <c r="BB259" s="187"/>
      <c r="BC259" s="187"/>
      <c r="BD259" s="187"/>
      <c r="BE259" s="187"/>
      <c r="BF259" s="187"/>
      <c r="BG259" s="187"/>
      <c r="BH259" s="187"/>
      <c r="BI259" s="229"/>
      <c r="BJ259" s="229"/>
      <c r="BK259" s="229"/>
      <c r="BL259" s="229"/>
      <c r="BM259" s="187"/>
      <c r="BN259" s="389"/>
      <c r="BO259" s="439"/>
      <c r="BP259" s="389"/>
      <c r="BQ259" s="439"/>
    </row>
    <row r="260" spans="1:69" x14ac:dyDescent="0.25">
      <c r="A260" s="490"/>
      <c r="B260" s="490"/>
      <c r="C260" s="187"/>
      <c r="D260" s="46"/>
      <c r="E260" s="46"/>
      <c r="F260" s="46"/>
      <c r="G260" s="46"/>
      <c r="H260" s="46"/>
      <c r="I260" s="46"/>
      <c r="J260" s="46"/>
      <c r="K260" s="46"/>
      <c r="L260" s="46"/>
      <c r="M260" s="187"/>
      <c r="N260" s="187"/>
      <c r="O260" s="46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  <c r="AA260" s="187"/>
      <c r="AB260" s="187"/>
      <c r="AC260" s="187"/>
      <c r="AD260" s="187"/>
      <c r="AE260" s="187"/>
      <c r="AF260" s="187"/>
      <c r="AG260" s="187"/>
      <c r="AH260" s="187"/>
      <c r="AI260" s="187"/>
      <c r="AJ260" s="187"/>
      <c r="AK260" s="187"/>
      <c r="AL260" s="187"/>
      <c r="AM260" s="187"/>
      <c r="AN260" s="187"/>
      <c r="AO260" s="187"/>
      <c r="AP260" s="187"/>
      <c r="AQ260" s="187"/>
      <c r="AR260" s="187"/>
      <c r="AS260" s="187"/>
      <c r="AT260" s="187"/>
      <c r="AU260" s="187"/>
      <c r="AV260" s="187"/>
      <c r="AW260" s="187"/>
      <c r="AX260" s="187"/>
      <c r="AY260" s="187"/>
      <c r="AZ260" s="187"/>
      <c r="BA260" s="187"/>
      <c r="BB260" s="187"/>
      <c r="BC260" s="187"/>
      <c r="BD260" s="187"/>
      <c r="BE260" s="187"/>
      <c r="BF260" s="187"/>
      <c r="BG260" s="187"/>
      <c r="BH260" s="187"/>
      <c r="BI260" s="229"/>
      <c r="BJ260" s="229"/>
      <c r="BK260" s="229"/>
      <c r="BL260" s="229"/>
      <c r="BM260" s="187"/>
      <c r="BN260" s="389"/>
      <c r="BO260" s="439"/>
      <c r="BP260" s="389"/>
      <c r="BQ260" s="439"/>
    </row>
    <row r="261" spans="1:69" x14ac:dyDescent="0.25">
      <c r="A261" s="490"/>
      <c r="B261" s="490"/>
      <c r="C261" s="187"/>
      <c r="D261" s="46"/>
      <c r="E261" s="46"/>
      <c r="F261" s="46"/>
      <c r="G261" s="46"/>
      <c r="H261" s="46"/>
      <c r="I261" s="46"/>
      <c r="J261" s="46"/>
      <c r="K261" s="46"/>
      <c r="L261" s="46"/>
      <c r="M261" s="187"/>
      <c r="N261" s="187"/>
      <c r="O261" s="46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  <c r="AA261" s="187"/>
      <c r="AB261" s="187"/>
      <c r="AC261" s="187"/>
      <c r="AD261" s="187"/>
      <c r="AE261" s="187"/>
      <c r="AF261" s="187"/>
      <c r="AG261" s="187"/>
      <c r="AH261" s="187"/>
      <c r="AI261" s="187"/>
      <c r="AJ261" s="187"/>
      <c r="AK261" s="187"/>
      <c r="AL261" s="187"/>
      <c r="AM261" s="187"/>
      <c r="AN261" s="187"/>
      <c r="AO261" s="187"/>
      <c r="AP261" s="187"/>
      <c r="AQ261" s="187"/>
      <c r="AR261" s="187"/>
      <c r="AS261" s="187"/>
      <c r="AT261" s="187"/>
      <c r="AU261" s="187"/>
      <c r="AV261" s="187"/>
      <c r="AW261" s="187"/>
      <c r="AX261" s="187"/>
      <c r="AY261" s="187"/>
      <c r="AZ261" s="187"/>
      <c r="BA261" s="187"/>
      <c r="BB261" s="187"/>
      <c r="BC261" s="187"/>
      <c r="BD261" s="187"/>
      <c r="BE261" s="187"/>
      <c r="BF261" s="187"/>
      <c r="BG261" s="187"/>
      <c r="BH261" s="187"/>
      <c r="BI261" s="229"/>
      <c r="BJ261" s="229"/>
      <c r="BK261" s="229"/>
      <c r="BL261" s="229"/>
      <c r="BM261" s="187"/>
      <c r="BN261" s="389"/>
      <c r="BO261" s="439"/>
      <c r="BP261" s="389"/>
      <c r="BQ261" s="439"/>
    </row>
    <row r="262" spans="1:69" x14ac:dyDescent="0.25">
      <c r="A262" s="490"/>
      <c r="B262" s="490"/>
      <c r="C262" s="187"/>
      <c r="D262" s="46"/>
      <c r="E262" s="46"/>
      <c r="F262" s="46"/>
      <c r="G262" s="46"/>
      <c r="H262" s="46"/>
      <c r="I262" s="46"/>
      <c r="J262" s="46"/>
      <c r="K262" s="46"/>
      <c r="L262" s="46"/>
      <c r="M262" s="187"/>
      <c r="N262" s="187"/>
      <c r="O262" s="46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  <c r="AA262" s="187"/>
      <c r="AB262" s="187"/>
      <c r="AC262" s="187"/>
      <c r="AD262" s="187"/>
      <c r="AE262" s="187"/>
      <c r="AF262" s="187"/>
      <c r="AG262" s="187"/>
      <c r="AH262" s="187"/>
      <c r="AI262" s="187"/>
      <c r="AJ262" s="187"/>
      <c r="AK262" s="187"/>
      <c r="AL262" s="187"/>
      <c r="AM262" s="187"/>
      <c r="AN262" s="187"/>
      <c r="AO262" s="187"/>
      <c r="AP262" s="187"/>
      <c r="AQ262" s="187"/>
      <c r="AR262" s="187"/>
      <c r="AS262" s="187"/>
      <c r="AT262" s="187"/>
      <c r="AU262" s="187"/>
      <c r="AV262" s="187"/>
      <c r="AW262" s="187"/>
      <c r="AX262" s="187"/>
      <c r="AY262" s="187"/>
      <c r="AZ262" s="187"/>
      <c r="BA262" s="187"/>
      <c r="BB262" s="187"/>
      <c r="BC262" s="187"/>
      <c r="BD262" s="187"/>
      <c r="BE262" s="187"/>
      <c r="BF262" s="187"/>
      <c r="BG262" s="187"/>
      <c r="BH262" s="187"/>
      <c r="BI262" s="229"/>
      <c r="BJ262" s="229"/>
      <c r="BK262" s="229"/>
      <c r="BL262" s="229"/>
      <c r="BM262" s="187"/>
      <c r="BN262" s="389"/>
      <c r="BO262" s="439"/>
      <c r="BP262" s="389"/>
      <c r="BQ262" s="439"/>
    </row>
    <row r="263" spans="1:69" x14ac:dyDescent="0.25">
      <c r="A263" s="490"/>
      <c r="B263" s="490"/>
      <c r="C263" s="187"/>
      <c r="D263" s="46"/>
      <c r="E263" s="46"/>
      <c r="F263" s="46"/>
      <c r="G263" s="46"/>
      <c r="H263" s="46"/>
      <c r="I263" s="46"/>
      <c r="J263" s="46"/>
      <c r="K263" s="46"/>
      <c r="L263" s="46"/>
      <c r="M263" s="187"/>
      <c r="N263" s="187"/>
      <c r="O263" s="46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  <c r="AA263" s="187"/>
      <c r="AB263" s="187"/>
      <c r="AC263" s="187"/>
      <c r="AD263" s="187"/>
      <c r="AE263" s="187"/>
      <c r="AF263" s="187"/>
      <c r="AG263" s="187"/>
      <c r="AH263" s="187"/>
      <c r="AI263" s="187"/>
      <c r="AJ263" s="187"/>
      <c r="AK263" s="187"/>
      <c r="AL263" s="187"/>
      <c r="AM263" s="187"/>
      <c r="AN263" s="187"/>
      <c r="AO263" s="187"/>
      <c r="AP263" s="187"/>
      <c r="AQ263" s="187"/>
      <c r="AR263" s="187"/>
      <c r="AS263" s="187"/>
      <c r="AT263" s="187"/>
      <c r="AU263" s="187"/>
      <c r="AV263" s="187"/>
      <c r="AW263" s="187"/>
      <c r="AX263" s="187"/>
      <c r="AY263" s="187"/>
      <c r="AZ263" s="187"/>
      <c r="BA263" s="187"/>
      <c r="BB263" s="187"/>
      <c r="BC263" s="187"/>
      <c r="BD263" s="187"/>
      <c r="BE263" s="187"/>
      <c r="BF263" s="187"/>
      <c r="BG263" s="187"/>
      <c r="BH263" s="187"/>
      <c r="BI263" s="229"/>
      <c r="BJ263" s="229"/>
      <c r="BK263" s="229"/>
      <c r="BL263" s="229"/>
      <c r="BM263" s="187"/>
      <c r="BN263" s="389"/>
      <c r="BO263" s="439"/>
      <c r="BP263" s="389"/>
      <c r="BQ263" s="439"/>
    </row>
    <row r="264" spans="1:69" x14ac:dyDescent="0.25">
      <c r="A264" s="490"/>
      <c r="B264" s="490"/>
      <c r="C264" s="187"/>
      <c r="D264" s="46"/>
      <c r="E264" s="46"/>
      <c r="F264" s="46"/>
      <c r="G264" s="46"/>
      <c r="H264" s="46"/>
      <c r="I264" s="46"/>
      <c r="J264" s="46"/>
      <c r="K264" s="46"/>
      <c r="L264" s="46"/>
      <c r="M264" s="187"/>
      <c r="N264" s="187"/>
      <c r="O264" s="46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  <c r="AA264" s="187"/>
      <c r="AB264" s="187"/>
      <c r="AC264" s="187"/>
      <c r="AD264" s="187"/>
      <c r="AE264" s="187"/>
      <c r="AF264" s="187"/>
      <c r="AG264" s="187"/>
      <c r="AH264" s="187"/>
      <c r="AI264" s="187"/>
      <c r="AJ264" s="187"/>
      <c r="AK264" s="187"/>
      <c r="AL264" s="187"/>
      <c r="AM264" s="187"/>
      <c r="AN264" s="187"/>
      <c r="AO264" s="187"/>
      <c r="AP264" s="187"/>
      <c r="AQ264" s="187"/>
      <c r="AR264" s="187"/>
      <c r="AS264" s="187"/>
      <c r="AT264" s="187"/>
      <c r="AU264" s="187"/>
      <c r="AV264" s="187"/>
      <c r="AW264" s="187"/>
      <c r="AX264" s="187"/>
      <c r="AY264" s="187"/>
      <c r="AZ264" s="187"/>
      <c r="BA264" s="187"/>
      <c r="BB264" s="187"/>
      <c r="BC264" s="187"/>
      <c r="BD264" s="187"/>
      <c r="BE264" s="187"/>
      <c r="BF264" s="187"/>
      <c r="BG264" s="187"/>
      <c r="BH264" s="187"/>
      <c r="BI264" s="229"/>
      <c r="BJ264" s="229"/>
      <c r="BK264" s="229"/>
      <c r="BL264" s="229"/>
      <c r="BM264" s="187"/>
      <c r="BN264" s="389"/>
      <c r="BO264" s="439"/>
      <c r="BP264" s="389"/>
      <c r="BQ264" s="439"/>
    </row>
    <row r="265" spans="1:69" x14ac:dyDescent="0.25">
      <c r="A265" s="490"/>
      <c r="B265" s="490"/>
      <c r="C265" s="187"/>
      <c r="D265" s="46"/>
      <c r="E265" s="46"/>
      <c r="F265" s="46"/>
      <c r="G265" s="46"/>
      <c r="H265" s="46"/>
      <c r="I265" s="46"/>
      <c r="J265" s="46"/>
      <c r="K265" s="46"/>
      <c r="L265" s="46"/>
      <c r="M265" s="187"/>
      <c r="N265" s="187"/>
      <c r="O265" s="46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  <c r="AA265" s="187"/>
      <c r="AB265" s="187"/>
      <c r="AC265" s="187"/>
      <c r="AD265" s="187"/>
      <c r="AE265" s="187"/>
      <c r="AF265" s="187"/>
      <c r="AG265" s="187"/>
      <c r="AH265" s="187"/>
      <c r="AI265" s="187"/>
      <c r="AJ265" s="187"/>
      <c r="AK265" s="187"/>
      <c r="AL265" s="187"/>
      <c r="AM265" s="187"/>
      <c r="AN265" s="187"/>
      <c r="AO265" s="187"/>
      <c r="AP265" s="187"/>
      <c r="AQ265" s="187"/>
      <c r="AR265" s="187"/>
      <c r="AS265" s="187"/>
      <c r="AT265" s="187"/>
      <c r="AU265" s="187"/>
      <c r="AV265" s="187"/>
      <c r="AW265" s="187"/>
      <c r="AX265" s="187"/>
      <c r="AY265" s="187"/>
      <c r="AZ265" s="187"/>
      <c r="BA265" s="187"/>
      <c r="BB265" s="187"/>
      <c r="BC265" s="187"/>
      <c r="BD265" s="187"/>
      <c r="BE265" s="187"/>
      <c r="BF265" s="187"/>
      <c r="BG265" s="187"/>
      <c r="BH265" s="187"/>
      <c r="BI265" s="229"/>
      <c r="BJ265" s="229"/>
      <c r="BK265" s="229"/>
      <c r="BL265" s="229"/>
      <c r="BM265" s="187"/>
      <c r="BN265" s="389"/>
      <c r="BO265" s="439"/>
      <c r="BP265" s="389"/>
      <c r="BQ265" s="439"/>
    </row>
    <row r="266" spans="1:69" x14ac:dyDescent="0.25">
      <c r="A266" s="490"/>
      <c r="B266" s="490"/>
      <c r="C266" s="187"/>
      <c r="D266" s="46"/>
      <c r="E266" s="46"/>
      <c r="F266" s="46"/>
      <c r="G266" s="46"/>
      <c r="H266" s="46"/>
      <c r="I266" s="46"/>
      <c r="J266" s="46"/>
      <c r="K266" s="46"/>
      <c r="L266" s="46"/>
      <c r="M266" s="187"/>
      <c r="N266" s="187"/>
      <c r="O266" s="46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  <c r="AA266" s="187"/>
      <c r="AB266" s="187"/>
      <c r="AC266" s="187"/>
      <c r="AD266" s="187"/>
      <c r="AE266" s="187"/>
      <c r="AF266" s="187"/>
      <c r="AG266" s="187"/>
      <c r="AH266" s="187"/>
      <c r="AI266" s="187"/>
      <c r="AJ266" s="187"/>
      <c r="AK266" s="187"/>
      <c r="AL266" s="187"/>
      <c r="AM266" s="187"/>
      <c r="AN266" s="187"/>
      <c r="AO266" s="187"/>
      <c r="AP266" s="187"/>
      <c r="AQ266" s="187"/>
      <c r="AR266" s="187"/>
      <c r="AS266" s="187"/>
      <c r="AT266" s="187"/>
      <c r="AU266" s="187"/>
      <c r="AV266" s="187"/>
      <c r="AW266" s="187"/>
      <c r="AX266" s="187"/>
      <c r="AY266" s="187"/>
      <c r="AZ266" s="187"/>
      <c r="BA266" s="187"/>
      <c r="BB266" s="187"/>
      <c r="BC266" s="187"/>
      <c r="BD266" s="187"/>
      <c r="BE266" s="187"/>
      <c r="BF266" s="187"/>
      <c r="BG266" s="187"/>
      <c r="BH266" s="187"/>
      <c r="BI266" s="229"/>
      <c r="BJ266" s="229"/>
      <c r="BK266" s="229"/>
      <c r="BL266" s="229"/>
      <c r="BM266" s="187"/>
      <c r="BN266" s="389"/>
      <c r="BO266" s="439"/>
      <c r="BP266" s="389"/>
      <c r="BQ266" s="439"/>
    </row>
    <row r="267" spans="1:69" x14ac:dyDescent="0.25">
      <c r="A267" s="490"/>
      <c r="B267" s="490"/>
      <c r="C267" s="187"/>
      <c r="D267" s="46"/>
      <c r="E267" s="46"/>
      <c r="F267" s="46"/>
      <c r="G267" s="46"/>
      <c r="H267" s="46"/>
      <c r="I267" s="46"/>
      <c r="J267" s="46"/>
      <c r="K267" s="46"/>
      <c r="L267" s="46"/>
      <c r="M267" s="187"/>
      <c r="N267" s="187"/>
      <c r="O267" s="46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  <c r="AA267" s="187"/>
      <c r="AB267" s="187"/>
      <c r="AC267" s="187"/>
      <c r="AD267" s="187"/>
      <c r="AE267" s="187"/>
      <c r="AF267" s="187"/>
      <c r="AG267" s="187"/>
      <c r="AH267" s="187"/>
      <c r="AI267" s="187"/>
      <c r="AJ267" s="187"/>
      <c r="AK267" s="187"/>
      <c r="AL267" s="187"/>
      <c r="AM267" s="187"/>
      <c r="AN267" s="187"/>
      <c r="AO267" s="187"/>
      <c r="AP267" s="187"/>
      <c r="AQ267" s="187"/>
      <c r="AR267" s="187"/>
      <c r="AS267" s="187"/>
      <c r="AT267" s="187"/>
      <c r="AU267" s="187"/>
      <c r="AV267" s="187"/>
      <c r="AW267" s="187"/>
      <c r="AX267" s="187"/>
      <c r="AY267" s="187"/>
      <c r="AZ267" s="187"/>
      <c r="BA267" s="187"/>
      <c r="BB267" s="187"/>
      <c r="BC267" s="187"/>
      <c r="BD267" s="187"/>
      <c r="BE267" s="187"/>
      <c r="BF267" s="187"/>
      <c r="BG267" s="187"/>
      <c r="BH267" s="187"/>
      <c r="BI267" s="229"/>
      <c r="BJ267" s="229"/>
      <c r="BK267" s="229"/>
      <c r="BL267" s="229"/>
      <c r="BM267" s="187"/>
      <c r="BN267" s="389"/>
      <c r="BO267" s="439"/>
      <c r="BP267" s="389"/>
      <c r="BQ267" s="439"/>
    </row>
    <row r="268" spans="1:69" x14ac:dyDescent="0.25">
      <c r="A268" s="490"/>
      <c r="B268" s="490"/>
      <c r="C268" s="187"/>
      <c r="D268" s="46"/>
      <c r="E268" s="46"/>
      <c r="F268" s="46"/>
      <c r="G268" s="46"/>
      <c r="H268" s="46"/>
      <c r="I268" s="46"/>
      <c r="J268" s="46"/>
      <c r="K268" s="46"/>
      <c r="L268" s="46"/>
      <c r="M268" s="187"/>
      <c r="N268" s="187"/>
      <c r="O268" s="46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  <c r="AA268" s="187"/>
      <c r="AB268" s="187"/>
      <c r="AC268" s="187"/>
      <c r="AD268" s="187"/>
      <c r="AE268" s="187"/>
      <c r="AF268" s="187"/>
      <c r="AG268" s="187"/>
      <c r="AH268" s="187"/>
      <c r="AI268" s="187"/>
      <c r="AJ268" s="187"/>
      <c r="AK268" s="187"/>
      <c r="AL268" s="187"/>
      <c r="AM268" s="187"/>
      <c r="AN268" s="187"/>
      <c r="AO268" s="187"/>
      <c r="AP268" s="187"/>
      <c r="AQ268" s="187"/>
      <c r="AR268" s="187"/>
      <c r="AS268" s="187"/>
      <c r="AT268" s="187"/>
      <c r="AU268" s="187"/>
      <c r="AV268" s="187"/>
      <c r="AW268" s="187"/>
      <c r="AX268" s="187"/>
      <c r="AY268" s="187"/>
      <c r="AZ268" s="187"/>
      <c r="BA268" s="187"/>
      <c r="BB268" s="187"/>
      <c r="BC268" s="187"/>
      <c r="BD268" s="187"/>
      <c r="BE268" s="187"/>
      <c r="BF268" s="187"/>
      <c r="BG268" s="187"/>
      <c r="BH268" s="187"/>
      <c r="BI268" s="229"/>
      <c r="BJ268" s="229"/>
      <c r="BK268" s="229"/>
      <c r="BL268" s="229"/>
      <c r="BM268" s="187"/>
      <c r="BN268" s="389"/>
      <c r="BO268" s="439"/>
      <c r="BP268" s="389"/>
      <c r="BQ268" s="439"/>
    </row>
    <row r="269" spans="1:69" x14ac:dyDescent="0.25">
      <c r="A269" s="490"/>
      <c r="B269" s="490"/>
      <c r="C269" s="187"/>
      <c r="D269" s="46"/>
      <c r="E269" s="46"/>
      <c r="F269" s="46"/>
      <c r="G269" s="46"/>
      <c r="H269" s="46"/>
      <c r="I269" s="46"/>
      <c r="J269" s="46"/>
      <c r="K269" s="46"/>
      <c r="L269" s="46"/>
      <c r="M269" s="187"/>
      <c r="N269" s="187"/>
      <c r="O269" s="46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  <c r="AA269" s="187"/>
      <c r="AB269" s="187"/>
      <c r="AC269" s="187"/>
      <c r="AD269" s="187"/>
      <c r="AE269" s="187"/>
      <c r="AF269" s="187"/>
      <c r="AG269" s="187"/>
      <c r="AH269" s="187"/>
      <c r="AI269" s="187"/>
      <c r="AJ269" s="187"/>
      <c r="AK269" s="187"/>
      <c r="AL269" s="187"/>
      <c r="AM269" s="187"/>
      <c r="AN269" s="187"/>
      <c r="AO269" s="187"/>
      <c r="AP269" s="187"/>
      <c r="AQ269" s="187"/>
      <c r="AR269" s="187"/>
      <c r="AS269" s="187"/>
      <c r="AT269" s="187"/>
      <c r="AU269" s="187"/>
      <c r="AV269" s="187"/>
      <c r="AW269" s="187"/>
      <c r="AX269" s="187"/>
      <c r="AY269" s="187"/>
      <c r="AZ269" s="187"/>
      <c r="BA269" s="187"/>
      <c r="BB269" s="187"/>
      <c r="BC269" s="187"/>
      <c r="BD269" s="187"/>
      <c r="BE269" s="187"/>
      <c r="BF269" s="187"/>
      <c r="BG269" s="187"/>
      <c r="BH269" s="187"/>
      <c r="BI269" s="229"/>
      <c r="BJ269" s="229"/>
      <c r="BK269" s="229"/>
      <c r="BL269" s="229"/>
      <c r="BM269" s="187"/>
      <c r="BN269" s="389"/>
      <c r="BO269" s="439"/>
      <c r="BP269" s="389"/>
      <c r="BQ269" s="439"/>
    </row>
    <row r="270" spans="1:69" x14ac:dyDescent="0.25">
      <c r="A270" s="490"/>
      <c r="B270" s="490"/>
      <c r="C270" s="187"/>
      <c r="D270" s="46"/>
      <c r="E270" s="46"/>
      <c r="F270" s="46"/>
      <c r="G270" s="46"/>
      <c r="H270" s="46"/>
      <c r="I270" s="46"/>
      <c r="J270" s="46"/>
      <c r="K270" s="46"/>
      <c r="L270" s="46"/>
      <c r="M270" s="187"/>
      <c r="N270" s="187"/>
      <c r="O270" s="46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  <c r="AA270" s="187"/>
      <c r="AB270" s="187"/>
      <c r="AC270" s="187"/>
      <c r="AD270" s="187"/>
      <c r="AE270" s="187"/>
      <c r="AF270" s="187"/>
      <c r="AG270" s="187"/>
      <c r="AH270" s="187"/>
      <c r="AI270" s="187"/>
      <c r="AJ270" s="187"/>
      <c r="AK270" s="187"/>
      <c r="AL270" s="187"/>
      <c r="AM270" s="187"/>
      <c r="AN270" s="187"/>
      <c r="AO270" s="187"/>
      <c r="AP270" s="187"/>
      <c r="AQ270" s="187"/>
      <c r="AR270" s="187"/>
      <c r="AS270" s="187"/>
      <c r="AT270" s="187"/>
      <c r="AU270" s="187"/>
      <c r="AV270" s="187"/>
      <c r="AW270" s="187"/>
      <c r="AX270" s="187"/>
      <c r="AY270" s="187"/>
      <c r="AZ270" s="187"/>
      <c r="BA270" s="187"/>
      <c r="BB270" s="187"/>
      <c r="BC270" s="187"/>
      <c r="BD270" s="187"/>
      <c r="BE270" s="187"/>
      <c r="BF270" s="187"/>
      <c r="BG270" s="187"/>
      <c r="BH270" s="187"/>
      <c r="BI270" s="229"/>
      <c r="BJ270" s="229"/>
      <c r="BK270" s="229"/>
      <c r="BL270" s="229"/>
      <c r="BM270" s="187"/>
      <c r="BN270" s="389"/>
      <c r="BO270" s="439"/>
      <c r="BP270" s="389"/>
      <c r="BQ270" s="439"/>
    </row>
    <row r="271" spans="1:69" x14ac:dyDescent="0.25">
      <c r="A271" s="490"/>
      <c r="B271" s="490"/>
      <c r="C271" s="187"/>
      <c r="D271" s="46"/>
      <c r="E271" s="46"/>
      <c r="F271" s="46"/>
      <c r="G271" s="46"/>
      <c r="H271" s="46"/>
      <c r="I271" s="46"/>
      <c r="J271" s="46"/>
      <c r="K271" s="46"/>
      <c r="L271" s="46"/>
      <c r="M271" s="187"/>
      <c r="N271" s="187"/>
      <c r="O271" s="46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  <c r="AA271" s="187"/>
      <c r="AB271" s="187"/>
      <c r="AC271" s="187"/>
      <c r="AD271" s="187"/>
      <c r="AE271" s="187"/>
      <c r="AF271" s="187"/>
      <c r="AG271" s="187"/>
      <c r="AH271" s="187"/>
      <c r="AI271" s="187"/>
      <c r="AJ271" s="187"/>
      <c r="AK271" s="187"/>
      <c r="AL271" s="187"/>
      <c r="AM271" s="187"/>
      <c r="AN271" s="187"/>
      <c r="AO271" s="187"/>
      <c r="AP271" s="187"/>
      <c r="AQ271" s="187"/>
      <c r="AR271" s="187"/>
      <c r="AS271" s="187"/>
      <c r="AT271" s="187"/>
      <c r="AU271" s="187"/>
      <c r="AV271" s="187"/>
      <c r="AW271" s="187"/>
      <c r="AX271" s="187"/>
      <c r="AY271" s="187"/>
      <c r="AZ271" s="187"/>
      <c r="BA271" s="187"/>
      <c r="BB271" s="187"/>
      <c r="BC271" s="187"/>
      <c r="BD271" s="187"/>
      <c r="BE271" s="187"/>
      <c r="BF271" s="187"/>
      <c r="BG271" s="187"/>
      <c r="BH271" s="187"/>
      <c r="BI271" s="229"/>
      <c r="BJ271" s="229"/>
      <c r="BK271" s="229"/>
      <c r="BL271" s="229"/>
      <c r="BM271" s="187"/>
      <c r="BN271" s="389"/>
      <c r="BO271" s="439"/>
      <c r="BP271" s="389"/>
      <c r="BQ271" s="439"/>
    </row>
    <row r="272" spans="1:69" x14ac:dyDescent="0.25">
      <c r="A272" s="490"/>
      <c r="B272" s="490"/>
      <c r="C272" s="187"/>
      <c r="D272" s="46"/>
      <c r="E272" s="46"/>
      <c r="F272" s="46"/>
      <c r="G272" s="46"/>
      <c r="H272" s="46"/>
      <c r="I272" s="46"/>
      <c r="J272" s="46"/>
      <c r="K272" s="46"/>
      <c r="L272" s="46"/>
      <c r="M272" s="187"/>
      <c r="N272" s="187"/>
      <c r="O272" s="46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  <c r="AA272" s="187"/>
      <c r="AB272" s="187"/>
      <c r="AC272" s="187"/>
      <c r="AD272" s="187"/>
      <c r="AE272" s="187"/>
      <c r="AF272" s="187"/>
      <c r="AG272" s="187"/>
      <c r="AH272" s="187"/>
      <c r="AI272" s="187"/>
      <c r="AJ272" s="187"/>
      <c r="AK272" s="187"/>
      <c r="AL272" s="187"/>
      <c r="AM272" s="187"/>
      <c r="AN272" s="187"/>
      <c r="AO272" s="187"/>
      <c r="AP272" s="187"/>
      <c r="AQ272" s="187"/>
      <c r="AR272" s="187"/>
      <c r="AS272" s="187"/>
      <c r="AT272" s="187"/>
      <c r="AU272" s="187"/>
      <c r="AV272" s="187"/>
      <c r="AW272" s="187"/>
      <c r="AX272" s="187"/>
      <c r="AY272" s="187"/>
      <c r="AZ272" s="187"/>
      <c r="BA272" s="187"/>
      <c r="BB272" s="187"/>
      <c r="BC272" s="187"/>
      <c r="BD272" s="187"/>
      <c r="BE272" s="187"/>
      <c r="BF272" s="187"/>
      <c r="BG272" s="187"/>
      <c r="BH272" s="187"/>
      <c r="BI272" s="229"/>
      <c r="BJ272" s="229"/>
      <c r="BK272" s="229"/>
      <c r="BL272" s="229"/>
      <c r="BM272" s="187"/>
      <c r="BN272" s="389"/>
      <c r="BO272" s="439"/>
      <c r="BP272" s="389"/>
      <c r="BQ272" s="439"/>
    </row>
    <row r="273" spans="1:69" x14ac:dyDescent="0.25">
      <c r="A273" s="490"/>
      <c r="B273" s="490"/>
      <c r="C273" s="187"/>
      <c r="D273" s="46"/>
      <c r="E273" s="46"/>
      <c r="F273" s="46"/>
      <c r="G273" s="46"/>
      <c r="H273" s="46"/>
      <c r="I273" s="46"/>
      <c r="J273" s="46"/>
      <c r="K273" s="46"/>
      <c r="L273" s="46"/>
      <c r="M273" s="187"/>
      <c r="N273" s="187"/>
      <c r="O273" s="46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  <c r="AA273" s="187"/>
      <c r="AB273" s="187"/>
      <c r="AC273" s="187"/>
      <c r="AD273" s="187"/>
      <c r="AE273" s="187"/>
      <c r="AF273" s="187"/>
      <c r="AG273" s="187"/>
      <c r="AH273" s="187"/>
      <c r="AI273" s="187"/>
      <c r="AJ273" s="187"/>
      <c r="AK273" s="187"/>
      <c r="AL273" s="187"/>
      <c r="AM273" s="187"/>
      <c r="AN273" s="187"/>
      <c r="AO273" s="187"/>
      <c r="AP273" s="187"/>
      <c r="AQ273" s="187"/>
      <c r="AR273" s="187"/>
      <c r="AS273" s="187"/>
      <c r="AT273" s="187"/>
      <c r="AU273" s="187"/>
      <c r="AV273" s="187"/>
      <c r="AW273" s="187"/>
      <c r="AX273" s="187"/>
      <c r="AY273" s="187"/>
      <c r="AZ273" s="187"/>
      <c r="BA273" s="187"/>
      <c r="BB273" s="187"/>
      <c r="BC273" s="187"/>
      <c r="BD273" s="187"/>
      <c r="BE273" s="187"/>
      <c r="BF273" s="187"/>
      <c r="BG273" s="187"/>
      <c r="BH273" s="187"/>
      <c r="BI273" s="229"/>
      <c r="BJ273" s="229"/>
      <c r="BK273" s="229"/>
      <c r="BL273" s="229"/>
      <c r="BM273" s="187"/>
      <c r="BN273" s="389"/>
      <c r="BO273" s="439"/>
      <c r="BP273" s="389"/>
      <c r="BQ273" s="439"/>
    </row>
    <row r="274" spans="1:69" x14ac:dyDescent="0.25">
      <c r="A274" s="490"/>
      <c r="B274" s="490"/>
      <c r="C274" s="187"/>
      <c r="D274" s="46"/>
      <c r="E274" s="46"/>
      <c r="F274" s="46"/>
      <c r="G274" s="46"/>
      <c r="H274" s="46"/>
      <c r="I274" s="46"/>
      <c r="J274" s="46"/>
      <c r="K274" s="46"/>
      <c r="L274" s="46"/>
      <c r="M274" s="187"/>
      <c r="N274" s="187"/>
      <c r="O274" s="46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  <c r="AA274" s="187"/>
      <c r="AB274" s="187"/>
      <c r="AC274" s="187"/>
      <c r="AD274" s="187"/>
      <c r="AE274" s="187"/>
      <c r="AF274" s="187"/>
      <c r="AG274" s="187"/>
      <c r="AH274" s="187"/>
      <c r="AI274" s="187"/>
      <c r="AJ274" s="187"/>
      <c r="AK274" s="187"/>
      <c r="AL274" s="187"/>
      <c r="AM274" s="187"/>
      <c r="AN274" s="187"/>
      <c r="AO274" s="187"/>
      <c r="AP274" s="187"/>
      <c r="AQ274" s="187"/>
      <c r="AR274" s="187"/>
      <c r="AS274" s="187"/>
      <c r="AT274" s="187"/>
      <c r="AU274" s="187"/>
      <c r="AV274" s="187"/>
      <c r="AW274" s="187"/>
      <c r="AX274" s="187"/>
      <c r="AY274" s="187"/>
      <c r="AZ274" s="187"/>
      <c r="BA274" s="187"/>
      <c r="BB274" s="187"/>
      <c r="BC274" s="187"/>
      <c r="BD274" s="187"/>
      <c r="BE274" s="187"/>
      <c r="BF274" s="187"/>
      <c r="BG274" s="187"/>
      <c r="BH274" s="187"/>
      <c r="BI274" s="229"/>
      <c r="BJ274" s="229"/>
      <c r="BK274" s="229"/>
      <c r="BL274" s="229"/>
      <c r="BM274" s="187"/>
      <c r="BN274" s="389"/>
      <c r="BO274" s="439"/>
      <c r="BP274" s="389"/>
      <c r="BQ274" s="439"/>
    </row>
    <row r="275" spans="1:69" x14ac:dyDescent="0.25">
      <c r="A275" s="490"/>
      <c r="B275" s="490"/>
      <c r="C275" s="187"/>
      <c r="D275" s="46"/>
      <c r="E275" s="46"/>
      <c r="F275" s="46"/>
      <c r="G275" s="46"/>
      <c r="H275" s="46"/>
      <c r="I275" s="46"/>
      <c r="J275" s="46"/>
      <c r="K275" s="46"/>
      <c r="L275" s="46"/>
      <c r="M275" s="187"/>
      <c r="N275" s="187"/>
      <c r="O275" s="46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  <c r="AA275" s="187"/>
      <c r="AB275" s="187"/>
      <c r="AC275" s="187"/>
      <c r="AD275" s="187"/>
      <c r="AE275" s="187"/>
      <c r="AF275" s="187"/>
      <c r="AG275" s="187"/>
      <c r="AH275" s="187"/>
      <c r="AI275" s="187"/>
      <c r="AJ275" s="187"/>
      <c r="AK275" s="187"/>
      <c r="AL275" s="187"/>
      <c r="AM275" s="187"/>
      <c r="AN275" s="187"/>
      <c r="AO275" s="187"/>
      <c r="AP275" s="187"/>
      <c r="AQ275" s="187"/>
      <c r="AR275" s="187"/>
      <c r="AS275" s="187"/>
      <c r="AT275" s="187"/>
      <c r="AU275" s="187"/>
      <c r="AV275" s="187"/>
      <c r="AW275" s="187"/>
      <c r="AX275" s="187"/>
      <c r="AY275" s="187"/>
      <c r="AZ275" s="187"/>
      <c r="BA275" s="187"/>
      <c r="BB275" s="187"/>
      <c r="BC275" s="187"/>
      <c r="BD275" s="187"/>
      <c r="BE275" s="187"/>
      <c r="BF275" s="187"/>
      <c r="BG275" s="187"/>
      <c r="BH275" s="187"/>
      <c r="BI275" s="229"/>
      <c r="BJ275" s="229"/>
      <c r="BK275" s="229"/>
      <c r="BL275" s="229"/>
      <c r="BM275" s="187"/>
      <c r="BN275" s="389"/>
      <c r="BO275" s="439"/>
      <c r="BP275" s="389"/>
      <c r="BQ275" s="439"/>
    </row>
    <row r="276" spans="1:69" x14ac:dyDescent="0.25">
      <c r="A276" s="490"/>
      <c r="B276" s="490"/>
      <c r="C276" s="187"/>
      <c r="D276" s="46"/>
      <c r="E276" s="46"/>
      <c r="F276" s="46"/>
      <c r="G276" s="46"/>
      <c r="H276" s="46"/>
      <c r="I276" s="46"/>
      <c r="J276" s="46"/>
      <c r="K276" s="46"/>
      <c r="L276" s="46"/>
      <c r="M276" s="187"/>
      <c r="N276" s="187"/>
      <c r="O276" s="46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  <c r="AA276" s="187"/>
      <c r="AB276" s="187"/>
      <c r="AC276" s="187"/>
      <c r="AD276" s="187"/>
      <c r="AE276" s="187"/>
      <c r="AF276" s="187"/>
      <c r="AG276" s="187"/>
      <c r="AH276" s="187"/>
      <c r="AI276" s="187"/>
      <c r="AJ276" s="187"/>
      <c r="AK276" s="187"/>
      <c r="AL276" s="187"/>
      <c r="AM276" s="187"/>
      <c r="AN276" s="187"/>
      <c r="AO276" s="187"/>
      <c r="AP276" s="187"/>
      <c r="AQ276" s="187"/>
      <c r="AR276" s="187"/>
      <c r="AS276" s="187"/>
      <c r="AT276" s="187"/>
      <c r="AU276" s="187"/>
      <c r="AV276" s="187"/>
      <c r="AW276" s="187"/>
      <c r="AX276" s="187"/>
      <c r="AY276" s="187"/>
      <c r="AZ276" s="187"/>
      <c r="BA276" s="187"/>
      <c r="BB276" s="187"/>
      <c r="BC276" s="187"/>
      <c r="BD276" s="187"/>
      <c r="BE276" s="187"/>
      <c r="BF276" s="187"/>
      <c r="BG276" s="187"/>
      <c r="BH276" s="187"/>
      <c r="BI276" s="229"/>
      <c r="BJ276" s="229"/>
      <c r="BK276" s="229"/>
      <c r="BL276" s="229"/>
      <c r="BM276" s="187"/>
      <c r="BN276" s="389"/>
      <c r="BO276" s="439"/>
      <c r="BP276" s="389"/>
      <c r="BQ276" s="439"/>
    </row>
    <row r="277" spans="1:69" x14ac:dyDescent="0.25">
      <c r="A277" s="490"/>
      <c r="B277" s="490"/>
      <c r="C277" s="187"/>
      <c r="D277" s="46"/>
      <c r="E277" s="46"/>
      <c r="F277" s="46"/>
      <c r="G277" s="46"/>
      <c r="H277" s="46"/>
      <c r="I277" s="46"/>
      <c r="J277" s="46"/>
      <c r="K277" s="46"/>
      <c r="L277" s="46"/>
      <c r="M277" s="187"/>
      <c r="N277" s="187"/>
      <c r="O277" s="46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  <c r="AA277" s="187"/>
      <c r="AB277" s="187"/>
      <c r="AC277" s="187"/>
      <c r="AD277" s="187"/>
      <c r="AE277" s="187"/>
      <c r="AF277" s="187"/>
      <c r="AG277" s="187"/>
      <c r="AH277" s="187"/>
      <c r="AI277" s="187"/>
      <c r="AJ277" s="187"/>
      <c r="AK277" s="187"/>
      <c r="AL277" s="187"/>
      <c r="AM277" s="187"/>
      <c r="AN277" s="187"/>
      <c r="AO277" s="187"/>
      <c r="AP277" s="187"/>
      <c r="AQ277" s="187"/>
      <c r="AR277" s="187"/>
      <c r="AS277" s="187"/>
      <c r="AT277" s="187"/>
      <c r="AU277" s="187"/>
      <c r="AV277" s="187"/>
      <c r="AW277" s="187"/>
      <c r="AX277" s="187"/>
      <c r="AY277" s="187"/>
      <c r="AZ277" s="187"/>
      <c r="BA277" s="187"/>
      <c r="BB277" s="187"/>
      <c r="BC277" s="187"/>
      <c r="BD277" s="187"/>
      <c r="BE277" s="187"/>
      <c r="BF277" s="187"/>
      <c r="BG277" s="187"/>
      <c r="BH277" s="187"/>
      <c r="BI277" s="229"/>
      <c r="BJ277" s="229"/>
      <c r="BK277" s="229"/>
      <c r="BL277" s="229"/>
      <c r="BM277" s="187"/>
      <c r="BN277" s="389"/>
      <c r="BO277" s="439"/>
      <c r="BP277" s="389"/>
      <c r="BQ277" s="439"/>
    </row>
    <row r="278" spans="1:69" x14ac:dyDescent="0.25">
      <c r="A278" s="490"/>
      <c r="B278" s="490"/>
      <c r="C278" s="187"/>
      <c r="D278" s="46"/>
      <c r="E278" s="46"/>
      <c r="F278" s="46"/>
      <c r="G278" s="46"/>
      <c r="H278" s="46"/>
      <c r="I278" s="46"/>
      <c r="J278" s="46"/>
      <c r="K278" s="46"/>
      <c r="L278" s="46"/>
      <c r="M278" s="187"/>
      <c r="N278" s="187"/>
      <c r="O278" s="46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  <c r="AA278" s="187"/>
      <c r="AB278" s="187"/>
      <c r="AC278" s="187"/>
      <c r="AD278" s="187"/>
      <c r="AE278" s="187"/>
      <c r="AF278" s="187"/>
      <c r="AG278" s="187"/>
      <c r="AH278" s="187"/>
      <c r="AI278" s="187"/>
      <c r="AJ278" s="187"/>
      <c r="AK278" s="187"/>
      <c r="AL278" s="187"/>
      <c r="AM278" s="187"/>
      <c r="AN278" s="187"/>
      <c r="AO278" s="187"/>
      <c r="AP278" s="187"/>
      <c r="AQ278" s="187"/>
      <c r="AR278" s="187"/>
      <c r="AS278" s="187"/>
      <c r="AT278" s="187"/>
      <c r="AU278" s="187"/>
      <c r="AV278" s="187"/>
      <c r="AW278" s="187"/>
      <c r="AX278" s="187"/>
      <c r="AY278" s="187"/>
      <c r="AZ278" s="187"/>
      <c r="BA278" s="187"/>
      <c r="BB278" s="187"/>
      <c r="BC278" s="187"/>
      <c r="BD278" s="187"/>
      <c r="BE278" s="187"/>
      <c r="BF278" s="187"/>
      <c r="BG278" s="187"/>
      <c r="BH278" s="187"/>
      <c r="BI278" s="229"/>
      <c r="BJ278" s="229"/>
      <c r="BK278" s="229"/>
      <c r="BL278" s="229"/>
      <c r="BM278" s="187"/>
      <c r="BN278" s="389"/>
      <c r="BO278" s="439"/>
      <c r="BP278" s="389"/>
      <c r="BQ278" s="439"/>
    </row>
    <row r="279" spans="1:69" x14ac:dyDescent="0.25">
      <c r="A279" s="490"/>
      <c r="B279" s="490"/>
      <c r="C279" s="187"/>
      <c r="D279" s="46"/>
      <c r="E279" s="46"/>
      <c r="F279" s="46"/>
      <c r="G279" s="46"/>
      <c r="H279" s="46"/>
      <c r="I279" s="46"/>
      <c r="J279" s="46"/>
      <c r="K279" s="46"/>
      <c r="L279" s="46"/>
      <c r="M279" s="187"/>
      <c r="N279" s="187"/>
      <c r="O279" s="46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  <c r="AA279" s="187"/>
      <c r="AB279" s="187"/>
      <c r="AC279" s="187"/>
      <c r="AD279" s="187"/>
      <c r="AE279" s="187"/>
      <c r="AF279" s="187"/>
      <c r="AG279" s="187"/>
      <c r="AH279" s="187"/>
      <c r="AI279" s="187"/>
      <c r="AJ279" s="187"/>
      <c r="AK279" s="187"/>
      <c r="AL279" s="187"/>
      <c r="AM279" s="187"/>
      <c r="AN279" s="187"/>
      <c r="AO279" s="187"/>
      <c r="AP279" s="187"/>
      <c r="AQ279" s="187"/>
      <c r="AR279" s="187"/>
      <c r="AS279" s="187"/>
      <c r="AT279" s="187"/>
      <c r="AU279" s="187"/>
      <c r="AV279" s="187"/>
      <c r="AW279" s="187"/>
      <c r="AX279" s="187"/>
      <c r="AY279" s="187"/>
      <c r="AZ279" s="187"/>
      <c r="BA279" s="187"/>
      <c r="BB279" s="187"/>
      <c r="BC279" s="187"/>
      <c r="BD279" s="187"/>
      <c r="BE279" s="187"/>
      <c r="BF279" s="187"/>
      <c r="BG279" s="187"/>
      <c r="BH279" s="187"/>
      <c r="BI279" s="229"/>
      <c r="BJ279" s="229"/>
      <c r="BK279" s="229"/>
      <c r="BL279" s="229"/>
      <c r="BM279" s="187"/>
      <c r="BN279" s="389"/>
      <c r="BO279" s="439"/>
      <c r="BP279" s="389"/>
      <c r="BQ279" s="439"/>
    </row>
    <row r="280" spans="1:69" x14ac:dyDescent="0.25">
      <c r="A280" s="490"/>
      <c r="B280" s="490"/>
      <c r="C280" s="187"/>
      <c r="D280" s="46"/>
      <c r="E280" s="46"/>
      <c r="F280" s="46"/>
      <c r="G280" s="46"/>
      <c r="H280" s="46"/>
      <c r="I280" s="46"/>
      <c r="J280" s="46"/>
      <c r="K280" s="46"/>
      <c r="L280" s="46"/>
      <c r="M280" s="187"/>
      <c r="N280" s="187"/>
      <c r="O280" s="46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  <c r="AA280" s="187"/>
      <c r="AB280" s="187"/>
      <c r="AC280" s="187"/>
      <c r="AD280" s="187"/>
      <c r="AE280" s="187"/>
      <c r="AF280" s="187"/>
      <c r="AG280" s="187"/>
      <c r="AH280" s="187"/>
      <c r="AI280" s="187"/>
      <c r="AJ280" s="187"/>
      <c r="AK280" s="187"/>
      <c r="AL280" s="187"/>
      <c r="AM280" s="187"/>
      <c r="AN280" s="187"/>
      <c r="AO280" s="187"/>
      <c r="AP280" s="187"/>
      <c r="AQ280" s="187"/>
      <c r="AR280" s="187"/>
      <c r="AS280" s="187"/>
      <c r="AT280" s="187"/>
      <c r="AU280" s="187"/>
      <c r="AV280" s="187"/>
      <c r="AW280" s="187"/>
      <c r="AX280" s="187"/>
      <c r="AY280" s="187"/>
      <c r="AZ280" s="187"/>
      <c r="BA280" s="187"/>
      <c r="BB280" s="187"/>
      <c r="BC280" s="187"/>
      <c r="BD280" s="187"/>
      <c r="BE280" s="187"/>
      <c r="BF280" s="187"/>
      <c r="BG280" s="187"/>
      <c r="BH280" s="187"/>
      <c r="BI280" s="229"/>
      <c r="BJ280" s="229"/>
      <c r="BK280" s="229"/>
      <c r="BL280" s="229"/>
      <c r="BM280" s="187"/>
      <c r="BN280" s="389"/>
      <c r="BO280" s="439"/>
      <c r="BP280" s="389"/>
      <c r="BQ280" s="439"/>
    </row>
    <row r="281" spans="1:69" x14ac:dyDescent="0.25">
      <c r="A281" s="490"/>
      <c r="B281" s="490"/>
      <c r="C281" s="187"/>
      <c r="D281" s="46"/>
      <c r="E281" s="46"/>
      <c r="F281" s="46"/>
      <c r="G281" s="46"/>
      <c r="H281" s="46"/>
      <c r="I281" s="46"/>
      <c r="J281" s="46"/>
      <c r="K281" s="46"/>
      <c r="L281" s="46"/>
      <c r="M281" s="187"/>
      <c r="N281" s="187"/>
      <c r="O281" s="46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  <c r="AA281" s="187"/>
      <c r="AB281" s="187"/>
      <c r="AC281" s="187"/>
      <c r="AD281" s="187"/>
      <c r="AE281" s="187"/>
      <c r="AF281" s="187"/>
      <c r="AG281" s="187"/>
      <c r="AH281" s="187"/>
      <c r="AI281" s="187"/>
      <c r="AJ281" s="187"/>
      <c r="AK281" s="187"/>
      <c r="AL281" s="187"/>
      <c r="AM281" s="187"/>
      <c r="AN281" s="187"/>
      <c r="AO281" s="187"/>
      <c r="AP281" s="187"/>
      <c r="AQ281" s="187"/>
      <c r="AR281" s="187"/>
      <c r="AS281" s="187"/>
      <c r="AT281" s="187"/>
      <c r="AU281" s="187"/>
      <c r="AV281" s="187"/>
      <c r="AW281" s="187"/>
      <c r="AX281" s="187"/>
      <c r="AY281" s="187"/>
      <c r="AZ281" s="187"/>
      <c r="BA281" s="187"/>
      <c r="BB281" s="187"/>
      <c r="BC281" s="187"/>
      <c r="BD281" s="187"/>
      <c r="BE281" s="187"/>
      <c r="BF281" s="187"/>
      <c r="BG281" s="187"/>
      <c r="BH281" s="187"/>
      <c r="BI281" s="229"/>
      <c r="BJ281" s="229"/>
      <c r="BK281" s="229"/>
      <c r="BL281" s="229"/>
      <c r="BM281" s="187"/>
      <c r="BN281" s="389"/>
      <c r="BO281" s="439"/>
      <c r="BP281" s="389"/>
      <c r="BQ281" s="439"/>
    </row>
    <row r="282" spans="1:69" x14ac:dyDescent="0.25">
      <c r="A282" s="490"/>
      <c r="B282" s="490"/>
      <c r="C282" s="187"/>
      <c r="D282" s="46"/>
      <c r="E282" s="46"/>
      <c r="F282" s="46"/>
      <c r="G282" s="46"/>
      <c r="H282" s="46"/>
      <c r="I282" s="46"/>
      <c r="J282" s="46"/>
      <c r="K282" s="46"/>
      <c r="L282" s="46"/>
      <c r="M282" s="187"/>
      <c r="N282" s="187"/>
      <c r="O282" s="46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  <c r="AA282" s="187"/>
      <c r="AB282" s="187"/>
      <c r="AC282" s="187"/>
      <c r="AD282" s="187"/>
      <c r="AE282" s="187"/>
      <c r="AF282" s="187"/>
      <c r="AG282" s="187"/>
      <c r="AH282" s="187"/>
      <c r="AI282" s="187"/>
      <c r="AJ282" s="187"/>
      <c r="AK282" s="187"/>
      <c r="AL282" s="187"/>
      <c r="AM282" s="187"/>
      <c r="AN282" s="187"/>
      <c r="AO282" s="187"/>
      <c r="AP282" s="187"/>
      <c r="AQ282" s="187"/>
      <c r="AR282" s="187"/>
      <c r="AS282" s="187"/>
      <c r="AT282" s="187"/>
      <c r="AU282" s="187"/>
      <c r="AV282" s="187"/>
      <c r="AW282" s="187"/>
      <c r="AX282" s="187"/>
      <c r="AY282" s="187"/>
      <c r="AZ282" s="187"/>
      <c r="BA282" s="187"/>
      <c r="BB282" s="187"/>
      <c r="BC282" s="187"/>
      <c r="BD282" s="187"/>
      <c r="BE282" s="187"/>
      <c r="BF282" s="187"/>
      <c r="BG282" s="187"/>
      <c r="BH282" s="187"/>
      <c r="BI282" s="229"/>
      <c r="BJ282" s="229"/>
      <c r="BK282" s="229"/>
      <c r="BL282" s="229"/>
      <c r="BM282" s="187"/>
      <c r="BN282" s="389"/>
      <c r="BO282" s="439"/>
      <c r="BP282" s="389"/>
      <c r="BQ282" s="439"/>
    </row>
    <row r="283" spans="1:69" x14ac:dyDescent="0.25">
      <c r="A283" s="490"/>
      <c r="B283" s="490"/>
      <c r="C283" s="187"/>
      <c r="D283" s="46"/>
      <c r="E283" s="46"/>
      <c r="F283" s="46"/>
      <c r="G283" s="46"/>
      <c r="H283" s="46"/>
      <c r="I283" s="46"/>
      <c r="J283" s="46"/>
      <c r="K283" s="46"/>
      <c r="L283" s="46"/>
      <c r="M283" s="187"/>
      <c r="N283" s="187"/>
      <c r="O283" s="46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  <c r="AA283" s="187"/>
      <c r="AB283" s="187"/>
      <c r="AC283" s="187"/>
      <c r="AD283" s="187"/>
      <c r="AE283" s="187"/>
      <c r="AF283" s="187"/>
      <c r="AG283" s="187"/>
      <c r="AH283" s="187"/>
      <c r="AI283" s="187"/>
      <c r="AJ283" s="187"/>
      <c r="AK283" s="187"/>
      <c r="AL283" s="187"/>
      <c r="AM283" s="187"/>
      <c r="AN283" s="187"/>
      <c r="AO283" s="187"/>
      <c r="AP283" s="187"/>
      <c r="AQ283" s="187"/>
      <c r="AR283" s="187"/>
      <c r="AS283" s="187"/>
      <c r="AT283" s="187"/>
      <c r="AU283" s="187"/>
      <c r="AV283" s="187"/>
      <c r="AW283" s="187"/>
      <c r="AX283" s="187"/>
      <c r="AY283" s="187"/>
      <c r="AZ283" s="187"/>
      <c r="BA283" s="187"/>
      <c r="BB283" s="187"/>
      <c r="BC283" s="187"/>
      <c r="BD283" s="187"/>
      <c r="BE283" s="187"/>
      <c r="BF283" s="187"/>
      <c r="BG283" s="187"/>
      <c r="BH283" s="187"/>
      <c r="BI283" s="229"/>
      <c r="BJ283" s="229"/>
      <c r="BK283" s="229"/>
      <c r="BL283" s="229"/>
      <c r="BM283" s="187"/>
      <c r="BN283" s="389"/>
      <c r="BO283" s="439"/>
      <c r="BP283" s="389"/>
      <c r="BQ283" s="439"/>
    </row>
    <row r="284" spans="1:69" x14ac:dyDescent="0.25">
      <c r="A284" s="490"/>
      <c r="B284" s="490"/>
      <c r="C284" s="187"/>
      <c r="D284" s="46"/>
      <c r="E284" s="46"/>
      <c r="F284" s="46"/>
      <c r="G284" s="46"/>
      <c r="H284" s="46"/>
      <c r="I284" s="46"/>
      <c r="J284" s="46"/>
      <c r="K284" s="46"/>
      <c r="L284" s="46"/>
      <c r="M284" s="187"/>
      <c r="N284" s="187"/>
      <c r="O284" s="46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  <c r="AA284" s="187"/>
      <c r="AB284" s="187"/>
      <c r="AC284" s="187"/>
      <c r="AD284" s="187"/>
      <c r="AE284" s="187"/>
      <c r="AF284" s="187"/>
      <c r="AG284" s="187"/>
      <c r="AH284" s="187"/>
      <c r="AI284" s="187"/>
      <c r="AJ284" s="187"/>
      <c r="AK284" s="187"/>
      <c r="AL284" s="187"/>
      <c r="AM284" s="187"/>
      <c r="AN284" s="187"/>
      <c r="AO284" s="187"/>
      <c r="AP284" s="187"/>
      <c r="AQ284" s="187"/>
      <c r="AR284" s="187"/>
      <c r="AS284" s="187"/>
      <c r="AT284" s="187"/>
      <c r="AU284" s="187"/>
      <c r="AV284" s="187"/>
      <c r="AW284" s="187"/>
      <c r="AX284" s="187"/>
      <c r="AY284" s="187"/>
      <c r="AZ284" s="187"/>
      <c r="BA284" s="187"/>
      <c r="BB284" s="187"/>
      <c r="BC284" s="187"/>
      <c r="BD284" s="187"/>
      <c r="BE284" s="187"/>
      <c r="BF284" s="187"/>
      <c r="BG284" s="187"/>
      <c r="BH284" s="187"/>
      <c r="BI284" s="229"/>
      <c r="BJ284" s="229"/>
      <c r="BK284" s="229"/>
      <c r="BL284" s="229"/>
      <c r="BM284" s="187"/>
      <c r="BN284" s="389"/>
      <c r="BO284" s="439"/>
      <c r="BP284" s="389"/>
      <c r="BQ284" s="439"/>
    </row>
    <row r="285" spans="1:69" x14ac:dyDescent="0.25">
      <c r="A285" s="490"/>
      <c r="B285" s="490"/>
      <c r="C285" s="187"/>
      <c r="D285" s="46"/>
      <c r="E285" s="46"/>
      <c r="F285" s="46"/>
      <c r="G285" s="46"/>
      <c r="H285" s="46"/>
      <c r="I285" s="46"/>
      <c r="J285" s="46"/>
      <c r="K285" s="46"/>
      <c r="L285" s="46"/>
      <c r="M285" s="187"/>
      <c r="N285" s="187"/>
      <c r="O285" s="46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  <c r="AA285" s="187"/>
      <c r="AB285" s="187"/>
      <c r="AC285" s="187"/>
      <c r="AD285" s="187"/>
      <c r="AE285" s="187"/>
      <c r="AF285" s="187"/>
      <c r="AG285" s="187"/>
      <c r="AH285" s="187"/>
      <c r="AI285" s="187"/>
      <c r="AJ285" s="187"/>
      <c r="AK285" s="187"/>
      <c r="AL285" s="187"/>
      <c r="AM285" s="187"/>
      <c r="AN285" s="187"/>
      <c r="AO285" s="187"/>
      <c r="AP285" s="187"/>
      <c r="AQ285" s="187"/>
      <c r="AR285" s="187"/>
      <c r="AS285" s="187"/>
      <c r="AT285" s="187"/>
      <c r="AU285" s="187"/>
      <c r="AV285" s="187"/>
      <c r="AW285" s="187"/>
      <c r="AX285" s="187"/>
      <c r="AY285" s="187"/>
      <c r="AZ285" s="187"/>
      <c r="BA285" s="187"/>
      <c r="BB285" s="187"/>
      <c r="BC285" s="187"/>
      <c r="BD285" s="187"/>
      <c r="BE285" s="187"/>
      <c r="BF285" s="187"/>
      <c r="BG285" s="187"/>
      <c r="BH285" s="187"/>
      <c r="BI285" s="229"/>
      <c r="BJ285" s="229"/>
      <c r="BK285" s="229"/>
      <c r="BL285" s="229"/>
      <c r="BM285" s="187"/>
      <c r="BN285" s="389"/>
      <c r="BO285" s="439"/>
      <c r="BP285" s="389"/>
      <c r="BQ285" s="439"/>
    </row>
    <row r="286" spans="1:69" x14ac:dyDescent="0.25">
      <c r="A286" s="490"/>
      <c r="B286" s="490"/>
      <c r="C286" s="187"/>
      <c r="D286" s="46"/>
      <c r="E286" s="46"/>
      <c r="F286" s="46"/>
      <c r="G286" s="46"/>
      <c r="H286" s="46"/>
      <c r="I286" s="46"/>
      <c r="J286" s="46"/>
      <c r="K286" s="46"/>
      <c r="L286" s="46"/>
      <c r="M286" s="187"/>
      <c r="N286" s="187"/>
      <c r="O286" s="46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  <c r="AA286" s="187"/>
      <c r="AB286" s="187"/>
      <c r="AC286" s="187"/>
      <c r="AD286" s="187"/>
      <c r="AE286" s="187"/>
      <c r="AF286" s="187"/>
      <c r="AG286" s="187"/>
      <c r="AH286" s="187"/>
      <c r="AI286" s="187"/>
      <c r="AJ286" s="187"/>
      <c r="AK286" s="187"/>
      <c r="AL286" s="187"/>
      <c r="AM286" s="187"/>
      <c r="AN286" s="187"/>
      <c r="AO286" s="187"/>
      <c r="AP286" s="187"/>
      <c r="AQ286" s="187"/>
      <c r="AR286" s="187"/>
      <c r="AS286" s="187"/>
      <c r="AT286" s="187"/>
      <c r="AU286" s="187"/>
      <c r="AV286" s="187"/>
      <c r="AW286" s="187"/>
      <c r="AX286" s="187"/>
      <c r="AY286" s="187"/>
      <c r="AZ286" s="187"/>
      <c r="BA286" s="187"/>
      <c r="BB286" s="187"/>
      <c r="BC286" s="187"/>
      <c r="BD286" s="187"/>
      <c r="BE286" s="187"/>
      <c r="BF286" s="187"/>
      <c r="BG286" s="187"/>
      <c r="BH286" s="187"/>
      <c r="BI286" s="229"/>
      <c r="BJ286" s="229"/>
      <c r="BK286" s="229"/>
      <c r="BL286" s="229"/>
      <c r="BM286" s="187"/>
      <c r="BN286" s="389"/>
      <c r="BO286" s="439"/>
      <c r="BP286" s="389"/>
      <c r="BQ286" s="439"/>
    </row>
    <row r="287" spans="1:69" x14ac:dyDescent="0.25">
      <c r="A287" s="490"/>
      <c r="B287" s="490"/>
      <c r="C287" s="187"/>
      <c r="D287" s="46"/>
      <c r="E287" s="46"/>
      <c r="F287" s="46"/>
      <c r="G287" s="46"/>
      <c r="H287" s="46"/>
      <c r="I287" s="46"/>
      <c r="J287" s="46"/>
      <c r="K287" s="46"/>
      <c r="L287" s="46"/>
      <c r="M287" s="187"/>
      <c r="N287" s="187"/>
      <c r="O287" s="46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  <c r="AA287" s="187"/>
      <c r="AB287" s="187"/>
      <c r="AC287" s="187"/>
      <c r="AD287" s="187"/>
      <c r="AE287" s="187"/>
      <c r="AF287" s="187"/>
      <c r="AG287" s="187"/>
      <c r="AH287" s="187"/>
      <c r="AI287" s="187"/>
      <c r="AJ287" s="187"/>
      <c r="AK287" s="187"/>
      <c r="AL287" s="187"/>
      <c r="AM287" s="187"/>
      <c r="AN287" s="187"/>
      <c r="AO287" s="187"/>
      <c r="AP287" s="187"/>
      <c r="AQ287" s="187"/>
      <c r="AR287" s="187"/>
      <c r="AS287" s="187"/>
      <c r="AT287" s="187"/>
      <c r="AU287" s="187"/>
      <c r="AV287" s="187"/>
      <c r="AW287" s="187"/>
      <c r="AX287" s="187"/>
      <c r="AY287" s="187"/>
      <c r="AZ287" s="187"/>
      <c r="BA287" s="187"/>
      <c r="BB287" s="187"/>
      <c r="BC287" s="187"/>
      <c r="BD287" s="187"/>
      <c r="BE287" s="187"/>
      <c r="BF287" s="187"/>
      <c r="BG287" s="187"/>
      <c r="BH287" s="187"/>
      <c r="BI287" s="229"/>
      <c r="BJ287" s="229"/>
      <c r="BK287" s="229"/>
      <c r="BL287" s="229"/>
      <c r="BM287" s="187"/>
      <c r="BN287" s="389"/>
      <c r="BO287" s="439"/>
      <c r="BP287" s="389"/>
      <c r="BQ287" s="439"/>
    </row>
    <row r="288" spans="1:69" x14ac:dyDescent="0.25">
      <c r="A288" s="490"/>
      <c r="B288" s="490"/>
      <c r="C288" s="187"/>
      <c r="D288" s="46"/>
      <c r="E288" s="46"/>
      <c r="F288" s="46"/>
      <c r="G288" s="46"/>
      <c r="H288" s="46"/>
      <c r="I288" s="46"/>
      <c r="J288" s="46"/>
      <c r="K288" s="46"/>
      <c r="L288" s="46"/>
      <c r="M288" s="187"/>
      <c r="N288" s="187"/>
      <c r="O288" s="46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  <c r="AA288" s="187"/>
      <c r="AB288" s="187"/>
      <c r="AC288" s="187"/>
      <c r="AD288" s="187"/>
      <c r="AE288" s="187"/>
      <c r="AF288" s="187"/>
      <c r="AG288" s="187"/>
      <c r="AH288" s="187"/>
      <c r="AI288" s="187"/>
      <c r="AJ288" s="187"/>
      <c r="AK288" s="187"/>
      <c r="AL288" s="187"/>
      <c r="AM288" s="187"/>
      <c r="AN288" s="187"/>
      <c r="AO288" s="187"/>
      <c r="AP288" s="187"/>
      <c r="AQ288" s="187"/>
      <c r="AR288" s="187"/>
      <c r="AS288" s="187"/>
      <c r="AT288" s="187"/>
      <c r="AU288" s="187"/>
      <c r="AV288" s="187"/>
      <c r="AW288" s="187"/>
      <c r="AX288" s="187"/>
      <c r="AY288" s="187"/>
      <c r="AZ288" s="187"/>
      <c r="BA288" s="187"/>
      <c r="BB288" s="187"/>
      <c r="BC288" s="187"/>
      <c r="BD288" s="187"/>
      <c r="BE288" s="187"/>
      <c r="BF288" s="187"/>
      <c r="BG288" s="187"/>
      <c r="BH288" s="187"/>
      <c r="BI288" s="229"/>
      <c r="BJ288" s="229"/>
      <c r="BK288" s="229"/>
      <c r="BL288" s="229"/>
      <c r="BM288" s="187"/>
      <c r="BN288" s="389"/>
      <c r="BO288" s="439"/>
      <c r="BP288" s="389"/>
      <c r="BQ288" s="439"/>
    </row>
    <row r="289" spans="1:69" x14ac:dyDescent="0.25">
      <c r="A289" s="490"/>
      <c r="B289" s="490"/>
      <c r="C289" s="187"/>
      <c r="D289" s="46"/>
      <c r="E289" s="46"/>
      <c r="F289" s="46"/>
      <c r="G289" s="46"/>
      <c r="H289" s="46"/>
      <c r="I289" s="46"/>
      <c r="J289" s="46"/>
      <c r="K289" s="46"/>
      <c r="L289" s="46"/>
      <c r="M289" s="187"/>
      <c r="N289" s="187"/>
      <c r="O289" s="46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  <c r="AA289" s="187"/>
      <c r="AB289" s="187"/>
      <c r="AC289" s="187"/>
      <c r="AD289" s="187"/>
      <c r="AE289" s="187"/>
      <c r="AF289" s="187"/>
      <c r="AG289" s="187"/>
      <c r="AH289" s="187"/>
      <c r="AI289" s="187"/>
      <c r="AJ289" s="187"/>
      <c r="AK289" s="187"/>
      <c r="AL289" s="187"/>
      <c r="AM289" s="187"/>
      <c r="AN289" s="187"/>
      <c r="AO289" s="187"/>
      <c r="AP289" s="187"/>
      <c r="AQ289" s="187"/>
      <c r="AR289" s="187"/>
      <c r="AS289" s="187"/>
      <c r="AT289" s="187"/>
      <c r="AU289" s="187"/>
      <c r="AV289" s="187"/>
      <c r="AW289" s="187"/>
      <c r="AX289" s="187"/>
      <c r="AY289" s="187"/>
      <c r="AZ289" s="187"/>
      <c r="BA289" s="187"/>
      <c r="BB289" s="187"/>
      <c r="BC289" s="187"/>
      <c r="BD289" s="187"/>
      <c r="BE289" s="187"/>
      <c r="BF289" s="187"/>
      <c r="BG289" s="187"/>
      <c r="BH289" s="187"/>
      <c r="BI289" s="229"/>
      <c r="BJ289" s="229"/>
      <c r="BK289" s="229"/>
      <c r="BL289" s="229"/>
      <c r="BM289" s="187"/>
      <c r="BN289" s="389"/>
      <c r="BO289" s="439"/>
      <c r="BP289" s="389"/>
      <c r="BQ289" s="439"/>
    </row>
    <row r="290" spans="1:69" x14ac:dyDescent="0.25">
      <c r="A290" s="490"/>
      <c r="B290" s="490"/>
      <c r="C290" s="187"/>
      <c r="D290" s="46"/>
      <c r="E290" s="46"/>
      <c r="F290" s="46"/>
      <c r="G290" s="46"/>
      <c r="H290" s="46"/>
      <c r="I290" s="46"/>
      <c r="J290" s="46"/>
      <c r="K290" s="46"/>
      <c r="L290" s="46"/>
      <c r="M290" s="187"/>
      <c r="N290" s="187"/>
      <c r="O290" s="46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  <c r="AA290" s="187"/>
      <c r="AB290" s="187"/>
      <c r="AC290" s="187"/>
      <c r="AD290" s="187"/>
      <c r="AE290" s="187"/>
      <c r="AF290" s="187"/>
      <c r="AG290" s="187"/>
      <c r="AH290" s="187"/>
      <c r="AI290" s="187"/>
      <c r="AJ290" s="187"/>
      <c r="AK290" s="187"/>
      <c r="AL290" s="187"/>
      <c r="AM290" s="187"/>
      <c r="AN290" s="187"/>
      <c r="AO290" s="187"/>
      <c r="AP290" s="187"/>
      <c r="AQ290" s="187"/>
      <c r="AR290" s="187"/>
      <c r="AS290" s="187"/>
      <c r="AT290" s="187"/>
      <c r="AU290" s="187"/>
      <c r="AV290" s="187"/>
      <c r="AW290" s="187"/>
      <c r="AX290" s="187"/>
      <c r="AY290" s="187"/>
      <c r="AZ290" s="187"/>
      <c r="BA290" s="187"/>
      <c r="BB290" s="187"/>
      <c r="BC290" s="187"/>
      <c r="BD290" s="187"/>
      <c r="BE290" s="187"/>
      <c r="BF290" s="187"/>
      <c r="BG290" s="187"/>
      <c r="BH290" s="187"/>
      <c r="BI290" s="229"/>
      <c r="BJ290" s="229"/>
      <c r="BK290" s="229"/>
      <c r="BL290" s="229"/>
      <c r="BM290" s="187"/>
      <c r="BN290" s="389"/>
      <c r="BO290" s="439"/>
      <c r="BP290" s="389"/>
      <c r="BQ290" s="439"/>
    </row>
    <row r="291" spans="1:69" x14ac:dyDescent="0.25">
      <c r="A291" s="490"/>
      <c r="B291" s="490"/>
      <c r="C291" s="187"/>
      <c r="D291" s="46"/>
      <c r="E291" s="46"/>
      <c r="F291" s="46"/>
      <c r="G291" s="46"/>
      <c r="H291" s="46"/>
      <c r="I291" s="46"/>
      <c r="J291" s="46"/>
      <c r="K291" s="46"/>
      <c r="L291" s="46"/>
      <c r="M291" s="187"/>
      <c r="N291" s="187"/>
      <c r="O291" s="46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  <c r="AA291" s="187"/>
      <c r="AB291" s="187"/>
      <c r="AC291" s="187"/>
      <c r="AD291" s="187"/>
      <c r="AE291" s="187"/>
      <c r="AF291" s="187"/>
      <c r="AG291" s="187"/>
      <c r="AH291" s="187"/>
      <c r="AI291" s="187"/>
      <c r="AJ291" s="187"/>
      <c r="AK291" s="187"/>
      <c r="AL291" s="187"/>
      <c r="AM291" s="187"/>
      <c r="AN291" s="187"/>
      <c r="AO291" s="187"/>
      <c r="AP291" s="187"/>
      <c r="AQ291" s="187"/>
      <c r="AR291" s="187"/>
      <c r="AS291" s="187"/>
      <c r="AT291" s="187"/>
      <c r="AU291" s="187"/>
      <c r="AV291" s="187"/>
      <c r="AW291" s="187"/>
      <c r="AX291" s="187"/>
      <c r="AY291" s="187"/>
      <c r="AZ291" s="187"/>
      <c r="BA291" s="187"/>
      <c r="BB291" s="187"/>
      <c r="BC291" s="187"/>
      <c r="BD291" s="187"/>
      <c r="BE291" s="187"/>
      <c r="BF291" s="187"/>
      <c r="BG291" s="187"/>
      <c r="BH291" s="187"/>
      <c r="BI291" s="229"/>
      <c r="BJ291" s="229"/>
      <c r="BK291" s="229"/>
      <c r="BL291" s="229"/>
      <c r="BM291" s="187"/>
      <c r="BN291" s="389"/>
      <c r="BO291" s="439"/>
      <c r="BP291" s="389"/>
      <c r="BQ291" s="439"/>
    </row>
    <row r="292" spans="1:69" x14ac:dyDescent="0.25">
      <c r="A292" s="490"/>
      <c r="B292" s="490"/>
      <c r="C292" s="187"/>
      <c r="D292" s="46"/>
      <c r="E292" s="46"/>
      <c r="F292" s="46"/>
      <c r="G292" s="46"/>
      <c r="H292" s="46"/>
      <c r="I292" s="46"/>
      <c r="J292" s="46"/>
      <c r="K292" s="46"/>
      <c r="L292" s="46"/>
      <c r="M292" s="187"/>
      <c r="N292" s="187"/>
      <c r="O292" s="46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  <c r="AA292" s="187"/>
      <c r="AB292" s="187"/>
      <c r="AC292" s="187"/>
      <c r="AD292" s="187"/>
      <c r="AE292" s="187"/>
      <c r="AF292" s="187"/>
      <c r="AG292" s="187"/>
      <c r="AH292" s="187"/>
      <c r="AI292" s="187"/>
      <c r="AJ292" s="187"/>
      <c r="AK292" s="187"/>
      <c r="AL292" s="187"/>
      <c r="AM292" s="187"/>
      <c r="AN292" s="187"/>
      <c r="AO292" s="187"/>
      <c r="AP292" s="187"/>
      <c r="AQ292" s="187"/>
      <c r="AR292" s="187"/>
      <c r="AS292" s="187"/>
      <c r="AT292" s="187"/>
      <c r="AU292" s="187"/>
      <c r="AV292" s="187"/>
      <c r="AW292" s="187"/>
      <c r="AX292" s="187"/>
      <c r="AY292" s="187"/>
      <c r="AZ292" s="187"/>
      <c r="BA292" s="187"/>
      <c r="BB292" s="187"/>
      <c r="BC292" s="187"/>
      <c r="BD292" s="187"/>
      <c r="BE292" s="187"/>
      <c r="BF292" s="187"/>
      <c r="BG292" s="187"/>
      <c r="BH292" s="187"/>
      <c r="BI292" s="229"/>
      <c r="BJ292" s="229"/>
      <c r="BK292" s="229"/>
      <c r="BL292" s="229"/>
      <c r="BM292" s="187"/>
      <c r="BN292" s="389"/>
      <c r="BO292" s="439"/>
      <c r="BP292" s="389"/>
      <c r="BQ292" s="439"/>
    </row>
    <row r="293" spans="1:69" x14ac:dyDescent="0.25">
      <c r="A293" s="490"/>
      <c r="B293" s="490"/>
      <c r="C293" s="187"/>
      <c r="D293" s="46"/>
      <c r="E293" s="46"/>
      <c r="F293" s="46"/>
      <c r="G293" s="46"/>
      <c r="H293" s="46"/>
      <c r="I293" s="46"/>
      <c r="J293" s="46"/>
      <c r="K293" s="46"/>
      <c r="L293" s="46"/>
      <c r="M293" s="187"/>
      <c r="N293" s="187"/>
      <c r="O293" s="46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  <c r="AA293" s="187"/>
      <c r="AB293" s="187"/>
      <c r="AC293" s="187"/>
      <c r="AD293" s="187"/>
      <c r="AE293" s="187"/>
      <c r="AF293" s="187"/>
      <c r="AG293" s="187"/>
      <c r="AH293" s="187"/>
      <c r="AI293" s="187"/>
      <c r="AJ293" s="187"/>
      <c r="AK293" s="187"/>
      <c r="AL293" s="187"/>
      <c r="AM293" s="187"/>
      <c r="AN293" s="187"/>
      <c r="AO293" s="187"/>
      <c r="AP293" s="187"/>
      <c r="AQ293" s="187"/>
      <c r="AR293" s="187"/>
      <c r="AS293" s="187"/>
      <c r="AT293" s="187"/>
      <c r="AU293" s="187"/>
      <c r="AV293" s="187"/>
      <c r="AW293" s="187"/>
      <c r="AX293" s="187"/>
      <c r="AY293" s="187"/>
      <c r="AZ293" s="187"/>
      <c r="BA293" s="187"/>
      <c r="BB293" s="187"/>
      <c r="BC293" s="187"/>
      <c r="BD293" s="187"/>
      <c r="BE293" s="187"/>
      <c r="BF293" s="187"/>
      <c r="BG293" s="187"/>
      <c r="BH293" s="187"/>
      <c r="BI293" s="229"/>
      <c r="BJ293" s="229"/>
      <c r="BK293" s="229"/>
      <c r="BL293" s="229"/>
      <c r="BM293" s="187"/>
      <c r="BN293" s="389"/>
      <c r="BO293" s="439"/>
      <c r="BP293" s="389"/>
      <c r="BQ293" s="439"/>
    </row>
    <row r="294" spans="1:69" x14ac:dyDescent="0.25">
      <c r="A294" s="490"/>
      <c r="B294" s="490"/>
      <c r="C294" s="187"/>
      <c r="D294" s="46"/>
      <c r="E294" s="46"/>
      <c r="F294" s="46"/>
      <c r="G294" s="46"/>
      <c r="H294" s="46"/>
      <c r="I294" s="46"/>
      <c r="J294" s="46"/>
      <c r="K294" s="46"/>
      <c r="L294" s="46"/>
      <c r="M294" s="187"/>
      <c r="N294" s="187"/>
      <c r="O294" s="46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  <c r="AA294" s="187"/>
      <c r="AB294" s="187"/>
      <c r="AC294" s="187"/>
      <c r="AD294" s="187"/>
      <c r="AE294" s="187"/>
      <c r="AF294" s="187"/>
      <c r="AG294" s="187"/>
      <c r="AH294" s="187"/>
      <c r="AI294" s="187"/>
      <c r="AJ294" s="187"/>
      <c r="AK294" s="187"/>
      <c r="AL294" s="187"/>
      <c r="AM294" s="187"/>
      <c r="AN294" s="187"/>
      <c r="AO294" s="187"/>
      <c r="AP294" s="187"/>
      <c r="AQ294" s="187"/>
      <c r="AR294" s="187"/>
      <c r="AS294" s="187"/>
      <c r="AT294" s="187"/>
      <c r="AU294" s="187"/>
      <c r="AV294" s="187"/>
      <c r="AW294" s="187"/>
      <c r="AX294" s="187"/>
      <c r="AY294" s="187"/>
      <c r="AZ294" s="187"/>
      <c r="BA294" s="187"/>
      <c r="BB294" s="187"/>
      <c r="BC294" s="187"/>
      <c r="BD294" s="187"/>
      <c r="BE294" s="187"/>
      <c r="BF294" s="187"/>
      <c r="BG294" s="187"/>
      <c r="BH294" s="187"/>
      <c r="BI294" s="229"/>
      <c r="BJ294" s="229"/>
      <c r="BK294" s="229"/>
      <c r="BL294" s="229"/>
      <c r="BM294" s="187"/>
      <c r="BN294" s="389"/>
      <c r="BO294" s="439"/>
      <c r="BP294" s="389"/>
      <c r="BQ294" s="439"/>
    </row>
    <row r="295" spans="1:69" x14ac:dyDescent="0.25">
      <c r="A295" s="490"/>
      <c r="B295" s="490"/>
      <c r="C295" s="187"/>
      <c r="D295" s="46"/>
      <c r="E295" s="46"/>
      <c r="F295" s="46"/>
      <c r="G295" s="46"/>
      <c r="H295" s="46"/>
      <c r="I295" s="46"/>
      <c r="J295" s="46"/>
      <c r="K295" s="46"/>
      <c r="L295" s="46"/>
      <c r="M295" s="187"/>
      <c r="N295" s="187"/>
      <c r="O295" s="46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  <c r="AA295" s="187"/>
      <c r="AB295" s="187"/>
      <c r="AC295" s="187"/>
      <c r="AD295" s="187"/>
      <c r="AE295" s="187"/>
      <c r="AF295" s="187"/>
      <c r="AG295" s="187"/>
      <c r="AH295" s="187"/>
      <c r="AI295" s="187"/>
      <c r="AJ295" s="187"/>
      <c r="AK295" s="187"/>
      <c r="AL295" s="187"/>
      <c r="AM295" s="187"/>
      <c r="AN295" s="187"/>
      <c r="AO295" s="187"/>
      <c r="AP295" s="187"/>
      <c r="AQ295" s="187"/>
      <c r="AR295" s="187"/>
      <c r="AS295" s="187"/>
      <c r="AT295" s="187"/>
      <c r="AU295" s="187"/>
      <c r="AV295" s="187"/>
      <c r="AW295" s="187"/>
      <c r="AX295" s="187"/>
      <c r="AY295" s="187"/>
      <c r="AZ295" s="187"/>
      <c r="BA295" s="187"/>
      <c r="BB295" s="187"/>
      <c r="BC295" s="187"/>
      <c r="BD295" s="187"/>
      <c r="BE295" s="187"/>
      <c r="BF295" s="187"/>
      <c r="BG295" s="187"/>
      <c r="BH295" s="187"/>
      <c r="BI295" s="229"/>
      <c r="BJ295" s="229"/>
      <c r="BK295" s="229"/>
      <c r="BL295" s="229"/>
      <c r="BM295" s="187"/>
      <c r="BN295" s="389"/>
      <c r="BO295" s="439"/>
      <c r="BP295" s="389"/>
      <c r="BQ295" s="439"/>
    </row>
    <row r="296" spans="1:69" x14ac:dyDescent="0.25">
      <c r="A296" s="490"/>
      <c r="B296" s="490"/>
      <c r="C296" s="187"/>
      <c r="D296" s="46"/>
      <c r="E296" s="46"/>
      <c r="F296" s="46"/>
      <c r="G296" s="46"/>
      <c r="H296" s="46"/>
      <c r="I296" s="46"/>
      <c r="J296" s="46"/>
      <c r="K296" s="46"/>
      <c r="L296" s="46"/>
      <c r="M296" s="187"/>
      <c r="N296" s="187"/>
      <c r="O296" s="46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  <c r="AA296" s="187"/>
      <c r="AB296" s="187"/>
      <c r="AC296" s="187"/>
      <c r="AD296" s="187"/>
      <c r="AE296" s="187"/>
      <c r="AF296" s="187"/>
      <c r="AG296" s="187"/>
      <c r="AH296" s="187"/>
      <c r="AI296" s="187"/>
      <c r="AJ296" s="187"/>
      <c r="AK296" s="187"/>
      <c r="AL296" s="187"/>
      <c r="AM296" s="187"/>
      <c r="AN296" s="187"/>
      <c r="AO296" s="187"/>
      <c r="AP296" s="187"/>
      <c r="AQ296" s="187"/>
      <c r="AR296" s="187"/>
      <c r="AS296" s="187"/>
      <c r="AT296" s="187"/>
      <c r="AU296" s="187"/>
      <c r="AV296" s="187"/>
      <c r="AW296" s="187"/>
      <c r="AX296" s="187"/>
      <c r="AY296" s="187"/>
      <c r="AZ296" s="187"/>
      <c r="BA296" s="187"/>
      <c r="BB296" s="187"/>
      <c r="BC296" s="187"/>
      <c r="BD296" s="187"/>
      <c r="BE296" s="187"/>
      <c r="BF296" s="187"/>
      <c r="BG296" s="187"/>
      <c r="BH296" s="187"/>
      <c r="BI296" s="229"/>
      <c r="BJ296" s="229"/>
      <c r="BK296" s="229"/>
      <c r="BL296" s="229"/>
      <c r="BM296" s="187"/>
      <c r="BN296" s="389"/>
      <c r="BO296" s="439"/>
      <c r="BP296" s="389"/>
      <c r="BQ296" s="439"/>
    </row>
    <row r="297" spans="1:69" x14ac:dyDescent="0.25">
      <c r="A297" s="490"/>
      <c r="B297" s="490"/>
      <c r="C297" s="187"/>
      <c r="D297" s="46"/>
      <c r="E297" s="46"/>
      <c r="F297" s="46"/>
      <c r="G297" s="46"/>
      <c r="H297" s="46"/>
      <c r="I297" s="46"/>
      <c r="J297" s="46"/>
      <c r="K297" s="46"/>
      <c r="L297" s="46"/>
      <c r="M297" s="187"/>
      <c r="N297" s="187"/>
      <c r="O297" s="46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  <c r="AA297" s="187"/>
      <c r="AB297" s="187"/>
      <c r="AC297" s="187"/>
      <c r="AD297" s="187"/>
      <c r="AE297" s="187"/>
      <c r="AF297" s="187"/>
      <c r="AG297" s="187"/>
      <c r="AH297" s="187"/>
      <c r="AI297" s="187"/>
      <c r="AJ297" s="187"/>
      <c r="AK297" s="187"/>
      <c r="AL297" s="187"/>
      <c r="AM297" s="187"/>
      <c r="AN297" s="187"/>
      <c r="AO297" s="187"/>
      <c r="AP297" s="187"/>
      <c r="AQ297" s="187"/>
      <c r="AR297" s="187"/>
      <c r="AS297" s="187"/>
      <c r="AT297" s="187"/>
      <c r="AU297" s="187"/>
      <c r="AV297" s="187"/>
      <c r="AW297" s="187"/>
      <c r="AX297" s="187"/>
      <c r="AY297" s="187"/>
      <c r="AZ297" s="187"/>
      <c r="BA297" s="187"/>
      <c r="BB297" s="187"/>
      <c r="BC297" s="187"/>
      <c r="BD297" s="187"/>
      <c r="BE297" s="187"/>
      <c r="BF297" s="187"/>
      <c r="BG297" s="187"/>
      <c r="BH297" s="187"/>
      <c r="BI297" s="229"/>
      <c r="BJ297" s="229"/>
      <c r="BK297" s="229"/>
      <c r="BL297" s="229"/>
      <c r="BM297" s="187"/>
      <c r="BN297" s="389"/>
      <c r="BO297" s="439"/>
      <c r="BP297" s="389"/>
      <c r="BQ297" s="439"/>
    </row>
    <row r="298" spans="1:69" x14ac:dyDescent="0.25">
      <c r="A298" s="490"/>
      <c r="B298" s="490"/>
      <c r="C298" s="187"/>
      <c r="D298" s="46"/>
      <c r="E298" s="46"/>
      <c r="F298" s="46"/>
      <c r="G298" s="46"/>
      <c r="H298" s="46"/>
      <c r="I298" s="46"/>
      <c r="J298" s="46"/>
      <c r="K298" s="46"/>
      <c r="L298" s="46"/>
      <c r="M298" s="187"/>
      <c r="N298" s="187"/>
      <c r="O298" s="46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  <c r="AA298" s="187"/>
      <c r="AB298" s="187"/>
      <c r="AC298" s="187"/>
      <c r="AD298" s="187"/>
      <c r="AE298" s="187"/>
      <c r="AF298" s="187"/>
      <c r="AG298" s="187"/>
      <c r="AH298" s="187"/>
      <c r="AI298" s="187"/>
      <c r="AJ298" s="187"/>
      <c r="AK298" s="187"/>
      <c r="AL298" s="187"/>
      <c r="AM298" s="187"/>
      <c r="AN298" s="187"/>
      <c r="AO298" s="187"/>
      <c r="AP298" s="187"/>
      <c r="AQ298" s="187"/>
      <c r="AR298" s="187"/>
      <c r="AS298" s="187"/>
      <c r="AT298" s="187"/>
      <c r="AU298" s="187"/>
      <c r="AV298" s="187"/>
      <c r="AW298" s="187"/>
      <c r="AX298" s="187"/>
      <c r="AY298" s="187"/>
      <c r="AZ298" s="187"/>
      <c r="BA298" s="187"/>
      <c r="BB298" s="187"/>
      <c r="BC298" s="187"/>
      <c r="BD298" s="187"/>
      <c r="BE298" s="187"/>
      <c r="BF298" s="187"/>
      <c r="BG298" s="187"/>
      <c r="BH298" s="187"/>
      <c r="BI298" s="229"/>
      <c r="BJ298" s="229"/>
      <c r="BK298" s="229"/>
      <c r="BL298" s="229"/>
      <c r="BM298" s="187"/>
      <c r="BN298" s="389"/>
      <c r="BO298" s="439"/>
      <c r="BP298" s="389"/>
      <c r="BQ298" s="439"/>
    </row>
    <row r="299" spans="1:69" x14ac:dyDescent="0.25">
      <c r="A299" s="490"/>
      <c r="B299" s="490"/>
      <c r="C299" s="187"/>
      <c r="D299" s="46"/>
      <c r="E299" s="46"/>
      <c r="F299" s="46"/>
      <c r="G299" s="46"/>
      <c r="H299" s="46"/>
      <c r="I299" s="46"/>
      <c r="J299" s="46"/>
      <c r="K299" s="46"/>
      <c r="L299" s="46"/>
      <c r="M299" s="187"/>
      <c r="N299" s="187"/>
      <c r="O299" s="46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  <c r="AA299" s="187"/>
      <c r="AB299" s="187"/>
      <c r="AC299" s="187"/>
      <c r="AD299" s="187"/>
      <c r="AE299" s="187"/>
      <c r="AF299" s="187"/>
      <c r="AG299" s="187"/>
      <c r="AH299" s="187"/>
      <c r="AI299" s="187"/>
      <c r="AJ299" s="187"/>
      <c r="AK299" s="187"/>
      <c r="AL299" s="187"/>
      <c r="AM299" s="187"/>
      <c r="AN299" s="187"/>
      <c r="AO299" s="187"/>
      <c r="AP299" s="187"/>
      <c r="AQ299" s="187"/>
      <c r="AR299" s="187"/>
      <c r="AS299" s="187"/>
      <c r="AT299" s="187"/>
      <c r="AU299" s="187"/>
      <c r="AV299" s="187"/>
      <c r="AW299" s="187"/>
      <c r="AX299" s="187"/>
      <c r="AY299" s="187"/>
      <c r="AZ299" s="187"/>
      <c r="BA299" s="187"/>
      <c r="BB299" s="187"/>
      <c r="BC299" s="187"/>
      <c r="BD299" s="187"/>
      <c r="BE299" s="187"/>
      <c r="BF299" s="187"/>
      <c r="BG299" s="187"/>
      <c r="BH299" s="187"/>
      <c r="BI299" s="229"/>
      <c r="BJ299" s="229"/>
      <c r="BK299" s="229"/>
      <c r="BL299" s="229"/>
      <c r="BM299" s="187"/>
      <c r="BN299" s="389"/>
      <c r="BO299" s="439"/>
      <c r="BP299" s="389"/>
      <c r="BQ299" s="439"/>
    </row>
    <row r="300" spans="1:69" x14ac:dyDescent="0.25">
      <c r="A300" s="490"/>
      <c r="B300" s="490"/>
      <c r="C300" s="187"/>
      <c r="D300" s="46"/>
      <c r="E300" s="46"/>
      <c r="F300" s="46"/>
      <c r="G300" s="46"/>
      <c r="H300" s="46"/>
      <c r="I300" s="46"/>
      <c r="J300" s="46"/>
      <c r="K300" s="46"/>
      <c r="L300" s="46"/>
      <c r="M300" s="187"/>
      <c r="N300" s="187"/>
      <c r="O300" s="46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  <c r="AA300" s="187"/>
      <c r="AB300" s="187"/>
      <c r="AC300" s="187"/>
      <c r="AD300" s="187"/>
      <c r="AE300" s="187"/>
      <c r="AF300" s="187"/>
      <c r="AG300" s="187"/>
      <c r="AH300" s="187"/>
      <c r="AI300" s="187"/>
      <c r="AJ300" s="187"/>
      <c r="AK300" s="187"/>
      <c r="AL300" s="187"/>
      <c r="AM300" s="187"/>
      <c r="AN300" s="187"/>
      <c r="AO300" s="187"/>
      <c r="AP300" s="187"/>
      <c r="AQ300" s="187"/>
      <c r="AR300" s="187"/>
      <c r="AS300" s="187"/>
      <c r="AT300" s="187"/>
      <c r="AU300" s="187"/>
      <c r="AV300" s="187"/>
      <c r="AW300" s="187"/>
      <c r="AX300" s="187"/>
      <c r="AY300" s="187"/>
      <c r="AZ300" s="187"/>
      <c r="BA300" s="187"/>
      <c r="BB300" s="187"/>
      <c r="BC300" s="187"/>
      <c r="BD300" s="187"/>
      <c r="BE300" s="187"/>
      <c r="BF300" s="187"/>
      <c r="BG300" s="187"/>
      <c r="BH300" s="187"/>
      <c r="BI300" s="229"/>
      <c r="BJ300" s="229"/>
      <c r="BK300" s="229"/>
      <c r="BL300" s="229"/>
      <c r="BM300" s="187"/>
      <c r="BN300" s="389"/>
      <c r="BO300" s="439"/>
      <c r="BP300" s="389"/>
      <c r="BQ300" s="439"/>
    </row>
    <row r="301" spans="1:69" x14ac:dyDescent="0.25">
      <c r="A301" s="490"/>
      <c r="B301" s="490"/>
      <c r="C301" s="187"/>
      <c r="D301" s="46"/>
      <c r="E301" s="46"/>
      <c r="F301" s="46"/>
      <c r="G301" s="46"/>
      <c r="H301" s="46"/>
      <c r="I301" s="46"/>
      <c r="J301" s="46"/>
      <c r="K301" s="46"/>
      <c r="L301" s="46"/>
      <c r="M301" s="187"/>
      <c r="N301" s="187"/>
      <c r="O301" s="46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  <c r="AA301" s="187"/>
      <c r="AB301" s="187"/>
      <c r="AC301" s="187"/>
      <c r="AD301" s="187"/>
      <c r="AE301" s="187"/>
      <c r="AF301" s="187"/>
      <c r="AG301" s="187"/>
      <c r="AH301" s="187"/>
      <c r="AI301" s="187"/>
      <c r="AJ301" s="187"/>
      <c r="AK301" s="187"/>
      <c r="AL301" s="187"/>
      <c r="AM301" s="187"/>
      <c r="AN301" s="187"/>
      <c r="AO301" s="187"/>
      <c r="AP301" s="187"/>
      <c r="AQ301" s="187"/>
      <c r="AR301" s="187"/>
      <c r="AS301" s="187"/>
      <c r="AT301" s="187"/>
      <c r="AU301" s="187"/>
      <c r="AV301" s="187"/>
      <c r="AW301" s="187"/>
      <c r="AX301" s="187"/>
      <c r="AY301" s="187"/>
      <c r="AZ301" s="187"/>
      <c r="BA301" s="187"/>
      <c r="BB301" s="187"/>
      <c r="BC301" s="187"/>
      <c r="BD301" s="187"/>
      <c r="BE301" s="187"/>
      <c r="BF301" s="187"/>
      <c r="BG301" s="187"/>
      <c r="BH301" s="187"/>
      <c r="BI301" s="229"/>
      <c r="BJ301" s="229"/>
      <c r="BK301" s="229"/>
      <c r="BL301" s="229"/>
      <c r="BM301" s="187"/>
      <c r="BN301" s="389"/>
      <c r="BO301" s="439"/>
      <c r="BP301" s="389"/>
      <c r="BQ301" s="439"/>
    </row>
    <row r="302" spans="1:69" x14ac:dyDescent="0.25">
      <c r="A302" s="490"/>
      <c r="B302" s="490"/>
      <c r="C302" s="187"/>
      <c r="D302" s="46"/>
      <c r="E302" s="46"/>
      <c r="F302" s="46"/>
      <c r="G302" s="46"/>
      <c r="H302" s="46"/>
      <c r="I302" s="46"/>
      <c r="J302" s="46"/>
      <c r="K302" s="46"/>
      <c r="L302" s="46"/>
      <c r="M302" s="187"/>
      <c r="N302" s="187"/>
      <c r="O302" s="46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  <c r="AA302" s="187"/>
      <c r="AB302" s="187"/>
      <c r="AC302" s="187"/>
      <c r="AD302" s="187"/>
      <c r="AE302" s="187"/>
      <c r="AF302" s="187"/>
      <c r="AG302" s="187"/>
      <c r="AH302" s="187"/>
      <c r="AI302" s="187"/>
      <c r="AJ302" s="187"/>
      <c r="AK302" s="187"/>
      <c r="AL302" s="187"/>
      <c r="AM302" s="187"/>
      <c r="AN302" s="187"/>
      <c r="AO302" s="187"/>
      <c r="AP302" s="187"/>
      <c r="AQ302" s="187"/>
      <c r="AR302" s="187"/>
      <c r="AS302" s="187"/>
      <c r="AT302" s="187"/>
      <c r="AU302" s="187"/>
      <c r="AV302" s="187"/>
      <c r="AW302" s="187"/>
      <c r="AX302" s="187"/>
      <c r="AY302" s="187"/>
      <c r="AZ302" s="187"/>
      <c r="BA302" s="187"/>
      <c r="BB302" s="187"/>
      <c r="BC302" s="187"/>
      <c r="BD302" s="187"/>
      <c r="BE302" s="187"/>
      <c r="BF302" s="187"/>
      <c r="BG302" s="187"/>
      <c r="BH302" s="187"/>
      <c r="BI302" s="229"/>
      <c r="BJ302" s="229"/>
      <c r="BK302" s="229"/>
      <c r="BL302" s="229"/>
      <c r="BM302" s="187"/>
      <c r="BN302" s="389"/>
      <c r="BO302" s="439"/>
      <c r="BP302" s="389"/>
      <c r="BQ302" s="439"/>
    </row>
    <row r="303" spans="1:69" x14ac:dyDescent="0.25">
      <c r="A303" s="490"/>
      <c r="B303" s="490"/>
      <c r="C303" s="187"/>
      <c r="D303" s="46"/>
      <c r="E303" s="46"/>
      <c r="F303" s="46"/>
      <c r="G303" s="46"/>
      <c r="H303" s="46"/>
      <c r="I303" s="46"/>
      <c r="J303" s="46"/>
      <c r="K303" s="46"/>
      <c r="L303" s="46"/>
      <c r="M303" s="187"/>
      <c r="N303" s="187"/>
      <c r="O303" s="46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  <c r="AA303" s="187"/>
      <c r="AB303" s="187"/>
      <c r="AC303" s="187"/>
      <c r="AD303" s="187"/>
      <c r="AE303" s="187"/>
      <c r="AF303" s="187"/>
      <c r="AG303" s="187"/>
      <c r="AH303" s="187"/>
      <c r="AI303" s="187"/>
      <c r="AJ303" s="187"/>
      <c r="AK303" s="187"/>
      <c r="AL303" s="187"/>
      <c r="AM303" s="187"/>
      <c r="AN303" s="187"/>
      <c r="AO303" s="187"/>
      <c r="AP303" s="187"/>
      <c r="AQ303" s="187"/>
      <c r="AR303" s="187"/>
      <c r="AS303" s="187"/>
      <c r="AT303" s="187"/>
      <c r="AU303" s="187"/>
      <c r="AV303" s="187"/>
      <c r="AW303" s="187"/>
      <c r="AX303" s="187"/>
      <c r="AY303" s="187"/>
      <c r="AZ303" s="187"/>
      <c r="BA303" s="187"/>
      <c r="BB303" s="187"/>
      <c r="BC303" s="187"/>
      <c r="BD303" s="187"/>
      <c r="BE303" s="187"/>
      <c r="BF303" s="187"/>
      <c r="BG303" s="187"/>
      <c r="BH303" s="187"/>
      <c r="BI303" s="229"/>
      <c r="BJ303" s="229"/>
      <c r="BK303" s="229"/>
      <c r="BL303" s="229"/>
      <c r="BM303" s="187"/>
      <c r="BN303" s="389"/>
      <c r="BO303" s="439"/>
      <c r="BP303" s="389"/>
      <c r="BQ303" s="439"/>
    </row>
    <row r="304" spans="1:69" x14ac:dyDescent="0.25">
      <c r="A304" s="490"/>
      <c r="B304" s="490"/>
      <c r="C304" s="187"/>
      <c r="D304" s="46"/>
      <c r="E304" s="46"/>
      <c r="F304" s="46"/>
      <c r="G304" s="46"/>
      <c r="H304" s="46"/>
      <c r="I304" s="46"/>
      <c r="J304" s="46"/>
      <c r="K304" s="46"/>
      <c r="L304" s="46"/>
      <c r="M304" s="187"/>
      <c r="N304" s="187"/>
      <c r="O304" s="46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  <c r="AA304" s="187"/>
      <c r="AB304" s="187"/>
      <c r="AC304" s="187"/>
      <c r="AD304" s="187"/>
      <c r="AE304" s="187"/>
      <c r="AF304" s="187"/>
      <c r="AG304" s="187"/>
      <c r="AH304" s="187"/>
      <c r="AI304" s="187"/>
      <c r="AJ304" s="187"/>
      <c r="AK304" s="187"/>
      <c r="AL304" s="187"/>
      <c r="AM304" s="187"/>
      <c r="AN304" s="187"/>
      <c r="AO304" s="187"/>
      <c r="AP304" s="187"/>
      <c r="AQ304" s="187"/>
      <c r="AR304" s="187"/>
      <c r="AS304" s="187"/>
      <c r="AT304" s="187"/>
      <c r="AU304" s="187"/>
      <c r="AV304" s="187"/>
      <c r="AW304" s="187"/>
      <c r="AX304" s="187"/>
      <c r="AY304" s="187"/>
      <c r="AZ304" s="187"/>
      <c r="BA304" s="187"/>
      <c r="BB304" s="187"/>
      <c r="BC304" s="187"/>
      <c r="BD304" s="187"/>
      <c r="BE304" s="187"/>
      <c r="BF304" s="187"/>
      <c r="BG304" s="187"/>
      <c r="BH304" s="187"/>
      <c r="BI304" s="229"/>
      <c r="BJ304" s="229"/>
      <c r="BK304" s="229"/>
      <c r="BL304" s="229"/>
      <c r="BM304" s="187"/>
      <c r="BN304" s="389"/>
      <c r="BO304" s="439"/>
      <c r="BP304" s="389"/>
      <c r="BQ304" s="439"/>
    </row>
    <row r="305" spans="1:69" x14ac:dyDescent="0.25">
      <c r="A305" s="490"/>
      <c r="B305" s="490"/>
      <c r="C305" s="187"/>
      <c r="D305" s="46"/>
      <c r="E305" s="46"/>
      <c r="F305" s="46"/>
      <c r="G305" s="46"/>
      <c r="H305" s="46"/>
      <c r="I305" s="46"/>
      <c r="J305" s="46"/>
      <c r="K305" s="46"/>
      <c r="L305" s="46"/>
      <c r="M305" s="187"/>
      <c r="N305" s="187"/>
      <c r="O305" s="46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  <c r="AA305" s="187"/>
      <c r="AB305" s="187"/>
      <c r="AC305" s="187"/>
      <c r="AD305" s="187"/>
      <c r="AE305" s="187"/>
      <c r="AF305" s="187"/>
      <c r="AG305" s="187"/>
      <c r="AH305" s="187"/>
      <c r="AI305" s="187"/>
      <c r="AJ305" s="187"/>
      <c r="AK305" s="187"/>
      <c r="AL305" s="187"/>
      <c r="AM305" s="187"/>
      <c r="AN305" s="187"/>
      <c r="AO305" s="187"/>
      <c r="AP305" s="187"/>
      <c r="AQ305" s="187"/>
      <c r="AR305" s="187"/>
      <c r="AS305" s="187"/>
      <c r="AT305" s="187"/>
      <c r="AU305" s="187"/>
      <c r="AV305" s="187"/>
      <c r="AW305" s="187"/>
      <c r="AX305" s="187"/>
      <c r="AY305" s="187"/>
      <c r="AZ305" s="187"/>
      <c r="BA305" s="187"/>
      <c r="BB305" s="187"/>
      <c r="BC305" s="187"/>
      <c r="BD305" s="187"/>
      <c r="BE305" s="187"/>
      <c r="BF305" s="187"/>
      <c r="BG305" s="187"/>
      <c r="BH305" s="187"/>
      <c r="BI305" s="229"/>
      <c r="BJ305" s="229"/>
      <c r="BK305" s="229"/>
      <c r="BL305" s="229"/>
      <c r="BM305" s="187"/>
      <c r="BN305" s="389"/>
      <c r="BO305" s="439"/>
      <c r="BP305" s="389"/>
      <c r="BQ305" s="439"/>
    </row>
  </sheetData>
  <mergeCells count="140">
    <mergeCell ref="A304:B304"/>
    <mergeCell ref="A305:B305"/>
    <mergeCell ref="A298:B298"/>
    <mergeCell ref="A299:B299"/>
    <mergeCell ref="A300:B300"/>
    <mergeCell ref="A301:B301"/>
    <mergeCell ref="A302:B302"/>
    <mergeCell ref="A303:B303"/>
    <mergeCell ref="A292:B292"/>
    <mergeCell ref="A293:B293"/>
    <mergeCell ref="A294:B294"/>
    <mergeCell ref="A295:B295"/>
    <mergeCell ref="A296:B296"/>
    <mergeCell ref="A297:B297"/>
    <mergeCell ref="A286:B286"/>
    <mergeCell ref="A287:B287"/>
    <mergeCell ref="A288:B288"/>
    <mergeCell ref="A289:B289"/>
    <mergeCell ref="A290:B290"/>
    <mergeCell ref="A291:B291"/>
    <mergeCell ref="A280:B280"/>
    <mergeCell ref="A281:B281"/>
    <mergeCell ref="A282:B282"/>
    <mergeCell ref="A283:B283"/>
    <mergeCell ref="A284:B284"/>
    <mergeCell ref="A285:B285"/>
    <mergeCell ref="A274:B274"/>
    <mergeCell ref="A275:B275"/>
    <mergeCell ref="A276:B276"/>
    <mergeCell ref="A277:B277"/>
    <mergeCell ref="A278:B278"/>
    <mergeCell ref="A279:B279"/>
    <mergeCell ref="A268:B268"/>
    <mergeCell ref="A269:B269"/>
    <mergeCell ref="A270:B270"/>
    <mergeCell ref="A271:B271"/>
    <mergeCell ref="A272:B272"/>
    <mergeCell ref="A273:B273"/>
    <mergeCell ref="A262:B262"/>
    <mergeCell ref="A263:B263"/>
    <mergeCell ref="A264:B264"/>
    <mergeCell ref="A265:B265"/>
    <mergeCell ref="A266:B266"/>
    <mergeCell ref="A267:B267"/>
    <mergeCell ref="A256:B256"/>
    <mergeCell ref="A257:B257"/>
    <mergeCell ref="A258:B258"/>
    <mergeCell ref="A259:B259"/>
    <mergeCell ref="A260:B260"/>
    <mergeCell ref="A261:B261"/>
    <mergeCell ref="A250:B250"/>
    <mergeCell ref="A251:B251"/>
    <mergeCell ref="A252:B252"/>
    <mergeCell ref="A253:B253"/>
    <mergeCell ref="A254:B254"/>
    <mergeCell ref="A255:B255"/>
    <mergeCell ref="A244:B244"/>
    <mergeCell ref="A245:B245"/>
    <mergeCell ref="A246:B246"/>
    <mergeCell ref="A247:B247"/>
    <mergeCell ref="A248:B248"/>
    <mergeCell ref="A249:B249"/>
    <mergeCell ref="A238:B238"/>
    <mergeCell ref="A239:B239"/>
    <mergeCell ref="A240:B240"/>
    <mergeCell ref="A241:B241"/>
    <mergeCell ref="A242:B242"/>
    <mergeCell ref="A243:B243"/>
    <mergeCell ref="A232:B232"/>
    <mergeCell ref="A233:B233"/>
    <mergeCell ref="A234:B234"/>
    <mergeCell ref="A235:B235"/>
    <mergeCell ref="A236:B236"/>
    <mergeCell ref="A237:B237"/>
    <mergeCell ref="A226:B226"/>
    <mergeCell ref="A227:B227"/>
    <mergeCell ref="A228:B228"/>
    <mergeCell ref="A229:B229"/>
    <mergeCell ref="A230:B230"/>
    <mergeCell ref="A231:B231"/>
    <mergeCell ref="A220:B220"/>
    <mergeCell ref="A221:B221"/>
    <mergeCell ref="A222:B222"/>
    <mergeCell ref="A223:B223"/>
    <mergeCell ref="A224:B224"/>
    <mergeCell ref="A225:B225"/>
    <mergeCell ref="A214:B214"/>
    <mergeCell ref="A215:B215"/>
    <mergeCell ref="A216:B216"/>
    <mergeCell ref="A217:B217"/>
    <mergeCell ref="A218:B218"/>
    <mergeCell ref="A219:B219"/>
    <mergeCell ref="A208:B208"/>
    <mergeCell ref="A209:B209"/>
    <mergeCell ref="A210:B210"/>
    <mergeCell ref="A211:B211"/>
    <mergeCell ref="A212:B212"/>
    <mergeCell ref="A213:B213"/>
    <mergeCell ref="A188:B188"/>
    <mergeCell ref="A190:B190"/>
    <mergeCell ref="A202:B202"/>
    <mergeCell ref="A203:B203"/>
    <mergeCell ref="A206:B206"/>
    <mergeCell ref="A207:B207"/>
    <mergeCell ref="A161:B161"/>
    <mergeCell ref="A164:B164"/>
    <mergeCell ref="A166:B166"/>
    <mergeCell ref="A173:B173"/>
    <mergeCell ref="A176:B176"/>
    <mergeCell ref="A180:B180"/>
    <mergeCell ref="A128:B128"/>
    <mergeCell ref="A134:B134"/>
    <mergeCell ref="A141:B141"/>
    <mergeCell ref="A147:B147"/>
    <mergeCell ref="A149:B149"/>
    <mergeCell ref="A156:B156"/>
    <mergeCell ref="A103:B103"/>
    <mergeCell ref="A112:B112"/>
    <mergeCell ref="A116:B116"/>
    <mergeCell ref="A118:B118"/>
    <mergeCell ref="A123:B123"/>
    <mergeCell ref="A126:B126"/>
    <mergeCell ref="A80:B80"/>
    <mergeCell ref="A85:B85"/>
    <mergeCell ref="A94:B94"/>
    <mergeCell ref="A38:B38"/>
    <mergeCell ref="A40:B40"/>
    <mergeCell ref="A46:B46"/>
    <mergeCell ref="A50:B50"/>
    <mergeCell ref="A60:B60"/>
    <mergeCell ref="A62:B62"/>
    <mergeCell ref="A2:B2"/>
    <mergeCell ref="A3:B3"/>
    <mergeCell ref="A4:B4"/>
    <mergeCell ref="A12:B12"/>
    <mergeCell ref="A21:B21"/>
    <mergeCell ref="A31:B31"/>
    <mergeCell ref="A67:B67"/>
    <mergeCell ref="A72:B72"/>
    <mergeCell ref="A78:B78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2194C-8842-45DD-AAFA-52ECD3F83B4A}">
  <dimension ref="A1:AL39"/>
  <sheetViews>
    <sheetView topLeftCell="B1" workbookViewId="0">
      <selection activeCell="P25" sqref="P25"/>
    </sheetView>
  </sheetViews>
  <sheetFormatPr defaultRowHeight="15" x14ac:dyDescent="0.25"/>
  <cols>
    <col min="2" max="2" width="7.140625" customWidth="1"/>
    <col min="3" max="3" width="28.42578125" customWidth="1"/>
  </cols>
  <sheetData>
    <row r="1" spans="1:3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674</v>
      </c>
      <c r="O1" s="1" t="s">
        <v>675</v>
      </c>
      <c r="P1" s="1" t="s">
        <v>676</v>
      </c>
      <c r="Q1" s="1" t="s">
        <v>677</v>
      </c>
      <c r="R1" s="1" t="s">
        <v>54</v>
      </c>
      <c r="S1" s="1" t="s">
        <v>55</v>
      </c>
      <c r="T1" s="1"/>
      <c r="U1" s="1"/>
      <c r="V1" s="1"/>
      <c r="W1" s="1"/>
      <c r="X1" s="1"/>
      <c r="Y1" s="1"/>
      <c r="Z1" s="1"/>
      <c r="AA1" s="1" t="s">
        <v>674</v>
      </c>
      <c r="AB1" s="1" t="s">
        <v>675</v>
      </c>
      <c r="AC1" s="1" t="s">
        <v>676</v>
      </c>
      <c r="AD1" s="1" t="s">
        <v>677</v>
      </c>
      <c r="AE1" s="1" t="s">
        <v>54</v>
      </c>
      <c r="AF1" s="1" t="s">
        <v>55</v>
      </c>
      <c r="AG1" s="1"/>
      <c r="AH1" s="1"/>
      <c r="AI1" s="1"/>
      <c r="AJ1" s="1"/>
      <c r="AK1" s="1"/>
      <c r="AL1" s="1"/>
    </row>
    <row r="2" spans="1:38" x14ac:dyDescent="0.25">
      <c r="A2" s="1"/>
      <c r="B2" s="1"/>
      <c r="C2" s="200"/>
      <c r="D2" s="200" t="s">
        <v>678</v>
      </c>
      <c r="E2" s="200"/>
      <c r="F2" s="200"/>
      <c r="G2" s="200"/>
      <c r="H2" s="200"/>
      <c r="I2" s="282" t="s">
        <v>679</v>
      </c>
      <c r="J2" s="282"/>
      <c r="K2" s="282"/>
      <c r="L2" s="282"/>
      <c r="M2" s="282"/>
      <c r="N2" s="283" t="s">
        <v>680</v>
      </c>
      <c r="O2" s="283"/>
      <c r="P2" s="283"/>
      <c r="Q2" s="283"/>
      <c r="R2" s="283"/>
      <c r="S2" s="283"/>
      <c r="T2" s="284" t="s">
        <v>681</v>
      </c>
      <c r="U2" s="284"/>
      <c r="V2" s="284"/>
      <c r="W2" s="284"/>
      <c r="X2" s="284"/>
      <c r="Y2" s="1"/>
      <c r="Z2" s="1"/>
      <c r="AA2" s="285" t="s">
        <v>680</v>
      </c>
      <c r="AB2" s="285"/>
      <c r="AC2" s="285"/>
      <c r="AD2" s="285"/>
      <c r="AE2" s="285"/>
      <c r="AF2" s="285"/>
      <c r="AG2" s="285" t="s">
        <v>680</v>
      </c>
      <c r="AH2" s="285"/>
      <c r="AI2" s="285"/>
      <c r="AJ2" s="285"/>
      <c r="AK2" s="285"/>
      <c r="AL2" s="285"/>
    </row>
    <row r="3" spans="1:38" x14ac:dyDescent="0.25">
      <c r="A3" s="1"/>
      <c r="B3" s="1"/>
      <c r="C3" s="200"/>
      <c r="D3" s="286" t="s">
        <v>520</v>
      </c>
      <c r="E3" s="286" t="s">
        <v>521</v>
      </c>
      <c r="F3" s="286" t="s">
        <v>522</v>
      </c>
      <c r="G3" s="286" t="s">
        <v>523</v>
      </c>
      <c r="H3" s="286" t="s">
        <v>276</v>
      </c>
      <c r="I3" s="287" t="s">
        <v>524</v>
      </c>
      <c r="J3" s="287" t="s">
        <v>525</v>
      </c>
      <c r="K3" s="287" t="s">
        <v>526</v>
      </c>
      <c r="L3" s="287" t="s">
        <v>527</v>
      </c>
      <c r="M3" s="287" t="s">
        <v>118</v>
      </c>
      <c r="N3" s="288" t="s">
        <v>524</v>
      </c>
      <c r="O3" s="288" t="s">
        <v>525</v>
      </c>
      <c r="P3" s="288" t="s">
        <v>526</v>
      </c>
      <c r="Q3" s="288" t="s">
        <v>527</v>
      </c>
      <c r="R3" s="288" t="s">
        <v>118</v>
      </c>
      <c r="S3" s="288" t="s">
        <v>175</v>
      </c>
      <c r="T3" s="289" t="s">
        <v>524</v>
      </c>
      <c r="U3" s="289" t="s">
        <v>525</v>
      </c>
      <c r="V3" s="289" t="s">
        <v>526</v>
      </c>
      <c r="W3" s="289" t="s">
        <v>527</v>
      </c>
      <c r="X3" s="289" t="s">
        <v>118</v>
      </c>
      <c r="Y3" s="1"/>
      <c r="Z3" s="1"/>
      <c r="AA3" s="290" t="s">
        <v>524</v>
      </c>
      <c r="AB3" s="290" t="s">
        <v>525</v>
      </c>
      <c r="AC3" s="290" t="s">
        <v>526</v>
      </c>
      <c r="AD3" s="290" t="s">
        <v>527</v>
      </c>
      <c r="AE3" s="290" t="s">
        <v>118</v>
      </c>
      <c r="AF3" s="290" t="s">
        <v>175</v>
      </c>
      <c r="AG3" s="290"/>
      <c r="AH3" s="290"/>
      <c r="AI3" s="290"/>
      <c r="AJ3" s="290"/>
      <c r="AK3" s="290"/>
      <c r="AL3" s="290"/>
    </row>
    <row r="4" spans="1:38" x14ac:dyDescent="0.25">
      <c r="A4" s="44"/>
      <c r="B4" s="1"/>
      <c r="C4" s="291" t="s">
        <v>292</v>
      </c>
      <c r="D4" s="200"/>
      <c r="E4" s="200"/>
      <c r="F4" s="200"/>
      <c r="G4" s="200"/>
      <c r="H4" s="200"/>
      <c r="I4" s="282"/>
      <c r="J4" s="29" t="s">
        <v>682</v>
      </c>
      <c r="K4" s="282"/>
      <c r="L4" s="282"/>
      <c r="M4" s="282"/>
      <c r="N4" s="283"/>
      <c r="O4" s="283"/>
      <c r="P4" s="283"/>
      <c r="Q4" s="283"/>
      <c r="R4" s="283"/>
      <c r="S4" s="283"/>
      <c r="T4" s="284"/>
      <c r="U4" s="284"/>
      <c r="V4" s="284"/>
      <c r="W4" s="284"/>
      <c r="X4" s="284"/>
      <c r="Y4" s="1"/>
      <c r="Z4" s="1"/>
      <c r="AA4" s="285"/>
      <c r="AB4" s="285"/>
      <c r="AC4" s="285"/>
      <c r="AD4" s="285"/>
      <c r="AE4" s="285"/>
      <c r="AF4" s="285"/>
      <c r="AG4" s="285"/>
      <c r="AH4" s="285"/>
      <c r="AI4" s="285"/>
      <c r="AJ4" s="285"/>
      <c r="AK4" s="285"/>
      <c r="AL4" s="285"/>
    </row>
    <row r="5" spans="1:38" x14ac:dyDescent="0.25">
      <c r="A5" s="44" t="s">
        <v>625</v>
      </c>
      <c r="B5" s="1" t="s">
        <v>683</v>
      </c>
      <c r="C5" s="292" t="s">
        <v>626</v>
      </c>
      <c r="D5" s="150">
        <v>50.5</v>
      </c>
      <c r="E5" s="150">
        <v>58.4</v>
      </c>
      <c r="F5" s="150">
        <v>59.9</v>
      </c>
      <c r="G5" s="150">
        <v>58.9</v>
      </c>
      <c r="H5" s="150">
        <v>227.6</v>
      </c>
      <c r="I5" s="151">
        <v>54.1</v>
      </c>
      <c r="J5" s="151">
        <v>64.3</v>
      </c>
      <c r="K5" s="151">
        <v>66.599999999999994</v>
      </c>
      <c r="L5" s="151">
        <v>66</v>
      </c>
      <c r="M5" s="151">
        <v>251</v>
      </c>
      <c r="N5" s="293">
        <v>54.1</v>
      </c>
      <c r="O5" s="293">
        <v>63.5</v>
      </c>
      <c r="P5" s="293">
        <v>65.8</v>
      </c>
      <c r="Q5" s="293">
        <v>65.2</v>
      </c>
      <c r="R5" s="293">
        <v>248.5</v>
      </c>
      <c r="S5" s="293">
        <v>273.60000000000002</v>
      </c>
      <c r="T5" s="294">
        <v>0</v>
      </c>
      <c r="U5" s="294">
        <v>0.01</v>
      </c>
      <c r="V5" s="294">
        <v>0.01</v>
      </c>
      <c r="W5" s="294">
        <v>0.01</v>
      </c>
      <c r="X5" s="294">
        <v>0.01</v>
      </c>
      <c r="Y5" s="1"/>
      <c r="Z5" s="1"/>
      <c r="AA5" s="295">
        <v>54.1</v>
      </c>
      <c r="AB5" s="295">
        <v>63.5</v>
      </c>
      <c r="AC5" s="295">
        <v>65.8</v>
      </c>
      <c r="AD5" s="295">
        <v>65.2</v>
      </c>
      <c r="AE5" s="295">
        <v>248.5</v>
      </c>
      <c r="AF5" s="295">
        <v>273.60000000000002</v>
      </c>
      <c r="AG5" s="295">
        <v>0</v>
      </c>
      <c r="AH5" s="295">
        <v>0</v>
      </c>
      <c r="AI5" s="295">
        <v>0</v>
      </c>
      <c r="AJ5" s="295">
        <v>0</v>
      </c>
      <c r="AK5" s="295">
        <v>0</v>
      </c>
      <c r="AL5" s="295" t="e">
        <v>#REF!</v>
      </c>
    </row>
    <row r="6" spans="1:38" x14ac:dyDescent="0.25">
      <c r="A6" s="44">
        <v>0</v>
      </c>
      <c r="B6" s="1"/>
      <c r="C6" s="296" t="s">
        <v>627</v>
      </c>
      <c r="D6" s="221"/>
      <c r="E6" s="221"/>
      <c r="F6" s="221"/>
      <c r="G6" s="221"/>
      <c r="H6" s="221"/>
      <c r="I6" s="297">
        <v>7.0000000000000007E-2</v>
      </c>
      <c r="J6" s="297">
        <v>0.1</v>
      </c>
      <c r="K6" s="297">
        <v>0.11</v>
      </c>
      <c r="L6" s="297">
        <v>0.12</v>
      </c>
      <c r="M6" s="297">
        <v>0.1</v>
      </c>
      <c r="N6" s="298">
        <v>7.0000000000000007E-2</v>
      </c>
      <c r="O6" s="298">
        <v>0.09</v>
      </c>
      <c r="P6" s="298">
        <v>0.1</v>
      </c>
      <c r="Q6" s="298">
        <v>0.11</v>
      </c>
      <c r="R6" s="298">
        <v>0.09</v>
      </c>
      <c r="S6" s="298">
        <v>4.0599999999999996</v>
      </c>
      <c r="T6" s="299">
        <v>0</v>
      </c>
      <c r="U6" s="299">
        <v>0.01</v>
      </c>
      <c r="V6" s="299">
        <v>0.01</v>
      </c>
      <c r="W6" s="299">
        <v>0.01</v>
      </c>
      <c r="X6" s="299">
        <v>0.01</v>
      </c>
      <c r="Y6" s="1"/>
      <c r="Z6" s="1"/>
      <c r="AA6" s="300">
        <v>7.0000000000000007E-2</v>
      </c>
      <c r="AB6" s="300">
        <v>0.09</v>
      </c>
      <c r="AC6" s="300">
        <v>0.1</v>
      </c>
      <c r="AD6" s="300">
        <v>0.11</v>
      </c>
      <c r="AE6" s="300">
        <v>0.09</v>
      </c>
      <c r="AF6" s="300">
        <v>4.0599999999999996</v>
      </c>
      <c r="AG6" s="300">
        <v>0</v>
      </c>
      <c r="AH6" s="300">
        <v>0</v>
      </c>
      <c r="AI6" s="300">
        <v>0</v>
      </c>
      <c r="AJ6" s="300">
        <v>0</v>
      </c>
      <c r="AK6" s="300">
        <v>0</v>
      </c>
      <c r="AL6" s="301" t="e">
        <v>#REF!</v>
      </c>
    </row>
    <row r="7" spans="1:38" x14ac:dyDescent="0.25">
      <c r="A7" s="44" t="s">
        <v>629</v>
      </c>
      <c r="B7" s="1" t="s">
        <v>684</v>
      </c>
      <c r="C7" s="302" t="s">
        <v>630</v>
      </c>
      <c r="D7" s="238">
        <v>0.06</v>
      </c>
      <c r="E7" s="238">
        <v>0.06</v>
      </c>
      <c r="F7" s="238">
        <v>0.05</v>
      </c>
      <c r="G7" s="238">
        <v>7.0000000000000007E-2</v>
      </c>
      <c r="H7" s="221"/>
      <c r="I7" s="297">
        <v>0.06</v>
      </c>
      <c r="J7" s="297">
        <v>0.08</v>
      </c>
      <c r="K7" s="297">
        <v>0.09</v>
      </c>
      <c r="L7" s="297">
        <v>0.1</v>
      </c>
      <c r="M7" s="303"/>
      <c r="N7" s="304">
        <v>0.08</v>
      </c>
      <c r="O7" s="304">
        <v>0.09</v>
      </c>
      <c r="P7" s="304">
        <v>0.1</v>
      </c>
      <c r="Q7" s="304">
        <v>0.11</v>
      </c>
      <c r="R7" s="304">
        <v>0.1</v>
      </c>
      <c r="S7" s="304">
        <v>0.11</v>
      </c>
      <c r="T7" s="305">
        <v>-0.03</v>
      </c>
      <c r="U7" s="305">
        <v>-0.01</v>
      </c>
      <c r="V7" s="305">
        <v>-0.01</v>
      </c>
      <c r="W7" s="305">
        <v>-0.01</v>
      </c>
      <c r="X7" s="305">
        <v>-0.1</v>
      </c>
      <c r="Y7" s="1"/>
      <c r="Z7" s="1"/>
      <c r="AA7" s="306">
        <v>0.08</v>
      </c>
      <c r="AB7" s="306">
        <v>0.09</v>
      </c>
      <c r="AC7" s="306">
        <v>0.1</v>
      </c>
      <c r="AD7" s="306">
        <v>0.11</v>
      </c>
      <c r="AE7" s="306">
        <v>0.1</v>
      </c>
      <c r="AF7" s="306">
        <v>0.11</v>
      </c>
      <c r="AG7" s="306">
        <v>0</v>
      </c>
      <c r="AH7" s="306">
        <v>0</v>
      </c>
      <c r="AI7" s="306">
        <v>0</v>
      </c>
      <c r="AJ7" s="306">
        <v>0</v>
      </c>
      <c r="AK7" s="306">
        <v>0</v>
      </c>
      <c r="AL7" s="307" t="e">
        <v>#REF!</v>
      </c>
    </row>
    <row r="8" spans="1:38" x14ac:dyDescent="0.25">
      <c r="A8" s="44" t="s">
        <v>631</v>
      </c>
      <c r="B8" s="1" t="s">
        <v>685</v>
      </c>
      <c r="C8" s="302" t="s">
        <v>632</v>
      </c>
      <c r="D8" s="116">
        <v>0.23</v>
      </c>
      <c r="E8" s="116">
        <v>0.19</v>
      </c>
      <c r="F8" s="116">
        <v>0.2</v>
      </c>
      <c r="G8" s="116">
        <v>0.25</v>
      </c>
      <c r="H8" s="90"/>
      <c r="I8" s="117">
        <v>0.15</v>
      </c>
      <c r="J8" s="117">
        <v>0.25</v>
      </c>
      <c r="K8" s="117">
        <v>0.25</v>
      </c>
      <c r="L8" s="117">
        <v>0.25</v>
      </c>
      <c r="M8" s="91"/>
      <c r="N8" s="304">
        <v>0.21</v>
      </c>
      <c r="O8" s="304">
        <v>0.19</v>
      </c>
      <c r="P8" s="304">
        <v>0.2</v>
      </c>
      <c r="Q8" s="304">
        <v>0.18</v>
      </c>
      <c r="R8" s="304">
        <v>0.2</v>
      </c>
      <c r="S8" s="304">
        <v>0.19</v>
      </c>
      <c r="T8" s="305">
        <v>-0.06</v>
      </c>
      <c r="U8" s="305">
        <v>0.06</v>
      </c>
      <c r="V8" s="305">
        <v>0.05</v>
      </c>
      <c r="W8" s="305">
        <v>7.0000000000000007E-2</v>
      </c>
      <c r="X8" s="305">
        <v>-0.2</v>
      </c>
      <c r="Y8" s="1"/>
      <c r="Z8" s="1"/>
      <c r="AA8" s="306">
        <v>0.21</v>
      </c>
      <c r="AB8" s="306">
        <v>0.19</v>
      </c>
      <c r="AC8" s="306">
        <v>0.2</v>
      </c>
      <c r="AD8" s="306">
        <v>0.18</v>
      </c>
      <c r="AE8" s="306">
        <v>0.2</v>
      </c>
      <c r="AF8" s="306">
        <v>0.19</v>
      </c>
      <c r="AG8" s="306">
        <v>0</v>
      </c>
      <c r="AH8" s="306">
        <v>0</v>
      </c>
      <c r="AI8" s="306">
        <v>0</v>
      </c>
      <c r="AJ8" s="306">
        <v>0</v>
      </c>
      <c r="AK8" s="306">
        <v>0</v>
      </c>
      <c r="AL8" s="307" t="e">
        <v>#REF!</v>
      </c>
    </row>
    <row r="9" spans="1:38" x14ac:dyDescent="0.25">
      <c r="A9" s="44"/>
      <c r="B9" s="1"/>
      <c r="C9" s="302"/>
      <c r="D9" s="90"/>
      <c r="E9" s="90"/>
      <c r="F9" s="90"/>
      <c r="G9" s="90"/>
      <c r="H9" s="90"/>
      <c r="I9" s="91"/>
      <c r="J9" s="91"/>
      <c r="K9" s="91"/>
      <c r="L9" s="91"/>
      <c r="M9" s="91"/>
      <c r="N9" s="242"/>
      <c r="O9" s="242"/>
      <c r="P9" s="242"/>
      <c r="Q9" s="242"/>
      <c r="R9" s="242"/>
      <c r="S9" s="242"/>
      <c r="T9" s="308"/>
      <c r="U9" s="308"/>
      <c r="V9" s="308"/>
      <c r="W9" s="308"/>
      <c r="X9" s="308"/>
      <c r="Y9" s="1"/>
      <c r="Z9" s="1"/>
      <c r="AA9" s="307"/>
      <c r="AB9" s="307"/>
      <c r="AC9" s="307"/>
      <c r="AD9" s="307"/>
      <c r="AE9" s="307"/>
      <c r="AF9" s="307"/>
      <c r="AG9" s="306">
        <v>0</v>
      </c>
      <c r="AH9" s="306">
        <v>0</v>
      </c>
      <c r="AI9" s="306">
        <v>0</v>
      </c>
      <c r="AJ9" s="306">
        <v>0</v>
      </c>
      <c r="AK9" s="306">
        <v>0</v>
      </c>
      <c r="AL9" s="307" t="e">
        <v>#REF!</v>
      </c>
    </row>
    <row r="10" spans="1:38" x14ac:dyDescent="0.25">
      <c r="A10" s="44" t="s">
        <v>637</v>
      </c>
      <c r="B10" s="1" t="s">
        <v>686</v>
      </c>
      <c r="C10" s="292" t="s">
        <v>297</v>
      </c>
      <c r="D10" s="309">
        <v>1730</v>
      </c>
      <c r="E10" s="309">
        <v>1979</v>
      </c>
      <c r="F10" s="309">
        <v>2002</v>
      </c>
      <c r="G10" s="309">
        <v>1970</v>
      </c>
      <c r="H10" s="309">
        <v>7682</v>
      </c>
      <c r="I10" s="310">
        <v>1852</v>
      </c>
      <c r="J10" s="310">
        <v>2162</v>
      </c>
      <c r="K10" s="310">
        <v>2212</v>
      </c>
      <c r="L10" s="310">
        <v>2208</v>
      </c>
      <c r="M10" s="310">
        <v>8434</v>
      </c>
      <c r="N10" s="311">
        <v>1852</v>
      </c>
      <c r="O10" s="311">
        <v>2143</v>
      </c>
      <c r="P10" s="311">
        <v>2205</v>
      </c>
      <c r="Q10" s="311">
        <v>2197</v>
      </c>
      <c r="R10" s="311">
        <v>8383</v>
      </c>
      <c r="S10" s="311">
        <v>9232</v>
      </c>
      <c r="T10" s="294">
        <v>0</v>
      </c>
      <c r="U10" s="294">
        <v>0.01</v>
      </c>
      <c r="V10" s="294">
        <v>0</v>
      </c>
      <c r="W10" s="294">
        <v>0.01</v>
      </c>
      <c r="X10" s="294">
        <v>0.01</v>
      </c>
      <c r="Y10" s="1"/>
      <c r="Z10" s="1"/>
      <c r="AA10" s="312">
        <v>1852</v>
      </c>
      <c r="AB10" s="312">
        <v>2143</v>
      </c>
      <c r="AC10" s="312">
        <v>2205</v>
      </c>
      <c r="AD10" s="312">
        <v>2197</v>
      </c>
      <c r="AE10" s="312">
        <v>8383</v>
      </c>
      <c r="AF10" s="312">
        <v>9232</v>
      </c>
      <c r="AG10" s="295">
        <v>0</v>
      </c>
      <c r="AH10" s="295">
        <v>0</v>
      </c>
      <c r="AI10" s="295">
        <v>0</v>
      </c>
      <c r="AJ10" s="295">
        <v>0</v>
      </c>
      <c r="AK10" s="295">
        <v>0</v>
      </c>
      <c r="AL10" s="295" t="e">
        <v>#REF!</v>
      </c>
    </row>
    <row r="11" spans="1:38" x14ac:dyDescent="0.25">
      <c r="A11" s="44" t="s">
        <v>641</v>
      </c>
      <c r="B11" s="1" t="s">
        <v>687</v>
      </c>
      <c r="C11" s="313" t="s">
        <v>43</v>
      </c>
      <c r="D11" s="90">
        <v>820</v>
      </c>
      <c r="E11" s="90">
        <v>923</v>
      </c>
      <c r="F11" s="90">
        <v>932</v>
      </c>
      <c r="G11" s="90">
        <v>924</v>
      </c>
      <c r="H11" s="125">
        <v>3599</v>
      </c>
      <c r="I11" s="91">
        <v>898</v>
      </c>
      <c r="J11" s="173">
        <v>1022</v>
      </c>
      <c r="K11" s="173">
        <v>1033</v>
      </c>
      <c r="L11" s="173">
        <v>1035</v>
      </c>
      <c r="M11" s="173">
        <v>3987</v>
      </c>
      <c r="N11" s="242">
        <v>898</v>
      </c>
      <c r="O11" s="314">
        <v>1020</v>
      </c>
      <c r="P11" s="314">
        <v>1044</v>
      </c>
      <c r="Q11" s="314">
        <v>1047</v>
      </c>
      <c r="R11" s="314">
        <v>4009</v>
      </c>
      <c r="S11" s="314">
        <v>4448</v>
      </c>
      <c r="T11" s="305">
        <v>0</v>
      </c>
      <c r="U11" s="305">
        <v>0</v>
      </c>
      <c r="V11" s="305">
        <v>-0.01</v>
      </c>
      <c r="W11" s="305">
        <v>-0.01</v>
      </c>
      <c r="X11" s="305">
        <v>-0.01</v>
      </c>
      <c r="Y11" s="1"/>
      <c r="Z11" s="1"/>
      <c r="AA11" s="307">
        <v>898</v>
      </c>
      <c r="AB11" s="315">
        <v>1020</v>
      </c>
      <c r="AC11" s="315">
        <v>1044</v>
      </c>
      <c r="AD11" s="315">
        <v>1047</v>
      </c>
      <c r="AE11" s="315">
        <v>4009</v>
      </c>
      <c r="AF11" s="315">
        <v>4448</v>
      </c>
      <c r="AG11" s="307">
        <v>0</v>
      </c>
      <c r="AH11" s="307">
        <v>0</v>
      </c>
      <c r="AI11" s="307">
        <v>0</v>
      </c>
      <c r="AJ11" s="307">
        <v>0</v>
      </c>
      <c r="AK11" s="307">
        <v>0</v>
      </c>
      <c r="AL11" s="307" t="e">
        <v>#REF!</v>
      </c>
    </row>
    <row r="12" spans="1:38" x14ac:dyDescent="0.25">
      <c r="A12" s="44"/>
      <c r="B12" s="1"/>
      <c r="C12" s="296" t="s">
        <v>299</v>
      </c>
      <c r="D12" s="200"/>
      <c r="E12" s="200"/>
      <c r="F12" s="200"/>
      <c r="G12" s="200"/>
      <c r="H12" s="200"/>
      <c r="I12" s="297">
        <v>0.09</v>
      </c>
      <c r="J12" s="297">
        <v>0.11</v>
      </c>
      <c r="K12" s="297">
        <v>0.11</v>
      </c>
      <c r="L12" s="297">
        <v>0.12</v>
      </c>
      <c r="M12" s="297">
        <v>0.11</v>
      </c>
      <c r="N12" s="298">
        <v>0.09</v>
      </c>
      <c r="O12" s="298">
        <v>0.11</v>
      </c>
      <c r="P12" s="298">
        <v>0.12</v>
      </c>
      <c r="Q12" s="298">
        <v>0.13</v>
      </c>
      <c r="R12" s="298">
        <v>0.11</v>
      </c>
      <c r="S12" s="298">
        <v>3.95</v>
      </c>
      <c r="T12" s="316">
        <v>0</v>
      </c>
      <c r="U12" s="316">
        <v>0</v>
      </c>
      <c r="V12" s="316">
        <v>-0.01</v>
      </c>
      <c r="W12" s="316">
        <v>-0.01</v>
      </c>
      <c r="X12" s="316">
        <v>-0.01</v>
      </c>
      <c r="Y12" s="1"/>
      <c r="Z12" s="1"/>
      <c r="AA12" s="300">
        <v>0.09</v>
      </c>
      <c r="AB12" s="300">
        <v>0.11</v>
      </c>
      <c r="AC12" s="300">
        <v>0.12</v>
      </c>
      <c r="AD12" s="300">
        <v>0.13</v>
      </c>
      <c r="AE12" s="300">
        <v>0.11</v>
      </c>
      <c r="AF12" s="300">
        <v>3.95</v>
      </c>
      <c r="AG12" s="300">
        <v>0</v>
      </c>
      <c r="AH12" s="300">
        <v>0</v>
      </c>
      <c r="AI12" s="300">
        <v>0</v>
      </c>
      <c r="AJ12" s="300">
        <v>0</v>
      </c>
      <c r="AK12" s="300">
        <v>0</v>
      </c>
      <c r="AL12" s="301" t="e">
        <v>#REF!</v>
      </c>
    </row>
    <row r="13" spans="1:38" x14ac:dyDescent="0.25">
      <c r="A13" s="44">
        <v>0</v>
      </c>
      <c r="B13" s="1"/>
      <c r="C13" s="227"/>
      <c r="D13" s="190"/>
      <c r="E13" s="190"/>
      <c r="F13" s="190"/>
      <c r="G13" s="190"/>
      <c r="H13" s="190"/>
      <c r="I13" s="191"/>
      <c r="J13" s="191"/>
      <c r="K13" s="191"/>
      <c r="L13" s="191"/>
      <c r="M13" s="191"/>
      <c r="N13" s="317"/>
      <c r="O13" s="317"/>
      <c r="P13" s="317"/>
      <c r="Q13" s="317"/>
      <c r="R13" s="317"/>
      <c r="S13" s="317"/>
      <c r="T13" s="318"/>
      <c r="U13" s="318"/>
      <c r="V13" s="318"/>
      <c r="W13" s="318"/>
      <c r="X13" s="318"/>
      <c r="Y13" s="1"/>
      <c r="Z13" s="1"/>
      <c r="AA13" s="319"/>
      <c r="AB13" s="319"/>
      <c r="AC13" s="319"/>
      <c r="AD13" s="319"/>
      <c r="AE13" s="319"/>
      <c r="AF13" s="319"/>
      <c r="AG13" s="319"/>
      <c r="AH13" s="319"/>
      <c r="AI13" s="319"/>
      <c r="AJ13" s="319"/>
      <c r="AK13" s="319"/>
      <c r="AL13" s="319"/>
    </row>
    <row r="14" spans="1:38" x14ac:dyDescent="0.25">
      <c r="A14" s="44">
        <v>0</v>
      </c>
      <c r="B14" s="1"/>
      <c r="C14" s="291" t="s">
        <v>294</v>
      </c>
      <c r="D14" s="90"/>
      <c r="E14" s="90"/>
      <c r="F14" s="90"/>
      <c r="G14" s="90"/>
      <c r="H14" s="90"/>
      <c r="I14" s="91"/>
      <c r="J14" s="91"/>
      <c r="K14" s="91"/>
      <c r="L14" s="91"/>
      <c r="M14" s="91"/>
      <c r="N14" s="242"/>
      <c r="O14" s="242"/>
      <c r="P14" s="242"/>
      <c r="Q14" s="242"/>
      <c r="R14" s="242"/>
      <c r="S14" s="242"/>
      <c r="T14" s="308"/>
      <c r="U14" s="308"/>
      <c r="V14" s="308"/>
      <c r="W14" s="308"/>
      <c r="X14" s="308"/>
      <c r="Y14" s="1"/>
      <c r="Z14" s="1"/>
      <c r="AA14" s="307"/>
      <c r="AB14" s="307"/>
      <c r="AC14" s="307"/>
      <c r="AD14" s="307"/>
      <c r="AE14" s="307"/>
      <c r="AF14" s="307"/>
      <c r="AG14" s="307"/>
      <c r="AH14" s="307"/>
      <c r="AI14" s="307"/>
      <c r="AJ14" s="307"/>
      <c r="AK14" s="307"/>
      <c r="AL14" s="307"/>
    </row>
    <row r="15" spans="1:38" x14ac:dyDescent="0.25">
      <c r="A15" s="44" t="s">
        <v>648</v>
      </c>
      <c r="B15" s="1" t="s">
        <v>688</v>
      </c>
      <c r="C15" s="313" t="s">
        <v>649</v>
      </c>
      <c r="D15" s="90">
        <v>57</v>
      </c>
      <c r="E15" s="90">
        <v>57</v>
      </c>
      <c r="F15" s="90">
        <v>57</v>
      </c>
      <c r="G15" s="90">
        <v>57</v>
      </c>
      <c r="H15" s="90">
        <v>57</v>
      </c>
      <c r="I15" s="91">
        <v>57</v>
      </c>
      <c r="J15" s="91">
        <v>57</v>
      </c>
      <c r="K15" s="91">
        <v>58</v>
      </c>
      <c r="L15" s="91">
        <v>58</v>
      </c>
      <c r="M15" s="91">
        <v>58</v>
      </c>
      <c r="N15" s="242">
        <v>57</v>
      </c>
      <c r="O15" s="242">
        <v>57</v>
      </c>
      <c r="P15" s="242">
        <v>58</v>
      </c>
      <c r="Q15" s="242">
        <v>58</v>
      </c>
      <c r="R15" s="242">
        <v>58</v>
      </c>
      <c r="S15" s="242">
        <v>59</v>
      </c>
      <c r="T15" s="305">
        <v>0</v>
      </c>
      <c r="U15" s="305">
        <v>-0.01</v>
      </c>
      <c r="V15" s="305">
        <v>0</v>
      </c>
      <c r="W15" s="305">
        <v>-0.01</v>
      </c>
      <c r="X15" s="305">
        <v>0</v>
      </c>
      <c r="Y15" s="1"/>
      <c r="Z15" s="1"/>
      <c r="AA15" s="307">
        <v>57</v>
      </c>
      <c r="AB15" s="307">
        <v>57</v>
      </c>
      <c r="AC15" s="307">
        <v>58</v>
      </c>
      <c r="AD15" s="307">
        <v>58</v>
      </c>
      <c r="AE15" s="307">
        <v>58</v>
      </c>
      <c r="AF15" s="307">
        <v>59</v>
      </c>
      <c r="AG15" s="307">
        <v>0</v>
      </c>
      <c r="AH15" s="307">
        <v>0</v>
      </c>
      <c r="AI15" s="307">
        <v>0</v>
      </c>
      <c r="AJ15" s="307">
        <v>0</v>
      </c>
      <c r="AK15" s="307">
        <v>0</v>
      </c>
      <c r="AL15" s="307" t="e">
        <v>#REF!</v>
      </c>
    </row>
    <row r="16" spans="1:38" x14ac:dyDescent="0.25">
      <c r="A16" s="44">
        <v>0</v>
      </c>
      <c r="B16" s="1"/>
      <c r="C16" s="296" t="s">
        <v>299</v>
      </c>
      <c r="D16" s="221"/>
      <c r="E16" s="221"/>
      <c r="F16" s="221"/>
      <c r="G16" s="221"/>
      <c r="H16" s="221"/>
      <c r="I16" s="297">
        <v>0</v>
      </c>
      <c r="J16" s="297">
        <v>0</v>
      </c>
      <c r="K16" s="297">
        <v>0.01</v>
      </c>
      <c r="L16" s="297">
        <v>0.01</v>
      </c>
      <c r="M16" s="303"/>
      <c r="N16" s="298">
        <v>0</v>
      </c>
      <c r="O16" s="298">
        <v>0.01</v>
      </c>
      <c r="P16" s="298">
        <v>0.01</v>
      </c>
      <c r="Q16" s="298">
        <v>0.02</v>
      </c>
      <c r="R16" s="320"/>
      <c r="S16" s="320"/>
      <c r="T16" s="321"/>
      <c r="U16" s="321"/>
      <c r="V16" s="321"/>
      <c r="W16" s="321"/>
      <c r="X16" s="321"/>
      <c r="Y16" s="1"/>
      <c r="Z16" s="1"/>
      <c r="AA16" s="300">
        <v>0</v>
      </c>
      <c r="AB16" s="300">
        <v>0.01</v>
      </c>
      <c r="AC16" s="300">
        <v>0.01</v>
      </c>
      <c r="AD16" s="300">
        <v>0.02</v>
      </c>
      <c r="AE16" s="301"/>
      <c r="AF16" s="301"/>
      <c r="AG16" s="300">
        <v>0</v>
      </c>
      <c r="AH16" s="300">
        <v>0</v>
      </c>
      <c r="AI16" s="300">
        <v>0</v>
      </c>
      <c r="AJ16" s="300">
        <v>0</v>
      </c>
      <c r="AK16" s="300">
        <v>0</v>
      </c>
      <c r="AL16" s="301" t="e">
        <v>#REF!</v>
      </c>
    </row>
    <row r="17" spans="1:38" x14ac:dyDescent="0.25">
      <c r="A17" s="44" t="s">
        <v>651</v>
      </c>
      <c r="B17" s="1" t="s">
        <v>689</v>
      </c>
      <c r="C17" s="313" t="s">
        <v>652</v>
      </c>
      <c r="D17" s="125">
        <v>1255</v>
      </c>
      <c r="E17" s="125">
        <v>1243</v>
      </c>
      <c r="F17" s="125">
        <v>1233</v>
      </c>
      <c r="G17" s="125">
        <v>1255</v>
      </c>
      <c r="H17" s="125">
        <v>4986</v>
      </c>
      <c r="I17" s="173">
        <v>1355</v>
      </c>
      <c r="J17" s="173">
        <v>1355</v>
      </c>
      <c r="K17" s="173">
        <v>1340</v>
      </c>
      <c r="L17" s="173">
        <v>1395</v>
      </c>
      <c r="M17" s="173">
        <v>5444</v>
      </c>
      <c r="N17" s="314">
        <v>1355</v>
      </c>
      <c r="O17" s="314">
        <v>1351</v>
      </c>
      <c r="P17" s="314">
        <v>1355</v>
      </c>
      <c r="Q17" s="314">
        <v>1385</v>
      </c>
      <c r="R17" s="314">
        <v>5438</v>
      </c>
      <c r="S17" s="314">
        <v>5914</v>
      </c>
      <c r="T17" s="305">
        <v>0</v>
      </c>
      <c r="U17" s="305">
        <v>0</v>
      </c>
      <c r="V17" s="305">
        <v>-0.01</v>
      </c>
      <c r="W17" s="305">
        <v>0.01</v>
      </c>
      <c r="X17" s="305">
        <v>0</v>
      </c>
      <c r="Y17" s="1"/>
      <c r="Z17" s="1"/>
      <c r="AA17" s="315">
        <v>1355</v>
      </c>
      <c r="AB17" s="315">
        <v>1351</v>
      </c>
      <c r="AC17" s="315">
        <v>1355</v>
      </c>
      <c r="AD17" s="315">
        <v>1385</v>
      </c>
      <c r="AE17" s="315">
        <v>5438</v>
      </c>
      <c r="AF17" s="315">
        <v>5914</v>
      </c>
      <c r="AG17" s="307">
        <v>0</v>
      </c>
      <c r="AH17" s="307">
        <v>0</v>
      </c>
      <c r="AI17" s="307">
        <v>0</v>
      </c>
      <c r="AJ17" s="307">
        <v>0</v>
      </c>
      <c r="AK17" s="307">
        <v>0</v>
      </c>
      <c r="AL17" s="307" t="e">
        <v>#REF!</v>
      </c>
    </row>
    <row r="18" spans="1:38" x14ac:dyDescent="0.25">
      <c r="A18" s="44">
        <v>0</v>
      </c>
      <c r="B18" s="1"/>
      <c r="C18" s="296" t="s">
        <v>299</v>
      </c>
      <c r="D18" s="221"/>
      <c r="E18" s="221"/>
      <c r="F18" s="221"/>
      <c r="G18" s="221"/>
      <c r="H18" s="221"/>
      <c r="I18" s="297">
        <v>0.08</v>
      </c>
      <c r="J18" s="297">
        <v>0.09</v>
      </c>
      <c r="K18" s="297">
        <v>0.09</v>
      </c>
      <c r="L18" s="297">
        <v>0.11</v>
      </c>
      <c r="M18" s="303"/>
      <c r="N18" s="298">
        <v>0.08</v>
      </c>
      <c r="O18" s="298">
        <v>0.09</v>
      </c>
      <c r="P18" s="298">
        <v>0.1</v>
      </c>
      <c r="Q18" s="298">
        <v>0.1</v>
      </c>
      <c r="R18" s="320"/>
      <c r="S18" s="320"/>
      <c r="T18" s="321"/>
      <c r="U18" s="321"/>
      <c r="V18" s="321"/>
      <c r="W18" s="321"/>
      <c r="X18" s="321"/>
      <c r="Y18" s="1"/>
      <c r="Z18" s="1"/>
      <c r="AA18" s="300">
        <v>0.08</v>
      </c>
      <c r="AB18" s="300">
        <v>0.09</v>
      </c>
      <c r="AC18" s="300">
        <v>0.1</v>
      </c>
      <c r="AD18" s="300">
        <v>0.1</v>
      </c>
      <c r="AE18" s="301"/>
      <c r="AF18" s="301"/>
      <c r="AG18" s="300">
        <v>0</v>
      </c>
      <c r="AH18" s="300">
        <v>0</v>
      </c>
      <c r="AI18" s="300">
        <v>0</v>
      </c>
      <c r="AJ18" s="300">
        <v>0</v>
      </c>
      <c r="AK18" s="300">
        <v>0</v>
      </c>
      <c r="AL18" s="301" t="e">
        <v>#REF!</v>
      </c>
    </row>
    <row r="19" spans="1:38" x14ac:dyDescent="0.25">
      <c r="A19" s="44" t="s">
        <v>654</v>
      </c>
      <c r="B19" s="1" t="s">
        <v>690</v>
      </c>
      <c r="C19" s="313" t="s">
        <v>655</v>
      </c>
      <c r="D19" s="105">
        <v>1.4800000000000001E-2</v>
      </c>
      <c r="E19" s="105">
        <v>1.5299999999999999E-2</v>
      </c>
      <c r="F19" s="105">
        <v>1.52E-2</v>
      </c>
      <c r="G19" s="105">
        <v>1.5100000000000001E-2</v>
      </c>
      <c r="H19" s="105">
        <v>1.5100000000000001E-2</v>
      </c>
      <c r="I19" s="106">
        <v>1.49E-2</v>
      </c>
      <c r="J19" s="106">
        <v>1.5800000000000002E-2</v>
      </c>
      <c r="K19" s="106">
        <v>1.6400000000000001E-2</v>
      </c>
      <c r="L19" s="106">
        <v>1.66E-2</v>
      </c>
      <c r="M19" s="106">
        <v>1.5900000000000001E-2</v>
      </c>
      <c r="N19" s="322">
        <v>1.49E-2</v>
      </c>
      <c r="O19" s="322">
        <v>1.52E-2</v>
      </c>
      <c r="P19" s="322">
        <v>1.54E-2</v>
      </c>
      <c r="Q19" s="322">
        <v>1.55E-2</v>
      </c>
      <c r="R19" s="322">
        <v>1.52E-2</v>
      </c>
      <c r="S19" s="322">
        <v>1.5599999999999999E-2</v>
      </c>
      <c r="T19" s="305">
        <v>0</v>
      </c>
      <c r="U19" s="305">
        <v>0.04</v>
      </c>
      <c r="V19" s="305">
        <v>7.0000000000000007E-2</v>
      </c>
      <c r="W19" s="305">
        <v>7.0000000000000007E-2</v>
      </c>
      <c r="X19" s="305">
        <v>0.05</v>
      </c>
      <c r="Y19" s="1"/>
      <c r="Z19" s="1"/>
      <c r="AA19" s="323">
        <v>1.49E-2</v>
      </c>
      <c r="AB19" s="323">
        <v>1.52E-2</v>
      </c>
      <c r="AC19" s="323">
        <v>1.54E-2</v>
      </c>
      <c r="AD19" s="323">
        <v>1.55E-2</v>
      </c>
      <c r="AE19" s="323">
        <v>1.52E-2</v>
      </c>
      <c r="AF19" s="323">
        <v>1.5599999999999999E-2</v>
      </c>
      <c r="AG19" s="323">
        <v>0</v>
      </c>
      <c r="AH19" s="323">
        <v>0</v>
      </c>
      <c r="AI19" s="323">
        <v>0</v>
      </c>
      <c r="AJ19" s="323">
        <v>0</v>
      </c>
      <c r="AK19" s="323">
        <v>0</v>
      </c>
      <c r="AL19" s="307" t="e">
        <v>#REF!</v>
      </c>
    </row>
    <row r="20" spans="1:38" x14ac:dyDescent="0.25">
      <c r="A20" s="44"/>
      <c r="B20" s="1"/>
      <c r="C20" s="313"/>
      <c r="D20" s="90"/>
      <c r="E20" s="90"/>
      <c r="F20" s="90"/>
      <c r="G20" s="90"/>
      <c r="H20" s="90"/>
      <c r="I20" s="91"/>
      <c r="J20" s="91"/>
      <c r="K20" s="91"/>
      <c r="L20" s="91"/>
      <c r="M20" s="91"/>
      <c r="N20" s="242"/>
      <c r="O20" s="242"/>
      <c r="P20" s="242"/>
      <c r="Q20" s="242"/>
      <c r="R20" s="242"/>
      <c r="S20" s="242"/>
      <c r="T20" s="308"/>
      <c r="U20" s="308"/>
      <c r="V20" s="308"/>
      <c r="W20" s="308"/>
      <c r="X20" s="308"/>
      <c r="Y20" s="1"/>
      <c r="Z20" s="1"/>
      <c r="AA20" s="307"/>
      <c r="AB20" s="307"/>
      <c r="AC20" s="307"/>
      <c r="AD20" s="307"/>
      <c r="AE20" s="307"/>
      <c r="AF20" s="307"/>
      <c r="AG20" s="307"/>
      <c r="AH20" s="307"/>
      <c r="AI20" s="307"/>
      <c r="AJ20" s="307"/>
      <c r="AK20" s="307"/>
      <c r="AL20" s="307"/>
    </row>
    <row r="21" spans="1:38" x14ac:dyDescent="0.25">
      <c r="A21" s="44" t="s">
        <v>668</v>
      </c>
      <c r="B21" s="1" t="s">
        <v>691</v>
      </c>
      <c r="C21" s="313" t="s">
        <v>692</v>
      </c>
      <c r="D21" s="125">
        <v>1259</v>
      </c>
      <c r="E21" s="125">
        <v>1299</v>
      </c>
      <c r="F21" s="125">
        <v>1306</v>
      </c>
      <c r="G21" s="125">
        <v>1376</v>
      </c>
      <c r="H21" s="125">
        <v>5239</v>
      </c>
      <c r="I21" s="173">
        <v>1380</v>
      </c>
      <c r="J21" s="173">
        <v>1467</v>
      </c>
      <c r="K21" s="173">
        <v>1562</v>
      </c>
      <c r="L21" s="173">
        <v>1702</v>
      </c>
      <c r="M21" s="173">
        <v>6111</v>
      </c>
      <c r="N21" s="314">
        <v>1380</v>
      </c>
      <c r="O21" s="314">
        <v>1422</v>
      </c>
      <c r="P21" s="314">
        <v>1474</v>
      </c>
      <c r="Q21" s="314">
        <v>1591</v>
      </c>
      <c r="R21" s="314">
        <v>5866</v>
      </c>
      <c r="S21" s="314">
        <v>6723</v>
      </c>
      <c r="T21" s="305">
        <v>0</v>
      </c>
      <c r="U21" s="305">
        <v>0.03</v>
      </c>
      <c r="V21" s="305">
        <v>0.06</v>
      </c>
      <c r="W21" s="305">
        <v>7.0000000000000007E-2</v>
      </c>
      <c r="X21" s="305">
        <v>0.04</v>
      </c>
      <c r="Y21" s="1"/>
      <c r="Z21" s="1"/>
      <c r="AA21" s="315">
        <v>1380</v>
      </c>
      <c r="AB21" s="315">
        <v>1422</v>
      </c>
      <c r="AC21" s="315">
        <v>1474</v>
      </c>
      <c r="AD21" s="315">
        <v>1591</v>
      </c>
      <c r="AE21" s="315">
        <v>5866</v>
      </c>
      <c r="AF21" s="315">
        <v>6723</v>
      </c>
      <c r="AG21" s="307">
        <v>0</v>
      </c>
      <c r="AH21" s="307">
        <v>0</v>
      </c>
      <c r="AI21" s="307">
        <v>0</v>
      </c>
      <c r="AJ21" s="307">
        <v>0</v>
      </c>
      <c r="AK21" s="307">
        <v>0</v>
      </c>
      <c r="AL21" s="307" t="e">
        <v>#REF!</v>
      </c>
    </row>
    <row r="22" spans="1:38" x14ac:dyDescent="0.25">
      <c r="A22" s="44"/>
      <c r="B22" s="1"/>
      <c r="C22" s="296" t="s">
        <v>299</v>
      </c>
      <c r="D22" s="200"/>
      <c r="E22" s="200"/>
      <c r="F22" s="200"/>
      <c r="G22" s="200"/>
      <c r="H22" s="200"/>
      <c r="I22" s="297">
        <v>0.1</v>
      </c>
      <c r="J22" s="297">
        <v>0.13</v>
      </c>
      <c r="K22" s="297">
        <v>0.2</v>
      </c>
      <c r="L22" s="297">
        <v>0.24</v>
      </c>
      <c r="M22" s="297">
        <v>0.17</v>
      </c>
      <c r="N22" s="298">
        <v>0.1</v>
      </c>
      <c r="O22" s="298">
        <v>0.09</v>
      </c>
      <c r="P22" s="298">
        <v>0.13</v>
      </c>
      <c r="Q22" s="298">
        <v>0.16</v>
      </c>
      <c r="R22" s="298">
        <v>0.12</v>
      </c>
      <c r="S22" s="298">
        <v>3.87</v>
      </c>
      <c r="T22" s="316">
        <v>0</v>
      </c>
      <c r="U22" s="316">
        <v>0.04</v>
      </c>
      <c r="V22" s="316">
        <v>7.0000000000000007E-2</v>
      </c>
      <c r="W22" s="316">
        <v>0.08</v>
      </c>
      <c r="X22" s="316">
        <v>0.05</v>
      </c>
      <c r="Y22" s="1"/>
      <c r="Z22" s="1"/>
      <c r="AA22" s="300">
        <v>0.1</v>
      </c>
      <c r="AB22" s="300">
        <v>0.09</v>
      </c>
      <c r="AC22" s="300">
        <v>0.13</v>
      </c>
      <c r="AD22" s="300">
        <v>0.16</v>
      </c>
      <c r="AE22" s="300">
        <v>0.12</v>
      </c>
      <c r="AF22" s="300">
        <v>3.87</v>
      </c>
      <c r="AG22" s="300">
        <v>0</v>
      </c>
      <c r="AH22" s="300">
        <v>0</v>
      </c>
      <c r="AI22" s="300">
        <v>0</v>
      </c>
      <c r="AJ22" s="300">
        <v>0</v>
      </c>
      <c r="AK22" s="300">
        <v>0</v>
      </c>
      <c r="AL22" s="301" t="e">
        <v>#REF!</v>
      </c>
    </row>
    <row r="23" spans="1:38" x14ac:dyDescent="0.25">
      <c r="A23" s="44"/>
      <c r="B23" s="1"/>
      <c r="C23" s="296"/>
      <c r="D23" s="200"/>
      <c r="E23" s="200"/>
      <c r="F23" s="200"/>
      <c r="G23" s="200"/>
      <c r="H23" s="200"/>
      <c r="I23" s="303"/>
      <c r="J23" s="303"/>
      <c r="K23" s="303"/>
      <c r="L23" s="303"/>
      <c r="M23" s="303"/>
      <c r="N23" s="320"/>
      <c r="O23" s="320"/>
      <c r="P23" s="320"/>
      <c r="Q23" s="320"/>
      <c r="R23" s="320"/>
      <c r="S23" s="320"/>
      <c r="T23" s="324"/>
      <c r="U23" s="324"/>
      <c r="V23" s="324"/>
      <c r="W23" s="324"/>
      <c r="X23" s="324"/>
      <c r="Y23" s="1"/>
      <c r="Z23" s="1"/>
      <c r="AA23" s="301"/>
      <c r="AB23" s="301"/>
      <c r="AC23" s="301"/>
      <c r="AD23" s="301"/>
      <c r="AE23" s="301"/>
      <c r="AF23" s="301"/>
      <c r="AG23" s="300">
        <v>0</v>
      </c>
      <c r="AH23" s="300">
        <v>0</v>
      </c>
      <c r="AI23" s="300">
        <v>0</v>
      </c>
      <c r="AJ23" s="300">
        <v>0</v>
      </c>
      <c r="AK23" s="300">
        <v>0</v>
      </c>
      <c r="AL23" s="301" t="e">
        <v>#REF!</v>
      </c>
    </row>
    <row r="24" spans="1:38" x14ac:dyDescent="0.25">
      <c r="A24" s="1"/>
      <c r="B24" s="1"/>
      <c r="C24" s="291" t="s">
        <v>693</v>
      </c>
      <c r="D24" s="200"/>
      <c r="E24" s="200"/>
      <c r="F24" s="200"/>
      <c r="G24" s="200"/>
      <c r="H24" s="200"/>
      <c r="I24" s="282"/>
      <c r="J24" s="282"/>
      <c r="K24" s="282"/>
      <c r="L24" s="282"/>
      <c r="M24" s="282"/>
      <c r="N24" s="283"/>
      <c r="O24" s="283"/>
      <c r="P24" s="283"/>
      <c r="Q24" s="283"/>
      <c r="R24" s="283"/>
      <c r="S24" s="283"/>
      <c r="T24" s="284"/>
      <c r="U24" s="284"/>
      <c r="V24" s="284"/>
      <c r="W24" s="284"/>
      <c r="X24" s="284"/>
      <c r="Y24" s="1"/>
      <c r="Z24" s="1"/>
      <c r="AA24" s="285"/>
      <c r="AB24" s="285"/>
      <c r="AC24" s="285"/>
      <c r="AD24" s="285"/>
      <c r="AE24" s="285"/>
      <c r="AF24" s="285"/>
      <c r="AG24" s="285">
        <v>0</v>
      </c>
      <c r="AH24" s="285">
        <v>0</v>
      </c>
      <c r="AI24" s="285">
        <v>0</v>
      </c>
      <c r="AJ24" s="285">
        <v>0</v>
      </c>
      <c r="AK24" s="285">
        <v>0</v>
      </c>
      <c r="AL24" s="285" t="e">
        <v>#REF!</v>
      </c>
    </row>
    <row r="25" spans="1:38" x14ac:dyDescent="0.25">
      <c r="A25" s="1" t="s">
        <v>48</v>
      </c>
      <c r="B25" s="1" t="s">
        <v>45</v>
      </c>
      <c r="C25" s="313" t="s">
        <v>43</v>
      </c>
      <c r="D25" s="125">
        <v>2094</v>
      </c>
      <c r="E25" s="125">
        <v>2233</v>
      </c>
      <c r="F25" s="125">
        <v>2250</v>
      </c>
      <c r="G25" s="125">
        <v>2311</v>
      </c>
      <c r="H25" s="125">
        <v>8889</v>
      </c>
      <c r="I25" s="173">
        <v>2290</v>
      </c>
      <c r="J25" s="325">
        <v>2501</v>
      </c>
      <c r="K25" s="173">
        <v>2626</v>
      </c>
      <c r="L25" s="173">
        <v>2770</v>
      </c>
      <c r="M25" s="173">
        <v>10187</v>
      </c>
      <c r="N25" s="314">
        <v>2304</v>
      </c>
      <c r="O25" s="314">
        <v>2462</v>
      </c>
      <c r="P25" s="314">
        <v>2538</v>
      </c>
      <c r="Q25" s="314">
        <v>2659</v>
      </c>
      <c r="R25" s="314">
        <v>9955</v>
      </c>
      <c r="S25" s="314">
        <v>11235</v>
      </c>
      <c r="T25" s="305">
        <v>-0.01</v>
      </c>
      <c r="U25" s="305">
        <v>0.02</v>
      </c>
      <c r="V25" s="305">
        <v>0.03</v>
      </c>
      <c r="W25" s="305">
        <v>0.04</v>
      </c>
      <c r="X25" s="305">
        <v>0.02</v>
      </c>
      <c r="Y25" s="1"/>
      <c r="Z25" s="1"/>
      <c r="AA25" s="315">
        <v>2304</v>
      </c>
      <c r="AB25" s="315">
        <v>2462</v>
      </c>
      <c r="AC25" s="315">
        <v>2538</v>
      </c>
      <c r="AD25" s="315">
        <v>2659</v>
      </c>
      <c r="AE25" s="315">
        <v>9955</v>
      </c>
      <c r="AF25" s="315">
        <v>11235</v>
      </c>
      <c r="AG25" s="307">
        <v>0</v>
      </c>
      <c r="AH25" s="307">
        <v>0</v>
      </c>
      <c r="AI25" s="307">
        <v>0</v>
      </c>
      <c r="AJ25" s="307">
        <v>0</v>
      </c>
      <c r="AK25" s="307">
        <v>0</v>
      </c>
      <c r="AL25" s="307" t="e">
        <v>#REF!</v>
      </c>
    </row>
    <row r="26" spans="1:38" x14ac:dyDescent="0.25">
      <c r="A26" s="44"/>
      <c r="B26" s="1"/>
      <c r="C26" s="296" t="s">
        <v>299</v>
      </c>
      <c r="D26" s="200"/>
      <c r="E26" s="200"/>
      <c r="F26" s="200"/>
      <c r="G26" s="200"/>
      <c r="H26" s="200"/>
      <c r="I26" s="297">
        <v>0.09</v>
      </c>
      <c r="J26" s="297">
        <v>0.12</v>
      </c>
      <c r="K26" s="297">
        <v>0.17</v>
      </c>
      <c r="L26" s="297">
        <v>0.2</v>
      </c>
      <c r="M26" s="297">
        <v>0.15</v>
      </c>
      <c r="N26" s="298">
        <v>0.1</v>
      </c>
      <c r="O26" s="298">
        <v>0.1</v>
      </c>
      <c r="P26" s="298">
        <v>0.13</v>
      </c>
      <c r="Q26" s="298">
        <v>0.15</v>
      </c>
      <c r="R26" s="298">
        <v>0.12</v>
      </c>
      <c r="S26" s="298">
        <v>0.13</v>
      </c>
      <c r="T26" s="316">
        <v>-0.01</v>
      </c>
      <c r="U26" s="316">
        <v>0.02</v>
      </c>
      <c r="V26" s="316">
        <v>0.04</v>
      </c>
      <c r="W26" s="316">
        <v>0.05</v>
      </c>
      <c r="X26" s="316">
        <v>0.03</v>
      </c>
      <c r="Y26" s="1"/>
      <c r="Z26" s="1"/>
      <c r="AA26" s="300">
        <v>0.1</v>
      </c>
      <c r="AB26" s="300">
        <v>0.1</v>
      </c>
      <c r="AC26" s="300">
        <v>0.13</v>
      </c>
      <c r="AD26" s="300">
        <v>0.15</v>
      </c>
      <c r="AE26" s="300">
        <v>0.12</v>
      </c>
      <c r="AF26" s="300">
        <v>0.13</v>
      </c>
      <c r="AG26" s="300">
        <v>0</v>
      </c>
      <c r="AH26" s="300">
        <v>0</v>
      </c>
      <c r="AI26" s="300">
        <v>0</v>
      </c>
      <c r="AJ26" s="300">
        <v>0</v>
      </c>
      <c r="AK26" s="300">
        <v>0</v>
      </c>
      <c r="AL26" s="301" t="e">
        <v>#REF!</v>
      </c>
    </row>
    <row r="27" spans="1:38" x14ac:dyDescent="0.25">
      <c r="A27" s="1" t="s">
        <v>61</v>
      </c>
      <c r="B27" s="1" t="s">
        <v>58</v>
      </c>
      <c r="C27" s="313" t="s">
        <v>694</v>
      </c>
      <c r="D27" s="90">
        <v>364</v>
      </c>
      <c r="E27" s="90">
        <v>399</v>
      </c>
      <c r="F27" s="90">
        <v>444</v>
      </c>
      <c r="G27" s="90">
        <v>402</v>
      </c>
      <c r="H27" s="125">
        <v>1609</v>
      </c>
      <c r="I27" s="91">
        <v>466</v>
      </c>
      <c r="J27" s="85">
        <v>474</v>
      </c>
      <c r="K27" s="91">
        <v>495</v>
      </c>
      <c r="L27" s="91">
        <v>586</v>
      </c>
      <c r="M27" s="173">
        <v>2021</v>
      </c>
      <c r="N27" s="242">
        <v>466</v>
      </c>
      <c r="O27" s="242">
        <v>453</v>
      </c>
      <c r="P27" s="242">
        <v>490</v>
      </c>
      <c r="Q27" s="242">
        <v>495</v>
      </c>
      <c r="R27" s="314">
        <v>1905</v>
      </c>
      <c r="S27" s="314">
        <v>2521</v>
      </c>
      <c r="T27" s="305">
        <v>0</v>
      </c>
      <c r="U27" s="305">
        <v>0.05</v>
      </c>
      <c r="V27" s="305">
        <v>0.01</v>
      </c>
      <c r="W27" s="305">
        <v>0.18</v>
      </c>
      <c r="X27" s="305">
        <v>0.06</v>
      </c>
      <c r="Y27" s="1"/>
      <c r="Z27" s="1"/>
      <c r="AA27" s="307">
        <v>466</v>
      </c>
      <c r="AB27" s="307">
        <v>453</v>
      </c>
      <c r="AC27" s="307">
        <v>490</v>
      </c>
      <c r="AD27" s="307">
        <v>495</v>
      </c>
      <c r="AE27" s="315">
        <v>1905</v>
      </c>
      <c r="AF27" s="315">
        <v>2521</v>
      </c>
      <c r="AG27" s="307">
        <v>0</v>
      </c>
      <c r="AH27" s="307">
        <v>0</v>
      </c>
      <c r="AI27" s="307">
        <v>0</v>
      </c>
      <c r="AJ27" s="307">
        <v>0</v>
      </c>
      <c r="AK27" s="307">
        <v>0</v>
      </c>
      <c r="AL27" s="307" t="e">
        <v>#REF!</v>
      </c>
    </row>
    <row r="28" spans="1:38" x14ac:dyDescent="0.25">
      <c r="A28" s="44"/>
      <c r="B28" s="1"/>
      <c r="C28" s="296" t="s">
        <v>324</v>
      </c>
      <c r="D28" s="200"/>
      <c r="E28" s="200"/>
      <c r="F28" s="200"/>
      <c r="G28" s="200"/>
      <c r="H28" s="200"/>
      <c r="I28" s="297">
        <v>0.2</v>
      </c>
      <c r="J28" s="297">
        <v>0.19</v>
      </c>
      <c r="K28" s="297">
        <v>0.19</v>
      </c>
      <c r="L28" s="297">
        <v>0.21</v>
      </c>
      <c r="M28" s="297">
        <v>0.2</v>
      </c>
      <c r="N28" s="298">
        <v>0.2</v>
      </c>
      <c r="O28" s="298">
        <v>0.18</v>
      </c>
      <c r="P28" s="298">
        <v>0.19</v>
      </c>
      <c r="Q28" s="298">
        <v>0.19</v>
      </c>
      <c r="R28" s="298">
        <v>0.19</v>
      </c>
      <c r="S28" s="298">
        <v>0.22</v>
      </c>
      <c r="T28" s="316">
        <v>0</v>
      </c>
      <c r="U28" s="316">
        <v>0.01</v>
      </c>
      <c r="V28" s="316">
        <v>0</v>
      </c>
      <c r="W28" s="316">
        <v>0.03</v>
      </c>
      <c r="X28" s="316">
        <v>0.01</v>
      </c>
      <c r="Y28" s="1"/>
      <c r="Z28" s="1"/>
      <c r="AA28" s="300">
        <v>0.2</v>
      </c>
      <c r="AB28" s="300">
        <v>0.18</v>
      </c>
      <c r="AC28" s="300">
        <v>0.19</v>
      </c>
      <c r="AD28" s="300">
        <v>0.19</v>
      </c>
      <c r="AE28" s="300">
        <v>0.19</v>
      </c>
      <c r="AF28" s="300">
        <v>0.22</v>
      </c>
      <c r="AG28" s="300">
        <v>0</v>
      </c>
      <c r="AH28" s="300">
        <v>0</v>
      </c>
      <c r="AI28" s="300">
        <v>0</v>
      </c>
      <c r="AJ28" s="300">
        <v>0</v>
      </c>
      <c r="AK28" s="300">
        <v>0</v>
      </c>
      <c r="AL28" s="301" t="e">
        <v>#REF!</v>
      </c>
    </row>
    <row r="29" spans="1:38" x14ac:dyDescent="0.25">
      <c r="A29" s="1"/>
      <c r="B29" s="1"/>
      <c r="C29" s="200" t="s">
        <v>500</v>
      </c>
      <c r="D29" s="200"/>
      <c r="E29" s="200"/>
      <c r="F29" s="200"/>
      <c r="G29" s="200"/>
      <c r="H29" s="200"/>
      <c r="I29" s="94">
        <v>30</v>
      </c>
      <c r="J29" s="94">
        <v>31</v>
      </c>
      <c r="K29" s="94">
        <v>36</v>
      </c>
      <c r="L29" s="94">
        <v>41</v>
      </c>
      <c r="M29" s="94">
        <v>34</v>
      </c>
      <c r="N29" s="242">
        <v>30</v>
      </c>
      <c r="O29" s="242">
        <v>29</v>
      </c>
      <c r="P29" s="242">
        <v>32</v>
      </c>
      <c r="Q29" s="242">
        <v>34</v>
      </c>
      <c r="R29" s="242">
        <v>31</v>
      </c>
      <c r="S29" s="242">
        <v>35</v>
      </c>
      <c r="T29" s="284"/>
      <c r="U29" s="284"/>
      <c r="V29" s="284"/>
      <c r="W29" s="284"/>
      <c r="X29" s="284"/>
      <c r="Y29" s="1"/>
      <c r="Z29" s="1"/>
      <c r="AA29" s="307">
        <v>30</v>
      </c>
      <c r="AB29" s="307">
        <v>29</v>
      </c>
      <c r="AC29" s="307">
        <v>32</v>
      </c>
      <c r="AD29" s="307">
        <v>34</v>
      </c>
      <c r="AE29" s="307">
        <v>31</v>
      </c>
      <c r="AF29" s="307">
        <v>35</v>
      </c>
      <c r="AG29" s="307">
        <v>0</v>
      </c>
      <c r="AH29" s="307">
        <v>0</v>
      </c>
      <c r="AI29" s="307">
        <v>0</v>
      </c>
      <c r="AJ29" s="307">
        <v>0</v>
      </c>
      <c r="AK29" s="307">
        <v>0</v>
      </c>
      <c r="AL29" s="307" t="e">
        <v>#REF!</v>
      </c>
    </row>
    <row r="30" spans="1:38" x14ac:dyDescent="0.25">
      <c r="A30" s="1"/>
      <c r="B30" s="1"/>
      <c r="C30" s="200"/>
      <c r="D30" s="200"/>
      <c r="E30" s="200"/>
      <c r="F30" s="200"/>
      <c r="G30" s="200"/>
      <c r="H30" s="200"/>
      <c r="I30" s="282"/>
      <c r="J30" s="282"/>
      <c r="K30" s="282"/>
      <c r="L30" s="282"/>
      <c r="M30" s="282"/>
      <c r="N30" s="283"/>
      <c r="O30" s="283"/>
      <c r="P30" s="283"/>
      <c r="Q30" s="283"/>
      <c r="R30" s="283"/>
      <c r="S30" s="283"/>
      <c r="T30" s="284"/>
      <c r="U30" s="284"/>
      <c r="V30" s="284"/>
      <c r="W30" s="284"/>
      <c r="X30" s="284"/>
      <c r="Y30" s="1"/>
      <c r="Z30" s="1"/>
      <c r="AA30" s="285"/>
      <c r="AB30" s="285"/>
      <c r="AC30" s="285"/>
      <c r="AD30" s="285"/>
      <c r="AE30" s="285"/>
      <c r="AF30" s="285"/>
      <c r="AG30" s="285"/>
      <c r="AH30" s="285"/>
      <c r="AI30" s="285"/>
      <c r="AJ30" s="285"/>
      <c r="AK30" s="285"/>
      <c r="AL30" s="285"/>
    </row>
    <row r="31" spans="1:38" x14ac:dyDescent="0.25">
      <c r="A31" s="1"/>
      <c r="B31" s="1"/>
      <c r="C31" s="200"/>
      <c r="D31" s="200"/>
      <c r="E31" s="200"/>
      <c r="F31" s="200"/>
      <c r="G31" s="200"/>
      <c r="H31" s="200"/>
      <c r="I31" s="282"/>
      <c r="J31" s="282"/>
      <c r="K31" s="282"/>
      <c r="L31" s="282"/>
      <c r="M31" s="282"/>
      <c r="N31" s="283"/>
      <c r="O31" s="283"/>
      <c r="P31" s="283"/>
      <c r="Q31" s="283"/>
      <c r="R31" s="283"/>
      <c r="S31" s="283"/>
      <c r="T31" s="284"/>
      <c r="U31" s="284"/>
      <c r="V31" s="284"/>
      <c r="W31" s="284"/>
      <c r="X31" s="284"/>
      <c r="Y31" s="1"/>
      <c r="Z31" s="1"/>
      <c r="AA31" s="285"/>
      <c r="AB31" s="285"/>
      <c r="AC31" s="285"/>
      <c r="AD31" s="285"/>
      <c r="AE31" s="285"/>
      <c r="AF31" s="285"/>
      <c r="AG31" s="285"/>
      <c r="AH31" s="285"/>
      <c r="AI31" s="285"/>
      <c r="AJ31" s="285"/>
      <c r="AK31" s="285"/>
      <c r="AL31" s="285"/>
    </row>
    <row r="32" spans="1:38" x14ac:dyDescent="0.25">
      <c r="A32" s="1"/>
      <c r="B32" s="1"/>
      <c r="C32" s="156" t="s">
        <v>602</v>
      </c>
      <c r="D32" s="200"/>
      <c r="E32" s="200"/>
      <c r="F32" s="200"/>
      <c r="G32" s="200"/>
      <c r="H32" s="200"/>
      <c r="I32" s="282"/>
      <c r="J32" s="282"/>
      <c r="K32" s="282"/>
      <c r="L32" s="282"/>
      <c r="M32" s="282"/>
      <c r="N32" s="283"/>
      <c r="O32" s="283"/>
      <c r="P32" s="283"/>
      <c r="Q32" s="283"/>
      <c r="R32" s="283"/>
      <c r="S32" s="283"/>
      <c r="T32" s="284"/>
      <c r="U32" s="284"/>
      <c r="V32" s="284"/>
      <c r="W32" s="284"/>
      <c r="X32" s="284"/>
      <c r="Y32" s="1"/>
      <c r="Z32" s="1"/>
      <c r="AA32" s="285"/>
      <c r="AB32" s="285"/>
      <c r="AC32" s="285"/>
      <c r="AD32" s="285"/>
      <c r="AE32" s="285"/>
      <c r="AF32" s="285"/>
      <c r="AG32" s="285"/>
      <c r="AH32" s="285"/>
      <c r="AI32" s="285"/>
      <c r="AJ32" s="285"/>
      <c r="AK32" s="285"/>
      <c r="AL32" s="285"/>
    </row>
    <row r="33" spans="1:38" x14ac:dyDescent="0.25">
      <c r="A33" s="1"/>
      <c r="B33" s="1"/>
      <c r="C33" s="313" t="s">
        <v>43</v>
      </c>
      <c r="D33" s="200"/>
      <c r="E33" s="200"/>
      <c r="F33" s="200"/>
      <c r="G33" s="200"/>
      <c r="H33" s="200"/>
      <c r="I33" s="326">
        <v>2320</v>
      </c>
      <c r="J33" s="327">
        <v>2450</v>
      </c>
      <c r="K33" s="326">
        <v>2600</v>
      </c>
      <c r="L33" s="326">
        <v>2744</v>
      </c>
      <c r="M33" s="326">
        <v>10170</v>
      </c>
      <c r="N33" s="283"/>
      <c r="O33" s="283"/>
      <c r="P33" s="283"/>
      <c r="Q33" s="283"/>
      <c r="R33" s="283"/>
      <c r="S33" s="283"/>
      <c r="T33" s="284"/>
      <c r="U33" s="284"/>
      <c r="V33" s="284"/>
      <c r="W33" s="284"/>
      <c r="X33" s="284"/>
      <c r="Y33" s="1"/>
      <c r="Z33" s="1"/>
      <c r="AA33" s="285"/>
      <c r="AB33" s="285"/>
      <c r="AC33" s="285"/>
      <c r="AD33" s="285"/>
      <c r="AE33" s="285"/>
      <c r="AF33" s="285"/>
      <c r="AG33" s="285"/>
      <c r="AH33" s="285"/>
      <c r="AI33" s="285"/>
      <c r="AJ33" s="285"/>
      <c r="AK33" s="285"/>
      <c r="AL33" s="285"/>
    </row>
    <row r="34" spans="1:38" x14ac:dyDescent="0.25">
      <c r="A34" s="1"/>
      <c r="B34" s="1"/>
      <c r="C34" s="313" t="s">
        <v>694</v>
      </c>
      <c r="D34" s="200"/>
      <c r="E34" s="200"/>
      <c r="F34" s="200"/>
      <c r="G34" s="200"/>
      <c r="H34" s="200"/>
      <c r="I34" s="94">
        <v>430</v>
      </c>
      <c r="J34" s="328">
        <v>450</v>
      </c>
      <c r="K34" s="94">
        <v>460</v>
      </c>
      <c r="L34" s="94">
        <v>554</v>
      </c>
      <c r="M34" s="326">
        <v>2030</v>
      </c>
      <c r="N34" s="283"/>
      <c r="O34" s="283"/>
      <c r="P34" s="283"/>
      <c r="Q34" s="283"/>
      <c r="R34" s="283"/>
      <c r="S34" s="283"/>
      <c r="T34" s="284"/>
      <c r="U34" s="284"/>
      <c r="V34" s="284"/>
      <c r="W34" s="284"/>
      <c r="X34" s="284"/>
      <c r="Y34" s="1"/>
      <c r="Z34" s="1"/>
      <c r="AA34" s="285"/>
      <c r="AB34" s="285"/>
      <c r="AC34" s="285"/>
      <c r="AD34" s="285"/>
      <c r="AE34" s="285"/>
      <c r="AF34" s="285"/>
      <c r="AG34" s="285"/>
      <c r="AH34" s="285"/>
      <c r="AI34" s="285"/>
      <c r="AJ34" s="285"/>
      <c r="AK34" s="285"/>
      <c r="AL34" s="285"/>
    </row>
    <row r="35" spans="1:3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25">
      <c r="A36" s="1"/>
      <c r="B36" s="1"/>
      <c r="C36" s="1"/>
      <c r="D36" s="1"/>
      <c r="E36" s="1"/>
      <c r="F36" s="1"/>
      <c r="G36" s="1"/>
      <c r="H36" s="1"/>
      <c r="I36" s="1"/>
      <c r="J36" s="329">
        <v>1.1000000000000001</v>
      </c>
      <c r="K36" s="1"/>
      <c r="L36" s="1"/>
      <c r="M36" s="1">
        <v>10170</v>
      </c>
      <c r="N36" s="329">
        <v>0</v>
      </c>
      <c r="O36" s="1"/>
      <c r="P36" s="1">
        <v>2600</v>
      </c>
      <c r="Q36" s="329">
        <v>0.02</v>
      </c>
      <c r="R36" s="1">
        <v>10170</v>
      </c>
      <c r="S36" s="329">
        <v>0.02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>
        <v>2030</v>
      </c>
      <c r="N37" s="329">
        <v>0</v>
      </c>
      <c r="O37" s="1"/>
      <c r="P37" s="1">
        <v>460</v>
      </c>
      <c r="Q37" s="329">
        <v>-0.06</v>
      </c>
      <c r="R37" s="1">
        <v>2030</v>
      </c>
      <c r="S37" s="329">
        <v>7.0000000000000007E-2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25">
      <c r="A38" s="1"/>
      <c r="B38" s="1"/>
      <c r="C38" s="1"/>
      <c r="D38" s="1"/>
      <c r="E38" s="1"/>
      <c r="F38" s="1"/>
      <c r="G38" s="1"/>
      <c r="H38" s="1"/>
      <c r="I38" s="1"/>
      <c r="J38" s="1">
        <v>1.0210003679999999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25">
      <c r="A39" s="1"/>
      <c r="B39" s="1"/>
      <c r="C39" s="1"/>
      <c r="D39" s="1"/>
      <c r="E39" s="1"/>
      <c r="F39" s="1"/>
      <c r="G39" s="1"/>
      <c r="H39" s="1"/>
      <c r="I39" s="1"/>
      <c r="J39" s="1">
        <v>1.05432306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701A7-DC15-4817-A7CE-390AE9A685F4}">
  <dimension ref="A1:O13"/>
  <sheetViews>
    <sheetView workbookViewId="0">
      <selection activeCell="G4" sqref="G4"/>
    </sheetView>
  </sheetViews>
  <sheetFormatPr defaultRowHeight="15" x14ac:dyDescent="0.25"/>
  <cols>
    <col min="15" max="15" width="10.85546875" customWidth="1"/>
  </cols>
  <sheetData>
    <row r="1" spans="1:15" x14ac:dyDescent="0.25">
      <c r="A1" s="465"/>
      <c r="B1" s="465"/>
      <c r="C1" s="465"/>
      <c r="D1" s="465"/>
      <c r="E1" s="465"/>
      <c r="F1" s="465"/>
      <c r="G1" s="479"/>
    </row>
    <row r="2" spans="1:15" x14ac:dyDescent="0.25">
      <c r="A2" s="465" t="s">
        <v>697</v>
      </c>
      <c r="B2" s="465" t="s">
        <v>698</v>
      </c>
      <c r="C2" s="465" t="s">
        <v>73</v>
      </c>
      <c r="D2" s="465" t="s">
        <v>74</v>
      </c>
      <c r="E2" s="465" t="s">
        <v>703</v>
      </c>
      <c r="F2" s="480" t="s">
        <v>708</v>
      </c>
      <c r="G2" s="479" t="s">
        <v>708</v>
      </c>
      <c r="N2" s="466" t="s">
        <v>699</v>
      </c>
      <c r="O2" s="467" t="s">
        <v>700</v>
      </c>
    </row>
    <row r="3" spans="1:15" x14ac:dyDescent="0.25">
      <c r="A3" s="468">
        <f>Value!K12</f>
        <v>179.27290861769674</v>
      </c>
      <c r="B3" s="469" t="s">
        <v>63</v>
      </c>
      <c r="C3" s="470">
        <f>C13</f>
        <v>0.11915299709563976</v>
      </c>
      <c r="D3" s="470">
        <f>D13</f>
        <v>0.13457627651834914</v>
      </c>
      <c r="E3" s="465">
        <f>O8</f>
        <v>3</v>
      </c>
      <c r="F3" s="481">
        <v>46080</v>
      </c>
      <c r="G3" s="482" t="s">
        <v>527</v>
      </c>
      <c r="N3" s="471" t="s">
        <v>701</v>
      </c>
      <c r="O3" s="472">
        <v>1</v>
      </c>
    </row>
    <row r="4" spans="1:15" x14ac:dyDescent="0.25">
      <c r="N4" s="471" t="s">
        <v>702</v>
      </c>
      <c r="O4" s="472">
        <v>1</v>
      </c>
    </row>
    <row r="5" spans="1:15" x14ac:dyDescent="0.25">
      <c r="N5" s="471" t="s">
        <v>489</v>
      </c>
      <c r="O5" s="472">
        <v>0</v>
      </c>
    </row>
    <row r="6" spans="1:15" x14ac:dyDescent="0.25">
      <c r="C6">
        <v>2025</v>
      </c>
      <c r="D6">
        <v>2026</v>
      </c>
      <c r="F6" t="s">
        <v>704</v>
      </c>
      <c r="N6" s="471" t="s">
        <v>324</v>
      </c>
      <c r="O6" s="472">
        <v>1</v>
      </c>
    </row>
    <row r="7" spans="1:15" x14ac:dyDescent="0.25">
      <c r="A7" t="s">
        <v>680</v>
      </c>
      <c r="C7">
        <v>2.38</v>
      </c>
      <c r="D7">
        <v>3.26</v>
      </c>
      <c r="N7" s="473" t="s">
        <v>466</v>
      </c>
      <c r="O7" s="474">
        <v>0</v>
      </c>
    </row>
    <row r="8" spans="1:15" x14ac:dyDescent="0.25">
      <c r="A8" t="s">
        <v>705</v>
      </c>
      <c r="C8">
        <f>Value!E29</f>
        <v>2.3420885081384677</v>
      </c>
      <c r="D8">
        <f>Value!F29</f>
        <v>3.3593171442180787</v>
      </c>
      <c r="N8" s="475" t="s">
        <v>703</v>
      </c>
      <c r="O8" s="476">
        <f>SUM(O3:O7)</f>
        <v>3</v>
      </c>
    </row>
    <row r="10" spans="1:15" x14ac:dyDescent="0.25">
      <c r="A10" t="s">
        <v>63</v>
      </c>
      <c r="C10">
        <v>2026</v>
      </c>
      <c r="D10">
        <v>2027</v>
      </c>
      <c r="F10" t="s">
        <v>706</v>
      </c>
    </row>
    <row r="11" spans="1:15" x14ac:dyDescent="0.25">
      <c r="A11" t="s">
        <v>680</v>
      </c>
      <c r="C11">
        <v>4164</v>
      </c>
      <c r="D11">
        <v>5061</v>
      </c>
    </row>
    <row r="12" spans="1:15" x14ac:dyDescent="0.25">
      <c r="A12" t="s">
        <v>705</v>
      </c>
      <c r="C12" s="477">
        <f>Value!T24</f>
        <v>4660.1530799062439</v>
      </c>
      <c r="D12" s="477">
        <f>Value!U24</f>
        <v>5742.0905354593651</v>
      </c>
    </row>
    <row r="13" spans="1:15" x14ac:dyDescent="0.25">
      <c r="A13" t="s">
        <v>707</v>
      </c>
      <c r="C13" s="478">
        <f>C12/C11-1</f>
        <v>0.11915299709563976</v>
      </c>
      <c r="D13" s="478">
        <f>D12/D11-1</f>
        <v>0.13457627651834914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Value</vt:lpstr>
      <vt:lpstr>Annual</vt:lpstr>
      <vt:lpstr>Qrtly</vt:lpstr>
      <vt:lpstr>Vs cons</vt:lpstr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Wilson</dc:creator>
  <cp:lastModifiedBy>Peter Wilson</cp:lastModifiedBy>
  <dcterms:created xsi:type="dcterms:W3CDTF">2025-10-02T06:42:00Z</dcterms:created>
  <dcterms:modified xsi:type="dcterms:W3CDTF">2026-02-20T05:07:53Z</dcterms:modified>
</cp:coreProperties>
</file>